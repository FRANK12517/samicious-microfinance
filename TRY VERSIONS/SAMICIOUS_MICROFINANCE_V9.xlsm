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00000000-0000-0000-0000-000000000000}"/>
  <workbookPr/>
  <mc:AlternateContent xmlns:mc="http://schemas.openxmlformats.org/markup-compatibility/2006">
    <mc:Choice Requires="x15">
      <x15ac:absPath xmlns:x15ac="http://schemas.microsoft.com/office/spreadsheetml/2010/11/ac" url="E:\EXCEL PROJECT\SAMICIOUS MICROFINANCE\V9\"/>
    </mc:Choice>
  </mc:AlternateContent>
  <xr:revisionPtr revIDLastSave="0" documentId="13_ncr:1_{19EF8F4E-F2F8-4104-B055-C5143D661675}" xr6:coauthVersionLast="47" xr6:coauthVersionMax="47" xr10:uidLastSave="{00000000-0000-0000-0000-000000000000}"/>
  <bookViews>
    <workbookView xWindow="-120" yWindow="-120" windowWidth="29040" windowHeight="15720" tabRatio="500" activeTab="3" xr2:uid="{00000000-000D-0000-FFFF-FFFF00000000}"/>
  </bookViews>
  <sheets>
    <sheet name="DEVELOPER" sheetId="1" r:id="rId1"/>
    <sheet name="ACKNOWLEDGEMENT" sheetId="2" r:id="rId2"/>
    <sheet name="Manager_Dashboard" sheetId="3" r:id="rId3"/>
    <sheet name="Account_Opening" sheetId="4" r:id="rId4"/>
    <sheet name="Customer Account Database" sheetId="5" r:id="rId5"/>
    <sheet name="Agent01_Savings" sheetId="6" r:id="rId6"/>
    <sheet name="Agent01_Withdrawals" sheetId="7" r:id="rId7"/>
    <sheet name="Agent01_Loans" sheetId="8" r:id="rId8"/>
    <sheet name="Agent02_Savings" sheetId="9" r:id="rId9"/>
    <sheet name="Agent02_Withdrawals" sheetId="10" r:id="rId10"/>
    <sheet name="Agent02_Loans" sheetId="11" r:id="rId11"/>
    <sheet name="Agent03_Savings" sheetId="12" r:id="rId12"/>
    <sheet name="Agent03_Withdrawals" sheetId="13" r:id="rId13"/>
    <sheet name="Agent03_Loans" sheetId="14" r:id="rId14"/>
    <sheet name="Agent04_Savings" sheetId="15" r:id="rId15"/>
    <sheet name="Agent04_Withdrawals" sheetId="16" r:id="rId16"/>
    <sheet name="Agent04_Loans" sheetId="17" r:id="rId17"/>
    <sheet name="Agent05_Savings" sheetId="18" r:id="rId18"/>
    <sheet name="Agent05_Withdrawals" sheetId="19" r:id="rId19"/>
    <sheet name="Agent05_Loans" sheetId="20" r:id="rId20"/>
    <sheet name="Agent06_Savings" sheetId="21" r:id="rId21"/>
    <sheet name="Agent06_Withdrawals" sheetId="22" r:id="rId22"/>
    <sheet name="Agent06_Loans" sheetId="23" r:id="rId23"/>
    <sheet name="Agent07_Savings" sheetId="24" r:id="rId24"/>
    <sheet name="Agent07_Withdrawals" sheetId="25" r:id="rId25"/>
    <sheet name="Agent07_Loans" sheetId="26" r:id="rId26"/>
    <sheet name="Agent08_Savings" sheetId="27" r:id="rId27"/>
    <sheet name="Agent08_Withdrawals" sheetId="28" r:id="rId28"/>
    <sheet name="Agent08_Loans" sheetId="29" r:id="rId29"/>
    <sheet name="Agent09_Savings" sheetId="30" r:id="rId30"/>
    <sheet name="Agent09_Withdrawals" sheetId="31" r:id="rId31"/>
    <sheet name="Agent09_Loans" sheetId="32" r:id="rId32"/>
    <sheet name="Agent10_Savings" sheetId="33" r:id="rId33"/>
    <sheet name="Agent10_Withdrawals" sheetId="34" r:id="rId34"/>
    <sheet name="Agent10_Loans" sheetId="35" r:id="rId35"/>
    <sheet name="DB_Customers" sheetId="36" r:id="rId36"/>
    <sheet name="DB_Savings" sheetId="37" r:id="rId37"/>
    <sheet name="DB_Withdrawals" sheetId="38" r:id="rId38"/>
    <sheet name="DB_Loans" sheetId="39" r:id="rId39"/>
    <sheet name="DB_Corrections" sheetId="40" r:id="rId40"/>
    <sheet name="Daily_Balancing" sheetId="41" r:id="rId41"/>
    <sheet name="Weekly_Balancing" sheetId="42" r:id="rId42"/>
    <sheet name="Monthly_Balancing" sheetId="43" r:id="rId43"/>
    <sheet name="MASTER_DATABASE" sheetId="44" r:id="rId44"/>
    <sheet name="CLOUD_SYNC" sheetId="45" r:id="rId45"/>
    <sheet name="DB_Agents" sheetId="46" r:id="rId46"/>
    <sheet name="System_Config" sheetId="47" state="hidden" r:id="rId47"/>
    <sheet name="Audit_Log" sheetId="48" state="hidden" r:id="rId48"/>
    <sheet name="VBA_Macros" sheetId="49" r:id="rId49"/>
  </sheets>
  <definedNames>
    <definedName name="_xlnm._FilterDatabase" localSheetId="4" hidden="1">'Customer Account Database'!$A$8:$N$508</definedName>
    <definedName name="_xlnm._FilterDatabase" localSheetId="35" hidden="1">DB_Customers!$A$3:$N$3</definedName>
    <definedName name="_xlnm._FilterDatabase" localSheetId="38" hidden="1">DB_Loans!$A$3:$M$3</definedName>
    <definedName name="_xlnm._FilterDatabase" localSheetId="36" hidden="1">DB_Savings!$A$3:$J$3</definedName>
    <definedName name="_xlnm._FilterDatabase" localSheetId="37" hidden="1">DB_Withdrawals!$A$3:$L$3</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D10" i="45" l="1"/>
  <c r="F518" i="44"/>
  <c r="F517" i="44"/>
  <c r="F516" i="44"/>
  <c r="F515" i="44"/>
  <c r="F514" i="44"/>
  <c r="F513" i="44"/>
  <c r="G20" i="43"/>
  <c r="F20" i="43"/>
  <c r="E20" i="43"/>
  <c r="D20" i="43"/>
  <c r="C20" i="43"/>
  <c r="B20" i="43"/>
  <c r="E4" i="43"/>
  <c r="D4" i="43"/>
  <c r="A2" i="42"/>
  <c r="E13" i="41"/>
  <c r="C13" i="41"/>
  <c r="B13" i="41"/>
  <c r="G13" i="41" s="1"/>
  <c r="E12" i="41"/>
  <c r="C12" i="41"/>
  <c r="B12" i="41"/>
  <c r="G16" i="42" s="1"/>
  <c r="E11" i="41"/>
  <c r="C11" i="41"/>
  <c r="B11" i="41"/>
  <c r="G15" i="42" s="1"/>
  <c r="E10" i="41"/>
  <c r="C10" i="41"/>
  <c r="B10" i="41"/>
  <c r="E9" i="41"/>
  <c r="E14" i="3" s="1"/>
  <c r="C9" i="41"/>
  <c r="B9" i="41"/>
  <c r="E13" i="42" s="1"/>
  <c r="E8" i="41"/>
  <c r="C8" i="41"/>
  <c r="B8" i="41"/>
  <c r="D12" i="42" s="1"/>
  <c r="E7" i="41"/>
  <c r="C7" i="41"/>
  <c r="B7" i="41"/>
  <c r="C11" i="42" s="1"/>
  <c r="E6" i="41"/>
  <c r="C6" i="41"/>
  <c r="B6" i="41"/>
  <c r="E5" i="41"/>
  <c r="E10" i="3" s="1"/>
  <c r="C5" i="41"/>
  <c r="B5" i="41"/>
  <c r="G5" i="41" s="1"/>
  <c r="E4" i="41"/>
  <c r="E9" i="3" s="1"/>
  <c r="C4" i="41"/>
  <c r="B4" i="41"/>
  <c r="B9" i="3" s="1"/>
  <c r="O8" i="39"/>
  <c r="J8" i="39"/>
  <c r="I8" i="39"/>
  <c r="O7" i="39"/>
  <c r="J7" i="39"/>
  <c r="I7" i="39"/>
  <c r="O6" i="39"/>
  <c r="J6" i="39"/>
  <c r="I6" i="39"/>
  <c r="O5" i="39"/>
  <c r="J5" i="39"/>
  <c r="I5" i="39"/>
  <c r="O4" i="39"/>
  <c r="J4" i="39"/>
  <c r="I4" i="39"/>
  <c r="N45" i="38"/>
  <c r="M45" i="38"/>
  <c r="N44" i="38"/>
  <c r="M44" i="38"/>
  <c r="M43" i="38"/>
  <c r="N43" i="38" s="1"/>
  <c r="N42" i="38"/>
  <c r="M42" i="38"/>
  <c r="N41" i="38"/>
  <c r="M41" i="38"/>
  <c r="N40" i="38"/>
  <c r="M40" i="38"/>
  <c r="M39" i="38"/>
  <c r="N39" i="38" s="1"/>
  <c r="N38" i="38"/>
  <c r="M38" i="38"/>
  <c r="N37" i="38"/>
  <c r="M37" i="38"/>
  <c r="N36" i="38"/>
  <c r="M36" i="38"/>
  <c r="M35" i="38"/>
  <c r="N35" i="38" s="1"/>
  <c r="N34" i="38"/>
  <c r="M34" i="38"/>
  <c r="N33" i="38"/>
  <c r="M33" i="38"/>
  <c r="N32" i="38"/>
  <c r="M32" i="38"/>
  <c r="M31" i="38"/>
  <c r="N31" i="38" s="1"/>
  <c r="N30" i="38"/>
  <c r="M30" i="38"/>
  <c r="N29" i="38"/>
  <c r="M29" i="38"/>
  <c r="N28" i="38"/>
  <c r="M28" i="38"/>
  <c r="M27" i="38"/>
  <c r="N27" i="38" s="1"/>
  <c r="N26" i="38"/>
  <c r="M26" i="38"/>
  <c r="N25" i="38"/>
  <c r="M25" i="38"/>
  <c r="N24" i="38"/>
  <c r="M24" i="38"/>
  <c r="M23" i="38"/>
  <c r="N23" i="38" s="1"/>
  <c r="N22" i="38"/>
  <c r="M22" i="38"/>
  <c r="N21" i="38"/>
  <c r="M21" i="38"/>
  <c r="N20" i="38"/>
  <c r="M20" i="38"/>
  <c r="M19" i="38"/>
  <c r="N19" i="38" s="1"/>
  <c r="N18" i="38"/>
  <c r="M18" i="38"/>
  <c r="N17" i="38"/>
  <c r="M17" i="38"/>
  <c r="N16" i="38"/>
  <c r="M16" i="38"/>
  <c r="M15" i="38"/>
  <c r="N15" i="38" s="1"/>
  <c r="N14" i="38"/>
  <c r="M14" i="38"/>
  <c r="N13" i="38"/>
  <c r="M13" i="38"/>
  <c r="N12" i="38"/>
  <c r="M12" i="38"/>
  <c r="M11" i="38"/>
  <c r="N11" i="38" s="1"/>
  <c r="N10" i="38"/>
  <c r="M10" i="38"/>
  <c r="N9" i="38"/>
  <c r="M9" i="38"/>
  <c r="N8" i="38"/>
  <c r="M8" i="38"/>
  <c r="M7" i="38"/>
  <c r="N7" i="38" s="1"/>
  <c r="N6" i="38"/>
  <c r="M6" i="38"/>
  <c r="N5" i="38"/>
  <c r="M5" i="38"/>
  <c r="N4" i="38"/>
  <c r="M4" i="38"/>
  <c r="O23" i="36"/>
  <c r="M23" i="36"/>
  <c r="L23" i="36"/>
  <c r="N23" i="36" s="1"/>
  <c r="P23" i="36" s="1"/>
  <c r="O22" i="36"/>
  <c r="M22" i="36"/>
  <c r="L22" i="36"/>
  <c r="N22" i="36" s="1"/>
  <c r="P22" i="36" s="1"/>
  <c r="O21" i="36"/>
  <c r="M21" i="36"/>
  <c r="L21" i="36"/>
  <c r="N21" i="36" s="1"/>
  <c r="P21" i="36" s="1"/>
  <c r="O20" i="36"/>
  <c r="M20" i="36"/>
  <c r="N20" i="36" s="1"/>
  <c r="P20" i="36" s="1"/>
  <c r="L20" i="36"/>
  <c r="O19" i="36"/>
  <c r="N19" i="36"/>
  <c r="P19" i="36" s="1"/>
  <c r="M19" i="36"/>
  <c r="L19" i="36"/>
  <c r="O18" i="36"/>
  <c r="M18" i="36"/>
  <c r="N18" i="36" s="1"/>
  <c r="P18" i="36" s="1"/>
  <c r="L18" i="36"/>
  <c r="O17" i="36"/>
  <c r="M17" i="36"/>
  <c r="L17" i="36"/>
  <c r="N17" i="36" s="1"/>
  <c r="P17" i="36" s="1"/>
  <c r="O16" i="36"/>
  <c r="M16" i="36"/>
  <c r="L16" i="36"/>
  <c r="O15" i="36"/>
  <c r="M15" i="36"/>
  <c r="L15" i="36"/>
  <c r="N15" i="36" s="1"/>
  <c r="P15" i="36" s="1"/>
  <c r="O14" i="36"/>
  <c r="M14" i="36"/>
  <c r="L14" i="36"/>
  <c r="N14" i="36" s="1"/>
  <c r="P14" i="36" s="1"/>
  <c r="O13" i="36"/>
  <c r="M13" i="36"/>
  <c r="L13" i="36"/>
  <c r="N13" i="36" s="1"/>
  <c r="P13" i="36" s="1"/>
  <c r="O12" i="36"/>
  <c r="M12" i="36"/>
  <c r="N12" i="36" s="1"/>
  <c r="P12" i="36" s="1"/>
  <c r="L12" i="36"/>
  <c r="P11" i="36"/>
  <c r="O11" i="36"/>
  <c r="N11" i="36"/>
  <c r="M11" i="36"/>
  <c r="L11" i="36"/>
  <c r="O10" i="36"/>
  <c r="M10" i="36"/>
  <c r="N10" i="36" s="1"/>
  <c r="P10" i="36" s="1"/>
  <c r="L10" i="36"/>
  <c r="O9" i="36"/>
  <c r="M9" i="36"/>
  <c r="L9" i="36"/>
  <c r="N9" i="36" s="1"/>
  <c r="P9" i="36" s="1"/>
  <c r="O8" i="36"/>
  <c r="M8" i="36"/>
  <c r="L8" i="36"/>
  <c r="O7" i="36"/>
  <c r="M7" i="36"/>
  <c r="L7" i="36"/>
  <c r="N7" i="36" s="1"/>
  <c r="P7" i="36" s="1"/>
  <c r="O6" i="36"/>
  <c r="M6" i="36"/>
  <c r="L6" i="36"/>
  <c r="N6" i="36" s="1"/>
  <c r="P6" i="36" s="1"/>
  <c r="O5" i="36"/>
  <c r="M5" i="36"/>
  <c r="L5" i="36"/>
  <c r="N5" i="36" s="1"/>
  <c r="P5" i="36" s="1"/>
  <c r="O4" i="36"/>
  <c r="M4" i="36"/>
  <c r="N4" i="36" s="1"/>
  <c r="P4" i="36" s="1"/>
  <c r="L4" i="36"/>
  <c r="K213" i="35"/>
  <c r="K212" i="35"/>
  <c r="K211" i="35"/>
  <c r="K210" i="35"/>
  <c r="K209" i="35"/>
  <c r="K208" i="35"/>
  <c r="K207" i="35"/>
  <c r="K206" i="35"/>
  <c r="K205" i="35"/>
  <c r="K204" i="35"/>
  <c r="K203" i="35"/>
  <c r="K202" i="35"/>
  <c r="K201" i="35"/>
  <c r="K200" i="35"/>
  <c r="K199" i="35"/>
  <c r="K198" i="35"/>
  <c r="K197" i="35"/>
  <c r="K196" i="35"/>
  <c r="K195" i="35"/>
  <c r="K194" i="35"/>
  <c r="K193" i="35"/>
  <c r="K192" i="35"/>
  <c r="K191" i="35"/>
  <c r="K190" i="35"/>
  <c r="K189" i="35"/>
  <c r="K188" i="35"/>
  <c r="K187" i="35"/>
  <c r="K186" i="35"/>
  <c r="K185" i="35"/>
  <c r="K184" i="35"/>
  <c r="K183" i="35"/>
  <c r="K182" i="35"/>
  <c r="K181" i="35"/>
  <c r="K180" i="35"/>
  <c r="K179" i="35"/>
  <c r="K178" i="35"/>
  <c r="K177" i="35"/>
  <c r="K176" i="35"/>
  <c r="K175" i="35"/>
  <c r="K174" i="35"/>
  <c r="K173" i="35"/>
  <c r="K172" i="35"/>
  <c r="K171" i="35"/>
  <c r="K170" i="35"/>
  <c r="K169" i="35"/>
  <c r="K168" i="35"/>
  <c r="K167" i="35"/>
  <c r="K166" i="35"/>
  <c r="K165" i="35"/>
  <c r="K164" i="35"/>
  <c r="K163" i="35"/>
  <c r="K162" i="35"/>
  <c r="K161" i="35"/>
  <c r="K160" i="35"/>
  <c r="K159" i="35"/>
  <c r="K158" i="35"/>
  <c r="K157" i="35"/>
  <c r="K156" i="35"/>
  <c r="K155" i="35"/>
  <c r="K154" i="35"/>
  <c r="K153" i="35"/>
  <c r="K152" i="35"/>
  <c r="K151" i="35"/>
  <c r="K150" i="35"/>
  <c r="K149" i="35"/>
  <c r="K148" i="35"/>
  <c r="K147" i="35"/>
  <c r="K146" i="35"/>
  <c r="K145" i="35"/>
  <c r="K144" i="35"/>
  <c r="K143" i="35"/>
  <c r="K142" i="35"/>
  <c r="K141" i="35"/>
  <c r="K140" i="35"/>
  <c r="K139" i="35"/>
  <c r="K138" i="35"/>
  <c r="K137" i="35"/>
  <c r="K136" i="35"/>
  <c r="K135" i="35"/>
  <c r="K134" i="35"/>
  <c r="K133" i="35"/>
  <c r="K132" i="35"/>
  <c r="K131" i="35"/>
  <c r="K130" i="35"/>
  <c r="K129" i="35"/>
  <c r="K128" i="35"/>
  <c r="K127" i="35"/>
  <c r="K126" i="35"/>
  <c r="K125" i="35"/>
  <c r="K124" i="35"/>
  <c r="K123" i="35"/>
  <c r="K122" i="35"/>
  <c r="K121" i="35"/>
  <c r="K120" i="35"/>
  <c r="K119" i="35"/>
  <c r="K118" i="35"/>
  <c r="K117" i="35"/>
  <c r="K116" i="35"/>
  <c r="K115" i="35"/>
  <c r="K114" i="35"/>
  <c r="K113" i="35"/>
  <c r="I113" i="35"/>
  <c r="J113" i="35" s="1"/>
  <c r="D113" i="35"/>
  <c r="C113" i="35"/>
  <c r="A113" i="35"/>
  <c r="K112" i="35"/>
  <c r="J112" i="35"/>
  <c r="I112" i="35"/>
  <c r="D112" i="35"/>
  <c r="C112" i="35"/>
  <c r="A112" i="35"/>
  <c r="K111" i="35"/>
  <c r="I111" i="35"/>
  <c r="J111" i="35" s="1"/>
  <c r="D111" i="35"/>
  <c r="C111" i="35"/>
  <c r="A111" i="35"/>
  <c r="K110" i="35"/>
  <c r="I110" i="35"/>
  <c r="J110" i="35" s="1"/>
  <c r="D110" i="35"/>
  <c r="C110" i="35"/>
  <c r="A110" i="35"/>
  <c r="K109" i="35"/>
  <c r="I109" i="35"/>
  <c r="J109" i="35" s="1"/>
  <c r="D109" i="35"/>
  <c r="C109" i="35"/>
  <c r="A109" i="35"/>
  <c r="K108" i="35"/>
  <c r="J108" i="35"/>
  <c r="I108" i="35"/>
  <c r="D108" i="35"/>
  <c r="C108" i="35"/>
  <c r="A108" i="35"/>
  <c r="K107" i="35"/>
  <c r="I107" i="35"/>
  <c r="J107" i="35" s="1"/>
  <c r="D107" i="35"/>
  <c r="C107" i="35"/>
  <c r="A107" i="35"/>
  <c r="K106" i="35"/>
  <c r="I106" i="35"/>
  <c r="J106" i="35" s="1"/>
  <c r="D106" i="35"/>
  <c r="C106" i="35"/>
  <c r="A106" i="35"/>
  <c r="K105" i="35"/>
  <c r="J105" i="35"/>
  <c r="I105" i="35"/>
  <c r="D105" i="35"/>
  <c r="C105" i="35"/>
  <c r="A105" i="35"/>
  <c r="K104" i="35"/>
  <c r="J104" i="35"/>
  <c r="I104" i="35"/>
  <c r="D104" i="35"/>
  <c r="C104" i="35"/>
  <c r="A104" i="35"/>
  <c r="K103" i="35"/>
  <c r="I103" i="35"/>
  <c r="J103" i="35" s="1"/>
  <c r="D103" i="35"/>
  <c r="C103" i="35"/>
  <c r="A103" i="35"/>
  <c r="K102" i="35"/>
  <c r="I102" i="35"/>
  <c r="J102" i="35" s="1"/>
  <c r="D102" i="35"/>
  <c r="C102" i="35"/>
  <c r="A102" i="35"/>
  <c r="K101" i="35"/>
  <c r="J101" i="35"/>
  <c r="I101" i="35"/>
  <c r="D101" i="35"/>
  <c r="C101" i="35"/>
  <c r="A101" i="35"/>
  <c r="K100" i="35"/>
  <c r="J100" i="35"/>
  <c r="I100" i="35"/>
  <c r="D100" i="35"/>
  <c r="C100" i="35"/>
  <c r="A100" i="35"/>
  <c r="K99" i="35"/>
  <c r="I99" i="35"/>
  <c r="J99" i="35" s="1"/>
  <c r="D99" i="35"/>
  <c r="C99" i="35"/>
  <c r="A99" i="35"/>
  <c r="K98" i="35"/>
  <c r="I98" i="35"/>
  <c r="J98" i="35" s="1"/>
  <c r="D98" i="35"/>
  <c r="C98" i="35"/>
  <c r="A98" i="35"/>
  <c r="K97" i="35"/>
  <c r="I97" i="35"/>
  <c r="J97" i="35" s="1"/>
  <c r="D97" i="35"/>
  <c r="C97" i="35"/>
  <c r="A97" i="35"/>
  <c r="K96" i="35"/>
  <c r="J96" i="35"/>
  <c r="I96" i="35"/>
  <c r="D96" i="35"/>
  <c r="C96" i="35"/>
  <c r="A96" i="35"/>
  <c r="K95" i="35"/>
  <c r="I95" i="35"/>
  <c r="J95" i="35" s="1"/>
  <c r="D95" i="35"/>
  <c r="C95" i="35"/>
  <c r="A95" i="35"/>
  <c r="K94" i="35"/>
  <c r="I94" i="35"/>
  <c r="J94" i="35" s="1"/>
  <c r="D94" i="35"/>
  <c r="C94" i="35"/>
  <c r="A94" i="35"/>
  <c r="K93" i="35"/>
  <c r="I93" i="35"/>
  <c r="J93" i="35" s="1"/>
  <c r="D93" i="35"/>
  <c r="C93" i="35"/>
  <c r="A93" i="35"/>
  <c r="K92" i="35"/>
  <c r="J92" i="35"/>
  <c r="I92" i="35"/>
  <c r="D92" i="35"/>
  <c r="C92" i="35"/>
  <c r="A92" i="35"/>
  <c r="K91" i="35"/>
  <c r="I91" i="35"/>
  <c r="J91" i="35" s="1"/>
  <c r="D91" i="35"/>
  <c r="C91" i="35"/>
  <c r="A91" i="35"/>
  <c r="K90" i="35"/>
  <c r="I90" i="35"/>
  <c r="J90" i="35" s="1"/>
  <c r="D90" i="35"/>
  <c r="C90" i="35"/>
  <c r="A90" i="35"/>
  <c r="K89" i="35"/>
  <c r="J89" i="35"/>
  <c r="I89" i="35"/>
  <c r="D89" i="35"/>
  <c r="C89" i="35"/>
  <c r="A89" i="35"/>
  <c r="K88" i="35"/>
  <c r="J88" i="35"/>
  <c r="I88" i="35"/>
  <c r="D88" i="35"/>
  <c r="C88" i="35"/>
  <c r="A88" i="35"/>
  <c r="K87" i="35"/>
  <c r="I87" i="35"/>
  <c r="J87" i="35" s="1"/>
  <c r="D87" i="35"/>
  <c r="C87" i="35"/>
  <c r="A87" i="35"/>
  <c r="K86" i="35"/>
  <c r="I86" i="35"/>
  <c r="J86" i="35" s="1"/>
  <c r="D86" i="35"/>
  <c r="C86" i="35"/>
  <c r="A86" i="35"/>
  <c r="K85" i="35"/>
  <c r="J85" i="35"/>
  <c r="I85" i="35"/>
  <c r="D85" i="35"/>
  <c r="C85" i="35"/>
  <c r="A85" i="35"/>
  <c r="K84" i="35"/>
  <c r="J84" i="35"/>
  <c r="I84" i="35"/>
  <c r="D84" i="35"/>
  <c r="C84" i="35"/>
  <c r="A84" i="35"/>
  <c r="K83" i="35"/>
  <c r="I83" i="35"/>
  <c r="J83" i="35" s="1"/>
  <c r="D83" i="35"/>
  <c r="C83" i="35"/>
  <c r="A83" i="35"/>
  <c r="K82" i="35"/>
  <c r="I82" i="35"/>
  <c r="J82" i="35" s="1"/>
  <c r="D82" i="35"/>
  <c r="C82" i="35"/>
  <c r="A82" i="35"/>
  <c r="K81" i="35"/>
  <c r="I81" i="35"/>
  <c r="J81" i="35" s="1"/>
  <c r="D81" i="35"/>
  <c r="C81" i="35"/>
  <c r="A81" i="35"/>
  <c r="K80" i="35"/>
  <c r="J80" i="35"/>
  <c r="I80" i="35"/>
  <c r="D80" i="35"/>
  <c r="C80" i="35"/>
  <c r="A80" i="35"/>
  <c r="K79" i="35"/>
  <c r="I79" i="35"/>
  <c r="J79" i="35" s="1"/>
  <c r="D79" i="35"/>
  <c r="C79" i="35"/>
  <c r="A79" i="35"/>
  <c r="K78" i="35"/>
  <c r="I78" i="35"/>
  <c r="J78" i="35" s="1"/>
  <c r="D78" i="35"/>
  <c r="C78" i="35"/>
  <c r="A78" i="35"/>
  <c r="K77" i="35"/>
  <c r="I77" i="35"/>
  <c r="J77" i="35" s="1"/>
  <c r="D77" i="35"/>
  <c r="C77" i="35"/>
  <c r="A77" i="35"/>
  <c r="K76" i="35"/>
  <c r="J76" i="35"/>
  <c r="I76" i="35"/>
  <c r="D76" i="35"/>
  <c r="C76" i="35"/>
  <c r="A76" i="35"/>
  <c r="K75" i="35"/>
  <c r="I75" i="35"/>
  <c r="J75" i="35" s="1"/>
  <c r="D75" i="35"/>
  <c r="C75" i="35"/>
  <c r="A75" i="35"/>
  <c r="K74" i="35"/>
  <c r="I74" i="35"/>
  <c r="J74" i="35" s="1"/>
  <c r="D74" i="35"/>
  <c r="C74" i="35"/>
  <c r="A74" i="35"/>
  <c r="K73" i="35"/>
  <c r="J73" i="35"/>
  <c r="I73" i="35"/>
  <c r="D73" i="35"/>
  <c r="C73" i="35"/>
  <c r="A73" i="35"/>
  <c r="K72" i="35"/>
  <c r="J72" i="35"/>
  <c r="I72" i="35"/>
  <c r="D72" i="35"/>
  <c r="C72" i="35"/>
  <c r="A72" i="35"/>
  <c r="K71" i="35"/>
  <c r="I71" i="35"/>
  <c r="J71" i="35" s="1"/>
  <c r="D71" i="35"/>
  <c r="C71" i="35"/>
  <c r="A71" i="35"/>
  <c r="K70" i="35"/>
  <c r="I70" i="35"/>
  <c r="J70" i="35" s="1"/>
  <c r="D70" i="35"/>
  <c r="C70" i="35"/>
  <c r="A70" i="35"/>
  <c r="K69" i="35"/>
  <c r="J69" i="35"/>
  <c r="I69" i="35"/>
  <c r="D69" i="35"/>
  <c r="C69" i="35"/>
  <c r="A69" i="35"/>
  <c r="K68" i="35"/>
  <c r="J68" i="35"/>
  <c r="I68" i="35"/>
  <c r="D68" i="35"/>
  <c r="C68" i="35"/>
  <c r="A68" i="35"/>
  <c r="K67" i="35"/>
  <c r="I67" i="35"/>
  <c r="J67" i="35" s="1"/>
  <c r="D67" i="35"/>
  <c r="C67" i="35"/>
  <c r="A67" i="35"/>
  <c r="K66" i="35"/>
  <c r="I66" i="35"/>
  <c r="J66" i="35" s="1"/>
  <c r="D66" i="35"/>
  <c r="C66" i="35"/>
  <c r="A66" i="35"/>
  <c r="K65" i="35"/>
  <c r="I65" i="35"/>
  <c r="J65" i="35" s="1"/>
  <c r="D65" i="35"/>
  <c r="C65" i="35"/>
  <c r="A65" i="35"/>
  <c r="K64" i="35"/>
  <c r="J64" i="35"/>
  <c r="I64" i="35"/>
  <c r="D64" i="35"/>
  <c r="C64" i="35"/>
  <c r="A64" i="35"/>
  <c r="K63" i="35"/>
  <c r="I63" i="35"/>
  <c r="J63" i="35" s="1"/>
  <c r="D63" i="35"/>
  <c r="C63" i="35"/>
  <c r="A63" i="35"/>
  <c r="K62" i="35"/>
  <c r="I62" i="35"/>
  <c r="J62" i="35" s="1"/>
  <c r="D62" i="35"/>
  <c r="C62" i="35"/>
  <c r="A62" i="35"/>
  <c r="K61" i="35"/>
  <c r="I61" i="35"/>
  <c r="J61" i="35" s="1"/>
  <c r="D61" i="35"/>
  <c r="C61" i="35"/>
  <c r="A61" i="35"/>
  <c r="K60" i="35"/>
  <c r="J60" i="35"/>
  <c r="I60" i="35"/>
  <c r="D60" i="35"/>
  <c r="C60" i="35"/>
  <c r="A60" i="35"/>
  <c r="K59" i="35"/>
  <c r="I59" i="35"/>
  <c r="J59" i="35" s="1"/>
  <c r="D59" i="35"/>
  <c r="C59" i="35"/>
  <c r="A59" i="35"/>
  <c r="K58" i="35"/>
  <c r="I58" i="35"/>
  <c r="J58" i="35" s="1"/>
  <c r="D58" i="35"/>
  <c r="C58" i="35"/>
  <c r="A58" i="35"/>
  <c r="K57" i="35"/>
  <c r="J57" i="35"/>
  <c r="I57" i="35"/>
  <c r="D57" i="35"/>
  <c r="C57" i="35"/>
  <c r="A57" i="35"/>
  <c r="K56" i="35"/>
  <c r="J56" i="35"/>
  <c r="I56" i="35"/>
  <c r="D56" i="35"/>
  <c r="C56" i="35"/>
  <c r="A56" i="35"/>
  <c r="K55" i="35"/>
  <c r="I55" i="35"/>
  <c r="J55" i="35" s="1"/>
  <c r="D55" i="35"/>
  <c r="C55" i="35"/>
  <c r="A55" i="35"/>
  <c r="K54" i="35"/>
  <c r="I54" i="35"/>
  <c r="J54" i="35" s="1"/>
  <c r="D54" i="35"/>
  <c r="C54" i="35"/>
  <c r="A54" i="35"/>
  <c r="K53" i="35"/>
  <c r="J53" i="35"/>
  <c r="I53" i="35"/>
  <c r="D53" i="35"/>
  <c r="C53" i="35"/>
  <c r="A53" i="35"/>
  <c r="K52" i="35"/>
  <c r="J52" i="35"/>
  <c r="I52" i="35"/>
  <c r="D52" i="35"/>
  <c r="C52" i="35"/>
  <c r="A52" i="35"/>
  <c r="K51" i="35"/>
  <c r="I51" i="35"/>
  <c r="J51" i="35" s="1"/>
  <c r="D51" i="35"/>
  <c r="C51" i="35"/>
  <c r="A51" i="35"/>
  <c r="K50" i="35"/>
  <c r="I50" i="35"/>
  <c r="J50" i="35" s="1"/>
  <c r="D50" i="35"/>
  <c r="C50" i="35"/>
  <c r="A50" i="35"/>
  <c r="K49" i="35"/>
  <c r="I49" i="35"/>
  <c r="J49" i="35" s="1"/>
  <c r="D49" i="35"/>
  <c r="C49" i="35"/>
  <c r="A49" i="35"/>
  <c r="K48" i="35"/>
  <c r="J48" i="35"/>
  <c r="I48" i="35"/>
  <c r="D48" i="35"/>
  <c r="C48" i="35"/>
  <c r="A48" i="35"/>
  <c r="K47" i="35"/>
  <c r="I47" i="35"/>
  <c r="J47" i="35" s="1"/>
  <c r="D47" i="35"/>
  <c r="C47" i="35"/>
  <c r="A47" i="35"/>
  <c r="K46" i="35"/>
  <c r="I46" i="35"/>
  <c r="J46" i="35" s="1"/>
  <c r="D46" i="35"/>
  <c r="C46" i="35"/>
  <c r="A46" i="35"/>
  <c r="K45" i="35"/>
  <c r="I45" i="35"/>
  <c r="J45" i="35" s="1"/>
  <c r="D45" i="35"/>
  <c r="C45" i="35"/>
  <c r="A45" i="35"/>
  <c r="K44" i="35"/>
  <c r="J44" i="35"/>
  <c r="I44" i="35"/>
  <c r="D44" i="35"/>
  <c r="C44" i="35"/>
  <c r="A44" i="35"/>
  <c r="K43" i="35"/>
  <c r="I43" i="35"/>
  <c r="J43" i="35" s="1"/>
  <c r="D43" i="35"/>
  <c r="C43" i="35"/>
  <c r="A43" i="35"/>
  <c r="K42" i="35"/>
  <c r="I42" i="35"/>
  <c r="J42" i="35" s="1"/>
  <c r="D42" i="35"/>
  <c r="C42" i="35"/>
  <c r="A42" i="35"/>
  <c r="K41" i="35"/>
  <c r="J41" i="35"/>
  <c r="I41" i="35"/>
  <c r="D41" i="35"/>
  <c r="C41" i="35"/>
  <c r="A41" i="35"/>
  <c r="K40" i="35"/>
  <c r="J40" i="35"/>
  <c r="I40" i="35"/>
  <c r="D40" i="35"/>
  <c r="C40" i="35"/>
  <c r="A40" i="35"/>
  <c r="K39" i="35"/>
  <c r="I39" i="35"/>
  <c r="J39" i="35" s="1"/>
  <c r="D39" i="35"/>
  <c r="C39" i="35"/>
  <c r="A39" i="35"/>
  <c r="K38" i="35"/>
  <c r="I38" i="35"/>
  <c r="J38" i="35" s="1"/>
  <c r="D38" i="35"/>
  <c r="C38" i="35"/>
  <c r="A38" i="35"/>
  <c r="K37" i="35"/>
  <c r="J37" i="35"/>
  <c r="I37" i="35"/>
  <c r="D37" i="35"/>
  <c r="C37" i="35"/>
  <c r="A37" i="35"/>
  <c r="K36" i="35"/>
  <c r="J36" i="35"/>
  <c r="I36" i="35"/>
  <c r="D36" i="35"/>
  <c r="C36" i="35"/>
  <c r="A36" i="35"/>
  <c r="K35" i="35"/>
  <c r="I35" i="35"/>
  <c r="J35" i="35" s="1"/>
  <c r="D35" i="35"/>
  <c r="C35" i="35"/>
  <c r="A35" i="35"/>
  <c r="K34" i="35"/>
  <c r="I34" i="35"/>
  <c r="J34" i="35" s="1"/>
  <c r="D34" i="35"/>
  <c r="C34" i="35"/>
  <c r="A34" i="35"/>
  <c r="K33" i="35"/>
  <c r="I33" i="35"/>
  <c r="J33" i="35" s="1"/>
  <c r="D33" i="35"/>
  <c r="C33" i="35"/>
  <c r="A33" i="35"/>
  <c r="K32" i="35"/>
  <c r="J32" i="35"/>
  <c r="I32" i="35"/>
  <c r="D32" i="35"/>
  <c r="C32" i="35"/>
  <c r="A32" i="35"/>
  <c r="K31" i="35"/>
  <c r="I31" i="35"/>
  <c r="J31" i="35" s="1"/>
  <c r="D31" i="35"/>
  <c r="C31" i="35"/>
  <c r="A31" i="35"/>
  <c r="K30" i="35"/>
  <c r="I30" i="35"/>
  <c r="J30" i="35" s="1"/>
  <c r="D30" i="35"/>
  <c r="C30" i="35"/>
  <c r="A30" i="35"/>
  <c r="K29" i="35"/>
  <c r="I29" i="35"/>
  <c r="J29" i="35" s="1"/>
  <c r="D29" i="35"/>
  <c r="C29" i="35"/>
  <c r="A29" i="35"/>
  <c r="K28" i="35"/>
  <c r="J28" i="35"/>
  <c r="I28" i="35"/>
  <c r="D28" i="35"/>
  <c r="C28" i="35"/>
  <c r="A28" i="35"/>
  <c r="K27" i="35"/>
  <c r="I27" i="35"/>
  <c r="J27" i="35" s="1"/>
  <c r="D27" i="35"/>
  <c r="C27" i="35"/>
  <c r="A27" i="35"/>
  <c r="K26" i="35"/>
  <c r="I26" i="35"/>
  <c r="J26" i="35" s="1"/>
  <c r="D26" i="35"/>
  <c r="C26" i="35"/>
  <c r="A26" i="35"/>
  <c r="K25" i="35"/>
  <c r="J25" i="35"/>
  <c r="I25" i="35"/>
  <c r="D25" i="35"/>
  <c r="C25" i="35"/>
  <c r="A25" i="35"/>
  <c r="K24" i="35"/>
  <c r="I24" i="35"/>
  <c r="J24" i="35" s="1"/>
  <c r="D24" i="35"/>
  <c r="C24" i="35"/>
  <c r="A24" i="35"/>
  <c r="K23" i="35"/>
  <c r="I23" i="35"/>
  <c r="J23" i="35" s="1"/>
  <c r="D23" i="35"/>
  <c r="C23" i="35"/>
  <c r="A23" i="35"/>
  <c r="K22" i="35"/>
  <c r="I22" i="35"/>
  <c r="J22" i="35" s="1"/>
  <c r="D22" i="35"/>
  <c r="C22" i="35"/>
  <c r="A22" i="35"/>
  <c r="K21" i="35"/>
  <c r="J21" i="35"/>
  <c r="I21" i="35"/>
  <c r="D21" i="35"/>
  <c r="C21" i="35"/>
  <c r="A21" i="35"/>
  <c r="K20" i="35"/>
  <c r="I20" i="35"/>
  <c r="J20" i="35" s="1"/>
  <c r="D20" i="35"/>
  <c r="C20" i="35"/>
  <c r="A20" i="35"/>
  <c r="K19" i="35"/>
  <c r="I19" i="35"/>
  <c r="J19" i="35" s="1"/>
  <c r="D19" i="35"/>
  <c r="C19" i="35"/>
  <c r="A19" i="35"/>
  <c r="K18" i="35"/>
  <c r="I18" i="35"/>
  <c r="J18" i="35" s="1"/>
  <c r="D18" i="35"/>
  <c r="C18" i="35"/>
  <c r="A18" i="35"/>
  <c r="K17" i="35"/>
  <c r="I17" i="35"/>
  <c r="J17" i="35" s="1"/>
  <c r="D17" i="35"/>
  <c r="C17" i="35"/>
  <c r="A17" i="35"/>
  <c r="K16" i="35"/>
  <c r="I16" i="35"/>
  <c r="J16" i="35" s="1"/>
  <c r="D16" i="35"/>
  <c r="C16" i="35"/>
  <c r="A16" i="35"/>
  <c r="K15" i="35"/>
  <c r="I15" i="35"/>
  <c r="J15" i="35" s="1"/>
  <c r="D15" i="35"/>
  <c r="C15" i="35"/>
  <c r="A15" i="35"/>
  <c r="K14" i="35"/>
  <c r="I14" i="35"/>
  <c r="J14" i="35" s="1"/>
  <c r="D14" i="35"/>
  <c r="C14" i="35"/>
  <c r="A14" i="35"/>
  <c r="B9" i="35"/>
  <c r="B10" i="35" s="1"/>
  <c r="B8" i="35"/>
  <c r="J208" i="34"/>
  <c r="K208" i="34" s="1"/>
  <c r="G208" i="34"/>
  <c r="D208" i="34"/>
  <c r="C208" i="34"/>
  <c r="B208" i="34"/>
  <c r="K207" i="34"/>
  <c r="J207" i="34"/>
  <c r="G207" i="34"/>
  <c r="D207" i="34"/>
  <c r="C207" i="34"/>
  <c r="B207" i="34"/>
  <c r="J206" i="34"/>
  <c r="K206" i="34" s="1"/>
  <c r="G206" i="34"/>
  <c r="D206" i="34"/>
  <c r="C206" i="34"/>
  <c r="B206" i="34"/>
  <c r="J205" i="34"/>
  <c r="K205" i="34" s="1"/>
  <c r="G205" i="34"/>
  <c r="D205" i="34"/>
  <c r="C205" i="34"/>
  <c r="B205" i="34"/>
  <c r="J204" i="34"/>
  <c r="K204" i="34" s="1"/>
  <c r="G204" i="34"/>
  <c r="D204" i="34"/>
  <c r="C204" i="34"/>
  <c r="B204" i="34"/>
  <c r="J203" i="34"/>
  <c r="K203" i="34" s="1"/>
  <c r="G203" i="34"/>
  <c r="D203" i="34"/>
  <c r="C203" i="34"/>
  <c r="B203" i="34"/>
  <c r="J202" i="34"/>
  <c r="K202" i="34" s="1"/>
  <c r="G202" i="34"/>
  <c r="D202" i="34"/>
  <c r="C202" i="34"/>
  <c r="B202" i="34"/>
  <c r="J201" i="34"/>
  <c r="K201" i="34" s="1"/>
  <c r="G201" i="34"/>
  <c r="D201" i="34"/>
  <c r="C201" i="34"/>
  <c r="B201" i="34"/>
  <c r="J200" i="34"/>
  <c r="K200" i="34" s="1"/>
  <c r="G200" i="34"/>
  <c r="D200" i="34"/>
  <c r="C200" i="34"/>
  <c r="B200" i="34"/>
  <c r="J199" i="34"/>
  <c r="K199" i="34" s="1"/>
  <c r="G199" i="34"/>
  <c r="D199" i="34"/>
  <c r="C199" i="34"/>
  <c r="B199" i="34"/>
  <c r="J198" i="34"/>
  <c r="K198" i="34" s="1"/>
  <c r="G198" i="34"/>
  <c r="D198" i="34"/>
  <c r="C198" i="34"/>
  <c r="B198" i="34"/>
  <c r="J197" i="34"/>
  <c r="K197" i="34" s="1"/>
  <c r="G197" i="34"/>
  <c r="D197" i="34"/>
  <c r="C197" i="34"/>
  <c r="B197" i="34"/>
  <c r="J196" i="34"/>
  <c r="K196" i="34" s="1"/>
  <c r="G196" i="34"/>
  <c r="D196" i="34"/>
  <c r="C196" i="34"/>
  <c r="B196" i="34"/>
  <c r="J195" i="34"/>
  <c r="K195" i="34" s="1"/>
  <c r="G195" i="34"/>
  <c r="D195" i="34"/>
  <c r="C195" i="34"/>
  <c r="B195" i="34"/>
  <c r="J194" i="34"/>
  <c r="K194" i="34" s="1"/>
  <c r="G194" i="34"/>
  <c r="D194" i="34"/>
  <c r="C194" i="34"/>
  <c r="B194" i="34"/>
  <c r="J193" i="34"/>
  <c r="K193" i="34" s="1"/>
  <c r="G193" i="34"/>
  <c r="D193" i="34"/>
  <c r="C193" i="34"/>
  <c r="B193" i="34"/>
  <c r="J192" i="34"/>
  <c r="K192" i="34" s="1"/>
  <c r="G192" i="34"/>
  <c r="D192" i="34"/>
  <c r="C192" i="34"/>
  <c r="B192" i="34"/>
  <c r="J191" i="34"/>
  <c r="K191" i="34" s="1"/>
  <c r="G191" i="34"/>
  <c r="D191" i="34"/>
  <c r="C191" i="34"/>
  <c r="B191" i="34"/>
  <c r="J190" i="34"/>
  <c r="K190" i="34" s="1"/>
  <c r="G190" i="34"/>
  <c r="D190" i="34"/>
  <c r="C190" i="34"/>
  <c r="B190" i="34"/>
  <c r="J189" i="34"/>
  <c r="K189" i="34" s="1"/>
  <c r="G189" i="34"/>
  <c r="D189" i="34"/>
  <c r="C189" i="34"/>
  <c r="B189" i="34"/>
  <c r="J188" i="34"/>
  <c r="K188" i="34" s="1"/>
  <c r="G188" i="34"/>
  <c r="D188" i="34"/>
  <c r="C188" i="34"/>
  <c r="B188" i="34"/>
  <c r="K187" i="34"/>
  <c r="J187" i="34"/>
  <c r="G187" i="34"/>
  <c r="D187" i="34"/>
  <c r="C187" i="34"/>
  <c r="B187" i="34"/>
  <c r="J186" i="34"/>
  <c r="K186" i="34" s="1"/>
  <c r="G186" i="34"/>
  <c r="D186" i="34"/>
  <c r="C186" i="34"/>
  <c r="B186" i="34"/>
  <c r="J185" i="34"/>
  <c r="K185" i="34" s="1"/>
  <c r="G185" i="34"/>
  <c r="D185" i="34"/>
  <c r="C185" i="34"/>
  <c r="B185" i="34"/>
  <c r="J184" i="34"/>
  <c r="K184" i="34" s="1"/>
  <c r="G184" i="34"/>
  <c r="D184" i="34"/>
  <c r="C184" i="34"/>
  <c r="B184" i="34"/>
  <c r="K183" i="34"/>
  <c r="J183" i="34"/>
  <c r="G183" i="34"/>
  <c r="D183" i="34"/>
  <c r="C183" i="34"/>
  <c r="B183" i="34"/>
  <c r="J182" i="34"/>
  <c r="K182" i="34" s="1"/>
  <c r="G182" i="34"/>
  <c r="D182" i="34"/>
  <c r="C182" i="34"/>
  <c r="B182" i="34"/>
  <c r="J181" i="34"/>
  <c r="K181" i="34" s="1"/>
  <c r="G181" i="34"/>
  <c r="D181" i="34"/>
  <c r="C181" i="34"/>
  <c r="B181" i="34"/>
  <c r="J180" i="34"/>
  <c r="K180" i="34" s="1"/>
  <c r="G180" i="34"/>
  <c r="D180" i="34"/>
  <c r="C180" i="34"/>
  <c r="B180" i="34"/>
  <c r="K179" i="34"/>
  <c r="J179" i="34"/>
  <c r="G179" i="34"/>
  <c r="D179" i="34"/>
  <c r="C179" i="34"/>
  <c r="B179" i="34"/>
  <c r="J178" i="34"/>
  <c r="K178" i="34" s="1"/>
  <c r="G178" i="34"/>
  <c r="D178" i="34"/>
  <c r="C178" i="34"/>
  <c r="B178" i="34"/>
  <c r="J177" i="34"/>
  <c r="K177" i="34" s="1"/>
  <c r="G177" i="34"/>
  <c r="D177" i="34"/>
  <c r="C177" i="34"/>
  <c r="B177" i="34"/>
  <c r="J176" i="34"/>
  <c r="K176" i="34" s="1"/>
  <c r="G176" i="34"/>
  <c r="D176" i="34"/>
  <c r="C176" i="34"/>
  <c r="B176" i="34"/>
  <c r="K175" i="34"/>
  <c r="J175" i="34"/>
  <c r="G175" i="34"/>
  <c r="D175" i="34"/>
  <c r="C175" i="34"/>
  <c r="B175" i="34"/>
  <c r="J174" i="34"/>
  <c r="K174" i="34" s="1"/>
  <c r="G174" i="34"/>
  <c r="D174" i="34"/>
  <c r="C174" i="34"/>
  <c r="B174" i="34"/>
  <c r="J173" i="34"/>
  <c r="K173" i="34" s="1"/>
  <c r="G173" i="34"/>
  <c r="D173" i="34"/>
  <c r="C173" i="34"/>
  <c r="B173" i="34"/>
  <c r="J172" i="34"/>
  <c r="K172" i="34" s="1"/>
  <c r="G172" i="34"/>
  <c r="D172" i="34"/>
  <c r="C172" i="34"/>
  <c r="B172" i="34"/>
  <c r="J171" i="34"/>
  <c r="K171" i="34" s="1"/>
  <c r="G171" i="34"/>
  <c r="D171" i="34"/>
  <c r="C171" i="34"/>
  <c r="B171" i="34"/>
  <c r="J170" i="34"/>
  <c r="K170" i="34" s="1"/>
  <c r="G170" i="34"/>
  <c r="D170" i="34"/>
  <c r="C170" i="34"/>
  <c r="B170" i="34"/>
  <c r="J169" i="34"/>
  <c r="K169" i="34" s="1"/>
  <c r="G169" i="34"/>
  <c r="D169" i="34"/>
  <c r="C169" i="34"/>
  <c r="B169" i="34"/>
  <c r="J168" i="34"/>
  <c r="K168" i="34" s="1"/>
  <c r="G168" i="34"/>
  <c r="D168" i="34"/>
  <c r="C168" i="34"/>
  <c r="B168" i="34"/>
  <c r="J167" i="34"/>
  <c r="K167" i="34" s="1"/>
  <c r="G167" i="34"/>
  <c r="D167" i="34"/>
  <c r="C167" i="34"/>
  <c r="B167" i="34"/>
  <c r="J166" i="34"/>
  <c r="K166" i="34" s="1"/>
  <c r="G166" i="34"/>
  <c r="D166" i="34"/>
  <c r="C166" i="34"/>
  <c r="B166" i="34"/>
  <c r="J165" i="34"/>
  <c r="K165" i="34" s="1"/>
  <c r="G165" i="34"/>
  <c r="D165" i="34"/>
  <c r="C165" i="34"/>
  <c r="B165" i="34"/>
  <c r="J164" i="34"/>
  <c r="K164" i="34" s="1"/>
  <c r="G164" i="34"/>
  <c r="D164" i="34"/>
  <c r="C164" i="34"/>
  <c r="B164" i="34"/>
  <c r="J163" i="34"/>
  <c r="K163" i="34" s="1"/>
  <c r="G163" i="34"/>
  <c r="D163" i="34"/>
  <c r="C163" i="34"/>
  <c r="B163" i="34"/>
  <c r="J162" i="34"/>
  <c r="K162" i="34" s="1"/>
  <c r="G162" i="34"/>
  <c r="D162" i="34"/>
  <c r="C162" i="34"/>
  <c r="B162" i="34"/>
  <c r="J161" i="34"/>
  <c r="K161" i="34" s="1"/>
  <c r="G161" i="34"/>
  <c r="D161" i="34"/>
  <c r="C161" i="34"/>
  <c r="B161" i="34"/>
  <c r="J160" i="34"/>
  <c r="K160" i="34" s="1"/>
  <c r="G160" i="34"/>
  <c r="D160" i="34"/>
  <c r="C160" i="34"/>
  <c r="B160" i="34"/>
  <c r="J159" i="34"/>
  <c r="K159" i="34" s="1"/>
  <c r="G159" i="34"/>
  <c r="D159" i="34"/>
  <c r="C159" i="34"/>
  <c r="B159" i="34"/>
  <c r="J158" i="34"/>
  <c r="K158" i="34" s="1"/>
  <c r="G158" i="34"/>
  <c r="D158" i="34"/>
  <c r="C158" i="34"/>
  <c r="B158" i="34"/>
  <c r="J157" i="34"/>
  <c r="K157" i="34" s="1"/>
  <c r="G157" i="34"/>
  <c r="D157" i="34"/>
  <c r="C157" i="34"/>
  <c r="B157" i="34"/>
  <c r="J156" i="34"/>
  <c r="K156" i="34" s="1"/>
  <c r="G156" i="34"/>
  <c r="D156" i="34"/>
  <c r="C156" i="34"/>
  <c r="B156" i="34"/>
  <c r="K155" i="34"/>
  <c r="J155" i="34"/>
  <c r="G155" i="34"/>
  <c r="D155" i="34"/>
  <c r="C155" i="34"/>
  <c r="B155" i="34"/>
  <c r="J154" i="34"/>
  <c r="K154" i="34" s="1"/>
  <c r="G154" i="34"/>
  <c r="D154" i="34"/>
  <c r="C154" i="34"/>
  <c r="B154" i="34"/>
  <c r="J153" i="34"/>
  <c r="K153" i="34" s="1"/>
  <c r="G153" i="34"/>
  <c r="D153" i="34"/>
  <c r="C153" i="34"/>
  <c r="B153" i="34"/>
  <c r="J152" i="34"/>
  <c r="K152" i="34" s="1"/>
  <c r="G152" i="34"/>
  <c r="D152" i="34"/>
  <c r="C152" i="34"/>
  <c r="B152" i="34"/>
  <c r="K151" i="34"/>
  <c r="J151" i="34"/>
  <c r="G151" i="34"/>
  <c r="D151" i="34"/>
  <c r="C151" i="34"/>
  <c r="B151" i="34"/>
  <c r="J150" i="34"/>
  <c r="K150" i="34" s="1"/>
  <c r="G150" i="34"/>
  <c r="D150" i="34"/>
  <c r="C150" i="34"/>
  <c r="B150" i="34"/>
  <c r="J149" i="34"/>
  <c r="K149" i="34" s="1"/>
  <c r="G149" i="34"/>
  <c r="D149" i="34"/>
  <c r="C149" i="34"/>
  <c r="B149" i="34"/>
  <c r="J148" i="34"/>
  <c r="K148" i="34" s="1"/>
  <c r="G148" i="34"/>
  <c r="D148" i="34"/>
  <c r="C148" i="34"/>
  <c r="B148" i="34"/>
  <c r="K147" i="34"/>
  <c r="J147" i="34"/>
  <c r="G147" i="34"/>
  <c r="D147" i="34"/>
  <c r="C147" i="34"/>
  <c r="B147" i="34"/>
  <c r="J146" i="34"/>
  <c r="K146" i="34" s="1"/>
  <c r="G146" i="34"/>
  <c r="D146" i="34"/>
  <c r="C146" i="34"/>
  <c r="B146" i="34"/>
  <c r="J145" i="34"/>
  <c r="K145" i="34" s="1"/>
  <c r="G145" i="34"/>
  <c r="D145" i="34"/>
  <c r="C145" i="34"/>
  <c r="B145" i="34"/>
  <c r="J144" i="34"/>
  <c r="K144" i="34" s="1"/>
  <c r="G144" i="34"/>
  <c r="D144" i="34"/>
  <c r="C144" i="34"/>
  <c r="B144" i="34"/>
  <c r="K143" i="34"/>
  <c r="J143" i="34"/>
  <c r="G143" i="34"/>
  <c r="D143" i="34"/>
  <c r="C143" i="34"/>
  <c r="B143" i="34"/>
  <c r="J142" i="34"/>
  <c r="K142" i="34" s="1"/>
  <c r="G142" i="34"/>
  <c r="D142" i="34"/>
  <c r="C142" i="34"/>
  <c r="B142" i="34"/>
  <c r="J141" i="34"/>
  <c r="K141" i="34" s="1"/>
  <c r="G141" i="34"/>
  <c r="D141" i="34"/>
  <c r="C141" i="34"/>
  <c r="B141" i="34"/>
  <c r="J140" i="34"/>
  <c r="K140" i="34" s="1"/>
  <c r="G140" i="34"/>
  <c r="D140" i="34"/>
  <c r="C140" i="34"/>
  <c r="B140" i="34"/>
  <c r="J139" i="34"/>
  <c r="K139" i="34" s="1"/>
  <c r="G139" i="34"/>
  <c r="D139" i="34"/>
  <c r="C139" i="34"/>
  <c r="B139" i="34"/>
  <c r="J138" i="34"/>
  <c r="K138" i="34" s="1"/>
  <c r="G138" i="34"/>
  <c r="D138" i="34"/>
  <c r="C138" i="34"/>
  <c r="B138" i="34"/>
  <c r="J137" i="34"/>
  <c r="K137" i="34" s="1"/>
  <c r="G137" i="34"/>
  <c r="D137" i="34"/>
  <c r="C137" i="34"/>
  <c r="B137" i="34"/>
  <c r="J136" i="34"/>
  <c r="K136" i="34" s="1"/>
  <c r="G136" i="34"/>
  <c r="D136" i="34"/>
  <c r="C136" i="34"/>
  <c r="B136" i="34"/>
  <c r="J135" i="34"/>
  <c r="K135" i="34" s="1"/>
  <c r="G135" i="34"/>
  <c r="D135" i="34"/>
  <c r="C135" i="34"/>
  <c r="B135" i="34"/>
  <c r="J134" i="34"/>
  <c r="K134" i="34" s="1"/>
  <c r="G134" i="34"/>
  <c r="D134" i="34"/>
  <c r="C134" i="34"/>
  <c r="B134" i="34"/>
  <c r="J133" i="34"/>
  <c r="K133" i="34" s="1"/>
  <c r="G133" i="34"/>
  <c r="D133" i="34"/>
  <c r="C133" i="34"/>
  <c r="B133" i="34"/>
  <c r="J132" i="34"/>
  <c r="K132" i="34" s="1"/>
  <c r="G132" i="34"/>
  <c r="D132" i="34"/>
  <c r="C132" i="34"/>
  <c r="B132" i="34"/>
  <c r="J131" i="34"/>
  <c r="K131" i="34" s="1"/>
  <c r="G131" i="34"/>
  <c r="D131" i="34"/>
  <c r="C131" i="34"/>
  <c r="B131" i="34"/>
  <c r="J130" i="34"/>
  <c r="K130" i="34" s="1"/>
  <c r="G130" i="34"/>
  <c r="D130" i="34"/>
  <c r="C130" i="34"/>
  <c r="B130" i="34"/>
  <c r="J129" i="34"/>
  <c r="K129" i="34" s="1"/>
  <c r="G129" i="34"/>
  <c r="D129" i="34"/>
  <c r="C129" i="34"/>
  <c r="B129" i="34"/>
  <c r="J128" i="34"/>
  <c r="K128" i="34" s="1"/>
  <c r="G128" i="34"/>
  <c r="D128" i="34"/>
  <c r="C128" i="34"/>
  <c r="B128" i="34"/>
  <c r="J127" i="34"/>
  <c r="K127" i="34" s="1"/>
  <c r="G127" i="34"/>
  <c r="D127" i="34"/>
  <c r="C127" i="34"/>
  <c r="B127" i="34"/>
  <c r="J126" i="34"/>
  <c r="K126" i="34" s="1"/>
  <c r="G126" i="34"/>
  <c r="D126" i="34"/>
  <c r="C126" i="34"/>
  <c r="B126" i="34"/>
  <c r="J125" i="34"/>
  <c r="K125" i="34" s="1"/>
  <c r="G125" i="34"/>
  <c r="D125" i="34"/>
  <c r="C125" i="34"/>
  <c r="B125" i="34"/>
  <c r="J124" i="34"/>
  <c r="K124" i="34" s="1"/>
  <c r="G124" i="34"/>
  <c r="D124" i="34"/>
  <c r="C124" i="34"/>
  <c r="B124" i="34"/>
  <c r="K123" i="34"/>
  <c r="J123" i="34"/>
  <c r="G123" i="34"/>
  <c r="D123" i="34"/>
  <c r="C123" i="34"/>
  <c r="B123" i="34"/>
  <c r="J122" i="34"/>
  <c r="K122" i="34" s="1"/>
  <c r="G122" i="34"/>
  <c r="D122" i="34"/>
  <c r="C122" i="34"/>
  <c r="B122" i="34"/>
  <c r="J121" i="34"/>
  <c r="K121" i="34" s="1"/>
  <c r="G121" i="34"/>
  <c r="D121" i="34"/>
  <c r="C121" i="34"/>
  <c r="B121" i="34"/>
  <c r="J120" i="34"/>
  <c r="K120" i="34" s="1"/>
  <c r="G120" i="34"/>
  <c r="D120" i="34"/>
  <c r="C120" i="34"/>
  <c r="B120" i="34"/>
  <c r="K119" i="34"/>
  <c r="J119" i="34"/>
  <c r="G119" i="34"/>
  <c r="D119" i="34"/>
  <c r="C119" i="34"/>
  <c r="B119" i="34"/>
  <c r="J118" i="34"/>
  <c r="K118" i="34" s="1"/>
  <c r="G118" i="34"/>
  <c r="D118" i="34"/>
  <c r="C118" i="34"/>
  <c r="B118" i="34"/>
  <c r="J117" i="34"/>
  <c r="K117" i="34" s="1"/>
  <c r="G117" i="34"/>
  <c r="D117" i="34"/>
  <c r="C117" i="34"/>
  <c r="B117" i="34"/>
  <c r="J116" i="34"/>
  <c r="K116" i="34" s="1"/>
  <c r="G116" i="34"/>
  <c r="D116" i="34"/>
  <c r="C116" i="34"/>
  <c r="B116" i="34"/>
  <c r="K115" i="34"/>
  <c r="J115" i="34"/>
  <c r="G115" i="34"/>
  <c r="D115" i="34"/>
  <c r="C115" i="34"/>
  <c r="B115" i="34"/>
  <c r="J114" i="34"/>
  <c r="K114" i="34" s="1"/>
  <c r="G114" i="34"/>
  <c r="D114" i="34"/>
  <c r="C114" i="34"/>
  <c r="B114" i="34"/>
  <c r="J113" i="34"/>
  <c r="K113" i="34" s="1"/>
  <c r="G113" i="34"/>
  <c r="D113" i="34"/>
  <c r="C113" i="34"/>
  <c r="B113" i="34"/>
  <c r="J112" i="34"/>
  <c r="K112" i="34" s="1"/>
  <c r="G112" i="34"/>
  <c r="D112" i="34"/>
  <c r="C112" i="34"/>
  <c r="B112" i="34"/>
  <c r="K111" i="34"/>
  <c r="J111" i="34"/>
  <c r="G111" i="34"/>
  <c r="D111" i="34"/>
  <c r="C111" i="34"/>
  <c r="B111" i="34"/>
  <c r="J110" i="34"/>
  <c r="K110" i="34" s="1"/>
  <c r="G110" i="34"/>
  <c r="D110" i="34"/>
  <c r="C110" i="34"/>
  <c r="B110" i="34"/>
  <c r="J109" i="34"/>
  <c r="K109" i="34" s="1"/>
  <c r="G109" i="34"/>
  <c r="D109" i="34"/>
  <c r="C109" i="34"/>
  <c r="B109" i="34"/>
  <c r="J108" i="34"/>
  <c r="K108" i="34" s="1"/>
  <c r="G108" i="34"/>
  <c r="D108" i="34"/>
  <c r="C108" i="34"/>
  <c r="B108" i="34"/>
  <c r="J107" i="34"/>
  <c r="K107" i="34" s="1"/>
  <c r="G107" i="34"/>
  <c r="D107" i="34"/>
  <c r="C107" i="34"/>
  <c r="B107" i="34"/>
  <c r="J106" i="34"/>
  <c r="K106" i="34" s="1"/>
  <c r="G106" i="34"/>
  <c r="D106" i="34"/>
  <c r="C106" i="34"/>
  <c r="B106" i="34"/>
  <c r="J105" i="34"/>
  <c r="K105" i="34" s="1"/>
  <c r="G105" i="34"/>
  <c r="D105" i="34"/>
  <c r="C105" i="34"/>
  <c r="B105" i="34"/>
  <c r="J104" i="34"/>
  <c r="K104" i="34" s="1"/>
  <c r="G104" i="34"/>
  <c r="D104" i="34"/>
  <c r="C104" i="34"/>
  <c r="B104" i="34"/>
  <c r="J103" i="34"/>
  <c r="K103" i="34" s="1"/>
  <c r="G103" i="34"/>
  <c r="D103" i="34"/>
  <c r="C103" i="34"/>
  <c r="B103" i="34"/>
  <c r="J102" i="34"/>
  <c r="K102" i="34" s="1"/>
  <c r="G102" i="34"/>
  <c r="D102" i="34"/>
  <c r="C102" i="34"/>
  <c r="B102" i="34"/>
  <c r="J101" i="34"/>
  <c r="K101" i="34" s="1"/>
  <c r="G101" i="34"/>
  <c r="D101" i="34"/>
  <c r="C101" i="34"/>
  <c r="B101" i="34"/>
  <c r="J100" i="34"/>
  <c r="K100" i="34" s="1"/>
  <c r="G100" i="34"/>
  <c r="D100" i="34"/>
  <c r="C100" i="34"/>
  <c r="B100" i="34"/>
  <c r="J99" i="34"/>
  <c r="K99" i="34" s="1"/>
  <c r="G99" i="34"/>
  <c r="D99" i="34"/>
  <c r="C99" i="34"/>
  <c r="B99" i="34"/>
  <c r="J98" i="34"/>
  <c r="K98" i="34" s="1"/>
  <c r="G98" i="34"/>
  <c r="D98" i="34"/>
  <c r="C98" i="34"/>
  <c r="B98" i="34"/>
  <c r="J97" i="34"/>
  <c r="K97" i="34" s="1"/>
  <c r="G97" i="34"/>
  <c r="D97" i="34"/>
  <c r="C97" i="34"/>
  <c r="B97" i="34"/>
  <c r="J96" i="34"/>
  <c r="K96" i="34" s="1"/>
  <c r="G96" i="34"/>
  <c r="D96" i="34"/>
  <c r="C96" i="34"/>
  <c r="B96" i="34"/>
  <c r="J95" i="34"/>
  <c r="K95" i="34" s="1"/>
  <c r="G95" i="34"/>
  <c r="D95" i="34"/>
  <c r="C95" i="34"/>
  <c r="B95" i="34"/>
  <c r="J94" i="34"/>
  <c r="K94" i="34" s="1"/>
  <c r="G94" i="34"/>
  <c r="D94" i="34"/>
  <c r="C94" i="34"/>
  <c r="B94" i="34"/>
  <c r="J93" i="34"/>
  <c r="K93" i="34" s="1"/>
  <c r="G93" i="34"/>
  <c r="D93" i="34"/>
  <c r="C93" i="34"/>
  <c r="B93" i="34"/>
  <c r="J92" i="34"/>
  <c r="K92" i="34" s="1"/>
  <c r="G92" i="34"/>
  <c r="D92" i="34"/>
  <c r="C92" i="34"/>
  <c r="B92" i="34"/>
  <c r="K91" i="34"/>
  <c r="J91" i="34"/>
  <c r="G91" i="34"/>
  <c r="D91" i="34"/>
  <c r="C91" i="34"/>
  <c r="B91" i="34"/>
  <c r="J90" i="34"/>
  <c r="K90" i="34" s="1"/>
  <c r="G90" i="34"/>
  <c r="D90" i="34"/>
  <c r="C90" i="34"/>
  <c r="B90" i="34"/>
  <c r="J89" i="34"/>
  <c r="K89" i="34" s="1"/>
  <c r="G89" i="34"/>
  <c r="D89" i="34"/>
  <c r="C89" i="34"/>
  <c r="B89" i="34"/>
  <c r="J88" i="34"/>
  <c r="K88" i="34" s="1"/>
  <c r="G88" i="34"/>
  <c r="D88" i="34"/>
  <c r="C88" i="34"/>
  <c r="B88" i="34"/>
  <c r="K87" i="34"/>
  <c r="J87" i="34"/>
  <c r="G87" i="34"/>
  <c r="D87" i="34"/>
  <c r="C87" i="34"/>
  <c r="B87" i="34"/>
  <c r="J86" i="34"/>
  <c r="K86" i="34" s="1"/>
  <c r="G86" i="34"/>
  <c r="D86" i="34"/>
  <c r="C86" i="34"/>
  <c r="B86" i="34"/>
  <c r="J85" i="34"/>
  <c r="K85" i="34" s="1"/>
  <c r="G85" i="34"/>
  <c r="D85" i="34"/>
  <c r="C85" i="34"/>
  <c r="B85" i="34"/>
  <c r="J84" i="34"/>
  <c r="K84" i="34" s="1"/>
  <c r="G84" i="34"/>
  <c r="D84" i="34"/>
  <c r="C84" i="34"/>
  <c r="B84" i="34"/>
  <c r="K83" i="34"/>
  <c r="J83" i="34"/>
  <c r="G83" i="34"/>
  <c r="D83" i="34"/>
  <c r="C83" i="34"/>
  <c r="B83" i="34"/>
  <c r="J82" i="34"/>
  <c r="K82" i="34" s="1"/>
  <c r="G82" i="34"/>
  <c r="D82" i="34"/>
  <c r="C82" i="34"/>
  <c r="B82" i="34"/>
  <c r="J81" i="34"/>
  <c r="K81" i="34" s="1"/>
  <c r="G81" i="34"/>
  <c r="D81" i="34"/>
  <c r="C81" i="34"/>
  <c r="B81" i="34"/>
  <c r="J80" i="34"/>
  <c r="K80" i="34" s="1"/>
  <c r="G80" i="34"/>
  <c r="D80" i="34"/>
  <c r="C80" i="34"/>
  <c r="B80" i="34"/>
  <c r="K79" i="34"/>
  <c r="J79" i="34"/>
  <c r="G79" i="34"/>
  <c r="D79" i="34"/>
  <c r="C79" i="34"/>
  <c r="B79" i="34"/>
  <c r="J78" i="34"/>
  <c r="K78" i="34" s="1"/>
  <c r="G78" i="34"/>
  <c r="D78" i="34"/>
  <c r="C78" i="34"/>
  <c r="B78" i="34"/>
  <c r="J77" i="34"/>
  <c r="K77" i="34" s="1"/>
  <c r="G77" i="34"/>
  <c r="D77" i="34"/>
  <c r="C77" i="34"/>
  <c r="B77" i="34"/>
  <c r="J76" i="34"/>
  <c r="K76" i="34" s="1"/>
  <c r="G76" i="34"/>
  <c r="D76" i="34"/>
  <c r="C76" i="34"/>
  <c r="B76" i="34"/>
  <c r="J75" i="34"/>
  <c r="K75" i="34" s="1"/>
  <c r="G75" i="34"/>
  <c r="D75" i="34"/>
  <c r="C75" i="34"/>
  <c r="B75" i="34"/>
  <c r="J74" i="34"/>
  <c r="K74" i="34" s="1"/>
  <c r="G74" i="34"/>
  <c r="D74" i="34"/>
  <c r="C74" i="34"/>
  <c r="B74" i="34"/>
  <c r="J73" i="34"/>
  <c r="K73" i="34" s="1"/>
  <c r="G73" i="34"/>
  <c r="D73" i="34"/>
  <c r="C73" i="34"/>
  <c r="B73" i="34"/>
  <c r="J72" i="34"/>
  <c r="K72" i="34" s="1"/>
  <c r="G72" i="34"/>
  <c r="D72" i="34"/>
  <c r="C72" i="34"/>
  <c r="B72" i="34"/>
  <c r="J71" i="34"/>
  <c r="K71" i="34" s="1"/>
  <c r="G71" i="34"/>
  <c r="D71" i="34"/>
  <c r="C71" i="34"/>
  <c r="B71" i="34"/>
  <c r="J70" i="34"/>
  <c r="K70" i="34" s="1"/>
  <c r="G70" i="34"/>
  <c r="D70" i="34"/>
  <c r="C70" i="34"/>
  <c r="B70" i="34"/>
  <c r="J69" i="34"/>
  <c r="K69" i="34" s="1"/>
  <c r="G69" i="34"/>
  <c r="D69" i="34"/>
  <c r="C69" i="34"/>
  <c r="B69" i="34"/>
  <c r="J68" i="34"/>
  <c r="K68" i="34" s="1"/>
  <c r="G68" i="34"/>
  <c r="D68" i="34"/>
  <c r="C68" i="34"/>
  <c r="B68" i="34"/>
  <c r="J67" i="34"/>
  <c r="K67" i="34" s="1"/>
  <c r="G67" i="34"/>
  <c r="D67" i="34"/>
  <c r="C67" i="34"/>
  <c r="B67" i="34"/>
  <c r="J66" i="34"/>
  <c r="K66" i="34" s="1"/>
  <c r="G66" i="34"/>
  <c r="D66" i="34"/>
  <c r="C66" i="34"/>
  <c r="B66" i="34"/>
  <c r="J65" i="34"/>
  <c r="K65" i="34" s="1"/>
  <c r="G65" i="34"/>
  <c r="D65" i="34"/>
  <c r="C65" i="34"/>
  <c r="B65" i="34"/>
  <c r="J64" i="34"/>
  <c r="K64" i="34" s="1"/>
  <c r="G64" i="34"/>
  <c r="D64" i="34"/>
  <c r="C64" i="34"/>
  <c r="B64" i="34"/>
  <c r="J63" i="34"/>
  <c r="K63" i="34" s="1"/>
  <c r="G63" i="34"/>
  <c r="D63" i="34"/>
  <c r="C63" i="34"/>
  <c r="B63" i="34"/>
  <c r="J62" i="34"/>
  <c r="K62" i="34" s="1"/>
  <c r="G62" i="34"/>
  <c r="D62" i="34"/>
  <c r="C62" i="34"/>
  <c r="B62" i="34"/>
  <c r="J61" i="34"/>
  <c r="K61" i="34" s="1"/>
  <c r="G61" i="34"/>
  <c r="D61" i="34"/>
  <c r="C61" i="34"/>
  <c r="B61" i="34"/>
  <c r="J60" i="34"/>
  <c r="K60" i="34" s="1"/>
  <c r="G60" i="34"/>
  <c r="D60" i="34"/>
  <c r="C60" i="34"/>
  <c r="B60" i="34"/>
  <c r="K59" i="34"/>
  <c r="J59" i="34"/>
  <c r="G59" i="34"/>
  <c r="D59" i="34"/>
  <c r="C59" i="34"/>
  <c r="B59" i="34"/>
  <c r="J58" i="34"/>
  <c r="K58" i="34" s="1"/>
  <c r="G58" i="34"/>
  <c r="D58" i="34"/>
  <c r="C58" i="34"/>
  <c r="B58" i="34"/>
  <c r="J57" i="34"/>
  <c r="K57" i="34" s="1"/>
  <c r="G57" i="34"/>
  <c r="D57" i="34"/>
  <c r="C57" i="34"/>
  <c r="B57" i="34"/>
  <c r="J56" i="34"/>
  <c r="K56" i="34" s="1"/>
  <c r="G56" i="34"/>
  <c r="D56" i="34"/>
  <c r="C56" i="34"/>
  <c r="B56" i="34"/>
  <c r="J55" i="34"/>
  <c r="K55" i="34" s="1"/>
  <c r="G55" i="34"/>
  <c r="D55" i="34"/>
  <c r="C55" i="34"/>
  <c r="B55" i="34"/>
  <c r="J54" i="34"/>
  <c r="K54" i="34" s="1"/>
  <c r="G54" i="34"/>
  <c r="D54" i="34"/>
  <c r="C54" i="34"/>
  <c r="B54" i="34"/>
  <c r="J53" i="34"/>
  <c r="K53" i="34" s="1"/>
  <c r="G53" i="34"/>
  <c r="D53" i="34"/>
  <c r="C53" i="34"/>
  <c r="B53" i="34"/>
  <c r="J52" i="34"/>
  <c r="K52" i="34" s="1"/>
  <c r="G52" i="34"/>
  <c r="D52" i="34"/>
  <c r="C52" i="34"/>
  <c r="B52" i="34"/>
  <c r="J51" i="34"/>
  <c r="K51" i="34" s="1"/>
  <c r="G51" i="34"/>
  <c r="D51" i="34"/>
  <c r="C51" i="34"/>
  <c r="B51" i="34"/>
  <c r="K50" i="34"/>
  <c r="J50" i="34"/>
  <c r="G50" i="34"/>
  <c r="D50" i="34"/>
  <c r="C50" i="34"/>
  <c r="B50" i="34"/>
  <c r="J49" i="34"/>
  <c r="K49" i="34" s="1"/>
  <c r="G49" i="34"/>
  <c r="D49" i="34"/>
  <c r="C49" i="34"/>
  <c r="B49" i="34"/>
  <c r="J48" i="34"/>
  <c r="K48" i="34" s="1"/>
  <c r="G48" i="34"/>
  <c r="D48" i="34"/>
  <c r="C48" i="34"/>
  <c r="B48" i="34"/>
  <c r="K47" i="34"/>
  <c r="J47" i="34"/>
  <c r="G47" i="34"/>
  <c r="D47" i="34"/>
  <c r="C47" i="34"/>
  <c r="B47" i="34"/>
  <c r="K46" i="34"/>
  <c r="J46" i="34"/>
  <c r="G46" i="34"/>
  <c r="D46" i="34"/>
  <c r="C46" i="34"/>
  <c r="B46" i="34"/>
  <c r="J45" i="34"/>
  <c r="K45" i="34" s="1"/>
  <c r="G45" i="34"/>
  <c r="D45" i="34"/>
  <c r="C45" i="34"/>
  <c r="B45" i="34"/>
  <c r="J44" i="34"/>
  <c r="K44" i="34" s="1"/>
  <c r="G44" i="34"/>
  <c r="D44" i="34"/>
  <c r="C44" i="34"/>
  <c r="B44" i="34"/>
  <c r="K43" i="34"/>
  <c r="J43" i="34"/>
  <c r="G43" i="34"/>
  <c r="D43" i="34"/>
  <c r="C43" i="34"/>
  <c r="B43" i="34"/>
  <c r="J42" i="34"/>
  <c r="K42" i="34" s="1"/>
  <c r="G42" i="34"/>
  <c r="D42" i="34"/>
  <c r="C42" i="34"/>
  <c r="B42" i="34"/>
  <c r="J41" i="34"/>
  <c r="K41" i="34" s="1"/>
  <c r="G41" i="34"/>
  <c r="D41" i="34"/>
  <c r="C41" i="34"/>
  <c r="B41" i="34"/>
  <c r="K40" i="34"/>
  <c r="J40" i="34"/>
  <c r="G40" i="34"/>
  <c r="D40" i="34"/>
  <c r="C40" i="34"/>
  <c r="B40" i="34"/>
  <c r="K39" i="34"/>
  <c r="J39" i="34"/>
  <c r="G39" i="34"/>
  <c r="D39" i="34"/>
  <c r="C39" i="34"/>
  <c r="B39" i="34"/>
  <c r="J38" i="34"/>
  <c r="K38" i="34" s="1"/>
  <c r="G38" i="34"/>
  <c r="D38" i="34"/>
  <c r="C38" i="34"/>
  <c r="B38" i="34"/>
  <c r="J37" i="34"/>
  <c r="K37" i="34" s="1"/>
  <c r="G37" i="34"/>
  <c r="D37" i="34"/>
  <c r="C37" i="34"/>
  <c r="B37" i="34"/>
  <c r="K36" i="34"/>
  <c r="J36" i="34"/>
  <c r="G36" i="34"/>
  <c r="D36" i="34"/>
  <c r="C36" i="34"/>
  <c r="B36" i="34"/>
  <c r="K35" i="34"/>
  <c r="J35" i="34"/>
  <c r="G35" i="34"/>
  <c r="D35" i="34"/>
  <c r="C35" i="34"/>
  <c r="B35" i="34"/>
  <c r="J34" i="34"/>
  <c r="K34" i="34" s="1"/>
  <c r="G34" i="34"/>
  <c r="D34" i="34"/>
  <c r="C34" i="34"/>
  <c r="B34" i="34"/>
  <c r="J33" i="34"/>
  <c r="K33" i="34" s="1"/>
  <c r="G33" i="34"/>
  <c r="D33" i="34"/>
  <c r="C33" i="34"/>
  <c r="B33" i="34"/>
  <c r="K32" i="34"/>
  <c r="J32" i="34"/>
  <c r="G32" i="34"/>
  <c r="D32" i="34"/>
  <c r="C32" i="34"/>
  <c r="B32" i="34"/>
  <c r="K31" i="34"/>
  <c r="J31" i="34"/>
  <c r="G31" i="34"/>
  <c r="D31" i="34"/>
  <c r="C31" i="34"/>
  <c r="B31" i="34"/>
  <c r="J30" i="34"/>
  <c r="K30" i="34" s="1"/>
  <c r="G30" i="34"/>
  <c r="D30" i="34"/>
  <c r="C30" i="34"/>
  <c r="B30" i="34"/>
  <c r="J29" i="34"/>
  <c r="K29" i="34" s="1"/>
  <c r="G29" i="34"/>
  <c r="D29" i="34"/>
  <c r="C29" i="34"/>
  <c r="B29" i="34"/>
  <c r="K28" i="34"/>
  <c r="J28" i="34"/>
  <c r="G28" i="34"/>
  <c r="D28" i="34"/>
  <c r="C28" i="34"/>
  <c r="B28" i="34"/>
  <c r="K27" i="34"/>
  <c r="J27" i="34"/>
  <c r="G27" i="34"/>
  <c r="D27" i="34"/>
  <c r="C27" i="34"/>
  <c r="B27" i="34"/>
  <c r="J26" i="34"/>
  <c r="K26" i="34" s="1"/>
  <c r="G26" i="34"/>
  <c r="D26" i="34"/>
  <c r="C26" i="34"/>
  <c r="B26" i="34"/>
  <c r="J25" i="34"/>
  <c r="K25" i="34" s="1"/>
  <c r="G25" i="34"/>
  <c r="D25" i="34"/>
  <c r="C25" i="34"/>
  <c r="B25" i="34"/>
  <c r="K24" i="34"/>
  <c r="J24" i="34"/>
  <c r="G24" i="34"/>
  <c r="D24" i="34"/>
  <c r="C24" i="34"/>
  <c r="B24" i="34"/>
  <c r="K23" i="34"/>
  <c r="J23" i="34"/>
  <c r="G23" i="34"/>
  <c r="D23" i="34"/>
  <c r="C23" i="34"/>
  <c r="B23" i="34"/>
  <c r="J22" i="34"/>
  <c r="K22" i="34" s="1"/>
  <c r="G22" i="34"/>
  <c r="D22" i="34"/>
  <c r="C22" i="34"/>
  <c r="B22" i="34"/>
  <c r="J21" i="34"/>
  <c r="K21" i="34" s="1"/>
  <c r="G21" i="34"/>
  <c r="D21" i="34"/>
  <c r="C21" i="34"/>
  <c r="B21" i="34"/>
  <c r="K20" i="34"/>
  <c r="J20" i="34"/>
  <c r="G20" i="34"/>
  <c r="D20" i="34"/>
  <c r="C20" i="34"/>
  <c r="B20" i="34"/>
  <c r="K19" i="34"/>
  <c r="J19" i="34"/>
  <c r="G19" i="34"/>
  <c r="D19" i="34"/>
  <c r="C19" i="34"/>
  <c r="B19" i="34"/>
  <c r="J18" i="34"/>
  <c r="K18" i="34" s="1"/>
  <c r="G18" i="34"/>
  <c r="D18" i="34"/>
  <c r="C18" i="34"/>
  <c r="B18" i="34"/>
  <c r="J17" i="34"/>
  <c r="K17" i="34" s="1"/>
  <c r="G17" i="34"/>
  <c r="D17" i="34"/>
  <c r="C17" i="34"/>
  <c r="B17" i="34"/>
  <c r="K16" i="34"/>
  <c r="J16" i="34"/>
  <c r="G16" i="34"/>
  <c r="D16" i="34"/>
  <c r="C16" i="34"/>
  <c r="B16" i="34"/>
  <c r="K15" i="34"/>
  <c r="J15" i="34"/>
  <c r="G15" i="34"/>
  <c r="D15" i="34"/>
  <c r="C15" i="34"/>
  <c r="B15" i="34"/>
  <c r="J14" i="34"/>
  <c r="K14" i="34" s="1"/>
  <c r="G14" i="34"/>
  <c r="D14" i="34"/>
  <c r="C14" i="34"/>
  <c r="B14" i="34"/>
  <c r="J13" i="34"/>
  <c r="K13" i="34" s="1"/>
  <c r="G13" i="34"/>
  <c r="D13" i="34"/>
  <c r="C13" i="34"/>
  <c r="B13" i="34"/>
  <c r="K12" i="34"/>
  <c r="J12" i="34"/>
  <c r="G12" i="34"/>
  <c r="D12" i="34"/>
  <c r="C12" i="34"/>
  <c r="B12" i="34"/>
  <c r="K11" i="34"/>
  <c r="J11" i="34"/>
  <c r="G11" i="34"/>
  <c r="D11" i="34"/>
  <c r="C11" i="34"/>
  <c r="B11" i="34"/>
  <c r="J10" i="34"/>
  <c r="K10" i="34" s="1"/>
  <c r="G10" i="34"/>
  <c r="D10" i="34"/>
  <c r="C10" i="34"/>
  <c r="B10" i="34"/>
  <c r="J9" i="34"/>
  <c r="K9" i="34" s="1"/>
  <c r="G9" i="34"/>
  <c r="D9" i="34"/>
  <c r="C9" i="34"/>
  <c r="B9" i="34"/>
  <c r="K4" i="34"/>
  <c r="G4" i="34"/>
  <c r="D4" i="34"/>
  <c r="A4" i="34"/>
  <c r="I208" i="33"/>
  <c r="J208" i="33" s="1"/>
  <c r="F208" i="33"/>
  <c r="D208" i="33"/>
  <c r="C208" i="33"/>
  <c r="B208" i="33"/>
  <c r="J207" i="33"/>
  <c r="I207" i="33"/>
  <c r="F207" i="33"/>
  <c r="D207" i="33"/>
  <c r="C207" i="33"/>
  <c r="B207" i="33"/>
  <c r="I206" i="33"/>
  <c r="J206" i="33" s="1"/>
  <c r="F206" i="33"/>
  <c r="D206" i="33"/>
  <c r="C206" i="33"/>
  <c r="B206" i="33"/>
  <c r="J205" i="33"/>
  <c r="I205" i="33"/>
  <c r="F205" i="33"/>
  <c r="D205" i="33"/>
  <c r="C205" i="33"/>
  <c r="B205" i="33"/>
  <c r="I204" i="33"/>
  <c r="J204" i="33" s="1"/>
  <c r="F204" i="33"/>
  <c r="D204" i="33"/>
  <c r="C204" i="33"/>
  <c r="B204" i="33"/>
  <c r="I203" i="33"/>
  <c r="J203" i="33" s="1"/>
  <c r="F203" i="33"/>
  <c r="D203" i="33"/>
  <c r="C203" i="33"/>
  <c r="B203" i="33"/>
  <c r="I202" i="33"/>
  <c r="J202" i="33" s="1"/>
  <c r="F202" i="33"/>
  <c r="D202" i="33"/>
  <c r="C202" i="33"/>
  <c r="B202" i="33"/>
  <c r="J201" i="33"/>
  <c r="I201" i="33"/>
  <c r="F201" i="33"/>
  <c r="D201" i="33"/>
  <c r="C201" i="33"/>
  <c r="B201" i="33"/>
  <c r="I200" i="33"/>
  <c r="J200" i="33" s="1"/>
  <c r="F200" i="33"/>
  <c r="D200" i="33"/>
  <c r="C200" i="33"/>
  <c r="B200" i="33"/>
  <c r="J199" i="33"/>
  <c r="I199" i="33"/>
  <c r="F199" i="33"/>
  <c r="D199" i="33"/>
  <c r="C199" i="33"/>
  <c r="B199" i="33"/>
  <c r="I198" i="33"/>
  <c r="J198" i="33" s="1"/>
  <c r="F198" i="33"/>
  <c r="D198" i="33"/>
  <c r="C198" i="33"/>
  <c r="B198" i="33"/>
  <c r="J197" i="33"/>
  <c r="I197" i="33"/>
  <c r="F197" i="33"/>
  <c r="D197" i="33"/>
  <c r="C197" i="33"/>
  <c r="B197" i="33"/>
  <c r="I196" i="33"/>
  <c r="J196" i="33" s="1"/>
  <c r="F196" i="33"/>
  <c r="D196" i="33"/>
  <c r="C196" i="33"/>
  <c r="B196" i="33"/>
  <c r="I195" i="33"/>
  <c r="J195" i="33" s="1"/>
  <c r="F195" i="33"/>
  <c r="D195" i="33"/>
  <c r="C195" i="33"/>
  <c r="B195" i="33"/>
  <c r="I194" i="33"/>
  <c r="J194" i="33" s="1"/>
  <c r="F194" i="33"/>
  <c r="D194" i="33"/>
  <c r="C194" i="33"/>
  <c r="B194" i="33"/>
  <c r="J193" i="33"/>
  <c r="I193" i="33"/>
  <c r="F193" i="33"/>
  <c r="D193" i="33"/>
  <c r="C193" i="33"/>
  <c r="B193" i="33"/>
  <c r="I192" i="33"/>
  <c r="J192" i="33" s="1"/>
  <c r="F192" i="33"/>
  <c r="D192" i="33"/>
  <c r="C192" i="33"/>
  <c r="B192" i="33"/>
  <c r="J191" i="33"/>
  <c r="I191" i="33"/>
  <c r="F191" i="33"/>
  <c r="D191" i="33"/>
  <c r="C191" i="33"/>
  <c r="B191" i="33"/>
  <c r="I190" i="33"/>
  <c r="J190" i="33" s="1"/>
  <c r="F190" i="33"/>
  <c r="D190" i="33"/>
  <c r="C190" i="33"/>
  <c r="B190" i="33"/>
  <c r="J189" i="33"/>
  <c r="I189" i="33"/>
  <c r="F189" i="33"/>
  <c r="D189" i="33"/>
  <c r="C189" i="33"/>
  <c r="B189" i="33"/>
  <c r="I188" i="33"/>
  <c r="J188" i="33" s="1"/>
  <c r="F188" i="33"/>
  <c r="D188" i="33"/>
  <c r="C188" i="33"/>
  <c r="B188" i="33"/>
  <c r="I187" i="33"/>
  <c r="J187" i="33" s="1"/>
  <c r="F187" i="33"/>
  <c r="D187" i="33"/>
  <c r="C187" i="33"/>
  <c r="B187" i="33"/>
  <c r="I186" i="33"/>
  <c r="J186" i="33" s="1"/>
  <c r="F186" i="33"/>
  <c r="D186" i="33"/>
  <c r="C186" i="33"/>
  <c r="B186" i="33"/>
  <c r="J185" i="33"/>
  <c r="I185" i="33"/>
  <c r="F185" i="33"/>
  <c r="D185" i="33"/>
  <c r="C185" i="33"/>
  <c r="B185" i="33"/>
  <c r="I184" i="33"/>
  <c r="J184" i="33" s="1"/>
  <c r="F184" i="33"/>
  <c r="D184" i="33"/>
  <c r="C184" i="33"/>
  <c r="B184" i="33"/>
  <c r="J183" i="33"/>
  <c r="I183" i="33"/>
  <c r="F183" i="33"/>
  <c r="D183" i="33"/>
  <c r="C183" i="33"/>
  <c r="B183" i="33"/>
  <c r="I182" i="33"/>
  <c r="J182" i="33" s="1"/>
  <c r="F182" i="33"/>
  <c r="D182" i="33"/>
  <c r="C182" i="33"/>
  <c r="B182" i="33"/>
  <c r="J181" i="33"/>
  <c r="I181" i="33"/>
  <c r="F181" i="33"/>
  <c r="D181" i="33"/>
  <c r="C181" i="33"/>
  <c r="B181" i="33"/>
  <c r="I180" i="33"/>
  <c r="J180" i="33" s="1"/>
  <c r="F180" i="33"/>
  <c r="D180" i="33"/>
  <c r="C180" i="33"/>
  <c r="B180" i="33"/>
  <c r="I179" i="33"/>
  <c r="J179" i="33" s="1"/>
  <c r="F179" i="33"/>
  <c r="D179" i="33"/>
  <c r="C179" i="33"/>
  <c r="B179" i="33"/>
  <c r="I178" i="33"/>
  <c r="J178" i="33" s="1"/>
  <c r="F178" i="33"/>
  <c r="D178" i="33"/>
  <c r="C178" i="33"/>
  <c r="B178" i="33"/>
  <c r="J177" i="33"/>
  <c r="I177" i="33"/>
  <c r="F177" i="33"/>
  <c r="D177" i="33"/>
  <c r="C177" i="33"/>
  <c r="B177" i="33"/>
  <c r="I176" i="33"/>
  <c r="J176" i="33" s="1"/>
  <c r="F176" i="33"/>
  <c r="D176" i="33"/>
  <c r="C176" i="33"/>
  <c r="B176" i="33"/>
  <c r="J175" i="33"/>
  <c r="I175" i="33"/>
  <c r="F175" i="33"/>
  <c r="D175" i="33"/>
  <c r="C175" i="33"/>
  <c r="B175" i="33"/>
  <c r="I174" i="33"/>
  <c r="J174" i="33" s="1"/>
  <c r="F174" i="33"/>
  <c r="D174" i="33"/>
  <c r="C174" i="33"/>
  <c r="B174" i="33"/>
  <c r="J173" i="33"/>
  <c r="I173" i="33"/>
  <c r="F173" i="33"/>
  <c r="D173" i="33"/>
  <c r="C173" i="33"/>
  <c r="B173" i="33"/>
  <c r="I172" i="33"/>
  <c r="J172" i="33" s="1"/>
  <c r="F172" i="33"/>
  <c r="D172" i="33"/>
  <c r="C172" i="33"/>
  <c r="B172" i="33"/>
  <c r="I171" i="33"/>
  <c r="J171" i="33" s="1"/>
  <c r="F171" i="33"/>
  <c r="D171" i="33"/>
  <c r="C171" i="33"/>
  <c r="B171" i="33"/>
  <c r="I170" i="33"/>
  <c r="J170" i="33" s="1"/>
  <c r="F170" i="33"/>
  <c r="D170" i="33"/>
  <c r="C170" i="33"/>
  <c r="B170" i="33"/>
  <c r="J169" i="33"/>
  <c r="I169" i="33"/>
  <c r="F169" i="33"/>
  <c r="D169" i="33"/>
  <c r="C169" i="33"/>
  <c r="B169" i="33"/>
  <c r="I168" i="33"/>
  <c r="J168" i="33" s="1"/>
  <c r="F168" i="33"/>
  <c r="D168" i="33"/>
  <c r="C168" i="33"/>
  <c r="B168" i="33"/>
  <c r="J167" i="33"/>
  <c r="I167" i="33"/>
  <c r="F167" i="33"/>
  <c r="D167" i="33"/>
  <c r="C167" i="33"/>
  <c r="B167" i="33"/>
  <c r="I166" i="33"/>
  <c r="J166" i="33" s="1"/>
  <c r="F166" i="33"/>
  <c r="D166" i="33"/>
  <c r="C166" i="33"/>
  <c r="B166" i="33"/>
  <c r="J165" i="33"/>
  <c r="I165" i="33"/>
  <c r="F165" i="33"/>
  <c r="D165" i="33"/>
  <c r="C165" i="33"/>
  <c r="B165" i="33"/>
  <c r="I164" i="33"/>
  <c r="J164" i="33" s="1"/>
  <c r="F164" i="33"/>
  <c r="D164" i="33"/>
  <c r="C164" i="33"/>
  <c r="B164" i="33"/>
  <c r="I163" i="33"/>
  <c r="J163" i="33" s="1"/>
  <c r="F163" i="33"/>
  <c r="D163" i="33"/>
  <c r="C163" i="33"/>
  <c r="B163" i="33"/>
  <c r="I162" i="33"/>
  <c r="J162" i="33" s="1"/>
  <c r="F162" i="33"/>
  <c r="D162" i="33"/>
  <c r="C162" i="33"/>
  <c r="B162" i="33"/>
  <c r="J161" i="33"/>
  <c r="I161" i="33"/>
  <c r="F161" i="33"/>
  <c r="D161" i="33"/>
  <c r="C161" i="33"/>
  <c r="B161" i="33"/>
  <c r="I160" i="33"/>
  <c r="J160" i="33" s="1"/>
  <c r="F160" i="33"/>
  <c r="D160" i="33"/>
  <c r="C160" i="33"/>
  <c r="B160" i="33"/>
  <c r="J159" i="33"/>
  <c r="I159" i="33"/>
  <c r="F159" i="33"/>
  <c r="D159" i="33"/>
  <c r="C159" i="33"/>
  <c r="B159" i="33"/>
  <c r="I158" i="33"/>
  <c r="J158" i="33" s="1"/>
  <c r="F158" i="33"/>
  <c r="D158" i="33"/>
  <c r="C158" i="33"/>
  <c r="B158" i="33"/>
  <c r="J157" i="33"/>
  <c r="I157" i="33"/>
  <c r="F157" i="33"/>
  <c r="D157" i="33"/>
  <c r="C157" i="33"/>
  <c r="B157" i="33"/>
  <c r="I156" i="33"/>
  <c r="J156" i="33" s="1"/>
  <c r="F156" i="33"/>
  <c r="D156" i="33"/>
  <c r="C156" i="33"/>
  <c r="B156" i="33"/>
  <c r="I155" i="33"/>
  <c r="J155" i="33" s="1"/>
  <c r="F155" i="33"/>
  <c r="D155" i="33"/>
  <c r="C155" i="33"/>
  <c r="B155" i="33"/>
  <c r="I154" i="33"/>
  <c r="J154" i="33" s="1"/>
  <c r="F154" i="33"/>
  <c r="D154" i="33"/>
  <c r="C154" i="33"/>
  <c r="B154" i="33"/>
  <c r="J153" i="33"/>
  <c r="I153" i="33"/>
  <c r="F153" i="33"/>
  <c r="D153" i="33"/>
  <c r="C153" i="33"/>
  <c r="B153" i="33"/>
  <c r="I152" i="33"/>
  <c r="J152" i="33" s="1"/>
  <c r="F152" i="33"/>
  <c r="D152" i="33"/>
  <c r="C152" i="33"/>
  <c r="B152" i="33"/>
  <c r="J151" i="33"/>
  <c r="I151" i="33"/>
  <c r="F151" i="33"/>
  <c r="D151" i="33"/>
  <c r="C151" i="33"/>
  <c r="B151" i="33"/>
  <c r="I150" i="33"/>
  <c r="J150" i="33" s="1"/>
  <c r="F150" i="33"/>
  <c r="D150" i="33"/>
  <c r="C150" i="33"/>
  <c r="B150" i="33"/>
  <c r="J149" i="33"/>
  <c r="I149" i="33"/>
  <c r="F149" i="33"/>
  <c r="D149" i="33"/>
  <c r="C149" i="33"/>
  <c r="B149" i="33"/>
  <c r="I148" i="33"/>
  <c r="J148" i="33" s="1"/>
  <c r="F148" i="33"/>
  <c r="D148" i="33"/>
  <c r="C148" i="33"/>
  <c r="B148" i="33"/>
  <c r="I147" i="33"/>
  <c r="J147" i="33" s="1"/>
  <c r="F147" i="33"/>
  <c r="D147" i="33"/>
  <c r="C147" i="33"/>
  <c r="B147" i="33"/>
  <c r="I146" i="33"/>
  <c r="J146" i="33" s="1"/>
  <c r="F146" i="33"/>
  <c r="D146" i="33"/>
  <c r="C146" i="33"/>
  <c r="B146" i="33"/>
  <c r="J145" i="33"/>
  <c r="I145" i="33"/>
  <c r="F145" i="33"/>
  <c r="D145" i="33"/>
  <c r="C145" i="33"/>
  <c r="B145" i="33"/>
  <c r="I144" i="33"/>
  <c r="J144" i="33" s="1"/>
  <c r="F144" i="33"/>
  <c r="D144" i="33"/>
  <c r="C144" i="33"/>
  <c r="B144" i="33"/>
  <c r="J143" i="33"/>
  <c r="I143" i="33"/>
  <c r="F143" i="33"/>
  <c r="D143" i="33"/>
  <c r="C143" i="33"/>
  <c r="B143" i="33"/>
  <c r="I142" i="33"/>
  <c r="J142" i="33" s="1"/>
  <c r="F142" i="33"/>
  <c r="D142" i="33"/>
  <c r="C142" i="33"/>
  <c r="B142" i="33"/>
  <c r="J141" i="33"/>
  <c r="I141" i="33"/>
  <c r="F141" i="33"/>
  <c r="D141" i="33"/>
  <c r="C141" i="33"/>
  <c r="B141" i="33"/>
  <c r="I140" i="33"/>
  <c r="J140" i="33" s="1"/>
  <c r="F140" i="33"/>
  <c r="D140" i="33"/>
  <c r="C140" i="33"/>
  <c r="B140" i="33"/>
  <c r="I139" i="33"/>
  <c r="J139" i="33" s="1"/>
  <c r="F139" i="33"/>
  <c r="D139" i="33"/>
  <c r="C139" i="33"/>
  <c r="B139" i="33"/>
  <c r="I138" i="33"/>
  <c r="J138" i="33" s="1"/>
  <c r="F138" i="33"/>
  <c r="D138" i="33"/>
  <c r="C138" i="33"/>
  <c r="B138" i="33"/>
  <c r="J137" i="33"/>
  <c r="I137" i="33"/>
  <c r="F137" i="33"/>
  <c r="D137" i="33"/>
  <c r="C137" i="33"/>
  <c r="B137" i="33"/>
  <c r="I136" i="33"/>
  <c r="J136" i="33" s="1"/>
  <c r="F136" i="33"/>
  <c r="D136" i="33"/>
  <c r="C136" i="33"/>
  <c r="B136" i="33"/>
  <c r="J135" i="33"/>
  <c r="I135" i="33"/>
  <c r="F135" i="33"/>
  <c r="D135" i="33"/>
  <c r="C135" i="33"/>
  <c r="B135" i="33"/>
  <c r="I134" i="33"/>
  <c r="J134" i="33" s="1"/>
  <c r="F134" i="33"/>
  <c r="D134" i="33"/>
  <c r="C134" i="33"/>
  <c r="B134" i="33"/>
  <c r="J133" i="33"/>
  <c r="I133" i="33"/>
  <c r="F133" i="33"/>
  <c r="D133" i="33"/>
  <c r="C133" i="33"/>
  <c r="B133" i="33"/>
  <c r="I132" i="33"/>
  <c r="J132" i="33" s="1"/>
  <c r="F132" i="33"/>
  <c r="D132" i="33"/>
  <c r="C132" i="33"/>
  <c r="B132" i="33"/>
  <c r="I131" i="33"/>
  <c r="J131" i="33" s="1"/>
  <c r="F131" i="33"/>
  <c r="D131" i="33"/>
  <c r="C131" i="33"/>
  <c r="B131" i="33"/>
  <c r="I130" i="33"/>
  <c r="J130" i="33" s="1"/>
  <c r="F130" i="33"/>
  <c r="D130" i="33"/>
  <c r="C130" i="33"/>
  <c r="B130" i="33"/>
  <c r="J129" i="33"/>
  <c r="I129" i="33"/>
  <c r="F129" i="33"/>
  <c r="D129" i="33"/>
  <c r="C129" i="33"/>
  <c r="B129" i="33"/>
  <c r="I128" i="33"/>
  <c r="J128" i="33" s="1"/>
  <c r="F128" i="33"/>
  <c r="D128" i="33"/>
  <c r="C128" i="33"/>
  <c r="B128" i="33"/>
  <c r="J127" i="33"/>
  <c r="I127" i="33"/>
  <c r="F127" i="33"/>
  <c r="D127" i="33"/>
  <c r="C127" i="33"/>
  <c r="B127" i="33"/>
  <c r="I126" i="33"/>
  <c r="J126" i="33" s="1"/>
  <c r="F126" i="33"/>
  <c r="D126" i="33"/>
  <c r="C126" i="33"/>
  <c r="B126" i="33"/>
  <c r="J125" i="33"/>
  <c r="I125" i="33"/>
  <c r="F125" i="33"/>
  <c r="D125" i="33"/>
  <c r="C125" i="33"/>
  <c r="B125" i="33"/>
  <c r="I124" i="33"/>
  <c r="J124" i="33" s="1"/>
  <c r="F124" i="33"/>
  <c r="D124" i="33"/>
  <c r="C124" i="33"/>
  <c r="B124" i="33"/>
  <c r="I123" i="33"/>
  <c r="J123" i="33" s="1"/>
  <c r="F123" i="33"/>
  <c r="D123" i="33"/>
  <c r="C123" i="33"/>
  <c r="B123" i="33"/>
  <c r="I122" i="33"/>
  <c r="J122" i="33" s="1"/>
  <c r="F122" i="33"/>
  <c r="D122" i="33"/>
  <c r="C122" i="33"/>
  <c r="B122" i="33"/>
  <c r="J121" i="33"/>
  <c r="I121" i="33"/>
  <c r="F121" i="33"/>
  <c r="D121" i="33"/>
  <c r="C121" i="33"/>
  <c r="B121" i="33"/>
  <c r="I120" i="33"/>
  <c r="J120" i="33" s="1"/>
  <c r="F120" i="33"/>
  <c r="D120" i="33"/>
  <c r="C120" i="33"/>
  <c r="B120" i="33"/>
  <c r="J119" i="33"/>
  <c r="I119" i="33"/>
  <c r="F119" i="33"/>
  <c r="D119" i="33"/>
  <c r="C119" i="33"/>
  <c r="B119" i="33"/>
  <c r="I118" i="33"/>
  <c r="J118" i="33" s="1"/>
  <c r="F118" i="33"/>
  <c r="D118" i="33"/>
  <c r="C118" i="33"/>
  <c r="B118" i="33"/>
  <c r="J117" i="33"/>
  <c r="I117" i="33"/>
  <c r="F117" i="33"/>
  <c r="D117" i="33"/>
  <c r="C117" i="33"/>
  <c r="B117" i="33"/>
  <c r="I116" i="33"/>
  <c r="J116" i="33" s="1"/>
  <c r="F116" i="33"/>
  <c r="D116" i="33"/>
  <c r="C116" i="33"/>
  <c r="B116" i="33"/>
  <c r="I115" i="33"/>
  <c r="J115" i="33" s="1"/>
  <c r="F115" i="33"/>
  <c r="D115" i="33"/>
  <c r="C115" i="33"/>
  <c r="B115" i="33"/>
  <c r="I114" i="33"/>
  <c r="J114" i="33" s="1"/>
  <c r="F114" i="33"/>
  <c r="D114" i="33"/>
  <c r="C114" i="33"/>
  <c r="B114" i="33"/>
  <c r="J113" i="33"/>
  <c r="I113" i="33"/>
  <c r="F113" i="33"/>
  <c r="D113" i="33"/>
  <c r="C113" i="33"/>
  <c r="B113" i="33"/>
  <c r="I112" i="33"/>
  <c r="J112" i="33" s="1"/>
  <c r="F112" i="33"/>
  <c r="D112" i="33"/>
  <c r="C112" i="33"/>
  <c r="B112" i="33"/>
  <c r="J111" i="33"/>
  <c r="I111" i="33"/>
  <c r="F111" i="33"/>
  <c r="D111" i="33"/>
  <c r="C111" i="33"/>
  <c r="B111" i="33"/>
  <c r="I110" i="33"/>
  <c r="J110" i="33" s="1"/>
  <c r="F110" i="33"/>
  <c r="D110" i="33"/>
  <c r="C110" i="33"/>
  <c r="B110" i="33"/>
  <c r="J109" i="33"/>
  <c r="I109" i="33"/>
  <c r="F109" i="33"/>
  <c r="D109" i="33"/>
  <c r="C109" i="33"/>
  <c r="B109" i="33"/>
  <c r="I108" i="33"/>
  <c r="J108" i="33" s="1"/>
  <c r="F108" i="33"/>
  <c r="D108" i="33"/>
  <c r="C108" i="33"/>
  <c r="B108" i="33"/>
  <c r="I107" i="33"/>
  <c r="J107" i="33" s="1"/>
  <c r="F107" i="33"/>
  <c r="D107" i="33"/>
  <c r="C107" i="33"/>
  <c r="B107" i="33"/>
  <c r="I106" i="33"/>
  <c r="J106" i="33" s="1"/>
  <c r="F106" i="33"/>
  <c r="D106" i="33"/>
  <c r="C106" i="33"/>
  <c r="B106" i="33"/>
  <c r="J105" i="33"/>
  <c r="I105" i="33"/>
  <c r="F105" i="33"/>
  <c r="D105" i="33"/>
  <c r="C105" i="33"/>
  <c r="B105" i="33"/>
  <c r="I104" i="33"/>
  <c r="J104" i="33" s="1"/>
  <c r="F104" i="33"/>
  <c r="D104" i="33"/>
  <c r="C104" i="33"/>
  <c r="B104" i="33"/>
  <c r="J103" i="33"/>
  <c r="I103" i="33"/>
  <c r="F103" i="33"/>
  <c r="D103" i="33"/>
  <c r="C103" i="33"/>
  <c r="B103" i="33"/>
  <c r="I102" i="33"/>
  <c r="J102" i="33" s="1"/>
  <c r="F102" i="33"/>
  <c r="D102" i="33"/>
  <c r="C102" i="33"/>
  <c r="B102" i="33"/>
  <c r="J101" i="33"/>
  <c r="I101" i="33"/>
  <c r="F101" i="33"/>
  <c r="D101" i="33"/>
  <c r="C101" i="33"/>
  <c r="B101" i="33"/>
  <c r="I100" i="33"/>
  <c r="J100" i="33" s="1"/>
  <c r="F100" i="33"/>
  <c r="D100" i="33"/>
  <c r="C100" i="33"/>
  <c r="B100" i="33"/>
  <c r="I99" i="33"/>
  <c r="J99" i="33" s="1"/>
  <c r="F99" i="33"/>
  <c r="D99" i="33"/>
  <c r="C99" i="33"/>
  <c r="B99" i="33"/>
  <c r="I98" i="33"/>
  <c r="J98" i="33" s="1"/>
  <c r="F98" i="33"/>
  <c r="D98" i="33"/>
  <c r="C98" i="33"/>
  <c r="B98" i="33"/>
  <c r="J97" i="33"/>
  <c r="I97" i="33"/>
  <c r="F97" i="33"/>
  <c r="D97" i="33"/>
  <c r="C97" i="33"/>
  <c r="B97" i="33"/>
  <c r="I96" i="33"/>
  <c r="J96" i="33" s="1"/>
  <c r="F96" i="33"/>
  <c r="D96" i="33"/>
  <c r="C96" i="33"/>
  <c r="B96" i="33"/>
  <c r="J95" i="33"/>
  <c r="I95" i="33"/>
  <c r="F95" i="33"/>
  <c r="D95" i="33"/>
  <c r="C95" i="33"/>
  <c r="B95" i="33"/>
  <c r="I94" i="33"/>
  <c r="J94" i="33" s="1"/>
  <c r="F94" i="33"/>
  <c r="D94" i="33"/>
  <c r="C94" i="33"/>
  <c r="B94" i="33"/>
  <c r="J93" i="33"/>
  <c r="I93" i="33"/>
  <c r="F93" i="33"/>
  <c r="D93" i="33"/>
  <c r="C93" i="33"/>
  <c r="B93" i="33"/>
  <c r="I92" i="33"/>
  <c r="J92" i="33" s="1"/>
  <c r="F92" i="33"/>
  <c r="D92" i="33"/>
  <c r="C92" i="33"/>
  <c r="B92" i="33"/>
  <c r="I91" i="33"/>
  <c r="J91" i="33" s="1"/>
  <c r="F91" i="33"/>
  <c r="D91" i="33"/>
  <c r="C91" i="33"/>
  <c r="B91" i="33"/>
  <c r="I90" i="33"/>
  <c r="J90" i="33" s="1"/>
  <c r="F90" i="33"/>
  <c r="D90" i="33"/>
  <c r="C90" i="33"/>
  <c r="B90" i="33"/>
  <c r="J89" i="33"/>
  <c r="I89" i="33"/>
  <c r="F89" i="33"/>
  <c r="D89" i="33"/>
  <c r="C89" i="33"/>
  <c r="B89" i="33"/>
  <c r="I88" i="33"/>
  <c r="J88" i="33" s="1"/>
  <c r="F88" i="33"/>
  <c r="D88" i="33"/>
  <c r="C88" i="33"/>
  <c r="B88" i="33"/>
  <c r="J87" i="33"/>
  <c r="I87" i="33"/>
  <c r="F87" i="33"/>
  <c r="D87" i="33"/>
  <c r="C87" i="33"/>
  <c r="B87" i="33"/>
  <c r="I86" i="33"/>
  <c r="J86" i="33" s="1"/>
  <c r="F86" i="33"/>
  <c r="D86" i="33"/>
  <c r="C86" i="33"/>
  <c r="B86" i="33"/>
  <c r="J85" i="33"/>
  <c r="I85" i="33"/>
  <c r="F85" i="33"/>
  <c r="D85" i="33"/>
  <c r="C85" i="33"/>
  <c r="B85" i="33"/>
  <c r="I84" i="33"/>
  <c r="J84" i="33" s="1"/>
  <c r="F84" i="33"/>
  <c r="D84" i="33"/>
  <c r="C84" i="33"/>
  <c r="B84" i="33"/>
  <c r="I83" i="33"/>
  <c r="J83" i="33" s="1"/>
  <c r="F83" i="33"/>
  <c r="D83" i="33"/>
  <c r="C83" i="33"/>
  <c r="B83" i="33"/>
  <c r="I82" i="33"/>
  <c r="J82" i="33" s="1"/>
  <c r="F82" i="33"/>
  <c r="D82" i="33"/>
  <c r="C82" i="33"/>
  <c r="B82" i="33"/>
  <c r="J81" i="33"/>
  <c r="I81" i="33"/>
  <c r="F81" i="33"/>
  <c r="D81" i="33"/>
  <c r="C81" i="33"/>
  <c r="B81" i="33"/>
  <c r="I80" i="33"/>
  <c r="J80" i="33" s="1"/>
  <c r="F80" i="33"/>
  <c r="D80" i="33"/>
  <c r="C80" i="33"/>
  <c r="B80" i="33"/>
  <c r="J79" i="33"/>
  <c r="I79" i="33"/>
  <c r="F79" i="33"/>
  <c r="D79" i="33"/>
  <c r="C79" i="33"/>
  <c r="B79" i="33"/>
  <c r="I78" i="33"/>
  <c r="J78" i="33" s="1"/>
  <c r="F78" i="33"/>
  <c r="D78" i="33"/>
  <c r="C78" i="33"/>
  <c r="B78" i="33"/>
  <c r="J77" i="33"/>
  <c r="I77" i="33"/>
  <c r="F77" i="33"/>
  <c r="D77" i="33"/>
  <c r="C77" i="33"/>
  <c r="B77" i="33"/>
  <c r="I76" i="33"/>
  <c r="J76" i="33" s="1"/>
  <c r="F76" i="33"/>
  <c r="D76" i="33"/>
  <c r="C76" i="33"/>
  <c r="B76" i="33"/>
  <c r="I75" i="33"/>
  <c r="J75" i="33" s="1"/>
  <c r="F75" i="33"/>
  <c r="D75" i="33"/>
  <c r="C75" i="33"/>
  <c r="B75" i="33"/>
  <c r="I74" i="33"/>
  <c r="J74" i="33" s="1"/>
  <c r="F74" i="33"/>
  <c r="D74" i="33"/>
  <c r="C74" i="33"/>
  <c r="B74" i="33"/>
  <c r="J73" i="33"/>
  <c r="I73" i="33"/>
  <c r="F73" i="33"/>
  <c r="D73" i="33"/>
  <c r="C73" i="33"/>
  <c r="B73" i="33"/>
  <c r="I72" i="33"/>
  <c r="J72" i="33" s="1"/>
  <c r="F72" i="33"/>
  <c r="D72" i="33"/>
  <c r="C72" i="33"/>
  <c r="B72" i="33"/>
  <c r="J71" i="33"/>
  <c r="I71" i="33"/>
  <c r="F71" i="33"/>
  <c r="D71" i="33"/>
  <c r="C71" i="33"/>
  <c r="B71" i="33"/>
  <c r="I70" i="33"/>
  <c r="J70" i="33" s="1"/>
  <c r="F70" i="33"/>
  <c r="D70" i="33"/>
  <c r="C70" i="33"/>
  <c r="B70" i="33"/>
  <c r="J69" i="33"/>
  <c r="I69" i="33"/>
  <c r="F69" i="33"/>
  <c r="D69" i="33"/>
  <c r="C69" i="33"/>
  <c r="B69" i="33"/>
  <c r="I68" i="33"/>
  <c r="J68" i="33" s="1"/>
  <c r="F68" i="33"/>
  <c r="D68" i="33"/>
  <c r="C68" i="33"/>
  <c r="B68" i="33"/>
  <c r="I67" i="33"/>
  <c r="J67" i="33" s="1"/>
  <c r="F67" i="33"/>
  <c r="D67" i="33"/>
  <c r="C67" i="33"/>
  <c r="B67" i="33"/>
  <c r="I66" i="33"/>
  <c r="J66" i="33" s="1"/>
  <c r="F66" i="33"/>
  <c r="D66" i="33"/>
  <c r="C66" i="33"/>
  <c r="B66" i="33"/>
  <c r="J65" i="33"/>
  <c r="I65" i="33"/>
  <c r="F65" i="33"/>
  <c r="D65" i="33"/>
  <c r="C65" i="33"/>
  <c r="B65" i="33"/>
  <c r="I64" i="33"/>
  <c r="J64" i="33" s="1"/>
  <c r="F64" i="33"/>
  <c r="D64" i="33"/>
  <c r="C64" i="33"/>
  <c r="B64" i="33"/>
  <c r="J63" i="33"/>
  <c r="I63" i="33"/>
  <c r="F63" i="33"/>
  <c r="D63" i="33"/>
  <c r="C63" i="33"/>
  <c r="B63" i="33"/>
  <c r="I62" i="33"/>
  <c r="J62" i="33" s="1"/>
  <c r="F62" i="33"/>
  <c r="D62" i="33"/>
  <c r="C62" i="33"/>
  <c r="B62" i="33"/>
  <c r="J61" i="33"/>
  <c r="I61" i="33"/>
  <c r="F61" i="33"/>
  <c r="D61" i="33"/>
  <c r="C61" i="33"/>
  <c r="B61" i="33"/>
  <c r="I60" i="33"/>
  <c r="J60" i="33" s="1"/>
  <c r="F60" i="33"/>
  <c r="D60" i="33"/>
  <c r="C60" i="33"/>
  <c r="B60" i="33"/>
  <c r="I59" i="33"/>
  <c r="J59" i="33" s="1"/>
  <c r="F59" i="33"/>
  <c r="D59" i="33"/>
  <c r="C59" i="33"/>
  <c r="B59" i="33"/>
  <c r="I58" i="33"/>
  <c r="J58" i="33" s="1"/>
  <c r="F58" i="33"/>
  <c r="D58" i="33"/>
  <c r="C58" i="33"/>
  <c r="B58" i="33"/>
  <c r="J57" i="33"/>
  <c r="I57" i="33"/>
  <c r="F57" i="33"/>
  <c r="D57" i="33"/>
  <c r="C57" i="33"/>
  <c r="B57" i="33"/>
  <c r="I56" i="33"/>
  <c r="J56" i="33" s="1"/>
  <c r="F56" i="33"/>
  <c r="D56" i="33"/>
  <c r="C56" i="33"/>
  <c r="B56" i="33"/>
  <c r="J55" i="33"/>
  <c r="I55" i="33"/>
  <c r="F55" i="33"/>
  <c r="D55" i="33"/>
  <c r="C55" i="33"/>
  <c r="B55" i="33"/>
  <c r="I54" i="33"/>
  <c r="J54" i="33" s="1"/>
  <c r="F54" i="33"/>
  <c r="D54" i="33"/>
  <c r="C54" i="33"/>
  <c r="B54" i="33"/>
  <c r="J53" i="33"/>
  <c r="I53" i="33"/>
  <c r="F53" i="33"/>
  <c r="D53" i="33"/>
  <c r="C53" i="33"/>
  <c r="B53" i="33"/>
  <c r="I52" i="33"/>
  <c r="J52" i="33" s="1"/>
  <c r="F52" i="33"/>
  <c r="D52" i="33"/>
  <c r="C52" i="33"/>
  <c r="B52" i="33"/>
  <c r="I51" i="33"/>
  <c r="J51" i="33" s="1"/>
  <c r="F51" i="33"/>
  <c r="D51" i="33"/>
  <c r="C51" i="33"/>
  <c r="B51" i="33"/>
  <c r="I50" i="33"/>
  <c r="J50" i="33" s="1"/>
  <c r="F50" i="33"/>
  <c r="D50" i="33"/>
  <c r="C50" i="33"/>
  <c r="B50" i="33"/>
  <c r="J49" i="33"/>
  <c r="I49" i="33"/>
  <c r="F49" i="33"/>
  <c r="D49" i="33"/>
  <c r="C49" i="33"/>
  <c r="B49" i="33"/>
  <c r="I48" i="33"/>
  <c r="J48" i="33" s="1"/>
  <c r="F48" i="33"/>
  <c r="D48" i="33"/>
  <c r="C48" i="33"/>
  <c r="B48" i="33"/>
  <c r="J47" i="33"/>
  <c r="I47" i="33"/>
  <c r="F47" i="33"/>
  <c r="D47" i="33"/>
  <c r="C47" i="33"/>
  <c r="B47" i="33"/>
  <c r="I46" i="33"/>
  <c r="J46" i="33" s="1"/>
  <c r="F46" i="33"/>
  <c r="D46" i="33"/>
  <c r="C46" i="33"/>
  <c r="B46" i="33"/>
  <c r="J45" i="33"/>
  <c r="I45" i="33"/>
  <c r="F45" i="33"/>
  <c r="D45" i="33"/>
  <c r="C45" i="33"/>
  <c r="B45" i="33"/>
  <c r="I44" i="33"/>
  <c r="J44" i="33" s="1"/>
  <c r="F44" i="33"/>
  <c r="D44" i="33"/>
  <c r="C44" i="33"/>
  <c r="B44" i="33"/>
  <c r="I43" i="33"/>
  <c r="J43" i="33" s="1"/>
  <c r="F43" i="33"/>
  <c r="D43" i="33"/>
  <c r="C43" i="33"/>
  <c r="B43" i="33"/>
  <c r="I42" i="33"/>
  <c r="J42" i="33" s="1"/>
  <c r="F42" i="33"/>
  <c r="D42" i="33"/>
  <c r="C42" i="33"/>
  <c r="B42" i="33"/>
  <c r="J41" i="33"/>
  <c r="I41" i="33"/>
  <c r="F41" i="33"/>
  <c r="D41" i="33"/>
  <c r="C41" i="33"/>
  <c r="B41" i="33"/>
  <c r="I40" i="33"/>
  <c r="J40" i="33" s="1"/>
  <c r="F40" i="33"/>
  <c r="D40" i="33"/>
  <c r="C40" i="33"/>
  <c r="B40" i="33"/>
  <c r="J39" i="33"/>
  <c r="I39" i="33"/>
  <c r="F39" i="33"/>
  <c r="D39" i="33"/>
  <c r="C39" i="33"/>
  <c r="B39" i="33"/>
  <c r="I38" i="33"/>
  <c r="J38" i="33" s="1"/>
  <c r="F38" i="33"/>
  <c r="D38" i="33"/>
  <c r="C38" i="33"/>
  <c r="B38" i="33"/>
  <c r="J37" i="33"/>
  <c r="I37" i="33"/>
  <c r="F37" i="33"/>
  <c r="D37" i="33"/>
  <c r="C37" i="33"/>
  <c r="B37" i="33"/>
  <c r="I36" i="33"/>
  <c r="J36" i="33" s="1"/>
  <c r="F36" i="33"/>
  <c r="D36" i="33"/>
  <c r="C36" i="33"/>
  <c r="B36" i="33"/>
  <c r="I35" i="33"/>
  <c r="J35" i="33" s="1"/>
  <c r="F35" i="33"/>
  <c r="D35" i="33"/>
  <c r="C35" i="33"/>
  <c r="B35" i="33"/>
  <c r="I34" i="33"/>
  <c r="J34" i="33" s="1"/>
  <c r="F34" i="33"/>
  <c r="D34" i="33"/>
  <c r="C34" i="33"/>
  <c r="B34" i="33"/>
  <c r="J33" i="33"/>
  <c r="I33" i="33"/>
  <c r="F33" i="33"/>
  <c r="D33" i="33"/>
  <c r="C33" i="33"/>
  <c r="B33" i="33"/>
  <c r="I32" i="33"/>
  <c r="J32" i="33" s="1"/>
  <c r="F32" i="33"/>
  <c r="D32" i="33"/>
  <c r="C32" i="33"/>
  <c r="B32" i="33"/>
  <c r="J31" i="33"/>
  <c r="I31" i="33"/>
  <c r="F31" i="33"/>
  <c r="D31" i="33"/>
  <c r="C31" i="33"/>
  <c r="B31" i="33"/>
  <c r="I30" i="33"/>
  <c r="J30" i="33" s="1"/>
  <c r="F30" i="33"/>
  <c r="D30" i="33"/>
  <c r="C30" i="33"/>
  <c r="B30" i="33"/>
  <c r="J29" i="33"/>
  <c r="I29" i="33"/>
  <c r="F29" i="33"/>
  <c r="D29" i="33"/>
  <c r="C29" i="33"/>
  <c r="B29" i="33"/>
  <c r="I28" i="33"/>
  <c r="J28" i="33" s="1"/>
  <c r="F28" i="33"/>
  <c r="D28" i="33"/>
  <c r="C28" i="33"/>
  <c r="B28" i="33"/>
  <c r="I27" i="33"/>
  <c r="J27" i="33" s="1"/>
  <c r="F27" i="33"/>
  <c r="D27" i="33"/>
  <c r="C27" i="33"/>
  <c r="B27" i="33"/>
  <c r="I26" i="33"/>
  <c r="J26" i="33" s="1"/>
  <c r="F26" i="33"/>
  <c r="D26" i="33"/>
  <c r="C26" i="33"/>
  <c r="B26" i="33"/>
  <c r="J25" i="33"/>
  <c r="I25" i="33"/>
  <c r="F25" i="33"/>
  <c r="D25" i="33"/>
  <c r="C25" i="33"/>
  <c r="B25" i="33"/>
  <c r="I24" i="33"/>
  <c r="J24" i="33" s="1"/>
  <c r="F24" i="33"/>
  <c r="D24" i="33"/>
  <c r="C24" i="33"/>
  <c r="B24" i="33"/>
  <c r="J23" i="33"/>
  <c r="I23" i="33"/>
  <c r="F23" i="33"/>
  <c r="D23" i="33"/>
  <c r="C23" i="33"/>
  <c r="B23" i="33"/>
  <c r="I22" i="33"/>
  <c r="J22" i="33" s="1"/>
  <c r="F22" i="33"/>
  <c r="D22" i="33"/>
  <c r="C22" i="33"/>
  <c r="B22" i="33"/>
  <c r="J21" i="33"/>
  <c r="I21" i="33"/>
  <c r="F21" i="33"/>
  <c r="D21" i="33"/>
  <c r="C21" i="33"/>
  <c r="B21" i="33"/>
  <c r="I20" i="33"/>
  <c r="J20" i="33" s="1"/>
  <c r="F20" i="33"/>
  <c r="D20" i="33"/>
  <c r="C20" i="33"/>
  <c r="B20" i="33"/>
  <c r="I19" i="33"/>
  <c r="J19" i="33" s="1"/>
  <c r="F19" i="33"/>
  <c r="D19" i="33"/>
  <c r="C19" i="33"/>
  <c r="B19" i="33"/>
  <c r="I18" i="33"/>
  <c r="J18" i="33" s="1"/>
  <c r="F18" i="33"/>
  <c r="D18" i="33"/>
  <c r="C18" i="33"/>
  <c r="B18" i="33"/>
  <c r="J17" i="33"/>
  <c r="I17" i="33"/>
  <c r="F17" i="33"/>
  <c r="D17" i="33"/>
  <c r="C17" i="33"/>
  <c r="B17" i="33"/>
  <c r="I16" i="33"/>
  <c r="J16" i="33" s="1"/>
  <c r="F16" i="33"/>
  <c r="D16" i="33"/>
  <c r="C16" i="33"/>
  <c r="B16" i="33"/>
  <c r="J15" i="33"/>
  <c r="I15" i="33"/>
  <c r="F15" i="33"/>
  <c r="D15" i="33"/>
  <c r="C15" i="33"/>
  <c r="B15" i="33"/>
  <c r="I14" i="33"/>
  <c r="J14" i="33" s="1"/>
  <c r="F14" i="33"/>
  <c r="D14" i="33"/>
  <c r="C14" i="33"/>
  <c r="B14" i="33"/>
  <c r="J13" i="33"/>
  <c r="I13" i="33"/>
  <c r="F13" i="33"/>
  <c r="D13" i="33"/>
  <c r="C13" i="33"/>
  <c r="B13" i="33"/>
  <c r="I12" i="33"/>
  <c r="J12" i="33" s="1"/>
  <c r="F12" i="33"/>
  <c r="D12" i="33"/>
  <c r="C12" i="33"/>
  <c r="B12" i="33"/>
  <c r="I11" i="33"/>
  <c r="J11" i="33" s="1"/>
  <c r="F11" i="33"/>
  <c r="D11" i="33"/>
  <c r="C11" i="33"/>
  <c r="B11" i="33"/>
  <c r="I10" i="33"/>
  <c r="J10" i="33" s="1"/>
  <c r="F10" i="33"/>
  <c r="D10" i="33"/>
  <c r="C10" i="33"/>
  <c r="B10" i="33"/>
  <c r="J9" i="33"/>
  <c r="I9" i="33"/>
  <c r="F9" i="33"/>
  <c r="D9" i="33"/>
  <c r="C9" i="33"/>
  <c r="B9" i="33"/>
  <c r="A5" i="33"/>
  <c r="G4" i="33"/>
  <c r="D4" i="33"/>
  <c r="A4" i="33"/>
  <c r="K213" i="32"/>
  <c r="K212" i="32"/>
  <c r="K211" i="32"/>
  <c r="K210" i="32"/>
  <c r="K209"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J113" i="32"/>
  <c r="I113" i="32"/>
  <c r="D113" i="32"/>
  <c r="C113" i="32"/>
  <c r="A113" i="32"/>
  <c r="K112" i="32"/>
  <c r="J112" i="32"/>
  <c r="I112" i="32"/>
  <c r="D112" i="32"/>
  <c r="C112" i="32"/>
  <c r="A112" i="32"/>
  <c r="K111" i="32"/>
  <c r="J111" i="32"/>
  <c r="I111" i="32"/>
  <c r="D111" i="32"/>
  <c r="C111" i="32"/>
  <c r="A111" i="32"/>
  <c r="K110" i="32"/>
  <c r="I110" i="32"/>
  <c r="J110" i="32" s="1"/>
  <c r="D110" i="32"/>
  <c r="C110" i="32"/>
  <c r="A110" i="32"/>
  <c r="K109" i="32"/>
  <c r="I109" i="32"/>
  <c r="J109" i="32" s="1"/>
  <c r="D109" i="32"/>
  <c r="C109" i="32"/>
  <c r="A109" i="32"/>
  <c r="K108" i="32"/>
  <c r="J108" i="32"/>
  <c r="I108" i="32"/>
  <c r="D108" i="32"/>
  <c r="C108" i="32"/>
  <c r="A108" i="32"/>
  <c r="K107" i="32"/>
  <c r="J107" i="32"/>
  <c r="I107" i="32"/>
  <c r="D107" i="32"/>
  <c r="C107" i="32"/>
  <c r="A107" i="32"/>
  <c r="K106" i="32"/>
  <c r="I106" i="32"/>
  <c r="J106" i="32" s="1"/>
  <c r="D106" i="32"/>
  <c r="C106" i="32"/>
  <c r="A106" i="32"/>
  <c r="K105" i="32"/>
  <c r="J105" i="32"/>
  <c r="I105" i="32"/>
  <c r="D105" i="32"/>
  <c r="C105" i="32"/>
  <c r="A105" i="32"/>
  <c r="K104" i="32"/>
  <c r="J104" i="32"/>
  <c r="I104" i="32"/>
  <c r="D104" i="32"/>
  <c r="C104" i="32"/>
  <c r="A104" i="32"/>
  <c r="K103" i="32"/>
  <c r="I103" i="32"/>
  <c r="J103" i="32" s="1"/>
  <c r="D103" i="32"/>
  <c r="C103" i="32"/>
  <c r="A103" i="32"/>
  <c r="K102" i="32"/>
  <c r="I102" i="32"/>
  <c r="J102" i="32" s="1"/>
  <c r="D102" i="32"/>
  <c r="C102" i="32"/>
  <c r="A102" i="32"/>
  <c r="K101" i="32"/>
  <c r="J101" i="32"/>
  <c r="I101" i="32"/>
  <c r="D101" i="32"/>
  <c r="C101" i="32"/>
  <c r="A101" i="32"/>
  <c r="K100" i="32"/>
  <c r="J100" i="32"/>
  <c r="I100" i="32"/>
  <c r="D100" i="32"/>
  <c r="C100" i="32"/>
  <c r="A100" i="32"/>
  <c r="K99" i="32"/>
  <c r="J99" i="32"/>
  <c r="I99" i="32"/>
  <c r="D99" i="32"/>
  <c r="C99" i="32"/>
  <c r="A99" i="32"/>
  <c r="K98" i="32"/>
  <c r="I98" i="32"/>
  <c r="J98" i="32" s="1"/>
  <c r="D98" i="32"/>
  <c r="C98" i="32"/>
  <c r="A98" i="32"/>
  <c r="K97" i="32"/>
  <c r="J97" i="32"/>
  <c r="I97" i="32"/>
  <c r="D97" i="32"/>
  <c r="C97" i="32"/>
  <c r="A97" i="32"/>
  <c r="K96" i="32"/>
  <c r="J96" i="32"/>
  <c r="I96" i="32"/>
  <c r="D96" i="32"/>
  <c r="C96" i="32"/>
  <c r="A96" i="32"/>
  <c r="K95" i="32"/>
  <c r="J95" i="32"/>
  <c r="I95" i="32"/>
  <c r="D95" i="32"/>
  <c r="C95" i="32"/>
  <c r="A95" i="32"/>
  <c r="K94" i="32"/>
  <c r="I94" i="32"/>
  <c r="J94" i="32" s="1"/>
  <c r="D94" i="32"/>
  <c r="C94" i="32"/>
  <c r="A94" i="32"/>
  <c r="K93" i="32"/>
  <c r="J93" i="32"/>
  <c r="I93" i="32"/>
  <c r="D93" i="32"/>
  <c r="C93" i="32"/>
  <c r="A93" i="32"/>
  <c r="K92" i="32"/>
  <c r="J92" i="32"/>
  <c r="I92" i="32"/>
  <c r="D92" i="32"/>
  <c r="C92" i="32"/>
  <c r="A92" i="32"/>
  <c r="K91" i="32"/>
  <c r="I91" i="32"/>
  <c r="J91" i="32" s="1"/>
  <c r="D91" i="32"/>
  <c r="C91" i="32"/>
  <c r="A91" i="32"/>
  <c r="K90" i="32"/>
  <c r="I90" i="32"/>
  <c r="J90" i="32" s="1"/>
  <c r="D90" i="32"/>
  <c r="C90" i="32"/>
  <c r="A90" i="32"/>
  <c r="K89" i="32"/>
  <c r="I89" i="32"/>
  <c r="J89" i="32" s="1"/>
  <c r="D89" i="32"/>
  <c r="C89" i="32"/>
  <c r="A89" i="32"/>
  <c r="K88" i="32"/>
  <c r="J88" i="32"/>
  <c r="I88" i="32"/>
  <c r="D88" i="32"/>
  <c r="C88" i="32"/>
  <c r="A88" i="32"/>
  <c r="K87" i="32"/>
  <c r="J87" i="32"/>
  <c r="I87" i="32"/>
  <c r="D87" i="32"/>
  <c r="C87" i="32"/>
  <c r="A87" i="32"/>
  <c r="K86" i="32"/>
  <c r="I86" i="32"/>
  <c r="J86" i="32" s="1"/>
  <c r="D86" i="32"/>
  <c r="C86" i="32"/>
  <c r="A86" i="32"/>
  <c r="K85" i="32"/>
  <c r="J85" i="32"/>
  <c r="I85" i="32"/>
  <c r="D85" i="32"/>
  <c r="C85" i="32"/>
  <c r="A85" i="32"/>
  <c r="K84" i="32"/>
  <c r="J84" i="32"/>
  <c r="I84" i="32"/>
  <c r="D84" i="32"/>
  <c r="C84" i="32"/>
  <c r="A84" i="32"/>
  <c r="K83" i="32"/>
  <c r="J83" i="32"/>
  <c r="I83" i="32"/>
  <c r="D83" i="32"/>
  <c r="C83" i="32"/>
  <c r="A83" i="32"/>
  <c r="K82" i="32"/>
  <c r="I82" i="32"/>
  <c r="J82" i="32" s="1"/>
  <c r="D82" i="32"/>
  <c r="C82" i="32"/>
  <c r="A82" i="32"/>
  <c r="K81" i="32"/>
  <c r="J81" i="32"/>
  <c r="I81" i="32"/>
  <c r="D81" i="32"/>
  <c r="C81" i="32"/>
  <c r="A81" i="32"/>
  <c r="K80" i="32"/>
  <c r="J80" i="32"/>
  <c r="I80" i="32"/>
  <c r="D80" i="32"/>
  <c r="C80" i="32"/>
  <c r="A80" i="32"/>
  <c r="K79" i="32"/>
  <c r="J79" i="32"/>
  <c r="I79" i="32"/>
  <c r="D79" i="32"/>
  <c r="C79" i="32"/>
  <c r="A79" i="32"/>
  <c r="K78" i="32"/>
  <c r="I78" i="32"/>
  <c r="J78" i="32" s="1"/>
  <c r="D78" i="32"/>
  <c r="C78" i="32"/>
  <c r="A78" i="32"/>
  <c r="K77" i="32"/>
  <c r="I77" i="32"/>
  <c r="J77" i="32" s="1"/>
  <c r="D77" i="32"/>
  <c r="C77" i="32"/>
  <c r="A77" i="32"/>
  <c r="K76" i="32"/>
  <c r="J76" i="32"/>
  <c r="I76" i="32"/>
  <c r="D76" i="32"/>
  <c r="C76" i="32"/>
  <c r="A76" i="32"/>
  <c r="K75" i="32"/>
  <c r="J75" i="32"/>
  <c r="I75" i="32"/>
  <c r="D75" i="32"/>
  <c r="C75" i="32"/>
  <c r="A75" i="32"/>
  <c r="K74" i="32"/>
  <c r="I74" i="32"/>
  <c r="J74" i="32" s="1"/>
  <c r="D74" i="32"/>
  <c r="C74" i="32"/>
  <c r="A74" i="32"/>
  <c r="K73" i="32"/>
  <c r="I73" i="32"/>
  <c r="J73" i="32" s="1"/>
  <c r="D73" i="32"/>
  <c r="C73" i="32"/>
  <c r="A73" i="32"/>
  <c r="K72" i="32"/>
  <c r="J72" i="32"/>
  <c r="I72" i="32"/>
  <c r="D72" i="32"/>
  <c r="C72" i="32"/>
  <c r="A72" i="32"/>
  <c r="K71" i="32"/>
  <c r="I71" i="32"/>
  <c r="J71" i="32" s="1"/>
  <c r="D71" i="32"/>
  <c r="C71" i="32"/>
  <c r="A71" i="32"/>
  <c r="K70" i="32"/>
  <c r="I70" i="32"/>
  <c r="J70" i="32" s="1"/>
  <c r="D70" i="32"/>
  <c r="C70" i="32"/>
  <c r="A70" i="32"/>
  <c r="K69" i="32"/>
  <c r="J69" i="32"/>
  <c r="I69" i="32"/>
  <c r="D69" i="32"/>
  <c r="C69" i="32"/>
  <c r="A69" i="32"/>
  <c r="K68" i="32"/>
  <c r="J68" i="32"/>
  <c r="I68" i="32"/>
  <c r="D68" i="32"/>
  <c r="C68" i="32"/>
  <c r="A68" i="32"/>
  <c r="K67" i="32"/>
  <c r="J67" i="32"/>
  <c r="I67" i="32"/>
  <c r="D67" i="32"/>
  <c r="C67" i="32"/>
  <c r="A67" i="32"/>
  <c r="K66" i="32"/>
  <c r="I66" i="32"/>
  <c r="J66" i="32" s="1"/>
  <c r="D66" i="32"/>
  <c r="C66" i="32"/>
  <c r="A66" i="32"/>
  <c r="K65" i="32"/>
  <c r="J65" i="32"/>
  <c r="I65" i="32"/>
  <c r="D65" i="32"/>
  <c r="C65" i="32"/>
  <c r="A65" i="32"/>
  <c r="K64" i="32"/>
  <c r="J64" i="32"/>
  <c r="I64" i="32"/>
  <c r="D64" i="32"/>
  <c r="C64" i="32"/>
  <c r="A64" i="32"/>
  <c r="K63" i="32"/>
  <c r="J63" i="32"/>
  <c r="I63" i="32"/>
  <c r="D63" i="32"/>
  <c r="C63" i="32"/>
  <c r="A63" i="32"/>
  <c r="K62" i="32"/>
  <c r="I62" i="32"/>
  <c r="J62" i="32" s="1"/>
  <c r="D62" i="32"/>
  <c r="C62" i="32"/>
  <c r="A62" i="32"/>
  <c r="K61" i="32"/>
  <c r="J61" i="32"/>
  <c r="I61" i="32"/>
  <c r="D61" i="32"/>
  <c r="C61" i="32"/>
  <c r="A61" i="32"/>
  <c r="K60" i="32"/>
  <c r="J60" i="32"/>
  <c r="I60" i="32"/>
  <c r="D60" i="32"/>
  <c r="C60" i="32"/>
  <c r="A60" i="32"/>
  <c r="K59" i="32"/>
  <c r="I59" i="32"/>
  <c r="J59" i="32" s="1"/>
  <c r="D59" i="32"/>
  <c r="C59" i="32"/>
  <c r="A59" i="32"/>
  <c r="K58" i="32"/>
  <c r="I58" i="32"/>
  <c r="J58" i="32" s="1"/>
  <c r="D58" i="32"/>
  <c r="C58" i="32"/>
  <c r="A58" i="32"/>
  <c r="K57" i="32"/>
  <c r="I57" i="32"/>
  <c r="J57" i="32" s="1"/>
  <c r="D57" i="32"/>
  <c r="C57" i="32"/>
  <c r="A57" i="32"/>
  <c r="K56" i="32"/>
  <c r="J56" i="32"/>
  <c r="I56" i="32"/>
  <c r="D56" i="32"/>
  <c r="C56" i="32"/>
  <c r="A56" i="32"/>
  <c r="K55" i="32"/>
  <c r="I55" i="32"/>
  <c r="J55" i="32" s="1"/>
  <c r="D55" i="32"/>
  <c r="C55" i="32"/>
  <c r="A55" i="32"/>
  <c r="K54" i="32"/>
  <c r="I54" i="32"/>
  <c r="J54" i="32" s="1"/>
  <c r="D54" i="32"/>
  <c r="C54" i="32"/>
  <c r="A54" i="32"/>
  <c r="K53" i="32"/>
  <c r="J53" i="32"/>
  <c r="I53" i="32"/>
  <c r="D53" i="32"/>
  <c r="C53" i="32"/>
  <c r="A53" i="32"/>
  <c r="K52" i="32"/>
  <c r="J52" i="32"/>
  <c r="I52" i="32"/>
  <c r="D52" i="32"/>
  <c r="C52" i="32"/>
  <c r="A52" i="32"/>
  <c r="K51" i="32"/>
  <c r="J51" i="32"/>
  <c r="I51" i="32"/>
  <c r="D51" i="32"/>
  <c r="C51" i="32"/>
  <c r="A51" i="32"/>
  <c r="K50" i="32"/>
  <c r="I50" i="32"/>
  <c r="J50" i="32" s="1"/>
  <c r="D50" i="32"/>
  <c r="C50" i="32"/>
  <c r="A50" i="32"/>
  <c r="K49" i="32"/>
  <c r="J49" i="32"/>
  <c r="I49" i="32"/>
  <c r="D49" i="32"/>
  <c r="C49" i="32"/>
  <c r="A49" i="32"/>
  <c r="K48" i="32"/>
  <c r="J48" i="32"/>
  <c r="I48" i="32"/>
  <c r="D48" i="32"/>
  <c r="C48" i="32"/>
  <c r="A48" i="32"/>
  <c r="K47" i="32"/>
  <c r="J47" i="32"/>
  <c r="I47" i="32"/>
  <c r="D47" i="32"/>
  <c r="C47" i="32"/>
  <c r="A47" i="32"/>
  <c r="K46" i="32"/>
  <c r="I46" i="32"/>
  <c r="J46" i="32" s="1"/>
  <c r="D46" i="32"/>
  <c r="C46" i="32"/>
  <c r="A46" i="32"/>
  <c r="K45" i="32"/>
  <c r="I45" i="32"/>
  <c r="J45" i="32" s="1"/>
  <c r="D45" i="32"/>
  <c r="C45" i="32"/>
  <c r="A45" i="32"/>
  <c r="K44" i="32"/>
  <c r="J44" i="32"/>
  <c r="I44" i="32"/>
  <c r="D44" i="32"/>
  <c r="C44" i="32"/>
  <c r="A44" i="32"/>
  <c r="K43" i="32"/>
  <c r="J43" i="32"/>
  <c r="I43" i="32"/>
  <c r="D43" i="32"/>
  <c r="C43" i="32"/>
  <c r="A43" i="32"/>
  <c r="K42" i="32"/>
  <c r="I42" i="32"/>
  <c r="J42" i="32" s="1"/>
  <c r="D42" i="32"/>
  <c r="C42" i="32"/>
  <c r="A42" i="32"/>
  <c r="K41" i="32"/>
  <c r="I41" i="32"/>
  <c r="J41" i="32" s="1"/>
  <c r="D41" i="32"/>
  <c r="C41" i="32"/>
  <c r="A41" i="32"/>
  <c r="K40" i="32"/>
  <c r="J40" i="32"/>
  <c r="I40" i="32"/>
  <c r="D40" i="32"/>
  <c r="C40" i="32"/>
  <c r="A40" i="32"/>
  <c r="K39" i="32"/>
  <c r="I39" i="32"/>
  <c r="J39" i="32" s="1"/>
  <c r="D39" i="32"/>
  <c r="C39" i="32"/>
  <c r="A39" i="32"/>
  <c r="K38" i="32"/>
  <c r="I38" i="32"/>
  <c r="J38" i="32" s="1"/>
  <c r="D38" i="32"/>
  <c r="C38" i="32"/>
  <c r="A38" i="32"/>
  <c r="K37" i="32"/>
  <c r="J37" i="32"/>
  <c r="I37" i="32"/>
  <c r="D37" i="32"/>
  <c r="C37" i="32"/>
  <c r="A37" i="32"/>
  <c r="K36" i="32"/>
  <c r="J36" i="32"/>
  <c r="I36" i="32"/>
  <c r="D36" i="32"/>
  <c r="C36" i="32"/>
  <c r="A36" i="32"/>
  <c r="K35" i="32"/>
  <c r="J35" i="32"/>
  <c r="I35" i="32"/>
  <c r="D35" i="32"/>
  <c r="C35" i="32"/>
  <c r="A35" i="32"/>
  <c r="K34" i="32"/>
  <c r="I34" i="32"/>
  <c r="J34" i="32" s="1"/>
  <c r="D34" i="32"/>
  <c r="C34" i="32"/>
  <c r="A34" i="32"/>
  <c r="K33" i="32"/>
  <c r="I33" i="32"/>
  <c r="J33" i="32" s="1"/>
  <c r="D33" i="32"/>
  <c r="C33" i="32"/>
  <c r="A33" i="32"/>
  <c r="K32" i="32"/>
  <c r="J32" i="32"/>
  <c r="I32" i="32"/>
  <c r="D32" i="32"/>
  <c r="C32" i="32"/>
  <c r="A32" i="32"/>
  <c r="K31" i="32"/>
  <c r="J31" i="32"/>
  <c r="I31" i="32"/>
  <c r="D31" i="32"/>
  <c r="C31" i="32"/>
  <c r="A31" i="32"/>
  <c r="K30" i="32"/>
  <c r="I30" i="32"/>
  <c r="J30" i="32" s="1"/>
  <c r="D30" i="32"/>
  <c r="C30" i="32"/>
  <c r="A30" i="32"/>
  <c r="K29" i="32"/>
  <c r="J29" i="32"/>
  <c r="I29" i="32"/>
  <c r="D29" i="32"/>
  <c r="C29" i="32"/>
  <c r="A29" i="32"/>
  <c r="K28" i="32"/>
  <c r="J28" i="32"/>
  <c r="I28" i="32"/>
  <c r="D28" i="32"/>
  <c r="C28" i="32"/>
  <c r="A28" i="32"/>
  <c r="K27" i="32"/>
  <c r="I27" i="32"/>
  <c r="J27" i="32" s="1"/>
  <c r="D27" i="32"/>
  <c r="C27" i="32"/>
  <c r="A27" i="32"/>
  <c r="K26" i="32"/>
  <c r="I26" i="32"/>
  <c r="J26" i="32" s="1"/>
  <c r="D26" i="32"/>
  <c r="C26" i="32"/>
  <c r="A26" i="32"/>
  <c r="K25" i="32"/>
  <c r="I25" i="32"/>
  <c r="J25" i="32" s="1"/>
  <c r="D25" i="32"/>
  <c r="C25" i="32"/>
  <c r="A25" i="32"/>
  <c r="K24" i="32"/>
  <c r="J24" i="32"/>
  <c r="I24" i="32"/>
  <c r="D24" i="32"/>
  <c r="C24" i="32"/>
  <c r="A24" i="32"/>
  <c r="K23" i="32"/>
  <c r="I23" i="32"/>
  <c r="J23" i="32" s="1"/>
  <c r="D23" i="32"/>
  <c r="C23" i="32"/>
  <c r="A23" i="32"/>
  <c r="K22" i="32"/>
  <c r="I22" i="32"/>
  <c r="J22" i="32" s="1"/>
  <c r="D22" i="32"/>
  <c r="C22" i="32"/>
  <c r="A22" i="32"/>
  <c r="K21" i="32"/>
  <c r="J21" i="32"/>
  <c r="I21" i="32"/>
  <c r="D21" i="32"/>
  <c r="C21" i="32"/>
  <c r="A21" i="32"/>
  <c r="K20" i="32"/>
  <c r="J20" i="32"/>
  <c r="I20" i="32"/>
  <c r="D20" i="32"/>
  <c r="C20" i="32"/>
  <c r="A20" i="32"/>
  <c r="K19" i="32"/>
  <c r="J19" i="32"/>
  <c r="I19" i="32"/>
  <c r="D19" i="32"/>
  <c r="C19" i="32"/>
  <c r="A19" i="32"/>
  <c r="K18" i="32"/>
  <c r="I18" i="32"/>
  <c r="J18" i="32" s="1"/>
  <c r="D18" i="32"/>
  <c r="C18" i="32"/>
  <c r="A18" i="32"/>
  <c r="K17" i="32"/>
  <c r="I17" i="32"/>
  <c r="J17" i="32" s="1"/>
  <c r="D17" i="32"/>
  <c r="C17" i="32"/>
  <c r="A17" i="32"/>
  <c r="K16" i="32"/>
  <c r="J16" i="32"/>
  <c r="I16" i="32"/>
  <c r="D16" i="32"/>
  <c r="C16" i="32"/>
  <c r="A16" i="32"/>
  <c r="K15" i="32"/>
  <c r="I15" i="32"/>
  <c r="J15" i="32" s="1"/>
  <c r="D15" i="32"/>
  <c r="C15" i="32"/>
  <c r="A15" i="32"/>
  <c r="K14" i="32"/>
  <c r="I14" i="32"/>
  <c r="J14" i="32" s="1"/>
  <c r="D14" i="32"/>
  <c r="C14" i="32"/>
  <c r="A14" i="32"/>
  <c r="B9" i="32"/>
  <c r="B10" i="32" s="1"/>
  <c r="B8" i="32"/>
  <c r="J208" i="31"/>
  <c r="K208" i="31" s="1"/>
  <c r="G208" i="31"/>
  <c r="D208" i="31"/>
  <c r="C208" i="31"/>
  <c r="B208" i="31"/>
  <c r="K207" i="31"/>
  <c r="J207" i="31"/>
  <c r="G207" i="31"/>
  <c r="D207" i="31"/>
  <c r="C207" i="31"/>
  <c r="B207" i="31"/>
  <c r="K206" i="31"/>
  <c r="J206" i="31"/>
  <c r="G206" i="31"/>
  <c r="D206" i="31"/>
  <c r="C206" i="31"/>
  <c r="B206" i="31"/>
  <c r="K205" i="31"/>
  <c r="J205" i="31"/>
  <c r="G205" i="31"/>
  <c r="D205" i="31"/>
  <c r="C205" i="31"/>
  <c r="B205" i="31"/>
  <c r="J204" i="31"/>
  <c r="K204" i="31" s="1"/>
  <c r="G204" i="31"/>
  <c r="D204" i="31"/>
  <c r="C204" i="31"/>
  <c r="B204" i="31"/>
  <c r="J203" i="31"/>
  <c r="K203" i="31" s="1"/>
  <c r="G203" i="31"/>
  <c r="D203" i="31"/>
  <c r="C203" i="31"/>
  <c r="B203" i="31"/>
  <c r="K202" i="31"/>
  <c r="J202" i="31"/>
  <c r="G202" i="31"/>
  <c r="D202" i="31"/>
  <c r="C202" i="31"/>
  <c r="B202" i="31"/>
  <c r="J201" i="31"/>
  <c r="K201" i="31" s="1"/>
  <c r="G201" i="31"/>
  <c r="D201" i="31"/>
  <c r="C201" i="31"/>
  <c r="B201" i="31"/>
  <c r="J200" i="31"/>
  <c r="K200" i="31" s="1"/>
  <c r="G200" i="31"/>
  <c r="D200" i="31"/>
  <c r="C200" i="31"/>
  <c r="B200" i="31"/>
  <c r="K199" i="31"/>
  <c r="J199" i="31"/>
  <c r="G199" i="31"/>
  <c r="D199" i="31"/>
  <c r="C199" i="31"/>
  <c r="B199" i="31"/>
  <c r="K198" i="31"/>
  <c r="J198" i="31"/>
  <c r="G198" i="31"/>
  <c r="D198" i="31"/>
  <c r="C198" i="31"/>
  <c r="B198" i="31"/>
  <c r="J197" i="31"/>
  <c r="K197" i="31" s="1"/>
  <c r="G197" i="31"/>
  <c r="D197" i="31"/>
  <c r="C197" i="31"/>
  <c r="B197" i="31"/>
  <c r="J196" i="31"/>
  <c r="K196" i="31" s="1"/>
  <c r="G196" i="31"/>
  <c r="D196" i="31"/>
  <c r="C196" i="31"/>
  <c r="B196" i="31"/>
  <c r="J195" i="31"/>
  <c r="K195" i="31" s="1"/>
  <c r="G195" i="31"/>
  <c r="D195" i="31"/>
  <c r="C195" i="31"/>
  <c r="B195" i="31"/>
  <c r="K194" i="31"/>
  <c r="J194" i="31"/>
  <c r="G194" i="31"/>
  <c r="D194" i="31"/>
  <c r="C194" i="31"/>
  <c r="B194" i="31"/>
  <c r="J193" i="31"/>
  <c r="K193" i="31" s="1"/>
  <c r="G193" i="31"/>
  <c r="D193" i="31"/>
  <c r="C193" i="31"/>
  <c r="B193" i="31"/>
  <c r="J192" i="31"/>
  <c r="K192" i="31" s="1"/>
  <c r="G192" i="31"/>
  <c r="D192" i="31"/>
  <c r="C192" i="31"/>
  <c r="B192" i="31"/>
  <c r="K191" i="31"/>
  <c r="J191" i="31"/>
  <c r="G191" i="31"/>
  <c r="D191" i="31"/>
  <c r="C191" i="31"/>
  <c r="B191" i="31"/>
  <c r="K190" i="31"/>
  <c r="J190" i="31"/>
  <c r="G190" i="31"/>
  <c r="D190" i="31"/>
  <c r="C190" i="31"/>
  <c r="B190" i="31"/>
  <c r="K189" i="31"/>
  <c r="J189" i="31"/>
  <c r="G189" i="31"/>
  <c r="D189" i="31"/>
  <c r="C189" i="31"/>
  <c r="B189" i="31"/>
  <c r="J188" i="31"/>
  <c r="K188" i="31" s="1"/>
  <c r="G188" i="31"/>
  <c r="D188" i="31"/>
  <c r="C188" i="31"/>
  <c r="B188" i="31"/>
  <c r="J187" i="31"/>
  <c r="K187" i="31" s="1"/>
  <c r="G187" i="31"/>
  <c r="D187" i="31"/>
  <c r="C187" i="31"/>
  <c r="B187" i="31"/>
  <c r="K186" i="31"/>
  <c r="J186" i="31"/>
  <c r="G186" i="31"/>
  <c r="D186" i="31"/>
  <c r="C186" i="31"/>
  <c r="B186" i="31"/>
  <c r="J185" i="31"/>
  <c r="K185" i="31" s="1"/>
  <c r="G185" i="31"/>
  <c r="D185" i="31"/>
  <c r="C185" i="31"/>
  <c r="B185" i="31"/>
  <c r="J184" i="31"/>
  <c r="K184" i="31" s="1"/>
  <c r="G184" i="31"/>
  <c r="D184" i="31"/>
  <c r="C184" i="31"/>
  <c r="B184" i="31"/>
  <c r="J183" i="31"/>
  <c r="K183" i="31" s="1"/>
  <c r="G183" i="31"/>
  <c r="D183" i="31"/>
  <c r="C183" i="31"/>
  <c r="B183" i="31"/>
  <c r="K182" i="31"/>
  <c r="J182" i="31"/>
  <c r="G182" i="31"/>
  <c r="D182" i="31"/>
  <c r="C182" i="31"/>
  <c r="B182" i="31"/>
  <c r="K181" i="31"/>
  <c r="J181" i="31"/>
  <c r="G181" i="31"/>
  <c r="D181" i="31"/>
  <c r="C181" i="31"/>
  <c r="B181" i="31"/>
  <c r="J180" i="31"/>
  <c r="K180" i="31" s="1"/>
  <c r="G180" i="31"/>
  <c r="D180" i="31"/>
  <c r="C180" i="31"/>
  <c r="B180" i="31"/>
  <c r="J179" i="31"/>
  <c r="K179" i="31" s="1"/>
  <c r="G179" i="31"/>
  <c r="D179" i="31"/>
  <c r="C179" i="31"/>
  <c r="B179" i="31"/>
  <c r="K178" i="31"/>
  <c r="J178" i="31"/>
  <c r="G178" i="31"/>
  <c r="D178" i="31"/>
  <c r="C178" i="31"/>
  <c r="B178" i="31"/>
  <c r="J177" i="31"/>
  <c r="K177" i="31" s="1"/>
  <c r="G177" i="31"/>
  <c r="D177" i="31"/>
  <c r="C177" i="31"/>
  <c r="B177" i="31"/>
  <c r="J176" i="31"/>
  <c r="K176" i="31" s="1"/>
  <c r="G176" i="31"/>
  <c r="D176" i="31"/>
  <c r="C176" i="31"/>
  <c r="B176" i="31"/>
  <c r="K175" i="31"/>
  <c r="J175" i="31"/>
  <c r="G175" i="31"/>
  <c r="D175" i="31"/>
  <c r="C175" i="31"/>
  <c r="B175" i="31"/>
  <c r="K174" i="31"/>
  <c r="J174" i="31"/>
  <c r="G174" i="31"/>
  <c r="D174" i="31"/>
  <c r="C174" i="31"/>
  <c r="B174" i="31"/>
  <c r="K173" i="31"/>
  <c r="J173" i="31"/>
  <c r="G173" i="31"/>
  <c r="D173" i="31"/>
  <c r="C173" i="31"/>
  <c r="B173" i="31"/>
  <c r="J172" i="31"/>
  <c r="K172" i="31" s="1"/>
  <c r="G172" i="31"/>
  <c r="D172" i="31"/>
  <c r="C172" i="31"/>
  <c r="B172" i="31"/>
  <c r="J171" i="31"/>
  <c r="K171" i="31" s="1"/>
  <c r="G171" i="31"/>
  <c r="D171" i="31"/>
  <c r="C171" i="31"/>
  <c r="B171" i="31"/>
  <c r="K170" i="31"/>
  <c r="J170" i="31"/>
  <c r="G170" i="31"/>
  <c r="D170" i="31"/>
  <c r="C170" i="31"/>
  <c r="B170" i="31"/>
  <c r="J169" i="31"/>
  <c r="K169" i="31" s="1"/>
  <c r="G169" i="31"/>
  <c r="D169" i="31"/>
  <c r="C169" i="31"/>
  <c r="B169" i="31"/>
  <c r="J168" i="31"/>
  <c r="K168" i="31" s="1"/>
  <c r="G168" i="31"/>
  <c r="D168" i="31"/>
  <c r="C168" i="31"/>
  <c r="B168" i="31"/>
  <c r="K167" i="31"/>
  <c r="J167" i="31"/>
  <c r="G167" i="31"/>
  <c r="D167" i="31"/>
  <c r="C167" i="31"/>
  <c r="B167" i="31"/>
  <c r="K166" i="31"/>
  <c r="J166" i="31"/>
  <c r="G166" i="31"/>
  <c r="D166" i="31"/>
  <c r="C166" i="31"/>
  <c r="B166" i="31"/>
  <c r="J165" i="31"/>
  <c r="K165" i="31" s="1"/>
  <c r="G165" i="31"/>
  <c r="D165" i="31"/>
  <c r="C165" i="31"/>
  <c r="B165" i="31"/>
  <c r="J164" i="31"/>
  <c r="K164" i="31" s="1"/>
  <c r="G164" i="31"/>
  <c r="D164" i="31"/>
  <c r="C164" i="31"/>
  <c r="B164" i="31"/>
  <c r="J163" i="31"/>
  <c r="K163" i="31" s="1"/>
  <c r="G163" i="31"/>
  <c r="D163" i="31"/>
  <c r="C163" i="31"/>
  <c r="B163" i="31"/>
  <c r="K162" i="31"/>
  <c r="J162" i="31"/>
  <c r="G162" i="31"/>
  <c r="D162" i="31"/>
  <c r="C162" i="31"/>
  <c r="B162" i="31"/>
  <c r="J161" i="31"/>
  <c r="K161" i="31" s="1"/>
  <c r="G161" i="31"/>
  <c r="D161" i="31"/>
  <c r="C161" i="31"/>
  <c r="B161" i="31"/>
  <c r="J160" i="31"/>
  <c r="K160" i="31" s="1"/>
  <c r="G160" i="31"/>
  <c r="D160" i="31"/>
  <c r="C160" i="31"/>
  <c r="B160" i="31"/>
  <c r="K159" i="31"/>
  <c r="J159" i="31"/>
  <c r="G159" i="31"/>
  <c r="D159" i="31"/>
  <c r="C159" i="31"/>
  <c r="B159" i="31"/>
  <c r="K158" i="31"/>
  <c r="J158" i="31"/>
  <c r="G158" i="31"/>
  <c r="D158" i="31"/>
  <c r="C158" i="31"/>
  <c r="B158" i="31"/>
  <c r="K157" i="31"/>
  <c r="J157" i="31"/>
  <c r="G157" i="31"/>
  <c r="D157" i="31"/>
  <c r="C157" i="31"/>
  <c r="B157" i="31"/>
  <c r="J156" i="31"/>
  <c r="K156" i="31" s="1"/>
  <c r="G156" i="31"/>
  <c r="D156" i="31"/>
  <c r="C156" i="31"/>
  <c r="B156" i="31"/>
  <c r="J155" i="31"/>
  <c r="K155" i="31" s="1"/>
  <c r="G155" i="31"/>
  <c r="D155" i="31"/>
  <c r="C155" i="31"/>
  <c r="B155" i="31"/>
  <c r="K154" i="31"/>
  <c r="J154" i="31"/>
  <c r="G154" i="31"/>
  <c r="D154" i="31"/>
  <c r="C154" i="31"/>
  <c r="B154" i="31"/>
  <c r="J153" i="31"/>
  <c r="K153" i="31" s="1"/>
  <c r="G153" i="31"/>
  <c r="D153" i="31"/>
  <c r="C153" i="31"/>
  <c r="B153" i="31"/>
  <c r="J152" i="31"/>
  <c r="K152" i="31" s="1"/>
  <c r="G152" i="31"/>
  <c r="D152" i="31"/>
  <c r="C152" i="31"/>
  <c r="B152" i="31"/>
  <c r="K151" i="31"/>
  <c r="J151" i="31"/>
  <c r="G151" i="31"/>
  <c r="D151" i="31"/>
  <c r="C151" i="31"/>
  <c r="B151" i="31"/>
  <c r="K150" i="31"/>
  <c r="J150" i="31"/>
  <c r="G150" i="31"/>
  <c r="D150" i="31"/>
  <c r="C150" i="31"/>
  <c r="B150" i="31"/>
  <c r="K149" i="31"/>
  <c r="J149" i="31"/>
  <c r="G149" i="31"/>
  <c r="D149" i="31"/>
  <c r="C149" i="31"/>
  <c r="B149" i="31"/>
  <c r="J148" i="31"/>
  <c r="K148" i="31" s="1"/>
  <c r="G148" i="31"/>
  <c r="D148" i="31"/>
  <c r="C148" i="31"/>
  <c r="B148" i="31"/>
  <c r="J147" i="31"/>
  <c r="K147" i="31" s="1"/>
  <c r="G147" i="31"/>
  <c r="D147" i="31"/>
  <c r="C147" i="31"/>
  <c r="B147" i="31"/>
  <c r="K146" i="31"/>
  <c r="J146" i="31"/>
  <c r="G146" i="31"/>
  <c r="D146" i="31"/>
  <c r="C146" i="31"/>
  <c r="B146" i="31"/>
  <c r="J145" i="31"/>
  <c r="K145" i="31" s="1"/>
  <c r="G145" i="31"/>
  <c r="D145" i="31"/>
  <c r="C145" i="31"/>
  <c r="B145" i="31"/>
  <c r="J144" i="31"/>
  <c r="K144" i="31" s="1"/>
  <c r="G144" i="31"/>
  <c r="D144" i="31"/>
  <c r="C144" i="31"/>
  <c r="B144" i="31"/>
  <c r="K143" i="31"/>
  <c r="J143" i="31"/>
  <c r="G143" i="31"/>
  <c r="D143" i="31"/>
  <c r="C143" i="31"/>
  <c r="B143" i="31"/>
  <c r="K142" i="31"/>
  <c r="J142" i="31"/>
  <c r="G142" i="31"/>
  <c r="D142" i="31"/>
  <c r="C142" i="31"/>
  <c r="B142" i="31"/>
  <c r="K141" i="31"/>
  <c r="J141" i="31"/>
  <c r="G141" i="31"/>
  <c r="D141" i="31"/>
  <c r="C141" i="31"/>
  <c r="B141" i="31"/>
  <c r="J140" i="31"/>
  <c r="K140" i="31" s="1"/>
  <c r="G140" i="31"/>
  <c r="D140" i="31"/>
  <c r="C140" i="31"/>
  <c r="B140" i="31"/>
  <c r="J139" i="31"/>
  <c r="K139" i="31" s="1"/>
  <c r="G139" i="31"/>
  <c r="D139" i="31"/>
  <c r="C139" i="31"/>
  <c r="B139" i="31"/>
  <c r="K138" i="31"/>
  <c r="J138" i="31"/>
  <c r="G138" i="31"/>
  <c r="D138" i="31"/>
  <c r="C138" i="31"/>
  <c r="B138" i="31"/>
  <c r="J137" i="31"/>
  <c r="K137" i="31" s="1"/>
  <c r="G137" i="31"/>
  <c r="D137" i="31"/>
  <c r="C137" i="31"/>
  <c r="B137" i="31"/>
  <c r="J136" i="31"/>
  <c r="K136" i="31" s="1"/>
  <c r="G136" i="31"/>
  <c r="D136" i="31"/>
  <c r="C136" i="31"/>
  <c r="B136" i="31"/>
  <c r="K135" i="31"/>
  <c r="J135" i="31"/>
  <c r="G135" i="31"/>
  <c r="D135" i="31"/>
  <c r="C135" i="31"/>
  <c r="B135" i="31"/>
  <c r="K134" i="31"/>
  <c r="J134" i="31"/>
  <c r="G134" i="31"/>
  <c r="D134" i="31"/>
  <c r="C134" i="31"/>
  <c r="B134" i="31"/>
  <c r="K133" i="31"/>
  <c r="J133" i="31"/>
  <c r="G133" i="31"/>
  <c r="D133" i="31"/>
  <c r="C133" i="31"/>
  <c r="B133" i="31"/>
  <c r="J132" i="31"/>
  <c r="K132" i="31" s="1"/>
  <c r="G132" i="31"/>
  <c r="D132" i="31"/>
  <c r="C132" i="31"/>
  <c r="B132" i="31"/>
  <c r="J131" i="31"/>
  <c r="K131" i="31" s="1"/>
  <c r="G131" i="31"/>
  <c r="D131" i="31"/>
  <c r="C131" i="31"/>
  <c r="B131" i="31"/>
  <c r="K130" i="31"/>
  <c r="J130" i="31"/>
  <c r="G130" i="31"/>
  <c r="D130" i="31"/>
  <c r="C130" i="31"/>
  <c r="B130" i="31"/>
  <c r="J129" i="31"/>
  <c r="K129" i="31" s="1"/>
  <c r="G129" i="31"/>
  <c r="D129" i="31"/>
  <c r="C129" i="31"/>
  <c r="B129" i="31"/>
  <c r="J128" i="31"/>
  <c r="K128" i="31" s="1"/>
  <c r="G128" i="31"/>
  <c r="D128" i="31"/>
  <c r="C128" i="31"/>
  <c r="B128" i="31"/>
  <c r="K127" i="31"/>
  <c r="J127" i="31"/>
  <c r="G127" i="31"/>
  <c r="D127" i="31"/>
  <c r="C127" i="31"/>
  <c r="B127" i="31"/>
  <c r="K126" i="31"/>
  <c r="J126" i="31"/>
  <c r="G126" i="31"/>
  <c r="D126" i="31"/>
  <c r="C126" i="31"/>
  <c r="B126" i="31"/>
  <c r="K125" i="31"/>
  <c r="J125" i="31"/>
  <c r="G125" i="31"/>
  <c r="D125" i="31"/>
  <c r="C125" i="31"/>
  <c r="B125" i="31"/>
  <c r="J124" i="31"/>
  <c r="K124" i="31" s="1"/>
  <c r="G124" i="31"/>
  <c r="D124" i="31"/>
  <c r="C124" i="31"/>
  <c r="B124" i="31"/>
  <c r="J123" i="31"/>
  <c r="K123" i="31" s="1"/>
  <c r="G123" i="31"/>
  <c r="D123" i="31"/>
  <c r="C123" i="31"/>
  <c r="B123" i="31"/>
  <c r="K122" i="31"/>
  <c r="J122" i="31"/>
  <c r="G122" i="31"/>
  <c r="D122" i="31"/>
  <c r="C122" i="31"/>
  <c r="B122" i="31"/>
  <c r="J121" i="31"/>
  <c r="K121" i="31" s="1"/>
  <c r="G121" i="31"/>
  <c r="D121" i="31"/>
  <c r="C121" i="31"/>
  <c r="B121" i="31"/>
  <c r="J120" i="31"/>
  <c r="K120" i="31" s="1"/>
  <c r="G120" i="31"/>
  <c r="D120" i="31"/>
  <c r="C120" i="31"/>
  <c r="B120" i="31"/>
  <c r="K119" i="31"/>
  <c r="J119" i="31"/>
  <c r="G119" i="31"/>
  <c r="D119" i="31"/>
  <c r="C119" i="31"/>
  <c r="B119" i="31"/>
  <c r="K118" i="31"/>
  <c r="J118" i="31"/>
  <c r="G118" i="31"/>
  <c r="D118" i="31"/>
  <c r="C118" i="31"/>
  <c r="B118" i="31"/>
  <c r="K117" i="31"/>
  <c r="J117" i="31"/>
  <c r="G117" i="31"/>
  <c r="D117" i="31"/>
  <c r="C117" i="31"/>
  <c r="B117" i="31"/>
  <c r="J116" i="31"/>
  <c r="K116" i="31" s="1"/>
  <c r="G116" i="31"/>
  <c r="D116" i="31"/>
  <c r="C116" i="31"/>
  <c r="B116" i="31"/>
  <c r="J115" i="31"/>
  <c r="K115" i="31" s="1"/>
  <c r="G115" i="31"/>
  <c r="D115" i="31"/>
  <c r="C115" i="31"/>
  <c r="B115" i="31"/>
  <c r="K114" i="31"/>
  <c r="J114" i="31"/>
  <c r="G114" i="31"/>
  <c r="D114" i="31"/>
  <c r="C114" i="31"/>
  <c r="B114" i="31"/>
  <c r="J113" i="31"/>
  <c r="K113" i="31" s="1"/>
  <c r="G113" i="31"/>
  <c r="D113" i="31"/>
  <c r="C113" i="31"/>
  <c r="B113" i="31"/>
  <c r="J112" i="31"/>
  <c r="K112" i="31" s="1"/>
  <c r="G112" i="31"/>
  <c r="D112" i="31"/>
  <c r="C112" i="31"/>
  <c r="B112" i="31"/>
  <c r="K111" i="31"/>
  <c r="J111" i="31"/>
  <c r="G111" i="31"/>
  <c r="D111" i="31"/>
  <c r="C111" i="31"/>
  <c r="B111" i="31"/>
  <c r="K110" i="31"/>
  <c r="J110" i="31"/>
  <c r="G110" i="31"/>
  <c r="D110" i="31"/>
  <c r="C110" i="31"/>
  <c r="B110" i="31"/>
  <c r="K109" i="31"/>
  <c r="J109" i="31"/>
  <c r="G109" i="31"/>
  <c r="D109" i="31"/>
  <c r="C109" i="31"/>
  <c r="B109" i="31"/>
  <c r="J108" i="31"/>
  <c r="K108" i="31" s="1"/>
  <c r="G108" i="31"/>
  <c r="D108" i="31"/>
  <c r="C108" i="31"/>
  <c r="B108" i="31"/>
  <c r="J107" i="31"/>
  <c r="K107" i="31" s="1"/>
  <c r="G107" i="31"/>
  <c r="D107" i="31"/>
  <c r="C107" i="31"/>
  <c r="B107" i="31"/>
  <c r="K106" i="31"/>
  <c r="J106" i="31"/>
  <c r="G106" i="31"/>
  <c r="D106" i="31"/>
  <c r="C106" i="31"/>
  <c r="B106" i="31"/>
  <c r="J105" i="31"/>
  <c r="K105" i="31" s="1"/>
  <c r="G105" i="31"/>
  <c r="D105" i="31"/>
  <c r="C105" i="31"/>
  <c r="B105" i="31"/>
  <c r="J104" i="31"/>
  <c r="K104" i="31" s="1"/>
  <c r="G104" i="31"/>
  <c r="D104" i="31"/>
  <c r="C104" i="31"/>
  <c r="B104" i="31"/>
  <c r="K103" i="31"/>
  <c r="J103" i="31"/>
  <c r="G103" i="31"/>
  <c r="D103" i="31"/>
  <c r="C103" i="31"/>
  <c r="B103" i="31"/>
  <c r="K102" i="31"/>
  <c r="J102" i="31"/>
  <c r="G102" i="31"/>
  <c r="D102" i="31"/>
  <c r="C102" i="31"/>
  <c r="B102" i="31"/>
  <c r="K101" i="31"/>
  <c r="J101" i="31"/>
  <c r="G101" i="31"/>
  <c r="D101" i="31"/>
  <c r="C101" i="31"/>
  <c r="B101" i="31"/>
  <c r="J100" i="31"/>
  <c r="K100" i="31" s="1"/>
  <c r="G100" i="31"/>
  <c r="D100" i="31"/>
  <c r="C100" i="31"/>
  <c r="B100" i="31"/>
  <c r="J99" i="31"/>
  <c r="K99" i="31" s="1"/>
  <c r="G99" i="31"/>
  <c r="D99" i="31"/>
  <c r="C99" i="31"/>
  <c r="B99" i="31"/>
  <c r="K98" i="31"/>
  <c r="J98" i="31"/>
  <c r="G98" i="31"/>
  <c r="D98" i="31"/>
  <c r="C98" i="31"/>
  <c r="B98" i="31"/>
  <c r="J97" i="31"/>
  <c r="K97" i="31" s="1"/>
  <c r="G97" i="31"/>
  <c r="D97" i="31"/>
  <c r="C97" i="31"/>
  <c r="B97" i="31"/>
  <c r="J96" i="31"/>
  <c r="K96" i="31" s="1"/>
  <c r="G96" i="31"/>
  <c r="D96" i="31"/>
  <c r="C96" i="31"/>
  <c r="B96" i="31"/>
  <c r="K95" i="31"/>
  <c r="J95" i="31"/>
  <c r="G95" i="31"/>
  <c r="D95" i="31"/>
  <c r="C95" i="31"/>
  <c r="B95" i="31"/>
  <c r="K94" i="31"/>
  <c r="J94" i="31"/>
  <c r="G94" i="31"/>
  <c r="D94" i="31"/>
  <c r="C94" i="31"/>
  <c r="B94" i="31"/>
  <c r="K93" i="31"/>
  <c r="J93" i="31"/>
  <c r="G93" i="31"/>
  <c r="D93" i="31"/>
  <c r="C93" i="31"/>
  <c r="B93" i="31"/>
  <c r="J92" i="31"/>
  <c r="K92" i="31" s="1"/>
  <c r="G92" i="31"/>
  <c r="D92" i="31"/>
  <c r="C92" i="31"/>
  <c r="B92" i="31"/>
  <c r="J91" i="31"/>
  <c r="K91" i="31" s="1"/>
  <c r="G91" i="31"/>
  <c r="D91" i="31"/>
  <c r="C91" i="31"/>
  <c r="B91" i="31"/>
  <c r="K90" i="31"/>
  <c r="J90" i="31"/>
  <c r="G90" i="31"/>
  <c r="D90" i="31"/>
  <c r="C90" i="31"/>
  <c r="B90" i="31"/>
  <c r="J89" i="31"/>
  <c r="K89" i="31" s="1"/>
  <c r="G89" i="31"/>
  <c r="D89" i="31"/>
  <c r="C89" i="31"/>
  <c r="B89" i="31"/>
  <c r="J88" i="31"/>
  <c r="K88" i="31" s="1"/>
  <c r="G88" i="31"/>
  <c r="D88" i="31"/>
  <c r="C88" i="31"/>
  <c r="B88" i="31"/>
  <c r="K87" i="31"/>
  <c r="J87" i="31"/>
  <c r="G87" i="31"/>
  <c r="D87" i="31"/>
  <c r="C87" i="31"/>
  <c r="B87" i="31"/>
  <c r="K86" i="31"/>
  <c r="J86" i="31"/>
  <c r="G86" i="31"/>
  <c r="D86" i="31"/>
  <c r="C86" i="31"/>
  <c r="B86" i="31"/>
  <c r="K85" i="31"/>
  <c r="J85" i="31"/>
  <c r="G85" i="31"/>
  <c r="D85" i="31"/>
  <c r="C85" i="31"/>
  <c r="B85" i="31"/>
  <c r="J84" i="31"/>
  <c r="K84" i="31" s="1"/>
  <c r="G84" i="31"/>
  <c r="D84" i="31"/>
  <c r="C84" i="31"/>
  <c r="B84" i="31"/>
  <c r="J83" i="31"/>
  <c r="K83" i="31" s="1"/>
  <c r="G83" i="31"/>
  <c r="D83" i="31"/>
  <c r="C83" i="31"/>
  <c r="B83" i="31"/>
  <c r="K82" i="31"/>
  <c r="J82" i="31"/>
  <c r="G82" i="31"/>
  <c r="D82" i="31"/>
  <c r="C82" i="31"/>
  <c r="B82" i="31"/>
  <c r="J81" i="31"/>
  <c r="K81" i="31" s="1"/>
  <c r="G81" i="31"/>
  <c r="D81" i="31"/>
  <c r="C81" i="31"/>
  <c r="B81" i="31"/>
  <c r="J80" i="31"/>
  <c r="K80" i="31" s="1"/>
  <c r="G80" i="31"/>
  <c r="D80" i="31"/>
  <c r="C80" i="31"/>
  <c r="B80" i="31"/>
  <c r="K79" i="31"/>
  <c r="J79" i="31"/>
  <c r="G79" i="31"/>
  <c r="D79" i="31"/>
  <c r="C79" i="31"/>
  <c r="B79" i="31"/>
  <c r="K78" i="31"/>
  <c r="J78" i="31"/>
  <c r="G78" i="31"/>
  <c r="D78" i="31"/>
  <c r="C78" i="31"/>
  <c r="B78" i="31"/>
  <c r="K77" i="31"/>
  <c r="J77" i="31"/>
  <c r="G77" i="31"/>
  <c r="D77" i="31"/>
  <c r="C77" i="31"/>
  <c r="B77" i="31"/>
  <c r="J76" i="31"/>
  <c r="K76" i="31" s="1"/>
  <c r="G76" i="31"/>
  <c r="D76" i="31"/>
  <c r="C76" i="31"/>
  <c r="B76" i="31"/>
  <c r="J75" i="31"/>
  <c r="K75" i="31" s="1"/>
  <c r="G75" i="31"/>
  <c r="D75" i="31"/>
  <c r="C75" i="31"/>
  <c r="B75" i="31"/>
  <c r="K74" i="31"/>
  <c r="J74" i="31"/>
  <c r="G74" i="31"/>
  <c r="D74" i="31"/>
  <c r="C74" i="31"/>
  <c r="B74" i="31"/>
  <c r="J73" i="31"/>
  <c r="K73" i="31" s="1"/>
  <c r="G73" i="31"/>
  <c r="D73" i="31"/>
  <c r="C73" i="31"/>
  <c r="B73" i="31"/>
  <c r="J72" i="31"/>
  <c r="K72" i="31" s="1"/>
  <c r="G72" i="31"/>
  <c r="D72" i="31"/>
  <c r="C72" i="31"/>
  <c r="B72" i="31"/>
  <c r="K71" i="31"/>
  <c r="J71" i="31"/>
  <c r="G71" i="31"/>
  <c r="D71" i="31"/>
  <c r="C71" i="31"/>
  <c r="B71" i="31"/>
  <c r="K70" i="31"/>
  <c r="J70" i="31"/>
  <c r="G70" i="31"/>
  <c r="D70" i="31"/>
  <c r="C70" i="31"/>
  <c r="B70" i="31"/>
  <c r="K69" i="31"/>
  <c r="J69" i="31"/>
  <c r="G69" i="31"/>
  <c r="D69" i="31"/>
  <c r="C69" i="31"/>
  <c r="B69" i="31"/>
  <c r="J68" i="31"/>
  <c r="K68" i="31" s="1"/>
  <c r="G68" i="31"/>
  <c r="D68" i="31"/>
  <c r="C68" i="31"/>
  <c r="B68" i="31"/>
  <c r="J67" i="31"/>
  <c r="K67" i="31" s="1"/>
  <c r="G67" i="31"/>
  <c r="D67" i="31"/>
  <c r="C67" i="31"/>
  <c r="B67" i="31"/>
  <c r="K66" i="31"/>
  <c r="J66" i="31"/>
  <c r="G66" i="31"/>
  <c r="D66" i="31"/>
  <c r="C66" i="31"/>
  <c r="B66" i="31"/>
  <c r="J65" i="31"/>
  <c r="K65" i="31" s="1"/>
  <c r="G65" i="31"/>
  <c r="D65" i="31"/>
  <c r="C65" i="31"/>
  <c r="B65" i="31"/>
  <c r="J64" i="31"/>
  <c r="K64" i="31" s="1"/>
  <c r="G64" i="31"/>
  <c r="D64" i="31"/>
  <c r="C64" i="31"/>
  <c r="B64" i="31"/>
  <c r="K63" i="31"/>
  <c r="J63" i="31"/>
  <c r="G63" i="31"/>
  <c r="D63" i="31"/>
  <c r="C63" i="31"/>
  <c r="B63" i="31"/>
  <c r="K62" i="31"/>
  <c r="J62" i="31"/>
  <c r="G62" i="31"/>
  <c r="D62" i="31"/>
  <c r="C62" i="31"/>
  <c r="B62" i="31"/>
  <c r="K61" i="31"/>
  <c r="J61" i="31"/>
  <c r="G61" i="31"/>
  <c r="D61" i="31"/>
  <c r="C61" i="31"/>
  <c r="B61" i="31"/>
  <c r="J60" i="31"/>
  <c r="K60" i="31" s="1"/>
  <c r="G60" i="31"/>
  <c r="D60" i="31"/>
  <c r="C60" i="31"/>
  <c r="B60" i="31"/>
  <c r="J59" i="31"/>
  <c r="K59" i="31" s="1"/>
  <c r="G59" i="31"/>
  <c r="D59" i="31"/>
  <c r="C59" i="31"/>
  <c r="B59" i="31"/>
  <c r="K58" i="31"/>
  <c r="J58" i="31"/>
  <c r="G58" i="31"/>
  <c r="D58" i="31"/>
  <c r="C58" i="31"/>
  <c r="B58" i="31"/>
  <c r="J57" i="31"/>
  <c r="K57" i="31" s="1"/>
  <c r="G57" i="31"/>
  <c r="D57" i="31"/>
  <c r="C57" i="31"/>
  <c r="B57" i="31"/>
  <c r="J56" i="31"/>
  <c r="K56" i="31" s="1"/>
  <c r="G56" i="31"/>
  <c r="D56" i="31"/>
  <c r="C56" i="31"/>
  <c r="B56" i="31"/>
  <c r="K55" i="31"/>
  <c r="J55" i="31"/>
  <c r="G55" i="31"/>
  <c r="D55" i="31"/>
  <c r="C55" i="31"/>
  <c r="B55" i="31"/>
  <c r="K54" i="31"/>
  <c r="J54" i="31"/>
  <c r="G54" i="31"/>
  <c r="D54" i="31"/>
  <c r="C54" i="31"/>
  <c r="B54" i="31"/>
  <c r="K53" i="31"/>
  <c r="J53" i="31"/>
  <c r="G53" i="31"/>
  <c r="D53" i="31"/>
  <c r="C53" i="31"/>
  <c r="B53" i="31"/>
  <c r="J52" i="31"/>
  <c r="K52" i="31" s="1"/>
  <c r="G52" i="31"/>
  <c r="D52" i="31"/>
  <c r="C52" i="31"/>
  <c r="B52" i="31"/>
  <c r="J51" i="31"/>
  <c r="K51" i="31" s="1"/>
  <c r="G51" i="31"/>
  <c r="D51" i="31"/>
  <c r="C51" i="31"/>
  <c r="B51" i="31"/>
  <c r="K50" i="31"/>
  <c r="J50" i="31"/>
  <c r="G50" i="31"/>
  <c r="D50" i="31"/>
  <c r="C50" i="31"/>
  <c r="B50" i="31"/>
  <c r="J49" i="31"/>
  <c r="K49" i="31" s="1"/>
  <c r="G49" i="31"/>
  <c r="D49" i="31"/>
  <c r="C49" i="31"/>
  <c r="B49" i="31"/>
  <c r="J48" i="31"/>
  <c r="K48" i="31" s="1"/>
  <c r="G48" i="31"/>
  <c r="D48" i="31"/>
  <c r="C48" i="31"/>
  <c r="B48" i="31"/>
  <c r="K47" i="31"/>
  <c r="J47" i="31"/>
  <c r="G47" i="31"/>
  <c r="D47" i="31"/>
  <c r="C47" i="31"/>
  <c r="B47" i="31"/>
  <c r="K46" i="31"/>
  <c r="J46" i="31"/>
  <c r="G46" i="31"/>
  <c r="D46" i="31"/>
  <c r="C46" i="31"/>
  <c r="B46" i="31"/>
  <c r="K45" i="31"/>
  <c r="J45" i="31"/>
  <c r="G45" i="31"/>
  <c r="D45" i="31"/>
  <c r="C45" i="31"/>
  <c r="B45" i="31"/>
  <c r="J44" i="31"/>
  <c r="K44" i="31" s="1"/>
  <c r="G44" i="31"/>
  <c r="D44" i="31"/>
  <c r="C44" i="31"/>
  <c r="B44" i="31"/>
  <c r="J43" i="31"/>
  <c r="K43" i="31" s="1"/>
  <c r="G43" i="31"/>
  <c r="D43" i="31"/>
  <c r="C43" i="31"/>
  <c r="B43" i="31"/>
  <c r="K42" i="31"/>
  <c r="J42" i="31"/>
  <c r="G42" i="31"/>
  <c r="D42" i="31"/>
  <c r="C42" i="31"/>
  <c r="B42" i="31"/>
  <c r="J41" i="31"/>
  <c r="K41" i="31" s="1"/>
  <c r="G41" i="31"/>
  <c r="D41" i="31"/>
  <c r="C41" i="31"/>
  <c r="B41" i="31"/>
  <c r="J40" i="31"/>
  <c r="K40" i="31" s="1"/>
  <c r="G40" i="31"/>
  <c r="D40" i="31"/>
  <c r="C40" i="31"/>
  <c r="B40" i="31"/>
  <c r="K39" i="31"/>
  <c r="J39" i="31"/>
  <c r="G39" i="31"/>
  <c r="D39" i="31"/>
  <c r="C39" i="31"/>
  <c r="B39" i="31"/>
  <c r="K38" i="31"/>
  <c r="J38" i="31"/>
  <c r="G38" i="31"/>
  <c r="D38" i="31"/>
  <c r="C38" i="31"/>
  <c r="B38" i="31"/>
  <c r="K37" i="31"/>
  <c r="J37" i="31"/>
  <c r="G37" i="31"/>
  <c r="D37" i="31"/>
  <c r="C37" i="31"/>
  <c r="B37" i="31"/>
  <c r="J36" i="31"/>
  <c r="K36" i="31" s="1"/>
  <c r="G36" i="31"/>
  <c r="D36" i="31"/>
  <c r="C36" i="31"/>
  <c r="B36" i="31"/>
  <c r="J35" i="31"/>
  <c r="K35" i="31" s="1"/>
  <c r="G35" i="31"/>
  <c r="D35" i="31"/>
  <c r="C35" i="31"/>
  <c r="B35" i="31"/>
  <c r="K34" i="31"/>
  <c r="J34" i="31"/>
  <c r="G34" i="31"/>
  <c r="D34" i="31"/>
  <c r="C34" i="31"/>
  <c r="B34" i="31"/>
  <c r="J33" i="31"/>
  <c r="K33" i="31" s="1"/>
  <c r="G33" i="31"/>
  <c r="D33" i="31"/>
  <c r="C33" i="31"/>
  <c r="B33" i="31"/>
  <c r="J32" i="31"/>
  <c r="K32" i="31" s="1"/>
  <c r="G32" i="31"/>
  <c r="D32" i="31"/>
  <c r="C32" i="31"/>
  <c r="B32" i="31"/>
  <c r="K31" i="31"/>
  <c r="J31" i="31"/>
  <c r="G31" i="31"/>
  <c r="D31" i="31"/>
  <c r="C31" i="31"/>
  <c r="B31" i="31"/>
  <c r="K30" i="31"/>
  <c r="J30" i="31"/>
  <c r="G30" i="31"/>
  <c r="D30" i="31"/>
  <c r="C30" i="31"/>
  <c r="B30" i="31"/>
  <c r="K29" i="31"/>
  <c r="J29" i="31"/>
  <c r="G29" i="31"/>
  <c r="D29" i="31"/>
  <c r="C29" i="31"/>
  <c r="B29" i="31"/>
  <c r="J28" i="31"/>
  <c r="K28" i="31" s="1"/>
  <c r="G28" i="31"/>
  <c r="D28" i="31"/>
  <c r="C28" i="31"/>
  <c r="B28" i="31"/>
  <c r="J27" i="31"/>
  <c r="K27" i="31" s="1"/>
  <c r="G27" i="31"/>
  <c r="D27" i="31"/>
  <c r="C27" i="31"/>
  <c r="B27" i="31"/>
  <c r="K26" i="31"/>
  <c r="J26" i="31"/>
  <c r="G26" i="31"/>
  <c r="D26" i="31"/>
  <c r="C26" i="31"/>
  <c r="B26" i="31"/>
  <c r="J25" i="31"/>
  <c r="K25" i="31" s="1"/>
  <c r="G25" i="31"/>
  <c r="D25" i="31"/>
  <c r="C25" i="31"/>
  <c r="B25" i="31"/>
  <c r="J24" i="31"/>
  <c r="K24" i="31" s="1"/>
  <c r="G24" i="31"/>
  <c r="D24" i="31"/>
  <c r="C24" i="31"/>
  <c r="B24" i="31"/>
  <c r="K23" i="31"/>
  <c r="J23" i="31"/>
  <c r="G23" i="31"/>
  <c r="D23" i="31"/>
  <c r="C23" i="31"/>
  <c r="B23" i="31"/>
  <c r="K22" i="31"/>
  <c r="J22" i="31"/>
  <c r="G22" i="31"/>
  <c r="D22" i="31"/>
  <c r="C22" i="31"/>
  <c r="B22" i="31"/>
  <c r="K21" i="31"/>
  <c r="J21" i="31"/>
  <c r="G21" i="31"/>
  <c r="D21" i="31"/>
  <c r="C21" i="31"/>
  <c r="B21" i="31"/>
  <c r="J20" i="31"/>
  <c r="K20" i="31" s="1"/>
  <c r="G20" i="31"/>
  <c r="D20" i="31"/>
  <c r="C20" i="31"/>
  <c r="B20" i="31"/>
  <c r="J19" i="31"/>
  <c r="K19" i="31" s="1"/>
  <c r="G19" i="31"/>
  <c r="D19" i="31"/>
  <c r="C19" i="31"/>
  <c r="B19" i="31"/>
  <c r="K18" i="31"/>
  <c r="J18" i="31"/>
  <c r="G18" i="31"/>
  <c r="D18" i="31"/>
  <c r="C18" i="31"/>
  <c r="B18" i="31"/>
  <c r="J17" i="31"/>
  <c r="K17" i="31" s="1"/>
  <c r="G17" i="31"/>
  <c r="D17" i="31"/>
  <c r="C17" i="31"/>
  <c r="B17" i="31"/>
  <c r="J16" i="31"/>
  <c r="K16" i="31" s="1"/>
  <c r="G16" i="31"/>
  <c r="D16" i="31"/>
  <c r="C16" i="31"/>
  <c r="B16" i="31"/>
  <c r="K15" i="31"/>
  <c r="J15" i="31"/>
  <c r="G15" i="31"/>
  <c r="D15" i="31"/>
  <c r="C15" i="31"/>
  <c r="B15" i="31"/>
  <c r="K14" i="31"/>
  <c r="J14" i="31"/>
  <c r="G14" i="31"/>
  <c r="D14" i="31"/>
  <c r="C14" i="31"/>
  <c r="B14" i="31"/>
  <c r="K13" i="31"/>
  <c r="J13" i="31"/>
  <c r="G13" i="31"/>
  <c r="D13" i="31"/>
  <c r="C13" i="31"/>
  <c r="B13" i="31"/>
  <c r="J12" i="31"/>
  <c r="K12" i="31" s="1"/>
  <c r="G12" i="31"/>
  <c r="D12" i="31"/>
  <c r="C12" i="31"/>
  <c r="B12" i="31"/>
  <c r="J11" i="31"/>
  <c r="K11" i="31" s="1"/>
  <c r="G11" i="31"/>
  <c r="D11" i="31"/>
  <c r="C11" i="31"/>
  <c r="B11" i="31"/>
  <c r="K10" i="31"/>
  <c r="J10" i="31"/>
  <c r="G10" i="31"/>
  <c r="D10" i="31"/>
  <c r="C10" i="31"/>
  <c r="B10" i="31"/>
  <c r="J9" i="31"/>
  <c r="K9" i="31" s="1"/>
  <c r="G9" i="31"/>
  <c r="D9" i="31"/>
  <c r="C9" i="31"/>
  <c r="B9" i="31"/>
  <c r="K4" i="31"/>
  <c r="G4" i="31"/>
  <c r="D4" i="31"/>
  <c r="A4" i="31"/>
  <c r="J208" i="30"/>
  <c r="I208" i="30"/>
  <c r="F208" i="30"/>
  <c r="D208" i="30"/>
  <c r="C208" i="30"/>
  <c r="B208" i="30"/>
  <c r="J207" i="30"/>
  <c r="I207" i="30"/>
  <c r="F207" i="30"/>
  <c r="D207" i="30"/>
  <c r="C207" i="30"/>
  <c r="B207" i="30"/>
  <c r="I206" i="30"/>
  <c r="J206" i="30" s="1"/>
  <c r="F206" i="30"/>
  <c r="D206" i="30"/>
  <c r="C206" i="30"/>
  <c r="B206" i="30"/>
  <c r="J205" i="30"/>
  <c r="I205" i="30"/>
  <c r="F205" i="30"/>
  <c r="D205" i="30"/>
  <c r="C205" i="30"/>
  <c r="B205" i="30"/>
  <c r="J204" i="30"/>
  <c r="I204" i="30"/>
  <c r="F204" i="30"/>
  <c r="D204" i="30"/>
  <c r="C204" i="30"/>
  <c r="B204" i="30"/>
  <c r="J203" i="30"/>
  <c r="I203" i="30"/>
  <c r="F203" i="30"/>
  <c r="D203" i="30"/>
  <c r="C203" i="30"/>
  <c r="B203" i="30"/>
  <c r="I202" i="30"/>
  <c r="J202" i="30" s="1"/>
  <c r="F202" i="30"/>
  <c r="D202" i="30"/>
  <c r="C202" i="30"/>
  <c r="B202" i="30"/>
  <c r="I201" i="30"/>
  <c r="J201" i="30" s="1"/>
  <c r="F201" i="30"/>
  <c r="D201" i="30"/>
  <c r="C201" i="30"/>
  <c r="B201" i="30"/>
  <c r="J200" i="30"/>
  <c r="I200" i="30"/>
  <c r="F200" i="30"/>
  <c r="D200" i="30"/>
  <c r="C200" i="30"/>
  <c r="B200" i="30"/>
  <c r="I199" i="30"/>
  <c r="J199" i="30" s="1"/>
  <c r="F199" i="30"/>
  <c r="D199" i="30"/>
  <c r="C199" i="30"/>
  <c r="B199" i="30"/>
  <c r="I198" i="30"/>
  <c r="J198" i="30" s="1"/>
  <c r="F198" i="30"/>
  <c r="D198" i="30"/>
  <c r="C198" i="30"/>
  <c r="B198" i="30"/>
  <c r="J197" i="30"/>
  <c r="I197" i="30"/>
  <c r="F197" i="30"/>
  <c r="D197" i="30"/>
  <c r="C197" i="30"/>
  <c r="B197" i="30"/>
  <c r="J196" i="30"/>
  <c r="I196" i="30"/>
  <c r="F196" i="30"/>
  <c r="D196" i="30"/>
  <c r="C196" i="30"/>
  <c r="B196" i="30"/>
  <c r="J195" i="30"/>
  <c r="I195" i="30"/>
  <c r="F195" i="30"/>
  <c r="D195" i="30"/>
  <c r="C195" i="30"/>
  <c r="B195" i="30"/>
  <c r="I194" i="30"/>
  <c r="J194" i="30" s="1"/>
  <c r="F194" i="30"/>
  <c r="D194" i="30"/>
  <c r="C194" i="30"/>
  <c r="B194" i="30"/>
  <c r="J193" i="30"/>
  <c r="I193" i="30"/>
  <c r="F193" i="30"/>
  <c r="D193" i="30"/>
  <c r="C193" i="30"/>
  <c r="B193" i="30"/>
  <c r="I192" i="30"/>
  <c r="J192" i="30" s="1"/>
  <c r="F192" i="30"/>
  <c r="D192" i="30"/>
  <c r="C192" i="30"/>
  <c r="B192" i="30"/>
  <c r="J191" i="30"/>
  <c r="I191" i="30"/>
  <c r="F191" i="30"/>
  <c r="D191" i="30"/>
  <c r="C191" i="30"/>
  <c r="B191" i="30"/>
  <c r="I190" i="30"/>
  <c r="J190" i="30" s="1"/>
  <c r="F190" i="30"/>
  <c r="D190" i="30"/>
  <c r="C190" i="30"/>
  <c r="B190" i="30"/>
  <c r="J189" i="30"/>
  <c r="I189" i="30"/>
  <c r="F189" i="30"/>
  <c r="D189" i="30"/>
  <c r="C189" i="30"/>
  <c r="B189" i="30"/>
  <c r="I188" i="30"/>
  <c r="J188" i="30" s="1"/>
  <c r="F188" i="30"/>
  <c r="D188" i="30"/>
  <c r="C188" i="30"/>
  <c r="B188" i="30"/>
  <c r="J187" i="30"/>
  <c r="I187" i="30"/>
  <c r="F187" i="30"/>
  <c r="D187" i="30"/>
  <c r="C187" i="30"/>
  <c r="B187" i="30"/>
  <c r="I186" i="30"/>
  <c r="J186" i="30" s="1"/>
  <c r="F186" i="30"/>
  <c r="D186" i="30"/>
  <c r="C186" i="30"/>
  <c r="B186" i="30"/>
  <c r="J185" i="30"/>
  <c r="I185" i="30"/>
  <c r="F185" i="30"/>
  <c r="D185" i="30"/>
  <c r="C185" i="30"/>
  <c r="B185" i="30"/>
  <c r="I184" i="30"/>
  <c r="J184" i="30" s="1"/>
  <c r="F184" i="30"/>
  <c r="D184" i="30"/>
  <c r="C184" i="30"/>
  <c r="B184" i="30"/>
  <c r="J183" i="30"/>
  <c r="I183" i="30"/>
  <c r="F183" i="30"/>
  <c r="D183" i="30"/>
  <c r="C183" i="30"/>
  <c r="B183" i="30"/>
  <c r="I182" i="30"/>
  <c r="J182" i="30" s="1"/>
  <c r="F182" i="30"/>
  <c r="D182" i="30"/>
  <c r="C182" i="30"/>
  <c r="B182" i="30"/>
  <c r="J181" i="30"/>
  <c r="I181" i="30"/>
  <c r="F181" i="30"/>
  <c r="D181" i="30"/>
  <c r="C181" i="30"/>
  <c r="B181" i="30"/>
  <c r="I180" i="30"/>
  <c r="J180" i="30" s="1"/>
  <c r="F180" i="30"/>
  <c r="D180" i="30"/>
  <c r="C180" i="30"/>
  <c r="B180" i="30"/>
  <c r="J179" i="30"/>
  <c r="I179" i="30"/>
  <c r="F179" i="30"/>
  <c r="D179" i="30"/>
  <c r="C179" i="30"/>
  <c r="B179" i="30"/>
  <c r="I178" i="30"/>
  <c r="J178" i="30" s="1"/>
  <c r="F178" i="30"/>
  <c r="D178" i="30"/>
  <c r="C178" i="30"/>
  <c r="B178" i="30"/>
  <c r="J177" i="30"/>
  <c r="I177" i="30"/>
  <c r="F177" i="30"/>
  <c r="D177" i="30"/>
  <c r="C177" i="30"/>
  <c r="B177" i="30"/>
  <c r="I176" i="30"/>
  <c r="J176" i="30" s="1"/>
  <c r="F176" i="30"/>
  <c r="D176" i="30"/>
  <c r="C176" i="30"/>
  <c r="B176" i="30"/>
  <c r="J175" i="30"/>
  <c r="I175" i="30"/>
  <c r="F175" i="30"/>
  <c r="D175" i="30"/>
  <c r="C175" i="30"/>
  <c r="B175" i="30"/>
  <c r="I174" i="30"/>
  <c r="J174" i="30" s="1"/>
  <c r="F174" i="30"/>
  <c r="D174" i="30"/>
  <c r="C174" i="30"/>
  <c r="B174" i="30"/>
  <c r="J173" i="30"/>
  <c r="I173" i="30"/>
  <c r="F173" i="30"/>
  <c r="D173" i="30"/>
  <c r="C173" i="30"/>
  <c r="B173" i="30"/>
  <c r="I172" i="30"/>
  <c r="J172" i="30" s="1"/>
  <c r="F172" i="30"/>
  <c r="D172" i="30"/>
  <c r="C172" i="30"/>
  <c r="B172" i="30"/>
  <c r="J171" i="30"/>
  <c r="I171" i="30"/>
  <c r="F171" i="30"/>
  <c r="D171" i="30"/>
  <c r="C171" i="30"/>
  <c r="B171" i="30"/>
  <c r="I170" i="30"/>
  <c r="J170" i="30" s="1"/>
  <c r="F170" i="30"/>
  <c r="D170" i="30"/>
  <c r="C170" i="30"/>
  <c r="B170" i="30"/>
  <c r="J169" i="30"/>
  <c r="I169" i="30"/>
  <c r="F169" i="30"/>
  <c r="D169" i="30"/>
  <c r="C169" i="30"/>
  <c r="B169" i="30"/>
  <c r="I168" i="30"/>
  <c r="J168" i="30" s="1"/>
  <c r="F168" i="30"/>
  <c r="D168" i="30"/>
  <c r="C168" i="30"/>
  <c r="B168" i="30"/>
  <c r="J167" i="30"/>
  <c r="I167" i="30"/>
  <c r="F167" i="30"/>
  <c r="D167" i="30"/>
  <c r="C167" i="30"/>
  <c r="B167" i="30"/>
  <c r="I166" i="30"/>
  <c r="J166" i="30" s="1"/>
  <c r="F166" i="30"/>
  <c r="D166" i="30"/>
  <c r="C166" i="30"/>
  <c r="B166" i="30"/>
  <c r="J165" i="30"/>
  <c r="I165" i="30"/>
  <c r="F165" i="30"/>
  <c r="D165" i="30"/>
  <c r="C165" i="30"/>
  <c r="B165" i="30"/>
  <c r="I164" i="30"/>
  <c r="J164" i="30" s="1"/>
  <c r="F164" i="30"/>
  <c r="D164" i="30"/>
  <c r="C164" i="30"/>
  <c r="B164" i="30"/>
  <c r="J163" i="30"/>
  <c r="I163" i="30"/>
  <c r="F163" i="30"/>
  <c r="D163" i="30"/>
  <c r="C163" i="30"/>
  <c r="B163" i="30"/>
  <c r="I162" i="30"/>
  <c r="J162" i="30" s="1"/>
  <c r="F162" i="30"/>
  <c r="D162" i="30"/>
  <c r="C162" i="30"/>
  <c r="B162" i="30"/>
  <c r="J161" i="30"/>
  <c r="I161" i="30"/>
  <c r="F161" i="30"/>
  <c r="D161" i="30"/>
  <c r="C161" i="30"/>
  <c r="B161" i="30"/>
  <c r="I160" i="30"/>
  <c r="J160" i="30" s="1"/>
  <c r="F160" i="30"/>
  <c r="D160" i="30"/>
  <c r="C160" i="30"/>
  <c r="B160" i="30"/>
  <c r="J159" i="30"/>
  <c r="I159" i="30"/>
  <c r="F159" i="30"/>
  <c r="D159" i="30"/>
  <c r="C159" i="30"/>
  <c r="B159" i="30"/>
  <c r="I158" i="30"/>
  <c r="J158" i="30" s="1"/>
  <c r="F158" i="30"/>
  <c r="D158" i="30"/>
  <c r="C158" i="30"/>
  <c r="B158" i="30"/>
  <c r="J157" i="30"/>
  <c r="I157" i="30"/>
  <c r="F157" i="30"/>
  <c r="D157" i="30"/>
  <c r="C157" i="30"/>
  <c r="B157" i="30"/>
  <c r="I156" i="30"/>
  <c r="J156" i="30" s="1"/>
  <c r="F156" i="30"/>
  <c r="D156" i="30"/>
  <c r="C156" i="30"/>
  <c r="B156" i="30"/>
  <c r="J155" i="30"/>
  <c r="I155" i="30"/>
  <c r="F155" i="30"/>
  <c r="D155" i="30"/>
  <c r="C155" i="30"/>
  <c r="B155" i="30"/>
  <c r="I154" i="30"/>
  <c r="J154" i="30" s="1"/>
  <c r="F154" i="30"/>
  <c r="D154" i="30"/>
  <c r="C154" i="30"/>
  <c r="B154" i="30"/>
  <c r="J153" i="30"/>
  <c r="I153" i="30"/>
  <c r="F153" i="30"/>
  <c r="D153" i="30"/>
  <c r="C153" i="30"/>
  <c r="B153" i="30"/>
  <c r="I152" i="30"/>
  <c r="J152" i="30" s="1"/>
  <c r="F152" i="30"/>
  <c r="D152" i="30"/>
  <c r="C152" i="30"/>
  <c r="B152" i="30"/>
  <c r="J151" i="30"/>
  <c r="I151" i="30"/>
  <c r="F151" i="30"/>
  <c r="D151" i="30"/>
  <c r="C151" i="30"/>
  <c r="B151" i="30"/>
  <c r="I150" i="30"/>
  <c r="J150" i="30" s="1"/>
  <c r="F150" i="30"/>
  <c r="D150" i="30"/>
  <c r="C150" i="30"/>
  <c r="B150" i="30"/>
  <c r="J149" i="30"/>
  <c r="I149" i="30"/>
  <c r="F149" i="30"/>
  <c r="D149" i="30"/>
  <c r="C149" i="30"/>
  <c r="B149" i="30"/>
  <c r="I148" i="30"/>
  <c r="J148" i="30" s="1"/>
  <c r="F148" i="30"/>
  <c r="D148" i="30"/>
  <c r="C148" i="30"/>
  <c r="B148" i="30"/>
  <c r="J147" i="30"/>
  <c r="I147" i="30"/>
  <c r="F147" i="30"/>
  <c r="D147" i="30"/>
  <c r="C147" i="30"/>
  <c r="B147" i="30"/>
  <c r="I146" i="30"/>
  <c r="J146" i="30" s="1"/>
  <c r="F146" i="30"/>
  <c r="D146" i="30"/>
  <c r="C146" i="30"/>
  <c r="B146" i="30"/>
  <c r="J145" i="30"/>
  <c r="I145" i="30"/>
  <c r="F145" i="30"/>
  <c r="D145" i="30"/>
  <c r="C145" i="30"/>
  <c r="B145" i="30"/>
  <c r="I144" i="30"/>
  <c r="J144" i="30" s="1"/>
  <c r="F144" i="30"/>
  <c r="D144" i="30"/>
  <c r="C144" i="30"/>
  <c r="B144" i="30"/>
  <c r="J143" i="30"/>
  <c r="I143" i="30"/>
  <c r="F143" i="30"/>
  <c r="D143" i="30"/>
  <c r="C143" i="30"/>
  <c r="B143" i="30"/>
  <c r="I142" i="30"/>
  <c r="J142" i="30" s="1"/>
  <c r="F142" i="30"/>
  <c r="D142" i="30"/>
  <c r="C142" i="30"/>
  <c r="B142" i="30"/>
  <c r="J141" i="30"/>
  <c r="I141" i="30"/>
  <c r="F141" i="30"/>
  <c r="D141" i="30"/>
  <c r="C141" i="30"/>
  <c r="B141" i="30"/>
  <c r="I140" i="30"/>
  <c r="J140" i="30" s="1"/>
  <c r="F140" i="30"/>
  <c r="D140" i="30"/>
  <c r="C140" i="30"/>
  <c r="B140" i="30"/>
  <c r="J139" i="30"/>
  <c r="I139" i="30"/>
  <c r="F139" i="30"/>
  <c r="D139" i="30"/>
  <c r="C139" i="30"/>
  <c r="B139" i="30"/>
  <c r="I138" i="30"/>
  <c r="J138" i="30" s="1"/>
  <c r="F138" i="30"/>
  <c r="D138" i="30"/>
  <c r="C138" i="30"/>
  <c r="B138" i="30"/>
  <c r="J137" i="30"/>
  <c r="I137" i="30"/>
  <c r="F137" i="30"/>
  <c r="D137" i="30"/>
  <c r="C137" i="30"/>
  <c r="B137" i="30"/>
  <c r="I136" i="30"/>
  <c r="J136" i="30" s="1"/>
  <c r="F136" i="30"/>
  <c r="D136" i="30"/>
  <c r="C136" i="30"/>
  <c r="B136" i="30"/>
  <c r="J135" i="30"/>
  <c r="I135" i="30"/>
  <c r="F135" i="30"/>
  <c r="D135" i="30"/>
  <c r="C135" i="30"/>
  <c r="B135" i="30"/>
  <c r="I134" i="30"/>
  <c r="J134" i="30" s="1"/>
  <c r="F134" i="30"/>
  <c r="D134" i="30"/>
  <c r="C134" i="30"/>
  <c r="B134" i="30"/>
  <c r="J133" i="30"/>
  <c r="I133" i="30"/>
  <c r="F133" i="30"/>
  <c r="D133" i="30"/>
  <c r="C133" i="30"/>
  <c r="B133" i="30"/>
  <c r="I132" i="30"/>
  <c r="J132" i="30" s="1"/>
  <c r="F132" i="30"/>
  <c r="D132" i="30"/>
  <c r="C132" i="30"/>
  <c r="B132" i="30"/>
  <c r="J131" i="30"/>
  <c r="I131" i="30"/>
  <c r="F131" i="30"/>
  <c r="D131" i="30"/>
  <c r="C131" i="30"/>
  <c r="B131" i="30"/>
  <c r="I130" i="30"/>
  <c r="J130" i="30" s="1"/>
  <c r="F130" i="30"/>
  <c r="D130" i="30"/>
  <c r="C130" i="30"/>
  <c r="B130" i="30"/>
  <c r="J129" i="30"/>
  <c r="I129" i="30"/>
  <c r="F129" i="30"/>
  <c r="D129" i="30"/>
  <c r="C129" i="30"/>
  <c r="B129" i="30"/>
  <c r="I128" i="30"/>
  <c r="J128" i="30" s="1"/>
  <c r="F128" i="30"/>
  <c r="D128" i="30"/>
  <c r="C128" i="30"/>
  <c r="B128" i="30"/>
  <c r="J127" i="30"/>
  <c r="I127" i="30"/>
  <c r="F127" i="30"/>
  <c r="D127" i="30"/>
  <c r="C127" i="30"/>
  <c r="B127" i="30"/>
  <c r="I126" i="30"/>
  <c r="J126" i="30" s="1"/>
  <c r="F126" i="30"/>
  <c r="D126" i="30"/>
  <c r="C126" i="30"/>
  <c r="B126" i="30"/>
  <c r="J125" i="30"/>
  <c r="I125" i="30"/>
  <c r="F125" i="30"/>
  <c r="D125" i="30"/>
  <c r="C125" i="30"/>
  <c r="B125" i="30"/>
  <c r="I124" i="30"/>
  <c r="J124" i="30" s="1"/>
  <c r="F124" i="30"/>
  <c r="D124" i="30"/>
  <c r="C124" i="30"/>
  <c r="B124" i="30"/>
  <c r="J123" i="30"/>
  <c r="I123" i="30"/>
  <c r="F123" i="30"/>
  <c r="D123" i="30"/>
  <c r="C123" i="30"/>
  <c r="B123" i="30"/>
  <c r="I122" i="30"/>
  <c r="J122" i="30" s="1"/>
  <c r="F122" i="30"/>
  <c r="D122" i="30"/>
  <c r="C122" i="30"/>
  <c r="B122" i="30"/>
  <c r="J121" i="30"/>
  <c r="I121" i="30"/>
  <c r="F121" i="30"/>
  <c r="D121" i="30"/>
  <c r="C121" i="30"/>
  <c r="B121" i="30"/>
  <c r="I120" i="30"/>
  <c r="J120" i="30" s="1"/>
  <c r="F120" i="30"/>
  <c r="D120" i="30"/>
  <c r="C120" i="30"/>
  <c r="B120" i="30"/>
  <c r="J119" i="30"/>
  <c r="I119" i="30"/>
  <c r="F119" i="30"/>
  <c r="D119" i="30"/>
  <c r="C119" i="30"/>
  <c r="B119" i="30"/>
  <c r="I118" i="30"/>
  <c r="J118" i="30" s="1"/>
  <c r="F118" i="30"/>
  <c r="D118" i="30"/>
  <c r="C118" i="30"/>
  <c r="B118" i="30"/>
  <c r="J117" i="30"/>
  <c r="I117" i="30"/>
  <c r="F117" i="30"/>
  <c r="D117" i="30"/>
  <c r="C117" i="30"/>
  <c r="B117" i="30"/>
  <c r="I116" i="30"/>
  <c r="J116" i="30" s="1"/>
  <c r="F116" i="30"/>
  <c r="D116" i="30"/>
  <c r="C116" i="30"/>
  <c r="B116" i="30"/>
  <c r="J115" i="30"/>
  <c r="I115" i="30"/>
  <c r="F115" i="30"/>
  <c r="D115" i="30"/>
  <c r="C115" i="30"/>
  <c r="B115" i="30"/>
  <c r="I114" i="30"/>
  <c r="J114" i="30" s="1"/>
  <c r="F114" i="30"/>
  <c r="D114" i="30"/>
  <c r="C114" i="30"/>
  <c r="B114" i="30"/>
  <c r="J113" i="30"/>
  <c r="I113" i="30"/>
  <c r="F113" i="30"/>
  <c r="D113" i="30"/>
  <c r="C113" i="30"/>
  <c r="B113" i="30"/>
  <c r="I112" i="30"/>
  <c r="J112" i="30" s="1"/>
  <c r="F112" i="30"/>
  <c r="D112" i="30"/>
  <c r="C112" i="30"/>
  <c r="B112" i="30"/>
  <c r="J111" i="30"/>
  <c r="I111" i="30"/>
  <c r="F111" i="30"/>
  <c r="D111" i="30"/>
  <c r="C111" i="30"/>
  <c r="B111" i="30"/>
  <c r="I110" i="30"/>
  <c r="J110" i="30" s="1"/>
  <c r="F110" i="30"/>
  <c r="D110" i="30"/>
  <c r="C110" i="30"/>
  <c r="B110" i="30"/>
  <c r="J109" i="30"/>
  <c r="I109" i="30"/>
  <c r="F109" i="30"/>
  <c r="D109" i="30"/>
  <c r="C109" i="30"/>
  <c r="B109" i="30"/>
  <c r="I108" i="30"/>
  <c r="J108" i="30" s="1"/>
  <c r="F108" i="30"/>
  <c r="D108" i="30"/>
  <c r="C108" i="30"/>
  <c r="B108" i="30"/>
  <c r="J107" i="30"/>
  <c r="I107" i="30"/>
  <c r="F107" i="30"/>
  <c r="D107" i="30"/>
  <c r="C107" i="30"/>
  <c r="B107" i="30"/>
  <c r="I106" i="30"/>
  <c r="J106" i="30" s="1"/>
  <c r="F106" i="30"/>
  <c r="D106" i="30"/>
  <c r="C106" i="30"/>
  <c r="B106" i="30"/>
  <c r="J105" i="30"/>
  <c r="I105" i="30"/>
  <c r="F105" i="30"/>
  <c r="D105" i="30"/>
  <c r="C105" i="30"/>
  <c r="B105" i="30"/>
  <c r="I104" i="30"/>
  <c r="J104" i="30" s="1"/>
  <c r="F104" i="30"/>
  <c r="D104" i="30"/>
  <c r="C104" i="30"/>
  <c r="B104" i="30"/>
  <c r="J103" i="30"/>
  <c r="I103" i="30"/>
  <c r="F103" i="30"/>
  <c r="D103" i="30"/>
  <c r="C103" i="30"/>
  <c r="B103" i="30"/>
  <c r="I102" i="30"/>
  <c r="J102" i="30" s="1"/>
  <c r="F102" i="30"/>
  <c r="D102" i="30"/>
  <c r="C102" i="30"/>
  <c r="B102" i="30"/>
  <c r="J101" i="30"/>
  <c r="I101" i="30"/>
  <c r="F101" i="30"/>
  <c r="D101" i="30"/>
  <c r="C101" i="30"/>
  <c r="B101" i="30"/>
  <c r="I100" i="30"/>
  <c r="J100" i="30" s="1"/>
  <c r="F100" i="30"/>
  <c r="D100" i="30"/>
  <c r="C100" i="30"/>
  <c r="B100" i="30"/>
  <c r="J99" i="30"/>
  <c r="I99" i="30"/>
  <c r="F99" i="30"/>
  <c r="D99" i="30"/>
  <c r="C99" i="30"/>
  <c r="B99" i="30"/>
  <c r="I98" i="30"/>
  <c r="J98" i="30" s="1"/>
  <c r="F98" i="30"/>
  <c r="D98" i="30"/>
  <c r="C98" i="30"/>
  <c r="B98" i="30"/>
  <c r="J97" i="30"/>
  <c r="I97" i="30"/>
  <c r="F97" i="30"/>
  <c r="D97" i="30"/>
  <c r="C97" i="30"/>
  <c r="B97" i="30"/>
  <c r="I96" i="30"/>
  <c r="J96" i="30" s="1"/>
  <c r="F96" i="30"/>
  <c r="D96" i="30"/>
  <c r="C96" i="30"/>
  <c r="B96" i="30"/>
  <c r="J95" i="30"/>
  <c r="I95" i="30"/>
  <c r="F95" i="30"/>
  <c r="D95" i="30"/>
  <c r="C95" i="30"/>
  <c r="B95" i="30"/>
  <c r="I94" i="30"/>
  <c r="J94" i="30" s="1"/>
  <c r="F94" i="30"/>
  <c r="D94" i="30"/>
  <c r="C94" i="30"/>
  <c r="B94" i="30"/>
  <c r="J93" i="30"/>
  <c r="I93" i="30"/>
  <c r="F93" i="30"/>
  <c r="D93" i="30"/>
  <c r="C93" i="30"/>
  <c r="B93" i="30"/>
  <c r="I92" i="30"/>
  <c r="J92" i="30" s="1"/>
  <c r="F92" i="30"/>
  <c r="D92" i="30"/>
  <c r="C92" i="30"/>
  <c r="B92" i="30"/>
  <c r="J91" i="30"/>
  <c r="I91" i="30"/>
  <c r="F91" i="30"/>
  <c r="D91" i="30"/>
  <c r="C91" i="30"/>
  <c r="B91" i="30"/>
  <c r="I90" i="30"/>
  <c r="J90" i="30" s="1"/>
  <c r="F90" i="30"/>
  <c r="D90" i="30"/>
  <c r="C90" i="30"/>
  <c r="B90" i="30"/>
  <c r="J89" i="30"/>
  <c r="I89" i="30"/>
  <c r="F89" i="30"/>
  <c r="D89" i="30"/>
  <c r="C89" i="30"/>
  <c r="B89" i="30"/>
  <c r="I88" i="30"/>
  <c r="J88" i="30" s="1"/>
  <c r="F88" i="30"/>
  <c r="D88" i="30"/>
  <c r="C88" i="30"/>
  <c r="B88" i="30"/>
  <c r="J87" i="30"/>
  <c r="I87" i="30"/>
  <c r="F87" i="30"/>
  <c r="D87" i="30"/>
  <c r="C87" i="30"/>
  <c r="B87" i="30"/>
  <c r="I86" i="30"/>
  <c r="J86" i="30" s="1"/>
  <c r="F86" i="30"/>
  <c r="D86" i="30"/>
  <c r="C86" i="30"/>
  <c r="B86" i="30"/>
  <c r="J85" i="30"/>
  <c r="I85" i="30"/>
  <c r="F85" i="30"/>
  <c r="D85" i="30"/>
  <c r="C85" i="30"/>
  <c r="B85" i="30"/>
  <c r="I84" i="30"/>
  <c r="J84" i="30" s="1"/>
  <c r="F84" i="30"/>
  <c r="D84" i="30"/>
  <c r="C84" i="30"/>
  <c r="B84" i="30"/>
  <c r="J83" i="30"/>
  <c r="I83" i="30"/>
  <c r="F83" i="30"/>
  <c r="D83" i="30"/>
  <c r="C83" i="30"/>
  <c r="B83" i="30"/>
  <c r="I82" i="30"/>
  <c r="J82" i="30" s="1"/>
  <c r="F82" i="30"/>
  <c r="D82" i="30"/>
  <c r="C82" i="30"/>
  <c r="B82" i="30"/>
  <c r="J81" i="30"/>
  <c r="I81" i="30"/>
  <c r="F81" i="30"/>
  <c r="D81" i="30"/>
  <c r="C81" i="30"/>
  <c r="B81" i="30"/>
  <c r="I80" i="30"/>
  <c r="J80" i="30" s="1"/>
  <c r="F80" i="30"/>
  <c r="D80" i="30"/>
  <c r="C80" i="30"/>
  <c r="B80" i="30"/>
  <c r="J79" i="30"/>
  <c r="I79" i="30"/>
  <c r="F79" i="30"/>
  <c r="D79" i="30"/>
  <c r="C79" i="30"/>
  <c r="B79" i="30"/>
  <c r="I78" i="30"/>
  <c r="J78" i="30" s="1"/>
  <c r="F78" i="30"/>
  <c r="D78" i="30"/>
  <c r="C78" i="30"/>
  <c r="B78" i="30"/>
  <c r="J77" i="30"/>
  <c r="I77" i="30"/>
  <c r="F77" i="30"/>
  <c r="D77" i="30"/>
  <c r="C77" i="30"/>
  <c r="B77" i="30"/>
  <c r="I76" i="30"/>
  <c r="J76" i="30" s="1"/>
  <c r="F76" i="30"/>
  <c r="D76" i="30"/>
  <c r="C76" i="30"/>
  <c r="B76" i="30"/>
  <c r="J75" i="30"/>
  <c r="I75" i="30"/>
  <c r="F75" i="30"/>
  <c r="D75" i="30"/>
  <c r="C75" i="30"/>
  <c r="B75" i="30"/>
  <c r="I74" i="30"/>
  <c r="J74" i="30" s="1"/>
  <c r="F74" i="30"/>
  <c r="D74" i="30"/>
  <c r="C74" i="30"/>
  <c r="B74" i="30"/>
  <c r="J73" i="30"/>
  <c r="I73" i="30"/>
  <c r="F73" i="30"/>
  <c r="D73" i="30"/>
  <c r="C73" i="30"/>
  <c r="B73" i="30"/>
  <c r="I72" i="30"/>
  <c r="J72" i="30" s="1"/>
  <c r="F72" i="30"/>
  <c r="D72" i="30"/>
  <c r="C72" i="30"/>
  <c r="B72" i="30"/>
  <c r="J71" i="30"/>
  <c r="I71" i="30"/>
  <c r="F71" i="30"/>
  <c r="D71" i="30"/>
  <c r="C71" i="30"/>
  <c r="B71" i="30"/>
  <c r="I70" i="30"/>
  <c r="J70" i="30" s="1"/>
  <c r="F70" i="30"/>
  <c r="D70" i="30"/>
  <c r="C70" i="30"/>
  <c r="B70" i="30"/>
  <c r="J69" i="30"/>
  <c r="I69" i="30"/>
  <c r="F69" i="30"/>
  <c r="D69" i="30"/>
  <c r="C69" i="30"/>
  <c r="B69" i="30"/>
  <c r="I68" i="30"/>
  <c r="J68" i="30" s="1"/>
  <c r="F68" i="30"/>
  <c r="D68" i="30"/>
  <c r="C68" i="30"/>
  <c r="B68" i="30"/>
  <c r="J67" i="30"/>
  <c r="I67" i="30"/>
  <c r="F67" i="30"/>
  <c r="D67" i="30"/>
  <c r="C67" i="30"/>
  <c r="B67" i="30"/>
  <c r="I66" i="30"/>
  <c r="J66" i="30" s="1"/>
  <c r="F66" i="30"/>
  <c r="D66" i="30"/>
  <c r="C66" i="30"/>
  <c r="B66" i="30"/>
  <c r="J65" i="30"/>
  <c r="I65" i="30"/>
  <c r="F65" i="30"/>
  <c r="D65" i="30"/>
  <c r="C65" i="30"/>
  <c r="B65" i="30"/>
  <c r="I64" i="30"/>
  <c r="J64" i="30" s="1"/>
  <c r="F64" i="30"/>
  <c r="D64" i="30"/>
  <c r="C64" i="30"/>
  <c r="B64" i="30"/>
  <c r="J63" i="30"/>
  <c r="I63" i="30"/>
  <c r="F63" i="30"/>
  <c r="D63" i="30"/>
  <c r="C63" i="30"/>
  <c r="B63" i="30"/>
  <c r="I62" i="30"/>
  <c r="J62" i="30" s="1"/>
  <c r="F62" i="30"/>
  <c r="D62" i="30"/>
  <c r="C62" i="30"/>
  <c r="B62" i="30"/>
  <c r="J61" i="30"/>
  <c r="I61" i="30"/>
  <c r="F61" i="30"/>
  <c r="D61" i="30"/>
  <c r="C61" i="30"/>
  <c r="B61" i="30"/>
  <c r="I60" i="30"/>
  <c r="J60" i="30" s="1"/>
  <c r="F60" i="30"/>
  <c r="D60" i="30"/>
  <c r="C60" i="30"/>
  <c r="B60" i="30"/>
  <c r="J59" i="30"/>
  <c r="I59" i="30"/>
  <c r="F59" i="30"/>
  <c r="D59" i="30"/>
  <c r="C59" i="30"/>
  <c r="B59" i="30"/>
  <c r="I58" i="30"/>
  <c r="J58" i="30" s="1"/>
  <c r="F58" i="30"/>
  <c r="D58" i="30"/>
  <c r="C58" i="30"/>
  <c r="B58" i="30"/>
  <c r="J57" i="30"/>
  <c r="I57" i="30"/>
  <c r="F57" i="30"/>
  <c r="D57" i="30"/>
  <c r="C57" i="30"/>
  <c r="B57" i="30"/>
  <c r="I56" i="30"/>
  <c r="J56" i="30" s="1"/>
  <c r="F56" i="30"/>
  <c r="D56" i="30"/>
  <c r="C56" i="30"/>
  <c r="B56" i="30"/>
  <c r="J55" i="30"/>
  <c r="I55" i="30"/>
  <c r="F55" i="30"/>
  <c r="D55" i="30"/>
  <c r="C55" i="30"/>
  <c r="B55" i="30"/>
  <c r="I54" i="30"/>
  <c r="J54" i="30" s="1"/>
  <c r="F54" i="30"/>
  <c r="D54" i="30"/>
  <c r="C54" i="30"/>
  <c r="B54" i="30"/>
  <c r="J53" i="30"/>
  <c r="I53" i="30"/>
  <c r="F53" i="30"/>
  <c r="D53" i="30"/>
  <c r="C53" i="30"/>
  <c r="B53" i="30"/>
  <c r="I52" i="30"/>
  <c r="J52" i="30" s="1"/>
  <c r="F52" i="30"/>
  <c r="D52" i="30"/>
  <c r="C52" i="30"/>
  <c r="B52" i="30"/>
  <c r="J51" i="30"/>
  <c r="I51" i="30"/>
  <c r="F51" i="30"/>
  <c r="D51" i="30"/>
  <c r="C51" i="30"/>
  <c r="B51" i="30"/>
  <c r="I50" i="30"/>
  <c r="J50" i="30" s="1"/>
  <c r="F50" i="30"/>
  <c r="D50" i="30"/>
  <c r="C50" i="30"/>
  <c r="B50" i="30"/>
  <c r="J49" i="30"/>
  <c r="I49" i="30"/>
  <c r="F49" i="30"/>
  <c r="D49" i="30"/>
  <c r="C49" i="30"/>
  <c r="B49" i="30"/>
  <c r="I48" i="30"/>
  <c r="J48" i="30" s="1"/>
  <c r="F48" i="30"/>
  <c r="D48" i="30"/>
  <c r="C48" i="30"/>
  <c r="B48" i="30"/>
  <c r="J47" i="30"/>
  <c r="I47" i="30"/>
  <c r="F47" i="30"/>
  <c r="D47" i="30"/>
  <c r="C47" i="30"/>
  <c r="B47" i="30"/>
  <c r="I46" i="30"/>
  <c r="J46" i="30" s="1"/>
  <c r="F46" i="30"/>
  <c r="D46" i="30"/>
  <c r="C46" i="30"/>
  <c r="B46" i="30"/>
  <c r="J45" i="30"/>
  <c r="I45" i="30"/>
  <c r="F45" i="30"/>
  <c r="D45" i="30"/>
  <c r="C45" i="30"/>
  <c r="B45" i="30"/>
  <c r="I44" i="30"/>
  <c r="J44" i="30" s="1"/>
  <c r="F44" i="30"/>
  <c r="D44" i="30"/>
  <c r="C44" i="30"/>
  <c r="B44" i="30"/>
  <c r="J43" i="30"/>
  <c r="I43" i="30"/>
  <c r="F43" i="30"/>
  <c r="D43" i="30"/>
  <c r="C43" i="30"/>
  <c r="B43" i="30"/>
  <c r="I42" i="30"/>
  <c r="J42" i="30" s="1"/>
  <c r="F42" i="30"/>
  <c r="D42" i="30"/>
  <c r="C42" i="30"/>
  <c r="B42" i="30"/>
  <c r="J41" i="30"/>
  <c r="I41" i="30"/>
  <c r="F41" i="30"/>
  <c r="D41" i="30"/>
  <c r="C41" i="30"/>
  <c r="B41" i="30"/>
  <c r="I40" i="30"/>
  <c r="J40" i="30" s="1"/>
  <c r="F40" i="30"/>
  <c r="D40" i="30"/>
  <c r="C40" i="30"/>
  <c r="B40" i="30"/>
  <c r="J39" i="30"/>
  <c r="I39" i="30"/>
  <c r="F39" i="30"/>
  <c r="D39" i="30"/>
  <c r="C39" i="30"/>
  <c r="B39" i="30"/>
  <c r="I38" i="30"/>
  <c r="J38" i="30" s="1"/>
  <c r="F38" i="30"/>
  <c r="D38" i="30"/>
  <c r="C38" i="30"/>
  <c r="B38" i="30"/>
  <c r="J37" i="30"/>
  <c r="I37" i="30"/>
  <c r="F37" i="30"/>
  <c r="D37" i="30"/>
  <c r="C37" i="30"/>
  <c r="B37" i="30"/>
  <c r="I36" i="30"/>
  <c r="J36" i="30" s="1"/>
  <c r="F36" i="30"/>
  <c r="D36" i="30"/>
  <c r="C36" i="30"/>
  <c r="B36" i="30"/>
  <c r="J35" i="30"/>
  <c r="I35" i="30"/>
  <c r="F35" i="30"/>
  <c r="D35" i="30"/>
  <c r="C35" i="30"/>
  <c r="B35" i="30"/>
  <c r="I34" i="30"/>
  <c r="J34" i="30" s="1"/>
  <c r="F34" i="30"/>
  <c r="D34" i="30"/>
  <c r="C34" i="30"/>
  <c r="B34" i="30"/>
  <c r="J33" i="30"/>
  <c r="I33" i="30"/>
  <c r="F33" i="30"/>
  <c r="D33" i="30"/>
  <c r="C33" i="30"/>
  <c r="B33" i="30"/>
  <c r="I32" i="30"/>
  <c r="J32" i="30" s="1"/>
  <c r="F32" i="30"/>
  <c r="D32" i="30"/>
  <c r="C32" i="30"/>
  <c r="B32" i="30"/>
  <c r="J31" i="30"/>
  <c r="I31" i="30"/>
  <c r="F31" i="30"/>
  <c r="D31" i="30"/>
  <c r="C31" i="30"/>
  <c r="B31" i="30"/>
  <c r="I30" i="30"/>
  <c r="J30" i="30" s="1"/>
  <c r="F30" i="30"/>
  <c r="D30" i="30"/>
  <c r="C30" i="30"/>
  <c r="B30" i="30"/>
  <c r="J29" i="30"/>
  <c r="I29" i="30"/>
  <c r="F29" i="30"/>
  <c r="D29" i="30"/>
  <c r="C29" i="30"/>
  <c r="B29" i="30"/>
  <c r="I28" i="30"/>
  <c r="J28" i="30" s="1"/>
  <c r="F28" i="30"/>
  <c r="D28" i="30"/>
  <c r="C28" i="30"/>
  <c r="B28" i="30"/>
  <c r="J27" i="30"/>
  <c r="I27" i="30"/>
  <c r="F27" i="30"/>
  <c r="D27" i="30"/>
  <c r="C27" i="30"/>
  <c r="B27" i="30"/>
  <c r="I26" i="30"/>
  <c r="J26" i="30" s="1"/>
  <c r="F26" i="30"/>
  <c r="D26" i="30"/>
  <c r="C26" i="30"/>
  <c r="B26" i="30"/>
  <c r="J25" i="30"/>
  <c r="I25" i="30"/>
  <c r="F25" i="30"/>
  <c r="D25" i="30"/>
  <c r="C25" i="30"/>
  <c r="B25" i="30"/>
  <c r="I24" i="30"/>
  <c r="J24" i="30" s="1"/>
  <c r="F24" i="30"/>
  <c r="D24" i="30"/>
  <c r="C24" i="30"/>
  <c r="B24" i="30"/>
  <c r="J23" i="30"/>
  <c r="I23" i="30"/>
  <c r="F23" i="30"/>
  <c r="D23" i="30"/>
  <c r="C23" i="30"/>
  <c r="B23" i="30"/>
  <c r="I22" i="30"/>
  <c r="J22" i="30" s="1"/>
  <c r="F22" i="30"/>
  <c r="D22" i="30"/>
  <c r="C22" i="30"/>
  <c r="B22" i="30"/>
  <c r="J21" i="30"/>
  <c r="I21" i="30"/>
  <c r="F21" i="30"/>
  <c r="D21" i="30"/>
  <c r="C21" i="30"/>
  <c r="B21" i="30"/>
  <c r="I20" i="30"/>
  <c r="J20" i="30" s="1"/>
  <c r="F20" i="30"/>
  <c r="D20" i="30"/>
  <c r="C20" i="30"/>
  <c r="B20" i="30"/>
  <c r="J19" i="30"/>
  <c r="I19" i="30"/>
  <c r="F19" i="30"/>
  <c r="D19" i="30"/>
  <c r="C19" i="30"/>
  <c r="B19" i="30"/>
  <c r="I18" i="30"/>
  <c r="J18" i="30" s="1"/>
  <c r="F18" i="30"/>
  <c r="D18" i="30"/>
  <c r="C18" i="30"/>
  <c r="B18" i="30"/>
  <c r="J17" i="30"/>
  <c r="I17" i="30"/>
  <c r="F17" i="30"/>
  <c r="D17" i="30"/>
  <c r="C17" i="30"/>
  <c r="B17" i="30"/>
  <c r="I16" i="30"/>
  <c r="J16" i="30" s="1"/>
  <c r="F16" i="30"/>
  <c r="D16" i="30"/>
  <c r="C16" i="30"/>
  <c r="B16" i="30"/>
  <c r="J15" i="30"/>
  <c r="I15" i="30"/>
  <c r="F15" i="30"/>
  <c r="D15" i="30"/>
  <c r="C15" i="30"/>
  <c r="B15" i="30"/>
  <c r="I14" i="30"/>
  <c r="J14" i="30" s="1"/>
  <c r="F14" i="30"/>
  <c r="D14" i="30"/>
  <c r="C14" i="30"/>
  <c r="B14" i="30"/>
  <c r="J13" i="30"/>
  <c r="I13" i="30"/>
  <c r="F13" i="30"/>
  <c r="D13" i="30"/>
  <c r="C13" i="30"/>
  <c r="B13" i="30"/>
  <c r="I12" i="30"/>
  <c r="J12" i="30" s="1"/>
  <c r="F12" i="30"/>
  <c r="D12" i="30"/>
  <c r="C12" i="30"/>
  <c r="B12" i="30"/>
  <c r="J11" i="30"/>
  <c r="I11" i="30"/>
  <c r="F11" i="30"/>
  <c r="D11" i="30"/>
  <c r="C11" i="30"/>
  <c r="B11" i="30"/>
  <c r="I10" i="30"/>
  <c r="J10" i="30" s="1"/>
  <c r="F10" i="30"/>
  <c r="D10" i="30"/>
  <c r="C10" i="30"/>
  <c r="B10" i="30"/>
  <c r="J9" i="30"/>
  <c r="I9" i="30"/>
  <c r="F9" i="30"/>
  <c r="D9" i="30"/>
  <c r="C9" i="30"/>
  <c r="B9" i="30"/>
  <c r="A5" i="30"/>
  <c r="G4" i="30"/>
  <c r="D4" i="30"/>
  <c r="A4" i="30"/>
  <c r="K213" i="29"/>
  <c r="K212" i="29"/>
  <c r="K211" i="29"/>
  <c r="K210" i="29"/>
  <c r="K209" i="29"/>
  <c r="K208" i="29"/>
  <c r="K207" i="29"/>
  <c r="K206" i="29"/>
  <c r="K205" i="29"/>
  <c r="K204" i="29"/>
  <c r="K203" i="29"/>
  <c r="K202" i="29"/>
  <c r="K201" i="29"/>
  <c r="K200" i="29"/>
  <c r="K199" i="29"/>
  <c r="K198" i="29"/>
  <c r="K197" i="29"/>
  <c r="K196" i="29"/>
  <c r="K195" i="29"/>
  <c r="K194" i="29"/>
  <c r="K193" i="29"/>
  <c r="K192" i="29"/>
  <c r="K191" i="29"/>
  <c r="K190" i="29"/>
  <c r="K189" i="29"/>
  <c r="K188" i="29"/>
  <c r="K187" i="29"/>
  <c r="K186" i="29"/>
  <c r="K185" i="29"/>
  <c r="K184" i="29"/>
  <c r="K183" i="29"/>
  <c r="K182" i="29"/>
  <c r="K181" i="29"/>
  <c r="K180" i="29"/>
  <c r="K179" i="29"/>
  <c r="K178" i="29"/>
  <c r="K177" i="29"/>
  <c r="K176" i="29"/>
  <c r="K175" i="29"/>
  <c r="K174" i="29"/>
  <c r="K173" i="29"/>
  <c r="K172" i="29"/>
  <c r="K171" i="29"/>
  <c r="K170" i="29"/>
  <c r="K169" i="29"/>
  <c r="K168" i="29"/>
  <c r="K167" i="29"/>
  <c r="K166" i="29"/>
  <c r="K165" i="29"/>
  <c r="K164" i="29"/>
  <c r="K163" i="29"/>
  <c r="K162" i="29"/>
  <c r="K161" i="29"/>
  <c r="K160" i="29"/>
  <c r="K159" i="29"/>
  <c r="K158" i="29"/>
  <c r="K157" i="29"/>
  <c r="K156" i="29"/>
  <c r="K155" i="29"/>
  <c r="K154" i="29"/>
  <c r="K153" i="29"/>
  <c r="K152" i="29"/>
  <c r="K151" i="29"/>
  <c r="K150" i="29"/>
  <c r="K149" i="29"/>
  <c r="K148" i="29"/>
  <c r="K147" i="29"/>
  <c r="K146" i="29"/>
  <c r="K145" i="29"/>
  <c r="K144" i="29"/>
  <c r="K143" i="29"/>
  <c r="K142" i="29"/>
  <c r="K141" i="29"/>
  <c r="K140" i="29"/>
  <c r="K139" i="29"/>
  <c r="K138" i="29"/>
  <c r="K137" i="29"/>
  <c r="K136" i="29"/>
  <c r="K135" i="29"/>
  <c r="K134" i="29"/>
  <c r="K133" i="29"/>
  <c r="K132" i="29"/>
  <c r="K131" i="29"/>
  <c r="K130" i="29"/>
  <c r="K129" i="29"/>
  <c r="K128" i="29"/>
  <c r="K127" i="29"/>
  <c r="K126" i="29"/>
  <c r="K125" i="29"/>
  <c r="K124" i="29"/>
  <c r="K123" i="29"/>
  <c r="K122" i="29"/>
  <c r="K121" i="29"/>
  <c r="K120" i="29"/>
  <c r="K119" i="29"/>
  <c r="K118" i="29"/>
  <c r="K117" i="29"/>
  <c r="K116" i="29"/>
  <c r="K115" i="29"/>
  <c r="K114" i="29"/>
  <c r="K113" i="29"/>
  <c r="I113" i="29"/>
  <c r="J113" i="29" s="1"/>
  <c r="D113" i="29"/>
  <c r="C113" i="29"/>
  <c r="A113" i="29"/>
  <c r="K112" i="29"/>
  <c r="J112" i="29"/>
  <c r="I112" i="29"/>
  <c r="D112" i="29"/>
  <c r="C112" i="29"/>
  <c r="A112" i="29"/>
  <c r="K111" i="29"/>
  <c r="J111" i="29"/>
  <c r="I111" i="29"/>
  <c r="D111" i="29"/>
  <c r="C111" i="29"/>
  <c r="A111" i="29"/>
  <c r="K110" i="29"/>
  <c r="J110" i="29"/>
  <c r="I110" i="29"/>
  <c r="D110" i="29"/>
  <c r="C110" i="29"/>
  <c r="A110" i="29"/>
  <c r="K109" i="29"/>
  <c r="I109" i="29"/>
  <c r="J109" i="29" s="1"/>
  <c r="D109" i="29"/>
  <c r="C109" i="29"/>
  <c r="A109" i="29"/>
  <c r="K108" i="29"/>
  <c r="J108" i="29"/>
  <c r="I108" i="29"/>
  <c r="D108" i="29"/>
  <c r="C108" i="29"/>
  <c r="A108" i="29"/>
  <c r="K107" i="29"/>
  <c r="J107" i="29"/>
  <c r="I107" i="29"/>
  <c r="D107" i="29"/>
  <c r="C107" i="29"/>
  <c r="A107" i="29"/>
  <c r="K106" i="29"/>
  <c r="J106" i="29"/>
  <c r="I106" i="29"/>
  <c r="D106" i="29"/>
  <c r="C106" i="29"/>
  <c r="A106" i="29"/>
  <c r="K105" i="29"/>
  <c r="I105" i="29"/>
  <c r="J105" i="29" s="1"/>
  <c r="D105" i="29"/>
  <c r="C105" i="29"/>
  <c r="A105" i="29"/>
  <c r="K104" i="29"/>
  <c r="J104" i="29"/>
  <c r="I104" i="29"/>
  <c r="D104" i="29"/>
  <c r="C104" i="29"/>
  <c r="A104" i="29"/>
  <c r="K103" i="29"/>
  <c r="J103" i="29"/>
  <c r="I103" i="29"/>
  <c r="D103" i="29"/>
  <c r="C103" i="29"/>
  <c r="A103" i="29"/>
  <c r="K102" i="29"/>
  <c r="J102" i="29"/>
  <c r="I102" i="29"/>
  <c r="D102" i="29"/>
  <c r="C102" i="29"/>
  <c r="A102" i="29"/>
  <c r="K101" i="29"/>
  <c r="I101" i="29"/>
  <c r="J101" i="29" s="1"/>
  <c r="D101" i="29"/>
  <c r="C101" i="29"/>
  <c r="A101" i="29"/>
  <c r="K100" i="29"/>
  <c r="J100" i="29"/>
  <c r="I100" i="29"/>
  <c r="D100" i="29"/>
  <c r="C100" i="29"/>
  <c r="A100" i="29"/>
  <c r="K99" i="29"/>
  <c r="J99" i="29"/>
  <c r="I99" i="29"/>
  <c r="D99" i="29"/>
  <c r="C99" i="29"/>
  <c r="A99" i="29"/>
  <c r="K98" i="29"/>
  <c r="J98" i="29"/>
  <c r="I98" i="29"/>
  <c r="D98" i="29"/>
  <c r="C98" i="29"/>
  <c r="A98" i="29"/>
  <c r="K97" i="29"/>
  <c r="I97" i="29"/>
  <c r="J97" i="29" s="1"/>
  <c r="D97" i="29"/>
  <c r="C97" i="29"/>
  <c r="A97" i="29"/>
  <c r="K96" i="29"/>
  <c r="J96" i="29"/>
  <c r="I96" i="29"/>
  <c r="D96" i="29"/>
  <c r="C96" i="29"/>
  <c r="A96" i="29"/>
  <c r="K95" i="29"/>
  <c r="J95" i="29"/>
  <c r="I95" i="29"/>
  <c r="D95" i="29"/>
  <c r="C95" i="29"/>
  <c r="A95" i="29"/>
  <c r="K94" i="29"/>
  <c r="J94" i="29"/>
  <c r="I94" i="29"/>
  <c r="D94" i="29"/>
  <c r="C94" i="29"/>
  <c r="A94" i="29"/>
  <c r="K93" i="29"/>
  <c r="I93" i="29"/>
  <c r="J93" i="29" s="1"/>
  <c r="D93" i="29"/>
  <c r="C93" i="29"/>
  <c r="A93" i="29"/>
  <c r="K92" i="29"/>
  <c r="J92" i="29"/>
  <c r="I92" i="29"/>
  <c r="D92" i="29"/>
  <c r="C92" i="29"/>
  <c r="A92" i="29"/>
  <c r="K91" i="29"/>
  <c r="J91" i="29"/>
  <c r="I91" i="29"/>
  <c r="D91" i="29"/>
  <c r="C91" i="29"/>
  <c r="A91" i="29"/>
  <c r="K90" i="29"/>
  <c r="J90" i="29"/>
  <c r="I90" i="29"/>
  <c r="D90" i="29"/>
  <c r="C90" i="29"/>
  <c r="A90" i="29"/>
  <c r="K89" i="29"/>
  <c r="I89" i="29"/>
  <c r="J89" i="29" s="1"/>
  <c r="D89" i="29"/>
  <c r="C89" i="29"/>
  <c r="A89" i="29"/>
  <c r="K88" i="29"/>
  <c r="J88" i="29"/>
  <c r="I88" i="29"/>
  <c r="D88" i="29"/>
  <c r="C88" i="29"/>
  <c r="A88" i="29"/>
  <c r="K87" i="29"/>
  <c r="J87" i="29"/>
  <c r="I87" i="29"/>
  <c r="D87" i="29"/>
  <c r="C87" i="29"/>
  <c r="A87" i="29"/>
  <c r="K86" i="29"/>
  <c r="J86" i="29"/>
  <c r="I86" i="29"/>
  <c r="D86" i="29"/>
  <c r="C86" i="29"/>
  <c r="A86" i="29"/>
  <c r="K85" i="29"/>
  <c r="I85" i="29"/>
  <c r="J85" i="29" s="1"/>
  <c r="D85" i="29"/>
  <c r="C85" i="29"/>
  <c r="A85" i="29"/>
  <c r="K84" i="29"/>
  <c r="J84" i="29"/>
  <c r="I84" i="29"/>
  <c r="D84" i="29"/>
  <c r="C84" i="29"/>
  <c r="A84" i="29"/>
  <c r="K83" i="29"/>
  <c r="J83" i="29"/>
  <c r="I83" i="29"/>
  <c r="D83" i="29"/>
  <c r="C83" i="29"/>
  <c r="A83" i="29"/>
  <c r="K82" i="29"/>
  <c r="J82" i="29"/>
  <c r="I82" i="29"/>
  <c r="D82" i="29"/>
  <c r="C82" i="29"/>
  <c r="A82" i="29"/>
  <c r="K81" i="29"/>
  <c r="I81" i="29"/>
  <c r="J81" i="29" s="1"/>
  <c r="D81" i="29"/>
  <c r="C81" i="29"/>
  <c r="A81" i="29"/>
  <c r="K80" i="29"/>
  <c r="J80" i="29"/>
  <c r="I80" i="29"/>
  <c r="D80" i="29"/>
  <c r="C80" i="29"/>
  <c r="A80" i="29"/>
  <c r="K79" i="29"/>
  <c r="J79" i="29"/>
  <c r="I79" i="29"/>
  <c r="D79" i="29"/>
  <c r="C79" i="29"/>
  <c r="A79" i="29"/>
  <c r="K78" i="29"/>
  <c r="J78" i="29"/>
  <c r="I78" i="29"/>
  <c r="D78" i="29"/>
  <c r="C78" i="29"/>
  <c r="A78" i="29"/>
  <c r="K77" i="29"/>
  <c r="I77" i="29"/>
  <c r="J77" i="29" s="1"/>
  <c r="D77" i="29"/>
  <c r="C77" i="29"/>
  <c r="A77" i="29"/>
  <c r="K76" i="29"/>
  <c r="J76" i="29"/>
  <c r="I76" i="29"/>
  <c r="D76" i="29"/>
  <c r="C76" i="29"/>
  <c r="A76" i="29"/>
  <c r="K75" i="29"/>
  <c r="J75" i="29"/>
  <c r="I75" i="29"/>
  <c r="D75" i="29"/>
  <c r="C75" i="29"/>
  <c r="A75" i="29"/>
  <c r="K74" i="29"/>
  <c r="J74" i="29"/>
  <c r="I74" i="29"/>
  <c r="D74" i="29"/>
  <c r="C74" i="29"/>
  <c r="A74" i="29"/>
  <c r="K73" i="29"/>
  <c r="I73" i="29"/>
  <c r="J73" i="29" s="1"/>
  <c r="D73" i="29"/>
  <c r="C73" i="29"/>
  <c r="A73" i="29"/>
  <c r="K72" i="29"/>
  <c r="J72" i="29"/>
  <c r="I72" i="29"/>
  <c r="D72" i="29"/>
  <c r="C72" i="29"/>
  <c r="A72" i="29"/>
  <c r="K71" i="29"/>
  <c r="J71" i="29"/>
  <c r="I71" i="29"/>
  <c r="D71" i="29"/>
  <c r="C71" i="29"/>
  <c r="A71" i="29"/>
  <c r="K70" i="29"/>
  <c r="J70" i="29"/>
  <c r="I70" i="29"/>
  <c r="D70" i="29"/>
  <c r="C70" i="29"/>
  <c r="A70" i="29"/>
  <c r="K69" i="29"/>
  <c r="I69" i="29"/>
  <c r="J69" i="29" s="1"/>
  <c r="D69" i="29"/>
  <c r="C69" i="29"/>
  <c r="A69" i="29"/>
  <c r="K68" i="29"/>
  <c r="J68" i="29"/>
  <c r="I68" i="29"/>
  <c r="D68" i="29"/>
  <c r="C68" i="29"/>
  <c r="A68" i="29"/>
  <c r="K67" i="29"/>
  <c r="J67" i="29"/>
  <c r="I67" i="29"/>
  <c r="D67" i="29"/>
  <c r="C67" i="29"/>
  <c r="A67" i="29"/>
  <c r="K66" i="29"/>
  <c r="J66" i="29"/>
  <c r="I66" i="29"/>
  <c r="D66" i="29"/>
  <c r="C66" i="29"/>
  <c r="A66" i="29"/>
  <c r="K65" i="29"/>
  <c r="I65" i="29"/>
  <c r="J65" i="29" s="1"/>
  <c r="D65" i="29"/>
  <c r="C65" i="29"/>
  <c r="A65" i="29"/>
  <c r="K64" i="29"/>
  <c r="J64" i="29"/>
  <c r="I64" i="29"/>
  <c r="D64" i="29"/>
  <c r="C64" i="29"/>
  <c r="A64" i="29"/>
  <c r="K63" i="29"/>
  <c r="J63" i="29"/>
  <c r="I63" i="29"/>
  <c r="D63" i="29"/>
  <c r="C63" i="29"/>
  <c r="A63" i="29"/>
  <c r="K62" i="29"/>
  <c r="J62" i="29"/>
  <c r="I62" i="29"/>
  <c r="D62" i="29"/>
  <c r="C62" i="29"/>
  <c r="A62" i="29"/>
  <c r="K61" i="29"/>
  <c r="I61" i="29"/>
  <c r="J61" i="29" s="1"/>
  <c r="D61" i="29"/>
  <c r="C61" i="29"/>
  <c r="A61" i="29"/>
  <c r="K60" i="29"/>
  <c r="J60" i="29"/>
  <c r="I60" i="29"/>
  <c r="D60" i="29"/>
  <c r="C60" i="29"/>
  <c r="A60" i="29"/>
  <c r="K59" i="29"/>
  <c r="J59" i="29"/>
  <c r="I59" i="29"/>
  <c r="D59" i="29"/>
  <c r="C59" i="29"/>
  <c r="A59" i="29"/>
  <c r="K58" i="29"/>
  <c r="J58" i="29"/>
  <c r="I58" i="29"/>
  <c r="D58" i="29"/>
  <c r="C58" i="29"/>
  <c r="A58" i="29"/>
  <c r="K57" i="29"/>
  <c r="I57" i="29"/>
  <c r="J57" i="29" s="1"/>
  <c r="D57" i="29"/>
  <c r="C57" i="29"/>
  <c r="A57" i="29"/>
  <c r="K56" i="29"/>
  <c r="J56" i="29"/>
  <c r="I56" i="29"/>
  <c r="D56" i="29"/>
  <c r="C56" i="29"/>
  <c r="A56" i="29"/>
  <c r="K55" i="29"/>
  <c r="J55" i="29"/>
  <c r="I55" i="29"/>
  <c r="D55" i="29"/>
  <c r="C55" i="29"/>
  <c r="A55" i="29"/>
  <c r="K54" i="29"/>
  <c r="J54" i="29"/>
  <c r="I54" i="29"/>
  <c r="D54" i="29"/>
  <c r="C54" i="29"/>
  <c r="A54" i="29"/>
  <c r="K53" i="29"/>
  <c r="I53" i="29"/>
  <c r="J53" i="29" s="1"/>
  <c r="D53" i="29"/>
  <c r="C53" i="29"/>
  <c r="A53" i="29"/>
  <c r="K52" i="29"/>
  <c r="J52" i="29"/>
  <c r="I52" i="29"/>
  <c r="D52" i="29"/>
  <c r="C52" i="29"/>
  <c r="A52" i="29"/>
  <c r="K51" i="29"/>
  <c r="J51" i="29"/>
  <c r="I51" i="29"/>
  <c r="D51" i="29"/>
  <c r="C51" i="29"/>
  <c r="A51" i="29"/>
  <c r="K50" i="29"/>
  <c r="J50" i="29"/>
  <c r="I50" i="29"/>
  <c r="D50" i="29"/>
  <c r="C50" i="29"/>
  <c r="A50" i="29"/>
  <c r="K49" i="29"/>
  <c r="I49" i="29"/>
  <c r="J49" i="29" s="1"/>
  <c r="D49" i="29"/>
  <c r="C49" i="29"/>
  <c r="A49" i="29"/>
  <c r="K48" i="29"/>
  <c r="J48" i="29"/>
  <c r="I48" i="29"/>
  <c r="D48" i="29"/>
  <c r="C48" i="29"/>
  <c r="A48" i="29"/>
  <c r="K47" i="29"/>
  <c r="J47" i="29"/>
  <c r="I47" i="29"/>
  <c r="D47" i="29"/>
  <c r="C47" i="29"/>
  <c r="A47" i="29"/>
  <c r="K46" i="29"/>
  <c r="J46" i="29"/>
  <c r="I46" i="29"/>
  <c r="D46" i="29"/>
  <c r="C46" i="29"/>
  <c r="A46" i="29"/>
  <c r="K45" i="29"/>
  <c r="I45" i="29"/>
  <c r="J45" i="29" s="1"/>
  <c r="D45" i="29"/>
  <c r="C45" i="29"/>
  <c r="A45" i="29"/>
  <c r="K44" i="29"/>
  <c r="J44" i="29"/>
  <c r="I44" i="29"/>
  <c r="D44" i="29"/>
  <c r="C44" i="29"/>
  <c r="A44" i="29"/>
  <c r="K43" i="29"/>
  <c r="J43" i="29"/>
  <c r="I43" i="29"/>
  <c r="D43" i="29"/>
  <c r="C43" i="29"/>
  <c r="A43" i="29"/>
  <c r="K42" i="29"/>
  <c r="J42" i="29"/>
  <c r="I42" i="29"/>
  <c r="D42" i="29"/>
  <c r="C42" i="29"/>
  <c r="A42" i="29"/>
  <c r="K41" i="29"/>
  <c r="I41" i="29"/>
  <c r="J41" i="29" s="1"/>
  <c r="D41" i="29"/>
  <c r="C41" i="29"/>
  <c r="A41" i="29"/>
  <c r="K40" i="29"/>
  <c r="J40" i="29"/>
  <c r="I40" i="29"/>
  <c r="D40" i="29"/>
  <c r="C40" i="29"/>
  <c r="A40" i="29"/>
  <c r="K39" i="29"/>
  <c r="J39" i="29"/>
  <c r="I39" i="29"/>
  <c r="D39" i="29"/>
  <c r="C39" i="29"/>
  <c r="A39" i="29"/>
  <c r="K38" i="29"/>
  <c r="J38" i="29"/>
  <c r="I38" i="29"/>
  <c r="D38" i="29"/>
  <c r="C38" i="29"/>
  <c r="A38" i="29"/>
  <c r="K37" i="29"/>
  <c r="I37" i="29"/>
  <c r="J37" i="29" s="1"/>
  <c r="D37" i="29"/>
  <c r="C37" i="29"/>
  <c r="A37" i="29"/>
  <c r="K36" i="29"/>
  <c r="J36" i="29"/>
  <c r="I36" i="29"/>
  <c r="D36" i="29"/>
  <c r="C36" i="29"/>
  <c r="A36" i="29"/>
  <c r="K35" i="29"/>
  <c r="J35" i="29"/>
  <c r="I35" i="29"/>
  <c r="D35" i="29"/>
  <c r="C35" i="29"/>
  <c r="A35" i="29"/>
  <c r="K34" i="29"/>
  <c r="J34" i="29"/>
  <c r="I34" i="29"/>
  <c r="D34" i="29"/>
  <c r="C34" i="29"/>
  <c r="A34" i="29"/>
  <c r="K33" i="29"/>
  <c r="I33" i="29"/>
  <c r="J33" i="29" s="1"/>
  <c r="D33" i="29"/>
  <c r="C33" i="29"/>
  <c r="A33" i="29"/>
  <c r="K32" i="29"/>
  <c r="J32" i="29"/>
  <c r="I32" i="29"/>
  <c r="D32" i="29"/>
  <c r="C32" i="29"/>
  <c r="A32" i="29"/>
  <c r="K31" i="29"/>
  <c r="J31" i="29"/>
  <c r="I31" i="29"/>
  <c r="D31" i="29"/>
  <c r="C31" i="29"/>
  <c r="A31" i="29"/>
  <c r="K30" i="29"/>
  <c r="J30" i="29"/>
  <c r="I30" i="29"/>
  <c r="D30" i="29"/>
  <c r="C30" i="29"/>
  <c r="A30" i="29"/>
  <c r="K29" i="29"/>
  <c r="I29" i="29"/>
  <c r="J29" i="29" s="1"/>
  <c r="D29" i="29"/>
  <c r="C29" i="29"/>
  <c r="A29" i="29"/>
  <c r="K28" i="29"/>
  <c r="J28" i="29"/>
  <c r="I28" i="29"/>
  <c r="D28" i="29"/>
  <c r="C28" i="29"/>
  <c r="A28" i="29"/>
  <c r="K27" i="29"/>
  <c r="J27" i="29"/>
  <c r="I27" i="29"/>
  <c r="D27" i="29"/>
  <c r="C27" i="29"/>
  <c r="A27" i="29"/>
  <c r="K26" i="29"/>
  <c r="J26" i="29"/>
  <c r="I26" i="29"/>
  <c r="D26" i="29"/>
  <c r="C26" i="29"/>
  <c r="A26" i="29"/>
  <c r="K25" i="29"/>
  <c r="I25" i="29"/>
  <c r="J25" i="29" s="1"/>
  <c r="D25" i="29"/>
  <c r="C25" i="29"/>
  <c r="A25" i="29"/>
  <c r="K24" i="29"/>
  <c r="J24" i="29"/>
  <c r="I24" i="29"/>
  <c r="D24" i="29"/>
  <c r="C24" i="29"/>
  <c r="A24" i="29"/>
  <c r="K23" i="29"/>
  <c r="J23" i="29"/>
  <c r="I23" i="29"/>
  <c r="D23" i="29"/>
  <c r="C23" i="29"/>
  <c r="A23" i="29"/>
  <c r="K22" i="29"/>
  <c r="J22" i="29"/>
  <c r="I22" i="29"/>
  <c r="D22" i="29"/>
  <c r="C22" i="29"/>
  <c r="A22" i="29"/>
  <c r="K21" i="29"/>
  <c r="I21" i="29"/>
  <c r="J21" i="29" s="1"/>
  <c r="D21" i="29"/>
  <c r="C21" i="29"/>
  <c r="A21" i="29"/>
  <c r="K20" i="29"/>
  <c r="J20" i="29"/>
  <c r="I20" i="29"/>
  <c r="D20" i="29"/>
  <c r="C20" i="29"/>
  <c r="A20" i="29"/>
  <c r="K19" i="29"/>
  <c r="J19" i="29"/>
  <c r="I19" i="29"/>
  <c r="D19" i="29"/>
  <c r="C19" i="29"/>
  <c r="A19" i="29"/>
  <c r="K18" i="29"/>
  <c r="J18" i="29"/>
  <c r="I18" i="29"/>
  <c r="D18" i="29"/>
  <c r="C18" i="29"/>
  <c r="A18" i="29"/>
  <c r="K17" i="29"/>
  <c r="I17" i="29"/>
  <c r="J17" i="29" s="1"/>
  <c r="D17" i="29"/>
  <c r="C17" i="29"/>
  <c r="A17" i="29"/>
  <c r="K16" i="29"/>
  <c r="J16" i="29"/>
  <c r="I16" i="29"/>
  <c r="D16" i="29"/>
  <c r="C16" i="29"/>
  <c r="A16" i="29"/>
  <c r="K15" i="29"/>
  <c r="J15" i="29"/>
  <c r="I15" i="29"/>
  <c r="D15" i="29"/>
  <c r="C15" i="29"/>
  <c r="A15" i="29"/>
  <c r="K14" i="29"/>
  <c r="J14" i="29"/>
  <c r="I14" i="29"/>
  <c r="D14" i="29"/>
  <c r="C14" i="29"/>
  <c r="A14" i="29"/>
  <c r="B9" i="29"/>
  <c r="B10" i="29" s="1"/>
  <c r="B8" i="29"/>
  <c r="K208" i="28"/>
  <c r="J208" i="28"/>
  <c r="G208" i="28"/>
  <c r="D208" i="28"/>
  <c r="C208" i="28"/>
  <c r="B208" i="28"/>
  <c r="J207" i="28"/>
  <c r="K207" i="28" s="1"/>
  <c r="G207" i="28"/>
  <c r="D207" i="28"/>
  <c r="C207" i="28"/>
  <c r="B207" i="28"/>
  <c r="K206" i="28"/>
  <c r="J206" i="28"/>
  <c r="G206" i="28"/>
  <c r="D206" i="28"/>
  <c r="C206" i="28"/>
  <c r="B206" i="28"/>
  <c r="K205" i="28"/>
  <c r="J205" i="28"/>
  <c r="G205" i="28"/>
  <c r="D205" i="28"/>
  <c r="C205" i="28"/>
  <c r="B205" i="28"/>
  <c r="K204" i="28"/>
  <c r="J204" i="28"/>
  <c r="G204" i="28"/>
  <c r="D204" i="28"/>
  <c r="C204" i="28"/>
  <c r="B204" i="28"/>
  <c r="J203" i="28"/>
  <c r="K203" i="28" s="1"/>
  <c r="G203" i="28"/>
  <c r="D203" i="28"/>
  <c r="C203" i="28"/>
  <c r="B203" i="28"/>
  <c r="K202" i="28"/>
  <c r="J202" i="28"/>
  <c r="G202" i="28"/>
  <c r="D202" i="28"/>
  <c r="C202" i="28"/>
  <c r="B202" i="28"/>
  <c r="K201" i="28"/>
  <c r="J201" i="28"/>
  <c r="G201" i="28"/>
  <c r="D201" i="28"/>
  <c r="C201" i="28"/>
  <c r="B201" i="28"/>
  <c r="K200" i="28"/>
  <c r="J200" i="28"/>
  <c r="G200" i="28"/>
  <c r="D200" i="28"/>
  <c r="C200" i="28"/>
  <c r="B200" i="28"/>
  <c r="J199" i="28"/>
  <c r="K199" i="28" s="1"/>
  <c r="G199" i="28"/>
  <c r="D199" i="28"/>
  <c r="C199" i="28"/>
  <c r="B199" i="28"/>
  <c r="K198" i="28"/>
  <c r="J198" i="28"/>
  <c r="G198" i="28"/>
  <c r="D198" i="28"/>
  <c r="C198" i="28"/>
  <c r="B198" i="28"/>
  <c r="K197" i="28"/>
  <c r="J197" i="28"/>
  <c r="G197" i="28"/>
  <c r="D197" i="28"/>
  <c r="C197" i="28"/>
  <c r="B197" i="28"/>
  <c r="K196" i="28"/>
  <c r="J196" i="28"/>
  <c r="G196" i="28"/>
  <c r="D196" i="28"/>
  <c r="C196" i="28"/>
  <c r="B196" i="28"/>
  <c r="J195" i="28"/>
  <c r="K195" i="28" s="1"/>
  <c r="G195" i="28"/>
  <c r="D195" i="28"/>
  <c r="C195" i="28"/>
  <c r="B195" i="28"/>
  <c r="K194" i="28"/>
  <c r="J194" i="28"/>
  <c r="G194" i="28"/>
  <c r="D194" i="28"/>
  <c r="C194" i="28"/>
  <c r="B194" i="28"/>
  <c r="K193" i="28"/>
  <c r="J193" i="28"/>
  <c r="G193" i="28"/>
  <c r="D193" i="28"/>
  <c r="C193" i="28"/>
  <c r="B193" i="28"/>
  <c r="K192" i="28"/>
  <c r="J192" i="28"/>
  <c r="G192" i="28"/>
  <c r="D192" i="28"/>
  <c r="C192" i="28"/>
  <c r="B192" i="28"/>
  <c r="J191" i="28"/>
  <c r="K191" i="28" s="1"/>
  <c r="G191" i="28"/>
  <c r="D191" i="28"/>
  <c r="C191" i="28"/>
  <c r="B191" i="28"/>
  <c r="K190" i="28"/>
  <c r="J190" i="28"/>
  <c r="G190" i="28"/>
  <c r="D190" i="28"/>
  <c r="C190" i="28"/>
  <c r="B190" i="28"/>
  <c r="K189" i="28"/>
  <c r="J189" i="28"/>
  <c r="G189" i="28"/>
  <c r="D189" i="28"/>
  <c r="C189" i="28"/>
  <c r="B189" i="28"/>
  <c r="K188" i="28"/>
  <c r="J188" i="28"/>
  <c r="G188" i="28"/>
  <c r="D188" i="28"/>
  <c r="C188" i="28"/>
  <c r="B188" i="28"/>
  <c r="J187" i="28"/>
  <c r="K187" i="28" s="1"/>
  <c r="G187" i="28"/>
  <c r="D187" i="28"/>
  <c r="C187" i="28"/>
  <c r="B187" i="28"/>
  <c r="K186" i="28"/>
  <c r="J186" i="28"/>
  <c r="G186" i="28"/>
  <c r="D186" i="28"/>
  <c r="C186" i="28"/>
  <c r="B186" i="28"/>
  <c r="K185" i="28"/>
  <c r="J185" i="28"/>
  <c r="G185" i="28"/>
  <c r="D185" i="28"/>
  <c r="C185" i="28"/>
  <c r="B185" i="28"/>
  <c r="K184" i="28"/>
  <c r="J184" i="28"/>
  <c r="G184" i="28"/>
  <c r="D184" i="28"/>
  <c r="C184" i="28"/>
  <c r="B184" i="28"/>
  <c r="J183" i="28"/>
  <c r="K183" i="28" s="1"/>
  <c r="G183" i="28"/>
  <c r="D183" i="28"/>
  <c r="C183" i="28"/>
  <c r="B183" i="28"/>
  <c r="K182" i="28"/>
  <c r="J182" i="28"/>
  <c r="G182" i="28"/>
  <c r="D182" i="28"/>
  <c r="C182" i="28"/>
  <c r="B182" i="28"/>
  <c r="K181" i="28"/>
  <c r="J181" i="28"/>
  <c r="G181" i="28"/>
  <c r="D181" i="28"/>
  <c r="C181" i="28"/>
  <c r="B181" i="28"/>
  <c r="K180" i="28"/>
  <c r="J180" i="28"/>
  <c r="G180" i="28"/>
  <c r="D180" i="28"/>
  <c r="C180" i="28"/>
  <c r="B180" i="28"/>
  <c r="J179" i="28"/>
  <c r="K179" i="28" s="1"/>
  <c r="G179" i="28"/>
  <c r="D179" i="28"/>
  <c r="C179" i="28"/>
  <c r="B179" i="28"/>
  <c r="K178" i="28"/>
  <c r="J178" i="28"/>
  <c r="G178" i="28"/>
  <c r="D178" i="28"/>
  <c r="C178" i="28"/>
  <c r="B178" i="28"/>
  <c r="K177" i="28"/>
  <c r="J177" i="28"/>
  <c r="G177" i="28"/>
  <c r="D177" i="28"/>
  <c r="C177" i="28"/>
  <c r="B177" i="28"/>
  <c r="K176" i="28"/>
  <c r="J176" i="28"/>
  <c r="G176" i="28"/>
  <c r="D176" i="28"/>
  <c r="C176" i="28"/>
  <c r="B176" i="28"/>
  <c r="J175" i="28"/>
  <c r="K175" i="28" s="1"/>
  <c r="G175" i="28"/>
  <c r="D175" i="28"/>
  <c r="C175" i="28"/>
  <c r="B175" i="28"/>
  <c r="K174" i="28"/>
  <c r="J174" i="28"/>
  <c r="G174" i="28"/>
  <c r="D174" i="28"/>
  <c r="C174" i="28"/>
  <c r="B174" i="28"/>
  <c r="K173" i="28"/>
  <c r="J173" i="28"/>
  <c r="G173" i="28"/>
  <c r="D173" i="28"/>
  <c r="C173" i="28"/>
  <c r="B173" i="28"/>
  <c r="K172" i="28"/>
  <c r="J172" i="28"/>
  <c r="G172" i="28"/>
  <c r="D172" i="28"/>
  <c r="C172" i="28"/>
  <c r="B172" i="28"/>
  <c r="J171" i="28"/>
  <c r="K171" i="28" s="1"/>
  <c r="G171" i="28"/>
  <c r="D171" i="28"/>
  <c r="C171" i="28"/>
  <c r="B171" i="28"/>
  <c r="K170" i="28"/>
  <c r="J170" i="28"/>
  <c r="G170" i="28"/>
  <c r="D170" i="28"/>
  <c r="C170" i="28"/>
  <c r="B170" i="28"/>
  <c r="K169" i="28"/>
  <c r="J169" i="28"/>
  <c r="G169" i="28"/>
  <c r="D169" i="28"/>
  <c r="C169" i="28"/>
  <c r="B169" i="28"/>
  <c r="K168" i="28"/>
  <c r="J168" i="28"/>
  <c r="G168" i="28"/>
  <c r="D168" i="28"/>
  <c r="C168" i="28"/>
  <c r="B168" i="28"/>
  <c r="J167" i="28"/>
  <c r="K167" i="28" s="1"/>
  <c r="G167" i="28"/>
  <c r="D167" i="28"/>
  <c r="C167" i="28"/>
  <c r="B167" i="28"/>
  <c r="K166" i="28"/>
  <c r="J166" i="28"/>
  <c r="G166" i="28"/>
  <c r="D166" i="28"/>
  <c r="C166" i="28"/>
  <c r="B166" i="28"/>
  <c r="K165" i="28"/>
  <c r="J165" i="28"/>
  <c r="G165" i="28"/>
  <c r="D165" i="28"/>
  <c r="C165" i="28"/>
  <c r="B165" i="28"/>
  <c r="K164" i="28"/>
  <c r="J164" i="28"/>
  <c r="G164" i="28"/>
  <c r="D164" i="28"/>
  <c r="C164" i="28"/>
  <c r="B164" i="28"/>
  <c r="J163" i="28"/>
  <c r="K163" i="28" s="1"/>
  <c r="G163" i="28"/>
  <c r="D163" i="28"/>
  <c r="C163" i="28"/>
  <c r="B163" i="28"/>
  <c r="K162" i="28"/>
  <c r="J162" i="28"/>
  <c r="G162" i="28"/>
  <c r="D162" i="28"/>
  <c r="C162" i="28"/>
  <c r="B162" i="28"/>
  <c r="K161" i="28"/>
  <c r="J161" i="28"/>
  <c r="G161" i="28"/>
  <c r="D161" i="28"/>
  <c r="C161" i="28"/>
  <c r="B161" i="28"/>
  <c r="K160" i="28"/>
  <c r="J160" i="28"/>
  <c r="G160" i="28"/>
  <c r="D160" i="28"/>
  <c r="C160" i="28"/>
  <c r="B160" i="28"/>
  <c r="J159" i="28"/>
  <c r="K159" i="28" s="1"/>
  <c r="G159" i="28"/>
  <c r="D159" i="28"/>
  <c r="C159" i="28"/>
  <c r="B159" i="28"/>
  <c r="K158" i="28"/>
  <c r="J158" i="28"/>
  <c r="G158" i="28"/>
  <c r="D158" i="28"/>
  <c r="C158" i="28"/>
  <c r="B158" i="28"/>
  <c r="K157" i="28"/>
  <c r="J157" i="28"/>
  <c r="G157" i="28"/>
  <c r="D157" i="28"/>
  <c r="C157" i="28"/>
  <c r="B157" i="28"/>
  <c r="K156" i="28"/>
  <c r="J156" i="28"/>
  <c r="G156" i="28"/>
  <c r="D156" i="28"/>
  <c r="C156" i="28"/>
  <c r="B156" i="28"/>
  <c r="J155" i="28"/>
  <c r="K155" i="28" s="1"/>
  <c r="G155" i="28"/>
  <c r="D155" i="28"/>
  <c r="C155" i="28"/>
  <c r="B155" i="28"/>
  <c r="K154" i="28"/>
  <c r="J154" i="28"/>
  <c r="G154" i="28"/>
  <c r="D154" i="28"/>
  <c r="C154" i="28"/>
  <c r="B154" i="28"/>
  <c r="K153" i="28"/>
  <c r="J153" i="28"/>
  <c r="G153" i="28"/>
  <c r="D153" i="28"/>
  <c r="C153" i="28"/>
  <c r="B153" i="28"/>
  <c r="K152" i="28"/>
  <c r="J152" i="28"/>
  <c r="G152" i="28"/>
  <c r="D152" i="28"/>
  <c r="C152" i="28"/>
  <c r="B152" i="28"/>
  <c r="J151" i="28"/>
  <c r="K151" i="28" s="1"/>
  <c r="G151" i="28"/>
  <c r="D151" i="28"/>
  <c r="C151" i="28"/>
  <c r="B151" i="28"/>
  <c r="K150" i="28"/>
  <c r="J150" i="28"/>
  <c r="G150" i="28"/>
  <c r="D150" i="28"/>
  <c r="C150" i="28"/>
  <c r="B150" i="28"/>
  <c r="K149" i="28"/>
  <c r="J149" i="28"/>
  <c r="G149" i="28"/>
  <c r="D149" i="28"/>
  <c r="C149" i="28"/>
  <c r="B149" i="28"/>
  <c r="K148" i="28"/>
  <c r="J148" i="28"/>
  <c r="G148" i="28"/>
  <c r="D148" i="28"/>
  <c r="C148" i="28"/>
  <c r="B148" i="28"/>
  <c r="J147" i="28"/>
  <c r="K147" i="28" s="1"/>
  <c r="G147" i="28"/>
  <c r="D147" i="28"/>
  <c r="C147" i="28"/>
  <c r="B147" i="28"/>
  <c r="K146" i="28"/>
  <c r="J146" i="28"/>
  <c r="G146" i="28"/>
  <c r="D146" i="28"/>
  <c r="C146" i="28"/>
  <c r="B146" i="28"/>
  <c r="K145" i="28"/>
  <c r="J145" i="28"/>
  <c r="G145" i="28"/>
  <c r="D145" i="28"/>
  <c r="C145" i="28"/>
  <c r="B145" i="28"/>
  <c r="K144" i="28"/>
  <c r="J144" i="28"/>
  <c r="G144" i="28"/>
  <c r="D144" i="28"/>
  <c r="C144" i="28"/>
  <c r="B144" i="28"/>
  <c r="J143" i="28"/>
  <c r="K143" i="28" s="1"/>
  <c r="G143" i="28"/>
  <c r="D143" i="28"/>
  <c r="C143" i="28"/>
  <c r="B143" i="28"/>
  <c r="K142" i="28"/>
  <c r="J142" i="28"/>
  <c r="G142" i="28"/>
  <c r="D142" i="28"/>
  <c r="C142" i="28"/>
  <c r="B142" i="28"/>
  <c r="K141" i="28"/>
  <c r="J141" i="28"/>
  <c r="G141" i="28"/>
  <c r="D141" i="28"/>
  <c r="C141" i="28"/>
  <c r="B141" i="28"/>
  <c r="K140" i="28"/>
  <c r="J140" i="28"/>
  <c r="G140" i="28"/>
  <c r="D140" i="28"/>
  <c r="C140" i="28"/>
  <c r="B140" i="28"/>
  <c r="J139" i="28"/>
  <c r="K139" i="28" s="1"/>
  <c r="G139" i="28"/>
  <c r="D139" i="28"/>
  <c r="C139" i="28"/>
  <c r="B139" i="28"/>
  <c r="K138" i="28"/>
  <c r="J138" i="28"/>
  <c r="G138" i="28"/>
  <c r="D138" i="28"/>
  <c r="C138" i="28"/>
  <c r="B138" i="28"/>
  <c r="K137" i="28"/>
  <c r="J137" i="28"/>
  <c r="G137" i="28"/>
  <c r="D137" i="28"/>
  <c r="C137" i="28"/>
  <c r="B137" i="28"/>
  <c r="K136" i="28"/>
  <c r="J136" i="28"/>
  <c r="G136" i="28"/>
  <c r="D136" i="28"/>
  <c r="C136" i="28"/>
  <c r="B136" i="28"/>
  <c r="J135" i="28"/>
  <c r="K135" i="28" s="1"/>
  <c r="G135" i="28"/>
  <c r="D135" i="28"/>
  <c r="C135" i="28"/>
  <c r="B135" i="28"/>
  <c r="K134" i="28"/>
  <c r="J134" i="28"/>
  <c r="G134" i="28"/>
  <c r="D134" i="28"/>
  <c r="C134" i="28"/>
  <c r="B134" i="28"/>
  <c r="K133" i="28"/>
  <c r="J133" i="28"/>
  <c r="G133" i="28"/>
  <c r="D133" i="28"/>
  <c r="C133" i="28"/>
  <c r="B133" i="28"/>
  <c r="K132" i="28"/>
  <c r="J132" i="28"/>
  <c r="G132" i="28"/>
  <c r="D132" i="28"/>
  <c r="C132" i="28"/>
  <c r="B132" i="28"/>
  <c r="J131" i="28"/>
  <c r="K131" i="28" s="1"/>
  <c r="G131" i="28"/>
  <c r="D131" i="28"/>
  <c r="C131" i="28"/>
  <c r="B131" i="28"/>
  <c r="K130" i="28"/>
  <c r="J130" i="28"/>
  <c r="G130" i="28"/>
  <c r="D130" i="28"/>
  <c r="C130" i="28"/>
  <c r="B130" i="28"/>
  <c r="K129" i="28"/>
  <c r="J129" i="28"/>
  <c r="G129" i="28"/>
  <c r="D129" i="28"/>
  <c r="C129" i="28"/>
  <c r="B129" i="28"/>
  <c r="K128" i="28"/>
  <c r="J128" i="28"/>
  <c r="G128" i="28"/>
  <c r="D128" i="28"/>
  <c r="C128" i="28"/>
  <c r="B128" i="28"/>
  <c r="J127" i="28"/>
  <c r="K127" i="28" s="1"/>
  <c r="G127" i="28"/>
  <c r="D127" i="28"/>
  <c r="C127" i="28"/>
  <c r="B127" i="28"/>
  <c r="K126" i="28"/>
  <c r="J126" i="28"/>
  <c r="G126" i="28"/>
  <c r="D126" i="28"/>
  <c r="C126" i="28"/>
  <c r="B126" i="28"/>
  <c r="K125" i="28"/>
  <c r="J125" i="28"/>
  <c r="G125" i="28"/>
  <c r="D125" i="28"/>
  <c r="C125" i="28"/>
  <c r="B125" i="28"/>
  <c r="K124" i="28"/>
  <c r="J124" i="28"/>
  <c r="G124" i="28"/>
  <c r="D124" i="28"/>
  <c r="C124" i="28"/>
  <c r="B124" i="28"/>
  <c r="J123" i="28"/>
  <c r="K123" i="28" s="1"/>
  <c r="G123" i="28"/>
  <c r="D123" i="28"/>
  <c r="C123" i="28"/>
  <c r="B123" i="28"/>
  <c r="K122" i="28"/>
  <c r="J122" i="28"/>
  <c r="G122" i="28"/>
  <c r="D122" i="28"/>
  <c r="C122" i="28"/>
  <c r="B122" i="28"/>
  <c r="K121" i="28"/>
  <c r="J121" i="28"/>
  <c r="G121" i="28"/>
  <c r="D121" i="28"/>
  <c r="C121" i="28"/>
  <c r="B121" i="28"/>
  <c r="K120" i="28"/>
  <c r="J120" i="28"/>
  <c r="G120" i="28"/>
  <c r="D120" i="28"/>
  <c r="C120" i="28"/>
  <c r="B120" i="28"/>
  <c r="J119" i="28"/>
  <c r="K119" i="28" s="1"/>
  <c r="G119" i="28"/>
  <c r="D119" i="28"/>
  <c r="C119" i="28"/>
  <c r="B119" i="28"/>
  <c r="K118" i="28"/>
  <c r="J118" i="28"/>
  <c r="G118" i="28"/>
  <c r="D118" i="28"/>
  <c r="C118" i="28"/>
  <c r="B118" i="28"/>
  <c r="K117" i="28"/>
  <c r="J117" i="28"/>
  <c r="G117" i="28"/>
  <c r="D117" i="28"/>
  <c r="C117" i="28"/>
  <c r="B117" i="28"/>
  <c r="K116" i="28"/>
  <c r="J116" i="28"/>
  <c r="G116" i="28"/>
  <c r="D116" i="28"/>
  <c r="C116" i="28"/>
  <c r="B116" i="28"/>
  <c r="J115" i="28"/>
  <c r="K115" i="28" s="1"/>
  <c r="G115" i="28"/>
  <c r="D115" i="28"/>
  <c r="C115" i="28"/>
  <c r="B115" i="28"/>
  <c r="K114" i="28"/>
  <c r="J114" i="28"/>
  <c r="G114" i="28"/>
  <c r="D114" i="28"/>
  <c r="C114" i="28"/>
  <c r="B114" i="28"/>
  <c r="K113" i="28"/>
  <c r="J113" i="28"/>
  <c r="G113" i="28"/>
  <c r="D113" i="28"/>
  <c r="C113" i="28"/>
  <c r="B113" i="28"/>
  <c r="K112" i="28"/>
  <c r="J112" i="28"/>
  <c r="G112" i="28"/>
  <c r="D112" i="28"/>
  <c r="C112" i="28"/>
  <c r="B112" i="28"/>
  <c r="J111" i="28"/>
  <c r="K111" i="28" s="1"/>
  <c r="G111" i="28"/>
  <c r="D111" i="28"/>
  <c r="C111" i="28"/>
  <c r="B111" i="28"/>
  <c r="K110" i="28"/>
  <c r="J110" i="28"/>
  <c r="G110" i="28"/>
  <c r="D110" i="28"/>
  <c r="C110" i="28"/>
  <c r="B110" i="28"/>
  <c r="K109" i="28"/>
  <c r="J109" i="28"/>
  <c r="G109" i="28"/>
  <c r="D109" i="28"/>
  <c r="C109" i="28"/>
  <c r="B109" i="28"/>
  <c r="K108" i="28"/>
  <c r="J108" i="28"/>
  <c r="G108" i="28"/>
  <c r="D108" i="28"/>
  <c r="C108" i="28"/>
  <c r="B108" i="28"/>
  <c r="J107" i="28"/>
  <c r="K107" i="28" s="1"/>
  <c r="G107" i="28"/>
  <c r="D107" i="28"/>
  <c r="C107" i="28"/>
  <c r="B107" i="28"/>
  <c r="K106" i="28"/>
  <c r="J106" i="28"/>
  <c r="G106" i="28"/>
  <c r="D106" i="28"/>
  <c r="C106" i="28"/>
  <c r="B106" i="28"/>
  <c r="K105" i="28"/>
  <c r="J105" i="28"/>
  <c r="G105" i="28"/>
  <c r="D105" i="28"/>
  <c r="C105" i="28"/>
  <c r="B105" i="28"/>
  <c r="K104" i="28"/>
  <c r="J104" i="28"/>
  <c r="G104" i="28"/>
  <c r="D104" i="28"/>
  <c r="C104" i="28"/>
  <c r="B104" i="28"/>
  <c r="J103" i="28"/>
  <c r="K103" i="28" s="1"/>
  <c r="G103" i="28"/>
  <c r="D103" i="28"/>
  <c r="C103" i="28"/>
  <c r="B103" i="28"/>
  <c r="K102" i="28"/>
  <c r="J102" i="28"/>
  <c r="G102" i="28"/>
  <c r="D102" i="28"/>
  <c r="C102" i="28"/>
  <c r="B102" i="28"/>
  <c r="K101" i="28"/>
  <c r="J101" i="28"/>
  <c r="G101" i="28"/>
  <c r="D101" i="28"/>
  <c r="C101" i="28"/>
  <c r="B101" i="28"/>
  <c r="K100" i="28"/>
  <c r="J100" i="28"/>
  <c r="G100" i="28"/>
  <c r="D100" i="28"/>
  <c r="C100" i="28"/>
  <c r="B100" i="28"/>
  <c r="J99" i="28"/>
  <c r="K99" i="28" s="1"/>
  <c r="G99" i="28"/>
  <c r="D99" i="28"/>
  <c r="C99" i="28"/>
  <c r="B99" i="28"/>
  <c r="K98" i="28"/>
  <c r="J98" i="28"/>
  <c r="G98" i="28"/>
  <c r="D98" i="28"/>
  <c r="C98" i="28"/>
  <c r="B98" i="28"/>
  <c r="K97" i="28"/>
  <c r="J97" i="28"/>
  <c r="G97" i="28"/>
  <c r="D97" i="28"/>
  <c r="C97" i="28"/>
  <c r="B97" i="28"/>
  <c r="K96" i="28"/>
  <c r="J96" i="28"/>
  <c r="G96" i="28"/>
  <c r="D96" i="28"/>
  <c r="C96" i="28"/>
  <c r="B96" i="28"/>
  <c r="J95" i="28"/>
  <c r="K95" i="28" s="1"/>
  <c r="G95" i="28"/>
  <c r="D95" i="28"/>
  <c r="C95" i="28"/>
  <c r="B95" i="28"/>
  <c r="K94" i="28"/>
  <c r="J94" i="28"/>
  <c r="G94" i="28"/>
  <c r="D94" i="28"/>
  <c r="C94" i="28"/>
  <c r="B94" i="28"/>
  <c r="K93" i="28"/>
  <c r="J93" i="28"/>
  <c r="G93" i="28"/>
  <c r="D93" i="28"/>
  <c r="C93" i="28"/>
  <c r="B93" i="28"/>
  <c r="K92" i="28"/>
  <c r="J92" i="28"/>
  <c r="G92" i="28"/>
  <c r="D92" i="28"/>
  <c r="C92" i="28"/>
  <c r="B92" i="28"/>
  <c r="J91" i="28"/>
  <c r="K91" i="28" s="1"/>
  <c r="G91" i="28"/>
  <c r="D91" i="28"/>
  <c r="C91" i="28"/>
  <c r="B91" i="28"/>
  <c r="K90" i="28"/>
  <c r="J90" i="28"/>
  <c r="G90" i="28"/>
  <c r="D90" i="28"/>
  <c r="C90" i="28"/>
  <c r="B90" i="28"/>
  <c r="K89" i="28"/>
  <c r="J89" i="28"/>
  <c r="G89" i="28"/>
  <c r="D89" i="28"/>
  <c r="C89" i="28"/>
  <c r="B89" i="28"/>
  <c r="K88" i="28"/>
  <c r="J88" i="28"/>
  <c r="G88" i="28"/>
  <c r="D88" i="28"/>
  <c r="C88" i="28"/>
  <c r="B88" i="28"/>
  <c r="J87" i="28"/>
  <c r="K87" i="28" s="1"/>
  <c r="G87" i="28"/>
  <c r="D87" i="28"/>
  <c r="C87" i="28"/>
  <c r="B87" i="28"/>
  <c r="K86" i="28"/>
  <c r="J86" i="28"/>
  <c r="G86" i="28"/>
  <c r="D86" i="28"/>
  <c r="C86" i="28"/>
  <c r="B86" i="28"/>
  <c r="K85" i="28"/>
  <c r="J85" i="28"/>
  <c r="G85" i="28"/>
  <c r="D85" i="28"/>
  <c r="C85" i="28"/>
  <c r="B85" i="28"/>
  <c r="K84" i="28"/>
  <c r="J84" i="28"/>
  <c r="G84" i="28"/>
  <c r="D84" i="28"/>
  <c r="C84" i="28"/>
  <c r="B84" i="28"/>
  <c r="J83" i="28"/>
  <c r="K83" i="28" s="1"/>
  <c r="G83" i="28"/>
  <c r="D83" i="28"/>
  <c r="C83" i="28"/>
  <c r="B83" i="28"/>
  <c r="K82" i="28"/>
  <c r="J82" i="28"/>
  <c r="G82" i="28"/>
  <c r="D82" i="28"/>
  <c r="C82" i="28"/>
  <c r="B82" i="28"/>
  <c r="K81" i="28"/>
  <c r="J81" i="28"/>
  <c r="G81" i="28"/>
  <c r="D81" i="28"/>
  <c r="C81" i="28"/>
  <c r="B81" i="28"/>
  <c r="K80" i="28"/>
  <c r="J80" i="28"/>
  <c r="G80" i="28"/>
  <c r="D80" i="28"/>
  <c r="C80" i="28"/>
  <c r="B80" i="28"/>
  <c r="J79" i="28"/>
  <c r="K79" i="28" s="1"/>
  <c r="G79" i="28"/>
  <c r="D79" i="28"/>
  <c r="C79" i="28"/>
  <c r="B79" i="28"/>
  <c r="K78" i="28"/>
  <c r="J78" i="28"/>
  <c r="G78" i="28"/>
  <c r="D78" i="28"/>
  <c r="C78" i="28"/>
  <c r="B78" i="28"/>
  <c r="K77" i="28"/>
  <c r="J77" i="28"/>
  <c r="G77" i="28"/>
  <c r="D77" i="28"/>
  <c r="C77" i="28"/>
  <c r="B77" i="28"/>
  <c r="K76" i="28"/>
  <c r="J76" i="28"/>
  <c r="G76" i="28"/>
  <c r="D76" i="28"/>
  <c r="C76" i="28"/>
  <c r="B76" i="28"/>
  <c r="J75" i="28"/>
  <c r="K75" i="28" s="1"/>
  <c r="G75" i="28"/>
  <c r="D75" i="28"/>
  <c r="C75" i="28"/>
  <c r="B75" i="28"/>
  <c r="K74" i="28"/>
  <c r="J74" i="28"/>
  <c r="G74" i="28"/>
  <c r="D74" i="28"/>
  <c r="C74" i="28"/>
  <c r="B74" i="28"/>
  <c r="K73" i="28"/>
  <c r="J73" i="28"/>
  <c r="G73" i="28"/>
  <c r="D73" i="28"/>
  <c r="C73" i="28"/>
  <c r="B73" i="28"/>
  <c r="K72" i="28"/>
  <c r="J72" i="28"/>
  <c r="G72" i="28"/>
  <c r="D72" i="28"/>
  <c r="C72" i="28"/>
  <c r="B72" i="28"/>
  <c r="J71" i="28"/>
  <c r="K71" i="28" s="1"/>
  <c r="G71" i="28"/>
  <c r="D71" i="28"/>
  <c r="C71" i="28"/>
  <c r="B71" i="28"/>
  <c r="K70" i="28"/>
  <c r="J70" i="28"/>
  <c r="G70" i="28"/>
  <c r="D70" i="28"/>
  <c r="C70" i="28"/>
  <c r="B70" i="28"/>
  <c r="K69" i="28"/>
  <c r="J69" i="28"/>
  <c r="G69" i="28"/>
  <c r="D69" i="28"/>
  <c r="C69" i="28"/>
  <c r="B69" i="28"/>
  <c r="K68" i="28"/>
  <c r="J68" i="28"/>
  <c r="G68" i="28"/>
  <c r="D68" i="28"/>
  <c r="C68" i="28"/>
  <c r="B68" i="28"/>
  <c r="J67" i="28"/>
  <c r="K67" i="28" s="1"/>
  <c r="G67" i="28"/>
  <c r="D67" i="28"/>
  <c r="C67" i="28"/>
  <c r="B67" i="28"/>
  <c r="K66" i="28"/>
  <c r="J66" i="28"/>
  <c r="G66" i="28"/>
  <c r="D66" i="28"/>
  <c r="C66" i="28"/>
  <c r="B66" i="28"/>
  <c r="K65" i="28"/>
  <c r="J65" i="28"/>
  <c r="G65" i="28"/>
  <c r="D65" i="28"/>
  <c r="C65" i="28"/>
  <c r="B65" i="28"/>
  <c r="K64" i="28"/>
  <c r="J64" i="28"/>
  <c r="G64" i="28"/>
  <c r="D64" i="28"/>
  <c r="C64" i="28"/>
  <c r="B64" i="28"/>
  <c r="J63" i="28"/>
  <c r="K63" i="28" s="1"/>
  <c r="G63" i="28"/>
  <c r="D63" i="28"/>
  <c r="C63" i="28"/>
  <c r="B63" i="28"/>
  <c r="K62" i="28"/>
  <c r="J62" i="28"/>
  <c r="G62" i="28"/>
  <c r="D62" i="28"/>
  <c r="C62" i="28"/>
  <c r="B62" i="28"/>
  <c r="K61" i="28"/>
  <c r="J61" i="28"/>
  <c r="G61" i="28"/>
  <c r="D61" i="28"/>
  <c r="C61" i="28"/>
  <c r="B61" i="28"/>
  <c r="K60" i="28"/>
  <c r="J60" i="28"/>
  <c r="G60" i="28"/>
  <c r="D60" i="28"/>
  <c r="C60" i="28"/>
  <c r="B60" i="28"/>
  <c r="J59" i="28"/>
  <c r="K59" i="28" s="1"/>
  <c r="G59" i="28"/>
  <c r="D59" i="28"/>
  <c r="C59" i="28"/>
  <c r="B59" i="28"/>
  <c r="K58" i="28"/>
  <c r="J58" i="28"/>
  <c r="G58" i="28"/>
  <c r="D58" i="28"/>
  <c r="C58" i="28"/>
  <c r="B58" i="28"/>
  <c r="K57" i="28"/>
  <c r="J57" i="28"/>
  <c r="G57" i="28"/>
  <c r="D57" i="28"/>
  <c r="C57" i="28"/>
  <c r="B57" i="28"/>
  <c r="K56" i="28"/>
  <c r="J56" i="28"/>
  <c r="G56" i="28"/>
  <c r="D56" i="28"/>
  <c r="C56" i="28"/>
  <c r="B56" i="28"/>
  <c r="J55" i="28"/>
  <c r="K55" i="28" s="1"/>
  <c r="G55" i="28"/>
  <c r="D55" i="28"/>
  <c r="C55" i="28"/>
  <c r="B55" i="28"/>
  <c r="K54" i="28"/>
  <c r="J54" i="28"/>
  <c r="G54" i="28"/>
  <c r="D54" i="28"/>
  <c r="C54" i="28"/>
  <c r="B54" i="28"/>
  <c r="K53" i="28"/>
  <c r="J53" i="28"/>
  <c r="G53" i="28"/>
  <c r="D53" i="28"/>
  <c r="C53" i="28"/>
  <c r="B53" i="28"/>
  <c r="K52" i="28"/>
  <c r="J52" i="28"/>
  <c r="G52" i="28"/>
  <c r="D52" i="28"/>
  <c r="C52" i="28"/>
  <c r="B52" i="28"/>
  <c r="J51" i="28"/>
  <c r="K51" i="28" s="1"/>
  <c r="G51" i="28"/>
  <c r="D51" i="28"/>
  <c r="C51" i="28"/>
  <c r="B51" i="28"/>
  <c r="K50" i="28"/>
  <c r="J50" i="28"/>
  <c r="G50" i="28"/>
  <c r="D50" i="28"/>
  <c r="C50" i="28"/>
  <c r="B50" i="28"/>
  <c r="K49" i="28"/>
  <c r="J49" i="28"/>
  <c r="G49" i="28"/>
  <c r="D49" i="28"/>
  <c r="C49" i="28"/>
  <c r="B49" i="28"/>
  <c r="K48" i="28"/>
  <c r="J48" i="28"/>
  <c r="G48" i="28"/>
  <c r="D48" i="28"/>
  <c r="C48" i="28"/>
  <c r="B48" i="28"/>
  <c r="J47" i="28"/>
  <c r="K47" i="28" s="1"/>
  <c r="G47" i="28"/>
  <c r="D47" i="28"/>
  <c r="C47" i="28"/>
  <c r="B47" i="28"/>
  <c r="K46" i="28"/>
  <c r="J46" i="28"/>
  <c r="G46" i="28"/>
  <c r="D46" i="28"/>
  <c r="C46" i="28"/>
  <c r="B46" i="28"/>
  <c r="K45" i="28"/>
  <c r="J45" i="28"/>
  <c r="G45" i="28"/>
  <c r="D45" i="28"/>
  <c r="C45" i="28"/>
  <c r="B45" i="28"/>
  <c r="K44" i="28"/>
  <c r="J44" i="28"/>
  <c r="G44" i="28"/>
  <c r="D44" i="28"/>
  <c r="C44" i="28"/>
  <c r="B44" i="28"/>
  <c r="J43" i="28"/>
  <c r="K43" i="28" s="1"/>
  <c r="G43" i="28"/>
  <c r="D43" i="28"/>
  <c r="C43" i="28"/>
  <c r="B43" i="28"/>
  <c r="K42" i="28"/>
  <c r="J42" i="28"/>
  <c r="G42" i="28"/>
  <c r="D42" i="28"/>
  <c r="C42" i="28"/>
  <c r="B42" i="28"/>
  <c r="K41" i="28"/>
  <c r="J41" i="28"/>
  <c r="G41" i="28"/>
  <c r="D41" i="28"/>
  <c r="C41" i="28"/>
  <c r="B41" i="28"/>
  <c r="K40" i="28"/>
  <c r="J40" i="28"/>
  <c r="G40" i="28"/>
  <c r="D40" i="28"/>
  <c r="C40" i="28"/>
  <c r="B40" i="28"/>
  <c r="J39" i="28"/>
  <c r="K39" i="28" s="1"/>
  <c r="G39" i="28"/>
  <c r="D39" i="28"/>
  <c r="C39" i="28"/>
  <c r="B39" i="28"/>
  <c r="K38" i="28"/>
  <c r="J38" i="28"/>
  <c r="G38" i="28"/>
  <c r="D38" i="28"/>
  <c r="C38" i="28"/>
  <c r="B38" i="28"/>
  <c r="K37" i="28"/>
  <c r="J37" i="28"/>
  <c r="G37" i="28"/>
  <c r="D37" i="28"/>
  <c r="C37" i="28"/>
  <c r="B37" i="28"/>
  <c r="K36" i="28"/>
  <c r="J36" i="28"/>
  <c r="G36" i="28"/>
  <c r="D36" i="28"/>
  <c r="C36" i="28"/>
  <c r="B36" i="28"/>
  <c r="J35" i="28"/>
  <c r="K35" i="28" s="1"/>
  <c r="G35" i="28"/>
  <c r="D35" i="28"/>
  <c r="C35" i="28"/>
  <c r="B35" i="28"/>
  <c r="K34" i="28"/>
  <c r="J34" i="28"/>
  <c r="G34" i="28"/>
  <c r="D34" i="28"/>
  <c r="C34" i="28"/>
  <c r="B34" i="28"/>
  <c r="K33" i="28"/>
  <c r="J33" i="28"/>
  <c r="G33" i="28"/>
  <c r="D33" i="28"/>
  <c r="C33" i="28"/>
  <c r="B33" i="28"/>
  <c r="K32" i="28"/>
  <c r="J32" i="28"/>
  <c r="G32" i="28"/>
  <c r="D32" i="28"/>
  <c r="C32" i="28"/>
  <c r="B32" i="28"/>
  <c r="J31" i="28"/>
  <c r="K31" i="28" s="1"/>
  <c r="G31" i="28"/>
  <c r="D31" i="28"/>
  <c r="C31" i="28"/>
  <c r="B31" i="28"/>
  <c r="K30" i="28"/>
  <c r="J30" i="28"/>
  <c r="G30" i="28"/>
  <c r="D30" i="28"/>
  <c r="C30" i="28"/>
  <c r="B30" i="28"/>
  <c r="K29" i="28"/>
  <c r="J29" i="28"/>
  <c r="G29" i="28"/>
  <c r="D29" i="28"/>
  <c r="C29" i="28"/>
  <c r="B29" i="28"/>
  <c r="K28" i="28"/>
  <c r="J28" i="28"/>
  <c r="G28" i="28"/>
  <c r="D28" i="28"/>
  <c r="C28" i="28"/>
  <c r="B28" i="28"/>
  <c r="J27" i="28"/>
  <c r="K27" i="28" s="1"/>
  <c r="G27" i="28"/>
  <c r="D27" i="28"/>
  <c r="C27" i="28"/>
  <c r="B27" i="28"/>
  <c r="K26" i="28"/>
  <c r="J26" i="28"/>
  <c r="G26" i="28"/>
  <c r="D26" i="28"/>
  <c r="C26" i="28"/>
  <c r="B26" i="28"/>
  <c r="K25" i="28"/>
  <c r="J25" i="28"/>
  <c r="G25" i="28"/>
  <c r="D25" i="28"/>
  <c r="C25" i="28"/>
  <c r="B25" i="28"/>
  <c r="K24" i="28"/>
  <c r="J24" i="28"/>
  <c r="G24" i="28"/>
  <c r="D24" i="28"/>
  <c r="C24" i="28"/>
  <c r="B24" i="28"/>
  <c r="J23" i="28"/>
  <c r="K23" i="28" s="1"/>
  <c r="G23" i="28"/>
  <c r="D23" i="28"/>
  <c r="C23" i="28"/>
  <c r="B23" i="28"/>
  <c r="K22" i="28"/>
  <c r="J22" i="28"/>
  <c r="G22" i="28"/>
  <c r="D22" i="28"/>
  <c r="C22" i="28"/>
  <c r="B22" i="28"/>
  <c r="K21" i="28"/>
  <c r="J21" i="28"/>
  <c r="G21" i="28"/>
  <c r="D21" i="28"/>
  <c r="C21" i="28"/>
  <c r="B21" i="28"/>
  <c r="K20" i="28"/>
  <c r="J20" i="28"/>
  <c r="G20" i="28"/>
  <c r="D20" i="28"/>
  <c r="C20" i="28"/>
  <c r="B20" i="28"/>
  <c r="J19" i="28"/>
  <c r="K19" i="28" s="1"/>
  <c r="G19" i="28"/>
  <c r="D19" i="28"/>
  <c r="C19" i="28"/>
  <c r="B19" i="28"/>
  <c r="K18" i="28"/>
  <c r="J18" i="28"/>
  <c r="G18" i="28"/>
  <c r="D18" i="28"/>
  <c r="C18" i="28"/>
  <c r="B18" i="28"/>
  <c r="K17" i="28"/>
  <c r="J17" i="28"/>
  <c r="G17" i="28"/>
  <c r="D17" i="28"/>
  <c r="C17" i="28"/>
  <c r="B17" i="28"/>
  <c r="K16" i="28"/>
  <c r="J16" i="28"/>
  <c r="G16" i="28"/>
  <c r="D16" i="28"/>
  <c r="C16" i="28"/>
  <c r="B16" i="28"/>
  <c r="J15" i="28"/>
  <c r="K15" i="28" s="1"/>
  <c r="G15" i="28"/>
  <c r="D15" i="28"/>
  <c r="C15" i="28"/>
  <c r="B15" i="28"/>
  <c r="K14" i="28"/>
  <c r="J14" i="28"/>
  <c r="G14" i="28"/>
  <c r="D14" i="28"/>
  <c r="C14" i="28"/>
  <c r="B14" i="28"/>
  <c r="K13" i="28"/>
  <c r="J13" i="28"/>
  <c r="G13" i="28"/>
  <c r="D13" i="28"/>
  <c r="C13" i="28"/>
  <c r="B13" i="28"/>
  <c r="K12" i="28"/>
  <c r="J12" i="28"/>
  <c r="G12" i="28"/>
  <c r="D12" i="28"/>
  <c r="C12" i="28"/>
  <c r="B12" i="28"/>
  <c r="J11" i="28"/>
  <c r="K11" i="28" s="1"/>
  <c r="G11" i="28"/>
  <c r="D11" i="28"/>
  <c r="C11" i="28"/>
  <c r="B11" i="28"/>
  <c r="K10" i="28"/>
  <c r="J10" i="28"/>
  <c r="G10" i="28"/>
  <c r="D10" i="28"/>
  <c r="C10" i="28"/>
  <c r="B10" i="28"/>
  <c r="K9" i="28"/>
  <c r="J9" i="28"/>
  <c r="G9" i="28"/>
  <c r="D9" i="28"/>
  <c r="C9" i="28"/>
  <c r="B9" i="28"/>
  <c r="K4" i="28"/>
  <c r="G4" i="28"/>
  <c r="D4" i="28"/>
  <c r="A4" i="28"/>
  <c r="J208" i="27"/>
  <c r="I208" i="27"/>
  <c r="F208" i="27"/>
  <c r="D208" i="27"/>
  <c r="C208" i="27"/>
  <c r="B208" i="27"/>
  <c r="J207" i="27"/>
  <c r="I207" i="27"/>
  <c r="F207" i="27"/>
  <c r="D207" i="27"/>
  <c r="C207" i="27"/>
  <c r="B207" i="27"/>
  <c r="I206" i="27"/>
  <c r="J206" i="27" s="1"/>
  <c r="F206" i="27"/>
  <c r="D206" i="27"/>
  <c r="C206" i="27"/>
  <c r="B206" i="27"/>
  <c r="I205" i="27"/>
  <c r="J205" i="27" s="1"/>
  <c r="F205" i="27"/>
  <c r="D205" i="27"/>
  <c r="C205" i="27"/>
  <c r="B205" i="27"/>
  <c r="J204" i="27"/>
  <c r="I204" i="27"/>
  <c r="F204" i="27"/>
  <c r="D204" i="27"/>
  <c r="C204" i="27"/>
  <c r="B204" i="27"/>
  <c r="J203" i="27"/>
  <c r="I203" i="27"/>
  <c r="F203" i="27"/>
  <c r="D203" i="27"/>
  <c r="C203" i="27"/>
  <c r="B203" i="27"/>
  <c r="I202" i="27"/>
  <c r="J202" i="27" s="1"/>
  <c r="F202" i="27"/>
  <c r="D202" i="27"/>
  <c r="C202" i="27"/>
  <c r="B202" i="27"/>
  <c r="I201" i="27"/>
  <c r="J201" i="27" s="1"/>
  <c r="F201" i="27"/>
  <c r="D201" i="27"/>
  <c r="C201" i="27"/>
  <c r="B201" i="27"/>
  <c r="J200" i="27"/>
  <c r="I200" i="27"/>
  <c r="F200" i="27"/>
  <c r="D200" i="27"/>
  <c r="C200" i="27"/>
  <c r="B200" i="27"/>
  <c r="J199" i="27"/>
  <c r="I199" i="27"/>
  <c r="F199" i="27"/>
  <c r="D199" i="27"/>
  <c r="C199" i="27"/>
  <c r="B199" i="27"/>
  <c r="I198" i="27"/>
  <c r="J198" i="27" s="1"/>
  <c r="F198" i="27"/>
  <c r="D198" i="27"/>
  <c r="C198" i="27"/>
  <c r="B198" i="27"/>
  <c r="J197" i="27"/>
  <c r="I197" i="27"/>
  <c r="F197" i="27"/>
  <c r="D197" i="27"/>
  <c r="C197" i="27"/>
  <c r="B197" i="27"/>
  <c r="J196" i="27"/>
  <c r="I196" i="27"/>
  <c r="F196" i="27"/>
  <c r="D196" i="27"/>
  <c r="C196" i="27"/>
  <c r="B196" i="27"/>
  <c r="J195" i="27"/>
  <c r="I195" i="27"/>
  <c r="F195" i="27"/>
  <c r="D195" i="27"/>
  <c r="C195" i="27"/>
  <c r="B195" i="27"/>
  <c r="I194" i="27"/>
  <c r="J194" i="27" s="1"/>
  <c r="F194" i="27"/>
  <c r="D194" i="27"/>
  <c r="C194" i="27"/>
  <c r="B194" i="27"/>
  <c r="J193" i="27"/>
  <c r="I193" i="27"/>
  <c r="F193" i="27"/>
  <c r="D193" i="27"/>
  <c r="C193" i="27"/>
  <c r="B193" i="27"/>
  <c r="J192" i="27"/>
  <c r="I192" i="27"/>
  <c r="F192" i="27"/>
  <c r="D192" i="27"/>
  <c r="C192" i="27"/>
  <c r="B192" i="27"/>
  <c r="J191" i="27"/>
  <c r="I191" i="27"/>
  <c r="F191" i="27"/>
  <c r="D191" i="27"/>
  <c r="C191" i="27"/>
  <c r="B191" i="27"/>
  <c r="I190" i="27"/>
  <c r="J190" i="27" s="1"/>
  <c r="F190" i="27"/>
  <c r="D190" i="27"/>
  <c r="C190" i="27"/>
  <c r="B190" i="27"/>
  <c r="I189" i="27"/>
  <c r="J189" i="27" s="1"/>
  <c r="F189" i="27"/>
  <c r="D189" i="27"/>
  <c r="C189" i="27"/>
  <c r="B189" i="27"/>
  <c r="J188" i="27"/>
  <c r="I188" i="27"/>
  <c r="F188" i="27"/>
  <c r="D188" i="27"/>
  <c r="C188" i="27"/>
  <c r="B188" i="27"/>
  <c r="J187" i="27"/>
  <c r="I187" i="27"/>
  <c r="F187" i="27"/>
  <c r="D187" i="27"/>
  <c r="C187" i="27"/>
  <c r="B187" i="27"/>
  <c r="I186" i="27"/>
  <c r="J186" i="27" s="1"/>
  <c r="F186" i="27"/>
  <c r="D186" i="27"/>
  <c r="C186" i="27"/>
  <c r="B186" i="27"/>
  <c r="J185" i="27"/>
  <c r="I185" i="27"/>
  <c r="F185" i="27"/>
  <c r="D185" i="27"/>
  <c r="C185" i="27"/>
  <c r="B185" i="27"/>
  <c r="J184" i="27"/>
  <c r="I184" i="27"/>
  <c r="F184" i="27"/>
  <c r="D184" i="27"/>
  <c r="C184" i="27"/>
  <c r="B184" i="27"/>
  <c r="J183" i="27"/>
  <c r="I183" i="27"/>
  <c r="F183" i="27"/>
  <c r="D183" i="27"/>
  <c r="C183" i="27"/>
  <c r="B183" i="27"/>
  <c r="I182" i="27"/>
  <c r="J182" i="27" s="1"/>
  <c r="F182" i="27"/>
  <c r="D182" i="27"/>
  <c r="C182" i="27"/>
  <c r="B182" i="27"/>
  <c r="I181" i="27"/>
  <c r="J181" i="27" s="1"/>
  <c r="F181" i="27"/>
  <c r="D181" i="27"/>
  <c r="C181" i="27"/>
  <c r="B181" i="27"/>
  <c r="J180" i="27"/>
  <c r="I180" i="27"/>
  <c r="F180" i="27"/>
  <c r="D180" i="27"/>
  <c r="C180" i="27"/>
  <c r="B180" i="27"/>
  <c r="J179" i="27"/>
  <c r="I179" i="27"/>
  <c r="F179" i="27"/>
  <c r="D179" i="27"/>
  <c r="C179" i="27"/>
  <c r="B179" i="27"/>
  <c r="I178" i="27"/>
  <c r="J178" i="27" s="1"/>
  <c r="F178" i="27"/>
  <c r="D178" i="27"/>
  <c r="C178" i="27"/>
  <c r="B178" i="27"/>
  <c r="I177" i="27"/>
  <c r="J177" i="27" s="1"/>
  <c r="F177" i="27"/>
  <c r="D177" i="27"/>
  <c r="C177" i="27"/>
  <c r="B177" i="27"/>
  <c r="J176" i="27"/>
  <c r="I176" i="27"/>
  <c r="F176" i="27"/>
  <c r="D176" i="27"/>
  <c r="C176" i="27"/>
  <c r="B176" i="27"/>
  <c r="J175" i="27"/>
  <c r="I175" i="27"/>
  <c r="F175" i="27"/>
  <c r="D175" i="27"/>
  <c r="C175" i="27"/>
  <c r="B175" i="27"/>
  <c r="I174" i="27"/>
  <c r="J174" i="27" s="1"/>
  <c r="F174" i="27"/>
  <c r="D174" i="27"/>
  <c r="C174" i="27"/>
  <c r="B174" i="27"/>
  <c r="I173" i="27"/>
  <c r="J173" i="27" s="1"/>
  <c r="F173" i="27"/>
  <c r="D173" i="27"/>
  <c r="C173" i="27"/>
  <c r="B173" i="27"/>
  <c r="J172" i="27"/>
  <c r="I172" i="27"/>
  <c r="F172" i="27"/>
  <c r="D172" i="27"/>
  <c r="C172" i="27"/>
  <c r="B172" i="27"/>
  <c r="J171" i="27"/>
  <c r="I171" i="27"/>
  <c r="F171" i="27"/>
  <c r="D171" i="27"/>
  <c r="C171" i="27"/>
  <c r="B171" i="27"/>
  <c r="I170" i="27"/>
  <c r="J170" i="27" s="1"/>
  <c r="F170" i="27"/>
  <c r="D170" i="27"/>
  <c r="C170" i="27"/>
  <c r="B170" i="27"/>
  <c r="I169" i="27"/>
  <c r="J169" i="27" s="1"/>
  <c r="F169" i="27"/>
  <c r="D169" i="27"/>
  <c r="C169" i="27"/>
  <c r="B169" i="27"/>
  <c r="J168" i="27"/>
  <c r="I168" i="27"/>
  <c r="F168" i="27"/>
  <c r="D168" i="27"/>
  <c r="C168" i="27"/>
  <c r="B168" i="27"/>
  <c r="J167" i="27"/>
  <c r="I167" i="27"/>
  <c r="F167" i="27"/>
  <c r="D167" i="27"/>
  <c r="C167" i="27"/>
  <c r="B167" i="27"/>
  <c r="I166" i="27"/>
  <c r="J166" i="27" s="1"/>
  <c r="F166" i="27"/>
  <c r="D166" i="27"/>
  <c r="C166" i="27"/>
  <c r="B166" i="27"/>
  <c r="J165" i="27"/>
  <c r="I165" i="27"/>
  <c r="F165" i="27"/>
  <c r="D165" i="27"/>
  <c r="C165" i="27"/>
  <c r="B165" i="27"/>
  <c r="J164" i="27"/>
  <c r="I164" i="27"/>
  <c r="F164" i="27"/>
  <c r="D164" i="27"/>
  <c r="C164" i="27"/>
  <c r="B164" i="27"/>
  <c r="J163" i="27"/>
  <c r="I163" i="27"/>
  <c r="F163" i="27"/>
  <c r="D163" i="27"/>
  <c r="C163" i="27"/>
  <c r="B163" i="27"/>
  <c r="I162" i="27"/>
  <c r="J162" i="27" s="1"/>
  <c r="F162" i="27"/>
  <c r="D162" i="27"/>
  <c r="C162" i="27"/>
  <c r="B162" i="27"/>
  <c r="J161" i="27"/>
  <c r="I161" i="27"/>
  <c r="F161" i="27"/>
  <c r="D161" i="27"/>
  <c r="C161" i="27"/>
  <c r="B161" i="27"/>
  <c r="J160" i="27"/>
  <c r="I160" i="27"/>
  <c r="F160" i="27"/>
  <c r="D160" i="27"/>
  <c r="C160" i="27"/>
  <c r="B160" i="27"/>
  <c r="I159" i="27"/>
  <c r="J159" i="27" s="1"/>
  <c r="F159" i="27"/>
  <c r="D159" i="27"/>
  <c r="C159" i="27"/>
  <c r="B159" i="27"/>
  <c r="I158" i="27"/>
  <c r="J158" i="27" s="1"/>
  <c r="F158" i="27"/>
  <c r="D158" i="27"/>
  <c r="C158" i="27"/>
  <c r="B158" i="27"/>
  <c r="I157" i="27"/>
  <c r="J157" i="27" s="1"/>
  <c r="F157" i="27"/>
  <c r="D157" i="27"/>
  <c r="C157" i="27"/>
  <c r="B157" i="27"/>
  <c r="J156" i="27"/>
  <c r="I156" i="27"/>
  <c r="F156" i="27"/>
  <c r="D156" i="27"/>
  <c r="C156" i="27"/>
  <c r="B156" i="27"/>
  <c r="I155" i="27"/>
  <c r="J155" i="27" s="1"/>
  <c r="F155" i="27"/>
  <c r="D155" i="27"/>
  <c r="C155" i="27"/>
  <c r="B155" i="27"/>
  <c r="I154" i="27"/>
  <c r="J154" i="27" s="1"/>
  <c r="F154" i="27"/>
  <c r="D154" i="27"/>
  <c r="C154" i="27"/>
  <c r="B154" i="27"/>
  <c r="J153" i="27"/>
  <c r="I153" i="27"/>
  <c r="F153" i="27"/>
  <c r="D153" i="27"/>
  <c r="C153" i="27"/>
  <c r="B153" i="27"/>
  <c r="J152" i="27"/>
  <c r="I152" i="27"/>
  <c r="F152" i="27"/>
  <c r="D152" i="27"/>
  <c r="C152" i="27"/>
  <c r="B152" i="27"/>
  <c r="I151" i="27"/>
  <c r="J151" i="27" s="1"/>
  <c r="F151" i="27"/>
  <c r="D151" i="27"/>
  <c r="C151" i="27"/>
  <c r="B151" i="27"/>
  <c r="I150" i="27"/>
  <c r="J150" i="27" s="1"/>
  <c r="F150" i="27"/>
  <c r="D150" i="27"/>
  <c r="C150" i="27"/>
  <c r="B150" i="27"/>
  <c r="I149" i="27"/>
  <c r="J149" i="27" s="1"/>
  <c r="F149" i="27"/>
  <c r="D149" i="27"/>
  <c r="C149" i="27"/>
  <c r="B149" i="27"/>
  <c r="J148" i="27"/>
  <c r="I148" i="27"/>
  <c r="F148" i="27"/>
  <c r="D148" i="27"/>
  <c r="C148" i="27"/>
  <c r="B148" i="27"/>
  <c r="J147" i="27"/>
  <c r="I147" i="27"/>
  <c r="F147" i="27"/>
  <c r="D147" i="27"/>
  <c r="C147" i="27"/>
  <c r="B147" i="27"/>
  <c r="I146" i="27"/>
  <c r="J146" i="27" s="1"/>
  <c r="F146" i="27"/>
  <c r="D146" i="27"/>
  <c r="C146" i="27"/>
  <c r="B146" i="27"/>
  <c r="I145" i="27"/>
  <c r="J145" i="27" s="1"/>
  <c r="F145" i="27"/>
  <c r="D145" i="27"/>
  <c r="C145" i="27"/>
  <c r="B145" i="27"/>
  <c r="J144" i="27"/>
  <c r="I144" i="27"/>
  <c r="F144" i="27"/>
  <c r="D144" i="27"/>
  <c r="C144" i="27"/>
  <c r="B144" i="27"/>
  <c r="J143" i="27"/>
  <c r="I143" i="27"/>
  <c r="F143" i="27"/>
  <c r="D143" i="27"/>
  <c r="C143" i="27"/>
  <c r="B143" i="27"/>
  <c r="I142" i="27"/>
  <c r="J142" i="27" s="1"/>
  <c r="F142" i="27"/>
  <c r="D142" i="27"/>
  <c r="C142" i="27"/>
  <c r="B142" i="27"/>
  <c r="I141" i="27"/>
  <c r="J141" i="27" s="1"/>
  <c r="F141" i="27"/>
  <c r="D141" i="27"/>
  <c r="C141" i="27"/>
  <c r="B141" i="27"/>
  <c r="J140" i="27"/>
  <c r="I140" i="27"/>
  <c r="F140" i="27"/>
  <c r="D140" i="27"/>
  <c r="C140" i="27"/>
  <c r="B140" i="27"/>
  <c r="I139" i="27"/>
  <c r="J139" i="27" s="1"/>
  <c r="F139" i="27"/>
  <c r="D139" i="27"/>
  <c r="C139" i="27"/>
  <c r="B139" i="27"/>
  <c r="I138" i="27"/>
  <c r="J138" i="27" s="1"/>
  <c r="F138" i="27"/>
  <c r="D138" i="27"/>
  <c r="C138" i="27"/>
  <c r="B138" i="27"/>
  <c r="I137" i="27"/>
  <c r="J137" i="27" s="1"/>
  <c r="F137" i="27"/>
  <c r="D137" i="27"/>
  <c r="C137" i="27"/>
  <c r="B137" i="27"/>
  <c r="J136" i="27"/>
  <c r="I136" i="27"/>
  <c r="F136" i="27"/>
  <c r="D136" i="27"/>
  <c r="C136" i="27"/>
  <c r="B136" i="27"/>
  <c r="J135" i="27"/>
  <c r="I135" i="27"/>
  <c r="F135" i="27"/>
  <c r="D135" i="27"/>
  <c r="C135" i="27"/>
  <c r="B135" i="27"/>
  <c r="I134" i="27"/>
  <c r="J134" i="27" s="1"/>
  <c r="F134" i="27"/>
  <c r="D134" i="27"/>
  <c r="C134" i="27"/>
  <c r="B134" i="27"/>
  <c r="J133" i="27"/>
  <c r="I133" i="27"/>
  <c r="F133" i="27"/>
  <c r="D133" i="27"/>
  <c r="C133" i="27"/>
  <c r="B133" i="27"/>
  <c r="J132" i="27"/>
  <c r="I132" i="27"/>
  <c r="F132" i="27"/>
  <c r="D132" i="27"/>
  <c r="C132" i="27"/>
  <c r="B132" i="27"/>
  <c r="J131" i="27"/>
  <c r="I131" i="27"/>
  <c r="F131" i="27"/>
  <c r="D131" i="27"/>
  <c r="C131" i="27"/>
  <c r="B131" i="27"/>
  <c r="I130" i="27"/>
  <c r="J130" i="27" s="1"/>
  <c r="F130" i="27"/>
  <c r="D130" i="27"/>
  <c r="C130" i="27"/>
  <c r="B130" i="27"/>
  <c r="J129" i="27"/>
  <c r="I129" i="27"/>
  <c r="F129" i="27"/>
  <c r="D129" i="27"/>
  <c r="C129" i="27"/>
  <c r="B129" i="27"/>
  <c r="J128" i="27"/>
  <c r="I128" i="27"/>
  <c r="F128" i="27"/>
  <c r="D128" i="27"/>
  <c r="C128" i="27"/>
  <c r="B128" i="27"/>
  <c r="I127" i="27"/>
  <c r="J127" i="27" s="1"/>
  <c r="F127" i="27"/>
  <c r="D127" i="27"/>
  <c r="C127" i="27"/>
  <c r="B127" i="27"/>
  <c r="I126" i="27"/>
  <c r="J126" i="27" s="1"/>
  <c r="F126" i="27"/>
  <c r="D126" i="27"/>
  <c r="C126" i="27"/>
  <c r="B126" i="27"/>
  <c r="I125" i="27"/>
  <c r="J125" i="27" s="1"/>
  <c r="F125" i="27"/>
  <c r="D125" i="27"/>
  <c r="C125" i="27"/>
  <c r="B125" i="27"/>
  <c r="J124" i="27"/>
  <c r="I124" i="27"/>
  <c r="F124" i="27"/>
  <c r="D124" i="27"/>
  <c r="C124" i="27"/>
  <c r="B124" i="27"/>
  <c r="I123" i="27"/>
  <c r="J123" i="27" s="1"/>
  <c r="F123" i="27"/>
  <c r="D123" i="27"/>
  <c r="C123" i="27"/>
  <c r="B123" i="27"/>
  <c r="I122" i="27"/>
  <c r="J122" i="27" s="1"/>
  <c r="F122" i="27"/>
  <c r="D122" i="27"/>
  <c r="C122" i="27"/>
  <c r="B122" i="27"/>
  <c r="J121" i="27"/>
  <c r="I121" i="27"/>
  <c r="F121" i="27"/>
  <c r="D121" i="27"/>
  <c r="C121" i="27"/>
  <c r="B121" i="27"/>
  <c r="J120" i="27"/>
  <c r="I120" i="27"/>
  <c r="F120" i="27"/>
  <c r="D120" i="27"/>
  <c r="C120" i="27"/>
  <c r="B120" i="27"/>
  <c r="I119" i="27"/>
  <c r="J119" i="27" s="1"/>
  <c r="F119" i="27"/>
  <c r="D119" i="27"/>
  <c r="C119" i="27"/>
  <c r="B119" i="27"/>
  <c r="I118" i="27"/>
  <c r="J118" i="27" s="1"/>
  <c r="F118" i="27"/>
  <c r="D118" i="27"/>
  <c r="C118" i="27"/>
  <c r="B118" i="27"/>
  <c r="I117" i="27"/>
  <c r="J117" i="27" s="1"/>
  <c r="F117" i="27"/>
  <c r="D117" i="27"/>
  <c r="C117" i="27"/>
  <c r="B117" i="27"/>
  <c r="J116" i="27"/>
  <c r="I116" i="27"/>
  <c r="F116" i="27"/>
  <c r="D116" i="27"/>
  <c r="C116" i="27"/>
  <c r="B116" i="27"/>
  <c r="J115" i="27"/>
  <c r="I115" i="27"/>
  <c r="F115" i="27"/>
  <c r="D115" i="27"/>
  <c r="C115" i="27"/>
  <c r="B115" i="27"/>
  <c r="I114" i="27"/>
  <c r="J114" i="27" s="1"/>
  <c r="F114" i="27"/>
  <c r="D114" i="27"/>
  <c r="C114" i="27"/>
  <c r="B114" i="27"/>
  <c r="I113" i="27"/>
  <c r="J113" i="27" s="1"/>
  <c r="F113" i="27"/>
  <c r="D113" i="27"/>
  <c r="C113" i="27"/>
  <c r="B113" i="27"/>
  <c r="J112" i="27"/>
  <c r="I112" i="27"/>
  <c r="F112" i="27"/>
  <c r="D112" i="27"/>
  <c r="C112" i="27"/>
  <c r="B112" i="27"/>
  <c r="J111" i="27"/>
  <c r="I111" i="27"/>
  <c r="F111" i="27"/>
  <c r="D111" i="27"/>
  <c r="C111" i="27"/>
  <c r="B111" i="27"/>
  <c r="I110" i="27"/>
  <c r="J110" i="27" s="1"/>
  <c r="F110" i="27"/>
  <c r="D110" i="27"/>
  <c r="C110" i="27"/>
  <c r="B110" i="27"/>
  <c r="I109" i="27"/>
  <c r="J109" i="27" s="1"/>
  <c r="F109" i="27"/>
  <c r="D109" i="27"/>
  <c r="C109" i="27"/>
  <c r="B109" i="27"/>
  <c r="J108" i="27"/>
  <c r="I108" i="27"/>
  <c r="F108" i="27"/>
  <c r="D108" i="27"/>
  <c r="C108" i="27"/>
  <c r="B108" i="27"/>
  <c r="I107" i="27"/>
  <c r="J107" i="27" s="1"/>
  <c r="F107" i="27"/>
  <c r="D107" i="27"/>
  <c r="C107" i="27"/>
  <c r="B107" i="27"/>
  <c r="I106" i="27"/>
  <c r="J106" i="27" s="1"/>
  <c r="F106" i="27"/>
  <c r="D106" i="27"/>
  <c r="C106" i="27"/>
  <c r="B106" i="27"/>
  <c r="I105" i="27"/>
  <c r="J105" i="27" s="1"/>
  <c r="F105" i="27"/>
  <c r="D105" i="27"/>
  <c r="C105" i="27"/>
  <c r="B105" i="27"/>
  <c r="J104" i="27"/>
  <c r="I104" i="27"/>
  <c r="F104" i="27"/>
  <c r="D104" i="27"/>
  <c r="C104" i="27"/>
  <c r="B104" i="27"/>
  <c r="J103" i="27"/>
  <c r="I103" i="27"/>
  <c r="F103" i="27"/>
  <c r="D103" i="27"/>
  <c r="C103" i="27"/>
  <c r="B103" i="27"/>
  <c r="I102" i="27"/>
  <c r="J102" i="27" s="1"/>
  <c r="F102" i="27"/>
  <c r="D102" i="27"/>
  <c r="C102" i="27"/>
  <c r="B102" i="27"/>
  <c r="J101" i="27"/>
  <c r="I101" i="27"/>
  <c r="F101" i="27"/>
  <c r="D101" i="27"/>
  <c r="C101" i="27"/>
  <c r="B101" i="27"/>
  <c r="J100" i="27"/>
  <c r="I100" i="27"/>
  <c r="F100" i="27"/>
  <c r="D100" i="27"/>
  <c r="C100" i="27"/>
  <c r="B100" i="27"/>
  <c r="J99" i="27"/>
  <c r="I99" i="27"/>
  <c r="F99" i="27"/>
  <c r="D99" i="27"/>
  <c r="C99" i="27"/>
  <c r="B99" i="27"/>
  <c r="I98" i="27"/>
  <c r="J98" i="27" s="1"/>
  <c r="F98" i="27"/>
  <c r="D98" i="27"/>
  <c r="C98" i="27"/>
  <c r="B98" i="27"/>
  <c r="J97" i="27"/>
  <c r="I97" i="27"/>
  <c r="F97" i="27"/>
  <c r="D97" i="27"/>
  <c r="C97" i="27"/>
  <c r="B97" i="27"/>
  <c r="J96" i="27"/>
  <c r="I96" i="27"/>
  <c r="F96" i="27"/>
  <c r="D96" i="27"/>
  <c r="C96" i="27"/>
  <c r="B96" i="27"/>
  <c r="I95" i="27"/>
  <c r="J95" i="27" s="1"/>
  <c r="F95" i="27"/>
  <c r="D95" i="27"/>
  <c r="C95" i="27"/>
  <c r="B95" i="27"/>
  <c r="I94" i="27"/>
  <c r="J94" i="27" s="1"/>
  <c r="F94" i="27"/>
  <c r="D94" i="27"/>
  <c r="C94" i="27"/>
  <c r="B94" i="27"/>
  <c r="I93" i="27"/>
  <c r="J93" i="27" s="1"/>
  <c r="F93" i="27"/>
  <c r="D93" i="27"/>
  <c r="C93" i="27"/>
  <c r="B93" i="27"/>
  <c r="J92" i="27"/>
  <c r="I92" i="27"/>
  <c r="F92" i="27"/>
  <c r="D92" i="27"/>
  <c r="C92" i="27"/>
  <c r="B92" i="27"/>
  <c r="I91" i="27"/>
  <c r="J91" i="27" s="1"/>
  <c r="F91" i="27"/>
  <c r="D91" i="27"/>
  <c r="C91" i="27"/>
  <c r="B91" i="27"/>
  <c r="I90" i="27"/>
  <c r="J90" i="27" s="1"/>
  <c r="F90" i="27"/>
  <c r="D90" i="27"/>
  <c r="C90" i="27"/>
  <c r="B90" i="27"/>
  <c r="J89" i="27"/>
  <c r="I89" i="27"/>
  <c r="F89" i="27"/>
  <c r="D89" i="27"/>
  <c r="C89" i="27"/>
  <c r="B89" i="27"/>
  <c r="J88" i="27"/>
  <c r="I88" i="27"/>
  <c r="F88" i="27"/>
  <c r="D88" i="27"/>
  <c r="C88" i="27"/>
  <c r="B88" i="27"/>
  <c r="I87" i="27"/>
  <c r="J87" i="27" s="1"/>
  <c r="F87" i="27"/>
  <c r="D87" i="27"/>
  <c r="C87" i="27"/>
  <c r="B87" i="27"/>
  <c r="I86" i="27"/>
  <c r="J86" i="27" s="1"/>
  <c r="F86" i="27"/>
  <c r="D86" i="27"/>
  <c r="C86" i="27"/>
  <c r="B86" i="27"/>
  <c r="I85" i="27"/>
  <c r="J85" i="27" s="1"/>
  <c r="F85" i="27"/>
  <c r="D85" i="27"/>
  <c r="C85" i="27"/>
  <c r="B85" i="27"/>
  <c r="J84" i="27"/>
  <c r="I84" i="27"/>
  <c r="F84" i="27"/>
  <c r="D84" i="27"/>
  <c r="C84" i="27"/>
  <c r="B84" i="27"/>
  <c r="J83" i="27"/>
  <c r="I83" i="27"/>
  <c r="F83" i="27"/>
  <c r="D83" i="27"/>
  <c r="C83" i="27"/>
  <c r="B83" i="27"/>
  <c r="I82" i="27"/>
  <c r="J82" i="27" s="1"/>
  <c r="F82" i="27"/>
  <c r="D82" i="27"/>
  <c r="C82" i="27"/>
  <c r="B82" i="27"/>
  <c r="I81" i="27"/>
  <c r="J81" i="27" s="1"/>
  <c r="F81" i="27"/>
  <c r="D81" i="27"/>
  <c r="C81" i="27"/>
  <c r="B81" i="27"/>
  <c r="J80" i="27"/>
  <c r="I80" i="27"/>
  <c r="F80" i="27"/>
  <c r="D80" i="27"/>
  <c r="C80" i="27"/>
  <c r="B80" i="27"/>
  <c r="J79" i="27"/>
  <c r="I79" i="27"/>
  <c r="F79" i="27"/>
  <c r="D79" i="27"/>
  <c r="C79" i="27"/>
  <c r="B79" i="27"/>
  <c r="I78" i="27"/>
  <c r="J78" i="27" s="1"/>
  <c r="F78" i="27"/>
  <c r="D78" i="27"/>
  <c r="C78" i="27"/>
  <c r="B78" i="27"/>
  <c r="I77" i="27"/>
  <c r="J77" i="27" s="1"/>
  <c r="F77" i="27"/>
  <c r="D77" i="27"/>
  <c r="C77" i="27"/>
  <c r="B77" i="27"/>
  <c r="J76" i="27"/>
  <c r="I76" i="27"/>
  <c r="F76" i="27"/>
  <c r="D76" i="27"/>
  <c r="C76" i="27"/>
  <c r="B76" i="27"/>
  <c r="I75" i="27"/>
  <c r="J75" i="27" s="1"/>
  <c r="F75" i="27"/>
  <c r="D75" i="27"/>
  <c r="C75" i="27"/>
  <c r="B75" i="27"/>
  <c r="I74" i="27"/>
  <c r="J74" i="27" s="1"/>
  <c r="F74" i="27"/>
  <c r="D74" i="27"/>
  <c r="C74" i="27"/>
  <c r="B74" i="27"/>
  <c r="I73" i="27"/>
  <c r="J73" i="27" s="1"/>
  <c r="F73" i="27"/>
  <c r="D73" i="27"/>
  <c r="C73" i="27"/>
  <c r="B73" i="27"/>
  <c r="J72" i="27"/>
  <c r="I72" i="27"/>
  <c r="F72" i="27"/>
  <c r="D72" i="27"/>
  <c r="C72" i="27"/>
  <c r="B72" i="27"/>
  <c r="J71" i="27"/>
  <c r="I71" i="27"/>
  <c r="F71" i="27"/>
  <c r="D71" i="27"/>
  <c r="C71" i="27"/>
  <c r="B71" i="27"/>
  <c r="I70" i="27"/>
  <c r="J70" i="27" s="1"/>
  <c r="F70" i="27"/>
  <c r="D70" i="27"/>
  <c r="C70" i="27"/>
  <c r="B70" i="27"/>
  <c r="J69" i="27"/>
  <c r="I69" i="27"/>
  <c r="F69" i="27"/>
  <c r="D69" i="27"/>
  <c r="C69" i="27"/>
  <c r="B69" i="27"/>
  <c r="J68" i="27"/>
  <c r="I68" i="27"/>
  <c r="F68" i="27"/>
  <c r="D68" i="27"/>
  <c r="C68" i="27"/>
  <c r="B68" i="27"/>
  <c r="J67" i="27"/>
  <c r="I67" i="27"/>
  <c r="F67" i="27"/>
  <c r="D67" i="27"/>
  <c r="C67" i="27"/>
  <c r="B67" i="27"/>
  <c r="I66" i="27"/>
  <c r="J66" i="27" s="1"/>
  <c r="F66" i="27"/>
  <c r="D66" i="27"/>
  <c r="C66" i="27"/>
  <c r="B66" i="27"/>
  <c r="J65" i="27"/>
  <c r="I65" i="27"/>
  <c r="F65" i="27"/>
  <c r="D65" i="27"/>
  <c r="C65" i="27"/>
  <c r="B65" i="27"/>
  <c r="J64" i="27"/>
  <c r="I64" i="27"/>
  <c r="F64" i="27"/>
  <c r="D64" i="27"/>
  <c r="C64" i="27"/>
  <c r="B64" i="27"/>
  <c r="I63" i="27"/>
  <c r="J63" i="27" s="1"/>
  <c r="F63" i="27"/>
  <c r="D63" i="27"/>
  <c r="C63" i="27"/>
  <c r="B63" i="27"/>
  <c r="I62" i="27"/>
  <c r="J62" i="27" s="1"/>
  <c r="F62" i="27"/>
  <c r="D62" i="27"/>
  <c r="C62" i="27"/>
  <c r="B62" i="27"/>
  <c r="I61" i="27"/>
  <c r="J61" i="27" s="1"/>
  <c r="F61" i="27"/>
  <c r="D61" i="27"/>
  <c r="C61" i="27"/>
  <c r="B61" i="27"/>
  <c r="J60" i="27"/>
  <c r="I60" i="27"/>
  <c r="F60" i="27"/>
  <c r="D60" i="27"/>
  <c r="C60" i="27"/>
  <c r="B60" i="27"/>
  <c r="I59" i="27"/>
  <c r="J59" i="27" s="1"/>
  <c r="F59" i="27"/>
  <c r="D59" i="27"/>
  <c r="C59" i="27"/>
  <c r="B59" i="27"/>
  <c r="I58" i="27"/>
  <c r="J58" i="27" s="1"/>
  <c r="F58" i="27"/>
  <c r="D58" i="27"/>
  <c r="C58" i="27"/>
  <c r="B58" i="27"/>
  <c r="J57" i="27"/>
  <c r="I57" i="27"/>
  <c r="F57" i="27"/>
  <c r="D57" i="27"/>
  <c r="C57" i="27"/>
  <c r="B57" i="27"/>
  <c r="J56" i="27"/>
  <c r="I56" i="27"/>
  <c r="F56" i="27"/>
  <c r="D56" i="27"/>
  <c r="C56" i="27"/>
  <c r="B56" i="27"/>
  <c r="I55" i="27"/>
  <c r="J55" i="27" s="1"/>
  <c r="F55" i="27"/>
  <c r="D55" i="27"/>
  <c r="C55" i="27"/>
  <c r="B55" i="27"/>
  <c r="I54" i="27"/>
  <c r="J54" i="27" s="1"/>
  <c r="F54" i="27"/>
  <c r="D54" i="27"/>
  <c r="C54" i="27"/>
  <c r="B54" i="27"/>
  <c r="I53" i="27"/>
  <c r="J53" i="27" s="1"/>
  <c r="F53" i="27"/>
  <c r="D53" i="27"/>
  <c r="C53" i="27"/>
  <c r="B53" i="27"/>
  <c r="J52" i="27"/>
  <c r="I52" i="27"/>
  <c r="F52" i="27"/>
  <c r="D52" i="27"/>
  <c r="C52" i="27"/>
  <c r="B52" i="27"/>
  <c r="J51" i="27"/>
  <c r="I51" i="27"/>
  <c r="F51" i="27"/>
  <c r="D51" i="27"/>
  <c r="C51" i="27"/>
  <c r="B51" i="27"/>
  <c r="I50" i="27"/>
  <c r="J50" i="27" s="1"/>
  <c r="F50" i="27"/>
  <c r="D50" i="27"/>
  <c r="C50" i="27"/>
  <c r="B50" i="27"/>
  <c r="I49" i="27"/>
  <c r="J49" i="27" s="1"/>
  <c r="F49" i="27"/>
  <c r="D49" i="27"/>
  <c r="C49" i="27"/>
  <c r="B49" i="27"/>
  <c r="J48" i="27"/>
  <c r="I48" i="27"/>
  <c r="F48" i="27"/>
  <c r="D48" i="27"/>
  <c r="C48" i="27"/>
  <c r="B48" i="27"/>
  <c r="J47" i="27"/>
  <c r="I47" i="27"/>
  <c r="F47" i="27"/>
  <c r="D47" i="27"/>
  <c r="C47" i="27"/>
  <c r="B47" i="27"/>
  <c r="I46" i="27"/>
  <c r="J46" i="27" s="1"/>
  <c r="F46" i="27"/>
  <c r="D46" i="27"/>
  <c r="C46" i="27"/>
  <c r="B46" i="27"/>
  <c r="J45" i="27"/>
  <c r="I45" i="27"/>
  <c r="F45" i="27"/>
  <c r="D45" i="27"/>
  <c r="C45" i="27"/>
  <c r="B45" i="27"/>
  <c r="J44" i="27"/>
  <c r="I44" i="27"/>
  <c r="F44" i="27"/>
  <c r="D44" i="27"/>
  <c r="C44" i="27"/>
  <c r="B44" i="27"/>
  <c r="J43" i="27"/>
  <c r="I43" i="27"/>
  <c r="F43" i="27"/>
  <c r="D43" i="27"/>
  <c r="C43" i="27"/>
  <c r="B43" i="27"/>
  <c r="I42" i="27"/>
  <c r="J42" i="27" s="1"/>
  <c r="F42" i="27"/>
  <c r="D42" i="27"/>
  <c r="C42" i="27"/>
  <c r="B42" i="27"/>
  <c r="I41" i="27"/>
  <c r="J41" i="27" s="1"/>
  <c r="F41" i="27"/>
  <c r="D41" i="27"/>
  <c r="C41" i="27"/>
  <c r="B41" i="27"/>
  <c r="J40" i="27"/>
  <c r="I40" i="27"/>
  <c r="F40" i="27"/>
  <c r="D40" i="27"/>
  <c r="C40" i="27"/>
  <c r="B40" i="27"/>
  <c r="J39" i="27"/>
  <c r="I39" i="27"/>
  <c r="F39" i="27"/>
  <c r="D39" i="27"/>
  <c r="C39" i="27"/>
  <c r="B39" i="27"/>
  <c r="I38" i="27"/>
  <c r="J38" i="27" s="1"/>
  <c r="F38" i="27"/>
  <c r="D38" i="27"/>
  <c r="C38" i="27"/>
  <c r="B38" i="27"/>
  <c r="J37" i="27"/>
  <c r="I37" i="27"/>
  <c r="F37" i="27"/>
  <c r="D37" i="27"/>
  <c r="C37" i="27"/>
  <c r="B37" i="27"/>
  <c r="J36" i="27"/>
  <c r="I36" i="27"/>
  <c r="F36" i="27"/>
  <c r="D36" i="27"/>
  <c r="C36" i="27"/>
  <c r="B36" i="27"/>
  <c r="J35" i="27"/>
  <c r="I35" i="27"/>
  <c r="F35" i="27"/>
  <c r="D35" i="27"/>
  <c r="C35" i="27"/>
  <c r="B35" i="27"/>
  <c r="I34" i="27"/>
  <c r="J34" i="27" s="1"/>
  <c r="F34" i="27"/>
  <c r="D34" i="27"/>
  <c r="C34" i="27"/>
  <c r="B34" i="27"/>
  <c r="J33" i="27"/>
  <c r="I33" i="27"/>
  <c r="F33" i="27"/>
  <c r="D33" i="27"/>
  <c r="C33" i="27"/>
  <c r="B33" i="27"/>
  <c r="J32" i="27"/>
  <c r="I32" i="27"/>
  <c r="F32" i="27"/>
  <c r="D32" i="27"/>
  <c r="C32" i="27"/>
  <c r="B32" i="27"/>
  <c r="J31" i="27"/>
  <c r="I31" i="27"/>
  <c r="F31" i="27"/>
  <c r="D31" i="27"/>
  <c r="C31" i="27"/>
  <c r="B31" i="27"/>
  <c r="I30" i="27"/>
  <c r="J30" i="27" s="1"/>
  <c r="F30" i="27"/>
  <c r="D30" i="27"/>
  <c r="C30" i="27"/>
  <c r="B30" i="27"/>
  <c r="I29" i="27"/>
  <c r="J29" i="27" s="1"/>
  <c r="F29" i="27"/>
  <c r="D29" i="27"/>
  <c r="C29" i="27"/>
  <c r="B29" i="27"/>
  <c r="J28" i="27"/>
  <c r="I28" i="27"/>
  <c r="F28" i="27"/>
  <c r="D28" i="27"/>
  <c r="C28" i="27"/>
  <c r="B28" i="27"/>
  <c r="J27" i="27"/>
  <c r="I27" i="27"/>
  <c r="F27" i="27"/>
  <c r="D27" i="27"/>
  <c r="C27" i="27"/>
  <c r="B27" i="27"/>
  <c r="I26" i="27"/>
  <c r="J26" i="27" s="1"/>
  <c r="F26" i="27"/>
  <c r="D26" i="27"/>
  <c r="C26" i="27"/>
  <c r="B26" i="27"/>
  <c r="I25" i="27"/>
  <c r="J25" i="27" s="1"/>
  <c r="F25" i="27"/>
  <c r="D25" i="27"/>
  <c r="C25" i="27"/>
  <c r="B25" i="27"/>
  <c r="J24" i="27"/>
  <c r="I24" i="27"/>
  <c r="F24" i="27"/>
  <c r="D24" i="27"/>
  <c r="C24" i="27"/>
  <c r="B24" i="27"/>
  <c r="J23" i="27"/>
  <c r="I23" i="27"/>
  <c r="F23" i="27"/>
  <c r="D23" i="27"/>
  <c r="C23" i="27"/>
  <c r="B23" i="27"/>
  <c r="I22" i="27"/>
  <c r="J22" i="27" s="1"/>
  <c r="F22" i="27"/>
  <c r="D22" i="27"/>
  <c r="C22" i="27"/>
  <c r="B22" i="27"/>
  <c r="I21" i="27"/>
  <c r="J21" i="27" s="1"/>
  <c r="F21" i="27"/>
  <c r="D21" i="27"/>
  <c r="C21" i="27"/>
  <c r="B21" i="27"/>
  <c r="J20" i="27"/>
  <c r="I20" i="27"/>
  <c r="F20" i="27"/>
  <c r="D20" i="27"/>
  <c r="C20" i="27"/>
  <c r="B20" i="27"/>
  <c r="J19" i="27"/>
  <c r="I19" i="27"/>
  <c r="F19" i="27"/>
  <c r="D19" i="27"/>
  <c r="C19" i="27"/>
  <c r="B19" i="27"/>
  <c r="I18" i="27"/>
  <c r="J18" i="27" s="1"/>
  <c r="F18" i="27"/>
  <c r="D18" i="27"/>
  <c r="C18" i="27"/>
  <c r="B18" i="27"/>
  <c r="I17" i="27"/>
  <c r="J17" i="27" s="1"/>
  <c r="F17" i="27"/>
  <c r="D17" i="27"/>
  <c r="C17" i="27"/>
  <c r="B17" i="27"/>
  <c r="J16" i="27"/>
  <c r="I16" i="27"/>
  <c r="F16" i="27"/>
  <c r="D16" i="27"/>
  <c r="C16" i="27"/>
  <c r="B16" i="27"/>
  <c r="J15" i="27"/>
  <c r="I15" i="27"/>
  <c r="F15" i="27"/>
  <c r="D15" i="27"/>
  <c r="C15" i="27"/>
  <c r="B15" i="27"/>
  <c r="I14" i="27"/>
  <c r="J14" i="27" s="1"/>
  <c r="F14" i="27"/>
  <c r="D14" i="27"/>
  <c r="C14" i="27"/>
  <c r="B14" i="27"/>
  <c r="J13" i="27"/>
  <c r="I13" i="27"/>
  <c r="F13" i="27"/>
  <c r="D13" i="27"/>
  <c r="C13" i="27"/>
  <c r="B13" i="27"/>
  <c r="J12" i="27"/>
  <c r="I12" i="27"/>
  <c r="F12" i="27"/>
  <c r="D12" i="27"/>
  <c r="C12" i="27"/>
  <c r="B12" i="27"/>
  <c r="J11" i="27"/>
  <c r="I11" i="27"/>
  <c r="F11" i="27"/>
  <c r="D11" i="27"/>
  <c r="C11" i="27"/>
  <c r="B11" i="27"/>
  <c r="I10" i="27"/>
  <c r="J10" i="27" s="1"/>
  <c r="F10" i="27"/>
  <c r="D10" i="27"/>
  <c r="C10" i="27"/>
  <c r="B10" i="27"/>
  <c r="I9" i="27"/>
  <c r="J9" i="27" s="1"/>
  <c r="F9" i="27"/>
  <c r="D9" i="27"/>
  <c r="C9" i="27"/>
  <c r="B9" i="27"/>
  <c r="A5" i="27"/>
  <c r="G4" i="27"/>
  <c r="D4" i="27"/>
  <c r="A4" i="27"/>
  <c r="K213" i="26"/>
  <c r="K212" i="26"/>
  <c r="K211" i="26"/>
  <c r="K210" i="26"/>
  <c r="K209" i="26"/>
  <c r="K208" i="26"/>
  <c r="K207" i="26"/>
  <c r="K206" i="26"/>
  <c r="K205" i="26"/>
  <c r="K204" i="26"/>
  <c r="K203" i="26"/>
  <c r="K202" i="26"/>
  <c r="K201" i="26"/>
  <c r="K200" i="26"/>
  <c r="K199" i="26"/>
  <c r="K198" i="26"/>
  <c r="K197" i="26"/>
  <c r="K196" i="26"/>
  <c r="K195" i="26"/>
  <c r="K194" i="26"/>
  <c r="K193" i="26"/>
  <c r="K192" i="26"/>
  <c r="K191" i="26"/>
  <c r="K190" i="26"/>
  <c r="K189" i="26"/>
  <c r="K188" i="26"/>
  <c r="K187" i="26"/>
  <c r="K186" i="26"/>
  <c r="K185" i="26"/>
  <c r="K184" i="26"/>
  <c r="K183" i="26"/>
  <c r="K182" i="26"/>
  <c r="K181" i="26"/>
  <c r="K180" i="26"/>
  <c r="K179" i="26"/>
  <c r="K178" i="26"/>
  <c r="K177" i="26"/>
  <c r="K176" i="26"/>
  <c r="K175" i="26"/>
  <c r="K174" i="26"/>
  <c r="K173" i="26"/>
  <c r="K172" i="26"/>
  <c r="K171" i="26"/>
  <c r="K170" i="26"/>
  <c r="K169" i="26"/>
  <c r="K168" i="26"/>
  <c r="K167" i="26"/>
  <c r="K166" i="26"/>
  <c r="K165" i="26"/>
  <c r="K164" i="26"/>
  <c r="K163" i="26"/>
  <c r="K162" i="26"/>
  <c r="K161" i="26"/>
  <c r="K160" i="26"/>
  <c r="K159" i="26"/>
  <c r="K158" i="26"/>
  <c r="K157" i="26"/>
  <c r="K156" i="26"/>
  <c r="K155" i="26"/>
  <c r="K154" i="26"/>
  <c r="K153" i="26"/>
  <c r="K152" i="26"/>
  <c r="K151" i="26"/>
  <c r="K150" i="26"/>
  <c r="K149" i="26"/>
  <c r="K148" i="26"/>
  <c r="K147" i="26"/>
  <c r="K146" i="26"/>
  <c r="K145" i="26"/>
  <c r="K144" i="26"/>
  <c r="K143" i="26"/>
  <c r="K142" i="26"/>
  <c r="K141" i="26"/>
  <c r="K140" i="26"/>
  <c r="K139" i="26"/>
  <c r="K138" i="26"/>
  <c r="K137" i="26"/>
  <c r="K136" i="26"/>
  <c r="K135" i="26"/>
  <c r="K134" i="26"/>
  <c r="K133" i="26"/>
  <c r="K132" i="26"/>
  <c r="K131" i="26"/>
  <c r="K130" i="26"/>
  <c r="K129" i="26"/>
  <c r="K128" i="26"/>
  <c r="K127" i="26"/>
  <c r="K126" i="26"/>
  <c r="K125" i="26"/>
  <c r="K124" i="26"/>
  <c r="K123" i="26"/>
  <c r="K122" i="26"/>
  <c r="K121" i="26"/>
  <c r="K120" i="26"/>
  <c r="K119" i="26"/>
  <c r="K118" i="26"/>
  <c r="K117" i="26"/>
  <c r="K116" i="26"/>
  <c r="K115" i="26"/>
  <c r="K114" i="26"/>
  <c r="K113" i="26"/>
  <c r="I113" i="26"/>
  <c r="J113" i="26" s="1"/>
  <c r="D113" i="26"/>
  <c r="C113" i="26"/>
  <c r="A113" i="26"/>
  <c r="K112" i="26"/>
  <c r="J112" i="26"/>
  <c r="I112" i="26"/>
  <c r="D112" i="26"/>
  <c r="C112" i="26"/>
  <c r="A112" i="26"/>
  <c r="K111" i="26"/>
  <c r="I111" i="26"/>
  <c r="J111" i="26" s="1"/>
  <c r="D111" i="26"/>
  <c r="C111" i="26"/>
  <c r="A111" i="26"/>
  <c r="K110" i="26"/>
  <c r="I110" i="26"/>
  <c r="J110" i="26" s="1"/>
  <c r="D110" i="26"/>
  <c r="C110" i="26"/>
  <c r="A110" i="26"/>
  <c r="K109" i="26"/>
  <c r="I109" i="26"/>
  <c r="J109" i="26" s="1"/>
  <c r="D109" i="26"/>
  <c r="C109" i="26"/>
  <c r="A109" i="26"/>
  <c r="K108" i="26"/>
  <c r="I108" i="26"/>
  <c r="J108" i="26" s="1"/>
  <c r="D108" i="26"/>
  <c r="C108" i="26"/>
  <c r="A108" i="26"/>
  <c r="K107" i="26"/>
  <c r="J107" i="26"/>
  <c r="I107" i="26"/>
  <c r="D107" i="26"/>
  <c r="C107" i="26"/>
  <c r="A107" i="26"/>
  <c r="K106" i="26"/>
  <c r="I106" i="26"/>
  <c r="J106" i="26" s="1"/>
  <c r="D106" i="26"/>
  <c r="C106" i="26"/>
  <c r="A106" i="26"/>
  <c r="K105" i="26"/>
  <c r="I105" i="26"/>
  <c r="J105" i="26" s="1"/>
  <c r="D105" i="26"/>
  <c r="C105" i="26"/>
  <c r="A105" i="26"/>
  <c r="K104" i="26"/>
  <c r="I104" i="26"/>
  <c r="J104" i="26" s="1"/>
  <c r="D104" i="26"/>
  <c r="C104" i="26"/>
  <c r="A104" i="26"/>
  <c r="K103" i="26"/>
  <c r="I103" i="26"/>
  <c r="J103" i="26" s="1"/>
  <c r="D103" i="26"/>
  <c r="C103" i="26"/>
  <c r="A103" i="26"/>
  <c r="K102" i="26"/>
  <c r="I102" i="26"/>
  <c r="J102" i="26" s="1"/>
  <c r="D102" i="26"/>
  <c r="C102" i="26"/>
  <c r="A102" i="26"/>
  <c r="K101" i="26"/>
  <c r="I101" i="26"/>
  <c r="J101" i="26" s="1"/>
  <c r="D101" i="26"/>
  <c r="C101" i="26"/>
  <c r="A101" i="26"/>
  <c r="K100" i="26"/>
  <c r="J100" i="26"/>
  <c r="I100" i="26"/>
  <c r="D100" i="26"/>
  <c r="C100" i="26"/>
  <c r="A100" i="26"/>
  <c r="K99" i="26"/>
  <c r="I99" i="26"/>
  <c r="J99" i="26" s="1"/>
  <c r="D99" i="26"/>
  <c r="C99" i="26"/>
  <c r="A99" i="26"/>
  <c r="K98" i="26"/>
  <c r="J98" i="26"/>
  <c r="I98" i="26"/>
  <c r="D98" i="26"/>
  <c r="C98" i="26"/>
  <c r="A98" i="26"/>
  <c r="K97" i="26"/>
  <c r="I97" i="26"/>
  <c r="J97" i="26" s="1"/>
  <c r="D97" i="26"/>
  <c r="C97" i="26"/>
  <c r="A97" i="26"/>
  <c r="K96" i="26"/>
  <c r="J96" i="26"/>
  <c r="I96" i="26"/>
  <c r="D96" i="26"/>
  <c r="C96" i="26"/>
  <c r="A96" i="26"/>
  <c r="K95" i="26"/>
  <c r="I95" i="26"/>
  <c r="J95" i="26" s="1"/>
  <c r="D95" i="26"/>
  <c r="C95" i="26"/>
  <c r="A95" i="26"/>
  <c r="K94" i="26"/>
  <c r="J94" i="26"/>
  <c r="I94" i="26"/>
  <c r="D94" i="26"/>
  <c r="C94" i="26"/>
  <c r="A94" i="26"/>
  <c r="K93" i="26"/>
  <c r="I93" i="26"/>
  <c r="J93" i="26" s="1"/>
  <c r="D93" i="26"/>
  <c r="C93" i="26"/>
  <c r="A93" i="26"/>
  <c r="K92" i="26"/>
  <c r="I92" i="26"/>
  <c r="J92" i="26" s="1"/>
  <c r="D92" i="26"/>
  <c r="C92" i="26"/>
  <c r="A92" i="26"/>
  <c r="K91" i="26"/>
  <c r="J91" i="26"/>
  <c r="I91" i="26"/>
  <c r="D91" i="26"/>
  <c r="C91" i="26"/>
  <c r="A91" i="26"/>
  <c r="K90" i="26"/>
  <c r="I90" i="26"/>
  <c r="J90" i="26" s="1"/>
  <c r="D90" i="26"/>
  <c r="C90" i="26"/>
  <c r="A90" i="26"/>
  <c r="K89" i="26"/>
  <c r="I89" i="26"/>
  <c r="J89" i="26" s="1"/>
  <c r="D89" i="26"/>
  <c r="C89" i="26"/>
  <c r="A89" i="26"/>
  <c r="K88" i="26"/>
  <c r="I88" i="26"/>
  <c r="J88" i="26" s="1"/>
  <c r="D88" i="26"/>
  <c r="C88" i="26"/>
  <c r="A88" i="26"/>
  <c r="K87" i="26"/>
  <c r="J87" i="26"/>
  <c r="I87" i="26"/>
  <c r="D87" i="26"/>
  <c r="C87" i="26"/>
  <c r="A87" i="26"/>
  <c r="K86" i="26"/>
  <c r="I86" i="26"/>
  <c r="J86" i="26" s="1"/>
  <c r="D86" i="26"/>
  <c r="C86" i="26"/>
  <c r="A86" i="26"/>
  <c r="K85" i="26"/>
  <c r="I85" i="26"/>
  <c r="J85" i="26" s="1"/>
  <c r="D85" i="26"/>
  <c r="C85" i="26"/>
  <c r="A85" i="26"/>
  <c r="K84" i="26"/>
  <c r="J84" i="26"/>
  <c r="I84" i="26"/>
  <c r="D84" i="26"/>
  <c r="C84" i="26"/>
  <c r="A84" i="26"/>
  <c r="K83" i="26"/>
  <c r="I83" i="26"/>
  <c r="J83" i="26" s="1"/>
  <c r="D83" i="26"/>
  <c r="C83" i="26"/>
  <c r="A83" i="26"/>
  <c r="K82" i="26"/>
  <c r="J82" i="26"/>
  <c r="I82" i="26"/>
  <c r="D82" i="26"/>
  <c r="C82" i="26"/>
  <c r="A82" i="26"/>
  <c r="K81" i="26"/>
  <c r="I81" i="26"/>
  <c r="J81" i="26" s="1"/>
  <c r="D81" i="26"/>
  <c r="C81" i="26"/>
  <c r="A81" i="26"/>
  <c r="K80" i="26"/>
  <c r="J80" i="26"/>
  <c r="I80" i="26"/>
  <c r="D80" i="26"/>
  <c r="C80" i="26"/>
  <c r="A80" i="26"/>
  <c r="K79" i="26"/>
  <c r="J79" i="26"/>
  <c r="I79" i="26"/>
  <c r="D79" i="26"/>
  <c r="C79" i="26"/>
  <c r="A79" i="26"/>
  <c r="K78" i="26"/>
  <c r="J78" i="26"/>
  <c r="I78" i="26"/>
  <c r="D78" i="26"/>
  <c r="C78" i="26"/>
  <c r="A78" i="26"/>
  <c r="K77" i="26"/>
  <c r="I77" i="26"/>
  <c r="J77" i="26" s="1"/>
  <c r="D77" i="26"/>
  <c r="C77" i="26"/>
  <c r="A77" i="26"/>
  <c r="K76" i="26"/>
  <c r="J76" i="26"/>
  <c r="I76" i="26"/>
  <c r="D76" i="26"/>
  <c r="C76" i="26"/>
  <c r="A76" i="26"/>
  <c r="K75" i="26"/>
  <c r="J75" i="26"/>
  <c r="I75" i="26"/>
  <c r="D75" i="26"/>
  <c r="C75" i="26"/>
  <c r="A75" i="26"/>
  <c r="K74" i="26"/>
  <c r="J74" i="26"/>
  <c r="I74" i="26"/>
  <c r="D74" i="26"/>
  <c r="C74" i="26"/>
  <c r="A74" i="26"/>
  <c r="K73" i="26"/>
  <c r="I73" i="26"/>
  <c r="J73" i="26" s="1"/>
  <c r="D73" i="26"/>
  <c r="C73" i="26"/>
  <c r="A73" i="26"/>
  <c r="K72" i="26"/>
  <c r="J72" i="26"/>
  <c r="I72" i="26"/>
  <c r="D72" i="26"/>
  <c r="C72" i="26"/>
  <c r="A72" i="26"/>
  <c r="K71" i="26"/>
  <c r="I71" i="26"/>
  <c r="J71" i="26" s="1"/>
  <c r="D71" i="26"/>
  <c r="C71" i="26"/>
  <c r="A71" i="26"/>
  <c r="K70" i="26"/>
  <c r="J70" i="26"/>
  <c r="I70" i="26"/>
  <c r="D70" i="26"/>
  <c r="C70" i="26"/>
  <c r="A70" i="26"/>
  <c r="K69" i="26"/>
  <c r="I69" i="26"/>
  <c r="J69" i="26" s="1"/>
  <c r="D69" i="26"/>
  <c r="C69" i="26"/>
  <c r="A69" i="26"/>
  <c r="K68" i="26"/>
  <c r="J68" i="26"/>
  <c r="I68" i="26"/>
  <c r="D68" i="26"/>
  <c r="C68" i="26"/>
  <c r="A68" i="26"/>
  <c r="K67" i="26"/>
  <c r="J67" i="26"/>
  <c r="I67" i="26"/>
  <c r="D67" i="26"/>
  <c r="C67" i="26"/>
  <c r="A67" i="26"/>
  <c r="K66" i="26"/>
  <c r="J66" i="26"/>
  <c r="I66" i="26"/>
  <c r="D66" i="26"/>
  <c r="C66" i="26"/>
  <c r="A66" i="26"/>
  <c r="K65" i="26"/>
  <c r="I65" i="26"/>
  <c r="J65" i="26" s="1"/>
  <c r="D65" i="26"/>
  <c r="C65" i="26"/>
  <c r="A65" i="26"/>
  <c r="K64" i="26"/>
  <c r="J64" i="26"/>
  <c r="I64" i="26"/>
  <c r="D64" i="26"/>
  <c r="C64" i="26"/>
  <c r="A64" i="26"/>
  <c r="K63" i="26"/>
  <c r="I63" i="26"/>
  <c r="J63" i="26" s="1"/>
  <c r="D63" i="26"/>
  <c r="C63" i="26"/>
  <c r="A63" i="26"/>
  <c r="K62" i="26"/>
  <c r="J62" i="26"/>
  <c r="I62" i="26"/>
  <c r="D62" i="26"/>
  <c r="C62" i="26"/>
  <c r="A62" i="26"/>
  <c r="K61" i="26"/>
  <c r="I61" i="26"/>
  <c r="J61" i="26" s="1"/>
  <c r="D61" i="26"/>
  <c r="C61" i="26"/>
  <c r="A61" i="26"/>
  <c r="K60" i="26"/>
  <c r="J60" i="26"/>
  <c r="I60" i="26"/>
  <c r="D60" i="26"/>
  <c r="C60" i="26"/>
  <c r="A60" i="26"/>
  <c r="K59" i="26"/>
  <c r="I59" i="26"/>
  <c r="J59" i="26" s="1"/>
  <c r="D59" i="26"/>
  <c r="C59" i="26"/>
  <c r="A59" i="26"/>
  <c r="K58" i="26"/>
  <c r="J58" i="26"/>
  <c r="I58" i="26"/>
  <c r="D58" i="26"/>
  <c r="C58" i="26"/>
  <c r="A58" i="26"/>
  <c r="K57" i="26"/>
  <c r="I57" i="26"/>
  <c r="J57" i="26" s="1"/>
  <c r="D57" i="26"/>
  <c r="C57" i="26"/>
  <c r="A57" i="26"/>
  <c r="K56" i="26"/>
  <c r="J56" i="26"/>
  <c r="I56" i="26"/>
  <c r="D56" i="26"/>
  <c r="C56" i="26"/>
  <c r="A56" i="26"/>
  <c r="K55" i="26"/>
  <c r="J55" i="26"/>
  <c r="I55" i="26"/>
  <c r="D55" i="26"/>
  <c r="C55" i="26"/>
  <c r="A55" i="26"/>
  <c r="K54" i="26"/>
  <c r="J54" i="26"/>
  <c r="I54" i="26"/>
  <c r="D54" i="26"/>
  <c r="C54" i="26"/>
  <c r="A54" i="26"/>
  <c r="K53" i="26"/>
  <c r="I53" i="26"/>
  <c r="J53" i="26" s="1"/>
  <c r="D53" i="26"/>
  <c r="C53" i="26"/>
  <c r="A53" i="26"/>
  <c r="K52" i="26"/>
  <c r="J52" i="26"/>
  <c r="I52" i="26"/>
  <c r="D52" i="26"/>
  <c r="C52" i="26"/>
  <c r="A52" i="26"/>
  <c r="K51" i="26"/>
  <c r="I51" i="26"/>
  <c r="J51" i="26" s="1"/>
  <c r="D51" i="26"/>
  <c r="C51" i="26"/>
  <c r="A51" i="26"/>
  <c r="K50" i="26"/>
  <c r="J50" i="26"/>
  <c r="I50" i="26"/>
  <c r="D50" i="26"/>
  <c r="C50" i="26"/>
  <c r="A50" i="26"/>
  <c r="K49" i="26"/>
  <c r="I49" i="26"/>
  <c r="J49" i="26" s="1"/>
  <c r="D49" i="26"/>
  <c r="C49" i="26"/>
  <c r="A49" i="26"/>
  <c r="K48" i="26"/>
  <c r="J48" i="26"/>
  <c r="I48" i="26"/>
  <c r="D48" i="26"/>
  <c r="C48" i="26"/>
  <c r="A48" i="26"/>
  <c r="K47" i="26"/>
  <c r="J47" i="26"/>
  <c r="I47" i="26"/>
  <c r="D47" i="26"/>
  <c r="C47" i="26"/>
  <c r="A47" i="26"/>
  <c r="K46" i="26"/>
  <c r="J46" i="26"/>
  <c r="I46" i="26"/>
  <c r="D46" i="26"/>
  <c r="C46" i="26"/>
  <c r="A46" i="26"/>
  <c r="K45" i="26"/>
  <c r="I45" i="26"/>
  <c r="J45" i="26" s="1"/>
  <c r="D45" i="26"/>
  <c r="C45" i="26"/>
  <c r="A45" i="26"/>
  <c r="K44" i="26"/>
  <c r="J44" i="26"/>
  <c r="I44" i="26"/>
  <c r="D44" i="26"/>
  <c r="C44" i="26"/>
  <c r="A44" i="26"/>
  <c r="K43" i="26"/>
  <c r="J43" i="26"/>
  <c r="I43" i="26"/>
  <c r="D43" i="26"/>
  <c r="C43" i="26"/>
  <c r="A43" i="26"/>
  <c r="K42" i="26"/>
  <c r="J42" i="26"/>
  <c r="I42" i="26"/>
  <c r="D42" i="26"/>
  <c r="C42" i="26"/>
  <c r="A42" i="26"/>
  <c r="K41" i="26"/>
  <c r="I41" i="26"/>
  <c r="J41" i="26" s="1"/>
  <c r="D41" i="26"/>
  <c r="C41" i="26"/>
  <c r="A41" i="26"/>
  <c r="K40" i="26"/>
  <c r="J40" i="26"/>
  <c r="I40" i="26"/>
  <c r="D40" i="26"/>
  <c r="C40" i="26"/>
  <c r="A40" i="26"/>
  <c r="K39" i="26"/>
  <c r="I39" i="26"/>
  <c r="J39" i="26" s="1"/>
  <c r="D39" i="26"/>
  <c r="C39" i="26"/>
  <c r="A39" i="26"/>
  <c r="K38" i="26"/>
  <c r="J38" i="26"/>
  <c r="I38" i="26"/>
  <c r="D38" i="26"/>
  <c r="C38" i="26"/>
  <c r="A38" i="26"/>
  <c r="K37" i="26"/>
  <c r="I37" i="26"/>
  <c r="J37" i="26" s="1"/>
  <c r="D37" i="26"/>
  <c r="C37" i="26"/>
  <c r="A37" i="26"/>
  <c r="K36" i="26"/>
  <c r="J36" i="26"/>
  <c r="I36" i="26"/>
  <c r="D36" i="26"/>
  <c r="C36" i="26"/>
  <c r="A36" i="26"/>
  <c r="K35" i="26"/>
  <c r="J35" i="26"/>
  <c r="I35" i="26"/>
  <c r="D35" i="26"/>
  <c r="C35" i="26"/>
  <c r="A35" i="26"/>
  <c r="K34" i="26"/>
  <c r="J34" i="26"/>
  <c r="I34" i="26"/>
  <c r="D34" i="26"/>
  <c r="C34" i="26"/>
  <c r="A34" i="26"/>
  <c r="K33" i="26"/>
  <c r="I33" i="26"/>
  <c r="J33" i="26" s="1"/>
  <c r="D33" i="26"/>
  <c r="C33" i="26"/>
  <c r="A33" i="26"/>
  <c r="K32" i="26"/>
  <c r="J32" i="26"/>
  <c r="I32" i="26"/>
  <c r="D32" i="26"/>
  <c r="C32" i="26"/>
  <c r="A32" i="26"/>
  <c r="K31" i="26"/>
  <c r="I31" i="26"/>
  <c r="J31" i="26" s="1"/>
  <c r="D31" i="26"/>
  <c r="C31" i="26"/>
  <c r="A31" i="26"/>
  <c r="K30" i="26"/>
  <c r="J30" i="26"/>
  <c r="I30" i="26"/>
  <c r="D30" i="26"/>
  <c r="C30" i="26"/>
  <c r="A30" i="26"/>
  <c r="K29" i="26"/>
  <c r="I29" i="26"/>
  <c r="J29" i="26" s="1"/>
  <c r="D29" i="26"/>
  <c r="C29" i="26"/>
  <c r="A29" i="26"/>
  <c r="K28" i="26"/>
  <c r="J28" i="26"/>
  <c r="I28" i="26"/>
  <c r="D28" i="26"/>
  <c r="C28" i="26"/>
  <c r="A28" i="26"/>
  <c r="K27" i="26"/>
  <c r="I27" i="26"/>
  <c r="J27" i="26" s="1"/>
  <c r="D27" i="26"/>
  <c r="C27" i="26"/>
  <c r="A27" i="26"/>
  <c r="K26" i="26"/>
  <c r="J26" i="26"/>
  <c r="I26" i="26"/>
  <c r="D26" i="26"/>
  <c r="C26" i="26"/>
  <c r="A26" i="26"/>
  <c r="K25" i="26"/>
  <c r="I25" i="26"/>
  <c r="J25" i="26" s="1"/>
  <c r="D25" i="26"/>
  <c r="C25" i="26"/>
  <c r="A25" i="26"/>
  <c r="K24" i="26"/>
  <c r="J24" i="26"/>
  <c r="I24" i="26"/>
  <c r="D24" i="26"/>
  <c r="C24" i="26"/>
  <c r="A24" i="26"/>
  <c r="K23" i="26"/>
  <c r="J23" i="26"/>
  <c r="I23" i="26"/>
  <c r="D23" i="26"/>
  <c r="C23" i="26"/>
  <c r="A23" i="26"/>
  <c r="K22" i="26"/>
  <c r="J22" i="26"/>
  <c r="I22" i="26"/>
  <c r="D22" i="26"/>
  <c r="C22" i="26"/>
  <c r="A22" i="26"/>
  <c r="K21" i="26"/>
  <c r="I21" i="26"/>
  <c r="J21" i="26" s="1"/>
  <c r="D21" i="26"/>
  <c r="C21" i="26"/>
  <c r="A21" i="26"/>
  <c r="K20" i="26"/>
  <c r="J20" i="26"/>
  <c r="I20" i="26"/>
  <c r="D20" i="26"/>
  <c r="C20" i="26"/>
  <c r="A20" i="26"/>
  <c r="K19" i="26"/>
  <c r="I19" i="26"/>
  <c r="J19" i="26" s="1"/>
  <c r="D19" i="26"/>
  <c r="C19" i="26"/>
  <c r="A19" i="26"/>
  <c r="K18" i="26"/>
  <c r="J18" i="26"/>
  <c r="I18" i="26"/>
  <c r="D18" i="26"/>
  <c r="C18" i="26"/>
  <c r="A18" i="26"/>
  <c r="K17" i="26"/>
  <c r="I17" i="26"/>
  <c r="J17" i="26" s="1"/>
  <c r="D17" i="26"/>
  <c r="C17" i="26"/>
  <c r="A17" i="26"/>
  <c r="K16" i="26"/>
  <c r="J16" i="26"/>
  <c r="I16" i="26"/>
  <c r="D16" i="26"/>
  <c r="C16" i="26"/>
  <c r="A16" i="26"/>
  <c r="K15" i="26"/>
  <c r="J15" i="26"/>
  <c r="I15" i="26"/>
  <c r="D15" i="26"/>
  <c r="C15" i="26"/>
  <c r="A15" i="26"/>
  <c r="K14" i="26"/>
  <c r="J14" i="26"/>
  <c r="I14" i="26"/>
  <c r="D14" i="26"/>
  <c r="C14" i="26"/>
  <c r="A14" i="26"/>
  <c r="B9" i="26"/>
  <c r="B10" i="26" s="1"/>
  <c r="B8" i="26"/>
  <c r="K208" i="25"/>
  <c r="J208" i="25"/>
  <c r="G208" i="25"/>
  <c r="D208" i="25"/>
  <c r="C208" i="25"/>
  <c r="B208" i="25"/>
  <c r="J207" i="25"/>
  <c r="K207" i="25" s="1"/>
  <c r="G207" i="25"/>
  <c r="D207" i="25"/>
  <c r="C207" i="25"/>
  <c r="B207" i="25"/>
  <c r="K206" i="25"/>
  <c r="J206" i="25"/>
  <c r="G206" i="25"/>
  <c r="D206" i="25"/>
  <c r="C206" i="25"/>
  <c r="B206" i="25"/>
  <c r="J205" i="25"/>
  <c r="K205" i="25" s="1"/>
  <c r="G205" i="25"/>
  <c r="D205" i="25"/>
  <c r="C205" i="25"/>
  <c r="B205" i="25"/>
  <c r="K204" i="25"/>
  <c r="J204" i="25"/>
  <c r="G204" i="25"/>
  <c r="D204" i="25"/>
  <c r="C204" i="25"/>
  <c r="B204" i="25"/>
  <c r="J203" i="25"/>
  <c r="K203" i="25" s="1"/>
  <c r="G203" i="25"/>
  <c r="D203" i="25"/>
  <c r="C203" i="25"/>
  <c r="B203" i="25"/>
  <c r="K202" i="25"/>
  <c r="J202" i="25"/>
  <c r="G202" i="25"/>
  <c r="D202" i="25"/>
  <c r="C202" i="25"/>
  <c r="B202" i="25"/>
  <c r="K201" i="25"/>
  <c r="J201" i="25"/>
  <c r="G201" i="25"/>
  <c r="D201" i="25"/>
  <c r="C201" i="25"/>
  <c r="B201" i="25"/>
  <c r="K200" i="25"/>
  <c r="J200" i="25"/>
  <c r="G200" i="25"/>
  <c r="D200" i="25"/>
  <c r="C200" i="25"/>
  <c r="B200" i="25"/>
  <c r="J199" i="25"/>
  <c r="K199" i="25" s="1"/>
  <c r="G199" i="25"/>
  <c r="D199" i="25"/>
  <c r="C199" i="25"/>
  <c r="B199" i="25"/>
  <c r="K198" i="25"/>
  <c r="J198" i="25"/>
  <c r="G198" i="25"/>
  <c r="D198" i="25"/>
  <c r="C198" i="25"/>
  <c r="B198" i="25"/>
  <c r="J197" i="25"/>
  <c r="K197" i="25" s="1"/>
  <c r="G197" i="25"/>
  <c r="D197" i="25"/>
  <c r="C197" i="25"/>
  <c r="B197" i="25"/>
  <c r="K196" i="25"/>
  <c r="J196" i="25"/>
  <c r="G196" i="25"/>
  <c r="D196" i="25"/>
  <c r="C196" i="25"/>
  <c r="B196" i="25"/>
  <c r="J195" i="25"/>
  <c r="K195" i="25" s="1"/>
  <c r="G195" i="25"/>
  <c r="D195" i="25"/>
  <c r="C195" i="25"/>
  <c r="B195" i="25"/>
  <c r="K194" i="25"/>
  <c r="J194" i="25"/>
  <c r="G194" i="25"/>
  <c r="D194" i="25"/>
  <c r="C194" i="25"/>
  <c r="B194" i="25"/>
  <c r="J193" i="25"/>
  <c r="K193" i="25" s="1"/>
  <c r="G193" i="25"/>
  <c r="D193" i="25"/>
  <c r="C193" i="25"/>
  <c r="B193" i="25"/>
  <c r="K192" i="25"/>
  <c r="J192" i="25"/>
  <c r="G192" i="25"/>
  <c r="D192" i="25"/>
  <c r="C192" i="25"/>
  <c r="B192" i="25"/>
  <c r="J191" i="25"/>
  <c r="K191" i="25" s="1"/>
  <c r="G191" i="25"/>
  <c r="D191" i="25"/>
  <c r="C191" i="25"/>
  <c r="B191" i="25"/>
  <c r="K190" i="25"/>
  <c r="J190" i="25"/>
  <c r="G190" i="25"/>
  <c r="D190" i="25"/>
  <c r="C190" i="25"/>
  <c r="B190" i="25"/>
  <c r="J189" i="25"/>
  <c r="K189" i="25" s="1"/>
  <c r="G189" i="25"/>
  <c r="D189" i="25"/>
  <c r="C189" i="25"/>
  <c r="B189" i="25"/>
  <c r="K188" i="25"/>
  <c r="J188" i="25"/>
  <c r="G188" i="25"/>
  <c r="D188" i="25"/>
  <c r="C188" i="25"/>
  <c r="B188" i="25"/>
  <c r="J187" i="25"/>
  <c r="K187" i="25" s="1"/>
  <c r="G187" i="25"/>
  <c r="D187" i="25"/>
  <c r="C187" i="25"/>
  <c r="B187" i="25"/>
  <c r="K186" i="25"/>
  <c r="J186" i="25"/>
  <c r="G186" i="25"/>
  <c r="D186" i="25"/>
  <c r="C186" i="25"/>
  <c r="B186" i="25"/>
  <c r="J185" i="25"/>
  <c r="K185" i="25" s="1"/>
  <c r="G185" i="25"/>
  <c r="D185" i="25"/>
  <c r="C185" i="25"/>
  <c r="B185" i="25"/>
  <c r="K184" i="25"/>
  <c r="J184" i="25"/>
  <c r="G184" i="25"/>
  <c r="D184" i="25"/>
  <c r="C184" i="25"/>
  <c r="B184" i="25"/>
  <c r="J183" i="25"/>
  <c r="K183" i="25" s="1"/>
  <c r="G183" i="25"/>
  <c r="D183" i="25"/>
  <c r="C183" i="25"/>
  <c r="B183" i="25"/>
  <c r="K182" i="25"/>
  <c r="J182" i="25"/>
  <c r="G182" i="25"/>
  <c r="D182" i="25"/>
  <c r="C182" i="25"/>
  <c r="B182" i="25"/>
  <c r="K181" i="25"/>
  <c r="J181" i="25"/>
  <c r="G181" i="25"/>
  <c r="D181" i="25"/>
  <c r="C181" i="25"/>
  <c r="B181" i="25"/>
  <c r="K180" i="25"/>
  <c r="J180" i="25"/>
  <c r="G180" i="25"/>
  <c r="D180" i="25"/>
  <c r="C180" i="25"/>
  <c r="B180" i="25"/>
  <c r="J179" i="25"/>
  <c r="K179" i="25" s="1"/>
  <c r="G179" i="25"/>
  <c r="D179" i="25"/>
  <c r="C179" i="25"/>
  <c r="B179" i="25"/>
  <c r="K178" i="25"/>
  <c r="J178" i="25"/>
  <c r="G178" i="25"/>
  <c r="D178" i="25"/>
  <c r="C178" i="25"/>
  <c r="B178" i="25"/>
  <c r="K177" i="25"/>
  <c r="J177" i="25"/>
  <c r="G177" i="25"/>
  <c r="D177" i="25"/>
  <c r="C177" i="25"/>
  <c r="B177" i="25"/>
  <c r="K176" i="25"/>
  <c r="J176" i="25"/>
  <c r="G176" i="25"/>
  <c r="D176" i="25"/>
  <c r="C176" i="25"/>
  <c r="B176" i="25"/>
  <c r="J175" i="25"/>
  <c r="K175" i="25" s="1"/>
  <c r="G175" i="25"/>
  <c r="D175" i="25"/>
  <c r="C175" i="25"/>
  <c r="B175" i="25"/>
  <c r="K174" i="25"/>
  <c r="J174" i="25"/>
  <c r="G174" i="25"/>
  <c r="D174" i="25"/>
  <c r="C174" i="25"/>
  <c r="B174" i="25"/>
  <c r="K173" i="25"/>
  <c r="J173" i="25"/>
  <c r="G173" i="25"/>
  <c r="D173" i="25"/>
  <c r="C173" i="25"/>
  <c r="B173" i="25"/>
  <c r="J172" i="25"/>
  <c r="K172" i="25" s="1"/>
  <c r="G172" i="25"/>
  <c r="D172" i="25"/>
  <c r="C172" i="25"/>
  <c r="B172" i="25"/>
  <c r="J171" i="25"/>
  <c r="K171" i="25" s="1"/>
  <c r="G171" i="25"/>
  <c r="D171" i="25"/>
  <c r="C171" i="25"/>
  <c r="B171" i="25"/>
  <c r="K170" i="25"/>
  <c r="J170" i="25"/>
  <c r="G170" i="25"/>
  <c r="D170" i="25"/>
  <c r="C170" i="25"/>
  <c r="B170" i="25"/>
  <c r="K169" i="25"/>
  <c r="J169" i="25"/>
  <c r="G169" i="25"/>
  <c r="D169" i="25"/>
  <c r="C169" i="25"/>
  <c r="B169" i="25"/>
  <c r="J168" i="25"/>
  <c r="K168" i="25" s="1"/>
  <c r="G168" i="25"/>
  <c r="D168" i="25"/>
  <c r="C168" i="25"/>
  <c r="B168" i="25"/>
  <c r="J167" i="25"/>
  <c r="K167" i="25" s="1"/>
  <c r="G167" i="25"/>
  <c r="D167" i="25"/>
  <c r="C167" i="25"/>
  <c r="B167" i="25"/>
  <c r="K166" i="25"/>
  <c r="J166" i="25"/>
  <c r="G166" i="25"/>
  <c r="D166" i="25"/>
  <c r="C166" i="25"/>
  <c r="B166" i="25"/>
  <c r="K165" i="25"/>
  <c r="J165" i="25"/>
  <c r="G165" i="25"/>
  <c r="D165" i="25"/>
  <c r="C165" i="25"/>
  <c r="B165" i="25"/>
  <c r="J164" i="25"/>
  <c r="K164" i="25" s="1"/>
  <c r="G164" i="25"/>
  <c r="D164" i="25"/>
  <c r="C164" i="25"/>
  <c r="B164" i="25"/>
  <c r="J163" i="25"/>
  <c r="K163" i="25" s="1"/>
  <c r="G163" i="25"/>
  <c r="D163" i="25"/>
  <c r="C163" i="25"/>
  <c r="B163" i="25"/>
  <c r="K162" i="25"/>
  <c r="J162" i="25"/>
  <c r="G162" i="25"/>
  <c r="D162" i="25"/>
  <c r="C162" i="25"/>
  <c r="B162" i="25"/>
  <c r="K161" i="25"/>
  <c r="J161" i="25"/>
  <c r="G161" i="25"/>
  <c r="D161" i="25"/>
  <c r="C161" i="25"/>
  <c r="B161" i="25"/>
  <c r="J160" i="25"/>
  <c r="K160" i="25" s="1"/>
  <c r="G160" i="25"/>
  <c r="D160" i="25"/>
  <c r="C160" i="25"/>
  <c r="B160" i="25"/>
  <c r="J159" i="25"/>
  <c r="K159" i="25" s="1"/>
  <c r="G159" i="25"/>
  <c r="D159" i="25"/>
  <c r="C159" i="25"/>
  <c r="B159" i="25"/>
  <c r="K158" i="25"/>
  <c r="J158" i="25"/>
  <c r="G158" i="25"/>
  <c r="D158" i="25"/>
  <c r="C158" i="25"/>
  <c r="B158" i="25"/>
  <c r="K157" i="25"/>
  <c r="J157" i="25"/>
  <c r="G157" i="25"/>
  <c r="D157" i="25"/>
  <c r="C157" i="25"/>
  <c r="B157" i="25"/>
  <c r="J156" i="25"/>
  <c r="K156" i="25" s="1"/>
  <c r="G156" i="25"/>
  <c r="D156" i="25"/>
  <c r="C156" i="25"/>
  <c r="B156" i="25"/>
  <c r="J155" i="25"/>
  <c r="K155" i="25" s="1"/>
  <c r="G155" i="25"/>
  <c r="D155" i="25"/>
  <c r="C155" i="25"/>
  <c r="B155" i="25"/>
  <c r="K154" i="25"/>
  <c r="J154" i="25"/>
  <c r="G154" i="25"/>
  <c r="D154" i="25"/>
  <c r="C154" i="25"/>
  <c r="B154" i="25"/>
  <c r="K153" i="25"/>
  <c r="J153" i="25"/>
  <c r="G153" i="25"/>
  <c r="D153" i="25"/>
  <c r="C153" i="25"/>
  <c r="B153" i="25"/>
  <c r="J152" i="25"/>
  <c r="K152" i="25" s="1"/>
  <c r="G152" i="25"/>
  <c r="D152" i="25"/>
  <c r="C152" i="25"/>
  <c r="B152" i="25"/>
  <c r="J151" i="25"/>
  <c r="K151" i="25" s="1"/>
  <c r="G151" i="25"/>
  <c r="D151" i="25"/>
  <c r="C151" i="25"/>
  <c r="B151" i="25"/>
  <c r="K150" i="25"/>
  <c r="J150" i="25"/>
  <c r="G150" i="25"/>
  <c r="D150" i="25"/>
  <c r="C150" i="25"/>
  <c r="B150" i="25"/>
  <c r="K149" i="25"/>
  <c r="J149" i="25"/>
  <c r="G149" i="25"/>
  <c r="D149" i="25"/>
  <c r="C149" i="25"/>
  <c r="B149" i="25"/>
  <c r="J148" i="25"/>
  <c r="K148" i="25" s="1"/>
  <c r="G148" i="25"/>
  <c r="D148" i="25"/>
  <c r="C148" i="25"/>
  <c r="B148" i="25"/>
  <c r="J147" i="25"/>
  <c r="K147" i="25" s="1"/>
  <c r="G147" i="25"/>
  <c r="D147" i="25"/>
  <c r="C147" i="25"/>
  <c r="B147" i="25"/>
  <c r="K146" i="25"/>
  <c r="J146" i="25"/>
  <c r="G146" i="25"/>
  <c r="D146" i="25"/>
  <c r="C146" i="25"/>
  <c r="B146" i="25"/>
  <c r="K145" i="25"/>
  <c r="J145" i="25"/>
  <c r="G145" i="25"/>
  <c r="D145" i="25"/>
  <c r="C145" i="25"/>
  <c r="B145" i="25"/>
  <c r="J144" i="25"/>
  <c r="K144" i="25" s="1"/>
  <c r="G144" i="25"/>
  <c r="D144" i="25"/>
  <c r="C144" i="25"/>
  <c r="B144" i="25"/>
  <c r="J143" i="25"/>
  <c r="K143" i="25" s="1"/>
  <c r="G143" i="25"/>
  <c r="D143" i="25"/>
  <c r="C143" i="25"/>
  <c r="B143" i="25"/>
  <c r="K142" i="25"/>
  <c r="J142" i="25"/>
  <c r="G142" i="25"/>
  <c r="D142" i="25"/>
  <c r="C142" i="25"/>
  <c r="B142" i="25"/>
  <c r="K141" i="25"/>
  <c r="J141" i="25"/>
  <c r="G141" i="25"/>
  <c r="D141" i="25"/>
  <c r="C141" i="25"/>
  <c r="B141" i="25"/>
  <c r="J140" i="25"/>
  <c r="K140" i="25" s="1"/>
  <c r="G140" i="25"/>
  <c r="D140" i="25"/>
  <c r="C140" i="25"/>
  <c r="B140" i="25"/>
  <c r="J139" i="25"/>
  <c r="K139" i="25" s="1"/>
  <c r="G139" i="25"/>
  <c r="D139" i="25"/>
  <c r="C139" i="25"/>
  <c r="B139" i="25"/>
  <c r="K138" i="25"/>
  <c r="J138" i="25"/>
  <c r="G138" i="25"/>
  <c r="D138" i="25"/>
  <c r="C138" i="25"/>
  <c r="B138" i="25"/>
  <c r="K137" i="25"/>
  <c r="J137" i="25"/>
  <c r="G137" i="25"/>
  <c r="D137" i="25"/>
  <c r="C137" i="25"/>
  <c r="B137" i="25"/>
  <c r="J136" i="25"/>
  <c r="K136" i="25" s="1"/>
  <c r="G136" i="25"/>
  <c r="D136" i="25"/>
  <c r="C136" i="25"/>
  <c r="B136" i="25"/>
  <c r="J135" i="25"/>
  <c r="K135" i="25" s="1"/>
  <c r="G135" i="25"/>
  <c r="D135" i="25"/>
  <c r="C135" i="25"/>
  <c r="B135" i="25"/>
  <c r="K134" i="25"/>
  <c r="J134" i="25"/>
  <c r="G134" i="25"/>
  <c r="D134" i="25"/>
  <c r="C134" i="25"/>
  <c r="B134" i="25"/>
  <c r="K133" i="25"/>
  <c r="J133" i="25"/>
  <c r="G133" i="25"/>
  <c r="D133" i="25"/>
  <c r="C133" i="25"/>
  <c r="B133" i="25"/>
  <c r="J132" i="25"/>
  <c r="K132" i="25" s="1"/>
  <c r="G132" i="25"/>
  <c r="D132" i="25"/>
  <c r="C132" i="25"/>
  <c r="B132" i="25"/>
  <c r="J131" i="25"/>
  <c r="K131" i="25" s="1"/>
  <c r="G131" i="25"/>
  <c r="D131" i="25"/>
  <c r="C131" i="25"/>
  <c r="B131" i="25"/>
  <c r="K130" i="25"/>
  <c r="J130" i="25"/>
  <c r="G130" i="25"/>
  <c r="D130" i="25"/>
  <c r="C130" i="25"/>
  <c r="B130" i="25"/>
  <c r="K129" i="25"/>
  <c r="J129" i="25"/>
  <c r="G129" i="25"/>
  <c r="D129" i="25"/>
  <c r="C129" i="25"/>
  <c r="B129" i="25"/>
  <c r="J128" i="25"/>
  <c r="K128" i="25" s="1"/>
  <c r="G128" i="25"/>
  <c r="D128" i="25"/>
  <c r="C128" i="25"/>
  <c r="B128" i="25"/>
  <c r="J127" i="25"/>
  <c r="K127" i="25" s="1"/>
  <c r="G127" i="25"/>
  <c r="D127" i="25"/>
  <c r="C127" i="25"/>
  <c r="B127" i="25"/>
  <c r="K126" i="25"/>
  <c r="J126" i="25"/>
  <c r="G126" i="25"/>
  <c r="D126" i="25"/>
  <c r="C126" i="25"/>
  <c r="B126" i="25"/>
  <c r="K125" i="25"/>
  <c r="J125" i="25"/>
  <c r="G125" i="25"/>
  <c r="D125" i="25"/>
  <c r="C125" i="25"/>
  <c r="B125" i="25"/>
  <c r="J124" i="25"/>
  <c r="K124" i="25" s="1"/>
  <c r="G124" i="25"/>
  <c r="D124" i="25"/>
  <c r="C124" i="25"/>
  <c r="B124" i="25"/>
  <c r="J123" i="25"/>
  <c r="K123" i="25" s="1"/>
  <c r="G123" i="25"/>
  <c r="D123" i="25"/>
  <c r="C123" i="25"/>
  <c r="B123" i="25"/>
  <c r="K122" i="25"/>
  <c r="J122" i="25"/>
  <c r="G122" i="25"/>
  <c r="D122" i="25"/>
  <c r="C122" i="25"/>
  <c r="B122" i="25"/>
  <c r="K121" i="25"/>
  <c r="J121" i="25"/>
  <c r="G121" i="25"/>
  <c r="D121" i="25"/>
  <c r="C121" i="25"/>
  <c r="B121" i="25"/>
  <c r="J120" i="25"/>
  <c r="K120" i="25" s="1"/>
  <c r="G120" i="25"/>
  <c r="D120" i="25"/>
  <c r="C120" i="25"/>
  <c r="B120" i="25"/>
  <c r="J119" i="25"/>
  <c r="K119" i="25" s="1"/>
  <c r="G119" i="25"/>
  <c r="D119" i="25"/>
  <c r="C119" i="25"/>
  <c r="B119" i="25"/>
  <c r="K118" i="25"/>
  <c r="J118" i="25"/>
  <c r="G118" i="25"/>
  <c r="D118" i="25"/>
  <c r="C118" i="25"/>
  <c r="B118" i="25"/>
  <c r="K117" i="25"/>
  <c r="J117" i="25"/>
  <c r="G117" i="25"/>
  <c r="D117" i="25"/>
  <c r="C117" i="25"/>
  <c r="B117" i="25"/>
  <c r="J116" i="25"/>
  <c r="K116" i="25" s="1"/>
  <c r="G116" i="25"/>
  <c r="D116" i="25"/>
  <c r="C116" i="25"/>
  <c r="B116" i="25"/>
  <c r="J115" i="25"/>
  <c r="K115" i="25" s="1"/>
  <c r="G115" i="25"/>
  <c r="D115" i="25"/>
  <c r="C115" i="25"/>
  <c r="B115" i="25"/>
  <c r="K114" i="25"/>
  <c r="J114" i="25"/>
  <c r="G114" i="25"/>
  <c r="D114" i="25"/>
  <c r="C114" i="25"/>
  <c r="B114" i="25"/>
  <c r="K113" i="25"/>
  <c r="J113" i="25"/>
  <c r="G113" i="25"/>
  <c r="D113" i="25"/>
  <c r="C113" i="25"/>
  <c r="B113" i="25"/>
  <c r="J112" i="25"/>
  <c r="K112" i="25" s="1"/>
  <c r="G112" i="25"/>
  <c r="D112" i="25"/>
  <c r="C112" i="25"/>
  <c r="B112" i="25"/>
  <c r="J111" i="25"/>
  <c r="K111" i="25" s="1"/>
  <c r="G111" i="25"/>
  <c r="D111" i="25"/>
  <c r="C111" i="25"/>
  <c r="B111" i="25"/>
  <c r="K110" i="25"/>
  <c r="J110" i="25"/>
  <c r="G110" i="25"/>
  <c r="D110" i="25"/>
  <c r="C110" i="25"/>
  <c r="B110" i="25"/>
  <c r="K109" i="25"/>
  <c r="J109" i="25"/>
  <c r="G109" i="25"/>
  <c r="D109" i="25"/>
  <c r="C109" i="25"/>
  <c r="B109" i="25"/>
  <c r="J108" i="25"/>
  <c r="K108" i="25" s="1"/>
  <c r="G108" i="25"/>
  <c r="D108" i="25"/>
  <c r="C108" i="25"/>
  <c r="B108" i="25"/>
  <c r="J107" i="25"/>
  <c r="K107" i="25" s="1"/>
  <c r="G107" i="25"/>
  <c r="D107" i="25"/>
  <c r="C107" i="25"/>
  <c r="B107" i="25"/>
  <c r="K106" i="25"/>
  <c r="J106" i="25"/>
  <c r="G106" i="25"/>
  <c r="D106" i="25"/>
  <c r="C106" i="25"/>
  <c r="B106" i="25"/>
  <c r="K105" i="25"/>
  <c r="J105" i="25"/>
  <c r="G105" i="25"/>
  <c r="D105" i="25"/>
  <c r="C105" i="25"/>
  <c r="B105" i="25"/>
  <c r="J104" i="25"/>
  <c r="K104" i="25" s="1"/>
  <c r="G104" i="25"/>
  <c r="D104" i="25"/>
  <c r="C104" i="25"/>
  <c r="B104" i="25"/>
  <c r="J103" i="25"/>
  <c r="K103" i="25" s="1"/>
  <c r="G103" i="25"/>
  <c r="D103" i="25"/>
  <c r="C103" i="25"/>
  <c r="B103" i="25"/>
  <c r="K102" i="25"/>
  <c r="J102" i="25"/>
  <c r="G102" i="25"/>
  <c r="D102" i="25"/>
  <c r="C102" i="25"/>
  <c r="B102" i="25"/>
  <c r="K101" i="25"/>
  <c r="J101" i="25"/>
  <c r="G101" i="25"/>
  <c r="D101" i="25"/>
  <c r="C101" i="25"/>
  <c r="B101" i="25"/>
  <c r="J100" i="25"/>
  <c r="K100" i="25" s="1"/>
  <c r="G100" i="25"/>
  <c r="D100" i="25"/>
  <c r="C100" i="25"/>
  <c r="B100" i="25"/>
  <c r="J99" i="25"/>
  <c r="K99" i="25" s="1"/>
  <c r="G99" i="25"/>
  <c r="D99" i="25"/>
  <c r="C99" i="25"/>
  <c r="B99" i="25"/>
  <c r="K98" i="25"/>
  <c r="J98" i="25"/>
  <c r="G98" i="25"/>
  <c r="D98" i="25"/>
  <c r="C98" i="25"/>
  <c r="B98" i="25"/>
  <c r="K97" i="25"/>
  <c r="J97" i="25"/>
  <c r="G97" i="25"/>
  <c r="D97" i="25"/>
  <c r="C97" i="25"/>
  <c r="B97" i="25"/>
  <c r="J96" i="25"/>
  <c r="K96" i="25" s="1"/>
  <c r="G96" i="25"/>
  <c r="D96" i="25"/>
  <c r="C96" i="25"/>
  <c r="B96" i="25"/>
  <c r="J95" i="25"/>
  <c r="K95" i="25" s="1"/>
  <c r="G95" i="25"/>
  <c r="D95" i="25"/>
  <c r="C95" i="25"/>
  <c r="B95" i="25"/>
  <c r="K94" i="25"/>
  <c r="J94" i="25"/>
  <c r="G94" i="25"/>
  <c r="D94" i="25"/>
  <c r="C94" i="25"/>
  <c r="B94" i="25"/>
  <c r="K93" i="25"/>
  <c r="J93" i="25"/>
  <c r="G93" i="25"/>
  <c r="D93" i="25"/>
  <c r="C93" i="25"/>
  <c r="B93" i="25"/>
  <c r="J92" i="25"/>
  <c r="K92" i="25" s="1"/>
  <c r="G92" i="25"/>
  <c r="D92" i="25"/>
  <c r="C92" i="25"/>
  <c r="B92" i="25"/>
  <c r="J91" i="25"/>
  <c r="K91" i="25" s="1"/>
  <c r="G91" i="25"/>
  <c r="D91" i="25"/>
  <c r="C91" i="25"/>
  <c r="B91" i="25"/>
  <c r="K90" i="25"/>
  <c r="J90" i="25"/>
  <c r="G90" i="25"/>
  <c r="D90" i="25"/>
  <c r="C90" i="25"/>
  <c r="B90" i="25"/>
  <c r="K89" i="25"/>
  <c r="J89" i="25"/>
  <c r="G89" i="25"/>
  <c r="D89" i="25"/>
  <c r="C89" i="25"/>
  <c r="B89" i="25"/>
  <c r="J88" i="25"/>
  <c r="K88" i="25" s="1"/>
  <c r="G88" i="25"/>
  <c r="D88" i="25"/>
  <c r="C88" i="25"/>
  <c r="B88" i="25"/>
  <c r="J87" i="25"/>
  <c r="K87" i="25" s="1"/>
  <c r="G87" i="25"/>
  <c r="D87" i="25"/>
  <c r="C87" i="25"/>
  <c r="B87" i="25"/>
  <c r="K86" i="25"/>
  <c r="J86" i="25"/>
  <c r="G86" i="25"/>
  <c r="D86" i="25"/>
  <c r="C86" i="25"/>
  <c r="B86" i="25"/>
  <c r="K85" i="25"/>
  <c r="J85" i="25"/>
  <c r="G85" i="25"/>
  <c r="D85" i="25"/>
  <c r="C85" i="25"/>
  <c r="B85" i="25"/>
  <c r="J84" i="25"/>
  <c r="K84" i="25" s="1"/>
  <c r="G84" i="25"/>
  <c r="D84" i="25"/>
  <c r="C84" i="25"/>
  <c r="B84" i="25"/>
  <c r="J83" i="25"/>
  <c r="K83" i="25" s="1"/>
  <c r="G83" i="25"/>
  <c r="D83" i="25"/>
  <c r="C83" i="25"/>
  <c r="B83" i="25"/>
  <c r="K82" i="25"/>
  <c r="J82" i="25"/>
  <c r="G82" i="25"/>
  <c r="D82" i="25"/>
  <c r="C82" i="25"/>
  <c r="B82" i="25"/>
  <c r="K81" i="25"/>
  <c r="J81" i="25"/>
  <c r="G81" i="25"/>
  <c r="D81" i="25"/>
  <c r="C81" i="25"/>
  <c r="B81" i="25"/>
  <c r="J80" i="25"/>
  <c r="K80" i="25" s="1"/>
  <c r="G80" i="25"/>
  <c r="D80" i="25"/>
  <c r="C80" i="25"/>
  <c r="B80" i="25"/>
  <c r="J79" i="25"/>
  <c r="K79" i="25" s="1"/>
  <c r="G79" i="25"/>
  <c r="D79" i="25"/>
  <c r="C79" i="25"/>
  <c r="B79" i="25"/>
  <c r="K78" i="25"/>
  <c r="J78" i="25"/>
  <c r="G78" i="25"/>
  <c r="D78" i="25"/>
  <c r="C78" i="25"/>
  <c r="B78" i="25"/>
  <c r="K77" i="25"/>
  <c r="J77" i="25"/>
  <c r="G77" i="25"/>
  <c r="D77" i="25"/>
  <c r="C77" i="25"/>
  <c r="B77" i="25"/>
  <c r="J76" i="25"/>
  <c r="K76" i="25" s="1"/>
  <c r="G76" i="25"/>
  <c r="D76" i="25"/>
  <c r="C76" i="25"/>
  <c r="B76" i="25"/>
  <c r="J75" i="25"/>
  <c r="K75" i="25" s="1"/>
  <c r="G75" i="25"/>
  <c r="D75" i="25"/>
  <c r="C75" i="25"/>
  <c r="B75" i="25"/>
  <c r="K74" i="25"/>
  <c r="J74" i="25"/>
  <c r="G74" i="25"/>
  <c r="D74" i="25"/>
  <c r="C74" i="25"/>
  <c r="B74" i="25"/>
  <c r="K73" i="25"/>
  <c r="J73" i="25"/>
  <c r="G73" i="25"/>
  <c r="D73" i="25"/>
  <c r="C73" i="25"/>
  <c r="B73" i="25"/>
  <c r="J72" i="25"/>
  <c r="K72" i="25" s="1"/>
  <c r="G72" i="25"/>
  <c r="D72" i="25"/>
  <c r="C72" i="25"/>
  <c r="B72" i="25"/>
  <c r="J71" i="25"/>
  <c r="K71" i="25" s="1"/>
  <c r="G71" i="25"/>
  <c r="D71" i="25"/>
  <c r="C71" i="25"/>
  <c r="B71" i="25"/>
  <c r="K70" i="25"/>
  <c r="J70" i="25"/>
  <c r="G70" i="25"/>
  <c r="D70" i="25"/>
  <c r="C70" i="25"/>
  <c r="B70" i="25"/>
  <c r="K69" i="25"/>
  <c r="J69" i="25"/>
  <c r="G69" i="25"/>
  <c r="D69" i="25"/>
  <c r="C69" i="25"/>
  <c r="B69" i="25"/>
  <c r="J68" i="25"/>
  <c r="K68" i="25" s="1"/>
  <c r="G68" i="25"/>
  <c r="D68" i="25"/>
  <c r="C68" i="25"/>
  <c r="B68" i="25"/>
  <c r="J67" i="25"/>
  <c r="K67" i="25" s="1"/>
  <c r="G67" i="25"/>
  <c r="D67" i="25"/>
  <c r="C67" i="25"/>
  <c r="B67" i="25"/>
  <c r="K66" i="25"/>
  <c r="J66" i="25"/>
  <c r="G66" i="25"/>
  <c r="D66" i="25"/>
  <c r="C66" i="25"/>
  <c r="B66" i="25"/>
  <c r="K65" i="25"/>
  <c r="J65" i="25"/>
  <c r="G65" i="25"/>
  <c r="D65" i="25"/>
  <c r="C65" i="25"/>
  <c r="B65" i="25"/>
  <c r="J64" i="25"/>
  <c r="K64" i="25" s="1"/>
  <c r="G64" i="25"/>
  <c r="D64" i="25"/>
  <c r="C64" i="25"/>
  <c r="B64" i="25"/>
  <c r="J63" i="25"/>
  <c r="K63" i="25" s="1"/>
  <c r="G63" i="25"/>
  <c r="D63" i="25"/>
  <c r="C63" i="25"/>
  <c r="B63" i="25"/>
  <c r="K62" i="25"/>
  <c r="J62" i="25"/>
  <c r="G62" i="25"/>
  <c r="D62" i="25"/>
  <c r="C62" i="25"/>
  <c r="B62" i="25"/>
  <c r="K61" i="25"/>
  <c r="J61" i="25"/>
  <c r="G61" i="25"/>
  <c r="D61" i="25"/>
  <c r="C61" i="25"/>
  <c r="B61" i="25"/>
  <c r="J60" i="25"/>
  <c r="K60" i="25" s="1"/>
  <c r="G60" i="25"/>
  <c r="D60" i="25"/>
  <c r="C60" i="25"/>
  <c r="B60" i="25"/>
  <c r="J59" i="25"/>
  <c r="K59" i="25" s="1"/>
  <c r="G59" i="25"/>
  <c r="D59" i="25"/>
  <c r="C59" i="25"/>
  <c r="B59" i="25"/>
  <c r="K58" i="25"/>
  <c r="J58" i="25"/>
  <c r="G58" i="25"/>
  <c r="D58" i="25"/>
  <c r="C58" i="25"/>
  <c r="B58" i="25"/>
  <c r="K57" i="25"/>
  <c r="J57" i="25"/>
  <c r="G57" i="25"/>
  <c r="D57" i="25"/>
  <c r="C57" i="25"/>
  <c r="B57" i="25"/>
  <c r="J56" i="25"/>
  <c r="K56" i="25" s="1"/>
  <c r="G56" i="25"/>
  <c r="D56" i="25"/>
  <c r="C56" i="25"/>
  <c r="B56" i="25"/>
  <c r="J55" i="25"/>
  <c r="K55" i="25" s="1"/>
  <c r="G55" i="25"/>
  <c r="D55" i="25"/>
  <c r="C55" i="25"/>
  <c r="B55" i="25"/>
  <c r="K54" i="25"/>
  <c r="J54" i="25"/>
  <c r="G54" i="25"/>
  <c r="D54" i="25"/>
  <c r="C54" i="25"/>
  <c r="B54" i="25"/>
  <c r="K53" i="25"/>
  <c r="J53" i="25"/>
  <c r="G53" i="25"/>
  <c r="D53" i="25"/>
  <c r="C53" i="25"/>
  <c r="B53" i="25"/>
  <c r="J52" i="25"/>
  <c r="K52" i="25" s="1"/>
  <c r="G52" i="25"/>
  <c r="D52" i="25"/>
  <c r="C52" i="25"/>
  <c r="B52" i="25"/>
  <c r="J51" i="25"/>
  <c r="K51" i="25" s="1"/>
  <c r="G51" i="25"/>
  <c r="D51" i="25"/>
  <c r="C51" i="25"/>
  <c r="B51" i="25"/>
  <c r="K50" i="25"/>
  <c r="J50" i="25"/>
  <c r="G50" i="25"/>
  <c r="D50" i="25"/>
  <c r="C50" i="25"/>
  <c r="B50" i="25"/>
  <c r="K49" i="25"/>
  <c r="J49" i="25"/>
  <c r="G49" i="25"/>
  <c r="D49" i="25"/>
  <c r="C49" i="25"/>
  <c r="B49" i="25"/>
  <c r="J48" i="25"/>
  <c r="K48" i="25" s="1"/>
  <c r="G48" i="25"/>
  <c r="D48" i="25"/>
  <c r="C48" i="25"/>
  <c r="B48" i="25"/>
  <c r="J47" i="25"/>
  <c r="K47" i="25" s="1"/>
  <c r="G47" i="25"/>
  <c r="D47" i="25"/>
  <c r="C47" i="25"/>
  <c r="B47" i="25"/>
  <c r="K46" i="25"/>
  <c r="J46" i="25"/>
  <c r="G46" i="25"/>
  <c r="D46" i="25"/>
  <c r="C46" i="25"/>
  <c r="B46" i="25"/>
  <c r="K45" i="25"/>
  <c r="J45" i="25"/>
  <c r="G45" i="25"/>
  <c r="D45" i="25"/>
  <c r="C45" i="25"/>
  <c r="B45" i="25"/>
  <c r="J44" i="25"/>
  <c r="K44" i="25" s="1"/>
  <c r="G44" i="25"/>
  <c r="D44" i="25"/>
  <c r="C44" i="25"/>
  <c r="B44" i="25"/>
  <c r="J43" i="25"/>
  <c r="K43" i="25" s="1"/>
  <c r="G43" i="25"/>
  <c r="D43" i="25"/>
  <c r="C43" i="25"/>
  <c r="B43" i="25"/>
  <c r="K42" i="25"/>
  <c r="J42" i="25"/>
  <c r="G42" i="25"/>
  <c r="D42" i="25"/>
  <c r="C42" i="25"/>
  <c r="B42" i="25"/>
  <c r="K41" i="25"/>
  <c r="J41" i="25"/>
  <c r="G41" i="25"/>
  <c r="D41" i="25"/>
  <c r="C41" i="25"/>
  <c r="B41" i="25"/>
  <c r="J40" i="25"/>
  <c r="K40" i="25" s="1"/>
  <c r="G40" i="25"/>
  <c r="D40" i="25"/>
  <c r="C40" i="25"/>
  <c r="B40" i="25"/>
  <c r="J39" i="25"/>
  <c r="K39" i="25" s="1"/>
  <c r="G39" i="25"/>
  <c r="D39" i="25"/>
  <c r="C39" i="25"/>
  <c r="B39" i="25"/>
  <c r="K38" i="25"/>
  <c r="J38" i="25"/>
  <c r="G38" i="25"/>
  <c r="D38" i="25"/>
  <c r="C38" i="25"/>
  <c r="B38" i="25"/>
  <c r="K37" i="25"/>
  <c r="J37" i="25"/>
  <c r="G37" i="25"/>
  <c r="D37" i="25"/>
  <c r="C37" i="25"/>
  <c r="B37" i="25"/>
  <c r="J36" i="25"/>
  <c r="K36" i="25" s="1"/>
  <c r="G36" i="25"/>
  <c r="D36" i="25"/>
  <c r="C36" i="25"/>
  <c r="B36" i="25"/>
  <c r="J35" i="25"/>
  <c r="K35" i="25" s="1"/>
  <c r="G35" i="25"/>
  <c r="D35" i="25"/>
  <c r="C35" i="25"/>
  <c r="B35" i="25"/>
  <c r="K34" i="25"/>
  <c r="J34" i="25"/>
  <c r="G34" i="25"/>
  <c r="D34" i="25"/>
  <c r="C34" i="25"/>
  <c r="B34" i="25"/>
  <c r="K33" i="25"/>
  <c r="J33" i="25"/>
  <c r="G33" i="25"/>
  <c r="D33" i="25"/>
  <c r="C33" i="25"/>
  <c r="B33" i="25"/>
  <c r="J32" i="25"/>
  <c r="K32" i="25" s="1"/>
  <c r="G32" i="25"/>
  <c r="D32" i="25"/>
  <c r="C32" i="25"/>
  <c r="B32" i="25"/>
  <c r="J31" i="25"/>
  <c r="K31" i="25" s="1"/>
  <c r="G31" i="25"/>
  <c r="D31" i="25"/>
  <c r="C31" i="25"/>
  <c r="B31" i="25"/>
  <c r="K30" i="25"/>
  <c r="J30" i="25"/>
  <c r="G30" i="25"/>
  <c r="D30" i="25"/>
  <c r="C30" i="25"/>
  <c r="B30" i="25"/>
  <c r="K29" i="25"/>
  <c r="J29" i="25"/>
  <c r="G29" i="25"/>
  <c r="D29" i="25"/>
  <c r="C29" i="25"/>
  <c r="B29" i="25"/>
  <c r="J28" i="25"/>
  <c r="K28" i="25" s="1"/>
  <c r="G28" i="25"/>
  <c r="D28" i="25"/>
  <c r="C28" i="25"/>
  <c r="B28" i="25"/>
  <c r="J27" i="25"/>
  <c r="K27" i="25" s="1"/>
  <c r="G27" i="25"/>
  <c r="D27" i="25"/>
  <c r="C27" i="25"/>
  <c r="B27" i="25"/>
  <c r="K26" i="25"/>
  <c r="J26" i="25"/>
  <c r="G26" i="25"/>
  <c r="D26" i="25"/>
  <c r="C26" i="25"/>
  <c r="B26" i="25"/>
  <c r="K25" i="25"/>
  <c r="J25" i="25"/>
  <c r="G25" i="25"/>
  <c r="D25" i="25"/>
  <c r="C25" i="25"/>
  <c r="B25" i="25"/>
  <c r="J24" i="25"/>
  <c r="K24" i="25" s="1"/>
  <c r="G24" i="25"/>
  <c r="D24" i="25"/>
  <c r="C24" i="25"/>
  <c r="B24" i="25"/>
  <c r="J23" i="25"/>
  <c r="K23" i="25" s="1"/>
  <c r="G23" i="25"/>
  <c r="D23" i="25"/>
  <c r="C23" i="25"/>
  <c r="B23" i="25"/>
  <c r="K22" i="25"/>
  <c r="J22" i="25"/>
  <c r="G22" i="25"/>
  <c r="D22" i="25"/>
  <c r="C22" i="25"/>
  <c r="B22" i="25"/>
  <c r="K21" i="25"/>
  <c r="J21" i="25"/>
  <c r="G21" i="25"/>
  <c r="D21" i="25"/>
  <c r="C21" i="25"/>
  <c r="B21" i="25"/>
  <c r="J20" i="25"/>
  <c r="K20" i="25" s="1"/>
  <c r="G20" i="25"/>
  <c r="D20" i="25"/>
  <c r="C20" i="25"/>
  <c r="B20" i="25"/>
  <c r="J19" i="25"/>
  <c r="K19" i="25" s="1"/>
  <c r="G19" i="25"/>
  <c r="D19" i="25"/>
  <c r="C19" i="25"/>
  <c r="B19" i="25"/>
  <c r="K18" i="25"/>
  <c r="J18" i="25"/>
  <c r="G18" i="25"/>
  <c r="D18" i="25"/>
  <c r="C18" i="25"/>
  <c r="B18" i="25"/>
  <c r="K17" i="25"/>
  <c r="J17" i="25"/>
  <c r="G17" i="25"/>
  <c r="D17" i="25"/>
  <c r="C17" i="25"/>
  <c r="B17" i="25"/>
  <c r="J16" i="25"/>
  <c r="K16" i="25" s="1"/>
  <c r="G16" i="25"/>
  <c r="D16" i="25"/>
  <c r="C16" i="25"/>
  <c r="B16" i="25"/>
  <c r="J15" i="25"/>
  <c r="K15" i="25" s="1"/>
  <c r="G15" i="25"/>
  <c r="D15" i="25"/>
  <c r="C15" i="25"/>
  <c r="B15" i="25"/>
  <c r="K14" i="25"/>
  <c r="J14" i="25"/>
  <c r="G14" i="25"/>
  <c r="D14" i="25"/>
  <c r="C14" i="25"/>
  <c r="B14" i="25"/>
  <c r="K13" i="25"/>
  <c r="J13" i="25"/>
  <c r="G13" i="25"/>
  <c r="D13" i="25"/>
  <c r="C13" i="25"/>
  <c r="B13" i="25"/>
  <c r="J12" i="25"/>
  <c r="K12" i="25" s="1"/>
  <c r="G12" i="25"/>
  <c r="D12" i="25"/>
  <c r="C12" i="25"/>
  <c r="B12" i="25"/>
  <c r="J11" i="25"/>
  <c r="K11" i="25" s="1"/>
  <c r="G11" i="25"/>
  <c r="D11" i="25"/>
  <c r="C11" i="25"/>
  <c r="B11" i="25"/>
  <c r="K10" i="25"/>
  <c r="J10" i="25"/>
  <c r="G10" i="25"/>
  <c r="D10" i="25"/>
  <c r="C10" i="25"/>
  <c r="B10" i="25"/>
  <c r="K9" i="25"/>
  <c r="J9" i="25"/>
  <c r="G9" i="25"/>
  <c r="D9" i="25"/>
  <c r="C9" i="25"/>
  <c r="B9" i="25"/>
  <c r="K4" i="25"/>
  <c r="G4" i="25"/>
  <c r="D4" i="25"/>
  <c r="A4" i="25"/>
  <c r="J208" i="24"/>
  <c r="I208" i="24"/>
  <c r="F208" i="24"/>
  <c r="D208" i="24"/>
  <c r="C208" i="24"/>
  <c r="B208" i="24"/>
  <c r="J207" i="24"/>
  <c r="I207" i="24"/>
  <c r="F207" i="24"/>
  <c r="D207" i="24"/>
  <c r="C207" i="24"/>
  <c r="B207" i="24"/>
  <c r="I206" i="24"/>
  <c r="J206" i="24" s="1"/>
  <c r="F206" i="24"/>
  <c r="D206" i="24"/>
  <c r="C206" i="24"/>
  <c r="B206" i="24"/>
  <c r="I205" i="24"/>
  <c r="J205" i="24" s="1"/>
  <c r="F205" i="24"/>
  <c r="D205" i="24"/>
  <c r="C205" i="24"/>
  <c r="B205" i="24"/>
  <c r="J204" i="24"/>
  <c r="I204" i="24"/>
  <c r="F204" i="24"/>
  <c r="D204" i="24"/>
  <c r="C204" i="24"/>
  <c r="B204" i="24"/>
  <c r="J203" i="24"/>
  <c r="I203" i="24"/>
  <c r="F203" i="24"/>
  <c r="D203" i="24"/>
  <c r="C203" i="24"/>
  <c r="B203" i="24"/>
  <c r="I202" i="24"/>
  <c r="J202" i="24" s="1"/>
  <c r="F202" i="24"/>
  <c r="D202" i="24"/>
  <c r="C202" i="24"/>
  <c r="B202" i="24"/>
  <c r="I201" i="24"/>
  <c r="J201" i="24" s="1"/>
  <c r="F201" i="24"/>
  <c r="D201" i="24"/>
  <c r="C201" i="24"/>
  <c r="B201" i="24"/>
  <c r="J200" i="24"/>
  <c r="I200" i="24"/>
  <c r="F200" i="24"/>
  <c r="D200" i="24"/>
  <c r="C200" i="24"/>
  <c r="B200" i="24"/>
  <c r="J199" i="24"/>
  <c r="I199" i="24"/>
  <c r="F199" i="24"/>
  <c r="D199" i="24"/>
  <c r="C199" i="24"/>
  <c r="B199" i="24"/>
  <c r="I198" i="24"/>
  <c r="J198" i="24" s="1"/>
  <c r="F198" i="24"/>
  <c r="D198" i="24"/>
  <c r="C198" i="24"/>
  <c r="B198" i="24"/>
  <c r="I197" i="24"/>
  <c r="J197" i="24" s="1"/>
  <c r="F197" i="24"/>
  <c r="D197" i="24"/>
  <c r="C197" i="24"/>
  <c r="B197" i="24"/>
  <c r="J196" i="24"/>
  <c r="I196" i="24"/>
  <c r="F196" i="24"/>
  <c r="D196" i="24"/>
  <c r="C196" i="24"/>
  <c r="B196" i="24"/>
  <c r="J195" i="24"/>
  <c r="I195" i="24"/>
  <c r="F195" i="24"/>
  <c r="D195" i="24"/>
  <c r="C195" i="24"/>
  <c r="B195" i="24"/>
  <c r="I194" i="24"/>
  <c r="J194" i="24" s="1"/>
  <c r="F194" i="24"/>
  <c r="D194" i="24"/>
  <c r="C194" i="24"/>
  <c r="B194" i="24"/>
  <c r="I193" i="24"/>
  <c r="J193" i="24" s="1"/>
  <c r="F193" i="24"/>
  <c r="D193" i="24"/>
  <c r="C193" i="24"/>
  <c r="B193" i="24"/>
  <c r="J192" i="24"/>
  <c r="I192" i="24"/>
  <c r="F192" i="24"/>
  <c r="D192" i="24"/>
  <c r="C192" i="24"/>
  <c r="B192" i="24"/>
  <c r="J191" i="24"/>
  <c r="I191" i="24"/>
  <c r="F191" i="24"/>
  <c r="D191" i="24"/>
  <c r="C191" i="24"/>
  <c r="B191" i="24"/>
  <c r="I190" i="24"/>
  <c r="J190" i="24" s="1"/>
  <c r="F190" i="24"/>
  <c r="D190" i="24"/>
  <c r="C190" i="24"/>
  <c r="B190" i="24"/>
  <c r="I189" i="24"/>
  <c r="J189" i="24" s="1"/>
  <c r="F189" i="24"/>
  <c r="D189" i="24"/>
  <c r="C189" i="24"/>
  <c r="B189" i="24"/>
  <c r="J188" i="24"/>
  <c r="I188" i="24"/>
  <c r="F188" i="24"/>
  <c r="D188" i="24"/>
  <c r="C188" i="24"/>
  <c r="B188" i="24"/>
  <c r="J187" i="24"/>
  <c r="I187" i="24"/>
  <c r="F187" i="24"/>
  <c r="D187" i="24"/>
  <c r="C187" i="24"/>
  <c r="B187" i="24"/>
  <c r="I186" i="24"/>
  <c r="J186" i="24" s="1"/>
  <c r="F186" i="24"/>
  <c r="D186" i="24"/>
  <c r="C186" i="24"/>
  <c r="B186" i="24"/>
  <c r="I185" i="24"/>
  <c r="J185" i="24" s="1"/>
  <c r="F185" i="24"/>
  <c r="D185" i="24"/>
  <c r="C185" i="24"/>
  <c r="B185" i="24"/>
  <c r="J184" i="24"/>
  <c r="I184" i="24"/>
  <c r="F184" i="24"/>
  <c r="D184" i="24"/>
  <c r="C184" i="24"/>
  <c r="B184" i="24"/>
  <c r="J183" i="24"/>
  <c r="I183" i="24"/>
  <c r="F183" i="24"/>
  <c r="D183" i="24"/>
  <c r="C183" i="24"/>
  <c r="B183" i="24"/>
  <c r="I182" i="24"/>
  <c r="J182" i="24" s="1"/>
  <c r="F182" i="24"/>
  <c r="D182" i="24"/>
  <c r="C182" i="24"/>
  <c r="B182" i="24"/>
  <c r="I181" i="24"/>
  <c r="J181" i="24" s="1"/>
  <c r="F181" i="24"/>
  <c r="D181" i="24"/>
  <c r="C181" i="24"/>
  <c r="B181" i="24"/>
  <c r="J180" i="24"/>
  <c r="I180" i="24"/>
  <c r="F180" i="24"/>
  <c r="D180" i="24"/>
  <c r="C180" i="24"/>
  <c r="B180" i="24"/>
  <c r="J179" i="24"/>
  <c r="I179" i="24"/>
  <c r="F179" i="24"/>
  <c r="D179" i="24"/>
  <c r="C179" i="24"/>
  <c r="B179" i="24"/>
  <c r="I178" i="24"/>
  <c r="J178" i="24" s="1"/>
  <c r="F178" i="24"/>
  <c r="D178" i="24"/>
  <c r="C178" i="24"/>
  <c r="B178" i="24"/>
  <c r="I177" i="24"/>
  <c r="J177" i="24" s="1"/>
  <c r="F177" i="24"/>
  <c r="D177" i="24"/>
  <c r="C177" i="24"/>
  <c r="B177" i="24"/>
  <c r="J176" i="24"/>
  <c r="I176" i="24"/>
  <c r="F176" i="24"/>
  <c r="D176" i="24"/>
  <c r="C176" i="24"/>
  <c r="B176" i="24"/>
  <c r="J175" i="24"/>
  <c r="I175" i="24"/>
  <c r="F175" i="24"/>
  <c r="D175" i="24"/>
  <c r="C175" i="24"/>
  <c r="B175" i="24"/>
  <c r="I174" i="24"/>
  <c r="J174" i="24" s="1"/>
  <c r="F174" i="24"/>
  <c r="D174" i="24"/>
  <c r="C174" i="24"/>
  <c r="B174" i="24"/>
  <c r="I173" i="24"/>
  <c r="J173" i="24" s="1"/>
  <c r="F173" i="24"/>
  <c r="D173" i="24"/>
  <c r="C173" i="24"/>
  <c r="B173" i="24"/>
  <c r="J172" i="24"/>
  <c r="I172" i="24"/>
  <c r="F172" i="24"/>
  <c r="D172" i="24"/>
  <c r="C172" i="24"/>
  <c r="B172" i="24"/>
  <c r="J171" i="24"/>
  <c r="I171" i="24"/>
  <c r="F171" i="24"/>
  <c r="D171" i="24"/>
  <c r="C171" i="24"/>
  <c r="B171" i="24"/>
  <c r="I170" i="24"/>
  <c r="J170" i="24" s="1"/>
  <c r="F170" i="24"/>
  <c r="D170" i="24"/>
  <c r="C170" i="24"/>
  <c r="B170" i="24"/>
  <c r="I169" i="24"/>
  <c r="J169" i="24" s="1"/>
  <c r="F169" i="24"/>
  <c r="D169" i="24"/>
  <c r="C169" i="24"/>
  <c r="B169" i="24"/>
  <c r="J168" i="24"/>
  <c r="I168" i="24"/>
  <c r="F168" i="24"/>
  <c r="D168" i="24"/>
  <c r="C168" i="24"/>
  <c r="B168" i="24"/>
  <c r="J167" i="24"/>
  <c r="I167" i="24"/>
  <c r="F167" i="24"/>
  <c r="D167" i="24"/>
  <c r="C167" i="24"/>
  <c r="B167" i="24"/>
  <c r="I166" i="24"/>
  <c r="J166" i="24" s="1"/>
  <c r="F166" i="24"/>
  <c r="D166" i="24"/>
  <c r="C166" i="24"/>
  <c r="B166" i="24"/>
  <c r="I165" i="24"/>
  <c r="J165" i="24" s="1"/>
  <c r="F165" i="24"/>
  <c r="D165" i="24"/>
  <c r="C165" i="24"/>
  <c r="B165" i="24"/>
  <c r="J164" i="24"/>
  <c r="I164" i="24"/>
  <c r="F164" i="24"/>
  <c r="D164" i="24"/>
  <c r="C164" i="24"/>
  <c r="B164" i="24"/>
  <c r="J163" i="24"/>
  <c r="I163" i="24"/>
  <c r="F163" i="24"/>
  <c r="D163" i="24"/>
  <c r="C163" i="24"/>
  <c r="B163" i="24"/>
  <c r="I162" i="24"/>
  <c r="J162" i="24" s="1"/>
  <c r="F162" i="24"/>
  <c r="D162" i="24"/>
  <c r="C162" i="24"/>
  <c r="B162" i="24"/>
  <c r="I161" i="24"/>
  <c r="J161" i="24" s="1"/>
  <c r="F161" i="24"/>
  <c r="D161" i="24"/>
  <c r="C161" i="24"/>
  <c r="B161" i="24"/>
  <c r="J160" i="24"/>
  <c r="I160" i="24"/>
  <c r="F160" i="24"/>
  <c r="D160" i="24"/>
  <c r="C160" i="24"/>
  <c r="B160" i="24"/>
  <c r="J159" i="24"/>
  <c r="I159" i="24"/>
  <c r="F159" i="24"/>
  <c r="D159" i="24"/>
  <c r="C159" i="24"/>
  <c r="B159" i="24"/>
  <c r="I158" i="24"/>
  <c r="J158" i="24" s="1"/>
  <c r="F158" i="24"/>
  <c r="D158" i="24"/>
  <c r="C158" i="24"/>
  <c r="B158" i="24"/>
  <c r="I157" i="24"/>
  <c r="J157" i="24" s="1"/>
  <c r="F157" i="24"/>
  <c r="D157" i="24"/>
  <c r="C157" i="24"/>
  <c r="B157" i="24"/>
  <c r="J156" i="24"/>
  <c r="I156" i="24"/>
  <c r="F156" i="24"/>
  <c r="D156" i="24"/>
  <c r="C156" i="24"/>
  <c r="B156" i="24"/>
  <c r="J155" i="24"/>
  <c r="I155" i="24"/>
  <c r="F155" i="24"/>
  <c r="D155" i="24"/>
  <c r="C155" i="24"/>
  <c r="B155" i="24"/>
  <c r="I154" i="24"/>
  <c r="J154" i="24" s="1"/>
  <c r="F154" i="24"/>
  <c r="D154" i="24"/>
  <c r="C154" i="24"/>
  <c r="B154" i="24"/>
  <c r="I153" i="24"/>
  <c r="J153" i="24" s="1"/>
  <c r="F153" i="24"/>
  <c r="D153" i="24"/>
  <c r="C153" i="24"/>
  <c r="B153" i="24"/>
  <c r="J152" i="24"/>
  <c r="I152" i="24"/>
  <c r="F152" i="24"/>
  <c r="D152" i="24"/>
  <c r="C152" i="24"/>
  <c r="B152" i="24"/>
  <c r="J151" i="24"/>
  <c r="I151" i="24"/>
  <c r="F151" i="24"/>
  <c r="D151" i="24"/>
  <c r="C151" i="24"/>
  <c r="B151" i="24"/>
  <c r="I150" i="24"/>
  <c r="J150" i="24" s="1"/>
  <c r="F150" i="24"/>
  <c r="D150" i="24"/>
  <c r="C150" i="24"/>
  <c r="B150" i="24"/>
  <c r="I149" i="24"/>
  <c r="J149" i="24" s="1"/>
  <c r="F149" i="24"/>
  <c r="D149" i="24"/>
  <c r="C149" i="24"/>
  <c r="B149" i="24"/>
  <c r="J148" i="24"/>
  <c r="I148" i="24"/>
  <c r="F148" i="24"/>
  <c r="D148" i="24"/>
  <c r="C148" i="24"/>
  <c r="B148" i="24"/>
  <c r="J147" i="24"/>
  <c r="I147" i="24"/>
  <c r="F147" i="24"/>
  <c r="D147" i="24"/>
  <c r="C147" i="24"/>
  <c r="B147" i="24"/>
  <c r="I146" i="24"/>
  <c r="J146" i="24" s="1"/>
  <c r="F146" i="24"/>
  <c r="D146" i="24"/>
  <c r="C146" i="24"/>
  <c r="B146" i="24"/>
  <c r="I145" i="24"/>
  <c r="J145" i="24" s="1"/>
  <c r="F145" i="24"/>
  <c r="D145" i="24"/>
  <c r="C145" i="24"/>
  <c r="B145" i="24"/>
  <c r="J144" i="24"/>
  <c r="I144" i="24"/>
  <c r="F144" i="24"/>
  <c r="D144" i="24"/>
  <c r="C144" i="24"/>
  <c r="B144" i="24"/>
  <c r="J143" i="24"/>
  <c r="I143" i="24"/>
  <c r="F143" i="24"/>
  <c r="D143" i="24"/>
  <c r="C143" i="24"/>
  <c r="B143" i="24"/>
  <c r="I142" i="24"/>
  <c r="J142" i="24" s="1"/>
  <c r="F142" i="24"/>
  <c r="D142" i="24"/>
  <c r="C142" i="24"/>
  <c r="B142" i="24"/>
  <c r="I141" i="24"/>
  <c r="J141" i="24" s="1"/>
  <c r="F141" i="24"/>
  <c r="D141" i="24"/>
  <c r="C141" i="24"/>
  <c r="B141" i="24"/>
  <c r="J140" i="24"/>
  <c r="I140" i="24"/>
  <c r="F140" i="24"/>
  <c r="D140" i="24"/>
  <c r="C140" i="24"/>
  <c r="B140" i="24"/>
  <c r="J139" i="24"/>
  <c r="I139" i="24"/>
  <c r="F139" i="24"/>
  <c r="D139" i="24"/>
  <c r="C139" i="24"/>
  <c r="B139" i="24"/>
  <c r="I138" i="24"/>
  <c r="J138" i="24" s="1"/>
  <c r="F138" i="24"/>
  <c r="D138" i="24"/>
  <c r="C138" i="24"/>
  <c r="B138" i="24"/>
  <c r="I137" i="24"/>
  <c r="J137" i="24" s="1"/>
  <c r="F137" i="24"/>
  <c r="D137" i="24"/>
  <c r="C137" i="24"/>
  <c r="B137" i="24"/>
  <c r="J136" i="24"/>
  <c r="I136" i="24"/>
  <c r="F136" i="24"/>
  <c r="D136" i="24"/>
  <c r="C136" i="24"/>
  <c r="B136" i="24"/>
  <c r="J135" i="24"/>
  <c r="I135" i="24"/>
  <c r="F135" i="24"/>
  <c r="D135" i="24"/>
  <c r="C135" i="24"/>
  <c r="B135" i="24"/>
  <c r="I134" i="24"/>
  <c r="J134" i="24" s="1"/>
  <c r="F134" i="24"/>
  <c r="D134" i="24"/>
  <c r="C134" i="24"/>
  <c r="B134" i="24"/>
  <c r="I133" i="24"/>
  <c r="J133" i="24" s="1"/>
  <c r="F133" i="24"/>
  <c r="D133" i="24"/>
  <c r="C133" i="24"/>
  <c r="B133" i="24"/>
  <c r="J132" i="24"/>
  <c r="I132" i="24"/>
  <c r="F132" i="24"/>
  <c r="D132" i="24"/>
  <c r="C132" i="24"/>
  <c r="B132" i="24"/>
  <c r="J131" i="24"/>
  <c r="I131" i="24"/>
  <c r="F131" i="24"/>
  <c r="D131" i="24"/>
  <c r="C131" i="24"/>
  <c r="B131" i="24"/>
  <c r="I130" i="24"/>
  <c r="J130" i="24" s="1"/>
  <c r="F130" i="24"/>
  <c r="D130" i="24"/>
  <c r="C130" i="24"/>
  <c r="B130" i="24"/>
  <c r="I129" i="24"/>
  <c r="J129" i="24" s="1"/>
  <c r="F129" i="24"/>
  <c r="D129" i="24"/>
  <c r="C129" i="24"/>
  <c r="B129" i="24"/>
  <c r="J128" i="24"/>
  <c r="I128" i="24"/>
  <c r="F128" i="24"/>
  <c r="D128" i="24"/>
  <c r="C128" i="24"/>
  <c r="B128" i="24"/>
  <c r="J127" i="24"/>
  <c r="I127" i="24"/>
  <c r="F127" i="24"/>
  <c r="D127" i="24"/>
  <c r="C127" i="24"/>
  <c r="B127" i="24"/>
  <c r="I126" i="24"/>
  <c r="J126" i="24" s="1"/>
  <c r="F126" i="24"/>
  <c r="D126" i="24"/>
  <c r="C126" i="24"/>
  <c r="B126" i="24"/>
  <c r="I125" i="24"/>
  <c r="J125" i="24" s="1"/>
  <c r="F125" i="24"/>
  <c r="D125" i="24"/>
  <c r="C125" i="24"/>
  <c r="B125" i="24"/>
  <c r="J124" i="24"/>
  <c r="I124" i="24"/>
  <c r="F124" i="24"/>
  <c r="D124" i="24"/>
  <c r="C124" i="24"/>
  <c r="B124" i="24"/>
  <c r="J123" i="24"/>
  <c r="I123" i="24"/>
  <c r="F123" i="24"/>
  <c r="D123" i="24"/>
  <c r="C123" i="24"/>
  <c r="B123" i="24"/>
  <c r="I122" i="24"/>
  <c r="J122" i="24" s="1"/>
  <c r="F122" i="24"/>
  <c r="D122" i="24"/>
  <c r="C122" i="24"/>
  <c r="B122" i="24"/>
  <c r="I121" i="24"/>
  <c r="J121" i="24" s="1"/>
  <c r="F121" i="24"/>
  <c r="D121" i="24"/>
  <c r="C121" i="24"/>
  <c r="B121" i="24"/>
  <c r="J120" i="24"/>
  <c r="I120" i="24"/>
  <c r="F120" i="24"/>
  <c r="D120" i="24"/>
  <c r="C120" i="24"/>
  <c r="B120" i="24"/>
  <c r="J119" i="24"/>
  <c r="I119" i="24"/>
  <c r="F119" i="24"/>
  <c r="D119" i="24"/>
  <c r="C119" i="24"/>
  <c r="B119" i="24"/>
  <c r="I118" i="24"/>
  <c r="J118" i="24" s="1"/>
  <c r="F118" i="24"/>
  <c r="D118" i="24"/>
  <c r="C118" i="24"/>
  <c r="B118" i="24"/>
  <c r="I117" i="24"/>
  <c r="J117" i="24" s="1"/>
  <c r="F117" i="24"/>
  <c r="D117" i="24"/>
  <c r="C117" i="24"/>
  <c r="B117" i="24"/>
  <c r="J116" i="24"/>
  <c r="I116" i="24"/>
  <c r="F116" i="24"/>
  <c r="D116" i="24"/>
  <c r="C116" i="24"/>
  <c r="B116" i="24"/>
  <c r="J115" i="24"/>
  <c r="I115" i="24"/>
  <c r="F115" i="24"/>
  <c r="D115" i="24"/>
  <c r="C115" i="24"/>
  <c r="B115" i="24"/>
  <c r="I114" i="24"/>
  <c r="J114" i="24" s="1"/>
  <c r="F114" i="24"/>
  <c r="D114" i="24"/>
  <c r="C114" i="24"/>
  <c r="B114" i="24"/>
  <c r="I113" i="24"/>
  <c r="J113" i="24" s="1"/>
  <c r="F113" i="24"/>
  <c r="D113" i="24"/>
  <c r="C113" i="24"/>
  <c r="B113" i="24"/>
  <c r="J112" i="24"/>
  <c r="I112" i="24"/>
  <c r="F112" i="24"/>
  <c r="D112" i="24"/>
  <c r="C112" i="24"/>
  <c r="B112" i="24"/>
  <c r="J111" i="24"/>
  <c r="I111" i="24"/>
  <c r="F111" i="24"/>
  <c r="D111" i="24"/>
  <c r="C111" i="24"/>
  <c r="B111" i="24"/>
  <c r="I110" i="24"/>
  <c r="J110" i="24" s="1"/>
  <c r="F110" i="24"/>
  <c r="D110" i="24"/>
  <c r="C110" i="24"/>
  <c r="B110" i="24"/>
  <c r="I109" i="24"/>
  <c r="J109" i="24" s="1"/>
  <c r="F109" i="24"/>
  <c r="D109" i="24"/>
  <c r="C109" i="24"/>
  <c r="B109" i="24"/>
  <c r="J108" i="24"/>
  <c r="I108" i="24"/>
  <c r="F108" i="24"/>
  <c r="D108" i="24"/>
  <c r="C108" i="24"/>
  <c r="B108" i="24"/>
  <c r="J107" i="24"/>
  <c r="I107" i="24"/>
  <c r="F107" i="24"/>
  <c r="D107" i="24"/>
  <c r="C107" i="24"/>
  <c r="B107" i="24"/>
  <c r="I106" i="24"/>
  <c r="J106" i="24" s="1"/>
  <c r="F106" i="24"/>
  <c r="D106" i="24"/>
  <c r="C106" i="24"/>
  <c r="B106" i="24"/>
  <c r="I105" i="24"/>
  <c r="J105" i="24" s="1"/>
  <c r="F105" i="24"/>
  <c r="D105" i="24"/>
  <c r="C105" i="24"/>
  <c r="B105" i="24"/>
  <c r="J104" i="24"/>
  <c r="I104" i="24"/>
  <c r="F104" i="24"/>
  <c r="D104" i="24"/>
  <c r="C104" i="24"/>
  <c r="B104" i="24"/>
  <c r="J103" i="24"/>
  <c r="I103" i="24"/>
  <c r="F103" i="24"/>
  <c r="D103" i="24"/>
  <c r="C103" i="24"/>
  <c r="B103" i="24"/>
  <c r="I102" i="24"/>
  <c r="J102" i="24" s="1"/>
  <c r="F102" i="24"/>
  <c r="D102" i="24"/>
  <c r="C102" i="24"/>
  <c r="B102" i="24"/>
  <c r="I101" i="24"/>
  <c r="J101" i="24" s="1"/>
  <c r="F101" i="24"/>
  <c r="D101" i="24"/>
  <c r="C101" i="24"/>
  <c r="B101" i="24"/>
  <c r="J100" i="24"/>
  <c r="I100" i="24"/>
  <c r="F100" i="24"/>
  <c r="D100" i="24"/>
  <c r="C100" i="24"/>
  <c r="B100" i="24"/>
  <c r="J99" i="24"/>
  <c r="I99" i="24"/>
  <c r="F99" i="24"/>
  <c r="D99" i="24"/>
  <c r="C99" i="24"/>
  <c r="B99" i="24"/>
  <c r="I98" i="24"/>
  <c r="J98" i="24" s="1"/>
  <c r="F98" i="24"/>
  <c r="D98" i="24"/>
  <c r="C98" i="24"/>
  <c r="B98" i="24"/>
  <c r="I97" i="24"/>
  <c r="J97" i="24" s="1"/>
  <c r="F97" i="24"/>
  <c r="D97" i="24"/>
  <c r="C97" i="24"/>
  <c r="B97" i="24"/>
  <c r="J96" i="24"/>
  <c r="I96" i="24"/>
  <c r="F96" i="24"/>
  <c r="D96" i="24"/>
  <c r="C96" i="24"/>
  <c r="B96" i="24"/>
  <c r="J95" i="24"/>
  <c r="I95" i="24"/>
  <c r="F95" i="24"/>
  <c r="D95" i="24"/>
  <c r="C95" i="24"/>
  <c r="B95" i="24"/>
  <c r="I94" i="24"/>
  <c r="J94" i="24" s="1"/>
  <c r="F94" i="24"/>
  <c r="D94" i="24"/>
  <c r="C94" i="24"/>
  <c r="B94" i="24"/>
  <c r="I93" i="24"/>
  <c r="J93" i="24" s="1"/>
  <c r="F93" i="24"/>
  <c r="D93" i="24"/>
  <c r="C93" i="24"/>
  <c r="B93" i="24"/>
  <c r="J92" i="24"/>
  <c r="I92" i="24"/>
  <c r="F92" i="24"/>
  <c r="D92" i="24"/>
  <c r="C92" i="24"/>
  <c r="B92" i="24"/>
  <c r="J91" i="24"/>
  <c r="I91" i="24"/>
  <c r="F91" i="24"/>
  <c r="D91" i="24"/>
  <c r="C91" i="24"/>
  <c r="B91" i="24"/>
  <c r="I90" i="24"/>
  <c r="J90" i="24" s="1"/>
  <c r="F90" i="24"/>
  <c r="D90" i="24"/>
  <c r="C90" i="24"/>
  <c r="B90" i="24"/>
  <c r="I89" i="24"/>
  <c r="J89" i="24" s="1"/>
  <c r="F89" i="24"/>
  <c r="D89" i="24"/>
  <c r="C89" i="24"/>
  <c r="B89" i="24"/>
  <c r="J88" i="24"/>
  <c r="I88" i="24"/>
  <c r="F88" i="24"/>
  <c r="D88" i="24"/>
  <c r="C88" i="24"/>
  <c r="B88" i="24"/>
  <c r="J87" i="24"/>
  <c r="I87" i="24"/>
  <c r="F87" i="24"/>
  <c r="D87" i="24"/>
  <c r="C87" i="24"/>
  <c r="B87" i="24"/>
  <c r="I86" i="24"/>
  <c r="J86" i="24" s="1"/>
  <c r="F86" i="24"/>
  <c r="D86" i="24"/>
  <c r="C86" i="24"/>
  <c r="B86" i="24"/>
  <c r="I85" i="24"/>
  <c r="J85" i="24" s="1"/>
  <c r="F85" i="24"/>
  <c r="D85" i="24"/>
  <c r="C85" i="24"/>
  <c r="B85" i="24"/>
  <c r="J84" i="24"/>
  <c r="I84" i="24"/>
  <c r="F84" i="24"/>
  <c r="D84" i="24"/>
  <c r="C84" i="24"/>
  <c r="B84" i="24"/>
  <c r="J83" i="24"/>
  <c r="I83" i="24"/>
  <c r="F83" i="24"/>
  <c r="D83" i="24"/>
  <c r="C83" i="24"/>
  <c r="B83" i="24"/>
  <c r="I82" i="24"/>
  <c r="J82" i="24" s="1"/>
  <c r="F82" i="24"/>
  <c r="D82" i="24"/>
  <c r="C82" i="24"/>
  <c r="B82" i="24"/>
  <c r="I81" i="24"/>
  <c r="J81" i="24" s="1"/>
  <c r="F81" i="24"/>
  <c r="D81" i="24"/>
  <c r="C81" i="24"/>
  <c r="B81" i="24"/>
  <c r="J80" i="24"/>
  <c r="I80" i="24"/>
  <c r="F80" i="24"/>
  <c r="D80" i="24"/>
  <c r="C80" i="24"/>
  <c r="B80" i="24"/>
  <c r="J79" i="24"/>
  <c r="I79" i="24"/>
  <c r="F79" i="24"/>
  <c r="D79" i="24"/>
  <c r="C79" i="24"/>
  <c r="B79" i="24"/>
  <c r="I78" i="24"/>
  <c r="J78" i="24" s="1"/>
  <c r="F78" i="24"/>
  <c r="D78" i="24"/>
  <c r="C78" i="24"/>
  <c r="B78" i="24"/>
  <c r="I77" i="24"/>
  <c r="J77" i="24" s="1"/>
  <c r="F77" i="24"/>
  <c r="D77" i="24"/>
  <c r="C77" i="24"/>
  <c r="B77" i="24"/>
  <c r="J76" i="24"/>
  <c r="I76" i="24"/>
  <c r="F76" i="24"/>
  <c r="D76" i="24"/>
  <c r="C76" i="24"/>
  <c r="B76" i="24"/>
  <c r="J75" i="24"/>
  <c r="I75" i="24"/>
  <c r="F75" i="24"/>
  <c r="D75" i="24"/>
  <c r="C75" i="24"/>
  <c r="B75" i="24"/>
  <c r="I74" i="24"/>
  <c r="J74" i="24" s="1"/>
  <c r="F74" i="24"/>
  <c r="D74" i="24"/>
  <c r="C74" i="24"/>
  <c r="B74" i="24"/>
  <c r="I73" i="24"/>
  <c r="J73" i="24" s="1"/>
  <c r="F73" i="24"/>
  <c r="D73" i="24"/>
  <c r="C73" i="24"/>
  <c r="B73" i="24"/>
  <c r="J72" i="24"/>
  <c r="I72" i="24"/>
  <c r="F72" i="24"/>
  <c r="D72" i="24"/>
  <c r="C72" i="24"/>
  <c r="B72" i="24"/>
  <c r="J71" i="24"/>
  <c r="I71" i="24"/>
  <c r="F71" i="24"/>
  <c r="D71" i="24"/>
  <c r="C71" i="24"/>
  <c r="B71" i="24"/>
  <c r="I70" i="24"/>
  <c r="J70" i="24" s="1"/>
  <c r="F70" i="24"/>
  <c r="D70" i="24"/>
  <c r="C70" i="24"/>
  <c r="B70" i="24"/>
  <c r="I69" i="24"/>
  <c r="J69" i="24" s="1"/>
  <c r="F69" i="24"/>
  <c r="D69" i="24"/>
  <c r="C69" i="24"/>
  <c r="B69" i="24"/>
  <c r="J68" i="24"/>
  <c r="I68" i="24"/>
  <c r="F68" i="24"/>
  <c r="D68" i="24"/>
  <c r="C68" i="24"/>
  <c r="B68" i="24"/>
  <c r="J67" i="24"/>
  <c r="I67" i="24"/>
  <c r="F67" i="24"/>
  <c r="D67" i="24"/>
  <c r="C67" i="24"/>
  <c r="B67" i="24"/>
  <c r="I66" i="24"/>
  <c r="J66" i="24" s="1"/>
  <c r="F66" i="24"/>
  <c r="D66" i="24"/>
  <c r="C66" i="24"/>
  <c r="B66" i="24"/>
  <c r="I65" i="24"/>
  <c r="J65" i="24" s="1"/>
  <c r="F65" i="24"/>
  <c r="D65" i="24"/>
  <c r="C65" i="24"/>
  <c r="B65" i="24"/>
  <c r="J64" i="24"/>
  <c r="I64" i="24"/>
  <c r="F64" i="24"/>
  <c r="D64" i="24"/>
  <c r="C64" i="24"/>
  <c r="B64" i="24"/>
  <c r="J63" i="24"/>
  <c r="I63" i="24"/>
  <c r="F63" i="24"/>
  <c r="D63" i="24"/>
  <c r="C63" i="24"/>
  <c r="B63" i="24"/>
  <c r="I62" i="24"/>
  <c r="J62" i="24" s="1"/>
  <c r="F62" i="24"/>
  <c r="D62" i="24"/>
  <c r="C62" i="24"/>
  <c r="B62" i="24"/>
  <c r="I61" i="24"/>
  <c r="J61" i="24" s="1"/>
  <c r="F61" i="24"/>
  <c r="D61" i="24"/>
  <c r="C61" i="24"/>
  <c r="B61" i="24"/>
  <c r="J60" i="24"/>
  <c r="I60" i="24"/>
  <c r="F60" i="24"/>
  <c r="D60" i="24"/>
  <c r="C60" i="24"/>
  <c r="B60" i="24"/>
  <c r="J59" i="24"/>
  <c r="I59" i="24"/>
  <c r="F59" i="24"/>
  <c r="D59" i="24"/>
  <c r="C59" i="24"/>
  <c r="B59" i="24"/>
  <c r="I58" i="24"/>
  <c r="J58" i="24" s="1"/>
  <c r="F58" i="24"/>
  <c r="D58" i="24"/>
  <c r="C58" i="24"/>
  <c r="B58" i="24"/>
  <c r="I57" i="24"/>
  <c r="J57" i="24" s="1"/>
  <c r="F57" i="24"/>
  <c r="D57" i="24"/>
  <c r="C57" i="24"/>
  <c r="B57" i="24"/>
  <c r="J56" i="24"/>
  <c r="I56" i="24"/>
  <c r="F56" i="24"/>
  <c r="D56" i="24"/>
  <c r="C56" i="24"/>
  <c r="B56" i="24"/>
  <c r="J55" i="24"/>
  <c r="I55" i="24"/>
  <c r="F55" i="24"/>
  <c r="D55" i="24"/>
  <c r="C55" i="24"/>
  <c r="B55" i="24"/>
  <c r="I54" i="24"/>
  <c r="J54" i="24" s="1"/>
  <c r="F54" i="24"/>
  <c r="D54" i="24"/>
  <c r="C54" i="24"/>
  <c r="B54" i="24"/>
  <c r="I53" i="24"/>
  <c r="J53" i="24" s="1"/>
  <c r="F53" i="24"/>
  <c r="D53" i="24"/>
  <c r="C53" i="24"/>
  <c r="B53" i="24"/>
  <c r="J52" i="24"/>
  <c r="I52" i="24"/>
  <c r="F52" i="24"/>
  <c r="D52" i="24"/>
  <c r="C52" i="24"/>
  <c r="B52" i="24"/>
  <c r="J51" i="24"/>
  <c r="I51" i="24"/>
  <c r="F51" i="24"/>
  <c r="D51" i="24"/>
  <c r="C51" i="24"/>
  <c r="B51" i="24"/>
  <c r="I50" i="24"/>
  <c r="J50" i="24" s="1"/>
  <c r="F50" i="24"/>
  <c r="D50" i="24"/>
  <c r="C50" i="24"/>
  <c r="B50" i="24"/>
  <c r="I49" i="24"/>
  <c r="J49" i="24" s="1"/>
  <c r="F49" i="24"/>
  <c r="D49" i="24"/>
  <c r="C49" i="24"/>
  <c r="B49" i="24"/>
  <c r="J48" i="24"/>
  <c r="I48" i="24"/>
  <c r="F48" i="24"/>
  <c r="D48" i="24"/>
  <c r="C48" i="24"/>
  <c r="B48" i="24"/>
  <c r="J47" i="24"/>
  <c r="I47" i="24"/>
  <c r="F47" i="24"/>
  <c r="D47" i="24"/>
  <c r="C47" i="24"/>
  <c r="B47" i="24"/>
  <c r="I46" i="24"/>
  <c r="J46" i="24" s="1"/>
  <c r="F46" i="24"/>
  <c r="D46" i="24"/>
  <c r="C46" i="24"/>
  <c r="B46" i="24"/>
  <c r="I45" i="24"/>
  <c r="J45" i="24" s="1"/>
  <c r="F45" i="24"/>
  <c r="D45" i="24"/>
  <c r="C45" i="24"/>
  <c r="B45" i="24"/>
  <c r="J44" i="24"/>
  <c r="I44" i="24"/>
  <c r="F44" i="24"/>
  <c r="D44" i="24"/>
  <c r="C44" i="24"/>
  <c r="B44" i="24"/>
  <c r="J43" i="24"/>
  <c r="I43" i="24"/>
  <c r="F43" i="24"/>
  <c r="D43" i="24"/>
  <c r="C43" i="24"/>
  <c r="B43" i="24"/>
  <c r="I42" i="24"/>
  <c r="J42" i="24" s="1"/>
  <c r="F42" i="24"/>
  <c r="D42" i="24"/>
  <c r="C42" i="24"/>
  <c r="B42" i="24"/>
  <c r="I41" i="24"/>
  <c r="J41" i="24" s="1"/>
  <c r="F41" i="24"/>
  <c r="D41" i="24"/>
  <c r="C41" i="24"/>
  <c r="B41" i="24"/>
  <c r="J40" i="24"/>
  <c r="I40" i="24"/>
  <c r="F40" i="24"/>
  <c r="D40" i="24"/>
  <c r="C40" i="24"/>
  <c r="B40" i="24"/>
  <c r="J39" i="24"/>
  <c r="I39" i="24"/>
  <c r="F39" i="24"/>
  <c r="D39" i="24"/>
  <c r="C39" i="24"/>
  <c r="B39" i="24"/>
  <c r="I38" i="24"/>
  <c r="J38" i="24" s="1"/>
  <c r="F38" i="24"/>
  <c r="D38" i="24"/>
  <c r="C38" i="24"/>
  <c r="B38" i="24"/>
  <c r="I37" i="24"/>
  <c r="J37" i="24" s="1"/>
  <c r="F37" i="24"/>
  <c r="D37" i="24"/>
  <c r="C37" i="24"/>
  <c r="B37" i="24"/>
  <c r="J36" i="24"/>
  <c r="I36" i="24"/>
  <c r="F36" i="24"/>
  <c r="D36" i="24"/>
  <c r="C36" i="24"/>
  <c r="B36" i="24"/>
  <c r="J35" i="24"/>
  <c r="I35" i="24"/>
  <c r="F35" i="24"/>
  <c r="D35" i="24"/>
  <c r="C35" i="24"/>
  <c r="B35" i="24"/>
  <c r="I34" i="24"/>
  <c r="J34" i="24" s="1"/>
  <c r="F34" i="24"/>
  <c r="D34" i="24"/>
  <c r="C34" i="24"/>
  <c r="B34" i="24"/>
  <c r="I33" i="24"/>
  <c r="J33" i="24" s="1"/>
  <c r="F33" i="24"/>
  <c r="D33" i="24"/>
  <c r="C33" i="24"/>
  <c r="B33" i="24"/>
  <c r="J32" i="24"/>
  <c r="I32" i="24"/>
  <c r="F32" i="24"/>
  <c r="D32" i="24"/>
  <c r="C32" i="24"/>
  <c r="B32" i="24"/>
  <c r="J31" i="24"/>
  <c r="I31" i="24"/>
  <c r="F31" i="24"/>
  <c r="D31" i="24"/>
  <c r="C31" i="24"/>
  <c r="B31" i="24"/>
  <c r="I30" i="24"/>
  <c r="J30" i="24" s="1"/>
  <c r="F30" i="24"/>
  <c r="D30" i="24"/>
  <c r="C30" i="24"/>
  <c r="B30" i="24"/>
  <c r="I29" i="24"/>
  <c r="J29" i="24" s="1"/>
  <c r="F29" i="24"/>
  <c r="D29" i="24"/>
  <c r="C29" i="24"/>
  <c r="B29" i="24"/>
  <c r="J28" i="24"/>
  <c r="I28" i="24"/>
  <c r="F28" i="24"/>
  <c r="D28" i="24"/>
  <c r="C28" i="24"/>
  <c r="B28" i="24"/>
  <c r="J27" i="24"/>
  <c r="I27" i="24"/>
  <c r="F27" i="24"/>
  <c r="D27" i="24"/>
  <c r="C27" i="24"/>
  <c r="B27" i="24"/>
  <c r="I26" i="24"/>
  <c r="J26" i="24" s="1"/>
  <c r="F26" i="24"/>
  <c r="D26" i="24"/>
  <c r="C26" i="24"/>
  <c r="B26" i="24"/>
  <c r="I25" i="24"/>
  <c r="J25" i="24" s="1"/>
  <c r="F25" i="24"/>
  <c r="D25" i="24"/>
  <c r="C25" i="24"/>
  <c r="B25" i="24"/>
  <c r="J24" i="24"/>
  <c r="I24" i="24"/>
  <c r="F24" i="24"/>
  <c r="D24" i="24"/>
  <c r="C24" i="24"/>
  <c r="B24" i="24"/>
  <c r="J23" i="24"/>
  <c r="I23" i="24"/>
  <c r="F23" i="24"/>
  <c r="D23" i="24"/>
  <c r="C23" i="24"/>
  <c r="B23" i="24"/>
  <c r="I22" i="24"/>
  <c r="J22" i="24" s="1"/>
  <c r="F22" i="24"/>
  <c r="D22" i="24"/>
  <c r="C22" i="24"/>
  <c r="B22" i="24"/>
  <c r="I21" i="24"/>
  <c r="J21" i="24" s="1"/>
  <c r="F21" i="24"/>
  <c r="D21" i="24"/>
  <c r="C21" i="24"/>
  <c r="B21" i="24"/>
  <c r="J20" i="24"/>
  <c r="I20" i="24"/>
  <c r="F20" i="24"/>
  <c r="D20" i="24"/>
  <c r="C20" i="24"/>
  <c r="B20" i="24"/>
  <c r="J19" i="24"/>
  <c r="I19" i="24"/>
  <c r="F19" i="24"/>
  <c r="D19" i="24"/>
  <c r="C19" i="24"/>
  <c r="B19" i="24"/>
  <c r="I18" i="24"/>
  <c r="J18" i="24" s="1"/>
  <c r="F18" i="24"/>
  <c r="D18" i="24"/>
  <c r="C18" i="24"/>
  <c r="B18" i="24"/>
  <c r="I17" i="24"/>
  <c r="J17" i="24" s="1"/>
  <c r="F17" i="24"/>
  <c r="D17" i="24"/>
  <c r="C17" i="24"/>
  <c r="B17" i="24"/>
  <c r="J16" i="24"/>
  <c r="I16" i="24"/>
  <c r="F16" i="24"/>
  <c r="D16" i="24"/>
  <c r="C16" i="24"/>
  <c r="B16" i="24"/>
  <c r="J15" i="24"/>
  <c r="I15" i="24"/>
  <c r="F15" i="24"/>
  <c r="D15" i="24"/>
  <c r="C15" i="24"/>
  <c r="B15" i="24"/>
  <c r="I14" i="24"/>
  <c r="J14" i="24" s="1"/>
  <c r="F14" i="24"/>
  <c r="D14" i="24"/>
  <c r="C14" i="24"/>
  <c r="B14" i="24"/>
  <c r="I13" i="24"/>
  <c r="J13" i="24" s="1"/>
  <c r="F13" i="24"/>
  <c r="D13" i="24"/>
  <c r="C13" i="24"/>
  <c r="B13" i="24"/>
  <c r="J12" i="24"/>
  <c r="I12" i="24"/>
  <c r="F12" i="24"/>
  <c r="D12" i="24"/>
  <c r="C12" i="24"/>
  <c r="B12" i="24"/>
  <c r="J11" i="24"/>
  <c r="I11" i="24"/>
  <c r="F11" i="24"/>
  <c r="D11" i="24"/>
  <c r="C11" i="24"/>
  <c r="B11" i="24"/>
  <c r="I10" i="24"/>
  <c r="J10" i="24" s="1"/>
  <c r="F10" i="24"/>
  <c r="D10" i="24"/>
  <c r="C10" i="24"/>
  <c r="B10" i="24"/>
  <c r="I9" i="24"/>
  <c r="J9" i="24" s="1"/>
  <c r="F9" i="24"/>
  <c r="D9" i="24"/>
  <c r="C9" i="24"/>
  <c r="B9" i="24"/>
  <c r="A5" i="24"/>
  <c r="G4" i="24"/>
  <c r="D4" i="24"/>
  <c r="A4" i="24"/>
  <c r="K213" i="23"/>
  <c r="K212" i="23"/>
  <c r="K211" i="23"/>
  <c r="K210" i="23"/>
  <c r="K209" i="23"/>
  <c r="K208" i="23"/>
  <c r="K207" i="23"/>
  <c r="K206" i="23"/>
  <c r="K205" i="23"/>
  <c r="K204" i="23"/>
  <c r="K203" i="23"/>
  <c r="K202" i="23"/>
  <c r="K201" i="23"/>
  <c r="K200" i="23"/>
  <c r="K199" i="23"/>
  <c r="K198" i="23"/>
  <c r="K197" i="23"/>
  <c r="K196" i="23"/>
  <c r="K195" i="23"/>
  <c r="K194" i="23"/>
  <c r="K193" i="23"/>
  <c r="K192" i="23"/>
  <c r="K191" i="23"/>
  <c r="K190" i="23"/>
  <c r="K189" i="23"/>
  <c r="K188" i="23"/>
  <c r="K187" i="23"/>
  <c r="K186" i="23"/>
  <c r="K185" i="23"/>
  <c r="K184" i="23"/>
  <c r="K183" i="23"/>
  <c r="K182" i="23"/>
  <c r="K181" i="23"/>
  <c r="K180" i="23"/>
  <c r="K179" i="23"/>
  <c r="K178" i="23"/>
  <c r="K177" i="23"/>
  <c r="K176" i="23"/>
  <c r="K175" i="23"/>
  <c r="K174" i="23"/>
  <c r="K173" i="23"/>
  <c r="K172" i="23"/>
  <c r="K171" i="23"/>
  <c r="K170" i="23"/>
  <c r="K169" i="23"/>
  <c r="K168" i="23"/>
  <c r="K167" i="23"/>
  <c r="K166" i="23"/>
  <c r="K165" i="23"/>
  <c r="K164" i="23"/>
  <c r="K163" i="23"/>
  <c r="K162" i="23"/>
  <c r="K161" i="23"/>
  <c r="K160" i="23"/>
  <c r="K159" i="23"/>
  <c r="K158" i="23"/>
  <c r="K157" i="23"/>
  <c r="K156" i="23"/>
  <c r="K155" i="23"/>
  <c r="K154" i="23"/>
  <c r="K153" i="23"/>
  <c r="K152" i="23"/>
  <c r="K151" i="23"/>
  <c r="K150" i="23"/>
  <c r="K149" i="23"/>
  <c r="K148" i="23"/>
  <c r="K147" i="23"/>
  <c r="K146" i="23"/>
  <c r="K145" i="23"/>
  <c r="K144" i="23"/>
  <c r="K143" i="23"/>
  <c r="K142" i="23"/>
  <c r="K141" i="23"/>
  <c r="K140" i="23"/>
  <c r="K139" i="23"/>
  <c r="K138" i="23"/>
  <c r="K137" i="23"/>
  <c r="K136" i="23"/>
  <c r="K135" i="23"/>
  <c r="K134" i="23"/>
  <c r="K133" i="23"/>
  <c r="K132" i="23"/>
  <c r="K131" i="23"/>
  <c r="K130" i="23"/>
  <c r="K129" i="23"/>
  <c r="K128" i="23"/>
  <c r="K127" i="23"/>
  <c r="K126" i="23"/>
  <c r="K125" i="23"/>
  <c r="K124" i="23"/>
  <c r="K123" i="23"/>
  <c r="K122" i="23"/>
  <c r="K121" i="23"/>
  <c r="K120" i="23"/>
  <c r="K119" i="23"/>
  <c r="K118" i="23"/>
  <c r="K117" i="23"/>
  <c r="K116" i="23"/>
  <c r="K115" i="23"/>
  <c r="K114" i="23"/>
  <c r="K113" i="23"/>
  <c r="I113" i="23"/>
  <c r="J113" i="23" s="1"/>
  <c r="D113" i="23"/>
  <c r="C113" i="23"/>
  <c r="A113" i="23"/>
  <c r="K112" i="23"/>
  <c r="I112" i="23"/>
  <c r="J112" i="23" s="1"/>
  <c r="D112" i="23"/>
  <c r="C112" i="23"/>
  <c r="A112" i="23"/>
  <c r="K111" i="23"/>
  <c r="J111" i="23"/>
  <c r="I111" i="23"/>
  <c r="D111" i="23"/>
  <c r="C111" i="23"/>
  <c r="A111" i="23"/>
  <c r="K110" i="23"/>
  <c r="J110" i="23"/>
  <c r="I110" i="23"/>
  <c r="D110" i="23"/>
  <c r="C110" i="23"/>
  <c r="A110" i="23"/>
  <c r="K109" i="23"/>
  <c r="I109" i="23"/>
  <c r="J109" i="23" s="1"/>
  <c r="D109" i="23"/>
  <c r="C109" i="23"/>
  <c r="A109" i="23"/>
  <c r="K108" i="23"/>
  <c r="I108" i="23"/>
  <c r="J108" i="23" s="1"/>
  <c r="D108" i="23"/>
  <c r="C108" i="23"/>
  <c r="A108" i="23"/>
  <c r="K107" i="23"/>
  <c r="J107" i="23"/>
  <c r="I107" i="23"/>
  <c r="D107" i="23"/>
  <c r="C107" i="23"/>
  <c r="A107" i="23"/>
  <c r="K106" i="23"/>
  <c r="J106" i="23"/>
  <c r="I106" i="23"/>
  <c r="D106" i="23"/>
  <c r="C106" i="23"/>
  <c r="A106" i="23"/>
  <c r="K105" i="23"/>
  <c r="I105" i="23"/>
  <c r="J105" i="23" s="1"/>
  <c r="D105" i="23"/>
  <c r="C105" i="23"/>
  <c r="A105" i="23"/>
  <c r="K104" i="23"/>
  <c r="I104" i="23"/>
  <c r="J104" i="23" s="1"/>
  <c r="D104" i="23"/>
  <c r="C104" i="23"/>
  <c r="A104" i="23"/>
  <c r="K103" i="23"/>
  <c r="J103" i="23"/>
  <c r="I103" i="23"/>
  <c r="D103" i="23"/>
  <c r="C103" i="23"/>
  <c r="A103" i="23"/>
  <c r="K102" i="23"/>
  <c r="J102" i="23"/>
  <c r="I102" i="23"/>
  <c r="D102" i="23"/>
  <c r="C102" i="23"/>
  <c r="A102" i="23"/>
  <c r="K101" i="23"/>
  <c r="I101" i="23"/>
  <c r="J101" i="23" s="1"/>
  <c r="D101" i="23"/>
  <c r="C101" i="23"/>
  <c r="A101" i="23"/>
  <c r="K100" i="23"/>
  <c r="I100" i="23"/>
  <c r="J100" i="23" s="1"/>
  <c r="D100" i="23"/>
  <c r="C100" i="23"/>
  <c r="A100" i="23"/>
  <c r="K99" i="23"/>
  <c r="J99" i="23"/>
  <c r="I99" i="23"/>
  <c r="D99" i="23"/>
  <c r="C99" i="23"/>
  <c r="A99" i="23"/>
  <c r="K98" i="23"/>
  <c r="J98" i="23"/>
  <c r="I98" i="23"/>
  <c r="D98" i="23"/>
  <c r="C98" i="23"/>
  <c r="A98" i="23"/>
  <c r="K97" i="23"/>
  <c r="I97" i="23"/>
  <c r="J97" i="23" s="1"/>
  <c r="D97" i="23"/>
  <c r="C97" i="23"/>
  <c r="A97" i="23"/>
  <c r="K96" i="23"/>
  <c r="I96" i="23"/>
  <c r="J96" i="23" s="1"/>
  <c r="D96" i="23"/>
  <c r="C96" i="23"/>
  <c r="A96" i="23"/>
  <c r="K95" i="23"/>
  <c r="J95" i="23"/>
  <c r="I95" i="23"/>
  <c r="D95" i="23"/>
  <c r="C95" i="23"/>
  <c r="A95" i="23"/>
  <c r="K94" i="23"/>
  <c r="J94" i="23"/>
  <c r="I94" i="23"/>
  <c r="D94" i="23"/>
  <c r="C94" i="23"/>
  <c r="A94" i="23"/>
  <c r="K93" i="23"/>
  <c r="I93" i="23"/>
  <c r="J93" i="23" s="1"/>
  <c r="D93" i="23"/>
  <c r="C93" i="23"/>
  <c r="A93" i="23"/>
  <c r="K92" i="23"/>
  <c r="I92" i="23"/>
  <c r="J92" i="23" s="1"/>
  <c r="D92" i="23"/>
  <c r="C92" i="23"/>
  <c r="A92" i="23"/>
  <c r="K91" i="23"/>
  <c r="J91" i="23"/>
  <c r="I91" i="23"/>
  <c r="D91" i="23"/>
  <c r="C91" i="23"/>
  <c r="A91" i="23"/>
  <c r="K90" i="23"/>
  <c r="J90" i="23"/>
  <c r="I90" i="23"/>
  <c r="D90" i="23"/>
  <c r="C90" i="23"/>
  <c r="A90" i="23"/>
  <c r="K89" i="23"/>
  <c r="I89" i="23"/>
  <c r="J89" i="23" s="1"/>
  <c r="D89" i="23"/>
  <c r="C89" i="23"/>
  <c r="A89" i="23"/>
  <c r="K88" i="23"/>
  <c r="I88" i="23"/>
  <c r="J88" i="23" s="1"/>
  <c r="D88" i="23"/>
  <c r="C88" i="23"/>
  <c r="A88" i="23"/>
  <c r="K87" i="23"/>
  <c r="J87" i="23"/>
  <c r="I87" i="23"/>
  <c r="D87" i="23"/>
  <c r="C87" i="23"/>
  <c r="A87" i="23"/>
  <c r="K86" i="23"/>
  <c r="J86" i="23"/>
  <c r="I86" i="23"/>
  <c r="D86" i="23"/>
  <c r="C86" i="23"/>
  <c r="A86" i="23"/>
  <c r="K85" i="23"/>
  <c r="I85" i="23"/>
  <c r="J85" i="23" s="1"/>
  <c r="D85" i="23"/>
  <c r="C85" i="23"/>
  <c r="A85" i="23"/>
  <c r="K84" i="23"/>
  <c r="I84" i="23"/>
  <c r="J84" i="23" s="1"/>
  <c r="D84" i="23"/>
  <c r="C84" i="23"/>
  <c r="A84" i="23"/>
  <c r="K83" i="23"/>
  <c r="J83" i="23"/>
  <c r="I83" i="23"/>
  <c r="D83" i="23"/>
  <c r="C83" i="23"/>
  <c r="A83" i="23"/>
  <c r="K82" i="23"/>
  <c r="J82" i="23"/>
  <c r="I82" i="23"/>
  <c r="D82" i="23"/>
  <c r="C82" i="23"/>
  <c r="A82" i="23"/>
  <c r="K81" i="23"/>
  <c r="I81" i="23"/>
  <c r="J81" i="23" s="1"/>
  <c r="D81" i="23"/>
  <c r="C81" i="23"/>
  <c r="A81" i="23"/>
  <c r="K80" i="23"/>
  <c r="I80" i="23"/>
  <c r="J80" i="23" s="1"/>
  <c r="D80" i="23"/>
  <c r="C80" i="23"/>
  <c r="A80" i="23"/>
  <c r="K79" i="23"/>
  <c r="J79" i="23"/>
  <c r="I79" i="23"/>
  <c r="D79" i="23"/>
  <c r="C79" i="23"/>
  <c r="A79" i="23"/>
  <c r="K78" i="23"/>
  <c r="J78" i="23"/>
  <c r="I78" i="23"/>
  <c r="D78" i="23"/>
  <c r="C78" i="23"/>
  <c r="A78" i="23"/>
  <c r="K77" i="23"/>
  <c r="I77" i="23"/>
  <c r="J77" i="23" s="1"/>
  <c r="D77" i="23"/>
  <c r="C77" i="23"/>
  <c r="A77" i="23"/>
  <c r="K76" i="23"/>
  <c r="I76" i="23"/>
  <c r="J76" i="23" s="1"/>
  <c r="D76" i="23"/>
  <c r="C76" i="23"/>
  <c r="A76" i="23"/>
  <c r="K75" i="23"/>
  <c r="J75" i="23"/>
  <c r="I75" i="23"/>
  <c r="D75" i="23"/>
  <c r="C75" i="23"/>
  <c r="A75" i="23"/>
  <c r="K74" i="23"/>
  <c r="J74" i="23"/>
  <c r="I74" i="23"/>
  <c r="D74" i="23"/>
  <c r="C74" i="23"/>
  <c r="A74" i="23"/>
  <c r="K73" i="23"/>
  <c r="I73" i="23"/>
  <c r="J73" i="23" s="1"/>
  <c r="D73" i="23"/>
  <c r="C73" i="23"/>
  <c r="A73" i="23"/>
  <c r="K72" i="23"/>
  <c r="I72" i="23"/>
  <c r="J72" i="23" s="1"/>
  <c r="D72" i="23"/>
  <c r="C72" i="23"/>
  <c r="A72" i="23"/>
  <c r="K71" i="23"/>
  <c r="J71" i="23"/>
  <c r="I71" i="23"/>
  <c r="D71" i="23"/>
  <c r="C71" i="23"/>
  <c r="A71" i="23"/>
  <c r="K70" i="23"/>
  <c r="J70" i="23"/>
  <c r="I70" i="23"/>
  <c r="D70" i="23"/>
  <c r="C70" i="23"/>
  <c r="A70" i="23"/>
  <c r="K69" i="23"/>
  <c r="I69" i="23"/>
  <c r="J69" i="23" s="1"/>
  <c r="D69" i="23"/>
  <c r="C69" i="23"/>
  <c r="A69" i="23"/>
  <c r="K68" i="23"/>
  <c r="I68" i="23"/>
  <c r="J68" i="23" s="1"/>
  <c r="D68" i="23"/>
  <c r="C68" i="23"/>
  <c r="A68" i="23"/>
  <c r="K67" i="23"/>
  <c r="J67" i="23"/>
  <c r="I67" i="23"/>
  <c r="D67" i="23"/>
  <c r="C67" i="23"/>
  <c r="A67" i="23"/>
  <c r="K66" i="23"/>
  <c r="J66" i="23"/>
  <c r="I66" i="23"/>
  <c r="D66" i="23"/>
  <c r="C66" i="23"/>
  <c r="A66" i="23"/>
  <c r="K65" i="23"/>
  <c r="I65" i="23"/>
  <c r="J65" i="23" s="1"/>
  <c r="D65" i="23"/>
  <c r="C65" i="23"/>
  <c r="A65" i="23"/>
  <c r="K64" i="23"/>
  <c r="I64" i="23"/>
  <c r="J64" i="23" s="1"/>
  <c r="D64" i="23"/>
  <c r="C64" i="23"/>
  <c r="A64" i="23"/>
  <c r="K63" i="23"/>
  <c r="J63" i="23"/>
  <c r="I63" i="23"/>
  <c r="D63" i="23"/>
  <c r="C63" i="23"/>
  <c r="A63" i="23"/>
  <c r="K62" i="23"/>
  <c r="J62" i="23"/>
  <c r="I62" i="23"/>
  <c r="D62" i="23"/>
  <c r="C62" i="23"/>
  <c r="A62" i="23"/>
  <c r="K61" i="23"/>
  <c r="I61" i="23"/>
  <c r="J61" i="23" s="1"/>
  <c r="D61" i="23"/>
  <c r="C61" i="23"/>
  <c r="A61" i="23"/>
  <c r="K60" i="23"/>
  <c r="I60" i="23"/>
  <c r="J60" i="23" s="1"/>
  <c r="D60" i="23"/>
  <c r="C60" i="23"/>
  <c r="A60" i="23"/>
  <c r="K59" i="23"/>
  <c r="J59" i="23"/>
  <c r="I59" i="23"/>
  <c r="D59" i="23"/>
  <c r="C59" i="23"/>
  <c r="A59" i="23"/>
  <c r="K58" i="23"/>
  <c r="J58" i="23"/>
  <c r="I58" i="23"/>
  <c r="D58" i="23"/>
  <c r="C58" i="23"/>
  <c r="A58" i="23"/>
  <c r="K57" i="23"/>
  <c r="I57" i="23"/>
  <c r="J57" i="23" s="1"/>
  <c r="D57" i="23"/>
  <c r="C57" i="23"/>
  <c r="A57" i="23"/>
  <c r="K56" i="23"/>
  <c r="I56" i="23"/>
  <c r="J56" i="23" s="1"/>
  <c r="D56" i="23"/>
  <c r="C56" i="23"/>
  <c r="A56" i="23"/>
  <c r="K55" i="23"/>
  <c r="J55" i="23"/>
  <c r="I55" i="23"/>
  <c r="D55" i="23"/>
  <c r="C55" i="23"/>
  <c r="A55" i="23"/>
  <c r="K54" i="23"/>
  <c r="J54" i="23"/>
  <c r="I54" i="23"/>
  <c r="D54" i="23"/>
  <c r="C54" i="23"/>
  <c r="A54" i="23"/>
  <c r="K53" i="23"/>
  <c r="I53" i="23"/>
  <c r="J53" i="23" s="1"/>
  <c r="D53" i="23"/>
  <c r="C53" i="23"/>
  <c r="A53" i="23"/>
  <c r="K52" i="23"/>
  <c r="I52" i="23"/>
  <c r="J52" i="23" s="1"/>
  <c r="D52" i="23"/>
  <c r="C52" i="23"/>
  <c r="A52" i="23"/>
  <c r="K51" i="23"/>
  <c r="J51" i="23"/>
  <c r="I51" i="23"/>
  <c r="D51" i="23"/>
  <c r="C51" i="23"/>
  <c r="A51" i="23"/>
  <c r="K50" i="23"/>
  <c r="J50" i="23"/>
  <c r="I50" i="23"/>
  <c r="D50" i="23"/>
  <c r="C50" i="23"/>
  <c r="A50" i="23"/>
  <c r="K49" i="23"/>
  <c r="I49" i="23"/>
  <c r="J49" i="23" s="1"/>
  <c r="D49" i="23"/>
  <c r="C49" i="23"/>
  <c r="A49" i="23"/>
  <c r="K48" i="23"/>
  <c r="I48" i="23"/>
  <c r="J48" i="23" s="1"/>
  <c r="D48" i="23"/>
  <c r="C48" i="23"/>
  <c r="A48" i="23"/>
  <c r="K47" i="23"/>
  <c r="J47" i="23"/>
  <c r="I47" i="23"/>
  <c r="D47" i="23"/>
  <c r="C47" i="23"/>
  <c r="A47" i="23"/>
  <c r="K46" i="23"/>
  <c r="J46" i="23"/>
  <c r="I46" i="23"/>
  <c r="D46" i="23"/>
  <c r="C46" i="23"/>
  <c r="A46" i="23"/>
  <c r="K45" i="23"/>
  <c r="I45" i="23"/>
  <c r="J45" i="23" s="1"/>
  <c r="D45" i="23"/>
  <c r="C45" i="23"/>
  <c r="A45" i="23"/>
  <c r="K44" i="23"/>
  <c r="I44" i="23"/>
  <c r="J44" i="23" s="1"/>
  <c r="D44" i="23"/>
  <c r="C44" i="23"/>
  <c r="A44" i="23"/>
  <c r="K43" i="23"/>
  <c r="J43" i="23"/>
  <c r="I43" i="23"/>
  <c r="D43" i="23"/>
  <c r="C43" i="23"/>
  <c r="A43" i="23"/>
  <c r="K42" i="23"/>
  <c r="J42" i="23"/>
  <c r="I42" i="23"/>
  <c r="D42" i="23"/>
  <c r="C42" i="23"/>
  <c r="A42" i="23"/>
  <c r="K41" i="23"/>
  <c r="I41" i="23"/>
  <c r="J41" i="23" s="1"/>
  <c r="D41" i="23"/>
  <c r="C41" i="23"/>
  <c r="A41" i="23"/>
  <c r="K40" i="23"/>
  <c r="I40" i="23"/>
  <c r="J40" i="23" s="1"/>
  <c r="D40" i="23"/>
  <c r="C40" i="23"/>
  <c r="A40" i="23"/>
  <c r="K39" i="23"/>
  <c r="J39" i="23"/>
  <c r="I39" i="23"/>
  <c r="D39" i="23"/>
  <c r="C39" i="23"/>
  <c r="A39" i="23"/>
  <c r="K38" i="23"/>
  <c r="J38" i="23"/>
  <c r="I38" i="23"/>
  <c r="D38" i="23"/>
  <c r="C38" i="23"/>
  <c r="A38" i="23"/>
  <c r="K37" i="23"/>
  <c r="I37" i="23"/>
  <c r="J37" i="23" s="1"/>
  <c r="D37" i="23"/>
  <c r="C37" i="23"/>
  <c r="A37" i="23"/>
  <c r="K36" i="23"/>
  <c r="I36" i="23"/>
  <c r="J36" i="23" s="1"/>
  <c r="D36" i="23"/>
  <c r="C36" i="23"/>
  <c r="A36" i="23"/>
  <c r="K35" i="23"/>
  <c r="J35" i="23"/>
  <c r="I35" i="23"/>
  <c r="D35" i="23"/>
  <c r="C35" i="23"/>
  <c r="A35" i="23"/>
  <c r="K34" i="23"/>
  <c r="J34" i="23"/>
  <c r="I34" i="23"/>
  <c r="D34" i="23"/>
  <c r="C34" i="23"/>
  <c r="A34" i="23"/>
  <c r="K33" i="23"/>
  <c r="I33" i="23"/>
  <c r="J33" i="23" s="1"/>
  <c r="D33" i="23"/>
  <c r="C33" i="23"/>
  <c r="A33" i="23"/>
  <c r="K32" i="23"/>
  <c r="I32" i="23"/>
  <c r="J32" i="23" s="1"/>
  <c r="D32" i="23"/>
  <c r="C32" i="23"/>
  <c r="A32" i="23"/>
  <c r="K31" i="23"/>
  <c r="J31" i="23"/>
  <c r="I31" i="23"/>
  <c r="D31" i="23"/>
  <c r="C31" i="23"/>
  <c r="A31" i="23"/>
  <c r="K30" i="23"/>
  <c r="J30" i="23"/>
  <c r="I30" i="23"/>
  <c r="D30" i="23"/>
  <c r="C30" i="23"/>
  <c r="A30" i="23"/>
  <c r="K29" i="23"/>
  <c r="I29" i="23"/>
  <c r="J29" i="23" s="1"/>
  <c r="D29" i="23"/>
  <c r="C29" i="23"/>
  <c r="A29" i="23"/>
  <c r="K28" i="23"/>
  <c r="I28" i="23"/>
  <c r="J28" i="23" s="1"/>
  <c r="D28" i="23"/>
  <c r="C28" i="23"/>
  <c r="A28" i="23"/>
  <c r="K27" i="23"/>
  <c r="J27" i="23"/>
  <c r="I27" i="23"/>
  <c r="D27" i="23"/>
  <c r="C27" i="23"/>
  <c r="A27" i="23"/>
  <c r="K26" i="23"/>
  <c r="J26" i="23"/>
  <c r="I26" i="23"/>
  <c r="D26" i="23"/>
  <c r="C26" i="23"/>
  <c r="A26" i="23"/>
  <c r="K25" i="23"/>
  <c r="I25" i="23"/>
  <c r="J25" i="23" s="1"/>
  <c r="D25" i="23"/>
  <c r="C25" i="23"/>
  <c r="A25" i="23"/>
  <c r="K24" i="23"/>
  <c r="I24" i="23"/>
  <c r="J24" i="23" s="1"/>
  <c r="D24" i="23"/>
  <c r="C24" i="23"/>
  <c r="A24" i="23"/>
  <c r="K23" i="23"/>
  <c r="J23" i="23"/>
  <c r="I23" i="23"/>
  <c r="D23" i="23"/>
  <c r="C23" i="23"/>
  <c r="A23" i="23"/>
  <c r="K22" i="23"/>
  <c r="J22" i="23"/>
  <c r="I22" i="23"/>
  <c r="D22" i="23"/>
  <c r="C22" i="23"/>
  <c r="A22" i="23"/>
  <c r="K21" i="23"/>
  <c r="I21" i="23"/>
  <c r="J21" i="23" s="1"/>
  <c r="D21" i="23"/>
  <c r="C21" i="23"/>
  <c r="A21" i="23"/>
  <c r="K20" i="23"/>
  <c r="I20" i="23"/>
  <c r="J20" i="23" s="1"/>
  <c r="D20" i="23"/>
  <c r="C20" i="23"/>
  <c r="A20" i="23"/>
  <c r="K19" i="23"/>
  <c r="J19" i="23"/>
  <c r="I19" i="23"/>
  <c r="D19" i="23"/>
  <c r="C19" i="23"/>
  <c r="A19" i="23"/>
  <c r="K18" i="23"/>
  <c r="J18" i="23"/>
  <c r="I18" i="23"/>
  <c r="D18" i="23"/>
  <c r="C18" i="23"/>
  <c r="A18" i="23"/>
  <c r="K17" i="23"/>
  <c r="I17" i="23"/>
  <c r="J17" i="23" s="1"/>
  <c r="D17" i="23"/>
  <c r="C17" i="23"/>
  <c r="A17" i="23"/>
  <c r="K16" i="23"/>
  <c r="I16" i="23"/>
  <c r="J16" i="23" s="1"/>
  <c r="D16" i="23"/>
  <c r="C16" i="23"/>
  <c r="A16" i="23"/>
  <c r="K15" i="23"/>
  <c r="J15" i="23"/>
  <c r="I15" i="23"/>
  <c r="D15" i="23"/>
  <c r="C15" i="23"/>
  <c r="A15" i="23"/>
  <c r="K14" i="23"/>
  <c r="J14" i="23"/>
  <c r="I14" i="23"/>
  <c r="D14" i="23"/>
  <c r="C14" i="23"/>
  <c r="A14" i="23"/>
  <c r="B10" i="23"/>
  <c r="B9" i="23"/>
  <c r="B8" i="23"/>
  <c r="K208" i="22"/>
  <c r="J208" i="22"/>
  <c r="G208" i="22"/>
  <c r="D208" i="22"/>
  <c r="C208" i="22"/>
  <c r="B208" i="22"/>
  <c r="J207" i="22"/>
  <c r="K207" i="22" s="1"/>
  <c r="G207" i="22"/>
  <c r="D207" i="22"/>
  <c r="C207" i="22"/>
  <c r="B207" i="22"/>
  <c r="J206" i="22"/>
  <c r="K206" i="22" s="1"/>
  <c r="G206" i="22"/>
  <c r="D206" i="22"/>
  <c r="C206" i="22"/>
  <c r="B206" i="22"/>
  <c r="K205" i="22"/>
  <c r="J205" i="22"/>
  <c r="G205" i="22"/>
  <c r="D205" i="22"/>
  <c r="C205" i="22"/>
  <c r="B205" i="22"/>
  <c r="K204" i="22"/>
  <c r="J204" i="22"/>
  <c r="G204" i="22"/>
  <c r="D204" i="22"/>
  <c r="C204" i="22"/>
  <c r="B204" i="22"/>
  <c r="J203" i="22"/>
  <c r="K203" i="22" s="1"/>
  <c r="G203" i="22"/>
  <c r="D203" i="22"/>
  <c r="C203" i="22"/>
  <c r="B203" i="22"/>
  <c r="J202" i="22"/>
  <c r="K202" i="22" s="1"/>
  <c r="G202" i="22"/>
  <c r="D202" i="22"/>
  <c r="C202" i="22"/>
  <c r="B202" i="22"/>
  <c r="K201" i="22"/>
  <c r="J201" i="22"/>
  <c r="G201" i="22"/>
  <c r="D201" i="22"/>
  <c r="C201" i="22"/>
  <c r="B201" i="22"/>
  <c r="K200" i="22"/>
  <c r="J200" i="22"/>
  <c r="G200" i="22"/>
  <c r="D200" i="22"/>
  <c r="C200" i="22"/>
  <c r="B200" i="22"/>
  <c r="J199" i="22"/>
  <c r="K199" i="22" s="1"/>
  <c r="G199" i="22"/>
  <c r="D199" i="22"/>
  <c r="C199" i="22"/>
  <c r="B199" i="22"/>
  <c r="J198" i="22"/>
  <c r="K198" i="22" s="1"/>
  <c r="G198" i="22"/>
  <c r="D198" i="22"/>
  <c r="C198" i="22"/>
  <c r="B198" i="22"/>
  <c r="K197" i="22"/>
  <c r="J197" i="22"/>
  <c r="G197" i="22"/>
  <c r="D197" i="22"/>
  <c r="C197" i="22"/>
  <c r="B197" i="22"/>
  <c r="K196" i="22"/>
  <c r="J196" i="22"/>
  <c r="G196" i="22"/>
  <c r="D196" i="22"/>
  <c r="C196" i="22"/>
  <c r="B196" i="22"/>
  <c r="J195" i="22"/>
  <c r="K195" i="22" s="1"/>
  <c r="G195" i="22"/>
  <c r="D195" i="22"/>
  <c r="C195" i="22"/>
  <c r="B195" i="22"/>
  <c r="J194" i="22"/>
  <c r="K194" i="22" s="1"/>
  <c r="G194" i="22"/>
  <c r="D194" i="22"/>
  <c r="C194" i="22"/>
  <c r="B194" i="22"/>
  <c r="K193" i="22"/>
  <c r="J193" i="22"/>
  <c r="G193" i="22"/>
  <c r="D193" i="22"/>
  <c r="C193" i="22"/>
  <c r="B193" i="22"/>
  <c r="K192" i="22"/>
  <c r="J192" i="22"/>
  <c r="G192" i="22"/>
  <c r="D192" i="22"/>
  <c r="C192" i="22"/>
  <c r="B192" i="22"/>
  <c r="J191" i="22"/>
  <c r="K191" i="22" s="1"/>
  <c r="G191" i="22"/>
  <c r="D191" i="22"/>
  <c r="C191" i="22"/>
  <c r="B191" i="22"/>
  <c r="J190" i="22"/>
  <c r="K190" i="22" s="1"/>
  <c r="G190" i="22"/>
  <c r="D190" i="22"/>
  <c r="C190" i="22"/>
  <c r="B190" i="22"/>
  <c r="K189" i="22"/>
  <c r="J189" i="22"/>
  <c r="G189" i="22"/>
  <c r="D189" i="22"/>
  <c r="C189" i="22"/>
  <c r="B189" i="22"/>
  <c r="K188" i="22"/>
  <c r="J188" i="22"/>
  <c r="G188" i="22"/>
  <c r="D188" i="22"/>
  <c r="C188" i="22"/>
  <c r="B188" i="22"/>
  <c r="J187" i="22"/>
  <c r="K187" i="22" s="1"/>
  <c r="G187" i="22"/>
  <c r="D187" i="22"/>
  <c r="C187" i="22"/>
  <c r="B187" i="22"/>
  <c r="J186" i="22"/>
  <c r="K186" i="22" s="1"/>
  <c r="G186" i="22"/>
  <c r="D186" i="22"/>
  <c r="C186" i="22"/>
  <c r="B186" i="22"/>
  <c r="K185" i="22"/>
  <c r="J185" i="22"/>
  <c r="G185" i="22"/>
  <c r="D185" i="22"/>
  <c r="C185" i="22"/>
  <c r="B185" i="22"/>
  <c r="K184" i="22"/>
  <c r="J184" i="22"/>
  <c r="G184" i="22"/>
  <c r="D184" i="22"/>
  <c r="C184" i="22"/>
  <c r="B184" i="22"/>
  <c r="J183" i="22"/>
  <c r="K183" i="22" s="1"/>
  <c r="G183" i="22"/>
  <c r="D183" i="22"/>
  <c r="C183" i="22"/>
  <c r="B183" i="22"/>
  <c r="J182" i="22"/>
  <c r="K182" i="22" s="1"/>
  <c r="G182" i="22"/>
  <c r="D182" i="22"/>
  <c r="C182" i="22"/>
  <c r="B182" i="22"/>
  <c r="K181" i="22"/>
  <c r="J181" i="22"/>
  <c r="G181" i="22"/>
  <c r="D181" i="22"/>
  <c r="C181" i="22"/>
  <c r="B181" i="22"/>
  <c r="K180" i="22"/>
  <c r="J180" i="22"/>
  <c r="G180" i="22"/>
  <c r="D180" i="22"/>
  <c r="C180" i="22"/>
  <c r="B180" i="22"/>
  <c r="J179" i="22"/>
  <c r="K179" i="22" s="1"/>
  <c r="G179" i="22"/>
  <c r="D179" i="22"/>
  <c r="C179" i="22"/>
  <c r="B179" i="22"/>
  <c r="J178" i="22"/>
  <c r="K178" i="22" s="1"/>
  <c r="G178" i="22"/>
  <c r="D178" i="22"/>
  <c r="C178" i="22"/>
  <c r="B178" i="22"/>
  <c r="K177" i="22"/>
  <c r="J177" i="22"/>
  <c r="G177" i="22"/>
  <c r="D177" i="22"/>
  <c r="C177" i="22"/>
  <c r="B177" i="22"/>
  <c r="K176" i="22"/>
  <c r="J176" i="22"/>
  <c r="G176" i="22"/>
  <c r="D176" i="22"/>
  <c r="C176" i="22"/>
  <c r="B176" i="22"/>
  <c r="J175" i="22"/>
  <c r="K175" i="22" s="1"/>
  <c r="G175" i="22"/>
  <c r="D175" i="22"/>
  <c r="C175" i="22"/>
  <c r="B175" i="22"/>
  <c r="J174" i="22"/>
  <c r="K174" i="22" s="1"/>
  <c r="G174" i="22"/>
  <c r="D174" i="22"/>
  <c r="C174" i="22"/>
  <c r="B174" i="22"/>
  <c r="K173" i="22"/>
  <c r="J173" i="22"/>
  <c r="G173" i="22"/>
  <c r="D173" i="22"/>
  <c r="C173" i="22"/>
  <c r="B173" i="22"/>
  <c r="K172" i="22"/>
  <c r="J172" i="22"/>
  <c r="G172" i="22"/>
  <c r="D172" i="22"/>
  <c r="C172" i="22"/>
  <c r="B172" i="22"/>
  <c r="J171" i="22"/>
  <c r="K171" i="22" s="1"/>
  <c r="G171" i="22"/>
  <c r="D171" i="22"/>
  <c r="C171" i="22"/>
  <c r="B171" i="22"/>
  <c r="J170" i="22"/>
  <c r="K170" i="22" s="1"/>
  <c r="G170" i="22"/>
  <c r="D170" i="22"/>
  <c r="C170" i="22"/>
  <c r="B170" i="22"/>
  <c r="K169" i="22"/>
  <c r="J169" i="22"/>
  <c r="G169" i="22"/>
  <c r="D169" i="22"/>
  <c r="C169" i="22"/>
  <c r="B169" i="22"/>
  <c r="K168" i="22"/>
  <c r="J168" i="22"/>
  <c r="G168" i="22"/>
  <c r="D168" i="22"/>
  <c r="C168" i="22"/>
  <c r="B168" i="22"/>
  <c r="J167" i="22"/>
  <c r="K167" i="22" s="1"/>
  <c r="G167" i="22"/>
  <c r="D167" i="22"/>
  <c r="C167" i="22"/>
  <c r="B167" i="22"/>
  <c r="J166" i="22"/>
  <c r="K166" i="22" s="1"/>
  <c r="G166" i="22"/>
  <c r="D166" i="22"/>
  <c r="C166" i="22"/>
  <c r="B166" i="22"/>
  <c r="K165" i="22"/>
  <c r="J165" i="22"/>
  <c r="G165" i="22"/>
  <c r="D165" i="22"/>
  <c r="C165" i="22"/>
  <c r="B165" i="22"/>
  <c r="K164" i="22"/>
  <c r="J164" i="22"/>
  <c r="G164" i="22"/>
  <c r="D164" i="22"/>
  <c r="C164" i="22"/>
  <c r="B164" i="22"/>
  <c r="J163" i="22"/>
  <c r="K163" i="22" s="1"/>
  <c r="G163" i="22"/>
  <c r="D163" i="22"/>
  <c r="C163" i="22"/>
  <c r="B163" i="22"/>
  <c r="J162" i="22"/>
  <c r="K162" i="22" s="1"/>
  <c r="G162" i="22"/>
  <c r="D162" i="22"/>
  <c r="C162" i="22"/>
  <c r="B162" i="22"/>
  <c r="K161" i="22"/>
  <c r="J161" i="22"/>
  <c r="G161" i="22"/>
  <c r="D161" i="22"/>
  <c r="C161" i="22"/>
  <c r="B161" i="22"/>
  <c r="K160" i="22"/>
  <c r="J160" i="22"/>
  <c r="G160" i="22"/>
  <c r="D160" i="22"/>
  <c r="C160" i="22"/>
  <c r="B160" i="22"/>
  <c r="J159" i="22"/>
  <c r="K159" i="22" s="1"/>
  <c r="G159" i="22"/>
  <c r="D159" i="22"/>
  <c r="C159" i="22"/>
  <c r="B159" i="22"/>
  <c r="J158" i="22"/>
  <c r="K158" i="22" s="1"/>
  <c r="G158" i="22"/>
  <c r="D158" i="22"/>
  <c r="C158" i="22"/>
  <c r="B158" i="22"/>
  <c r="K157" i="22"/>
  <c r="J157" i="22"/>
  <c r="G157" i="22"/>
  <c r="D157" i="22"/>
  <c r="C157" i="22"/>
  <c r="B157" i="22"/>
  <c r="K156" i="22"/>
  <c r="J156" i="22"/>
  <c r="G156" i="22"/>
  <c r="D156" i="22"/>
  <c r="C156" i="22"/>
  <c r="B156" i="22"/>
  <c r="J155" i="22"/>
  <c r="K155" i="22" s="1"/>
  <c r="G155" i="22"/>
  <c r="D155" i="22"/>
  <c r="C155" i="22"/>
  <c r="B155" i="22"/>
  <c r="J154" i="22"/>
  <c r="K154" i="22" s="1"/>
  <c r="G154" i="22"/>
  <c r="D154" i="22"/>
  <c r="C154" i="22"/>
  <c r="B154" i="22"/>
  <c r="K153" i="22"/>
  <c r="J153" i="22"/>
  <c r="G153" i="22"/>
  <c r="D153" i="22"/>
  <c r="C153" i="22"/>
  <c r="B153" i="22"/>
  <c r="K152" i="22"/>
  <c r="J152" i="22"/>
  <c r="G152" i="22"/>
  <c r="D152" i="22"/>
  <c r="C152" i="22"/>
  <c r="B152" i="22"/>
  <c r="J151" i="22"/>
  <c r="K151" i="22" s="1"/>
  <c r="G151" i="22"/>
  <c r="D151" i="22"/>
  <c r="C151" i="22"/>
  <c r="B151" i="22"/>
  <c r="J150" i="22"/>
  <c r="K150" i="22" s="1"/>
  <c r="G150" i="22"/>
  <c r="D150" i="22"/>
  <c r="C150" i="22"/>
  <c r="B150" i="22"/>
  <c r="K149" i="22"/>
  <c r="J149" i="22"/>
  <c r="G149" i="22"/>
  <c r="D149" i="22"/>
  <c r="C149" i="22"/>
  <c r="B149" i="22"/>
  <c r="K148" i="22"/>
  <c r="J148" i="22"/>
  <c r="G148" i="22"/>
  <c r="D148" i="22"/>
  <c r="C148" i="22"/>
  <c r="B148" i="22"/>
  <c r="J147" i="22"/>
  <c r="K147" i="22" s="1"/>
  <c r="G147" i="22"/>
  <c r="D147" i="22"/>
  <c r="C147" i="22"/>
  <c r="B147" i="22"/>
  <c r="J146" i="22"/>
  <c r="K146" i="22" s="1"/>
  <c r="G146" i="22"/>
  <c r="D146" i="22"/>
  <c r="C146" i="22"/>
  <c r="B146" i="22"/>
  <c r="K145" i="22"/>
  <c r="J145" i="22"/>
  <c r="G145" i="22"/>
  <c r="D145" i="22"/>
  <c r="C145" i="22"/>
  <c r="B145" i="22"/>
  <c r="K144" i="22"/>
  <c r="J144" i="22"/>
  <c r="G144" i="22"/>
  <c r="D144" i="22"/>
  <c r="C144" i="22"/>
  <c r="B144" i="22"/>
  <c r="J143" i="22"/>
  <c r="K143" i="22" s="1"/>
  <c r="G143" i="22"/>
  <c r="D143" i="22"/>
  <c r="C143" i="22"/>
  <c r="B143" i="22"/>
  <c r="J142" i="22"/>
  <c r="K142" i="22" s="1"/>
  <c r="G142" i="22"/>
  <c r="D142" i="22"/>
  <c r="C142" i="22"/>
  <c r="B142" i="22"/>
  <c r="K141" i="22"/>
  <c r="J141" i="22"/>
  <c r="G141" i="22"/>
  <c r="D141" i="22"/>
  <c r="C141" i="22"/>
  <c r="B141" i="22"/>
  <c r="K140" i="22"/>
  <c r="J140" i="22"/>
  <c r="G140" i="22"/>
  <c r="D140" i="22"/>
  <c r="C140" i="22"/>
  <c r="B140" i="22"/>
  <c r="J139" i="22"/>
  <c r="K139" i="22" s="1"/>
  <c r="G139" i="22"/>
  <c r="D139" i="22"/>
  <c r="C139" i="22"/>
  <c r="B139" i="22"/>
  <c r="J138" i="22"/>
  <c r="K138" i="22" s="1"/>
  <c r="G138" i="22"/>
  <c r="D138" i="22"/>
  <c r="C138" i="22"/>
  <c r="B138" i="22"/>
  <c r="K137" i="22"/>
  <c r="J137" i="22"/>
  <c r="G137" i="22"/>
  <c r="D137" i="22"/>
  <c r="C137" i="22"/>
  <c r="B137" i="22"/>
  <c r="K136" i="22"/>
  <c r="J136" i="22"/>
  <c r="G136" i="22"/>
  <c r="D136" i="22"/>
  <c r="C136" i="22"/>
  <c r="B136" i="22"/>
  <c r="J135" i="22"/>
  <c r="K135" i="22" s="1"/>
  <c r="G135" i="22"/>
  <c r="D135" i="22"/>
  <c r="C135" i="22"/>
  <c r="B135" i="22"/>
  <c r="J134" i="22"/>
  <c r="K134" i="22" s="1"/>
  <c r="G134" i="22"/>
  <c r="D134" i="22"/>
  <c r="C134" i="22"/>
  <c r="B134" i="22"/>
  <c r="K133" i="22"/>
  <c r="J133" i="22"/>
  <c r="G133" i="22"/>
  <c r="D133" i="22"/>
  <c r="C133" i="22"/>
  <c r="B133" i="22"/>
  <c r="K132" i="22"/>
  <c r="J132" i="22"/>
  <c r="G132" i="22"/>
  <c r="D132" i="22"/>
  <c r="C132" i="22"/>
  <c r="B132" i="22"/>
  <c r="J131" i="22"/>
  <c r="K131" i="22" s="1"/>
  <c r="G131" i="22"/>
  <c r="D131" i="22"/>
  <c r="C131" i="22"/>
  <c r="B131" i="22"/>
  <c r="J130" i="22"/>
  <c r="K130" i="22" s="1"/>
  <c r="G130" i="22"/>
  <c r="D130" i="22"/>
  <c r="C130" i="22"/>
  <c r="B130" i="22"/>
  <c r="K129" i="22"/>
  <c r="J129" i="22"/>
  <c r="G129" i="22"/>
  <c r="D129" i="22"/>
  <c r="C129" i="22"/>
  <c r="B129" i="22"/>
  <c r="K128" i="22"/>
  <c r="J128" i="22"/>
  <c r="G128" i="22"/>
  <c r="D128" i="22"/>
  <c r="C128" i="22"/>
  <c r="B128" i="22"/>
  <c r="J127" i="22"/>
  <c r="K127" i="22" s="1"/>
  <c r="G127" i="22"/>
  <c r="D127" i="22"/>
  <c r="C127" i="22"/>
  <c r="B127" i="22"/>
  <c r="J126" i="22"/>
  <c r="K126" i="22" s="1"/>
  <c r="G126" i="22"/>
  <c r="D126" i="22"/>
  <c r="C126" i="22"/>
  <c r="B126" i="22"/>
  <c r="K125" i="22"/>
  <c r="J125" i="22"/>
  <c r="G125" i="22"/>
  <c r="D125" i="22"/>
  <c r="C125" i="22"/>
  <c r="B125" i="22"/>
  <c r="K124" i="22"/>
  <c r="J124" i="22"/>
  <c r="G124" i="22"/>
  <c r="D124" i="22"/>
  <c r="C124" i="22"/>
  <c r="B124" i="22"/>
  <c r="J123" i="22"/>
  <c r="K123" i="22" s="1"/>
  <c r="G123" i="22"/>
  <c r="D123" i="22"/>
  <c r="C123" i="22"/>
  <c r="B123" i="22"/>
  <c r="J122" i="22"/>
  <c r="K122" i="22" s="1"/>
  <c r="G122" i="22"/>
  <c r="D122" i="22"/>
  <c r="C122" i="22"/>
  <c r="B122" i="22"/>
  <c r="K121" i="22"/>
  <c r="J121" i="22"/>
  <c r="G121" i="22"/>
  <c r="D121" i="22"/>
  <c r="C121" i="22"/>
  <c r="B121" i="22"/>
  <c r="K120" i="22"/>
  <c r="J120" i="22"/>
  <c r="G120" i="22"/>
  <c r="D120" i="22"/>
  <c r="C120" i="22"/>
  <c r="B120" i="22"/>
  <c r="J119" i="22"/>
  <c r="K119" i="22" s="1"/>
  <c r="G119" i="22"/>
  <c r="D119" i="22"/>
  <c r="C119" i="22"/>
  <c r="B119" i="22"/>
  <c r="J118" i="22"/>
  <c r="K118" i="22" s="1"/>
  <c r="G118" i="22"/>
  <c r="D118" i="22"/>
  <c r="C118" i="22"/>
  <c r="B118" i="22"/>
  <c r="K117" i="22"/>
  <c r="J117" i="22"/>
  <c r="G117" i="22"/>
  <c r="D117" i="22"/>
  <c r="C117" i="22"/>
  <c r="B117" i="22"/>
  <c r="K116" i="22"/>
  <c r="J116" i="22"/>
  <c r="G116" i="22"/>
  <c r="D116" i="22"/>
  <c r="C116" i="22"/>
  <c r="B116" i="22"/>
  <c r="J115" i="22"/>
  <c r="K115" i="22" s="1"/>
  <c r="G115" i="22"/>
  <c r="D115" i="22"/>
  <c r="C115" i="22"/>
  <c r="B115" i="22"/>
  <c r="J114" i="22"/>
  <c r="K114" i="22" s="1"/>
  <c r="G114" i="22"/>
  <c r="D114" i="22"/>
  <c r="C114" i="22"/>
  <c r="B114" i="22"/>
  <c r="K113" i="22"/>
  <c r="J113" i="22"/>
  <c r="G113" i="22"/>
  <c r="D113" i="22"/>
  <c r="C113" i="22"/>
  <c r="B113" i="22"/>
  <c r="K112" i="22"/>
  <c r="J112" i="22"/>
  <c r="G112" i="22"/>
  <c r="D112" i="22"/>
  <c r="C112" i="22"/>
  <c r="B112" i="22"/>
  <c r="J111" i="22"/>
  <c r="K111" i="22" s="1"/>
  <c r="G111" i="22"/>
  <c r="D111" i="22"/>
  <c r="C111" i="22"/>
  <c r="B111" i="22"/>
  <c r="J110" i="22"/>
  <c r="K110" i="22" s="1"/>
  <c r="G110" i="22"/>
  <c r="D110" i="22"/>
  <c r="C110" i="22"/>
  <c r="B110" i="22"/>
  <c r="K109" i="22"/>
  <c r="J109" i="22"/>
  <c r="G109" i="22"/>
  <c r="D109" i="22"/>
  <c r="C109" i="22"/>
  <c r="B109" i="22"/>
  <c r="K108" i="22"/>
  <c r="J108" i="22"/>
  <c r="G108" i="22"/>
  <c r="D108" i="22"/>
  <c r="C108" i="22"/>
  <c r="B108" i="22"/>
  <c r="J107" i="22"/>
  <c r="K107" i="22" s="1"/>
  <c r="G107" i="22"/>
  <c r="D107" i="22"/>
  <c r="C107" i="22"/>
  <c r="B107" i="22"/>
  <c r="J106" i="22"/>
  <c r="K106" i="22" s="1"/>
  <c r="G106" i="22"/>
  <c r="D106" i="22"/>
  <c r="C106" i="22"/>
  <c r="B106" i="22"/>
  <c r="K105" i="22"/>
  <c r="J105" i="22"/>
  <c r="G105" i="22"/>
  <c r="D105" i="22"/>
  <c r="C105" i="22"/>
  <c r="B105" i="22"/>
  <c r="K104" i="22"/>
  <c r="J104" i="22"/>
  <c r="G104" i="22"/>
  <c r="D104" i="22"/>
  <c r="C104" i="22"/>
  <c r="B104" i="22"/>
  <c r="J103" i="22"/>
  <c r="K103" i="22" s="1"/>
  <c r="G103" i="22"/>
  <c r="D103" i="22"/>
  <c r="C103" i="22"/>
  <c r="B103" i="22"/>
  <c r="J102" i="22"/>
  <c r="K102" i="22" s="1"/>
  <c r="G102" i="22"/>
  <c r="D102" i="22"/>
  <c r="C102" i="22"/>
  <c r="B102" i="22"/>
  <c r="K101" i="22"/>
  <c r="J101" i="22"/>
  <c r="G101" i="22"/>
  <c r="D101" i="22"/>
  <c r="C101" i="22"/>
  <c r="B101" i="22"/>
  <c r="K100" i="22"/>
  <c r="J100" i="22"/>
  <c r="G100" i="22"/>
  <c r="D100" i="22"/>
  <c r="C100" i="22"/>
  <c r="B100" i="22"/>
  <c r="J99" i="22"/>
  <c r="K99" i="22" s="1"/>
  <c r="G99" i="22"/>
  <c r="D99" i="22"/>
  <c r="C99" i="22"/>
  <c r="B99" i="22"/>
  <c r="J98" i="22"/>
  <c r="K98" i="22" s="1"/>
  <c r="G98" i="22"/>
  <c r="D98" i="22"/>
  <c r="C98" i="22"/>
  <c r="B98" i="22"/>
  <c r="K97" i="22"/>
  <c r="J97" i="22"/>
  <c r="G97" i="22"/>
  <c r="D97" i="22"/>
  <c r="C97" i="22"/>
  <c r="B97" i="22"/>
  <c r="K96" i="22"/>
  <c r="J96" i="22"/>
  <c r="G96" i="22"/>
  <c r="D96" i="22"/>
  <c r="C96" i="22"/>
  <c r="B96" i="22"/>
  <c r="J95" i="22"/>
  <c r="K95" i="22" s="1"/>
  <c r="G95" i="22"/>
  <c r="D95" i="22"/>
  <c r="C95" i="22"/>
  <c r="B95" i="22"/>
  <c r="J94" i="22"/>
  <c r="K94" i="22" s="1"/>
  <c r="G94" i="22"/>
  <c r="D94" i="22"/>
  <c r="C94" i="22"/>
  <c r="B94" i="22"/>
  <c r="K93" i="22"/>
  <c r="J93" i="22"/>
  <c r="G93" i="22"/>
  <c r="D93" i="22"/>
  <c r="C93" i="22"/>
  <c r="B93" i="22"/>
  <c r="K92" i="22"/>
  <c r="J92" i="22"/>
  <c r="G92" i="22"/>
  <c r="D92" i="22"/>
  <c r="C92" i="22"/>
  <c r="B92" i="22"/>
  <c r="J91" i="22"/>
  <c r="K91" i="22" s="1"/>
  <c r="G91" i="22"/>
  <c r="D91" i="22"/>
  <c r="C91" i="22"/>
  <c r="B91" i="22"/>
  <c r="J90" i="22"/>
  <c r="K90" i="22" s="1"/>
  <c r="G90" i="22"/>
  <c r="D90" i="22"/>
  <c r="C90" i="22"/>
  <c r="B90" i="22"/>
  <c r="J89" i="22"/>
  <c r="K89" i="22" s="1"/>
  <c r="G89" i="22"/>
  <c r="D89" i="22"/>
  <c r="C89" i="22"/>
  <c r="B89" i="22"/>
  <c r="K88" i="22"/>
  <c r="J88" i="22"/>
  <c r="G88" i="22"/>
  <c r="D88" i="22"/>
  <c r="C88" i="22"/>
  <c r="B88" i="22"/>
  <c r="J87" i="22"/>
  <c r="K87" i="22" s="1"/>
  <c r="G87" i="22"/>
  <c r="D87" i="22"/>
  <c r="C87" i="22"/>
  <c r="B87" i="22"/>
  <c r="J86" i="22"/>
  <c r="K86" i="22" s="1"/>
  <c r="G86" i="22"/>
  <c r="D86" i="22"/>
  <c r="C86" i="22"/>
  <c r="B86" i="22"/>
  <c r="K85" i="22"/>
  <c r="J85" i="22"/>
  <c r="G85" i="22"/>
  <c r="D85" i="22"/>
  <c r="C85" i="22"/>
  <c r="B85" i="22"/>
  <c r="K84" i="22"/>
  <c r="J84" i="22"/>
  <c r="G84" i="22"/>
  <c r="D84" i="22"/>
  <c r="C84" i="22"/>
  <c r="B84" i="22"/>
  <c r="J83" i="22"/>
  <c r="K83" i="22" s="1"/>
  <c r="G83" i="22"/>
  <c r="D83" i="22"/>
  <c r="C83" i="22"/>
  <c r="B83" i="22"/>
  <c r="J82" i="22"/>
  <c r="K82" i="22" s="1"/>
  <c r="G82" i="22"/>
  <c r="D82" i="22"/>
  <c r="C82" i="22"/>
  <c r="B82" i="22"/>
  <c r="K81" i="22"/>
  <c r="J81" i="22"/>
  <c r="G81" i="22"/>
  <c r="D81" i="22"/>
  <c r="C81" i="22"/>
  <c r="B81" i="22"/>
  <c r="K80" i="22"/>
  <c r="J80" i="22"/>
  <c r="G80" i="22"/>
  <c r="D80" i="22"/>
  <c r="C80" i="22"/>
  <c r="B80" i="22"/>
  <c r="J79" i="22"/>
  <c r="K79" i="22" s="1"/>
  <c r="G79" i="22"/>
  <c r="D79" i="22"/>
  <c r="C79" i="22"/>
  <c r="B79" i="22"/>
  <c r="J78" i="22"/>
  <c r="K78" i="22" s="1"/>
  <c r="G78" i="22"/>
  <c r="D78" i="22"/>
  <c r="C78" i="22"/>
  <c r="B78" i="22"/>
  <c r="K77" i="22"/>
  <c r="J77" i="22"/>
  <c r="G77" i="22"/>
  <c r="D77" i="22"/>
  <c r="C77" i="22"/>
  <c r="B77" i="22"/>
  <c r="K76" i="22"/>
  <c r="J76" i="22"/>
  <c r="G76" i="22"/>
  <c r="D76" i="22"/>
  <c r="C76" i="22"/>
  <c r="B76" i="22"/>
  <c r="J75" i="22"/>
  <c r="K75" i="22" s="1"/>
  <c r="G75" i="22"/>
  <c r="D75" i="22"/>
  <c r="C75" i="22"/>
  <c r="B75" i="22"/>
  <c r="J74" i="22"/>
  <c r="K74" i="22" s="1"/>
  <c r="G74" i="22"/>
  <c r="D74" i="22"/>
  <c r="C74" i="22"/>
  <c r="B74" i="22"/>
  <c r="J73" i="22"/>
  <c r="K73" i="22" s="1"/>
  <c r="G73" i="22"/>
  <c r="D73" i="22"/>
  <c r="C73" i="22"/>
  <c r="B73" i="22"/>
  <c r="K72" i="22"/>
  <c r="J72" i="22"/>
  <c r="G72" i="22"/>
  <c r="D72" i="22"/>
  <c r="C72" i="22"/>
  <c r="B72" i="22"/>
  <c r="J71" i="22"/>
  <c r="K71" i="22" s="1"/>
  <c r="G71" i="22"/>
  <c r="D71" i="22"/>
  <c r="C71" i="22"/>
  <c r="B71" i="22"/>
  <c r="J70" i="22"/>
  <c r="K70" i="22" s="1"/>
  <c r="G70" i="22"/>
  <c r="D70" i="22"/>
  <c r="C70" i="22"/>
  <c r="B70" i="22"/>
  <c r="K69" i="22"/>
  <c r="J69" i="22"/>
  <c r="G69" i="22"/>
  <c r="D69" i="22"/>
  <c r="C69" i="22"/>
  <c r="B69" i="22"/>
  <c r="K68" i="22"/>
  <c r="J68" i="22"/>
  <c r="G68" i="22"/>
  <c r="D68" i="22"/>
  <c r="C68" i="22"/>
  <c r="B68" i="22"/>
  <c r="J67" i="22"/>
  <c r="K67" i="22" s="1"/>
  <c r="G67" i="22"/>
  <c r="D67" i="22"/>
  <c r="C67" i="22"/>
  <c r="B67" i="22"/>
  <c r="J66" i="22"/>
  <c r="K66" i="22" s="1"/>
  <c r="G66" i="22"/>
  <c r="D66" i="22"/>
  <c r="C66" i="22"/>
  <c r="B66" i="22"/>
  <c r="K65" i="22"/>
  <c r="J65" i="22"/>
  <c r="G65" i="22"/>
  <c r="D65" i="22"/>
  <c r="C65" i="22"/>
  <c r="B65" i="22"/>
  <c r="K64" i="22"/>
  <c r="J64" i="22"/>
  <c r="G64" i="22"/>
  <c r="D64" i="22"/>
  <c r="C64" i="22"/>
  <c r="B64" i="22"/>
  <c r="J63" i="22"/>
  <c r="K63" i="22" s="1"/>
  <c r="G63" i="22"/>
  <c r="D63" i="22"/>
  <c r="C63" i="22"/>
  <c r="B63" i="22"/>
  <c r="J62" i="22"/>
  <c r="K62" i="22" s="1"/>
  <c r="G62" i="22"/>
  <c r="D62" i="22"/>
  <c r="C62" i="22"/>
  <c r="B62" i="22"/>
  <c r="K61" i="22"/>
  <c r="J61" i="22"/>
  <c r="G61" i="22"/>
  <c r="D61" i="22"/>
  <c r="C61" i="22"/>
  <c r="B61" i="22"/>
  <c r="K60" i="22"/>
  <c r="J60" i="22"/>
  <c r="G60" i="22"/>
  <c r="D60" i="22"/>
  <c r="C60" i="22"/>
  <c r="B60" i="22"/>
  <c r="J59" i="22"/>
  <c r="K59" i="22" s="1"/>
  <c r="G59" i="22"/>
  <c r="D59" i="22"/>
  <c r="C59" i="22"/>
  <c r="B59" i="22"/>
  <c r="J58" i="22"/>
  <c r="K58" i="22" s="1"/>
  <c r="G58" i="22"/>
  <c r="D58" i="22"/>
  <c r="C58" i="22"/>
  <c r="B58" i="22"/>
  <c r="J57" i="22"/>
  <c r="K57" i="22" s="1"/>
  <c r="G57" i="22"/>
  <c r="D57" i="22"/>
  <c r="C57" i="22"/>
  <c r="B57" i="22"/>
  <c r="K56" i="22"/>
  <c r="J56" i="22"/>
  <c r="G56" i="22"/>
  <c r="D56" i="22"/>
  <c r="C56" i="22"/>
  <c r="B56" i="22"/>
  <c r="J55" i="22"/>
  <c r="K55" i="22" s="1"/>
  <c r="G55" i="22"/>
  <c r="D55" i="22"/>
  <c r="C55" i="22"/>
  <c r="B55" i="22"/>
  <c r="J54" i="22"/>
  <c r="K54" i="22" s="1"/>
  <c r="G54" i="22"/>
  <c r="D54" i="22"/>
  <c r="C54" i="22"/>
  <c r="B54" i="22"/>
  <c r="K53" i="22"/>
  <c r="J53" i="22"/>
  <c r="G53" i="22"/>
  <c r="D53" i="22"/>
  <c r="C53" i="22"/>
  <c r="B53" i="22"/>
  <c r="K52" i="22"/>
  <c r="J52" i="22"/>
  <c r="G52" i="22"/>
  <c r="D52" i="22"/>
  <c r="C52" i="22"/>
  <c r="B52" i="22"/>
  <c r="J51" i="22"/>
  <c r="K51" i="22" s="1"/>
  <c r="G51" i="22"/>
  <c r="D51" i="22"/>
  <c r="C51" i="22"/>
  <c r="B51" i="22"/>
  <c r="J50" i="22"/>
  <c r="K50" i="22" s="1"/>
  <c r="G50" i="22"/>
  <c r="D50" i="22"/>
  <c r="C50" i="22"/>
  <c r="B50" i="22"/>
  <c r="K49" i="22"/>
  <c r="J49" i="22"/>
  <c r="G49" i="22"/>
  <c r="D49" i="22"/>
  <c r="C49" i="22"/>
  <c r="B49" i="22"/>
  <c r="K48" i="22"/>
  <c r="J48" i="22"/>
  <c r="G48" i="22"/>
  <c r="D48" i="22"/>
  <c r="C48" i="22"/>
  <c r="B48" i="22"/>
  <c r="J47" i="22"/>
  <c r="K47" i="22" s="1"/>
  <c r="G47" i="22"/>
  <c r="D47" i="22"/>
  <c r="C47" i="22"/>
  <c r="B47" i="22"/>
  <c r="J46" i="22"/>
  <c r="K46" i="22" s="1"/>
  <c r="G46" i="22"/>
  <c r="D46" i="22"/>
  <c r="C46" i="22"/>
  <c r="B46" i="22"/>
  <c r="K45" i="22"/>
  <c r="J45" i="22"/>
  <c r="G45" i="22"/>
  <c r="D45" i="22"/>
  <c r="C45" i="22"/>
  <c r="B45" i="22"/>
  <c r="K44" i="22"/>
  <c r="J44" i="22"/>
  <c r="G44" i="22"/>
  <c r="D44" i="22"/>
  <c r="C44" i="22"/>
  <c r="B44" i="22"/>
  <c r="J43" i="22"/>
  <c r="K43" i="22" s="1"/>
  <c r="G43" i="22"/>
  <c r="D43" i="22"/>
  <c r="C43" i="22"/>
  <c r="B43" i="22"/>
  <c r="J42" i="22"/>
  <c r="K42" i="22" s="1"/>
  <c r="G42" i="22"/>
  <c r="D42" i="22"/>
  <c r="C42" i="22"/>
  <c r="B42" i="22"/>
  <c r="J41" i="22"/>
  <c r="K41" i="22" s="1"/>
  <c r="G41" i="22"/>
  <c r="D41" i="22"/>
  <c r="C41" i="22"/>
  <c r="B41" i="22"/>
  <c r="K40" i="22"/>
  <c r="J40" i="22"/>
  <c r="G40" i="22"/>
  <c r="D40" i="22"/>
  <c r="C40" i="22"/>
  <c r="B40" i="22"/>
  <c r="J39" i="22"/>
  <c r="K39" i="22" s="1"/>
  <c r="G39" i="22"/>
  <c r="D39" i="22"/>
  <c r="C39" i="22"/>
  <c r="B39" i="22"/>
  <c r="J38" i="22"/>
  <c r="K38" i="22" s="1"/>
  <c r="G38" i="22"/>
  <c r="D38" i="22"/>
  <c r="C38" i="22"/>
  <c r="B38" i="22"/>
  <c r="K37" i="22"/>
  <c r="J37" i="22"/>
  <c r="G37" i="22"/>
  <c r="D37" i="22"/>
  <c r="C37" i="22"/>
  <c r="B37" i="22"/>
  <c r="K36" i="22"/>
  <c r="J36" i="22"/>
  <c r="G36" i="22"/>
  <c r="D36" i="22"/>
  <c r="C36" i="22"/>
  <c r="B36" i="22"/>
  <c r="J35" i="22"/>
  <c r="K35" i="22" s="1"/>
  <c r="G35" i="22"/>
  <c r="D35" i="22"/>
  <c r="C35" i="22"/>
  <c r="B35" i="22"/>
  <c r="J34" i="22"/>
  <c r="K34" i="22" s="1"/>
  <c r="G34" i="22"/>
  <c r="D34" i="22"/>
  <c r="C34" i="22"/>
  <c r="B34" i="22"/>
  <c r="K33" i="22"/>
  <c r="J33" i="22"/>
  <c r="G33" i="22"/>
  <c r="D33" i="22"/>
  <c r="C33" i="22"/>
  <c r="B33" i="22"/>
  <c r="K32" i="22"/>
  <c r="J32" i="22"/>
  <c r="G32" i="22"/>
  <c r="D32" i="22"/>
  <c r="C32" i="22"/>
  <c r="B32" i="22"/>
  <c r="J31" i="22"/>
  <c r="K31" i="22" s="1"/>
  <c r="G31" i="22"/>
  <c r="D31" i="22"/>
  <c r="C31" i="22"/>
  <c r="B31" i="22"/>
  <c r="J30" i="22"/>
  <c r="K30" i="22" s="1"/>
  <c r="G30" i="22"/>
  <c r="D30" i="22"/>
  <c r="C30" i="22"/>
  <c r="B30" i="22"/>
  <c r="K29" i="22"/>
  <c r="J29" i="22"/>
  <c r="G29" i="22"/>
  <c r="D29" i="22"/>
  <c r="C29" i="22"/>
  <c r="B29" i="22"/>
  <c r="K28" i="22"/>
  <c r="J28" i="22"/>
  <c r="G28" i="22"/>
  <c r="D28" i="22"/>
  <c r="C28" i="22"/>
  <c r="B28" i="22"/>
  <c r="J27" i="22"/>
  <c r="K27" i="22" s="1"/>
  <c r="G27" i="22"/>
  <c r="D27" i="22"/>
  <c r="C27" i="22"/>
  <c r="B27" i="22"/>
  <c r="J26" i="22"/>
  <c r="K26" i="22" s="1"/>
  <c r="G26" i="22"/>
  <c r="D26" i="22"/>
  <c r="C26" i="22"/>
  <c r="B26" i="22"/>
  <c r="J25" i="22"/>
  <c r="K25" i="22" s="1"/>
  <c r="G25" i="22"/>
  <c r="D25" i="22"/>
  <c r="C25" i="22"/>
  <c r="B25" i="22"/>
  <c r="K24" i="22"/>
  <c r="J24" i="22"/>
  <c r="G24" i="22"/>
  <c r="D24" i="22"/>
  <c r="C24" i="22"/>
  <c r="B24" i="22"/>
  <c r="J23" i="22"/>
  <c r="K23" i="22" s="1"/>
  <c r="G23" i="22"/>
  <c r="D23" i="22"/>
  <c r="C23" i="22"/>
  <c r="B23" i="22"/>
  <c r="K22" i="22"/>
  <c r="J22" i="22"/>
  <c r="G22" i="22"/>
  <c r="D22" i="22"/>
  <c r="C22" i="22"/>
  <c r="B22" i="22"/>
  <c r="J21" i="22"/>
  <c r="K21" i="22" s="1"/>
  <c r="G21" i="22"/>
  <c r="D21" i="22"/>
  <c r="C21" i="22"/>
  <c r="B21" i="22"/>
  <c r="K20" i="22"/>
  <c r="J20" i="22"/>
  <c r="G20" i="22"/>
  <c r="D20" i="22"/>
  <c r="C20" i="22"/>
  <c r="B20" i="22"/>
  <c r="J19" i="22"/>
  <c r="K19" i="22" s="1"/>
  <c r="G19" i="22"/>
  <c r="D19" i="22"/>
  <c r="C19" i="22"/>
  <c r="B19" i="22"/>
  <c r="J18" i="22"/>
  <c r="K18" i="22" s="1"/>
  <c r="G18" i="22"/>
  <c r="D18" i="22"/>
  <c r="C18" i="22"/>
  <c r="B18" i="22"/>
  <c r="K17" i="22"/>
  <c r="J17" i="22"/>
  <c r="G17" i="22"/>
  <c r="D17" i="22"/>
  <c r="C17" i="22"/>
  <c r="B17" i="22"/>
  <c r="J16" i="22"/>
  <c r="K16" i="22" s="1"/>
  <c r="G16" i="22"/>
  <c r="D16" i="22"/>
  <c r="C16" i="22"/>
  <c r="B16" i="22"/>
  <c r="J15" i="22"/>
  <c r="K15" i="22" s="1"/>
  <c r="G15" i="22"/>
  <c r="D15" i="22"/>
  <c r="C15" i="22"/>
  <c r="B15" i="22"/>
  <c r="J14" i="22"/>
  <c r="K14" i="22" s="1"/>
  <c r="G14" i="22"/>
  <c r="D14" i="22"/>
  <c r="C14" i="22"/>
  <c r="B14" i="22"/>
  <c r="K13" i="22"/>
  <c r="J13" i="22"/>
  <c r="G13" i="22"/>
  <c r="D13" i="22"/>
  <c r="C13" i="22"/>
  <c r="B13" i="22"/>
  <c r="K12" i="22"/>
  <c r="J12" i="22"/>
  <c r="G12" i="22"/>
  <c r="D12" i="22"/>
  <c r="C12" i="22"/>
  <c r="B12" i="22"/>
  <c r="J11" i="22"/>
  <c r="K11" i="22" s="1"/>
  <c r="G11" i="22"/>
  <c r="D11" i="22"/>
  <c r="C11" i="22"/>
  <c r="B11" i="22"/>
  <c r="K10" i="22"/>
  <c r="J10" i="22"/>
  <c r="G10" i="22"/>
  <c r="D10" i="22"/>
  <c r="C10" i="22"/>
  <c r="B10" i="22"/>
  <c r="J9" i="22"/>
  <c r="K9" i="22" s="1"/>
  <c r="G9" i="22"/>
  <c r="D9" i="22"/>
  <c r="C9" i="22"/>
  <c r="B9" i="22"/>
  <c r="K4" i="22"/>
  <c r="G4" i="22"/>
  <c r="D4" i="22"/>
  <c r="A4" i="22"/>
  <c r="J208" i="21"/>
  <c r="I208" i="21"/>
  <c r="F208" i="21"/>
  <c r="D208" i="21"/>
  <c r="C208" i="21"/>
  <c r="B208" i="21"/>
  <c r="J207" i="21"/>
  <c r="I207" i="21"/>
  <c r="F207" i="21"/>
  <c r="D207" i="21"/>
  <c r="C207" i="21"/>
  <c r="B207" i="21"/>
  <c r="I206" i="21"/>
  <c r="J206" i="21" s="1"/>
  <c r="F206" i="21"/>
  <c r="D206" i="21"/>
  <c r="C206" i="21"/>
  <c r="B206" i="21"/>
  <c r="I205" i="21"/>
  <c r="J205" i="21" s="1"/>
  <c r="F205" i="21"/>
  <c r="D205" i="21"/>
  <c r="C205" i="21"/>
  <c r="B205" i="21"/>
  <c r="J204" i="21"/>
  <c r="I204" i="21"/>
  <c r="F204" i="21"/>
  <c r="D204" i="21"/>
  <c r="C204" i="21"/>
  <c r="B204" i="21"/>
  <c r="J203" i="21"/>
  <c r="I203" i="21"/>
  <c r="F203" i="21"/>
  <c r="D203" i="21"/>
  <c r="C203" i="21"/>
  <c r="B203" i="21"/>
  <c r="J202" i="21"/>
  <c r="I202" i="21"/>
  <c r="F202" i="21"/>
  <c r="D202" i="21"/>
  <c r="C202" i="21"/>
  <c r="B202" i="21"/>
  <c r="I201" i="21"/>
  <c r="J201" i="21" s="1"/>
  <c r="F201" i="21"/>
  <c r="D201" i="21"/>
  <c r="C201" i="21"/>
  <c r="B201" i="21"/>
  <c r="I200" i="21"/>
  <c r="J200" i="21" s="1"/>
  <c r="F200" i="21"/>
  <c r="D200" i="21"/>
  <c r="C200" i="21"/>
  <c r="B200" i="21"/>
  <c r="I199" i="21"/>
  <c r="J199" i="21" s="1"/>
  <c r="F199" i="21"/>
  <c r="D199" i="21"/>
  <c r="C199" i="21"/>
  <c r="B199" i="21"/>
  <c r="I198" i="21"/>
  <c r="J198" i="21" s="1"/>
  <c r="F198" i="21"/>
  <c r="D198" i="21"/>
  <c r="C198" i="21"/>
  <c r="B198" i="21"/>
  <c r="I197" i="21"/>
  <c r="J197" i="21" s="1"/>
  <c r="F197" i="21"/>
  <c r="D197" i="21"/>
  <c r="C197" i="21"/>
  <c r="B197" i="21"/>
  <c r="J196" i="21"/>
  <c r="I196" i="21"/>
  <c r="F196" i="21"/>
  <c r="D196" i="21"/>
  <c r="C196" i="21"/>
  <c r="B196" i="21"/>
  <c r="J195" i="21"/>
  <c r="I195" i="21"/>
  <c r="F195" i="21"/>
  <c r="D195" i="21"/>
  <c r="C195" i="21"/>
  <c r="B195" i="21"/>
  <c r="I194" i="21"/>
  <c r="J194" i="21" s="1"/>
  <c r="F194" i="21"/>
  <c r="D194" i="21"/>
  <c r="C194" i="21"/>
  <c r="B194" i="21"/>
  <c r="I193" i="21"/>
  <c r="J193" i="21" s="1"/>
  <c r="F193" i="21"/>
  <c r="D193" i="21"/>
  <c r="C193" i="21"/>
  <c r="B193" i="21"/>
  <c r="I192" i="21"/>
  <c r="J192" i="21" s="1"/>
  <c r="F192" i="21"/>
  <c r="D192" i="21"/>
  <c r="C192" i="21"/>
  <c r="B192" i="21"/>
  <c r="I191" i="21"/>
  <c r="J191" i="21" s="1"/>
  <c r="F191" i="21"/>
  <c r="D191" i="21"/>
  <c r="C191" i="21"/>
  <c r="B191" i="21"/>
  <c r="J190" i="21"/>
  <c r="I190" i="21"/>
  <c r="F190" i="21"/>
  <c r="D190" i="21"/>
  <c r="C190" i="21"/>
  <c r="B190" i="21"/>
  <c r="I189" i="21"/>
  <c r="J189" i="21" s="1"/>
  <c r="F189" i="21"/>
  <c r="D189" i="21"/>
  <c r="C189" i="21"/>
  <c r="B189" i="21"/>
  <c r="J188" i="21"/>
  <c r="I188" i="21"/>
  <c r="F188" i="21"/>
  <c r="D188" i="21"/>
  <c r="C188" i="21"/>
  <c r="B188" i="21"/>
  <c r="I187" i="21"/>
  <c r="J187" i="21" s="1"/>
  <c r="F187" i="21"/>
  <c r="D187" i="21"/>
  <c r="C187" i="21"/>
  <c r="B187" i="21"/>
  <c r="J186" i="21"/>
  <c r="I186" i="21"/>
  <c r="F186" i="21"/>
  <c r="D186" i="21"/>
  <c r="C186" i="21"/>
  <c r="B186" i="21"/>
  <c r="J185" i="21"/>
  <c r="I185" i="21"/>
  <c r="F185" i="21"/>
  <c r="D185" i="21"/>
  <c r="C185" i="21"/>
  <c r="B185" i="21"/>
  <c r="J184" i="21"/>
  <c r="I184" i="21"/>
  <c r="F184" i="21"/>
  <c r="D184" i="21"/>
  <c r="C184" i="21"/>
  <c r="B184" i="21"/>
  <c r="I183" i="21"/>
  <c r="J183" i="21" s="1"/>
  <c r="F183" i="21"/>
  <c r="D183" i="21"/>
  <c r="C183" i="21"/>
  <c r="B183" i="21"/>
  <c r="J182" i="21"/>
  <c r="I182" i="21"/>
  <c r="F182" i="21"/>
  <c r="D182" i="21"/>
  <c r="C182" i="21"/>
  <c r="B182" i="21"/>
  <c r="I181" i="21"/>
  <c r="J181" i="21" s="1"/>
  <c r="F181" i="21"/>
  <c r="D181" i="21"/>
  <c r="C181" i="21"/>
  <c r="B181" i="21"/>
  <c r="J180" i="21"/>
  <c r="I180" i="21"/>
  <c r="F180" i="21"/>
  <c r="D180" i="21"/>
  <c r="C180" i="21"/>
  <c r="B180" i="21"/>
  <c r="I179" i="21"/>
  <c r="J179" i="21" s="1"/>
  <c r="F179" i="21"/>
  <c r="D179" i="21"/>
  <c r="C179" i="21"/>
  <c r="B179" i="21"/>
  <c r="J178" i="21"/>
  <c r="I178" i="21"/>
  <c r="F178" i="21"/>
  <c r="D178" i="21"/>
  <c r="C178" i="21"/>
  <c r="B178" i="21"/>
  <c r="I177" i="21"/>
  <c r="J177" i="21" s="1"/>
  <c r="F177" i="21"/>
  <c r="D177" i="21"/>
  <c r="C177" i="21"/>
  <c r="B177" i="21"/>
  <c r="J176" i="21"/>
  <c r="I176" i="21"/>
  <c r="F176" i="21"/>
  <c r="D176" i="21"/>
  <c r="C176" i="21"/>
  <c r="B176" i="21"/>
  <c r="I175" i="21"/>
  <c r="J175" i="21" s="1"/>
  <c r="F175" i="21"/>
  <c r="D175" i="21"/>
  <c r="C175" i="21"/>
  <c r="B175" i="21"/>
  <c r="J174" i="21"/>
  <c r="I174" i="21"/>
  <c r="F174" i="21"/>
  <c r="D174" i="21"/>
  <c r="C174" i="21"/>
  <c r="B174" i="21"/>
  <c r="J173" i="21"/>
  <c r="I173" i="21"/>
  <c r="F173" i="21"/>
  <c r="D173" i="21"/>
  <c r="C173" i="21"/>
  <c r="B173" i="21"/>
  <c r="J172" i="21"/>
  <c r="I172" i="21"/>
  <c r="F172" i="21"/>
  <c r="D172" i="21"/>
  <c r="C172" i="21"/>
  <c r="B172" i="21"/>
  <c r="I171" i="21"/>
  <c r="J171" i="21" s="1"/>
  <c r="F171" i="21"/>
  <c r="D171" i="21"/>
  <c r="C171" i="21"/>
  <c r="B171" i="21"/>
  <c r="J170" i="21"/>
  <c r="I170" i="21"/>
  <c r="F170" i="21"/>
  <c r="D170" i="21"/>
  <c r="C170" i="21"/>
  <c r="B170" i="21"/>
  <c r="J169" i="21"/>
  <c r="I169" i="21"/>
  <c r="F169" i="21"/>
  <c r="D169" i="21"/>
  <c r="C169" i="21"/>
  <c r="B169" i="21"/>
  <c r="J168" i="21"/>
  <c r="I168" i="21"/>
  <c r="F168" i="21"/>
  <c r="D168" i="21"/>
  <c r="C168" i="21"/>
  <c r="B168" i="21"/>
  <c r="I167" i="21"/>
  <c r="J167" i="21" s="1"/>
  <c r="F167" i="21"/>
  <c r="D167" i="21"/>
  <c r="C167" i="21"/>
  <c r="B167" i="21"/>
  <c r="J166" i="21"/>
  <c r="I166" i="21"/>
  <c r="F166" i="21"/>
  <c r="D166" i="21"/>
  <c r="C166" i="21"/>
  <c r="B166" i="21"/>
  <c r="I165" i="21"/>
  <c r="J165" i="21" s="1"/>
  <c r="F165" i="21"/>
  <c r="D165" i="21"/>
  <c r="C165" i="21"/>
  <c r="B165" i="21"/>
  <c r="J164" i="21"/>
  <c r="I164" i="21"/>
  <c r="F164" i="21"/>
  <c r="D164" i="21"/>
  <c r="C164" i="21"/>
  <c r="B164" i="21"/>
  <c r="I163" i="21"/>
  <c r="J163" i="21" s="1"/>
  <c r="F163" i="21"/>
  <c r="D163" i="21"/>
  <c r="C163" i="21"/>
  <c r="B163" i="21"/>
  <c r="J162" i="21"/>
  <c r="I162" i="21"/>
  <c r="F162" i="21"/>
  <c r="D162" i="21"/>
  <c r="C162" i="21"/>
  <c r="B162" i="21"/>
  <c r="J161" i="21"/>
  <c r="I161" i="21"/>
  <c r="F161" i="21"/>
  <c r="D161" i="21"/>
  <c r="C161" i="21"/>
  <c r="B161" i="21"/>
  <c r="J160" i="21"/>
  <c r="I160" i="21"/>
  <c r="F160" i="21"/>
  <c r="D160" i="21"/>
  <c r="C160" i="21"/>
  <c r="B160" i="21"/>
  <c r="I159" i="21"/>
  <c r="J159" i="21" s="1"/>
  <c r="F159" i="21"/>
  <c r="D159" i="21"/>
  <c r="C159" i="21"/>
  <c r="B159" i="21"/>
  <c r="J158" i="21"/>
  <c r="I158" i="21"/>
  <c r="F158" i="21"/>
  <c r="D158" i="21"/>
  <c r="C158" i="21"/>
  <c r="B158" i="21"/>
  <c r="J157" i="21"/>
  <c r="I157" i="21"/>
  <c r="F157" i="21"/>
  <c r="D157" i="21"/>
  <c r="C157" i="21"/>
  <c r="B157" i="21"/>
  <c r="J156" i="21"/>
  <c r="I156" i="21"/>
  <c r="F156" i="21"/>
  <c r="D156" i="21"/>
  <c r="C156" i="21"/>
  <c r="B156" i="21"/>
  <c r="I155" i="21"/>
  <c r="J155" i="21" s="1"/>
  <c r="F155" i="21"/>
  <c r="D155" i="21"/>
  <c r="C155" i="21"/>
  <c r="B155" i="21"/>
  <c r="J154" i="21"/>
  <c r="I154" i="21"/>
  <c r="F154" i="21"/>
  <c r="D154" i="21"/>
  <c r="C154" i="21"/>
  <c r="B154" i="21"/>
  <c r="J153" i="21"/>
  <c r="I153" i="21"/>
  <c r="F153" i="21"/>
  <c r="D153" i="21"/>
  <c r="C153" i="21"/>
  <c r="B153" i="21"/>
  <c r="J152" i="21"/>
  <c r="I152" i="21"/>
  <c r="F152" i="21"/>
  <c r="D152" i="21"/>
  <c r="C152" i="21"/>
  <c r="B152" i="21"/>
  <c r="I151" i="21"/>
  <c r="J151" i="21" s="1"/>
  <c r="F151" i="21"/>
  <c r="D151" i="21"/>
  <c r="C151" i="21"/>
  <c r="B151" i="21"/>
  <c r="J150" i="21"/>
  <c r="I150" i="21"/>
  <c r="F150" i="21"/>
  <c r="D150" i="21"/>
  <c r="C150" i="21"/>
  <c r="B150" i="21"/>
  <c r="I149" i="21"/>
  <c r="J149" i="21" s="1"/>
  <c r="F149" i="21"/>
  <c r="D149" i="21"/>
  <c r="C149" i="21"/>
  <c r="B149" i="21"/>
  <c r="J148" i="21"/>
  <c r="I148" i="21"/>
  <c r="F148" i="21"/>
  <c r="D148" i="21"/>
  <c r="C148" i="21"/>
  <c r="B148" i="21"/>
  <c r="J147" i="21"/>
  <c r="I147" i="21"/>
  <c r="F147" i="21"/>
  <c r="D147" i="21"/>
  <c r="C147" i="21"/>
  <c r="B147" i="21"/>
  <c r="J146" i="21"/>
  <c r="I146" i="21"/>
  <c r="F146" i="21"/>
  <c r="D146" i="21"/>
  <c r="C146" i="21"/>
  <c r="B146" i="21"/>
  <c r="I145" i="21"/>
  <c r="J145" i="21" s="1"/>
  <c r="F145" i="21"/>
  <c r="D145" i="21"/>
  <c r="C145" i="21"/>
  <c r="B145" i="21"/>
  <c r="J144" i="21"/>
  <c r="I144" i="21"/>
  <c r="F144" i="21"/>
  <c r="D144" i="21"/>
  <c r="C144" i="21"/>
  <c r="B144" i="21"/>
  <c r="I143" i="21"/>
  <c r="J143" i="21" s="1"/>
  <c r="F143" i="21"/>
  <c r="D143" i="21"/>
  <c r="C143" i="21"/>
  <c r="B143" i="21"/>
  <c r="J142" i="21"/>
  <c r="I142" i="21"/>
  <c r="F142" i="21"/>
  <c r="D142" i="21"/>
  <c r="C142" i="21"/>
  <c r="B142" i="21"/>
  <c r="I141" i="21"/>
  <c r="J141" i="21" s="1"/>
  <c r="F141" i="21"/>
  <c r="D141" i="21"/>
  <c r="C141" i="21"/>
  <c r="B141" i="21"/>
  <c r="J140" i="21"/>
  <c r="I140" i="21"/>
  <c r="F140" i="21"/>
  <c r="D140" i="21"/>
  <c r="C140" i="21"/>
  <c r="B140" i="21"/>
  <c r="I139" i="21"/>
  <c r="J139" i="21" s="1"/>
  <c r="F139" i="21"/>
  <c r="D139" i="21"/>
  <c r="C139" i="21"/>
  <c r="B139" i="21"/>
  <c r="J138" i="21"/>
  <c r="I138" i="21"/>
  <c r="F138" i="21"/>
  <c r="D138" i="21"/>
  <c r="C138" i="21"/>
  <c r="B138" i="21"/>
  <c r="J137" i="21"/>
  <c r="I137" i="21"/>
  <c r="F137" i="21"/>
  <c r="D137" i="21"/>
  <c r="C137" i="21"/>
  <c r="B137" i="21"/>
  <c r="J136" i="21"/>
  <c r="I136" i="21"/>
  <c r="F136" i="21"/>
  <c r="D136" i="21"/>
  <c r="C136" i="21"/>
  <c r="B136" i="21"/>
  <c r="I135" i="21"/>
  <c r="J135" i="21" s="1"/>
  <c r="F135" i="21"/>
  <c r="D135" i="21"/>
  <c r="C135" i="21"/>
  <c r="B135" i="21"/>
  <c r="J134" i="21"/>
  <c r="I134" i="21"/>
  <c r="F134" i="21"/>
  <c r="D134" i="21"/>
  <c r="C134" i="21"/>
  <c r="B134" i="21"/>
  <c r="J133" i="21"/>
  <c r="I133" i="21"/>
  <c r="F133" i="21"/>
  <c r="D133" i="21"/>
  <c r="C133" i="21"/>
  <c r="B133" i="21"/>
  <c r="J132" i="21"/>
  <c r="I132" i="21"/>
  <c r="F132" i="21"/>
  <c r="D132" i="21"/>
  <c r="C132" i="21"/>
  <c r="B132" i="21"/>
  <c r="I131" i="21"/>
  <c r="J131" i="21" s="1"/>
  <c r="F131" i="21"/>
  <c r="D131" i="21"/>
  <c r="C131" i="21"/>
  <c r="B131" i="21"/>
  <c r="J130" i="21"/>
  <c r="I130" i="21"/>
  <c r="F130" i="21"/>
  <c r="D130" i="21"/>
  <c r="C130" i="21"/>
  <c r="B130" i="21"/>
  <c r="I129" i="21"/>
  <c r="J129" i="21" s="1"/>
  <c r="F129" i="21"/>
  <c r="D129" i="21"/>
  <c r="C129" i="21"/>
  <c r="B129" i="21"/>
  <c r="J128" i="21"/>
  <c r="I128" i="21"/>
  <c r="F128" i="21"/>
  <c r="D128" i="21"/>
  <c r="C128" i="21"/>
  <c r="B128" i="21"/>
  <c r="I127" i="21"/>
  <c r="J127" i="21" s="1"/>
  <c r="F127" i="21"/>
  <c r="D127" i="21"/>
  <c r="C127" i="21"/>
  <c r="B127" i="21"/>
  <c r="J126" i="21"/>
  <c r="I126" i="21"/>
  <c r="F126" i="21"/>
  <c r="D126" i="21"/>
  <c r="C126" i="21"/>
  <c r="B126" i="21"/>
  <c r="J125" i="21"/>
  <c r="I125" i="21"/>
  <c r="F125" i="21"/>
  <c r="D125" i="21"/>
  <c r="C125" i="21"/>
  <c r="B125" i="21"/>
  <c r="J124" i="21"/>
  <c r="I124" i="21"/>
  <c r="F124" i="21"/>
  <c r="D124" i="21"/>
  <c r="C124" i="21"/>
  <c r="B124" i="21"/>
  <c r="I123" i="21"/>
  <c r="J123" i="21" s="1"/>
  <c r="F123" i="21"/>
  <c r="D123" i="21"/>
  <c r="C123" i="21"/>
  <c r="B123" i="21"/>
  <c r="J122" i="21"/>
  <c r="I122" i="21"/>
  <c r="F122" i="21"/>
  <c r="D122" i="21"/>
  <c r="C122" i="21"/>
  <c r="B122" i="21"/>
  <c r="J121" i="21"/>
  <c r="I121" i="21"/>
  <c r="F121" i="21"/>
  <c r="D121" i="21"/>
  <c r="C121" i="21"/>
  <c r="B121" i="21"/>
  <c r="J120" i="21"/>
  <c r="I120" i="21"/>
  <c r="F120" i="21"/>
  <c r="D120" i="21"/>
  <c r="C120" i="21"/>
  <c r="B120" i="21"/>
  <c r="I119" i="21"/>
  <c r="J119" i="21" s="1"/>
  <c r="F119" i="21"/>
  <c r="D119" i="21"/>
  <c r="C119" i="21"/>
  <c r="B119" i="21"/>
  <c r="J118" i="21"/>
  <c r="I118" i="21"/>
  <c r="F118" i="21"/>
  <c r="D118" i="21"/>
  <c r="C118" i="21"/>
  <c r="B118" i="21"/>
  <c r="J117" i="21"/>
  <c r="I117" i="21"/>
  <c r="F117" i="21"/>
  <c r="D117" i="21"/>
  <c r="C117" i="21"/>
  <c r="B117" i="21"/>
  <c r="J116" i="21"/>
  <c r="I116" i="21"/>
  <c r="F116" i="21"/>
  <c r="D116" i="21"/>
  <c r="C116" i="21"/>
  <c r="B116" i="21"/>
  <c r="I115" i="21"/>
  <c r="J115" i="21" s="1"/>
  <c r="F115" i="21"/>
  <c r="D115" i="21"/>
  <c r="C115" i="21"/>
  <c r="B115" i="21"/>
  <c r="J114" i="21"/>
  <c r="I114" i="21"/>
  <c r="F114" i="21"/>
  <c r="D114" i="21"/>
  <c r="C114" i="21"/>
  <c r="B114" i="21"/>
  <c r="I113" i="21"/>
  <c r="J113" i="21" s="1"/>
  <c r="F113" i="21"/>
  <c r="D113" i="21"/>
  <c r="C113" i="21"/>
  <c r="B113" i="21"/>
  <c r="J112" i="21"/>
  <c r="I112" i="21"/>
  <c r="F112" i="21"/>
  <c r="D112" i="21"/>
  <c r="C112" i="21"/>
  <c r="B112" i="21"/>
  <c r="I111" i="21"/>
  <c r="J111" i="21" s="1"/>
  <c r="F111" i="21"/>
  <c r="D111" i="21"/>
  <c r="C111" i="21"/>
  <c r="B111" i="21"/>
  <c r="J110" i="21"/>
  <c r="I110" i="21"/>
  <c r="F110" i="21"/>
  <c r="D110" i="21"/>
  <c r="C110" i="21"/>
  <c r="B110" i="21"/>
  <c r="I109" i="21"/>
  <c r="J109" i="21" s="1"/>
  <c r="F109" i="21"/>
  <c r="D109" i="21"/>
  <c r="C109" i="21"/>
  <c r="B109" i="21"/>
  <c r="J108" i="21"/>
  <c r="I108" i="21"/>
  <c r="F108" i="21"/>
  <c r="D108" i="21"/>
  <c r="C108" i="21"/>
  <c r="B108" i="21"/>
  <c r="I107" i="21"/>
  <c r="J107" i="21" s="1"/>
  <c r="F107" i="21"/>
  <c r="D107" i="21"/>
  <c r="C107" i="21"/>
  <c r="B107" i="21"/>
  <c r="J106" i="21"/>
  <c r="I106" i="21"/>
  <c r="F106" i="21"/>
  <c r="D106" i="21"/>
  <c r="C106" i="21"/>
  <c r="B106" i="21"/>
  <c r="J105" i="21"/>
  <c r="I105" i="21"/>
  <c r="F105" i="21"/>
  <c r="D105" i="21"/>
  <c r="C105" i="21"/>
  <c r="B105" i="21"/>
  <c r="J104" i="21"/>
  <c r="I104" i="21"/>
  <c r="F104" i="21"/>
  <c r="D104" i="21"/>
  <c r="C104" i="21"/>
  <c r="B104" i="21"/>
  <c r="I103" i="21"/>
  <c r="J103" i="21" s="1"/>
  <c r="F103" i="21"/>
  <c r="D103" i="21"/>
  <c r="C103" i="21"/>
  <c r="B103" i="21"/>
  <c r="J102" i="21"/>
  <c r="I102" i="21"/>
  <c r="F102" i="21"/>
  <c r="D102" i="21"/>
  <c r="C102" i="21"/>
  <c r="B102" i="21"/>
  <c r="J101" i="21"/>
  <c r="I101" i="21"/>
  <c r="F101" i="21"/>
  <c r="D101" i="21"/>
  <c r="C101" i="21"/>
  <c r="B101" i="21"/>
  <c r="J100" i="21"/>
  <c r="I100" i="21"/>
  <c r="F100" i="21"/>
  <c r="D100" i="21"/>
  <c r="C100" i="21"/>
  <c r="B100" i="21"/>
  <c r="I99" i="21"/>
  <c r="J99" i="21" s="1"/>
  <c r="F99" i="21"/>
  <c r="D99" i="21"/>
  <c r="C99" i="21"/>
  <c r="B99" i="21"/>
  <c r="J98" i="21"/>
  <c r="I98" i="21"/>
  <c r="F98" i="21"/>
  <c r="D98" i="21"/>
  <c r="C98" i="21"/>
  <c r="B98" i="21"/>
  <c r="I97" i="21"/>
  <c r="J97" i="21" s="1"/>
  <c r="F97" i="21"/>
  <c r="D97" i="21"/>
  <c r="C97" i="21"/>
  <c r="B97" i="21"/>
  <c r="J96" i="21"/>
  <c r="I96" i="21"/>
  <c r="F96" i="21"/>
  <c r="D96" i="21"/>
  <c r="C96" i="21"/>
  <c r="B96" i="21"/>
  <c r="I95" i="21"/>
  <c r="J95" i="21" s="1"/>
  <c r="F95" i="21"/>
  <c r="D95" i="21"/>
  <c r="C95" i="21"/>
  <c r="B95" i="21"/>
  <c r="J94" i="21"/>
  <c r="I94" i="21"/>
  <c r="F94" i="21"/>
  <c r="D94" i="21"/>
  <c r="C94" i="21"/>
  <c r="B94" i="21"/>
  <c r="J93" i="21"/>
  <c r="I93" i="21"/>
  <c r="F93" i="21"/>
  <c r="D93" i="21"/>
  <c r="C93" i="21"/>
  <c r="B93" i="21"/>
  <c r="J92" i="21"/>
  <c r="I92" i="21"/>
  <c r="F92" i="21"/>
  <c r="D92" i="21"/>
  <c r="C92" i="21"/>
  <c r="B92" i="21"/>
  <c r="I91" i="21"/>
  <c r="J91" i="21" s="1"/>
  <c r="F91" i="21"/>
  <c r="D91" i="21"/>
  <c r="C91" i="21"/>
  <c r="B91" i="21"/>
  <c r="J90" i="21"/>
  <c r="I90" i="21"/>
  <c r="F90" i="21"/>
  <c r="D90" i="21"/>
  <c r="C90" i="21"/>
  <c r="B90" i="21"/>
  <c r="J89" i="21"/>
  <c r="I89" i="21"/>
  <c r="F89" i="21"/>
  <c r="D89" i="21"/>
  <c r="C89" i="21"/>
  <c r="B89" i="21"/>
  <c r="J88" i="21"/>
  <c r="I88" i="21"/>
  <c r="F88" i="21"/>
  <c r="D88" i="21"/>
  <c r="C88" i="21"/>
  <c r="B88" i="21"/>
  <c r="I87" i="21"/>
  <c r="J87" i="21" s="1"/>
  <c r="F87" i="21"/>
  <c r="D87" i="21"/>
  <c r="C87" i="21"/>
  <c r="B87" i="21"/>
  <c r="J86" i="21"/>
  <c r="I86" i="21"/>
  <c r="F86" i="21"/>
  <c r="D86" i="21"/>
  <c r="C86" i="21"/>
  <c r="B86" i="21"/>
  <c r="J85" i="21"/>
  <c r="I85" i="21"/>
  <c r="F85" i="21"/>
  <c r="D85" i="21"/>
  <c r="C85" i="21"/>
  <c r="B85" i="21"/>
  <c r="J84" i="21"/>
  <c r="I84" i="21"/>
  <c r="F84" i="21"/>
  <c r="D84" i="21"/>
  <c r="C84" i="21"/>
  <c r="B84" i="21"/>
  <c r="I83" i="21"/>
  <c r="J83" i="21" s="1"/>
  <c r="F83" i="21"/>
  <c r="D83" i="21"/>
  <c r="C83" i="21"/>
  <c r="B83" i="21"/>
  <c r="J82" i="21"/>
  <c r="I82" i="21"/>
  <c r="F82" i="21"/>
  <c r="D82" i="21"/>
  <c r="C82" i="21"/>
  <c r="B82" i="21"/>
  <c r="I81" i="21"/>
  <c r="J81" i="21" s="1"/>
  <c r="F81" i="21"/>
  <c r="D81" i="21"/>
  <c r="C81" i="21"/>
  <c r="B81" i="21"/>
  <c r="J80" i="21"/>
  <c r="I80" i="21"/>
  <c r="F80" i="21"/>
  <c r="D80" i="21"/>
  <c r="C80" i="21"/>
  <c r="B80" i="21"/>
  <c r="I79" i="21"/>
  <c r="J79" i="21" s="1"/>
  <c r="F79" i="21"/>
  <c r="D79" i="21"/>
  <c r="C79" i="21"/>
  <c r="B79" i="21"/>
  <c r="J78" i="21"/>
  <c r="I78" i="21"/>
  <c r="F78" i="21"/>
  <c r="D78" i="21"/>
  <c r="C78" i="21"/>
  <c r="B78" i="21"/>
  <c r="I77" i="21"/>
  <c r="J77" i="21" s="1"/>
  <c r="F77" i="21"/>
  <c r="D77" i="21"/>
  <c r="C77" i="21"/>
  <c r="B77" i="21"/>
  <c r="J76" i="21"/>
  <c r="I76" i="21"/>
  <c r="F76" i="21"/>
  <c r="D76" i="21"/>
  <c r="C76" i="21"/>
  <c r="B76" i="21"/>
  <c r="I75" i="21"/>
  <c r="J75" i="21" s="1"/>
  <c r="F75" i="21"/>
  <c r="D75" i="21"/>
  <c r="C75" i="21"/>
  <c r="B75" i="21"/>
  <c r="J74" i="21"/>
  <c r="I74" i="21"/>
  <c r="F74" i="21"/>
  <c r="D74" i="21"/>
  <c r="C74" i="21"/>
  <c r="B74" i="21"/>
  <c r="J73" i="21"/>
  <c r="I73" i="21"/>
  <c r="F73" i="21"/>
  <c r="D73" i="21"/>
  <c r="C73" i="21"/>
  <c r="B73" i="21"/>
  <c r="J72" i="21"/>
  <c r="I72" i="21"/>
  <c r="F72" i="21"/>
  <c r="D72" i="21"/>
  <c r="C72" i="21"/>
  <c r="B72" i="21"/>
  <c r="I71" i="21"/>
  <c r="J71" i="21" s="1"/>
  <c r="F71" i="21"/>
  <c r="D71" i="21"/>
  <c r="C71" i="21"/>
  <c r="B71" i="21"/>
  <c r="J70" i="21"/>
  <c r="I70" i="21"/>
  <c r="F70" i="21"/>
  <c r="D70" i="21"/>
  <c r="C70" i="21"/>
  <c r="B70" i="21"/>
  <c r="J69" i="21"/>
  <c r="I69" i="21"/>
  <c r="F69" i="21"/>
  <c r="D69" i="21"/>
  <c r="C69" i="21"/>
  <c r="B69" i="21"/>
  <c r="J68" i="21"/>
  <c r="I68" i="21"/>
  <c r="F68" i="21"/>
  <c r="D68" i="21"/>
  <c r="C68" i="21"/>
  <c r="B68" i="21"/>
  <c r="I67" i="21"/>
  <c r="J67" i="21" s="1"/>
  <c r="F67" i="21"/>
  <c r="D67" i="21"/>
  <c r="C67" i="21"/>
  <c r="B67" i="21"/>
  <c r="J66" i="21"/>
  <c r="I66" i="21"/>
  <c r="F66" i="21"/>
  <c r="D66" i="21"/>
  <c r="C66" i="21"/>
  <c r="B66" i="21"/>
  <c r="I65" i="21"/>
  <c r="J65" i="21" s="1"/>
  <c r="F65" i="21"/>
  <c r="D65" i="21"/>
  <c r="C65" i="21"/>
  <c r="B65" i="21"/>
  <c r="J64" i="21"/>
  <c r="I64" i="21"/>
  <c r="F64" i="21"/>
  <c r="D64" i="21"/>
  <c r="C64" i="21"/>
  <c r="B64" i="21"/>
  <c r="I63" i="21"/>
  <c r="J63" i="21" s="1"/>
  <c r="F63" i="21"/>
  <c r="D63" i="21"/>
  <c r="C63" i="21"/>
  <c r="B63" i="21"/>
  <c r="J62" i="21"/>
  <c r="I62" i="21"/>
  <c r="F62" i="21"/>
  <c r="D62" i="21"/>
  <c r="C62" i="21"/>
  <c r="B62" i="21"/>
  <c r="J61" i="21"/>
  <c r="I61" i="21"/>
  <c r="F61" i="21"/>
  <c r="D61" i="21"/>
  <c r="C61" i="21"/>
  <c r="B61" i="21"/>
  <c r="J60" i="21"/>
  <c r="I60" i="21"/>
  <c r="F60" i="21"/>
  <c r="D60" i="21"/>
  <c r="C60" i="21"/>
  <c r="B60" i="21"/>
  <c r="I59" i="21"/>
  <c r="J59" i="21" s="1"/>
  <c r="F59" i="21"/>
  <c r="D59" i="21"/>
  <c r="C59" i="21"/>
  <c r="B59" i="21"/>
  <c r="J58" i="21"/>
  <c r="I58" i="21"/>
  <c r="F58" i="21"/>
  <c r="D58" i="21"/>
  <c r="C58" i="21"/>
  <c r="B58" i="21"/>
  <c r="J57" i="21"/>
  <c r="I57" i="21"/>
  <c r="F57" i="21"/>
  <c r="D57" i="21"/>
  <c r="C57" i="21"/>
  <c r="B57" i="21"/>
  <c r="J56" i="21"/>
  <c r="I56" i="21"/>
  <c r="F56" i="21"/>
  <c r="D56" i="21"/>
  <c r="C56" i="21"/>
  <c r="B56" i="21"/>
  <c r="I55" i="21"/>
  <c r="J55" i="21" s="1"/>
  <c r="F55" i="21"/>
  <c r="D55" i="21"/>
  <c r="C55" i="21"/>
  <c r="B55" i="21"/>
  <c r="J54" i="21"/>
  <c r="I54" i="21"/>
  <c r="F54" i="21"/>
  <c r="D54" i="21"/>
  <c r="C54" i="21"/>
  <c r="B54" i="21"/>
  <c r="J53" i="21"/>
  <c r="I53" i="21"/>
  <c r="F53" i="21"/>
  <c r="D53" i="21"/>
  <c r="C53" i="21"/>
  <c r="B53" i="21"/>
  <c r="J52" i="21"/>
  <c r="I52" i="21"/>
  <c r="F52" i="21"/>
  <c r="D52" i="21"/>
  <c r="C52" i="21"/>
  <c r="B52" i="21"/>
  <c r="I51" i="21"/>
  <c r="J51" i="21" s="1"/>
  <c r="F51" i="21"/>
  <c r="D51" i="21"/>
  <c r="C51" i="21"/>
  <c r="B51" i="21"/>
  <c r="J50" i="21"/>
  <c r="I50" i="21"/>
  <c r="F50" i="21"/>
  <c r="D50" i="21"/>
  <c r="C50" i="21"/>
  <c r="B50" i="21"/>
  <c r="I49" i="21"/>
  <c r="J49" i="21" s="1"/>
  <c r="F49" i="21"/>
  <c r="D49" i="21"/>
  <c r="C49" i="21"/>
  <c r="B49" i="21"/>
  <c r="J48" i="21"/>
  <c r="I48" i="21"/>
  <c r="F48" i="21"/>
  <c r="D48" i="21"/>
  <c r="C48" i="21"/>
  <c r="B48" i="21"/>
  <c r="I47" i="21"/>
  <c r="J47" i="21" s="1"/>
  <c r="F47" i="21"/>
  <c r="D47" i="21"/>
  <c r="C47" i="21"/>
  <c r="B47" i="21"/>
  <c r="J46" i="21"/>
  <c r="I46" i="21"/>
  <c r="F46" i="21"/>
  <c r="D46" i="21"/>
  <c r="C46" i="21"/>
  <c r="B46" i="21"/>
  <c r="I45" i="21"/>
  <c r="J45" i="21" s="1"/>
  <c r="F45" i="21"/>
  <c r="D45" i="21"/>
  <c r="C45" i="21"/>
  <c r="B45" i="21"/>
  <c r="J44" i="21"/>
  <c r="I44" i="21"/>
  <c r="F44" i="21"/>
  <c r="D44" i="21"/>
  <c r="C44" i="21"/>
  <c r="B44" i="21"/>
  <c r="I43" i="21"/>
  <c r="J43" i="21" s="1"/>
  <c r="F43" i="21"/>
  <c r="D43" i="21"/>
  <c r="C43" i="21"/>
  <c r="B43" i="21"/>
  <c r="J42" i="21"/>
  <c r="I42" i="21"/>
  <c r="F42" i="21"/>
  <c r="D42" i="21"/>
  <c r="C42" i="21"/>
  <c r="B42" i="21"/>
  <c r="J41" i="21"/>
  <c r="I41" i="21"/>
  <c r="F41" i="21"/>
  <c r="D41" i="21"/>
  <c r="C41" i="21"/>
  <c r="B41" i="21"/>
  <c r="J40" i="21"/>
  <c r="I40" i="21"/>
  <c r="F40" i="21"/>
  <c r="D40" i="21"/>
  <c r="C40" i="21"/>
  <c r="B40" i="21"/>
  <c r="I39" i="21"/>
  <c r="J39" i="21" s="1"/>
  <c r="F39" i="21"/>
  <c r="D39" i="21"/>
  <c r="C39" i="21"/>
  <c r="B39" i="21"/>
  <c r="J38" i="21"/>
  <c r="I38" i="21"/>
  <c r="F38" i="21"/>
  <c r="D38" i="21"/>
  <c r="C38" i="21"/>
  <c r="B38" i="21"/>
  <c r="J37" i="21"/>
  <c r="I37" i="21"/>
  <c r="F37" i="21"/>
  <c r="D37" i="21"/>
  <c r="C37" i="21"/>
  <c r="B37" i="21"/>
  <c r="J36" i="21"/>
  <c r="I36" i="21"/>
  <c r="F36" i="21"/>
  <c r="D36" i="21"/>
  <c r="C36" i="21"/>
  <c r="B36" i="21"/>
  <c r="I35" i="21"/>
  <c r="J35" i="21" s="1"/>
  <c r="F35" i="21"/>
  <c r="D35" i="21"/>
  <c r="C35" i="21"/>
  <c r="B35" i="21"/>
  <c r="J34" i="21"/>
  <c r="I34" i="21"/>
  <c r="F34" i="21"/>
  <c r="D34" i="21"/>
  <c r="C34" i="21"/>
  <c r="B34" i="21"/>
  <c r="I33" i="21"/>
  <c r="J33" i="21" s="1"/>
  <c r="F33" i="21"/>
  <c r="D33" i="21"/>
  <c r="C33" i="21"/>
  <c r="B33" i="21"/>
  <c r="J32" i="21"/>
  <c r="I32" i="21"/>
  <c r="F32" i="21"/>
  <c r="D32" i="21"/>
  <c r="C32" i="21"/>
  <c r="B32" i="21"/>
  <c r="I31" i="21"/>
  <c r="J31" i="21" s="1"/>
  <c r="F31" i="21"/>
  <c r="D31" i="21"/>
  <c r="C31" i="21"/>
  <c r="B31" i="21"/>
  <c r="J30" i="21"/>
  <c r="I30" i="21"/>
  <c r="F30" i="21"/>
  <c r="D30" i="21"/>
  <c r="C30" i="21"/>
  <c r="B30" i="21"/>
  <c r="J29" i="21"/>
  <c r="I29" i="21"/>
  <c r="F29" i="21"/>
  <c r="D29" i="21"/>
  <c r="C29" i="21"/>
  <c r="B29" i="21"/>
  <c r="J28" i="21"/>
  <c r="I28" i="21"/>
  <c r="F28" i="21"/>
  <c r="D28" i="21"/>
  <c r="C28" i="21"/>
  <c r="B28" i="21"/>
  <c r="I27" i="21"/>
  <c r="J27" i="21" s="1"/>
  <c r="F27" i="21"/>
  <c r="D27" i="21"/>
  <c r="C27" i="21"/>
  <c r="B27" i="21"/>
  <c r="J26" i="21"/>
  <c r="I26" i="21"/>
  <c r="F26" i="21"/>
  <c r="D26" i="21"/>
  <c r="C26" i="21"/>
  <c r="B26" i="21"/>
  <c r="J25" i="21"/>
  <c r="I25" i="21"/>
  <c r="F25" i="21"/>
  <c r="D25" i="21"/>
  <c r="C25" i="21"/>
  <c r="B25" i="21"/>
  <c r="J24" i="21"/>
  <c r="I24" i="21"/>
  <c r="F24" i="21"/>
  <c r="D24" i="21"/>
  <c r="C24" i="21"/>
  <c r="B24" i="21"/>
  <c r="I23" i="21"/>
  <c r="J23" i="21" s="1"/>
  <c r="F23" i="21"/>
  <c r="D23" i="21"/>
  <c r="C23" i="21"/>
  <c r="B23" i="21"/>
  <c r="J22" i="21"/>
  <c r="I22" i="21"/>
  <c r="F22" i="21"/>
  <c r="D22" i="21"/>
  <c r="C22" i="21"/>
  <c r="B22" i="21"/>
  <c r="J21" i="21"/>
  <c r="I21" i="21"/>
  <c r="F21" i="21"/>
  <c r="D21" i="21"/>
  <c r="C21" i="21"/>
  <c r="B21" i="21"/>
  <c r="J20" i="21"/>
  <c r="I20" i="21"/>
  <c r="F20" i="21"/>
  <c r="D20" i="21"/>
  <c r="C20" i="21"/>
  <c r="B20" i="21"/>
  <c r="I19" i="21"/>
  <c r="J19" i="21" s="1"/>
  <c r="F19" i="21"/>
  <c r="D19" i="21"/>
  <c r="C19" i="21"/>
  <c r="B19" i="21"/>
  <c r="J18" i="21"/>
  <c r="I18" i="21"/>
  <c r="F18" i="21"/>
  <c r="D18" i="21"/>
  <c r="C18" i="21"/>
  <c r="B18" i="21"/>
  <c r="I17" i="21"/>
  <c r="J17" i="21" s="1"/>
  <c r="F17" i="21"/>
  <c r="D17" i="21"/>
  <c r="C17" i="21"/>
  <c r="B17" i="21"/>
  <c r="J16" i="21"/>
  <c r="I16" i="21"/>
  <c r="F16" i="21"/>
  <c r="D16" i="21"/>
  <c r="C16" i="21"/>
  <c r="B16" i="21"/>
  <c r="I15" i="21"/>
  <c r="J15" i="21" s="1"/>
  <c r="F15" i="21"/>
  <c r="D15" i="21"/>
  <c r="C15" i="21"/>
  <c r="B15" i="21"/>
  <c r="J14" i="21"/>
  <c r="I14" i="21"/>
  <c r="F14" i="21"/>
  <c r="D14" i="21"/>
  <c r="C14" i="21"/>
  <c r="B14" i="21"/>
  <c r="I13" i="21"/>
  <c r="J13" i="21" s="1"/>
  <c r="F13" i="21"/>
  <c r="D13" i="21"/>
  <c r="C13" i="21"/>
  <c r="B13" i="21"/>
  <c r="J12" i="21"/>
  <c r="I12" i="21"/>
  <c r="F12" i="21"/>
  <c r="D12" i="21"/>
  <c r="C12" i="21"/>
  <c r="B12" i="21"/>
  <c r="I11" i="21"/>
  <c r="J11" i="21" s="1"/>
  <c r="F11" i="21"/>
  <c r="D11" i="21"/>
  <c r="C11" i="21"/>
  <c r="B11" i="21"/>
  <c r="J10" i="21"/>
  <c r="I10" i="21"/>
  <c r="F10" i="21"/>
  <c r="D10" i="21"/>
  <c r="C10" i="21"/>
  <c r="B10" i="21"/>
  <c r="J9" i="21"/>
  <c r="I9" i="21"/>
  <c r="F9" i="21"/>
  <c r="D9" i="21"/>
  <c r="C9" i="21"/>
  <c r="B9" i="21"/>
  <c r="A5" i="21"/>
  <c r="G4" i="21"/>
  <c r="D4" i="21"/>
  <c r="A4" i="21"/>
  <c r="K213" i="20"/>
  <c r="K212" i="20"/>
  <c r="K211" i="20"/>
  <c r="K210" i="20"/>
  <c r="K209" i="20"/>
  <c r="K208" i="20"/>
  <c r="K207" i="20"/>
  <c r="K206" i="20"/>
  <c r="K205" i="20"/>
  <c r="K204" i="20"/>
  <c r="K203" i="20"/>
  <c r="K202" i="20"/>
  <c r="K201" i="20"/>
  <c r="K200" i="20"/>
  <c r="K199" i="20"/>
  <c r="K198" i="20"/>
  <c r="K197" i="20"/>
  <c r="K196" i="20"/>
  <c r="K195" i="20"/>
  <c r="K194" i="20"/>
  <c r="K193" i="20"/>
  <c r="K192" i="20"/>
  <c r="K191" i="20"/>
  <c r="K190" i="20"/>
  <c r="K189" i="20"/>
  <c r="K188" i="20"/>
  <c r="K187" i="20"/>
  <c r="K186" i="20"/>
  <c r="K185" i="20"/>
  <c r="K184" i="20"/>
  <c r="K183" i="20"/>
  <c r="K182" i="20"/>
  <c r="K181" i="20"/>
  <c r="K180" i="20"/>
  <c r="K179" i="20"/>
  <c r="K178" i="20"/>
  <c r="K177" i="20"/>
  <c r="K176" i="20"/>
  <c r="K175" i="20"/>
  <c r="K174" i="20"/>
  <c r="K173" i="20"/>
  <c r="K172" i="20"/>
  <c r="K171" i="20"/>
  <c r="K170" i="20"/>
  <c r="K169" i="20"/>
  <c r="K168" i="20"/>
  <c r="K167" i="20"/>
  <c r="K166" i="20"/>
  <c r="K165" i="20"/>
  <c r="K164" i="20"/>
  <c r="K163" i="20"/>
  <c r="K162" i="20"/>
  <c r="K161" i="20"/>
  <c r="K160" i="20"/>
  <c r="K159" i="20"/>
  <c r="K158" i="20"/>
  <c r="K157" i="20"/>
  <c r="K156" i="20"/>
  <c r="K155" i="20"/>
  <c r="K154" i="20"/>
  <c r="K153" i="20"/>
  <c r="K152" i="20"/>
  <c r="K151" i="20"/>
  <c r="K150" i="20"/>
  <c r="K149" i="20"/>
  <c r="K148" i="20"/>
  <c r="K147" i="20"/>
  <c r="K146" i="20"/>
  <c r="K145" i="20"/>
  <c r="K144" i="20"/>
  <c r="K143" i="20"/>
  <c r="K142" i="20"/>
  <c r="K141" i="20"/>
  <c r="K140" i="20"/>
  <c r="K139" i="20"/>
  <c r="K138" i="20"/>
  <c r="K137" i="20"/>
  <c r="K136" i="20"/>
  <c r="K135" i="20"/>
  <c r="K134" i="20"/>
  <c r="K133" i="20"/>
  <c r="K132" i="20"/>
  <c r="K131" i="20"/>
  <c r="K130" i="20"/>
  <c r="K129" i="20"/>
  <c r="K128" i="20"/>
  <c r="K127" i="20"/>
  <c r="K126" i="20"/>
  <c r="K125" i="20"/>
  <c r="K124" i="20"/>
  <c r="K123" i="20"/>
  <c r="K122" i="20"/>
  <c r="K121" i="20"/>
  <c r="K120" i="20"/>
  <c r="K119" i="20"/>
  <c r="K118" i="20"/>
  <c r="K117" i="20"/>
  <c r="K116" i="20"/>
  <c r="K115" i="20"/>
  <c r="K114" i="20"/>
  <c r="K113" i="20"/>
  <c r="I113" i="20"/>
  <c r="J113" i="20" s="1"/>
  <c r="D113" i="20"/>
  <c r="C113" i="20"/>
  <c r="A113" i="20"/>
  <c r="K112" i="20"/>
  <c r="I112" i="20"/>
  <c r="J112" i="20" s="1"/>
  <c r="D112" i="20"/>
  <c r="C112" i="20"/>
  <c r="A112" i="20"/>
  <c r="K111" i="20"/>
  <c r="J111" i="20"/>
  <c r="I111" i="20"/>
  <c r="D111" i="20"/>
  <c r="C111" i="20"/>
  <c r="A111" i="20"/>
  <c r="K110" i="20"/>
  <c r="I110" i="20"/>
  <c r="J110" i="20" s="1"/>
  <c r="D110" i="20"/>
  <c r="C110" i="20"/>
  <c r="A110" i="20"/>
  <c r="K109" i="20"/>
  <c r="I109" i="20"/>
  <c r="J109" i="20" s="1"/>
  <c r="D109" i="20"/>
  <c r="C109" i="20"/>
  <c r="A109" i="20"/>
  <c r="K108" i="20"/>
  <c r="I108" i="20"/>
  <c r="J108" i="20" s="1"/>
  <c r="D108" i="20"/>
  <c r="C108" i="20"/>
  <c r="A108" i="20"/>
  <c r="K107" i="20"/>
  <c r="J107" i="20"/>
  <c r="I107" i="20"/>
  <c r="D107" i="20"/>
  <c r="C107" i="20"/>
  <c r="A107" i="20"/>
  <c r="K106" i="20"/>
  <c r="I106" i="20"/>
  <c r="J106" i="20" s="1"/>
  <c r="D106" i="20"/>
  <c r="C106" i="20"/>
  <c r="A106" i="20"/>
  <c r="K105" i="20"/>
  <c r="I105" i="20"/>
  <c r="J105" i="20" s="1"/>
  <c r="D105" i="20"/>
  <c r="C105" i="20"/>
  <c r="A105" i="20"/>
  <c r="K104" i="20"/>
  <c r="I104" i="20"/>
  <c r="J104" i="20" s="1"/>
  <c r="D104" i="20"/>
  <c r="C104" i="20"/>
  <c r="A104" i="20"/>
  <c r="K103" i="20"/>
  <c r="J103" i="20"/>
  <c r="I103" i="20"/>
  <c r="D103" i="20"/>
  <c r="C103" i="20"/>
  <c r="A103" i="20"/>
  <c r="K102" i="20"/>
  <c r="J102" i="20"/>
  <c r="I102" i="20"/>
  <c r="D102" i="20"/>
  <c r="C102" i="20"/>
  <c r="A102" i="20"/>
  <c r="K101" i="20"/>
  <c r="I101" i="20"/>
  <c r="J101" i="20" s="1"/>
  <c r="D101" i="20"/>
  <c r="C101" i="20"/>
  <c r="A101" i="20"/>
  <c r="K100" i="20"/>
  <c r="I100" i="20"/>
  <c r="J100" i="20" s="1"/>
  <c r="D100" i="20"/>
  <c r="C100" i="20"/>
  <c r="A100" i="20"/>
  <c r="K99" i="20"/>
  <c r="J99" i="20"/>
  <c r="I99" i="20"/>
  <c r="D99" i="20"/>
  <c r="C99" i="20"/>
  <c r="A99" i="20"/>
  <c r="K98" i="20"/>
  <c r="I98" i="20"/>
  <c r="J98" i="20" s="1"/>
  <c r="D98" i="20"/>
  <c r="C98" i="20"/>
  <c r="A98" i="20"/>
  <c r="K97" i="20"/>
  <c r="I97" i="20"/>
  <c r="J97" i="20" s="1"/>
  <c r="D97" i="20"/>
  <c r="C97" i="20"/>
  <c r="A97" i="20"/>
  <c r="K96" i="20"/>
  <c r="I96" i="20"/>
  <c r="J96" i="20" s="1"/>
  <c r="D96" i="20"/>
  <c r="C96" i="20"/>
  <c r="A96" i="20"/>
  <c r="K95" i="20"/>
  <c r="J95" i="20"/>
  <c r="I95" i="20"/>
  <c r="D95" i="20"/>
  <c r="C95" i="20"/>
  <c r="A95" i="20"/>
  <c r="K94" i="20"/>
  <c r="I94" i="20"/>
  <c r="J94" i="20" s="1"/>
  <c r="D94" i="20"/>
  <c r="C94" i="20"/>
  <c r="A94" i="20"/>
  <c r="K93" i="20"/>
  <c r="I93" i="20"/>
  <c r="J93" i="20" s="1"/>
  <c r="D93" i="20"/>
  <c r="C93" i="20"/>
  <c r="A93" i="20"/>
  <c r="K92" i="20"/>
  <c r="I92" i="20"/>
  <c r="J92" i="20" s="1"/>
  <c r="D92" i="20"/>
  <c r="C92" i="20"/>
  <c r="A92" i="20"/>
  <c r="K91" i="20"/>
  <c r="J91" i="20"/>
  <c r="I91" i="20"/>
  <c r="D91" i="20"/>
  <c r="C91" i="20"/>
  <c r="A91" i="20"/>
  <c r="K90" i="20"/>
  <c r="I90" i="20"/>
  <c r="J90" i="20" s="1"/>
  <c r="D90" i="20"/>
  <c r="C90" i="20"/>
  <c r="A90" i="20"/>
  <c r="K89" i="20"/>
  <c r="I89" i="20"/>
  <c r="J89" i="20" s="1"/>
  <c r="D89" i="20"/>
  <c r="C89" i="20"/>
  <c r="A89" i="20"/>
  <c r="K88" i="20"/>
  <c r="I88" i="20"/>
  <c r="J88" i="20" s="1"/>
  <c r="D88" i="20"/>
  <c r="C88" i="20"/>
  <c r="A88" i="20"/>
  <c r="K87" i="20"/>
  <c r="J87" i="20"/>
  <c r="I87" i="20"/>
  <c r="D87" i="20"/>
  <c r="C87" i="20"/>
  <c r="A87" i="20"/>
  <c r="K86" i="20"/>
  <c r="J86" i="20"/>
  <c r="I86" i="20"/>
  <c r="D86" i="20"/>
  <c r="C86" i="20"/>
  <c r="A86" i="20"/>
  <c r="K85" i="20"/>
  <c r="I85" i="20"/>
  <c r="J85" i="20" s="1"/>
  <c r="D85" i="20"/>
  <c r="C85" i="20"/>
  <c r="A85" i="20"/>
  <c r="K84" i="20"/>
  <c r="I84" i="20"/>
  <c r="J84" i="20" s="1"/>
  <c r="D84" i="20"/>
  <c r="C84" i="20"/>
  <c r="A84" i="20"/>
  <c r="K83" i="20"/>
  <c r="J83" i="20"/>
  <c r="I83" i="20"/>
  <c r="D83" i="20"/>
  <c r="C83" i="20"/>
  <c r="A83" i="20"/>
  <c r="K82" i="20"/>
  <c r="I82" i="20"/>
  <c r="J82" i="20" s="1"/>
  <c r="D82" i="20"/>
  <c r="C82" i="20"/>
  <c r="A82" i="20"/>
  <c r="K81" i="20"/>
  <c r="I81" i="20"/>
  <c r="J81" i="20" s="1"/>
  <c r="D81" i="20"/>
  <c r="C81" i="20"/>
  <c r="A81" i="20"/>
  <c r="K80" i="20"/>
  <c r="I80" i="20"/>
  <c r="J80" i="20" s="1"/>
  <c r="D80" i="20"/>
  <c r="C80" i="20"/>
  <c r="A80" i="20"/>
  <c r="K79" i="20"/>
  <c r="J79" i="20"/>
  <c r="I79" i="20"/>
  <c r="D79" i="20"/>
  <c r="C79" i="20"/>
  <c r="A79" i="20"/>
  <c r="K78" i="20"/>
  <c r="I78" i="20"/>
  <c r="J78" i="20" s="1"/>
  <c r="D78" i="20"/>
  <c r="C78" i="20"/>
  <c r="A78" i="20"/>
  <c r="K77" i="20"/>
  <c r="I77" i="20"/>
  <c r="J77" i="20" s="1"/>
  <c r="D77" i="20"/>
  <c r="C77" i="20"/>
  <c r="A77" i="20"/>
  <c r="K76" i="20"/>
  <c r="I76" i="20"/>
  <c r="J76" i="20" s="1"/>
  <c r="D76" i="20"/>
  <c r="C76" i="20"/>
  <c r="A76" i="20"/>
  <c r="K75" i="20"/>
  <c r="J75" i="20"/>
  <c r="I75" i="20"/>
  <c r="D75" i="20"/>
  <c r="C75" i="20"/>
  <c r="A75" i="20"/>
  <c r="K74" i="20"/>
  <c r="I74" i="20"/>
  <c r="J74" i="20" s="1"/>
  <c r="D74" i="20"/>
  <c r="C74" i="20"/>
  <c r="A74" i="20"/>
  <c r="K73" i="20"/>
  <c r="I73" i="20"/>
  <c r="J73" i="20" s="1"/>
  <c r="D73" i="20"/>
  <c r="C73" i="20"/>
  <c r="A73" i="20"/>
  <c r="K72" i="20"/>
  <c r="I72" i="20"/>
  <c r="J72" i="20" s="1"/>
  <c r="D72" i="20"/>
  <c r="C72" i="20"/>
  <c r="A72" i="20"/>
  <c r="K71" i="20"/>
  <c r="J71" i="20"/>
  <c r="I71" i="20"/>
  <c r="D71" i="20"/>
  <c r="C71" i="20"/>
  <c r="A71" i="20"/>
  <c r="K70" i="20"/>
  <c r="J70" i="20"/>
  <c r="I70" i="20"/>
  <c r="D70" i="20"/>
  <c r="C70" i="20"/>
  <c r="A70" i="20"/>
  <c r="K69" i="20"/>
  <c r="I69" i="20"/>
  <c r="J69" i="20" s="1"/>
  <c r="D69" i="20"/>
  <c r="C69" i="20"/>
  <c r="A69" i="20"/>
  <c r="K68" i="20"/>
  <c r="I68" i="20"/>
  <c r="J68" i="20" s="1"/>
  <c r="D68" i="20"/>
  <c r="C68" i="20"/>
  <c r="A68" i="20"/>
  <c r="K67" i="20"/>
  <c r="J67" i="20"/>
  <c r="I67" i="20"/>
  <c r="D67" i="20"/>
  <c r="C67" i="20"/>
  <c r="A67" i="20"/>
  <c r="K66" i="20"/>
  <c r="I66" i="20"/>
  <c r="J66" i="20" s="1"/>
  <c r="D66" i="20"/>
  <c r="C66" i="20"/>
  <c r="A66" i="20"/>
  <c r="K65" i="20"/>
  <c r="I65" i="20"/>
  <c r="J65" i="20" s="1"/>
  <c r="D65" i="20"/>
  <c r="C65" i="20"/>
  <c r="A65" i="20"/>
  <c r="K64" i="20"/>
  <c r="I64" i="20"/>
  <c r="J64" i="20" s="1"/>
  <c r="D64" i="20"/>
  <c r="C64" i="20"/>
  <c r="A64" i="20"/>
  <c r="K63" i="20"/>
  <c r="J63" i="20"/>
  <c r="I63" i="20"/>
  <c r="D63" i="20"/>
  <c r="C63" i="20"/>
  <c r="A63" i="20"/>
  <c r="K62" i="20"/>
  <c r="I62" i="20"/>
  <c r="J62" i="20" s="1"/>
  <c r="D62" i="20"/>
  <c r="C62" i="20"/>
  <c r="A62" i="20"/>
  <c r="K61" i="20"/>
  <c r="I61" i="20"/>
  <c r="J61" i="20" s="1"/>
  <c r="D61" i="20"/>
  <c r="C61" i="20"/>
  <c r="A61" i="20"/>
  <c r="K60" i="20"/>
  <c r="I60" i="20"/>
  <c r="J60" i="20" s="1"/>
  <c r="D60" i="20"/>
  <c r="C60" i="20"/>
  <c r="A60" i="20"/>
  <c r="K59" i="20"/>
  <c r="J59" i="20"/>
  <c r="I59" i="20"/>
  <c r="D59" i="20"/>
  <c r="C59" i="20"/>
  <c r="A59" i="20"/>
  <c r="K58" i="20"/>
  <c r="I58" i="20"/>
  <c r="J58" i="20" s="1"/>
  <c r="D58" i="20"/>
  <c r="C58" i="20"/>
  <c r="A58" i="20"/>
  <c r="K57" i="20"/>
  <c r="I57" i="20"/>
  <c r="J57" i="20" s="1"/>
  <c r="D57" i="20"/>
  <c r="C57" i="20"/>
  <c r="A57" i="20"/>
  <c r="K56" i="20"/>
  <c r="I56" i="20"/>
  <c r="J56" i="20" s="1"/>
  <c r="D56" i="20"/>
  <c r="C56" i="20"/>
  <c r="A56" i="20"/>
  <c r="K55" i="20"/>
  <c r="J55" i="20"/>
  <c r="I55" i="20"/>
  <c r="D55" i="20"/>
  <c r="C55" i="20"/>
  <c r="A55" i="20"/>
  <c r="K54" i="20"/>
  <c r="J54" i="20"/>
  <c r="I54" i="20"/>
  <c r="D54" i="20"/>
  <c r="C54" i="20"/>
  <c r="A54" i="20"/>
  <c r="K53" i="20"/>
  <c r="I53" i="20"/>
  <c r="J53" i="20" s="1"/>
  <c r="D53" i="20"/>
  <c r="C53" i="20"/>
  <c r="A53" i="20"/>
  <c r="K52" i="20"/>
  <c r="I52" i="20"/>
  <c r="J52" i="20" s="1"/>
  <c r="D52" i="20"/>
  <c r="C52" i="20"/>
  <c r="A52" i="20"/>
  <c r="K51" i="20"/>
  <c r="J51" i="20"/>
  <c r="I51" i="20"/>
  <c r="D51" i="20"/>
  <c r="C51" i="20"/>
  <c r="A51" i="20"/>
  <c r="K50" i="20"/>
  <c r="I50" i="20"/>
  <c r="J50" i="20" s="1"/>
  <c r="D50" i="20"/>
  <c r="C50" i="20"/>
  <c r="A50" i="20"/>
  <c r="K49" i="20"/>
  <c r="I49" i="20"/>
  <c r="J49" i="20" s="1"/>
  <c r="D49" i="20"/>
  <c r="C49" i="20"/>
  <c r="A49" i="20"/>
  <c r="K48" i="20"/>
  <c r="I48" i="20"/>
  <c r="J48" i="20" s="1"/>
  <c r="D48" i="20"/>
  <c r="C48" i="20"/>
  <c r="A48" i="20"/>
  <c r="K47" i="20"/>
  <c r="J47" i="20"/>
  <c r="I47" i="20"/>
  <c r="D47" i="20"/>
  <c r="C47" i="20"/>
  <c r="A47" i="20"/>
  <c r="K46" i="20"/>
  <c r="I46" i="20"/>
  <c r="J46" i="20" s="1"/>
  <c r="D46" i="20"/>
  <c r="C46" i="20"/>
  <c r="A46" i="20"/>
  <c r="K45" i="20"/>
  <c r="I45" i="20"/>
  <c r="J45" i="20" s="1"/>
  <c r="D45" i="20"/>
  <c r="C45" i="20"/>
  <c r="A45" i="20"/>
  <c r="K44" i="20"/>
  <c r="I44" i="20"/>
  <c r="J44" i="20" s="1"/>
  <c r="D44" i="20"/>
  <c r="C44" i="20"/>
  <c r="A44" i="20"/>
  <c r="K43" i="20"/>
  <c r="J43" i="20"/>
  <c r="I43" i="20"/>
  <c r="D43" i="20"/>
  <c r="C43" i="20"/>
  <c r="A43" i="20"/>
  <c r="K42" i="20"/>
  <c r="I42" i="20"/>
  <c r="J42" i="20" s="1"/>
  <c r="D42" i="20"/>
  <c r="C42" i="20"/>
  <c r="A42" i="20"/>
  <c r="K41" i="20"/>
  <c r="I41" i="20"/>
  <c r="J41" i="20" s="1"/>
  <c r="D41" i="20"/>
  <c r="C41" i="20"/>
  <c r="A41" i="20"/>
  <c r="K40" i="20"/>
  <c r="I40" i="20"/>
  <c r="J40" i="20" s="1"/>
  <c r="D40" i="20"/>
  <c r="C40" i="20"/>
  <c r="A40" i="20"/>
  <c r="K39" i="20"/>
  <c r="J39" i="20"/>
  <c r="I39" i="20"/>
  <c r="D39" i="20"/>
  <c r="C39" i="20"/>
  <c r="A39" i="20"/>
  <c r="K38" i="20"/>
  <c r="J38" i="20"/>
  <c r="I38" i="20"/>
  <c r="D38" i="20"/>
  <c r="C38" i="20"/>
  <c r="A38" i="20"/>
  <c r="K37" i="20"/>
  <c r="I37" i="20"/>
  <c r="J37" i="20" s="1"/>
  <c r="D37" i="20"/>
  <c r="C37" i="20"/>
  <c r="A37" i="20"/>
  <c r="K36" i="20"/>
  <c r="I36" i="20"/>
  <c r="J36" i="20" s="1"/>
  <c r="D36" i="20"/>
  <c r="C36" i="20"/>
  <c r="A36" i="20"/>
  <c r="K35" i="20"/>
  <c r="J35" i="20"/>
  <c r="I35" i="20"/>
  <c r="D35" i="20"/>
  <c r="C35" i="20"/>
  <c r="A35" i="20"/>
  <c r="K34" i="20"/>
  <c r="I34" i="20"/>
  <c r="J34" i="20" s="1"/>
  <c r="D34" i="20"/>
  <c r="C34" i="20"/>
  <c r="A34" i="20"/>
  <c r="K33" i="20"/>
  <c r="I33" i="20"/>
  <c r="J33" i="20" s="1"/>
  <c r="D33" i="20"/>
  <c r="C33" i="20"/>
  <c r="A33" i="20"/>
  <c r="K32" i="20"/>
  <c r="I32" i="20"/>
  <c r="J32" i="20" s="1"/>
  <c r="D32" i="20"/>
  <c r="C32" i="20"/>
  <c r="A32" i="20"/>
  <c r="K31" i="20"/>
  <c r="J31" i="20"/>
  <c r="I31" i="20"/>
  <c r="D31" i="20"/>
  <c r="C31" i="20"/>
  <c r="A31" i="20"/>
  <c r="K30" i="20"/>
  <c r="I30" i="20"/>
  <c r="J30" i="20" s="1"/>
  <c r="D30" i="20"/>
  <c r="C30" i="20"/>
  <c r="A30" i="20"/>
  <c r="K29" i="20"/>
  <c r="I29" i="20"/>
  <c r="J29" i="20" s="1"/>
  <c r="D29" i="20"/>
  <c r="C29" i="20"/>
  <c r="A29" i="20"/>
  <c r="K28" i="20"/>
  <c r="I28" i="20"/>
  <c r="J28" i="20" s="1"/>
  <c r="D28" i="20"/>
  <c r="C28" i="20"/>
  <c r="A28" i="20"/>
  <c r="K27" i="20"/>
  <c r="J27" i="20"/>
  <c r="I27" i="20"/>
  <c r="D27" i="20"/>
  <c r="C27" i="20"/>
  <c r="A27" i="20"/>
  <c r="K26" i="20"/>
  <c r="I26" i="20"/>
  <c r="J26" i="20" s="1"/>
  <c r="D26" i="20"/>
  <c r="C26" i="20"/>
  <c r="A26" i="20"/>
  <c r="K25" i="20"/>
  <c r="I25" i="20"/>
  <c r="J25" i="20" s="1"/>
  <c r="D25" i="20"/>
  <c r="C25" i="20"/>
  <c r="A25" i="20"/>
  <c r="K24" i="20"/>
  <c r="I24" i="20"/>
  <c r="J24" i="20" s="1"/>
  <c r="D24" i="20"/>
  <c r="C24" i="20"/>
  <c r="A24" i="20"/>
  <c r="K23" i="20"/>
  <c r="J23" i="20"/>
  <c r="I23" i="20"/>
  <c r="D23" i="20"/>
  <c r="C23" i="20"/>
  <c r="A23" i="20"/>
  <c r="K22" i="20"/>
  <c r="J22" i="20"/>
  <c r="I22" i="20"/>
  <c r="D22" i="20"/>
  <c r="C22" i="20"/>
  <c r="A22" i="20"/>
  <c r="K21" i="20"/>
  <c r="I21" i="20"/>
  <c r="J21" i="20" s="1"/>
  <c r="D21" i="20"/>
  <c r="C21" i="20"/>
  <c r="A21" i="20"/>
  <c r="K20" i="20"/>
  <c r="I20" i="20"/>
  <c r="J20" i="20" s="1"/>
  <c r="D20" i="20"/>
  <c r="C20" i="20"/>
  <c r="A20" i="20"/>
  <c r="K19" i="20"/>
  <c r="J19" i="20"/>
  <c r="I19" i="20"/>
  <c r="D19" i="20"/>
  <c r="C19" i="20"/>
  <c r="A19" i="20"/>
  <c r="K18" i="20"/>
  <c r="I18" i="20"/>
  <c r="J18" i="20" s="1"/>
  <c r="D18" i="20"/>
  <c r="C18" i="20"/>
  <c r="A18" i="20"/>
  <c r="K17" i="20"/>
  <c r="I17" i="20"/>
  <c r="J17" i="20" s="1"/>
  <c r="D17" i="20"/>
  <c r="C17" i="20"/>
  <c r="A17" i="20"/>
  <c r="K16" i="20"/>
  <c r="I16" i="20"/>
  <c r="J16" i="20" s="1"/>
  <c r="D16" i="20"/>
  <c r="C16" i="20"/>
  <c r="A16" i="20"/>
  <c r="K15" i="20"/>
  <c r="J15" i="20"/>
  <c r="I15" i="20"/>
  <c r="D15" i="20"/>
  <c r="C15" i="20"/>
  <c r="A15" i="20"/>
  <c r="K14" i="20"/>
  <c r="I14" i="20"/>
  <c r="J14" i="20" s="1"/>
  <c r="D14" i="20"/>
  <c r="C14" i="20"/>
  <c r="A14" i="20"/>
  <c r="B10" i="20"/>
  <c r="B9" i="20"/>
  <c r="B8" i="20"/>
  <c r="J208" i="19"/>
  <c r="K208" i="19" s="1"/>
  <c r="G208" i="19"/>
  <c r="D208" i="19"/>
  <c r="C208" i="19"/>
  <c r="B208" i="19"/>
  <c r="J207" i="19"/>
  <c r="K207" i="19" s="1"/>
  <c r="G207" i="19"/>
  <c r="D207" i="19"/>
  <c r="C207" i="19"/>
  <c r="B207" i="19"/>
  <c r="J206" i="19"/>
  <c r="K206" i="19" s="1"/>
  <c r="G206" i="19"/>
  <c r="D206" i="19"/>
  <c r="C206" i="19"/>
  <c r="B206" i="19"/>
  <c r="K205" i="19"/>
  <c r="J205" i="19"/>
  <c r="G205" i="19"/>
  <c r="D205" i="19"/>
  <c r="C205" i="19"/>
  <c r="B205" i="19"/>
  <c r="J204" i="19"/>
  <c r="K204" i="19" s="1"/>
  <c r="G204" i="19"/>
  <c r="D204" i="19"/>
  <c r="C204" i="19"/>
  <c r="B204" i="19"/>
  <c r="J203" i="19"/>
  <c r="K203" i="19" s="1"/>
  <c r="G203" i="19"/>
  <c r="D203" i="19"/>
  <c r="C203" i="19"/>
  <c r="B203" i="19"/>
  <c r="J202" i="19"/>
  <c r="K202" i="19" s="1"/>
  <c r="G202" i="19"/>
  <c r="D202" i="19"/>
  <c r="C202" i="19"/>
  <c r="B202" i="19"/>
  <c r="K201" i="19"/>
  <c r="J201" i="19"/>
  <c r="G201" i="19"/>
  <c r="D201" i="19"/>
  <c r="C201" i="19"/>
  <c r="B201" i="19"/>
  <c r="K200" i="19"/>
  <c r="J200" i="19"/>
  <c r="G200" i="19"/>
  <c r="D200" i="19"/>
  <c r="C200" i="19"/>
  <c r="B200" i="19"/>
  <c r="J199" i="19"/>
  <c r="K199" i="19" s="1"/>
  <c r="G199" i="19"/>
  <c r="D199" i="19"/>
  <c r="C199" i="19"/>
  <c r="B199" i="19"/>
  <c r="J198" i="19"/>
  <c r="K198" i="19" s="1"/>
  <c r="G198" i="19"/>
  <c r="D198" i="19"/>
  <c r="C198" i="19"/>
  <c r="B198" i="19"/>
  <c r="K197" i="19"/>
  <c r="J197" i="19"/>
  <c r="G197" i="19"/>
  <c r="D197" i="19"/>
  <c r="C197" i="19"/>
  <c r="B197" i="19"/>
  <c r="J196" i="19"/>
  <c r="K196" i="19" s="1"/>
  <c r="G196" i="19"/>
  <c r="D196" i="19"/>
  <c r="C196" i="19"/>
  <c r="B196" i="19"/>
  <c r="J195" i="19"/>
  <c r="K195" i="19" s="1"/>
  <c r="G195" i="19"/>
  <c r="D195" i="19"/>
  <c r="C195" i="19"/>
  <c r="B195" i="19"/>
  <c r="J194" i="19"/>
  <c r="K194" i="19" s="1"/>
  <c r="G194" i="19"/>
  <c r="D194" i="19"/>
  <c r="C194" i="19"/>
  <c r="B194" i="19"/>
  <c r="K193" i="19"/>
  <c r="J193" i="19"/>
  <c r="G193" i="19"/>
  <c r="D193" i="19"/>
  <c r="C193" i="19"/>
  <c r="B193" i="19"/>
  <c r="J192" i="19"/>
  <c r="K192" i="19" s="1"/>
  <c r="G192" i="19"/>
  <c r="D192" i="19"/>
  <c r="C192" i="19"/>
  <c r="B192" i="19"/>
  <c r="J191" i="19"/>
  <c r="K191" i="19" s="1"/>
  <c r="G191" i="19"/>
  <c r="D191" i="19"/>
  <c r="C191" i="19"/>
  <c r="B191" i="19"/>
  <c r="J190" i="19"/>
  <c r="K190" i="19" s="1"/>
  <c r="G190" i="19"/>
  <c r="D190" i="19"/>
  <c r="C190" i="19"/>
  <c r="B190" i="19"/>
  <c r="K189" i="19"/>
  <c r="J189" i="19"/>
  <c r="G189" i="19"/>
  <c r="D189" i="19"/>
  <c r="C189" i="19"/>
  <c r="B189" i="19"/>
  <c r="J188" i="19"/>
  <c r="K188" i="19" s="1"/>
  <c r="G188" i="19"/>
  <c r="D188" i="19"/>
  <c r="C188" i="19"/>
  <c r="B188" i="19"/>
  <c r="J187" i="19"/>
  <c r="K187" i="19" s="1"/>
  <c r="G187" i="19"/>
  <c r="D187" i="19"/>
  <c r="C187" i="19"/>
  <c r="B187" i="19"/>
  <c r="J186" i="19"/>
  <c r="K186" i="19" s="1"/>
  <c r="G186" i="19"/>
  <c r="D186" i="19"/>
  <c r="C186" i="19"/>
  <c r="B186" i="19"/>
  <c r="K185" i="19"/>
  <c r="J185" i="19"/>
  <c r="G185" i="19"/>
  <c r="D185" i="19"/>
  <c r="C185" i="19"/>
  <c r="B185" i="19"/>
  <c r="K184" i="19"/>
  <c r="J184" i="19"/>
  <c r="G184" i="19"/>
  <c r="D184" i="19"/>
  <c r="C184" i="19"/>
  <c r="B184" i="19"/>
  <c r="J183" i="19"/>
  <c r="K183" i="19" s="1"/>
  <c r="G183" i="19"/>
  <c r="D183" i="19"/>
  <c r="C183" i="19"/>
  <c r="B183" i="19"/>
  <c r="J182" i="19"/>
  <c r="K182" i="19" s="1"/>
  <c r="G182" i="19"/>
  <c r="D182" i="19"/>
  <c r="C182" i="19"/>
  <c r="B182" i="19"/>
  <c r="K181" i="19"/>
  <c r="J181" i="19"/>
  <c r="G181" i="19"/>
  <c r="D181" i="19"/>
  <c r="C181" i="19"/>
  <c r="B181" i="19"/>
  <c r="J180" i="19"/>
  <c r="K180" i="19" s="1"/>
  <c r="G180" i="19"/>
  <c r="D180" i="19"/>
  <c r="C180" i="19"/>
  <c r="B180" i="19"/>
  <c r="J179" i="19"/>
  <c r="K179" i="19" s="1"/>
  <c r="G179" i="19"/>
  <c r="D179" i="19"/>
  <c r="C179" i="19"/>
  <c r="B179" i="19"/>
  <c r="J178" i="19"/>
  <c r="K178" i="19" s="1"/>
  <c r="G178" i="19"/>
  <c r="D178" i="19"/>
  <c r="C178" i="19"/>
  <c r="B178" i="19"/>
  <c r="K177" i="19"/>
  <c r="J177" i="19"/>
  <c r="G177" i="19"/>
  <c r="D177" i="19"/>
  <c r="C177" i="19"/>
  <c r="B177" i="19"/>
  <c r="J176" i="19"/>
  <c r="K176" i="19" s="1"/>
  <c r="G176" i="19"/>
  <c r="D176" i="19"/>
  <c r="C176" i="19"/>
  <c r="B176" i="19"/>
  <c r="J175" i="19"/>
  <c r="K175" i="19" s="1"/>
  <c r="G175" i="19"/>
  <c r="D175" i="19"/>
  <c r="C175" i="19"/>
  <c r="B175" i="19"/>
  <c r="J174" i="19"/>
  <c r="K174" i="19" s="1"/>
  <c r="G174" i="19"/>
  <c r="D174" i="19"/>
  <c r="C174" i="19"/>
  <c r="B174" i="19"/>
  <c r="K173" i="19"/>
  <c r="J173" i="19"/>
  <c r="G173" i="19"/>
  <c r="D173" i="19"/>
  <c r="C173" i="19"/>
  <c r="B173" i="19"/>
  <c r="J172" i="19"/>
  <c r="K172" i="19" s="1"/>
  <c r="G172" i="19"/>
  <c r="D172" i="19"/>
  <c r="C172" i="19"/>
  <c r="B172" i="19"/>
  <c r="J171" i="19"/>
  <c r="K171" i="19" s="1"/>
  <c r="G171" i="19"/>
  <c r="D171" i="19"/>
  <c r="C171" i="19"/>
  <c r="B171" i="19"/>
  <c r="J170" i="19"/>
  <c r="K170" i="19" s="1"/>
  <c r="G170" i="19"/>
  <c r="D170" i="19"/>
  <c r="C170" i="19"/>
  <c r="B170" i="19"/>
  <c r="K169" i="19"/>
  <c r="J169" i="19"/>
  <c r="G169" i="19"/>
  <c r="D169" i="19"/>
  <c r="C169" i="19"/>
  <c r="B169" i="19"/>
  <c r="K168" i="19"/>
  <c r="J168" i="19"/>
  <c r="G168" i="19"/>
  <c r="D168" i="19"/>
  <c r="C168" i="19"/>
  <c r="B168" i="19"/>
  <c r="J167" i="19"/>
  <c r="K167" i="19" s="1"/>
  <c r="G167" i="19"/>
  <c r="D167" i="19"/>
  <c r="C167" i="19"/>
  <c r="B167" i="19"/>
  <c r="J166" i="19"/>
  <c r="K166" i="19" s="1"/>
  <c r="G166" i="19"/>
  <c r="D166" i="19"/>
  <c r="C166" i="19"/>
  <c r="B166" i="19"/>
  <c r="K165" i="19"/>
  <c r="J165" i="19"/>
  <c r="G165" i="19"/>
  <c r="D165" i="19"/>
  <c r="C165" i="19"/>
  <c r="B165" i="19"/>
  <c r="J164" i="19"/>
  <c r="K164" i="19" s="1"/>
  <c r="G164" i="19"/>
  <c r="D164" i="19"/>
  <c r="C164" i="19"/>
  <c r="B164" i="19"/>
  <c r="J163" i="19"/>
  <c r="K163" i="19" s="1"/>
  <c r="G163" i="19"/>
  <c r="D163" i="19"/>
  <c r="C163" i="19"/>
  <c r="B163" i="19"/>
  <c r="J162" i="19"/>
  <c r="K162" i="19" s="1"/>
  <c r="G162" i="19"/>
  <c r="D162" i="19"/>
  <c r="C162" i="19"/>
  <c r="B162" i="19"/>
  <c r="K161" i="19"/>
  <c r="J161" i="19"/>
  <c r="G161" i="19"/>
  <c r="D161" i="19"/>
  <c r="C161" i="19"/>
  <c r="B161" i="19"/>
  <c r="J160" i="19"/>
  <c r="K160" i="19" s="1"/>
  <c r="G160" i="19"/>
  <c r="D160" i="19"/>
  <c r="C160" i="19"/>
  <c r="B160" i="19"/>
  <c r="J159" i="19"/>
  <c r="K159" i="19" s="1"/>
  <c r="G159" i="19"/>
  <c r="D159" i="19"/>
  <c r="C159" i="19"/>
  <c r="B159" i="19"/>
  <c r="J158" i="19"/>
  <c r="K158" i="19" s="1"/>
  <c r="G158" i="19"/>
  <c r="D158" i="19"/>
  <c r="C158" i="19"/>
  <c r="B158" i="19"/>
  <c r="K157" i="19"/>
  <c r="J157" i="19"/>
  <c r="G157" i="19"/>
  <c r="D157" i="19"/>
  <c r="C157" i="19"/>
  <c r="B157" i="19"/>
  <c r="J156" i="19"/>
  <c r="K156" i="19" s="1"/>
  <c r="G156" i="19"/>
  <c r="D156" i="19"/>
  <c r="C156" i="19"/>
  <c r="B156" i="19"/>
  <c r="J155" i="19"/>
  <c r="K155" i="19" s="1"/>
  <c r="G155" i="19"/>
  <c r="D155" i="19"/>
  <c r="C155" i="19"/>
  <c r="B155" i="19"/>
  <c r="J154" i="19"/>
  <c r="K154" i="19" s="1"/>
  <c r="G154" i="19"/>
  <c r="D154" i="19"/>
  <c r="C154" i="19"/>
  <c r="B154" i="19"/>
  <c r="K153" i="19"/>
  <c r="J153" i="19"/>
  <c r="G153" i="19"/>
  <c r="D153" i="19"/>
  <c r="C153" i="19"/>
  <c r="B153" i="19"/>
  <c r="K152" i="19"/>
  <c r="J152" i="19"/>
  <c r="G152" i="19"/>
  <c r="D152" i="19"/>
  <c r="C152" i="19"/>
  <c r="B152" i="19"/>
  <c r="J151" i="19"/>
  <c r="K151" i="19" s="1"/>
  <c r="G151" i="19"/>
  <c r="D151" i="19"/>
  <c r="C151" i="19"/>
  <c r="B151" i="19"/>
  <c r="J150" i="19"/>
  <c r="K150" i="19" s="1"/>
  <c r="G150" i="19"/>
  <c r="D150" i="19"/>
  <c r="C150" i="19"/>
  <c r="B150" i="19"/>
  <c r="K149" i="19"/>
  <c r="J149" i="19"/>
  <c r="G149" i="19"/>
  <c r="D149" i="19"/>
  <c r="C149" i="19"/>
  <c r="B149" i="19"/>
  <c r="J148" i="19"/>
  <c r="K148" i="19" s="1"/>
  <c r="G148" i="19"/>
  <c r="D148" i="19"/>
  <c r="C148" i="19"/>
  <c r="B148" i="19"/>
  <c r="J147" i="19"/>
  <c r="K147" i="19" s="1"/>
  <c r="G147" i="19"/>
  <c r="D147" i="19"/>
  <c r="C147" i="19"/>
  <c r="B147" i="19"/>
  <c r="J146" i="19"/>
  <c r="K146" i="19" s="1"/>
  <c r="G146" i="19"/>
  <c r="D146" i="19"/>
  <c r="C146" i="19"/>
  <c r="B146" i="19"/>
  <c r="K145" i="19"/>
  <c r="J145" i="19"/>
  <c r="G145" i="19"/>
  <c r="D145" i="19"/>
  <c r="C145" i="19"/>
  <c r="B145" i="19"/>
  <c r="J144" i="19"/>
  <c r="K144" i="19" s="1"/>
  <c r="G144" i="19"/>
  <c r="D144" i="19"/>
  <c r="C144" i="19"/>
  <c r="B144" i="19"/>
  <c r="J143" i="19"/>
  <c r="K143" i="19" s="1"/>
  <c r="G143" i="19"/>
  <c r="D143" i="19"/>
  <c r="C143" i="19"/>
  <c r="B143" i="19"/>
  <c r="J142" i="19"/>
  <c r="K142" i="19" s="1"/>
  <c r="G142" i="19"/>
  <c r="D142" i="19"/>
  <c r="C142" i="19"/>
  <c r="B142" i="19"/>
  <c r="K141" i="19"/>
  <c r="J141" i="19"/>
  <c r="G141" i="19"/>
  <c r="D141" i="19"/>
  <c r="C141" i="19"/>
  <c r="B141" i="19"/>
  <c r="J140" i="19"/>
  <c r="K140" i="19" s="1"/>
  <c r="G140" i="19"/>
  <c r="D140" i="19"/>
  <c r="C140" i="19"/>
  <c r="B140" i="19"/>
  <c r="J139" i="19"/>
  <c r="K139" i="19" s="1"/>
  <c r="G139" i="19"/>
  <c r="D139" i="19"/>
  <c r="C139" i="19"/>
  <c r="B139" i="19"/>
  <c r="J138" i="19"/>
  <c r="K138" i="19" s="1"/>
  <c r="G138" i="19"/>
  <c r="D138" i="19"/>
  <c r="C138" i="19"/>
  <c r="B138" i="19"/>
  <c r="K137" i="19"/>
  <c r="J137" i="19"/>
  <c r="G137" i="19"/>
  <c r="D137" i="19"/>
  <c r="C137" i="19"/>
  <c r="B137" i="19"/>
  <c r="K136" i="19"/>
  <c r="J136" i="19"/>
  <c r="G136" i="19"/>
  <c r="D136" i="19"/>
  <c r="C136" i="19"/>
  <c r="B136" i="19"/>
  <c r="J135" i="19"/>
  <c r="K135" i="19" s="1"/>
  <c r="G135" i="19"/>
  <c r="D135" i="19"/>
  <c r="C135" i="19"/>
  <c r="B135" i="19"/>
  <c r="J134" i="19"/>
  <c r="K134" i="19" s="1"/>
  <c r="G134" i="19"/>
  <c r="D134" i="19"/>
  <c r="C134" i="19"/>
  <c r="B134" i="19"/>
  <c r="K133" i="19"/>
  <c r="J133" i="19"/>
  <c r="G133" i="19"/>
  <c r="D133" i="19"/>
  <c r="C133" i="19"/>
  <c r="B133" i="19"/>
  <c r="J132" i="19"/>
  <c r="K132" i="19" s="1"/>
  <c r="G132" i="19"/>
  <c r="D132" i="19"/>
  <c r="C132" i="19"/>
  <c r="B132" i="19"/>
  <c r="J131" i="19"/>
  <c r="K131" i="19" s="1"/>
  <c r="G131" i="19"/>
  <c r="D131" i="19"/>
  <c r="C131" i="19"/>
  <c r="B131" i="19"/>
  <c r="J130" i="19"/>
  <c r="K130" i="19" s="1"/>
  <c r="G130" i="19"/>
  <c r="D130" i="19"/>
  <c r="C130" i="19"/>
  <c r="B130" i="19"/>
  <c r="K129" i="19"/>
  <c r="J129" i="19"/>
  <c r="G129" i="19"/>
  <c r="D129" i="19"/>
  <c r="C129" i="19"/>
  <c r="B129" i="19"/>
  <c r="J128" i="19"/>
  <c r="K128" i="19" s="1"/>
  <c r="G128" i="19"/>
  <c r="D128" i="19"/>
  <c r="C128" i="19"/>
  <c r="B128" i="19"/>
  <c r="J127" i="19"/>
  <c r="K127" i="19" s="1"/>
  <c r="G127" i="19"/>
  <c r="D127" i="19"/>
  <c r="C127" i="19"/>
  <c r="B127" i="19"/>
  <c r="J126" i="19"/>
  <c r="K126" i="19" s="1"/>
  <c r="G126" i="19"/>
  <c r="D126" i="19"/>
  <c r="C126" i="19"/>
  <c r="B126" i="19"/>
  <c r="K125" i="19"/>
  <c r="J125" i="19"/>
  <c r="G125" i="19"/>
  <c r="D125" i="19"/>
  <c r="C125" i="19"/>
  <c r="B125" i="19"/>
  <c r="J124" i="19"/>
  <c r="K124" i="19" s="1"/>
  <c r="G124" i="19"/>
  <c r="D124" i="19"/>
  <c r="C124" i="19"/>
  <c r="B124" i="19"/>
  <c r="J123" i="19"/>
  <c r="K123" i="19" s="1"/>
  <c r="G123" i="19"/>
  <c r="D123" i="19"/>
  <c r="C123" i="19"/>
  <c r="B123" i="19"/>
  <c r="J122" i="19"/>
  <c r="K122" i="19" s="1"/>
  <c r="G122" i="19"/>
  <c r="D122" i="19"/>
  <c r="C122" i="19"/>
  <c r="B122" i="19"/>
  <c r="K121" i="19"/>
  <c r="J121" i="19"/>
  <c r="G121" i="19"/>
  <c r="D121" i="19"/>
  <c r="C121" i="19"/>
  <c r="B121" i="19"/>
  <c r="K120" i="19"/>
  <c r="J120" i="19"/>
  <c r="G120" i="19"/>
  <c r="D120" i="19"/>
  <c r="C120" i="19"/>
  <c r="B120" i="19"/>
  <c r="J119" i="19"/>
  <c r="K119" i="19" s="1"/>
  <c r="G119" i="19"/>
  <c r="D119" i="19"/>
  <c r="C119" i="19"/>
  <c r="B119" i="19"/>
  <c r="J118" i="19"/>
  <c r="K118" i="19" s="1"/>
  <c r="G118" i="19"/>
  <c r="D118" i="19"/>
  <c r="C118" i="19"/>
  <c r="B118" i="19"/>
  <c r="K117" i="19"/>
  <c r="J117" i="19"/>
  <c r="G117" i="19"/>
  <c r="D117" i="19"/>
  <c r="C117" i="19"/>
  <c r="B117" i="19"/>
  <c r="J116" i="19"/>
  <c r="K116" i="19" s="1"/>
  <c r="G116" i="19"/>
  <c r="D116" i="19"/>
  <c r="C116" i="19"/>
  <c r="B116" i="19"/>
  <c r="J115" i="19"/>
  <c r="K115" i="19" s="1"/>
  <c r="G115" i="19"/>
  <c r="D115" i="19"/>
  <c r="C115" i="19"/>
  <c r="B115" i="19"/>
  <c r="J114" i="19"/>
  <c r="K114" i="19" s="1"/>
  <c r="G114" i="19"/>
  <c r="D114" i="19"/>
  <c r="C114" i="19"/>
  <c r="B114" i="19"/>
  <c r="K113" i="19"/>
  <c r="J113" i="19"/>
  <c r="G113" i="19"/>
  <c r="D113" i="19"/>
  <c r="C113" i="19"/>
  <c r="B113" i="19"/>
  <c r="J112" i="19"/>
  <c r="K112" i="19" s="1"/>
  <c r="G112" i="19"/>
  <c r="D112" i="19"/>
  <c r="C112" i="19"/>
  <c r="B112" i="19"/>
  <c r="J111" i="19"/>
  <c r="K111" i="19" s="1"/>
  <c r="G111" i="19"/>
  <c r="D111" i="19"/>
  <c r="C111" i="19"/>
  <c r="B111" i="19"/>
  <c r="J110" i="19"/>
  <c r="K110" i="19" s="1"/>
  <c r="G110" i="19"/>
  <c r="D110" i="19"/>
  <c r="C110" i="19"/>
  <c r="B110" i="19"/>
  <c r="K109" i="19"/>
  <c r="J109" i="19"/>
  <c r="G109" i="19"/>
  <c r="D109" i="19"/>
  <c r="C109" i="19"/>
  <c r="B109" i="19"/>
  <c r="J108" i="19"/>
  <c r="K108" i="19" s="1"/>
  <c r="G108" i="19"/>
  <c r="D108" i="19"/>
  <c r="C108" i="19"/>
  <c r="B108" i="19"/>
  <c r="J107" i="19"/>
  <c r="K107" i="19" s="1"/>
  <c r="G107" i="19"/>
  <c r="D107" i="19"/>
  <c r="C107" i="19"/>
  <c r="B107" i="19"/>
  <c r="J106" i="19"/>
  <c r="K106" i="19" s="1"/>
  <c r="G106" i="19"/>
  <c r="D106" i="19"/>
  <c r="C106" i="19"/>
  <c r="B106" i="19"/>
  <c r="K105" i="19"/>
  <c r="J105" i="19"/>
  <c r="G105" i="19"/>
  <c r="D105" i="19"/>
  <c r="C105" i="19"/>
  <c r="B105" i="19"/>
  <c r="K104" i="19"/>
  <c r="J104" i="19"/>
  <c r="G104" i="19"/>
  <c r="D104" i="19"/>
  <c r="C104" i="19"/>
  <c r="B104" i="19"/>
  <c r="J103" i="19"/>
  <c r="K103" i="19" s="1"/>
  <c r="G103" i="19"/>
  <c r="D103" i="19"/>
  <c r="C103" i="19"/>
  <c r="B103" i="19"/>
  <c r="J102" i="19"/>
  <c r="K102" i="19" s="1"/>
  <c r="G102" i="19"/>
  <c r="D102" i="19"/>
  <c r="C102" i="19"/>
  <c r="B102" i="19"/>
  <c r="K101" i="19"/>
  <c r="J101" i="19"/>
  <c r="G101" i="19"/>
  <c r="D101" i="19"/>
  <c r="C101" i="19"/>
  <c r="B101" i="19"/>
  <c r="J100" i="19"/>
  <c r="K100" i="19" s="1"/>
  <c r="G100" i="19"/>
  <c r="D100" i="19"/>
  <c r="C100" i="19"/>
  <c r="B100" i="19"/>
  <c r="J99" i="19"/>
  <c r="K99" i="19" s="1"/>
  <c r="G99" i="19"/>
  <c r="D99" i="19"/>
  <c r="C99" i="19"/>
  <c r="B99" i="19"/>
  <c r="J98" i="19"/>
  <c r="K98" i="19" s="1"/>
  <c r="G98" i="19"/>
  <c r="D98" i="19"/>
  <c r="C98" i="19"/>
  <c r="B98" i="19"/>
  <c r="K97" i="19"/>
  <c r="J97" i="19"/>
  <c r="G97" i="19"/>
  <c r="D97" i="19"/>
  <c r="C97" i="19"/>
  <c r="B97" i="19"/>
  <c r="J96" i="19"/>
  <c r="K96" i="19" s="1"/>
  <c r="G96" i="19"/>
  <c r="D96" i="19"/>
  <c r="C96" i="19"/>
  <c r="B96" i="19"/>
  <c r="J95" i="19"/>
  <c r="K95" i="19" s="1"/>
  <c r="G95" i="19"/>
  <c r="D95" i="19"/>
  <c r="C95" i="19"/>
  <c r="B95" i="19"/>
  <c r="J94" i="19"/>
  <c r="K94" i="19" s="1"/>
  <c r="G94" i="19"/>
  <c r="D94" i="19"/>
  <c r="C94" i="19"/>
  <c r="B94" i="19"/>
  <c r="K93" i="19"/>
  <c r="J93" i="19"/>
  <c r="G93" i="19"/>
  <c r="D93" i="19"/>
  <c r="C93" i="19"/>
  <c r="B93" i="19"/>
  <c r="J92" i="19"/>
  <c r="K92" i="19" s="1"/>
  <c r="G92" i="19"/>
  <c r="D92" i="19"/>
  <c r="C92" i="19"/>
  <c r="B92" i="19"/>
  <c r="J91" i="19"/>
  <c r="K91" i="19" s="1"/>
  <c r="G91" i="19"/>
  <c r="D91" i="19"/>
  <c r="C91" i="19"/>
  <c r="B91" i="19"/>
  <c r="J90" i="19"/>
  <c r="K90" i="19" s="1"/>
  <c r="G90" i="19"/>
  <c r="D90" i="19"/>
  <c r="C90" i="19"/>
  <c r="B90" i="19"/>
  <c r="K89" i="19"/>
  <c r="J89" i="19"/>
  <c r="G89" i="19"/>
  <c r="D89" i="19"/>
  <c r="C89" i="19"/>
  <c r="B89" i="19"/>
  <c r="K88" i="19"/>
  <c r="J88" i="19"/>
  <c r="G88" i="19"/>
  <c r="D88" i="19"/>
  <c r="C88" i="19"/>
  <c r="B88" i="19"/>
  <c r="J87" i="19"/>
  <c r="K87" i="19" s="1"/>
  <c r="G87" i="19"/>
  <c r="D87" i="19"/>
  <c r="C87" i="19"/>
  <c r="B87" i="19"/>
  <c r="J86" i="19"/>
  <c r="K86" i="19" s="1"/>
  <c r="G86" i="19"/>
  <c r="D86" i="19"/>
  <c r="C86" i="19"/>
  <c r="B86" i="19"/>
  <c r="K85" i="19"/>
  <c r="J85" i="19"/>
  <c r="G85" i="19"/>
  <c r="D85" i="19"/>
  <c r="C85" i="19"/>
  <c r="B85" i="19"/>
  <c r="J84" i="19"/>
  <c r="K84" i="19" s="1"/>
  <c r="G84" i="19"/>
  <c r="D84" i="19"/>
  <c r="C84" i="19"/>
  <c r="B84" i="19"/>
  <c r="J83" i="19"/>
  <c r="K83" i="19" s="1"/>
  <c r="G83" i="19"/>
  <c r="D83" i="19"/>
  <c r="C83" i="19"/>
  <c r="B83" i="19"/>
  <c r="J82" i="19"/>
  <c r="K82" i="19" s="1"/>
  <c r="G82" i="19"/>
  <c r="D82" i="19"/>
  <c r="C82" i="19"/>
  <c r="B82" i="19"/>
  <c r="K81" i="19"/>
  <c r="J81" i="19"/>
  <c r="G81" i="19"/>
  <c r="D81" i="19"/>
  <c r="C81" i="19"/>
  <c r="B81" i="19"/>
  <c r="J80" i="19"/>
  <c r="K80" i="19" s="1"/>
  <c r="G80" i="19"/>
  <c r="D80" i="19"/>
  <c r="C80" i="19"/>
  <c r="B80" i="19"/>
  <c r="J79" i="19"/>
  <c r="K79" i="19" s="1"/>
  <c r="G79" i="19"/>
  <c r="D79" i="19"/>
  <c r="C79" i="19"/>
  <c r="B79" i="19"/>
  <c r="J78" i="19"/>
  <c r="K78" i="19" s="1"/>
  <c r="G78" i="19"/>
  <c r="D78" i="19"/>
  <c r="C78" i="19"/>
  <c r="B78" i="19"/>
  <c r="K77" i="19"/>
  <c r="J77" i="19"/>
  <c r="G77" i="19"/>
  <c r="D77" i="19"/>
  <c r="C77" i="19"/>
  <c r="B77" i="19"/>
  <c r="J76" i="19"/>
  <c r="K76" i="19" s="1"/>
  <c r="G76" i="19"/>
  <c r="D76" i="19"/>
  <c r="C76" i="19"/>
  <c r="B76" i="19"/>
  <c r="J75" i="19"/>
  <c r="K75" i="19" s="1"/>
  <c r="G75" i="19"/>
  <c r="D75" i="19"/>
  <c r="C75" i="19"/>
  <c r="B75" i="19"/>
  <c r="J74" i="19"/>
  <c r="K74" i="19" s="1"/>
  <c r="G74" i="19"/>
  <c r="D74" i="19"/>
  <c r="C74" i="19"/>
  <c r="B74" i="19"/>
  <c r="K73" i="19"/>
  <c r="J73" i="19"/>
  <c r="G73" i="19"/>
  <c r="D73" i="19"/>
  <c r="C73" i="19"/>
  <c r="B73" i="19"/>
  <c r="K72" i="19"/>
  <c r="J72" i="19"/>
  <c r="G72" i="19"/>
  <c r="D72" i="19"/>
  <c r="C72" i="19"/>
  <c r="B72" i="19"/>
  <c r="J71" i="19"/>
  <c r="K71" i="19" s="1"/>
  <c r="G71" i="19"/>
  <c r="D71" i="19"/>
  <c r="C71" i="19"/>
  <c r="B71" i="19"/>
  <c r="J70" i="19"/>
  <c r="K70" i="19" s="1"/>
  <c r="G70" i="19"/>
  <c r="D70" i="19"/>
  <c r="C70" i="19"/>
  <c r="B70" i="19"/>
  <c r="K69" i="19"/>
  <c r="J69" i="19"/>
  <c r="G69" i="19"/>
  <c r="D69" i="19"/>
  <c r="C69" i="19"/>
  <c r="B69" i="19"/>
  <c r="J68" i="19"/>
  <c r="K68" i="19" s="1"/>
  <c r="G68" i="19"/>
  <c r="D68" i="19"/>
  <c r="C68" i="19"/>
  <c r="B68" i="19"/>
  <c r="J67" i="19"/>
  <c r="K67" i="19" s="1"/>
  <c r="G67" i="19"/>
  <c r="D67" i="19"/>
  <c r="C67" i="19"/>
  <c r="B67" i="19"/>
  <c r="J66" i="19"/>
  <c r="K66" i="19" s="1"/>
  <c r="G66" i="19"/>
  <c r="D66" i="19"/>
  <c r="C66" i="19"/>
  <c r="B66" i="19"/>
  <c r="K65" i="19"/>
  <c r="J65" i="19"/>
  <c r="G65" i="19"/>
  <c r="D65" i="19"/>
  <c r="C65" i="19"/>
  <c r="B65" i="19"/>
  <c r="J64" i="19"/>
  <c r="K64" i="19" s="1"/>
  <c r="G64" i="19"/>
  <c r="D64" i="19"/>
  <c r="C64" i="19"/>
  <c r="B64" i="19"/>
  <c r="J63" i="19"/>
  <c r="K63" i="19" s="1"/>
  <c r="G63" i="19"/>
  <c r="D63" i="19"/>
  <c r="C63" i="19"/>
  <c r="B63" i="19"/>
  <c r="J62" i="19"/>
  <c r="K62" i="19" s="1"/>
  <c r="G62" i="19"/>
  <c r="D62" i="19"/>
  <c r="C62" i="19"/>
  <c r="B62" i="19"/>
  <c r="K61" i="19"/>
  <c r="J61" i="19"/>
  <c r="G61" i="19"/>
  <c r="D61" i="19"/>
  <c r="C61" i="19"/>
  <c r="B61" i="19"/>
  <c r="J60" i="19"/>
  <c r="K60" i="19" s="1"/>
  <c r="G60" i="19"/>
  <c r="D60" i="19"/>
  <c r="C60" i="19"/>
  <c r="B60" i="19"/>
  <c r="J59" i="19"/>
  <c r="K59" i="19" s="1"/>
  <c r="G59" i="19"/>
  <c r="D59" i="19"/>
  <c r="C59" i="19"/>
  <c r="B59" i="19"/>
  <c r="J58" i="19"/>
  <c r="K58" i="19" s="1"/>
  <c r="G58" i="19"/>
  <c r="D58" i="19"/>
  <c r="C58" i="19"/>
  <c r="B58" i="19"/>
  <c r="K57" i="19"/>
  <c r="J57" i="19"/>
  <c r="G57" i="19"/>
  <c r="D57" i="19"/>
  <c r="C57" i="19"/>
  <c r="B57" i="19"/>
  <c r="K56" i="19"/>
  <c r="J56" i="19"/>
  <c r="G56" i="19"/>
  <c r="D56" i="19"/>
  <c r="C56" i="19"/>
  <c r="B56" i="19"/>
  <c r="J55" i="19"/>
  <c r="K55" i="19" s="1"/>
  <c r="G55" i="19"/>
  <c r="D55" i="19"/>
  <c r="C55" i="19"/>
  <c r="B55" i="19"/>
  <c r="J54" i="19"/>
  <c r="K54" i="19" s="1"/>
  <c r="G54" i="19"/>
  <c r="D54" i="19"/>
  <c r="C54" i="19"/>
  <c r="B54" i="19"/>
  <c r="K53" i="19"/>
  <c r="J53" i="19"/>
  <c r="G53" i="19"/>
  <c r="D53" i="19"/>
  <c r="C53" i="19"/>
  <c r="B53" i="19"/>
  <c r="J52" i="19"/>
  <c r="K52" i="19" s="1"/>
  <c r="G52" i="19"/>
  <c r="D52" i="19"/>
  <c r="C52" i="19"/>
  <c r="B52" i="19"/>
  <c r="J51" i="19"/>
  <c r="K51" i="19" s="1"/>
  <c r="G51" i="19"/>
  <c r="D51" i="19"/>
  <c r="C51" i="19"/>
  <c r="B51" i="19"/>
  <c r="J50" i="19"/>
  <c r="K50" i="19" s="1"/>
  <c r="G50" i="19"/>
  <c r="D50" i="19"/>
  <c r="C50" i="19"/>
  <c r="B50" i="19"/>
  <c r="K49" i="19"/>
  <c r="J49" i="19"/>
  <c r="G49" i="19"/>
  <c r="D49" i="19"/>
  <c r="C49" i="19"/>
  <c r="B49" i="19"/>
  <c r="J48" i="19"/>
  <c r="K48" i="19" s="1"/>
  <c r="G48" i="19"/>
  <c r="D48" i="19"/>
  <c r="C48" i="19"/>
  <c r="B48" i="19"/>
  <c r="J47" i="19"/>
  <c r="K47" i="19" s="1"/>
  <c r="G47" i="19"/>
  <c r="D47" i="19"/>
  <c r="C47" i="19"/>
  <c r="B47" i="19"/>
  <c r="J46" i="19"/>
  <c r="K46" i="19" s="1"/>
  <c r="G46" i="19"/>
  <c r="D46" i="19"/>
  <c r="C46" i="19"/>
  <c r="B46" i="19"/>
  <c r="K45" i="19"/>
  <c r="J45" i="19"/>
  <c r="G45" i="19"/>
  <c r="D45" i="19"/>
  <c r="C45" i="19"/>
  <c r="B45" i="19"/>
  <c r="J44" i="19"/>
  <c r="K44" i="19" s="1"/>
  <c r="G44" i="19"/>
  <c r="D44" i="19"/>
  <c r="C44" i="19"/>
  <c r="B44" i="19"/>
  <c r="J43" i="19"/>
  <c r="K43" i="19" s="1"/>
  <c r="G43" i="19"/>
  <c r="D43" i="19"/>
  <c r="C43" i="19"/>
  <c r="B43" i="19"/>
  <c r="J42" i="19"/>
  <c r="K42" i="19" s="1"/>
  <c r="G42" i="19"/>
  <c r="D42" i="19"/>
  <c r="C42" i="19"/>
  <c r="B42" i="19"/>
  <c r="K41" i="19"/>
  <c r="J41" i="19"/>
  <c r="G41" i="19"/>
  <c r="D41" i="19"/>
  <c r="C41" i="19"/>
  <c r="B41" i="19"/>
  <c r="K40" i="19"/>
  <c r="J40" i="19"/>
  <c r="G40" i="19"/>
  <c r="D40" i="19"/>
  <c r="C40" i="19"/>
  <c r="B40" i="19"/>
  <c r="J39" i="19"/>
  <c r="K39" i="19" s="1"/>
  <c r="G39" i="19"/>
  <c r="D39" i="19"/>
  <c r="C39" i="19"/>
  <c r="B39" i="19"/>
  <c r="J38" i="19"/>
  <c r="K38" i="19" s="1"/>
  <c r="G38" i="19"/>
  <c r="D38" i="19"/>
  <c r="C38" i="19"/>
  <c r="B38" i="19"/>
  <c r="K37" i="19"/>
  <c r="J37" i="19"/>
  <c r="G37" i="19"/>
  <c r="D37" i="19"/>
  <c r="C37" i="19"/>
  <c r="B37" i="19"/>
  <c r="J36" i="19"/>
  <c r="K36" i="19" s="1"/>
  <c r="G36" i="19"/>
  <c r="D36" i="19"/>
  <c r="C36" i="19"/>
  <c r="B36" i="19"/>
  <c r="J35" i="19"/>
  <c r="K35" i="19" s="1"/>
  <c r="G35" i="19"/>
  <c r="D35" i="19"/>
  <c r="C35" i="19"/>
  <c r="B35" i="19"/>
  <c r="J34" i="19"/>
  <c r="K34" i="19" s="1"/>
  <c r="G34" i="19"/>
  <c r="D34" i="19"/>
  <c r="C34" i="19"/>
  <c r="B34" i="19"/>
  <c r="K33" i="19"/>
  <c r="J33" i="19"/>
  <c r="G33" i="19"/>
  <c r="D33" i="19"/>
  <c r="C33" i="19"/>
  <c r="B33" i="19"/>
  <c r="J32" i="19"/>
  <c r="K32" i="19" s="1"/>
  <c r="G32" i="19"/>
  <c r="D32" i="19"/>
  <c r="C32" i="19"/>
  <c r="B32" i="19"/>
  <c r="J31" i="19"/>
  <c r="K31" i="19" s="1"/>
  <c r="G31" i="19"/>
  <c r="D31" i="19"/>
  <c r="C31" i="19"/>
  <c r="B31" i="19"/>
  <c r="J30" i="19"/>
  <c r="K30" i="19" s="1"/>
  <c r="G30" i="19"/>
  <c r="D30" i="19"/>
  <c r="C30" i="19"/>
  <c r="B30" i="19"/>
  <c r="K29" i="19"/>
  <c r="J29" i="19"/>
  <c r="G29" i="19"/>
  <c r="D29" i="19"/>
  <c r="C29" i="19"/>
  <c r="B29" i="19"/>
  <c r="J28" i="19"/>
  <c r="K28" i="19" s="1"/>
  <c r="G28" i="19"/>
  <c r="D28" i="19"/>
  <c r="C28" i="19"/>
  <c r="B28" i="19"/>
  <c r="J27" i="19"/>
  <c r="K27" i="19" s="1"/>
  <c r="G27" i="19"/>
  <c r="D27" i="19"/>
  <c r="C27" i="19"/>
  <c r="B27" i="19"/>
  <c r="J26" i="19"/>
  <c r="K26" i="19" s="1"/>
  <c r="G26" i="19"/>
  <c r="D26" i="19"/>
  <c r="C26" i="19"/>
  <c r="B26" i="19"/>
  <c r="K25" i="19"/>
  <c r="J25" i="19"/>
  <c r="G25" i="19"/>
  <c r="D25" i="19"/>
  <c r="C25" i="19"/>
  <c r="B25" i="19"/>
  <c r="J24" i="19"/>
  <c r="K24" i="19" s="1"/>
  <c r="G24" i="19"/>
  <c r="D24" i="19"/>
  <c r="C24" i="19"/>
  <c r="B24" i="19"/>
  <c r="J23" i="19"/>
  <c r="K23" i="19" s="1"/>
  <c r="G23" i="19"/>
  <c r="D23" i="19"/>
  <c r="C23" i="19"/>
  <c r="B23" i="19"/>
  <c r="J22" i="19"/>
  <c r="K22" i="19" s="1"/>
  <c r="G22" i="19"/>
  <c r="D22" i="19"/>
  <c r="C22" i="19"/>
  <c r="B22" i="19"/>
  <c r="K21" i="19"/>
  <c r="J21" i="19"/>
  <c r="G21" i="19"/>
  <c r="D21" i="19"/>
  <c r="C21" i="19"/>
  <c r="B21" i="19"/>
  <c r="J20" i="19"/>
  <c r="K20" i="19" s="1"/>
  <c r="G20" i="19"/>
  <c r="D20" i="19"/>
  <c r="C20" i="19"/>
  <c r="B20" i="19"/>
  <c r="J19" i="19"/>
  <c r="K19" i="19" s="1"/>
  <c r="G19" i="19"/>
  <c r="D19" i="19"/>
  <c r="C19" i="19"/>
  <c r="B19" i="19"/>
  <c r="J18" i="19"/>
  <c r="K18" i="19" s="1"/>
  <c r="G18" i="19"/>
  <c r="D18" i="19"/>
  <c r="C18" i="19"/>
  <c r="B18" i="19"/>
  <c r="K17" i="19"/>
  <c r="J17" i="19"/>
  <c r="G17" i="19"/>
  <c r="D17" i="19"/>
  <c r="C17" i="19"/>
  <c r="B17" i="19"/>
  <c r="J16" i="19"/>
  <c r="K16" i="19" s="1"/>
  <c r="G16" i="19"/>
  <c r="D16" i="19"/>
  <c r="C16" i="19"/>
  <c r="B16" i="19"/>
  <c r="J15" i="19"/>
  <c r="K15" i="19" s="1"/>
  <c r="G15" i="19"/>
  <c r="D15" i="19"/>
  <c r="C15" i="19"/>
  <c r="B15" i="19"/>
  <c r="J14" i="19"/>
  <c r="K14" i="19" s="1"/>
  <c r="G14" i="19"/>
  <c r="D14" i="19"/>
  <c r="C14" i="19"/>
  <c r="B14" i="19"/>
  <c r="K13" i="19"/>
  <c r="J13" i="19"/>
  <c r="G13" i="19"/>
  <c r="D13" i="19"/>
  <c r="C13" i="19"/>
  <c r="B13" i="19"/>
  <c r="J12" i="19"/>
  <c r="K12" i="19" s="1"/>
  <c r="G12" i="19"/>
  <c r="D12" i="19"/>
  <c r="C12" i="19"/>
  <c r="B12" i="19"/>
  <c r="J11" i="19"/>
  <c r="K11" i="19" s="1"/>
  <c r="G11" i="19"/>
  <c r="D11" i="19"/>
  <c r="C11" i="19"/>
  <c r="B11" i="19"/>
  <c r="J10" i="19"/>
  <c r="K10" i="19" s="1"/>
  <c r="G10" i="19"/>
  <c r="D10" i="19"/>
  <c r="C10" i="19"/>
  <c r="B10" i="19"/>
  <c r="K9" i="19"/>
  <c r="J9" i="19"/>
  <c r="G9" i="19"/>
  <c r="D9" i="19"/>
  <c r="C9" i="19"/>
  <c r="B9" i="19"/>
  <c r="K4" i="19"/>
  <c r="G4" i="19"/>
  <c r="D4" i="19"/>
  <c r="A4" i="19"/>
  <c r="I208" i="18"/>
  <c r="J208" i="18" s="1"/>
  <c r="F208" i="18"/>
  <c r="D208" i="18"/>
  <c r="C208" i="18"/>
  <c r="B208" i="18"/>
  <c r="J207" i="18"/>
  <c r="I207" i="18"/>
  <c r="F207" i="18"/>
  <c r="D207" i="18"/>
  <c r="C207" i="18"/>
  <c r="B207" i="18"/>
  <c r="I206" i="18"/>
  <c r="J206" i="18" s="1"/>
  <c r="F206" i="18"/>
  <c r="D206" i="18"/>
  <c r="C206" i="18"/>
  <c r="B206" i="18"/>
  <c r="I205" i="18"/>
  <c r="J205" i="18" s="1"/>
  <c r="F205" i="18"/>
  <c r="D205" i="18"/>
  <c r="C205" i="18"/>
  <c r="B205" i="18"/>
  <c r="I204" i="18"/>
  <c r="J204" i="18" s="1"/>
  <c r="F204" i="18"/>
  <c r="D204" i="18"/>
  <c r="C204" i="18"/>
  <c r="B204" i="18"/>
  <c r="J203" i="18"/>
  <c r="I203" i="18"/>
  <c r="F203" i="18"/>
  <c r="D203" i="18"/>
  <c r="C203" i="18"/>
  <c r="B203" i="18"/>
  <c r="J202" i="18"/>
  <c r="I202" i="18"/>
  <c r="F202" i="18"/>
  <c r="D202" i="18"/>
  <c r="C202" i="18"/>
  <c r="B202" i="18"/>
  <c r="I201" i="18"/>
  <c r="J201" i="18" s="1"/>
  <c r="F201" i="18"/>
  <c r="D201" i="18"/>
  <c r="C201" i="18"/>
  <c r="B201" i="18"/>
  <c r="I200" i="18"/>
  <c r="J200" i="18" s="1"/>
  <c r="F200" i="18"/>
  <c r="D200" i="18"/>
  <c r="C200" i="18"/>
  <c r="B200" i="18"/>
  <c r="J199" i="18"/>
  <c r="I199" i="18"/>
  <c r="F199" i="18"/>
  <c r="D199" i="18"/>
  <c r="C199" i="18"/>
  <c r="B199" i="18"/>
  <c r="I198" i="18"/>
  <c r="J198" i="18" s="1"/>
  <c r="F198" i="18"/>
  <c r="D198" i="18"/>
  <c r="C198" i="18"/>
  <c r="B198" i="18"/>
  <c r="I197" i="18"/>
  <c r="J197" i="18" s="1"/>
  <c r="F197" i="18"/>
  <c r="D197" i="18"/>
  <c r="C197" i="18"/>
  <c r="B197" i="18"/>
  <c r="I196" i="18"/>
  <c r="J196" i="18" s="1"/>
  <c r="F196" i="18"/>
  <c r="D196" i="18"/>
  <c r="C196" i="18"/>
  <c r="B196" i="18"/>
  <c r="J195" i="18"/>
  <c r="I195" i="18"/>
  <c r="F195" i="18"/>
  <c r="D195" i="18"/>
  <c r="C195" i="18"/>
  <c r="B195" i="18"/>
  <c r="J194" i="18"/>
  <c r="I194" i="18"/>
  <c r="F194" i="18"/>
  <c r="D194" i="18"/>
  <c r="C194" i="18"/>
  <c r="B194" i="18"/>
  <c r="I193" i="18"/>
  <c r="J193" i="18" s="1"/>
  <c r="F193" i="18"/>
  <c r="D193" i="18"/>
  <c r="C193" i="18"/>
  <c r="B193" i="18"/>
  <c r="I192" i="18"/>
  <c r="J192" i="18" s="1"/>
  <c r="F192" i="18"/>
  <c r="D192" i="18"/>
  <c r="C192" i="18"/>
  <c r="B192" i="18"/>
  <c r="J191" i="18"/>
  <c r="I191" i="18"/>
  <c r="F191" i="18"/>
  <c r="D191" i="18"/>
  <c r="C191" i="18"/>
  <c r="B191" i="18"/>
  <c r="I190" i="18"/>
  <c r="J190" i="18" s="1"/>
  <c r="F190" i="18"/>
  <c r="D190" i="18"/>
  <c r="C190" i="18"/>
  <c r="B190" i="18"/>
  <c r="I189" i="18"/>
  <c r="J189" i="18" s="1"/>
  <c r="F189" i="18"/>
  <c r="D189" i="18"/>
  <c r="C189" i="18"/>
  <c r="B189" i="18"/>
  <c r="I188" i="18"/>
  <c r="J188" i="18" s="1"/>
  <c r="F188" i="18"/>
  <c r="D188" i="18"/>
  <c r="C188" i="18"/>
  <c r="B188" i="18"/>
  <c r="J187" i="18"/>
  <c r="I187" i="18"/>
  <c r="F187" i="18"/>
  <c r="D187" i="18"/>
  <c r="C187" i="18"/>
  <c r="B187" i="18"/>
  <c r="J186" i="18"/>
  <c r="I186" i="18"/>
  <c r="F186" i="18"/>
  <c r="D186" i="18"/>
  <c r="C186" i="18"/>
  <c r="B186" i="18"/>
  <c r="I185" i="18"/>
  <c r="J185" i="18" s="1"/>
  <c r="F185" i="18"/>
  <c r="D185" i="18"/>
  <c r="C185" i="18"/>
  <c r="B185" i="18"/>
  <c r="I184" i="18"/>
  <c r="J184" i="18" s="1"/>
  <c r="F184" i="18"/>
  <c r="D184" i="18"/>
  <c r="C184" i="18"/>
  <c r="B184" i="18"/>
  <c r="J183" i="18"/>
  <c r="I183" i="18"/>
  <c r="F183" i="18"/>
  <c r="D183" i="18"/>
  <c r="C183" i="18"/>
  <c r="B183" i="18"/>
  <c r="I182" i="18"/>
  <c r="J182" i="18" s="1"/>
  <c r="F182" i="18"/>
  <c r="D182" i="18"/>
  <c r="C182" i="18"/>
  <c r="B182" i="18"/>
  <c r="I181" i="18"/>
  <c r="J181" i="18" s="1"/>
  <c r="F181" i="18"/>
  <c r="D181" i="18"/>
  <c r="C181" i="18"/>
  <c r="B181" i="18"/>
  <c r="I180" i="18"/>
  <c r="J180" i="18" s="1"/>
  <c r="F180" i="18"/>
  <c r="D180" i="18"/>
  <c r="C180" i="18"/>
  <c r="B180" i="18"/>
  <c r="J179" i="18"/>
  <c r="I179" i="18"/>
  <c r="F179" i="18"/>
  <c r="D179" i="18"/>
  <c r="C179" i="18"/>
  <c r="B179" i="18"/>
  <c r="J178" i="18"/>
  <c r="I178" i="18"/>
  <c r="F178" i="18"/>
  <c r="D178" i="18"/>
  <c r="C178" i="18"/>
  <c r="B178" i="18"/>
  <c r="I177" i="18"/>
  <c r="J177" i="18" s="1"/>
  <c r="F177" i="18"/>
  <c r="D177" i="18"/>
  <c r="C177" i="18"/>
  <c r="B177" i="18"/>
  <c r="I176" i="18"/>
  <c r="J176" i="18" s="1"/>
  <c r="F176" i="18"/>
  <c r="D176" i="18"/>
  <c r="C176" i="18"/>
  <c r="B176" i="18"/>
  <c r="J175" i="18"/>
  <c r="I175" i="18"/>
  <c r="F175" i="18"/>
  <c r="D175" i="18"/>
  <c r="C175" i="18"/>
  <c r="B175" i="18"/>
  <c r="I174" i="18"/>
  <c r="J174" i="18" s="1"/>
  <c r="F174" i="18"/>
  <c r="D174" i="18"/>
  <c r="C174" i="18"/>
  <c r="B174" i="18"/>
  <c r="I173" i="18"/>
  <c r="J173" i="18" s="1"/>
  <c r="F173" i="18"/>
  <c r="D173" i="18"/>
  <c r="C173" i="18"/>
  <c r="B173" i="18"/>
  <c r="I172" i="18"/>
  <c r="J172" i="18" s="1"/>
  <c r="F172" i="18"/>
  <c r="D172" i="18"/>
  <c r="C172" i="18"/>
  <c r="B172" i="18"/>
  <c r="J171" i="18"/>
  <c r="I171" i="18"/>
  <c r="F171" i="18"/>
  <c r="D171" i="18"/>
  <c r="C171" i="18"/>
  <c r="B171" i="18"/>
  <c r="J170" i="18"/>
  <c r="I170" i="18"/>
  <c r="F170" i="18"/>
  <c r="D170" i="18"/>
  <c r="C170" i="18"/>
  <c r="B170" i="18"/>
  <c r="I169" i="18"/>
  <c r="J169" i="18" s="1"/>
  <c r="F169" i="18"/>
  <c r="D169" i="18"/>
  <c r="C169" i="18"/>
  <c r="B169" i="18"/>
  <c r="I168" i="18"/>
  <c r="J168" i="18" s="1"/>
  <c r="F168" i="18"/>
  <c r="D168" i="18"/>
  <c r="C168" i="18"/>
  <c r="B168" i="18"/>
  <c r="J167" i="18"/>
  <c r="I167" i="18"/>
  <c r="F167" i="18"/>
  <c r="D167" i="18"/>
  <c r="C167" i="18"/>
  <c r="B167" i="18"/>
  <c r="I166" i="18"/>
  <c r="J166" i="18" s="1"/>
  <c r="F166" i="18"/>
  <c r="D166" i="18"/>
  <c r="C166" i="18"/>
  <c r="B166" i="18"/>
  <c r="I165" i="18"/>
  <c r="J165" i="18" s="1"/>
  <c r="F165" i="18"/>
  <c r="D165" i="18"/>
  <c r="C165" i="18"/>
  <c r="B165" i="18"/>
  <c r="I164" i="18"/>
  <c r="J164" i="18" s="1"/>
  <c r="F164" i="18"/>
  <c r="D164" i="18"/>
  <c r="C164" i="18"/>
  <c r="B164" i="18"/>
  <c r="J163" i="18"/>
  <c r="I163" i="18"/>
  <c r="F163" i="18"/>
  <c r="D163" i="18"/>
  <c r="C163" i="18"/>
  <c r="B163" i="18"/>
  <c r="J162" i="18"/>
  <c r="I162" i="18"/>
  <c r="F162" i="18"/>
  <c r="D162" i="18"/>
  <c r="C162" i="18"/>
  <c r="B162" i="18"/>
  <c r="I161" i="18"/>
  <c r="J161" i="18" s="1"/>
  <c r="F161" i="18"/>
  <c r="D161" i="18"/>
  <c r="C161" i="18"/>
  <c r="B161" i="18"/>
  <c r="I160" i="18"/>
  <c r="J160" i="18" s="1"/>
  <c r="F160" i="18"/>
  <c r="D160" i="18"/>
  <c r="C160" i="18"/>
  <c r="B160" i="18"/>
  <c r="J159" i="18"/>
  <c r="I159" i="18"/>
  <c r="F159" i="18"/>
  <c r="D159" i="18"/>
  <c r="C159" i="18"/>
  <c r="B159" i="18"/>
  <c r="I158" i="18"/>
  <c r="J158" i="18" s="1"/>
  <c r="F158" i="18"/>
  <c r="D158" i="18"/>
  <c r="C158" i="18"/>
  <c r="B158" i="18"/>
  <c r="I157" i="18"/>
  <c r="J157" i="18" s="1"/>
  <c r="F157" i="18"/>
  <c r="D157" i="18"/>
  <c r="C157" i="18"/>
  <c r="B157" i="18"/>
  <c r="I156" i="18"/>
  <c r="J156" i="18" s="1"/>
  <c r="F156" i="18"/>
  <c r="D156" i="18"/>
  <c r="C156" i="18"/>
  <c r="B156" i="18"/>
  <c r="J155" i="18"/>
  <c r="I155" i="18"/>
  <c r="F155" i="18"/>
  <c r="D155" i="18"/>
  <c r="C155" i="18"/>
  <c r="B155" i="18"/>
  <c r="J154" i="18"/>
  <c r="I154" i="18"/>
  <c r="F154" i="18"/>
  <c r="D154" i="18"/>
  <c r="C154" i="18"/>
  <c r="B154" i="18"/>
  <c r="I153" i="18"/>
  <c r="J153" i="18" s="1"/>
  <c r="F153" i="18"/>
  <c r="D153" i="18"/>
  <c r="C153" i="18"/>
  <c r="B153" i="18"/>
  <c r="I152" i="18"/>
  <c r="J152" i="18" s="1"/>
  <c r="F152" i="18"/>
  <c r="D152" i="18"/>
  <c r="C152" i="18"/>
  <c r="B152" i="18"/>
  <c r="J151" i="18"/>
  <c r="I151" i="18"/>
  <c r="F151" i="18"/>
  <c r="D151" i="18"/>
  <c r="C151" i="18"/>
  <c r="B151" i="18"/>
  <c r="I150" i="18"/>
  <c r="J150" i="18" s="1"/>
  <c r="F150" i="18"/>
  <c r="D150" i="18"/>
  <c r="C150" i="18"/>
  <c r="B150" i="18"/>
  <c r="I149" i="18"/>
  <c r="J149" i="18" s="1"/>
  <c r="F149" i="18"/>
  <c r="D149" i="18"/>
  <c r="C149" i="18"/>
  <c r="B149" i="18"/>
  <c r="I148" i="18"/>
  <c r="J148" i="18" s="1"/>
  <c r="F148" i="18"/>
  <c r="D148" i="18"/>
  <c r="C148" i="18"/>
  <c r="B148" i="18"/>
  <c r="J147" i="18"/>
  <c r="I147" i="18"/>
  <c r="F147" i="18"/>
  <c r="D147" i="18"/>
  <c r="C147" i="18"/>
  <c r="B147" i="18"/>
  <c r="J146" i="18"/>
  <c r="I146" i="18"/>
  <c r="F146" i="18"/>
  <c r="D146" i="18"/>
  <c r="C146" i="18"/>
  <c r="B146" i="18"/>
  <c r="I145" i="18"/>
  <c r="J145" i="18" s="1"/>
  <c r="F145" i="18"/>
  <c r="D145" i="18"/>
  <c r="C145" i="18"/>
  <c r="B145" i="18"/>
  <c r="I144" i="18"/>
  <c r="J144" i="18" s="1"/>
  <c r="F144" i="18"/>
  <c r="D144" i="18"/>
  <c r="C144" i="18"/>
  <c r="B144" i="18"/>
  <c r="J143" i="18"/>
  <c r="I143" i="18"/>
  <c r="F143" i="18"/>
  <c r="D143" i="18"/>
  <c r="C143" i="18"/>
  <c r="B143" i="18"/>
  <c r="I142" i="18"/>
  <c r="J142" i="18" s="1"/>
  <c r="F142" i="18"/>
  <c r="D142" i="18"/>
  <c r="C142" i="18"/>
  <c r="B142" i="18"/>
  <c r="I141" i="18"/>
  <c r="J141" i="18" s="1"/>
  <c r="F141" i="18"/>
  <c r="D141" i="18"/>
  <c r="C141" i="18"/>
  <c r="B141" i="18"/>
  <c r="I140" i="18"/>
  <c r="J140" i="18" s="1"/>
  <c r="F140" i="18"/>
  <c r="D140" i="18"/>
  <c r="C140" i="18"/>
  <c r="B140" i="18"/>
  <c r="J139" i="18"/>
  <c r="I139" i="18"/>
  <c r="F139" i="18"/>
  <c r="D139" i="18"/>
  <c r="C139" i="18"/>
  <c r="B139" i="18"/>
  <c r="J138" i="18"/>
  <c r="I138" i="18"/>
  <c r="F138" i="18"/>
  <c r="D138" i="18"/>
  <c r="C138" i="18"/>
  <c r="B138" i="18"/>
  <c r="I137" i="18"/>
  <c r="J137" i="18" s="1"/>
  <c r="F137" i="18"/>
  <c r="D137" i="18"/>
  <c r="C137" i="18"/>
  <c r="B137" i="18"/>
  <c r="I136" i="18"/>
  <c r="J136" i="18" s="1"/>
  <c r="F136" i="18"/>
  <c r="D136" i="18"/>
  <c r="C136" i="18"/>
  <c r="B136" i="18"/>
  <c r="J135" i="18"/>
  <c r="I135" i="18"/>
  <c r="F135" i="18"/>
  <c r="D135" i="18"/>
  <c r="C135" i="18"/>
  <c r="B135" i="18"/>
  <c r="I134" i="18"/>
  <c r="J134" i="18" s="1"/>
  <c r="F134" i="18"/>
  <c r="D134" i="18"/>
  <c r="C134" i="18"/>
  <c r="B134" i="18"/>
  <c r="I133" i="18"/>
  <c r="J133" i="18" s="1"/>
  <c r="F133" i="18"/>
  <c r="D133" i="18"/>
  <c r="C133" i="18"/>
  <c r="B133" i="18"/>
  <c r="I132" i="18"/>
  <c r="J132" i="18" s="1"/>
  <c r="F132" i="18"/>
  <c r="D132" i="18"/>
  <c r="C132" i="18"/>
  <c r="B132" i="18"/>
  <c r="J131" i="18"/>
  <c r="I131" i="18"/>
  <c r="F131" i="18"/>
  <c r="D131" i="18"/>
  <c r="C131" i="18"/>
  <c r="B131" i="18"/>
  <c r="J130" i="18"/>
  <c r="I130" i="18"/>
  <c r="F130" i="18"/>
  <c r="D130" i="18"/>
  <c r="C130" i="18"/>
  <c r="B130" i="18"/>
  <c r="I129" i="18"/>
  <c r="J129" i="18" s="1"/>
  <c r="F129" i="18"/>
  <c r="D129" i="18"/>
  <c r="C129" i="18"/>
  <c r="B129" i="18"/>
  <c r="I128" i="18"/>
  <c r="J128" i="18" s="1"/>
  <c r="F128" i="18"/>
  <c r="D128" i="18"/>
  <c r="C128" i="18"/>
  <c r="B128" i="18"/>
  <c r="J127" i="18"/>
  <c r="I127" i="18"/>
  <c r="F127" i="18"/>
  <c r="D127" i="18"/>
  <c r="C127" i="18"/>
  <c r="B127" i="18"/>
  <c r="I126" i="18"/>
  <c r="J126" i="18" s="1"/>
  <c r="F126" i="18"/>
  <c r="D126" i="18"/>
  <c r="C126" i="18"/>
  <c r="B126" i="18"/>
  <c r="I125" i="18"/>
  <c r="J125" i="18" s="1"/>
  <c r="F125" i="18"/>
  <c r="D125" i="18"/>
  <c r="C125" i="18"/>
  <c r="B125" i="18"/>
  <c r="I124" i="18"/>
  <c r="J124" i="18" s="1"/>
  <c r="F124" i="18"/>
  <c r="D124" i="18"/>
  <c r="C124" i="18"/>
  <c r="B124" i="18"/>
  <c r="J123" i="18"/>
  <c r="I123" i="18"/>
  <c r="F123" i="18"/>
  <c r="D123" i="18"/>
  <c r="C123" i="18"/>
  <c r="B123" i="18"/>
  <c r="J122" i="18"/>
  <c r="I122" i="18"/>
  <c r="F122" i="18"/>
  <c r="D122" i="18"/>
  <c r="C122" i="18"/>
  <c r="B122" i="18"/>
  <c r="I121" i="18"/>
  <c r="J121" i="18" s="1"/>
  <c r="F121" i="18"/>
  <c r="D121" i="18"/>
  <c r="C121" i="18"/>
  <c r="B121" i="18"/>
  <c r="I120" i="18"/>
  <c r="J120" i="18" s="1"/>
  <c r="F120" i="18"/>
  <c r="D120" i="18"/>
  <c r="C120" i="18"/>
  <c r="B120" i="18"/>
  <c r="J119" i="18"/>
  <c r="I119" i="18"/>
  <c r="F119" i="18"/>
  <c r="D119" i="18"/>
  <c r="C119" i="18"/>
  <c r="B119" i="18"/>
  <c r="I118" i="18"/>
  <c r="J118" i="18" s="1"/>
  <c r="F118" i="18"/>
  <c r="D118" i="18"/>
  <c r="C118" i="18"/>
  <c r="B118" i="18"/>
  <c r="I117" i="18"/>
  <c r="J117" i="18" s="1"/>
  <c r="F117" i="18"/>
  <c r="D117" i="18"/>
  <c r="C117" i="18"/>
  <c r="B117" i="18"/>
  <c r="I116" i="18"/>
  <c r="J116" i="18" s="1"/>
  <c r="F116" i="18"/>
  <c r="D116" i="18"/>
  <c r="C116" i="18"/>
  <c r="B116" i="18"/>
  <c r="J115" i="18"/>
  <c r="I115" i="18"/>
  <c r="F115" i="18"/>
  <c r="D115" i="18"/>
  <c r="C115" i="18"/>
  <c r="B115" i="18"/>
  <c r="J114" i="18"/>
  <c r="I114" i="18"/>
  <c r="F114" i="18"/>
  <c r="D114" i="18"/>
  <c r="C114" i="18"/>
  <c r="B114" i="18"/>
  <c r="I113" i="18"/>
  <c r="J113" i="18" s="1"/>
  <c r="F113" i="18"/>
  <c r="D113" i="18"/>
  <c r="C113" i="18"/>
  <c r="B113" i="18"/>
  <c r="I112" i="18"/>
  <c r="J112" i="18" s="1"/>
  <c r="F112" i="18"/>
  <c r="D112" i="18"/>
  <c r="C112" i="18"/>
  <c r="B112" i="18"/>
  <c r="J111" i="18"/>
  <c r="I111" i="18"/>
  <c r="F111" i="18"/>
  <c r="D111" i="18"/>
  <c r="C111" i="18"/>
  <c r="B111" i="18"/>
  <c r="I110" i="18"/>
  <c r="J110" i="18" s="1"/>
  <c r="F110" i="18"/>
  <c r="D110" i="18"/>
  <c r="C110" i="18"/>
  <c r="B110" i="18"/>
  <c r="I109" i="18"/>
  <c r="J109" i="18" s="1"/>
  <c r="F109" i="18"/>
  <c r="D109" i="18"/>
  <c r="C109" i="18"/>
  <c r="B109" i="18"/>
  <c r="I108" i="18"/>
  <c r="J108" i="18" s="1"/>
  <c r="F108" i="18"/>
  <c r="D108" i="18"/>
  <c r="C108" i="18"/>
  <c r="B108" i="18"/>
  <c r="J107" i="18"/>
  <c r="I107" i="18"/>
  <c r="F107" i="18"/>
  <c r="D107" i="18"/>
  <c r="C107" i="18"/>
  <c r="B107" i="18"/>
  <c r="J106" i="18"/>
  <c r="I106" i="18"/>
  <c r="F106" i="18"/>
  <c r="D106" i="18"/>
  <c r="C106" i="18"/>
  <c r="B106" i="18"/>
  <c r="I105" i="18"/>
  <c r="J105" i="18" s="1"/>
  <c r="F105" i="18"/>
  <c r="D105" i="18"/>
  <c r="C105" i="18"/>
  <c r="B105" i="18"/>
  <c r="I104" i="18"/>
  <c r="J104" i="18" s="1"/>
  <c r="F104" i="18"/>
  <c r="D104" i="18"/>
  <c r="C104" i="18"/>
  <c r="B104" i="18"/>
  <c r="J103" i="18"/>
  <c r="I103" i="18"/>
  <c r="F103" i="18"/>
  <c r="D103" i="18"/>
  <c r="C103" i="18"/>
  <c r="B103" i="18"/>
  <c r="I102" i="18"/>
  <c r="J102" i="18" s="1"/>
  <c r="F102" i="18"/>
  <c r="D102" i="18"/>
  <c r="C102" i="18"/>
  <c r="B102" i="18"/>
  <c r="I101" i="18"/>
  <c r="J101" i="18" s="1"/>
  <c r="F101" i="18"/>
  <c r="D101" i="18"/>
  <c r="C101" i="18"/>
  <c r="B101" i="18"/>
  <c r="I100" i="18"/>
  <c r="J100" i="18" s="1"/>
  <c r="F100" i="18"/>
  <c r="D100" i="18"/>
  <c r="C100" i="18"/>
  <c r="B100" i="18"/>
  <c r="J99" i="18"/>
  <c r="I99" i="18"/>
  <c r="F99" i="18"/>
  <c r="D99" i="18"/>
  <c r="C99" i="18"/>
  <c r="B99" i="18"/>
  <c r="J98" i="18"/>
  <c r="I98" i="18"/>
  <c r="F98" i="18"/>
  <c r="D98" i="18"/>
  <c r="C98" i="18"/>
  <c r="B98" i="18"/>
  <c r="I97" i="18"/>
  <c r="J97" i="18" s="1"/>
  <c r="F97" i="18"/>
  <c r="D97" i="18"/>
  <c r="C97" i="18"/>
  <c r="B97" i="18"/>
  <c r="I96" i="18"/>
  <c r="J96" i="18" s="1"/>
  <c r="F96" i="18"/>
  <c r="D96" i="18"/>
  <c r="C96" i="18"/>
  <c r="B96" i="18"/>
  <c r="J95" i="18"/>
  <c r="I95" i="18"/>
  <c r="F95" i="18"/>
  <c r="D95" i="18"/>
  <c r="C95" i="18"/>
  <c r="B95" i="18"/>
  <c r="I94" i="18"/>
  <c r="J94" i="18" s="1"/>
  <c r="F94" i="18"/>
  <c r="D94" i="18"/>
  <c r="C94" i="18"/>
  <c r="B94" i="18"/>
  <c r="I93" i="18"/>
  <c r="J93" i="18" s="1"/>
  <c r="F93" i="18"/>
  <c r="D93" i="18"/>
  <c r="C93" i="18"/>
  <c r="B93" i="18"/>
  <c r="I92" i="18"/>
  <c r="J92" i="18" s="1"/>
  <c r="F92" i="18"/>
  <c r="D92" i="18"/>
  <c r="C92" i="18"/>
  <c r="B92" i="18"/>
  <c r="J91" i="18"/>
  <c r="I91" i="18"/>
  <c r="F91" i="18"/>
  <c r="D91" i="18"/>
  <c r="C91" i="18"/>
  <c r="B91" i="18"/>
  <c r="J90" i="18"/>
  <c r="I90" i="18"/>
  <c r="F90" i="18"/>
  <c r="D90" i="18"/>
  <c r="C90" i="18"/>
  <c r="B90" i="18"/>
  <c r="I89" i="18"/>
  <c r="J89" i="18" s="1"/>
  <c r="F89" i="18"/>
  <c r="D89" i="18"/>
  <c r="C89" i="18"/>
  <c r="B89" i="18"/>
  <c r="I88" i="18"/>
  <c r="J88" i="18" s="1"/>
  <c r="F88" i="18"/>
  <c r="D88" i="18"/>
  <c r="C88" i="18"/>
  <c r="B88" i="18"/>
  <c r="J87" i="18"/>
  <c r="I87" i="18"/>
  <c r="F87" i="18"/>
  <c r="D87" i="18"/>
  <c r="C87" i="18"/>
  <c r="B87" i="18"/>
  <c r="I86" i="18"/>
  <c r="J86" i="18" s="1"/>
  <c r="F86" i="18"/>
  <c r="D86" i="18"/>
  <c r="C86" i="18"/>
  <c r="B86" i="18"/>
  <c r="I85" i="18"/>
  <c r="J85" i="18" s="1"/>
  <c r="F85" i="18"/>
  <c r="D85" i="18"/>
  <c r="C85" i="18"/>
  <c r="B85" i="18"/>
  <c r="I84" i="18"/>
  <c r="J84" i="18" s="1"/>
  <c r="F84" i="18"/>
  <c r="D84" i="18"/>
  <c r="C84" i="18"/>
  <c r="B84" i="18"/>
  <c r="J83" i="18"/>
  <c r="I83" i="18"/>
  <c r="F83" i="18"/>
  <c r="D83" i="18"/>
  <c r="C83" i="18"/>
  <c r="B83" i="18"/>
  <c r="J82" i="18"/>
  <c r="I82" i="18"/>
  <c r="F82" i="18"/>
  <c r="D82" i="18"/>
  <c r="C82" i="18"/>
  <c r="B82" i="18"/>
  <c r="I81" i="18"/>
  <c r="J81" i="18" s="1"/>
  <c r="F81" i="18"/>
  <c r="D81" i="18"/>
  <c r="C81" i="18"/>
  <c r="B81" i="18"/>
  <c r="I80" i="18"/>
  <c r="J80" i="18" s="1"/>
  <c r="F80" i="18"/>
  <c r="D80" i="18"/>
  <c r="C80" i="18"/>
  <c r="B80" i="18"/>
  <c r="J79" i="18"/>
  <c r="I79" i="18"/>
  <c r="F79" i="18"/>
  <c r="D79" i="18"/>
  <c r="C79" i="18"/>
  <c r="B79" i="18"/>
  <c r="I78" i="18"/>
  <c r="J78" i="18" s="1"/>
  <c r="F78" i="18"/>
  <c r="D78" i="18"/>
  <c r="C78" i="18"/>
  <c r="B78" i="18"/>
  <c r="I77" i="18"/>
  <c r="J77" i="18" s="1"/>
  <c r="F77" i="18"/>
  <c r="D77" i="18"/>
  <c r="C77" i="18"/>
  <c r="B77" i="18"/>
  <c r="I76" i="18"/>
  <c r="J76" i="18" s="1"/>
  <c r="F76" i="18"/>
  <c r="D76" i="18"/>
  <c r="C76" i="18"/>
  <c r="B76" i="18"/>
  <c r="J75" i="18"/>
  <c r="I75" i="18"/>
  <c r="F75" i="18"/>
  <c r="D75" i="18"/>
  <c r="C75" i="18"/>
  <c r="B75" i="18"/>
  <c r="J74" i="18"/>
  <c r="I74" i="18"/>
  <c r="F74" i="18"/>
  <c r="D74" i="18"/>
  <c r="C74" i="18"/>
  <c r="B74" i="18"/>
  <c r="I73" i="18"/>
  <c r="J73" i="18" s="1"/>
  <c r="F73" i="18"/>
  <c r="D73" i="18"/>
  <c r="C73" i="18"/>
  <c r="B73" i="18"/>
  <c r="I72" i="18"/>
  <c r="J72" i="18" s="1"/>
  <c r="F72" i="18"/>
  <c r="D72" i="18"/>
  <c r="C72" i="18"/>
  <c r="B72" i="18"/>
  <c r="J71" i="18"/>
  <c r="I71" i="18"/>
  <c r="F71" i="18"/>
  <c r="D71" i="18"/>
  <c r="C71" i="18"/>
  <c r="B71" i="18"/>
  <c r="I70" i="18"/>
  <c r="J70" i="18" s="1"/>
  <c r="F70" i="18"/>
  <c r="D70" i="18"/>
  <c r="C70" i="18"/>
  <c r="B70" i="18"/>
  <c r="I69" i="18"/>
  <c r="J69" i="18" s="1"/>
  <c r="F69" i="18"/>
  <c r="D69" i="18"/>
  <c r="C69" i="18"/>
  <c r="B69" i="18"/>
  <c r="I68" i="18"/>
  <c r="J68" i="18" s="1"/>
  <c r="F68" i="18"/>
  <c r="D68" i="18"/>
  <c r="C68" i="18"/>
  <c r="B68" i="18"/>
  <c r="J67" i="18"/>
  <c r="I67" i="18"/>
  <c r="F67" i="18"/>
  <c r="D67" i="18"/>
  <c r="C67" i="18"/>
  <c r="B67" i="18"/>
  <c r="J66" i="18"/>
  <c r="I66" i="18"/>
  <c r="F66" i="18"/>
  <c r="D66" i="18"/>
  <c r="C66" i="18"/>
  <c r="B66" i="18"/>
  <c r="I65" i="18"/>
  <c r="J65" i="18" s="1"/>
  <c r="F65" i="18"/>
  <c r="D65" i="18"/>
  <c r="C65" i="18"/>
  <c r="B65" i="18"/>
  <c r="I64" i="18"/>
  <c r="J64" i="18" s="1"/>
  <c r="F64" i="18"/>
  <c r="D64" i="18"/>
  <c r="C64" i="18"/>
  <c r="B64" i="18"/>
  <c r="J63" i="18"/>
  <c r="I63" i="18"/>
  <c r="F63" i="18"/>
  <c r="D63" i="18"/>
  <c r="C63" i="18"/>
  <c r="B63" i="18"/>
  <c r="I62" i="18"/>
  <c r="J62" i="18" s="1"/>
  <c r="F62" i="18"/>
  <c r="D62" i="18"/>
  <c r="C62" i="18"/>
  <c r="B62" i="18"/>
  <c r="I61" i="18"/>
  <c r="J61" i="18" s="1"/>
  <c r="F61" i="18"/>
  <c r="D61" i="18"/>
  <c r="C61" i="18"/>
  <c r="B61" i="18"/>
  <c r="I60" i="18"/>
  <c r="J60" i="18" s="1"/>
  <c r="F60" i="18"/>
  <c r="D60" i="18"/>
  <c r="C60" i="18"/>
  <c r="B60" i="18"/>
  <c r="J59" i="18"/>
  <c r="I59" i="18"/>
  <c r="F59" i="18"/>
  <c r="D59" i="18"/>
  <c r="C59" i="18"/>
  <c r="B59" i="18"/>
  <c r="J58" i="18"/>
  <c r="I58" i="18"/>
  <c r="F58" i="18"/>
  <c r="D58" i="18"/>
  <c r="C58" i="18"/>
  <c r="B58" i="18"/>
  <c r="I57" i="18"/>
  <c r="J57" i="18" s="1"/>
  <c r="F57" i="18"/>
  <c r="D57" i="18"/>
  <c r="C57" i="18"/>
  <c r="B57" i="18"/>
  <c r="I56" i="18"/>
  <c r="J56" i="18" s="1"/>
  <c r="F56" i="18"/>
  <c r="D56" i="18"/>
  <c r="C56" i="18"/>
  <c r="B56" i="18"/>
  <c r="J55" i="18"/>
  <c r="I55" i="18"/>
  <c r="F55" i="18"/>
  <c r="D55" i="18"/>
  <c r="C55" i="18"/>
  <c r="B55" i="18"/>
  <c r="I54" i="18"/>
  <c r="J54" i="18" s="1"/>
  <c r="F54" i="18"/>
  <c r="D54" i="18"/>
  <c r="C54" i="18"/>
  <c r="B54" i="18"/>
  <c r="I53" i="18"/>
  <c r="J53" i="18" s="1"/>
  <c r="F53" i="18"/>
  <c r="D53" i="18"/>
  <c r="C53" i="18"/>
  <c r="B53" i="18"/>
  <c r="I52" i="18"/>
  <c r="J52" i="18" s="1"/>
  <c r="F52" i="18"/>
  <c r="D52" i="18"/>
  <c r="C52" i="18"/>
  <c r="B52" i="18"/>
  <c r="J51" i="18"/>
  <c r="I51" i="18"/>
  <c r="F51" i="18"/>
  <c r="D51" i="18"/>
  <c r="C51" i="18"/>
  <c r="B51" i="18"/>
  <c r="J50" i="18"/>
  <c r="I50" i="18"/>
  <c r="F50" i="18"/>
  <c r="D50" i="18"/>
  <c r="C50" i="18"/>
  <c r="B50" i="18"/>
  <c r="I49" i="18"/>
  <c r="J49" i="18" s="1"/>
  <c r="F49" i="18"/>
  <c r="D49" i="18"/>
  <c r="C49" i="18"/>
  <c r="B49" i="18"/>
  <c r="I48" i="18"/>
  <c r="J48" i="18" s="1"/>
  <c r="F48" i="18"/>
  <c r="D48" i="18"/>
  <c r="C48" i="18"/>
  <c r="B48" i="18"/>
  <c r="J47" i="18"/>
  <c r="I47" i="18"/>
  <c r="F47" i="18"/>
  <c r="D47" i="18"/>
  <c r="C47" i="18"/>
  <c r="B47" i="18"/>
  <c r="I46" i="18"/>
  <c r="J46" i="18" s="1"/>
  <c r="F46" i="18"/>
  <c r="D46" i="18"/>
  <c r="C46" i="18"/>
  <c r="B46" i="18"/>
  <c r="I45" i="18"/>
  <c r="J45" i="18" s="1"/>
  <c r="F45" i="18"/>
  <c r="D45" i="18"/>
  <c r="C45" i="18"/>
  <c r="B45" i="18"/>
  <c r="I44" i="18"/>
  <c r="J44" i="18" s="1"/>
  <c r="F44" i="18"/>
  <c r="D44" i="18"/>
  <c r="C44" i="18"/>
  <c r="B44" i="18"/>
  <c r="J43" i="18"/>
  <c r="I43" i="18"/>
  <c r="F43" i="18"/>
  <c r="D43" i="18"/>
  <c r="C43" i="18"/>
  <c r="B43" i="18"/>
  <c r="J42" i="18"/>
  <c r="I42" i="18"/>
  <c r="F42" i="18"/>
  <c r="D42" i="18"/>
  <c r="C42" i="18"/>
  <c r="B42" i="18"/>
  <c r="I41" i="18"/>
  <c r="J41" i="18" s="1"/>
  <c r="F41" i="18"/>
  <c r="D41" i="18"/>
  <c r="C41" i="18"/>
  <c r="B41" i="18"/>
  <c r="I40" i="18"/>
  <c r="J40" i="18" s="1"/>
  <c r="F40" i="18"/>
  <c r="D40" i="18"/>
  <c r="C40" i="18"/>
  <c r="B40" i="18"/>
  <c r="J39" i="18"/>
  <c r="I39" i="18"/>
  <c r="F39" i="18"/>
  <c r="D39" i="18"/>
  <c r="C39" i="18"/>
  <c r="B39" i="18"/>
  <c r="I38" i="18"/>
  <c r="J38" i="18" s="1"/>
  <c r="F38" i="18"/>
  <c r="D38" i="18"/>
  <c r="C38" i="18"/>
  <c r="B38" i="18"/>
  <c r="I37" i="18"/>
  <c r="J37" i="18" s="1"/>
  <c r="F37" i="18"/>
  <c r="D37" i="18"/>
  <c r="C37" i="18"/>
  <c r="B37" i="18"/>
  <c r="I36" i="18"/>
  <c r="J36" i="18" s="1"/>
  <c r="F36" i="18"/>
  <c r="D36" i="18"/>
  <c r="C36" i="18"/>
  <c r="B36" i="18"/>
  <c r="J35" i="18"/>
  <c r="I35" i="18"/>
  <c r="F35" i="18"/>
  <c r="D35" i="18"/>
  <c r="C35" i="18"/>
  <c r="B35" i="18"/>
  <c r="J34" i="18"/>
  <c r="I34" i="18"/>
  <c r="F34" i="18"/>
  <c r="D34" i="18"/>
  <c r="C34" i="18"/>
  <c r="B34" i="18"/>
  <c r="I33" i="18"/>
  <c r="J33" i="18" s="1"/>
  <c r="F33" i="18"/>
  <c r="D33" i="18"/>
  <c r="C33" i="18"/>
  <c r="B33" i="18"/>
  <c r="I32" i="18"/>
  <c r="J32" i="18" s="1"/>
  <c r="F32" i="18"/>
  <c r="D32" i="18"/>
  <c r="C32" i="18"/>
  <c r="B32" i="18"/>
  <c r="J31" i="18"/>
  <c r="I31" i="18"/>
  <c r="F31" i="18"/>
  <c r="D31" i="18"/>
  <c r="C31" i="18"/>
  <c r="B31" i="18"/>
  <c r="I30" i="18"/>
  <c r="J30" i="18" s="1"/>
  <c r="F30" i="18"/>
  <c r="D30" i="18"/>
  <c r="C30" i="18"/>
  <c r="B30" i="18"/>
  <c r="I29" i="18"/>
  <c r="J29" i="18" s="1"/>
  <c r="F29" i="18"/>
  <c r="D29" i="18"/>
  <c r="C29" i="18"/>
  <c r="B29" i="18"/>
  <c r="I28" i="18"/>
  <c r="J28" i="18" s="1"/>
  <c r="F28" i="18"/>
  <c r="D28" i="18"/>
  <c r="C28" i="18"/>
  <c r="B28" i="18"/>
  <c r="J27" i="18"/>
  <c r="I27" i="18"/>
  <c r="F27" i="18"/>
  <c r="D27" i="18"/>
  <c r="C27" i="18"/>
  <c r="B27" i="18"/>
  <c r="J26" i="18"/>
  <c r="I26" i="18"/>
  <c r="F26" i="18"/>
  <c r="D26" i="18"/>
  <c r="C26" i="18"/>
  <c r="B26" i="18"/>
  <c r="I25" i="18"/>
  <c r="J25" i="18" s="1"/>
  <c r="F25" i="18"/>
  <c r="D25" i="18"/>
  <c r="C25" i="18"/>
  <c r="B25" i="18"/>
  <c r="I24" i="18"/>
  <c r="J24" i="18" s="1"/>
  <c r="F24" i="18"/>
  <c r="D24" i="18"/>
  <c r="C24" i="18"/>
  <c r="B24" i="18"/>
  <c r="J23" i="18"/>
  <c r="I23" i="18"/>
  <c r="F23" i="18"/>
  <c r="D23" i="18"/>
  <c r="C23" i="18"/>
  <c r="B23" i="18"/>
  <c r="I22" i="18"/>
  <c r="J22" i="18" s="1"/>
  <c r="F22" i="18"/>
  <c r="D22" i="18"/>
  <c r="C22" i="18"/>
  <c r="B22" i="18"/>
  <c r="I21" i="18"/>
  <c r="J21" i="18" s="1"/>
  <c r="F21" i="18"/>
  <c r="D21" i="18"/>
  <c r="C21" i="18"/>
  <c r="B21" i="18"/>
  <c r="I20" i="18"/>
  <c r="J20" i="18" s="1"/>
  <c r="F20" i="18"/>
  <c r="D20" i="18"/>
  <c r="C20" i="18"/>
  <c r="B20" i="18"/>
  <c r="J19" i="18"/>
  <c r="I19" i="18"/>
  <c r="F19" i="18"/>
  <c r="D19" i="18"/>
  <c r="C19" i="18"/>
  <c r="B19" i="18"/>
  <c r="J18" i="18"/>
  <c r="I18" i="18"/>
  <c r="F18" i="18"/>
  <c r="D18" i="18"/>
  <c r="C18" i="18"/>
  <c r="B18" i="18"/>
  <c r="I17" i="18"/>
  <c r="J17" i="18" s="1"/>
  <c r="F17" i="18"/>
  <c r="D17" i="18"/>
  <c r="C17" i="18"/>
  <c r="B17" i="18"/>
  <c r="I16" i="18"/>
  <c r="J16" i="18" s="1"/>
  <c r="F16" i="18"/>
  <c r="D16" i="18"/>
  <c r="C16" i="18"/>
  <c r="B16" i="18"/>
  <c r="J15" i="18"/>
  <c r="I15" i="18"/>
  <c r="F15" i="18"/>
  <c r="D15" i="18"/>
  <c r="C15" i="18"/>
  <c r="B15" i="18"/>
  <c r="I14" i="18"/>
  <c r="J14" i="18" s="1"/>
  <c r="F14" i="18"/>
  <c r="D14" i="18"/>
  <c r="C14" i="18"/>
  <c r="B14" i="18"/>
  <c r="I13" i="18"/>
  <c r="J13" i="18" s="1"/>
  <c r="F13" i="18"/>
  <c r="D13" i="18"/>
  <c r="C13" i="18"/>
  <c r="B13" i="18"/>
  <c r="I12" i="18"/>
  <c r="J12" i="18" s="1"/>
  <c r="F12" i="18"/>
  <c r="D12" i="18"/>
  <c r="C12" i="18"/>
  <c r="B12" i="18"/>
  <c r="J11" i="18"/>
  <c r="I11" i="18"/>
  <c r="F11" i="18"/>
  <c r="D11" i="18"/>
  <c r="C11" i="18"/>
  <c r="B11" i="18"/>
  <c r="J10" i="18"/>
  <c r="I10" i="18"/>
  <c r="F10" i="18"/>
  <c r="D10" i="18"/>
  <c r="C10" i="18"/>
  <c r="B10" i="18"/>
  <c r="I9" i="18"/>
  <c r="J9" i="18" s="1"/>
  <c r="F9" i="18"/>
  <c r="D9" i="18"/>
  <c r="C9" i="18"/>
  <c r="B9" i="18"/>
  <c r="A5" i="18"/>
  <c r="G4" i="18"/>
  <c r="D4" i="18"/>
  <c r="A4" i="18"/>
  <c r="K213" i="17"/>
  <c r="K212" i="17"/>
  <c r="K211" i="17"/>
  <c r="K210" i="17"/>
  <c r="K209" i="17"/>
  <c r="K208" i="17"/>
  <c r="K207" i="17"/>
  <c r="K206" i="17"/>
  <c r="K205" i="17"/>
  <c r="K204" i="17"/>
  <c r="K203" i="17"/>
  <c r="K202" i="17"/>
  <c r="K201" i="17"/>
  <c r="K200" i="17"/>
  <c r="K199" i="17"/>
  <c r="K198" i="17"/>
  <c r="K197" i="17"/>
  <c r="K196" i="17"/>
  <c r="K195" i="17"/>
  <c r="K194" i="17"/>
  <c r="K193" i="17"/>
  <c r="K192" i="17"/>
  <c r="K191" i="17"/>
  <c r="K190" i="17"/>
  <c r="K189" i="17"/>
  <c r="K188" i="17"/>
  <c r="K187" i="17"/>
  <c r="K186" i="17"/>
  <c r="K185" i="17"/>
  <c r="K184" i="17"/>
  <c r="K183" i="17"/>
  <c r="K182" i="17"/>
  <c r="K181" i="17"/>
  <c r="K180" i="17"/>
  <c r="K179" i="17"/>
  <c r="K178" i="17"/>
  <c r="K177" i="17"/>
  <c r="K176" i="17"/>
  <c r="K175" i="17"/>
  <c r="K174" i="17"/>
  <c r="K173" i="17"/>
  <c r="K172" i="17"/>
  <c r="K171" i="17"/>
  <c r="K170" i="17"/>
  <c r="K169" i="17"/>
  <c r="K168" i="17"/>
  <c r="K167" i="17"/>
  <c r="K166" i="17"/>
  <c r="K165" i="17"/>
  <c r="K164" i="17"/>
  <c r="K163" i="17"/>
  <c r="K162" i="17"/>
  <c r="K161" i="17"/>
  <c r="K160" i="17"/>
  <c r="K159" i="17"/>
  <c r="K158" i="17"/>
  <c r="K157" i="17"/>
  <c r="K156" i="17"/>
  <c r="K155" i="17"/>
  <c r="K154" i="17"/>
  <c r="K153" i="17"/>
  <c r="K152" i="17"/>
  <c r="K151" i="17"/>
  <c r="K150" i="17"/>
  <c r="K149" i="17"/>
  <c r="K148" i="17"/>
  <c r="K147" i="17"/>
  <c r="K146" i="17"/>
  <c r="K145" i="17"/>
  <c r="K144" i="17"/>
  <c r="K143" i="17"/>
  <c r="K142" i="17"/>
  <c r="K141" i="17"/>
  <c r="K140" i="17"/>
  <c r="K139" i="17"/>
  <c r="K138" i="17"/>
  <c r="K137" i="17"/>
  <c r="K136" i="17"/>
  <c r="K135" i="17"/>
  <c r="K134" i="17"/>
  <c r="K133" i="17"/>
  <c r="K132" i="17"/>
  <c r="K131" i="17"/>
  <c r="K130" i="17"/>
  <c r="K129" i="17"/>
  <c r="K128" i="17"/>
  <c r="K127" i="17"/>
  <c r="K126" i="17"/>
  <c r="K125" i="17"/>
  <c r="K124" i="17"/>
  <c r="K123" i="17"/>
  <c r="K122" i="17"/>
  <c r="K121" i="17"/>
  <c r="K120" i="17"/>
  <c r="K119" i="17"/>
  <c r="K118" i="17"/>
  <c r="K117" i="17"/>
  <c r="K116" i="17"/>
  <c r="K115" i="17"/>
  <c r="K114" i="17"/>
  <c r="K113" i="17"/>
  <c r="J113" i="17"/>
  <c r="I113" i="17"/>
  <c r="D113" i="17"/>
  <c r="C113" i="17"/>
  <c r="A113" i="17"/>
  <c r="K112" i="17"/>
  <c r="I112" i="17"/>
  <c r="J112" i="17" s="1"/>
  <c r="D112" i="17"/>
  <c r="C112" i="17"/>
  <c r="A112" i="17"/>
  <c r="K111" i="17"/>
  <c r="I111" i="17"/>
  <c r="J111" i="17" s="1"/>
  <c r="D111" i="17"/>
  <c r="C111" i="17"/>
  <c r="A111" i="17"/>
  <c r="K110" i="17"/>
  <c r="I110" i="17"/>
  <c r="J110" i="17" s="1"/>
  <c r="D110" i="17"/>
  <c r="C110" i="17"/>
  <c r="A110" i="17"/>
  <c r="K109" i="17"/>
  <c r="I109" i="17"/>
  <c r="J109" i="17" s="1"/>
  <c r="D109" i="17"/>
  <c r="C109" i="17"/>
  <c r="A109" i="17"/>
  <c r="K108" i="17"/>
  <c r="I108" i="17"/>
  <c r="J108" i="17" s="1"/>
  <c r="D108" i="17"/>
  <c r="C108" i="17"/>
  <c r="A108" i="17"/>
  <c r="K107" i="17"/>
  <c r="I107" i="17"/>
  <c r="J107" i="17" s="1"/>
  <c r="D107" i="17"/>
  <c r="C107" i="17"/>
  <c r="A107" i="17"/>
  <c r="K106" i="17"/>
  <c r="J106" i="17"/>
  <c r="I106" i="17"/>
  <c r="D106" i="17"/>
  <c r="C106" i="17"/>
  <c r="A106" i="17"/>
  <c r="K105" i="17"/>
  <c r="I105" i="17"/>
  <c r="J105" i="17" s="1"/>
  <c r="D105" i="17"/>
  <c r="C105" i="17"/>
  <c r="A105" i="17"/>
  <c r="K104" i="17"/>
  <c r="I104" i="17"/>
  <c r="J104" i="17" s="1"/>
  <c r="D104" i="17"/>
  <c r="C104" i="17"/>
  <c r="A104" i="17"/>
  <c r="K103" i="17"/>
  <c r="I103" i="17"/>
  <c r="J103" i="17" s="1"/>
  <c r="D103" i="17"/>
  <c r="C103" i="17"/>
  <c r="A103" i="17"/>
  <c r="K102" i="17"/>
  <c r="I102" i="17"/>
  <c r="J102" i="17" s="1"/>
  <c r="D102" i="17"/>
  <c r="C102" i="17"/>
  <c r="A102" i="17"/>
  <c r="K101" i="17"/>
  <c r="I101" i="17"/>
  <c r="J101" i="17" s="1"/>
  <c r="D101" i="17"/>
  <c r="C101" i="17"/>
  <c r="A101" i="17"/>
  <c r="K100" i="17"/>
  <c r="I100" i="17"/>
  <c r="J100" i="17" s="1"/>
  <c r="D100" i="17"/>
  <c r="C100" i="17"/>
  <c r="A100" i="17"/>
  <c r="K99" i="17"/>
  <c r="J99" i="17"/>
  <c r="I99" i="17"/>
  <c r="D99" i="17"/>
  <c r="C99" i="17"/>
  <c r="A99" i="17"/>
  <c r="K98" i="17"/>
  <c r="I98" i="17"/>
  <c r="J98" i="17" s="1"/>
  <c r="D98" i="17"/>
  <c r="C98" i="17"/>
  <c r="A98" i="17"/>
  <c r="K97" i="17"/>
  <c r="J97" i="17"/>
  <c r="I97" i="17"/>
  <c r="D97" i="17"/>
  <c r="C97" i="17"/>
  <c r="A97" i="17"/>
  <c r="K96" i="17"/>
  <c r="I96" i="17"/>
  <c r="J96" i="17" s="1"/>
  <c r="D96" i="17"/>
  <c r="C96" i="17"/>
  <c r="A96" i="17"/>
  <c r="K95" i="17"/>
  <c r="I95" i="17"/>
  <c r="J95" i="17" s="1"/>
  <c r="D95" i="17"/>
  <c r="C95" i="17"/>
  <c r="A95" i="17"/>
  <c r="K94" i="17"/>
  <c r="I94" i="17"/>
  <c r="J94" i="17" s="1"/>
  <c r="D94" i="17"/>
  <c r="C94" i="17"/>
  <c r="A94" i="17"/>
  <c r="K93" i="17"/>
  <c r="I93" i="17"/>
  <c r="J93" i="17" s="1"/>
  <c r="D93" i="17"/>
  <c r="C93" i="17"/>
  <c r="A93" i="17"/>
  <c r="K92" i="17"/>
  <c r="I92" i="17"/>
  <c r="J92" i="17" s="1"/>
  <c r="D92" i="17"/>
  <c r="C92" i="17"/>
  <c r="A92" i="17"/>
  <c r="K91" i="17"/>
  <c r="I91" i="17"/>
  <c r="J91" i="17" s="1"/>
  <c r="D91" i="17"/>
  <c r="C91" i="17"/>
  <c r="A91" i="17"/>
  <c r="K90" i="17"/>
  <c r="J90" i="17"/>
  <c r="I90" i="17"/>
  <c r="D90" i="17"/>
  <c r="C90" i="17"/>
  <c r="A90" i="17"/>
  <c r="K89" i="17"/>
  <c r="I89" i="17"/>
  <c r="J89" i="17" s="1"/>
  <c r="D89" i="17"/>
  <c r="C89" i="17"/>
  <c r="A89" i="17"/>
  <c r="K88" i="17"/>
  <c r="I88" i="17"/>
  <c r="J88" i="17" s="1"/>
  <c r="D88" i="17"/>
  <c r="C88" i="17"/>
  <c r="A88" i="17"/>
  <c r="K87" i="17"/>
  <c r="I87" i="17"/>
  <c r="J87" i="17" s="1"/>
  <c r="D87" i="17"/>
  <c r="C87" i="17"/>
  <c r="A87" i="17"/>
  <c r="K86" i="17"/>
  <c r="I86" i="17"/>
  <c r="J86" i="17" s="1"/>
  <c r="D86" i="17"/>
  <c r="C86" i="17"/>
  <c r="A86" i="17"/>
  <c r="K85" i="17"/>
  <c r="I85" i="17"/>
  <c r="J85" i="17" s="1"/>
  <c r="D85" i="17"/>
  <c r="C85" i="17"/>
  <c r="A85" i="17"/>
  <c r="K84" i="17"/>
  <c r="I84" i="17"/>
  <c r="J84" i="17" s="1"/>
  <c r="D84" i="17"/>
  <c r="C84" i="17"/>
  <c r="A84" i="17"/>
  <c r="K83" i="17"/>
  <c r="J83" i="17"/>
  <c r="I83" i="17"/>
  <c r="D83" i="17"/>
  <c r="C83" i="17"/>
  <c r="A83" i="17"/>
  <c r="K82" i="17"/>
  <c r="I82" i="17"/>
  <c r="J82" i="17" s="1"/>
  <c r="D82" i="17"/>
  <c r="C82" i="17"/>
  <c r="A82" i="17"/>
  <c r="K81" i="17"/>
  <c r="J81" i="17"/>
  <c r="I81" i="17"/>
  <c r="D81" i="17"/>
  <c r="C81" i="17"/>
  <c r="A81" i="17"/>
  <c r="K80" i="17"/>
  <c r="I80" i="17"/>
  <c r="J80" i="17" s="1"/>
  <c r="D80" i="17"/>
  <c r="C80" i="17"/>
  <c r="A80" i="17"/>
  <c r="K79" i="17"/>
  <c r="I79" i="17"/>
  <c r="J79" i="17" s="1"/>
  <c r="D79" i="17"/>
  <c r="C79" i="17"/>
  <c r="A79" i="17"/>
  <c r="K78" i="17"/>
  <c r="I78" i="17"/>
  <c r="J78" i="17" s="1"/>
  <c r="D78" i="17"/>
  <c r="C78" i="17"/>
  <c r="A78" i="17"/>
  <c r="K77" i="17"/>
  <c r="I77" i="17"/>
  <c r="J77" i="17" s="1"/>
  <c r="D77" i="17"/>
  <c r="C77" i="17"/>
  <c r="A77" i="17"/>
  <c r="K76" i="17"/>
  <c r="I76" i="17"/>
  <c r="J76" i="17" s="1"/>
  <c r="D76" i="17"/>
  <c r="C76" i="17"/>
  <c r="A76" i="17"/>
  <c r="K75" i="17"/>
  <c r="I75" i="17"/>
  <c r="J75" i="17" s="1"/>
  <c r="D75" i="17"/>
  <c r="C75" i="17"/>
  <c r="A75" i="17"/>
  <c r="K74" i="17"/>
  <c r="J74" i="17"/>
  <c r="I74" i="17"/>
  <c r="D74" i="17"/>
  <c r="C74" i="17"/>
  <c r="A74" i="17"/>
  <c r="K73" i="17"/>
  <c r="I73" i="17"/>
  <c r="J73" i="17" s="1"/>
  <c r="D73" i="17"/>
  <c r="C73" i="17"/>
  <c r="A73" i="17"/>
  <c r="K72" i="17"/>
  <c r="I72" i="17"/>
  <c r="J72" i="17" s="1"/>
  <c r="D72" i="17"/>
  <c r="C72" i="17"/>
  <c r="A72" i="17"/>
  <c r="K71" i="17"/>
  <c r="I71" i="17"/>
  <c r="J71" i="17" s="1"/>
  <c r="D71" i="17"/>
  <c r="C71" i="17"/>
  <c r="A71" i="17"/>
  <c r="K70" i="17"/>
  <c r="I70" i="17"/>
  <c r="J70" i="17" s="1"/>
  <c r="D70" i="17"/>
  <c r="C70" i="17"/>
  <c r="A70" i="17"/>
  <c r="K69" i="17"/>
  <c r="I69" i="17"/>
  <c r="J69" i="17" s="1"/>
  <c r="D69" i="17"/>
  <c r="C69" i="17"/>
  <c r="A69" i="17"/>
  <c r="K68" i="17"/>
  <c r="I68" i="17"/>
  <c r="J68" i="17" s="1"/>
  <c r="D68" i="17"/>
  <c r="C68" i="17"/>
  <c r="A68" i="17"/>
  <c r="K67" i="17"/>
  <c r="J67" i="17"/>
  <c r="I67" i="17"/>
  <c r="D67" i="17"/>
  <c r="C67" i="17"/>
  <c r="A67" i="17"/>
  <c r="K66" i="17"/>
  <c r="I66" i="17"/>
  <c r="J66" i="17" s="1"/>
  <c r="D66" i="17"/>
  <c r="C66" i="17"/>
  <c r="A66" i="17"/>
  <c r="K65" i="17"/>
  <c r="J65" i="17"/>
  <c r="I65" i="17"/>
  <c r="D65" i="17"/>
  <c r="C65" i="17"/>
  <c r="A65" i="17"/>
  <c r="K64" i="17"/>
  <c r="I64" i="17"/>
  <c r="J64" i="17" s="1"/>
  <c r="D64" i="17"/>
  <c r="C64" i="17"/>
  <c r="A64" i="17"/>
  <c r="K63" i="17"/>
  <c r="I63" i="17"/>
  <c r="J63" i="17" s="1"/>
  <c r="D63" i="17"/>
  <c r="C63" i="17"/>
  <c r="A63" i="17"/>
  <c r="K62" i="17"/>
  <c r="I62" i="17"/>
  <c r="J62" i="17" s="1"/>
  <c r="D62" i="17"/>
  <c r="C62" i="17"/>
  <c r="A62" i="17"/>
  <c r="K61" i="17"/>
  <c r="I61" i="17"/>
  <c r="J61" i="17" s="1"/>
  <c r="D61" i="17"/>
  <c r="C61" i="17"/>
  <c r="A61" i="17"/>
  <c r="K60" i="17"/>
  <c r="I60" i="17"/>
  <c r="J60" i="17" s="1"/>
  <c r="D60" i="17"/>
  <c r="C60" i="17"/>
  <c r="A60" i="17"/>
  <c r="K59" i="17"/>
  <c r="I59" i="17"/>
  <c r="J59" i="17" s="1"/>
  <c r="D59" i="17"/>
  <c r="C59" i="17"/>
  <c r="A59" i="17"/>
  <c r="K58" i="17"/>
  <c r="J58" i="17"/>
  <c r="I58" i="17"/>
  <c r="D58" i="17"/>
  <c r="C58" i="17"/>
  <c r="A58" i="17"/>
  <c r="K57" i="17"/>
  <c r="I57" i="17"/>
  <c r="J57" i="17" s="1"/>
  <c r="D57" i="17"/>
  <c r="C57" i="17"/>
  <c r="A57" i="17"/>
  <c r="K56" i="17"/>
  <c r="I56" i="17"/>
  <c r="J56" i="17" s="1"/>
  <c r="D56" i="17"/>
  <c r="C56" i="17"/>
  <c r="A56" i="17"/>
  <c r="K55" i="17"/>
  <c r="I55" i="17"/>
  <c r="J55" i="17" s="1"/>
  <c r="D55" i="17"/>
  <c r="C55" i="17"/>
  <c r="A55" i="17"/>
  <c r="K54" i="17"/>
  <c r="I54" i="17"/>
  <c r="J54" i="17" s="1"/>
  <c r="D54" i="17"/>
  <c r="C54" i="17"/>
  <c r="A54" i="17"/>
  <c r="K53" i="17"/>
  <c r="I53" i="17"/>
  <c r="J53" i="17" s="1"/>
  <c r="D53" i="17"/>
  <c r="C53" i="17"/>
  <c r="A53" i="17"/>
  <c r="K52" i="17"/>
  <c r="I52" i="17"/>
  <c r="J52" i="17" s="1"/>
  <c r="D52" i="17"/>
  <c r="C52" i="17"/>
  <c r="A52" i="17"/>
  <c r="K51" i="17"/>
  <c r="J51" i="17"/>
  <c r="I51" i="17"/>
  <c r="D51" i="17"/>
  <c r="C51" i="17"/>
  <c r="A51" i="17"/>
  <c r="K50" i="17"/>
  <c r="I50" i="17"/>
  <c r="J50" i="17" s="1"/>
  <c r="D50" i="17"/>
  <c r="C50" i="17"/>
  <c r="A50" i="17"/>
  <c r="K49" i="17"/>
  <c r="J49" i="17"/>
  <c r="I49" i="17"/>
  <c r="D49" i="17"/>
  <c r="C49" i="17"/>
  <c r="A49" i="17"/>
  <c r="K48" i="17"/>
  <c r="I48" i="17"/>
  <c r="J48" i="17" s="1"/>
  <c r="D48" i="17"/>
  <c r="C48" i="17"/>
  <c r="A48" i="17"/>
  <c r="K47" i="17"/>
  <c r="I47" i="17"/>
  <c r="J47" i="17" s="1"/>
  <c r="D47" i="17"/>
  <c r="C47" i="17"/>
  <c r="A47" i="17"/>
  <c r="K46" i="17"/>
  <c r="I46" i="17"/>
  <c r="J46" i="17" s="1"/>
  <c r="D46" i="17"/>
  <c r="C46" i="17"/>
  <c r="A46" i="17"/>
  <c r="K45" i="17"/>
  <c r="I45" i="17"/>
  <c r="J45" i="17" s="1"/>
  <c r="D45" i="17"/>
  <c r="C45" i="17"/>
  <c r="A45" i="17"/>
  <c r="K44" i="17"/>
  <c r="I44" i="17"/>
  <c r="J44" i="17" s="1"/>
  <c r="D44" i="17"/>
  <c r="C44" i="17"/>
  <c r="A44" i="17"/>
  <c r="K43" i="17"/>
  <c r="I43" i="17"/>
  <c r="J43" i="17" s="1"/>
  <c r="D43" i="17"/>
  <c r="C43" i="17"/>
  <c r="A43" i="17"/>
  <c r="K42" i="17"/>
  <c r="J42" i="17"/>
  <c r="I42" i="17"/>
  <c r="D42" i="17"/>
  <c r="C42" i="17"/>
  <c r="A42" i="17"/>
  <c r="K41" i="17"/>
  <c r="I41" i="17"/>
  <c r="J41" i="17" s="1"/>
  <c r="D41" i="17"/>
  <c r="C41" i="17"/>
  <c r="A41" i="17"/>
  <c r="K40" i="17"/>
  <c r="I40" i="17"/>
  <c r="J40" i="17" s="1"/>
  <c r="D40" i="17"/>
  <c r="C40" i="17"/>
  <c r="A40" i="17"/>
  <c r="K39" i="17"/>
  <c r="I39" i="17"/>
  <c r="J39" i="17" s="1"/>
  <c r="D39" i="17"/>
  <c r="C39" i="17"/>
  <c r="A39" i="17"/>
  <c r="K38" i="17"/>
  <c r="I38" i="17"/>
  <c r="J38" i="17" s="1"/>
  <c r="D38" i="17"/>
  <c r="C38" i="17"/>
  <c r="A38" i="17"/>
  <c r="K37" i="17"/>
  <c r="I37" i="17"/>
  <c r="J37" i="17" s="1"/>
  <c r="D37" i="17"/>
  <c r="C37" i="17"/>
  <c r="A37" i="17"/>
  <c r="K36" i="17"/>
  <c r="I36" i="17"/>
  <c r="J36" i="17" s="1"/>
  <c r="D36" i="17"/>
  <c r="C36" i="17"/>
  <c r="A36" i="17"/>
  <c r="K35" i="17"/>
  <c r="J35" i="17"/>
  <c r="I35" i="17"/>
  <c r="D35" i="17"/>
  <c r="C35" i="17"/>
  <c r="A35" i="17"/>
  <c r="K34" i="17"/>
  <c r="I34" i="17"/>
  <c r="J34" i="17" s="1"/>
  <c r="D34" i="17"/>
  <c r="C34" i="17"/>
  <c r="A34" i="17"/>
  <c r="K33" i="17"/>
  <c r="J33" i="17"/>
  <c r="I33" i="17"/>
  <c r="D33" i="17"/>
  <c r="C33" i="17"/>
  <c r="A33" i="17"/>
  <c r="K32" i="17"/>
  <c r="I32" i="17"/>
  <c r="J32" i="17" s="1"/>
  <c r="D32" i="17"/>
  <c r="C32" i="17"/>
  <c r="A32" i="17"/>
  <c r="K31" i="17"/>
  <c r="I31" i="17"/>
  <c r="J31" i="17" s="1"/>
  <c r="D31" i="17"/>
  <c r="C31" i="17"/>
  <c r="A31" i="17"/>
  <c r="K30" i="17"/>
  <c r="I30" i="17"/>
  <c r="J30" i="17" s="1"/>
  <c r="D30" i="17"/>
  <c r="C30" i="17"/>
  <c r="A30" i="17"/>
  <c r="K29" i="17"/>
  <c r="I29" i="17"/>
  <c r="J29" i="17" s="1"/>
  <c r="D29" i="17"/>
  <c r="C29" i="17"/>
  <c r="A29" i="17"/>
  <c r="K28" i="17"/>
  <c r="I28" i="17"/>
  <c r="J28" i="17" s="1"/>
  <c r="D28" i="17"/>
  <c r="C28" i="17"/>
  <c r="A28" i="17"/>
  <c r="K27" i="17"/>
  <c r="I27" i="17"/>
  <c r="J27" i="17" s="1"/>
  <c r="D27" i="17"/>
  <c r="C27" i="17"/>
  <c r="A27" i="17"/>
  <c r="K26" i="17"/>
  <c r="J26" i="17"/>
  <c r="I26" i="17"/>
  <c r="D26" i="17"/>
  <c r="C26" i="17"/>
  <c r="A26" i="17"/>
  <c r="K25" i="17"/>
  <c r="I25" i="17"/>
  <c r="J25" i="17" s="1"/>
  <c r="D25" i="17"/>
  <c r="C25" i="17"/>
  <c r="A25" i="17"/>
  <c r="K24" i="17"/>
  <c r="I24" i="17"/>
  <c r="J24" i="17" s="1"/>
  <c r="D24" i="17"/>
  <c r="C24" i="17"/>
  <c r="A24" i="17"/>
  <c r="K23" i="17"/>
  <c r="I23" i="17"/>
  <c r="J23" i="17" s="1"/>
  <c r="D23" i="17"/>
  <c r="C23" i="17"/>
  <c r="A23" i="17"/>
  <c r="K22" i="17"/>
  <c r="I22" i="17"/>
  <c r="J22" i="17" s="1"/>
  <c r="D22" i="17"/>
  <c r="C22" i="17"/>
  <c r="A22" i="17"/>
  <c r="K21" i="17"/>
  <c r="I21" i="17"/>
  <c r="J21" i="17" s="1"/>
  <c r="D21" i="17"/>
  <c r="C21" i="17"/>
  <c r="A21" i="17"/>
  <c r="K20" i="17"/>
  <c r="I20" i="17"/>
  <c r="J20" i="17" s="1"/>
  <c r="D20" i="17"/>
  <c r="C20" i="17"/>
  <c r="A20" i="17"/>
  <c r="K19" i="17"/>
  <c r="J19" i="17"/>
  <c r="I19" i="17"/>
  <c r="D19" i="17"/>
  <c r="C19" i="17"/>
  <c r="A19" i="17"/>
  <c r="K18" i="17"/>
  <c r="I18" i="17"/>
  <c r="J18" i="17" s="1"/>
  <c r="D18" i="17"/>
  <c r="C18" i="17"/>
  <c r="A18" i="17"/>
  <c r="K17" i="17"/>
  <c r="J17" i="17"/>
  <c r="I17" i="17"/>
  <c r="D17" i="17"/>
  <c r="C17" i="17"/>
  <c r="A17" i="17"/>
  <c r="K16" i="17"/>
  <c r="I16" i="17"/>
  <c r="J16" i="17" s="1"/>
  <c r="D16" i="17"/>
  <c r="C16" i="17"/>
  <c r="A16" i="17"/>
  <c r="K15" i="17"/>
  <c r="I15" i="17"/>
  <c r="J15" i="17" s="1"/>
  <c r="D15" i="17"/>
  <c r="C15" i="17"/>
  <c r="A15" i="17"/>
  <c r="K14" i="17"/>
  <c r="I14" i="17"/>
  <c r="J14" i="17" s="1"/>
  <c r="D14" i="17"/>
  <c r="C14" i="17"/>
  <c r="A14" i="17"/>
  <c r="B9" i="17"/>
  <c r="B10" i="17" s="1"/>
  <c r="B8" i="17"/>
  <c r="K208" i="16"/>
  <c r="J208" i="16"/>
  <c r="G208" i="16"/>
  <c r="D208" i="16"/>
  <c r="C208" i="16"/>
  <c r="B208" i="16"/>
  <c r="J207" i="16"/>
  <c r="K207" i="16" s="1"/>
  <c r="G207" i="16"/>
  <c r="D207" i="16"/>
  <c r="C207" i="16"/>
  <c r="B207" i="16"/>
  <c r="J206" i="16"/>
  <c r="K206" i="16" s="1"/>
  <c r="G206" i="16"/>
  <c r="D206" i="16"/>
  <c r="C206" i="16"/>
  <c r="B206" i="16"/>
  <c r="J205" i="16"/>
  <c r="K205" i="16" s="1"/>
  <c r="G205" i="16"/>
  <c r="D205" i="16"/>
  <c r="C205" i="16"/>
  <c r="B205" i="16"/>
  <c r="J204" i="16"/>
  <c r="K204" i="16" s="1"/>
  <c r="G204" i="16"/>
  <c r="D204" i="16"/>
  <c r="C204" i="16"/>
  <c r="B204" i="16"/>
  <c r="J203" i="16"/>
  <c r="K203" i="16" s="1"/>
  <c r="G203" i="16"/>
  <c r="D203" i="16"/>
  <c r="C203" i="16"/>
  <c r="B203" i="16"/>
  <c r="J202" i="16"/>
  <c r="K202" i="16" s="1"/>
  <c r="G202" i="16"/>
  <c r="D202" i="16"/>
  <c r="C202" i="16"/>
  <c r="B202" i="16"/>
  <c r="K201" i="16"/>
  <c r="J201" i="16"/>
  <c r="G201" i="16"/>
  <c r="D201" i="16"/>
  <c r="C201" i="16"/>
  <c r="B201" i="16"/>
  <c r="J200" i="16"/>
  <c r="K200" i="16" s="1"/>
  <c r="G200" i="16"/>
  <c r="D200" i="16"/>
  <c r="C200" i="16"/>
  <c r="B200" i="16"/>
  <c r="K199" i="16"/>
  <c r="J199" i="16"/>
  <c r="G199" i="16"/>
  <c r="D199" i="16"/>
  <c r="C199" i="16"/>
  <c r="B199" i="16"/>
  <c r="J198" i="16"/>
  <c r="K198" i="16" s="1"/>
  <c r="G198" i="16"/>
  <c r="D198" i="16"/>
  <c r="C198" i="16"/>
  <c r="B198" i="16"/>
  <c r="J197" i="16"/>
  <c r="K197" i="16" s="1"/>
  <c r="G197" i="16"/>
  <c r="D197" i="16"/>
  <c r="C197" i="16"/>
  <c r="B197" i="16"/>
  <c r="J196" i="16"/>
  <c r="K196" i="16" s="1"/>
  <c r="G196" i="16"/>
  <c r="D196" i="16"/>
  <c r="C196" i="16"/>
  <c r="B196" i="16"/>
  <c r="J195" i="16"/>
  <c r="K195" i="16" s="1"/>
  <c r="G195" i="16"/>
  <c r="D195" i="16"/>
  <c r="C195" i="16"/>
  <c r="B195" i="16"/>
  <c r="J194" i="16"/>
  <c r="K194" i="16" s="1"/>
  <c r="G194" i="16"/>
  <c r="D194" i="16"/>
  <c r="C194" i="16"/>
  <c r="B194" i="16"/>
  <c r="J193" i="16"/>
  <c r="K193" i="16" s="1"/>
  <c r="G193" i="16"/>
  <c r="D193" i="16"/>
  <c r="C193" i="16"/>
  <c r="B193" i="16"/>
  <c r="K192" i="16"/>
  <c r="J192" i="16"/>
  <c r="G192" i="16"/>
  <c r="D192" i="16"/>
  <c r="C192" i="16"/>
  <c r="B192" i="16"/>
  <c r="J191" i="16"/>
  <c r="K191" i="16" s="1"/>
  <c r="G191" i="16"/>
  <c r="D191" i="16"/>
  <c r="C191" i="16"/>
  <c r="B191" i="16"/>
  <c r="J190" i="16"/>
  <c r="K190" i="16" s="1"/>
  <c r="G190" i="16"/>
  <c r="D190" i="16"/>
  <c r="C190" i="16"/>
  <c r="B190" i="16"/>
  <c r="J189" i="16"/>
  <c r="K189" i="16" s="1"/>
  <c r="G189" i="16"/>
  <c r="D189" i="16"/>
  <c r="C189" i="16"/>
  <c r="B189" i="16"/>
  <c r="J188" i="16"/>
  <c r="K188" i="16" s="1"/>
  <c r="G188" i="16"/>
  <c r="D188" i="16"/>
  <c r="C188" i="16"/>
  <c r="B188" i="16"/>
  <c r="J187" i="16"/>
  <c r="K187" i="16" s="1"/>
  <c r="G187" i="16"/>
  <c r="D187" i="16"/>
  <c r="C187" i="16"/>
  <c r="B187" i="16"/>
  <c r="J186" i="16"/>
  <c r="K186" i="16" s="1"/>
  <c r="G186" i="16"/>
  <c r="D186" i="16"/>
  <c r="C186" i="16"/>
  <c r="B186" i="16"/>
  <c r="K185" i="16"/>
  <c r="J185" i="16"/>
  <c r="G185" i="16"/>
  <c r="D185" i="16"/>
  <c r="C185" i="16"/>
  <c r="B185" i="16"/>
  <c r="J184" i="16"/>
  <c r="K184" i="16" s="1"/>
  <c r="G184" i="16"/>
  <c r="D184" i="16"/>
  <c r="C184" i="16"/>
  <c r="B184" i="16"/>
  <c r="K183" i="16"/>
  <c r="J183" i="16"/>
  <c r="G183" i="16"/>
  <c r="D183" i="16"/>
  <c r="C183" i="16"/>
  <c r="B183" i="16"/>
  <c r="J182" i="16"/>
  <c r="K182" i="16" s="1"/>
  <c r="G182" i="16"/>
  <c r="D182" i="16"/>
  <c r="C182" i="16"/>
  <c r="B182" i="16"/>
  <c r="J181" i="16"/>
  <c r="K181" i="16" s="1"/>
  <c r="G181" i="16"/>
  <c r="D181" i="16"/>
  <c r="C181" i="16"/>
  <c r="B181" i="16"/>
  <c r="J180" i="16"/>
  <c r="K180" i="16" s="1"/>
  <c r="G180" i="16"/>
  <c r="D180" i="16"/>
  <c r="C180" i="16"/>
  <c r="B180" i="16"/>
  <c r="J179" i="16"/>
  <c r="K179" i="16" s="1"/>
  <c r="G179" i="16"/>
  <c r="D179" i="16"/>
  <c r="C179" i="16"/>
  <c r="B179" i="16"/>
  <c r="J178" i="16"/>
  <c r="K178" i="16" s="1"/>
  <c r="G178" i="16"/>
  <c r="D178" i="16"/>
  <c r="C178" i="16"/>
  <c r="B178" i="16"/>
  <c r="J177" i="16"/>
  <c r="K177" i="16" s="1"/>
  <c r="G177" i="16"/>
  <c r="D177" i="16"/>
  <c r="C177" i="16"/>
  <c r="B177" i="16"/>
  <c r="K176" i="16"/>
  <c r="J176" i="16"/>
  <c r="G176" i="16"/>
  <c r="D176" i="16"/>
  <c r="C176" i="16"/>
  <c r="B176" i="16"/>
  <c r="J175" i="16"/>
  <c r="K175" i="16" s="1"/>
  <c r="G175" i="16"/>
  <c r="D175" i="16"/>
  <c r="C175" i="16"/>
  <c r="B175" i="16"/>
  <c r="J174" i="16"/>
  <c r="K174" i="16" s="1"/>
  <c r="G174" i="16"/>
  <c r="D174" i="16"/>
  <c r="C174" i="16"/>
  <c r="B174" i="16"/>
  <c r="J173" i="16"/>
  <c r="K173" i="16" s="1"/>
  <c r="G173" i="16"/>
  <c r="D173" i="16"/>
  <c r="C173" i="16"/>
  <c r="B173" i="16"/>
  <c r="J172" i="16"/>
  <c r="K172" i="16" s="1"/>
  <c r="G172" i="16"/>
  <c r="D172" i="16"/>
  <c r="C172" i="16"/>
  <c r="B172" i="16"/>
  <c r="J171" i="16"/>
  <c r="K171" i="16" s="1"/>
  <c r="G171" i="16"/>
  <c r="D171" i="16"/>
  <c r="C171" i="16"/>
  <c r="B171" i="16"/>
  <c r="J170" i="16"/>
  <c r="K170" i="16" s="1"/>
  <c r="G170" i="16"/>
  <c r="D170" i="16"/>
  <c r="C170" i="16"/>
  <c r="B170" i="16"/>
  <c r="K169" i="16"/>
  <c r="J169" i="16"/>
  <c r="G169" i="16"/>
  <c r="D169" i="16"/>
  <c r="C169" i="16"/>
  <c r="B169" i="16"/>
  <c r="J168" i="16"/>
  <c r="K168" i="16" s="1"/>
  <c r="G168" i="16"/>
  <c r="D168" i="16"/>
  <c r="C168" i="16"/>
  <c r="B168" i="16"/>
  <c r="K167" i="16"/>
  <c r="J167" i="16"/>
  <c r="G167" i="16"/>
  <c r="D167" i="16"/>
  <c r="C167" i="16"/>
  <c r="B167" i="16"/>
  <c r="J166" i="16"/>
  <c r="K166" i="16" s="1"/>
  <c r="G166" i="16"/>
  <c r="D166" i="16"/>
  <c r="C166" i="16"/>
  <c r="B166" i="16"/>
  <c r="J165" i="16"/>
  <c r="K165" i="16" s="1"/>
  <c r="G165" i="16"/>
  <c r="D165" i="16"/>
  <c r="C165" i="16"/>
  <c r="B165" i="16"/>
  <c r="J164" i="16"/>
  <c r="K164" i="16" s="1"/>
  <c r="G164" i="16"/>
  <c r="D164" i="16"/>
  <c r="C164" i="16"/>
  <c r="B164" i="16"/>
  <c r="J163" i="16"/>
  <c r="K163" i="16" s="1"/>
  <c r="G163" i="16"/>
  <c r="D163" i="16"/>
  <c r="C163" i="16"/>
  <c r="B163" i="16"/>
  <c r="J162" i="16"/>
  <c r="K162" i="16" s="1"/>
  <c r="G162" i="16"/>
  <c r="D162" i="16"/>
  <c r="C162" i="16"/>
  <c r="B162" i="16"/>
  <c r="J161" i="16"/>
  <c r="K161" i="16" s="1"/>
  <c r="G161" i="16"/>
  <c r="D161" i="16"/>
  <c r="C161" i="16"/>
  <c r="B161" i="16"/>
  <c r="K160" i="16"/>
  <c r="J160" i="16"/>
  <c r="G160" i="16"/>
  <c r="D160" i="16"/>
  <c r="C160" i="16"/>
  <c r="B160" i="16"/>
  <c r="J159" i="16"/>
  <c r="K159" i="16" s="1"/>
  <c r="G159" i="16"/>
  <c r="D159" i="16"/>
  <c r="C159" i="16"/>
  <c r="B159" i="16"/>
  <c r="J158" i="16"/>
  <c r="K158" i="16" s="1"/>
  <c r="G158" i="16"/>
  <c r="D158" i="16"/>
  <c r="C158" i="16"/>
  <c r="B158" i="16"/>
  <c r="J157" i="16"/>
  <c r="K157" i="16" s="1"/>
  <c r="G157" i="16"/>
  <c r="D157" i="16"/>
  <c r="C157" i="16"/>
  <c r="B157" i="16"/>
  <c r="J156" i="16"/>
  <c r="K156" i="16" s="1"/>
  <c r="G156" i="16"/>
  <c r="D156" i="16"/>
  <c r="C156" i="16"/>
  <c r="B156" i="16"/>
  <c r="J155" i="16"/>
  <c r="K155" i="16" s="1"/>
  <c r="G155" i="16"/>
  <c r="D155" i="16"/>
  <c r="C155" i="16"/>
  <c r="B155" i="16"/>
  <c r="J154" i="16"/>
  <c r="K154" i="16" s="1"/>
  <c r="G154" i="16"/>
  <c r="D154" i="16"/>
  <c r="C154" i="16"/>
  <c r="B154" i="16"/>
  <c r="K153" i="16"/>
  <c r="J153" i="16"/>
  <c r="G153" i="16"/>
  <c r="D153" i="16"/>
  <c r="C153" i="16"/>
  <c r="B153" i="16"/>
  <c r="J152" i="16"/>
  <c r="K152" i="16" s="1"/>
  <c r="G152" i="16"/>
  <c r="D152" i="16"/>
  <c r="C152" i="16"/>
  <c r="B152" i="16"/>
  <c r="K151" i="16"/>
  <c r="J151" i="16"/>
  <c r="G151" i="16"/>
  <c r="D151" i="16"/>
  <c r="C151" i="16"/>
  <c r="B151" i="16"/>
  <c r="J150" i="16"/>
  <c r="K150" i="16" s="1"/>
  <c r="G150" i="16"/>
  <c r="D150" i="16"/>
  <c r="C150" i="16"/>
  <c r="B150" i="16"/>
  <c r="J149" i="16"/>
  <c r="K149" i="16" s="1"/>
  <c r="G149" i="16"/>
  <c r="D149" i="16"/>
  <c r="C149" i="16"/>
  <c r="B149" i="16"/>
  <c r="J148" i="16"/>
  <c r="K148" i="16" s="1"/>
  <c r="G148" i="16"/>
  <c r="D148" i="16"/>
  <c r="C148" i="16"/>
  <c r="B148" i="16"/>
  <c r="J147" i="16"/>
  <c r="K147" i="16" s="1"/>
  <c r="G147" i="16"/>
  <c r="D147" i="16"/>
  <c r="C147" i="16"/>
  <c r="B147" i="16"/>
  <c r="J146" i="16"/>
  <c r="K146" i="16" s="1"/>
  <c r="G146" i="16"/>
  <c r="D146" i="16"/>
  <c r="C146" i="16"/>
  <c r="B146" i="16"/>
  <c r="J145" i="16"/>
  <c r="K145" i="16" s="1"/>
  <c r="G145" i="16"/>
  <c r="D145" i="16"/>
  <c r="C145" i="16"/>
  <c r="B145" i="16"/>
  <c r="K144" i="16"/>
  <c r="J144" i="16"/>
  <c r="G144" i="16"/>
  <c r="D144" i="16"/>
  <c r="C144" i="16"/>
  <c r="B144" i="16"/>
  <c r="J143" i="16"/>
  <c r="K143" i="16" s="1"/>
  <c r="G143" i="16"/>
  <c r="D143" i="16"/>
  <c r="C143" i="16"/>
  <c r="B143" i="16"/>
  <c r="J142" i="16"/>
  <c r="K142" i="16" s="1"/>
  <c r="G142" i="16"/>
  <c r="D142" i="16"/>
  <c r="C142" i="16"/>
  <c r="B142" i="16"/>
  <c r="J141" i="16"/>
  <c r="K141" i="16" s="1"/>
  <c r="G141" i="16"/>
  <c r="D141" i="16"/>
  <c r="C141" i="16"/>
  <c r="B141" i="16"/>
  <c r="J140" i="16"/>
  <c r="K140" i="16" s="1"/>
  <c r="G140" i="16"/>
  <c r="D140" i="16"/>
  <c r="C140" i="16"/>
  <c r="B140" i="16"/>
  <c r="J139" i="16"/>
  <c r="K139" i="16" s="1"/>
  <c r="G139" i="16"/>
  <c r="D139" i="16"/>
  <c r="C139" i="16"/>
  <c r="B139" i="16"/>
  <c r="J138" i="16"/>
  <c r="K138" i="16" s="1"/>
  <c r="G138" i="16"/>
  <c r="D138" i="16"/>
  <c r="C138" i="16"/>
  <c r="B138" i="16"/>
  <c r="K137" i="16"/>
  <c r="J137" i="16"/>
  <c r="G137" i="16"/>
  <c r="D137" i="16"/>
  <c r="C137" i="16"/>
  <c r="B137" i="16"/>
  <c r="J136" i="16"/>
  <c r="K136" i="16" s="1"/>
  <c r="G136" i="16"/>
  <c r="D136" i="16"/>
  <c r="C136" i="16"/>
  <c r="B136" i="16"/>
  <c r="K135" i="16"/>
  <c r="J135" i="16"/>
  <c r="G135" i="16"/>
  <c r="D135" i="16"/>
  <c r="C135" i="16"/>
  <c r="B135" i="16"/>
  <c r="J134" i="16"/>
  <c r="K134" i="16" s="1"/>
  <c r="G134" i="16"/>
  <c r="D134" i="16"/>
  <c r="C134" i="16"/>
  <c r="B134" i="16"/>
  <c r="J133" i="16"/>
  <c r="K133" i="16" s="1"/>
  <c r="G133" i="16"/>
  <c r="D133" i="16"/>
  <c r="C133" i="16"/>
  <c r="B133" i="16"/>
  <c r="J132" i="16"/>
  <c r="K132" i="16" s="1"/>
  <c r="G132" i="16"/>
  <c r="D132" i="16"/>
  <c r="C132" i="16"/>
  <c r="B132" i="16"/>
  <c r="J131" i="16"/>
  <c r="K131" i="16" s="1"/>
  <c r="G131" i="16"/>
  <c r="D131" i="16"/>
  <c r="C131" i="16"/>
  <c r="B131" i="16"/>
  <c r="J130" i="16"/>
  <c r="K130" i="16" s="1"/>
  <c r="G130" i="16"/>
  <c r="D130" i="16"/>
  <c r="C130" i="16"/>
  <c r="B130" i="16"/>
  <c r="J129" i="16"/>
  <c r="K129" i="16" s="1"/>
  <c r="G129" i="16"/>
  <c r="D129" i="16"/>
  <c r="C129" i="16"/>
  <c r="B129" i="16"/>
  <c r="K128" i="16"/>
  <c r="J128" i="16"/>
  <c r="G128" i="16"/>
  <c r="D128" i="16"/>
  <c r="C128" i="16"/>
  <c r="B128" i="16"/>
  <c r="J127" i="16"/>
  <c r="K127" i="16" s="1"/>
  <c r="G127" i="16"/>
  <c r="D127" i="16"/>
  <c r="C127" i="16"/>
  <c r="B127" i="16"/>
  <c r="J126" i="16"/>
  <c r="K126" i="16" s="1"/>
  <c r="G126" i="16"/>
  <c r="D126" i="16"/>
  <c r="C126" i="16"/>
  <c r="B126" i="16"/>
  <c r="J125" i="16"/>
  <c r="K125" i="16" s="1"/>
  <c r="G125" i="16"/>
  <c r="D125" i="16"/>
  <c r="C125" i="16"/>
  <c r="B125" i="16"/>
  <c r="J124" i="16"/>
  <c r="K124" i="16" s="1"/>
  <c r="G124" i="16"/>
  <c r="D124" i="16"/>
  <c r="C124" i="16"/>
  <c r="B124" i="16"/>
  <c r="J123" i="16"/>
  <c r="K123" i="16" s="1"/>
  <c r="G123" i="16"/>
  <c r="D123" i="16"/>
  <c r="C123" i="16"/>
  <c r="B123" i="16"/>
  <c r="J122" i="16"/>
  <c r="K122" i="16" s="1"/>
  <c r="G122" i="16"/>
  <c r="D122" i="16"/>
  <c r="C122" i="16"/>
  <c r="B122" i="16"/>
  <c r="K121" i="16"/>
  <c r="J121" i="16"/>
  <c r="G121" i="16"/>
  <c r="D121" i="16"/>
  <c r="C121" i="16"/>
  <c r="B121" i="16"/>
  <c r="J120" i="16"/>
  <c r="K120" i="16" s="1"/>
  <c r="G120" i="16"/>
  <c r="D120" i="16"/>
  <c r="C120" i="16"/>
  <c r="B120" i="16"/>
  <c r="K119" i="16"/>
  <c r="J119" i="16"/>
  <c r="G119" i="16"/>
  <c r="D119" i="16"/>
  <c r="C119" i="16"/>
  <c r="B119" i="16"/>
  <c r="J118" i="16"/>
  <c r="K118" i="16" s="1"/>
  <c r="G118" i="16"/>
  <c r="D118" i="16"/>
  <c r="C118" i="16"/>
  <c r="B118" i="16"/>
  <c r="J117" i="16"/>
  <c r="K117" i="16" s="1"/>
  <c r="G117" i="16"/>
  <c r="D117" i="16"/>
  <c r="C117" i="16"/>
  <c r="B117" i="16"/>
  <c r="J116" i="16"/>
  <c r="K116" i="16" s="1"/>
  <c r="G116" i="16"/>
  <c r="D116" i="16"/>
  <c r="C116" i="16"/>
  <c r="B116" i="16"/>
  <c r="J115" i="16"/>
  <c r="K115" i="16" s="1"/>
  <c r="G115" i="16"/>
  <c r="D115" i="16"/>
  <c r="C115" i="16"/>
  <c r="B115" i="16"/>
  <c r="J114" i="16"/>
  <c r="K114" i="16" s="1"/>
  <c r="G114" i="16"/>
  <c r="D114" i="16"/>
  <c r="C114" i="16"/>
  <c r="B114" i="16"/>
  <c r="J113" i="16"/>
  <c r="K113" i="16" s="1"/>
  <c r="G113" i="16"/>
  <c r="D113" i="16"/>
  <c r="C113" i="16"/>
  <c r="B113" i="16"/>
  <c r="K112" i="16"/>
  <c r="J112" i="16"/>
  <c r="G112" i="16"/>
  <c r="D112" i="16"/>
  <c r="C112" i="16"/>
  <c r="B112" i="16"/>
  <c r="J111" i="16"/>
  <c r="K111" i="16" s="1"/>
  <c r="G111" i="16"/>
  <c r="D111" i="16"/>
  <c r="C111" i="16"/>
  <c r="B111" i="16"/>
  <c r="J110" i="16"/>
  <c r="K110" i="16" s="1"/>
  <c r="G110" i="16"/>
  <c r="D110" i="16"/>
  <c r="C110" i="16"/>
  <c r="B110" i="16"/>
  <c r="J109" i="16"/>
  <c r="K109" i="16" s="1"/>
  <c r="G109" i="16"/>
  <c r="D109" i="16"/>
  <c r="C109" i="16"/>
  <c r="B109" i="16"/>
  <c r="J108" i="16"/>
  <c r="K108" i="16" s="1"/>
  <c r="G108" i="16"/>
  <c r="D108" i="16"/>
  <c r="C108" i="16"/>
  <c r="B108" i="16"/>
  <c r="J107" i="16"/>
  <c r="K107" i="16" s="1"/>
  <c r="G107" i="16"/>
  <c r="D107" i="16"/>
  <c r="C107" i="16"/>
  <c r="B107" i="16"/>
  <c r="J106" i="16"/>
  <c r="K106" i="16" s="1"/>
  <c r="G106" i="16"/>
  <c r="D106" i="16"/>
  <c r="C106" i="16"/>
  <c r="B106" i="16"/>
  <c r="K105" i="16"/>
  <c r="J105" i="16"/>
  <c r="G105" i="16"/>
  <c r="D105" i="16"/>
  <c r="C105" i="16"/>
  <c r="B105" i="16"/>
  <c r="J104" i="16"/>
  <c r="K104" i="16" s="1"/>
  <c r="G104" i="16"/>
  <c r="D104" i="16"/>
  <c r="C104" i="16"/>
  <c r="B104" i="16"/>
  <c r="K103" i="16"/>
  <c r="J103" i="16"/>
  <c r="G103" i="16"/>
  <c r="D103" i="16"/>
  <c r="C103" i="16"/>
  <c r="B103" i="16"/>
  <c r="J102" i="16"/>
  <c r="K102" i="16" s="1"/>
  <c r="G102" i="16"/>
  <c r="D102" i="16"/>
  <c r="C102" i="16"/>
  <c r="B102" i="16"/>
  <c r="J101" i="16"/>
  <c r="K101" i="16" s="1"/>
  <c r="G101" i="16"/>
  <c r="D101" i="16"/>
  <c r="C101" i="16"/>
  <c r="B101" i="16"/>
  <c r="J100" i="16"/>
  <c r="K100" i="16" s="1"/>
  <c r="G100" i="16"/>
  <c r="D100" i="16"/>
  <c r="C100" i="16"/>
  <c r="B100" i="16"/>
  <c r="J99" i="16"/>
  <c r="K99" i="16" s="1"/>
  <c r="G99" i="16"/>
  <c r="D99" i="16"/>
  <c r="C99" i="16"/>
  <c r="B99" i="16"/>
  <c r="J98" i="16"/>
  <c r="K98" i="16" s="1"/>
  <c r="G98" i="16"/>
  <c r="D98" i="16"/>
  <c r="C98" i="16"/>
  <c r="B98" i="16"/>
  <c r="J97" i="16"/>
  <c r="K97" i="16" s="1"/>
  <c r="G97" i="16"/>
  <c r="D97" i="16"/>
  <c r="C97" i="16"/>
  <c r="B97" i="16"/>
  <c r="K96" i="16"/>
  <c r="J96" i="16"/>
  <c r="G96" i="16"/>
  <c r="D96" i="16"/>
  <c r="C96" i="16"/>
  <c r="B96" i="16"/>
  <c r="J95" i="16"/>
  <c r="K95" i="16" s="1"/>
  <c r="G95" i="16"/>
  <c r="D95" i="16"/>
  <c r="C95" i="16"/>
  <c r="B95" i="16"/>
  <c r="J94" i="16"/>
  <c r="K94" i="16" s="1"/>
  <c r="G94" i="16"/>
  <c r="D94" i="16"/>
  <c r="C94" i="16"/>
  <c r="B94" i="16"/>
  <c r="J93" i="16"/>
  <c r="K93" i="16" s="1"/>
  <c r="G93" i="16"/>
  <c r="D93" i="16"/>
  <c r="C93" i="16"/>
  <c r="B93" i="16"/>
  <c r="J92" i="16"/>
  <c r="K92" i="16" s="1"/>
  <c r="G92" i="16"/>
  <c r="D92" i="16"/>
  <c r="C92" i="16"/>
  <c r="B92" i="16"/>
  <c r="J91" i="16"/>
  <c r="K91" i="16" s="1"/>
  <c r="G91" i="16"/>
  <c r="D91" i="16"/>
  <c r="C91" i="16"/>
  <c r="B91" i="16"/>
  <c r="J90" i="16"/>
  <c r="K90" i="16" s="1"/>
  <c r="G90" i="16"/>
  <c r="D90" i="16"/>
  <c r="C90" i="16"/>
  <c r="B90" i="16"/>
  <c r="K89" i="16"/>
  <c r="J89" i="16"/>
  <c r="G89" i="16"/>
  <c r="D89" i="16"/>
  <c r="C89" i="16"/>
  <c r="B89" i="16"/>
  <c r="J88" i="16"/>
  <c r="K88" i="16" s="1"/>
  <c r="G88" i="16"/>
  <c r="D88" i="16"/>
  <c r="C88" i="16"/>
  <c r="B88" i="16"/>
  <c r="K87" i="16"/>
  <c r="J87" i="16"/>
  <c r="G87" i="16"/>
  <c r="D87" i="16"/>
  <c r="C87" i="16"/>
  <c r="B87" i="16"/>
  <c r="J86" i="16"/>
  <c r="K86" i="16" s="1"/>
  <c r="G86" i="16"/>
  <c r="D86" i="16"/>
  <c r="C86" i="16"/>
  <c r="B86" i="16"/>
  <c r="J85" i="16"/>
  <c r="K85" i="16" s="1"/>
  <c r="G85" i="16"/>
  <c r="D85" i="16"/>
  <c r="C85" i="16"/>
  <c r="B85" i="16"/>
  <c r="J84" i="16"/>
  <c r="K84" i="16" s="1"/>
  <c r="G84" i="16"/>
  <c r="D84" i="16"/>
  <c r="C84" i="16"/>
  <c r="B84" i="16"/>
  <c r="J83" i="16"/>
  <c r="K83" i="16" s="1"/>
  <c r="G83" i="16"/>
  <c r="D83" i="16"/>
  <c r="C83" i="16"/>
  <c r="B83" i="16"/>
  <c r="J82" i="16"/>
  <c r="K82" i="16" s="1"/>
  <c r="G82" i="16"/>
  <c r="D82" i="16"/>
  <c r="C82" i="16"/>
  <c r="B82" i="16"/>
  <c r="J81" i="16"/>
  <c r="K81" i="16" s="1"/>
  <c r="G81" i="16"/>
  <c r="D81" i="16"/>
  <c r="C81" i="16"/>
  <c r="B81" i="16"/>
  <c r="K80" i="16"/>
  <c r="J80" i="16"/>
  <c r="G80" i="16"/>
  <c r="D80" i="16"/>
  <c r="C80" i="16"/>
  <c r="B80" i="16"/>
  <c r="J79" i="16"/>
  <c r="K79" i="16" s="1"/>
  <c r="G79" i="16"/>
  <c r="D79" i="16"/>
  <c r="C79" i="16"/>
  <c r="B79" i="16"/>
  <c r="J78" i="16"/>
  <c r="K78" i="16" s="1"/>
  <c r="G78" i="16"/>
  <c r="D78" i="16"/>
  <c r="C78" i="16"/>
  <c r="B78" i="16"/>
  <c r="J77" i="16"/>
  <c r="K77" i="16" s="1"/>
  <c r="G77" i="16"/>
  <c r="D77" i="16"/>
  <c r="C77" i="16"/>
  <c r="B77" i="16"/>
  <c r="J76" i="16"/>
  <c r="K76" i="16" s="1"/>
  <c r="G76" i="16"/>
  <c r="D76" i="16"/>
  <c r="C76" i="16"/>
  <c r="B76" i="16"/>
  <c r="J75" i="16"/>
  <c r="K75" i="16" s="1"/>
  <c r="G75" i="16"/>
  <c r="D75" i="16"/>
  <c r="C75" i="16"/>
  <c r="B75" i="16"/>
  <c r="J74" i="16"/>
  <c r="K74" i="16" s="1"/>
  <c r="G74" i="16"/>
  <c r="D74" i="16"/>
  <c r="C74" i="16"/>
  <c r="B74" i="16"/>
  <c r="K73" i="16"/>
  <c r="J73" i="16"/>
  <c r="G73" i="16"/>
  <c r="D73" i="16"/>
  <c r="C73" i="16"/>
  <c r="B73" i="16"/>
  <c r="J72" i="16"/>
  <c r="K72" i="16" s="1"/>
  <c r="G72" i="16"/>
  <c r="D72" i="16"/>
  <c r="C72" i="16"/>
  <c r="B72" i="16"/>
  <c r="K71" i="16"/>
  <c r="J71" i="16"/>
  <c r="G71" i="16"/>
  <c r="D71" i="16"/>
  <c r="C71" i="16"/>
  <c r="B71" i="16"/>
  <c r="J70" i="16"/>
  <c r="K70" i="16" s="1"/>
  <c r="G70" i="16"/>
  <c r="D70" i="16"/>
  <c r="C70" i="16"/>
  <c r="B70" i="16"/>
  <c r="J69" i="16"/>
  <c r="K69" i="16" s="1"/>
  <c r="G69" i="16"/>
  <c r="D69" i="16"/>
  <c r="C69" i="16"/>
  <c r="B69" i="16"/>
  <c r="J68" i="16"/>
  <c r="K68" i="16" s="1"/>
  <c r="G68" i="16"/>
  <c r="D68" i="16"/>
  <c r="C68" i="16"/>
  <c r="B68" i="16"/>
  <c r="J67" i="16"/>
  <c r="K67" i="16" s="1"/>
  <c r="G67" i="16"/>
  <c r="D67" i="16"/>
  <c r="C67" i="16"/>
  <c r="B67" i="16"/>
  <c r="J66" i="16"/>
  <c r="K66" i="16" s="1"/>
  <c r="G66" i="16"/>
  <c r="D66" i="16"/>
  <c r="C66" i="16"/>
  <c r="B66" i="16"/>
  <c r="J65" i="16"/>
  <c r="K65" i="16" s="1"/>
  <c r="G65" i="16"/>
  <c r="D65" i="16"/>
  <c r="C65" i="16"/>
  <c r="B65" i="16"/>
  <c r="K64" i="16"/>
  <c r="J64" i="16"/>
  <c r="G64" i="16"/>
  <c r="D64" i="16"/>
  <c r="C64" i="16"/>
  <c r="B64" i="16"/>
  <c r="J63" i="16"/>
  <c r="K63" i="16" s="1"/>
  <c r="G63" i="16"/>
  <c r="D63" i="16"/>
  <c r="C63" i="16"/>
  <c r="B63" i="16"/>
  <c r="J62" i="16"/>
  <c r="K62" i="16" s="1"/>
  <c r="G62" i="16"/>
  <c r="D62" i="16"/>
  <c r="C62" i="16"/>
  <c r="B62" i="16"/>
  <c r="J61" i="16"/>
  <c r="K61" i="16" s="1"/>
  <c r="G61" i="16"/>
  <c r="D61" i="16"/>
  <c r="C61" i="16"/>
  <c r="B61" i="16"/>
  <c r="J60" i="16"/>
  <c r="K60" i="16" s="1"/>
  <c r="G60" i="16"/>
  <c r="D60" i="16"/>
  <c r="C60" i="16"/>
  <c r="B60" i="16"/>
  <c r="J59" i="16"/>
  <c r="K59" i="16" s="1"/>
  <c r="G59" i="16"/>
  <c r="D59" i="16"/>
  <c r="C59" i="16"/>
  <c r="B59" i="16"/>
  <c r="J58" i="16"/>
  <c r="K58" i="16" s="1"/>
  <c r="G58" i="16"/>
  <c r="D58" i="16"/>
  <c r="C58" i="16"/>
  <c r="B58" i="16"/>
  <c r="K57" i="16"/>
  <c r="J57" i="16"/>
  <c r="G57" i="16"/>
  <c r="D57" i="16"/>
  <c r="C57" i="16"/>
  <c r="B57" i="16"/>
  <c r="J56" i="16"/>
  <c r="K56" i="16" s="1"/>
  <c r="G56" i="16"/>
  <c r="D56" i="16"/>
  <c r="C56" i="16"/>
  <c r="B56" i="16"/>
  <c r="K55" i="16"/>
  <c r="J55" i="16"/>
  <c r="G55" i="16"/>
  <c r="D55" i="16"/>
  <c r="C55" i="16"/>
  <c r="B55" i="16"/>
  <c r="J54" i="16"/>
  <c r="K54" i="16" s="1"/>
  <c r="G54" i="16"/>
  <c r="D54" i="16"/>
  <c r="C54" i="16"/>
  <c r="B54" i="16"/>
  <c r="J53" i="16"/>
  <c r="K53" i="16" s="1"/>
  <c r="G53" i="16"/>
  <c r="D53" i="16"/>
  <c r="C53" i="16"/>
  <c r="B53" i="16"/>
  <c r="J52" i="16"/>
  <c r="K52" i="16" s="1"/>
  <c r="G52" i="16"/>
  <c r="D52" i="16"/>
  <c r="C52" i="16"/>
  <c r="B52" i="16"/>
  <c r="J51" i="16"/>
  <c r="K51" i="16" s="1"/>
  <c r="G51" i="16"/>
  <c r="D51" i="16"/>
  <c r="C51" i="16"/>
  <c r="B51" i="16"/>
  <c r="J50" i="16"/>
  <c r="K50" i="16" s="1"/>
  <c r="G50" i="16"/>
  <c r="D50" i="16"/>
  <c r="C50" i="16"/>
  <c r="B50" i="16"/>
  <c r="J49" i="16"/>
  <c r="K49" i="16" s="1"/>
  <c r="G49" i="16"/>
  <c r="D49" i="16"/>
  <c r="C49" i="16"/>
  <c r="B49" i="16"/>
  <c r="K48" i="16"/>
  <c r="J48" i="16"/>
  <c r="G48" i="16"/>
  <c r="D48" i="16"/>
  <c r="C48" i="16"/>
  <c r="B48" i="16"/>
  <c r="J47" i="16"/>
  <c r="K47" i="16" s="1"/>
  <c r="G47" i="16"/>
  <c r="D47" i="16"/>
  <c r="C47" i="16"/>
  <c r="B47" i="16"/>
  <c r="J46" i="16"/>
  <c r="K46" i="16" s="1"/>
  <c r="G46" i="16"/>
  <c r="D46" i="16"/>
  <c r="C46" i="16"/>
  <c r="B46" i="16"/>
  <c r="J45" i="16"/>
  <c r="K45" i="16" s="1"/>
  <c r="G45" i="16"/>
  <c r="D45" i="16"/>
  <c r="C45" i="16"/>
  <c r="B45" i="16"/>
  <c r="J44" i="16"/>
  <c r="K44" i="16" s="1"/>
  <c r="G44" i="16"/>
  <c r="D44" i="16"/>
  <c r="C44" i="16"/>
  <c r="B44" i="16"/>
  <c r="J43" i="16"/>
  <c r="K43" i="16" s="1"/>
  <c r="G43" i="16"/>
  <c r="D43" i="16"/>
  <c r="C43" i="16"/>
  <c r="B43" i="16"/>
  <c r="J42" i="16"/>
  <c r="K42" i="16" s="1"/>
  <c r="G42" i="16"/>
  <c r="D42" i="16"/>
  <c r="C42" i="16"/>
  <c r="B42" i="16"/>
  <c r="K41" i="16"/>
  <c r="J41" i="16"/>
  <c r="G41" i="16"/>
  <c r="D41" i="16"/>
  <c r="C41" i="16"/>
  <c r="B41" i="16"/>
  <c r="J40" i="16"/>
  <c r="K40" i="16" s="1"/>
  <c r="G40" i="16"/>
  <c r="D40" i="16"/>
  <c r="C40" i="16"/>
  <c r="B40" i="16"/>
  <c r="K39" i="16"/>
  <c r="J39" i="16"/>
  <c r="G39" i="16"/>
  <c r="D39" i="16"/>
  <c r="C39" i="16"/>
  <c r="B39" i="16"/>
  <c r="J38" i="16"/>
  <c r="K38" i="16" s="1"/>
  <c r="G38" i="16"/>
  <c r="D38" i="16"/>
  <c r="C38" i="16"/>
  <c r="B38" i="16"/>
  <c r="J37" i="16"/>
  <c r="K37" i="16" s="1"/>
  <c r="G37" i="16"/>
  <c r="D37" i="16"/>
  <c r="C37" i="16"/>
  <c r="B37" i="16"/>
  <c r="J36" i="16"/>
  <c r="K36" i="16" s="1"/>
  <c r="G36" i="16"/>
  <c r="D36" i="16"/>
  <c r="C36" i="16"/>
  <c r="B36" i="16"/>
  <c r="J35" i="16"/>
  <c r="K35" i="16" s="1"/>
  <c r="G35" i="16"/>
  <c r="D35" i="16"/>
  <c r="C35" i="16"/>
  <c r="B35" i="16"/>
  <c r="J34" i="16"/>
  <c r="K34" i="16" s="1"/>
  <c r="G34" i="16"/>
  <c r="D34" i="16"/>
  <c r="C34" i="16"/>
  <c r="B34" i="16"/>
  <c r="J33" i="16"/>
  <c r="K33" i="16" s="1"/>
  <c r="G33" i="16"/>
  <c r="D33" i="16"/>
  <c r="C33" i="16"/>
  <c r="B33" i="16"/>
  <c r="K32" i="16"/>
  <c r="J32" i="16"/>
  <c r="G32" i="16"/>
  <c r="D32" i="16"/>
  <c r="C32" i="16"/>
  <c r="B32" i="16"/>
  <c r="J31" i="16"/>
  <c r="K31" i="16" s="1"/>
  <c r="G31" i="16"/>
  <c r="D31" i="16"/>
  <c r="C31" i="16"/>
  <c r="B31" i="16"/>
  <c r="J30" i="16"/>
  <c r="K30" i="16" s="1"/>
  <c r="G30" i="16"/>
  <c r="D30" i="16"/>
  <c r="C30" i="16"/>
  <c r="B30" i="16"/>
  <c r="J29" i="16"/>
  <c r="K29" i="16" s="1"/>
  <c r="G29" i="16"/>
  <c r="D29" i="16"/>
  <c r="C29" i="16"/>
  <c r="B29" i="16"/>
  <c r="J28" i="16"/>
  <c r="K28" i="16" s="1"/>
  <c r="G28" i="16"/>
  <c r="D28" i="16"/>
  <c r="C28" i="16"/>
  <c r="B28" i="16"/>
  <c r="J27" i="16"/>
  <c r="K27" i="16" s="1"/>
  <c r="G27" i="16"/>
  <c r="D27" i="16"/>
  <c r="C27" i="16"/>
  <c r="B27" i="16"/>
  <c r="J26" i="16"/>
  <c r="K26" i="16" s="1"/>
  <c r="G26" i="16"/>
  <c r="D26" i="16"/>
  <c r="C26" i="16"/>
  <c r="B26" i="16"/>
  <c r="K25" i="16"/>
  <c r="J25" i="16"/>
  <c r="G25" i="16"/>
  <c r="D25" i="16"/>
  <c r="C25" i="16"/>
  <c r="B25" i="16"/>
  <c r="J24" i="16"/>
  <c r="K24" i="16" s="1"/>
  <c r="G24" i="16"/>
  <c r="D24" i="16"/>
  <c r="C24" i="16"/>
  <c r="B24" i="16"/>
  <c r="K23" i="16"/>
  <c r="J23" i="16"/>
  <c r="G23" i="16"/>
  <c r="D23" i="16"/>
  <c r="C23" i="16"/>
  <c r="B23" i="16"/>
  <c r="J22" i="16"/>
  <c r="K22" i="16" s="1"/>
  <c r="G22" i="16"/>
  <c r="D22" i="16"/>
  <c r="C22" i="16"/>
  <c r="B22" i="16"/>
  <c r="J21" i="16"/>
  <c r="K21" i="16" s="1"/>
  <c r="G21" i="16"/>
  <c r="D21" i="16"/>
  <c r="C21" i="16"/>
  <c r="B21" i="16"/>
  <c r="J20" i="16"/>
  <c r="K20" i="16" s="1"/>
  <c r="G20" i="16"/>
  <c r="D20" i="16"/>
  <c r="C20" i="16"/>
  <c r="B20" i="16"/>
  <c r="J19" i="16"/>
  <c r="K19" i="16" s="1"/>
  <c r="G19" i="16"/>
  <c r="D19" i="16"/>
  <c r="C19" i="16"/>
  <c r="B19" i="16"/>
  <c r="J18" i="16"/>
  <c r="K18" i="16" s="1"/>
  <c r="G18" i="16"/>
  <c r="D18" i="16"/>
  <c r="C18" i="16"/>
  <c r="B18" i="16"/>
  <c r="J17" i="16"/>
  <c r="K17" i="16" s="1"/>
  <c r="G17" i="16"/>
  <c r="D17" i="16"/>
  <c r="C17" i="16"/>
  <c r="B17" i="16"/>
  <c r="K16" i="16"/>
  <c r="J16" i="16"/>
  <c r="G16" i="16"/>
  <c r="D16" i="16"/>
  <c r="C16" i="16"/>
  <c r="B16" i="16"/>
  <c r="J15" i="16"/>
  <c r="K15" i="16" s="1"/>
  <c r="G15" i="16"/>
  <c r="D15" i="16"/>
  <c r="C15" i="16"/>
  <c r="B15" i="16"/>
  <c r="J14" i="16"/>
  <c r="K14" i="16" s="1"/>
  <c r="G14" i="16"/>
  <c r="D14" i="16"/>
  <c r="C14" i="16"/>
  <c r="B14" i="16"/>
  <c r="J13" i="16"/>
  <c r="K13" i="16" s="1"/>
  <c r="G13" i="16"/>
  <c r="D13" i="16"/>
  <c r="C13" i="16"/>
  <c r="B13" i="16"/>
  <c r="J12" i="16"/>
  <c r="K12" i="16" s="1"/>
  <c r="G12" i="16"/>
  <c r="D12" i="16"/>
  <c r="C12" i="16"/>
  <c r="B12" i="16"/>
  <c r="J11" i="16"/>
  <c r="K11" i="16" s="1"/>
  <c r="G11" i="16"/>
  <c r="D11" i="16"/>
  <c r="C11" i="16"/>
  <c r="B11" i="16"/>
  <c r="J10" i="16"/>
  <c r="K10" i="16" s="1"/>
  <c r="G10" i="16"/>
  <c r="D10" i="16"/>
  <c r="C10" i="16"/>
  <c r="B10" i="16"/>
  <c r="K9" i="16"/>
  <c r="J9" i="16"/>
  <c r="G9" i="16"/>
  <c r="D9" i="16"/>
  <c r="C9" i="16"/>
  <c r="B9" i="16"/>
  <c r="K4" i="16"/>
  <c r="G4" i="16"/>
  <c r="D4" i="16"/>
  <c r="A4" i="16"/>
  <c r="I208" i="15"/>
  <c r="J208" i="15" s="1"/>
  <c r="F208" i="15"/>
  <c r="D208" i="15"/>
  <c r="C208" i="15"/>
  <c r="B208" i="15"/>
  <c r="I207" i="15"/>
  <c r="J207" i="15" s="1"/>
  <c r="F207" i="15"/>
  <c r="D207" i="15"/>
  <c r="C207" i="15"/>
  <c r="B207" i="15"/>
  <c r="I206" i="15"/>
  <c r="J206" i="15" s="1"/>
  <c r="F206" i="15"/>
  <c r="D206" i="15"/>
  <c r="C206" i="15"/>
  <c r="B206" i="15"/>
  <c r="I205" i="15"/>
  <c r="J205" i="15" s="1"/>
  <c r="F205" i="15"/>
  <c r="D205" i="15"/>
  <c r="C205" i="15"/>
  <c r="B205" i="15"/>
  <c r="I204" i="15"/>
  <c r="J204" i="15" s="1"/>
  <c r="F204" i="15"/>
  <c r="D204" i="15"/>
  <c r="C204" i="15"/>
  <c r="B204" i="15"/>
  <c r="I203" i="15"/>
  <c r="J203" i="15" s="1"/>
  <c r="F203" i="15"/>
  <c r="D203" i="15"/>
  <c r="C203" i="15"/>
  <c r="B203" i="15"/>
  <c r="J202" i="15"/>
  <c r="I202" i="15"/>
  <c r="F202" i="15"/>
  <c r="D202" i="15"/>
  <c r="C202" i="15"/>
  <c r="B202" i="15"/>
  <c r="I201" i="15"/>
  <c r="J201" i="15" s="1"/>
  <c r="F201" i="15"/>
  <c r="D201" i="15"/>
  <c r="C201" i="15"/>
  <c r="B201" i="15"/>
  <c r="I200" i="15"/>
  <c r="J200" i="15" s="1"/>
  <c r="F200" i="15"/>
  <c r="D200" i="15"/>
  <c r="C200" i="15"/>
  <c r="B200" i="15"/>
  <c r="I199" i="15"/>
  <c r="J199" i="15" s="1"/>
  <c r="F199" i="15"/>
  <c r="D199" i="15"/>
  <c r="C199" i="15"/>
  <c r="B199" i="15"/>
  <c r="I198" i="15"/>
  <c r="J198" i="15" s="1"/>
  <c r="F198" i="15"/>
  <c r="D198" i="15"/>
  <c r="C198" i="15"/>
  <c r="B198" i="15"/>
  <c r="J197" i="15"/>
  <c r="I197" i="15"/>
  <c r="F197" i="15"/>
  <c r="D197" i="15"/>
  <c r="C197" i="15"/>
  <c r="B197" i="15"/>
  <c r="I196" i="15"/>
  <c r="J196" i="15" s="1"/>
  <c r="F196" i="15"/>
  <c r="D196" i="15"/>
  <c r="C196" i="15"/>
  <c r="B196" i="15"/>
  <c r="J195" i="15"/>
  <c r="I195" i="15"/>
  <c r="F195" i="15"/>
  <c r="D195" i="15"/>
  <c r="C195" i="15"/>
  <c r="B195" i="15"/>
  <c r="I194" i="15"/>
  <c r="J194" i="15" s="1"/>
  <c r="F194" i="15"/>
  <c r="D194" i="15"/>
  <c r="C194" i="15"/>
  <c r="B194" i="15"/>
  <c r="J193" i="15"/>
  <c r="I193" i="15"/>
  <c r="F193" i="15"/>
  <c r="D193" i="15"/>
  <c r="C193" i="15"/>
  <c r="B193" i="15"/>
  <c r="I192" i="15"/>
  <c r="J192" i="15" s="1"/>
  <c r="F192" i="15"/>
  <c r="D192" i="15"/>
  <c r="C192" i="15"/>
  <c r="B192" i="15"/>
  <c r="I191" i="15"/>
  <c r="J191" i="15" s="1"/>
  <c r="F191" i="15"/>
  <c r="D191" i="15"/>
  <c r="C191" i="15"/>
  <c r="B191" i="15"/>
  <c r="J190" i="15"/>
  <c r="I190" i="15"/>
  <c r="F190" i="15"/>
  <c r="D190" i="15"/>
  <c r="C190" i="15"/>
  <c r="B190" i="15"/>
  <c r="I189" i="15"/>
  <c r="J189" i="15" s="1"/>
  <c r="F189" i="15"/>
  <c r="D189" i="15"/>
  <c r="C189" i="15"/>
  <c r="B189" i="15"/>
  <c r="I188" i="15"/>
  <c r="J188" i="15" s="1"/>
  <c r="F188" i="15"/>
  <c r="D188" i="15"/>
  <c r="C188" i="15"/>
  <c r="B188" i="15"/>
  <c r="I187" i="15"/>
  <c r="J187" i="15" s="1"/>
  <c r="F187" i="15"/>
  <c r="D187" i="15"/>
  <c r="C187" i="15"/>
  <c r="B187" i="15"/>
  <c r="J186" i="15"/>
  <c r="I186" i="15"/>
  <c r="F186" i="15"/>
  <c r="D186" i="15"/>
  <c r="C186" i="15"/>
  <c r="B186" i="15"/>
  <c r="I185" i="15"/>
  <c r="J185" i="15" s="1"/>
  <c r="F185" i="15"/>
  <c r="D185" i="15"/>
  <c r="C185" i="15"/>
  <c r="B185" i="15"/>
  <c r="I184" i="15"/>
  <c r="J184" i="15" s="1"/>
  <c r="F184" i="15"/>
  <c r="D184" i="15"/>
  <c r="C184" i="15"/>
  <c r="B184" i="15"/>
  <c r="J183" i="15"/>
  <c r="I183" i="15"/>
  <c r="F183" i="15"/>
  <c r="D183" i="15"/>
  <c r="C183" i="15"/>
  <c r="B183" i="15"/>
  <c r="J182" i="15"/>
  <c r="I182" i="15"/>
  <c r="F182" i="15"/>
  <c r="D182" i="15"/>
  <c r="C182" i="15"/>
  <c r="B182" i="15"/>
  <c r="I181" i="15"/>
  <c r="J181" i="15" s="1"/>
  <c r="F181" i="15"/>
  <c r="D181" i="15"/>
  <c r="C181" i="15"/>
  <c r="B181" i="15"/>
  <c r="I180" i="15"/>
  <c r="J180" i="15" s="1"/>
  <c r="F180" i="15"/>
  <c r="D180" i="15"/>
  <c r="C180" i="15"/>
  <c r="B180" i="15"/>
  <c r="J179" i="15"/>
  <c r="I179" i="15"/>
  <c r="F179" i="15"/>
  <c r="D179" i="15"/>
  <c r="C179" i="15"/>
  <c r="B179" i="15"/>
  <c r="I178" i="15"/>
  <c r="J178" i="15" s="1"/>
  <c r="F178" i="15"/>
  <c r="D178" i="15"/>
  <c r="C178" i="15"/>
  <c r="B178" i="15"/>
  <c r="J177" i="15"/>
  <c r="I177" i="15"/>
  <c r="F177" i="15"/>
  <c r="D177" i="15"/>
  <c r="C177" i="15"/>
  <c r="B177" i="15"/>
  <c r="I176" i="15"/>
  <c r="J176" i="15" s="1"/>
  <c r="F176" i="15"/>
  <c r="D176" i="15"/>
  <c r="C176" i="15"/>
  <c r="B176" i="15"/>
  <c r="I175" i="15"/>
  <c r="J175" i="15" s="1"/>
  <c r="F175" i="15"/>
  <c r="D175" i="15"/>
  <c r="C175" i="15"/>
  <c r="B175" i="15"/>
  <c r="I174" i="15"/>
  <c r="J174" i="15" s="1"/>
  <c r="F174" i="15"/>
  <c r="D174" i="15"/>
  <c r="C174" i="15"/>
  <c r="B174" i="15"/>
  <c r="I173" i="15"/>
  <c r="J173" i="15" s="1"/>
  <c r="F173" i="15"/>
  <c r="D173" i="15"/>
  <c r="C173" i="15"/>
  <c r="B173" i="15"/>
  <c r="I172" i="15"/>
  <c r="J172" i="15" s="1"/>
  <c r="F172" i="15"/>
  <c r="D172" i="15"/>
  <c r="C172" i="15"/>
  <c r="B172" i="15"/>
  <c r="I171" i="15"/>
  <c r="J171" i="15" s="1"/>
  <c r="F171" i="15"/>
  <c r="D171" i="15"/>
  <c r="C171" i="15"/>
  <c r="B171" i="15"/>
  <c r="J170" i="15"/>
  <c r="I170" i="15"/>
  <c r="F170" i="15"/>
  <c r="D170" i="15"/>
  <c r="C170" i="15"/>
  <c r="B170" i="15"/>
  <c r="I169" i="15"/>
  <c r="J169" i="15" s="1"/>
  <c r="F169" i="15"/>
  <c r="D169" i="15"/>
  <c r="C169" i="15"/>
  <c r="B169" i="15"/>
  <c r="I168" i="15"/>
  <c r="J168" i="15" s="1"/>
  <c r="F168" i="15"/>
  <c r="D168" i="15"/>
  <c r="C168" i="15"/>
  <c r="B168" i="15"/>
  <c r="I167" i="15"/>
  <c r="J167" i="15" s="1"/>
  <c r="F167" i="15"/>
  <c r="D167" i="15"/>
  <c r="C167" i="15"/>
  <c r="B167" i="15"/>
  <c r="I166" i="15"/>
  <c r="J166" i="15" s="1"/>
  <c r="F166" i="15"/>
  <c r="D166" i="15"/>
  <c r="C166" i="15"/>
  <c r="B166" i="15"/>
  <c r="J165" i="15"/>
  <c r="I165" i="15"/>
  <c r="F165" i="15"/>
  <c r="D165" i="15"/>
  <c r="C165" i="15"/>
  <c r="B165" i="15"/>
  <c r="I164" i="15"/>
  <c r="J164" i="15" s="1"/>
  <c r="F164" i="15"/>
  <c r="D164" i="15"/>
  <c r="C164" i="15"/>
  <c r="B164" i="15"/>
  <c r="J163" i="15"/>
  <c r="I163" i="15"/>
  <c r="F163" i="15"/>
  <c r="D163" i="15"/>
  <c r="C163" i="15"/>
  <c r="B163" i="15"/>
  <c r="I162" i="15"/>
  <c r="J162" i="15" s="1"/>
  <c r="F162" i="15"/>
  <c r="D162" i="15"/>
  <c r="C162" i="15"/>
  <c r="B162" i="15"/>
  <c r="J161" i="15"/>
  <c r="I161" i="15"/>
  <c r="F161" i="15"/>
  <c r="D161" i="15"/>
  <c r="C161" i="15"/>
  <c r="B161" i="15"/>
  <c r="I160" i="15"/>
  <c r="J160" i="15" s="1"/>
  <c r="F160" i="15"/>
  <c r="D160" i="15"/>
  <c r="C160" i="15"/>
  <c r="B160" i="15"/>
  <c r="I159" i="15"/>
  <c r="J159" i="15" s="1"/>
  <c r="F159" i="15"/>
  <c r="D159" i="15"/>
  <c r="C159" i="15"/>
  <c r="B159" i="15"/>
  <c r="J158" i="15"/>
  <c r="I158" i="15"/>
  <c r="F158" i="15"/>
  <c r="D158" i="15"/>
  <c r="C158" i="15"/>
  <c r="B158" i="15"/>
  <c r="I157" i="15"/>
  <c r="J157" i="15" s="1"/>
  <c r="F157" i="15"/>
  <c r="D157" i="15"/>
  <c r="C157" i="15"/>
  <c r="B157" i="15"/>
  <c r="I156" i="15"/>
  <c r="J156" i="15" s="1"/>
  <c r="F156" i="15"/>
  <c r="D156" i="15"/>
  <c r="C156" i="15"/>
  <c r="B156" i="15"/>
  <c r="I155" i="15"/>
  <c r="J155" i="15" s="1"/>
  <c r="F155" i="15"/>
  <c r="D155" i="15"/>
  <c r="C155" i="15"/>
  <c r="B155" i="15"/>
  <c r="J154" i="15"/>
  <c r="I154" i="15"/>
  <c r="F154" i="15"/>
  <c r="D154" i="15"/>
  <c r="C154" i="15"/>
  <c r="B154" i="15"/>
  <c r="I153" i="15"/>
  <c r="J153" i="15" s="1"/>
  <c r="F153" i="15"/>
  <c r="D153" i="15"/>
  <c r="C153" i="15"/>
  <c r="B153" i="15"/>
  <c r="I152" i="15"/>
  <c r="J152" i="15" s="1"/>
  <c r="F152" i="15"/>
  <c r="D152" i="15"/>
  <c r="C152" i="15"/>
  <c r="B152" i="15"/>
  <c r="J151" i="15"/>
  <c r="I151" i="15"/>
  <c r="F151" i="15"/>
  <c r="D151" i="15"/>
  <c r="C151" i="15"/>
  <c r="B151" i="15"/>
  <c r="J150" i="15"/>
  <c r="I150" i="15"/>
  <c r="F150" i="15"/>
  <c r="D150" i="15"/>
  <c r="C150" i="15"/>
  <c r="B150" i="15"/>
  <c r="I149" i="15"/>
  <c r="J149" i="15" s="1"/>
  <c r="F149" i="15"/>
  <c r="D149" i="15"/>
  <c r="C149" i="15"/>
  <c r="B149" i="15"/>
  <c r="I148" i="15"/>
  <c r="J148" i="15" s="1"/>
  <c r="F148" i="15"/>
  <c r="D148" i="15"/>
  <c r="C148" i="15"/>
  <c r="B148" i="15"/>
  <c r="J147" i="15"/>
  <c r="I147" i="15"/>
  <c r="F147" i="15"/>
  <c r="D147" i="15"/>
  <c r="C147" i="15"/>
  <c r="B147" i="15"/>
  <c r="I146" i="15"/>
  <c r="J146" i="15" s="1"/>
  <c r="F146" i="15"/>
  <c r="D146" i="15"/>
  <c r="C146" i="15"/>
  <c r="B146" i="15"/>
  <c r="J145" i="15"/>
  <c r="I145" i="15"/>
  <c r="F145" i="15"/>
  <c r="D145" i="15"/>
  <c r="C145" i="15"/>
  <c r="B145" i="15"/>
  <c r="I144" i="15"/>
  <c r="J144" i="15" s="1"/>
  <c r="F144" i="15"/>
  <c r="D144" i="15"/>
  <c r="C144" i="15"/>
  <c r="B144" i="15"/>
  <c r="I143" i="15"/>
  <c r="J143" i="15" s="1"/>
  <c r="F143" i="15"/>
  <c r="D143" i="15"/>
  <c r="C143" i="15"/>
  <c r="B143" i="15"/>
  <c r="I142" i="15"/>
  <c r="J142" i="15" s="1"/>
  <c r="F142" i="15"/>
  <c r="D142" i="15"/>
  <c r="C142" i="15"/>
  <c r="B142" i="15"/>
  <c r="I141" i="15"/>
  <c r="J141" i="15" s="1"/>
  <c r="F141" i="15"/>
  <c r="D141" i="15"/>
  <c r="C141" i="15"/>
  <c r="B141" i="15"/>
  <c r="I140" i="15"/>
  <c r="J140" i="15" s="1"/>
  <c r="F140" i="15"/>
  <c r="D140" i="15"/>
  <c r="C140" i="15"/>
  <c r="B140" i="15"/>
  <c r="I139" i="15"/>
  <c r="J139" i="15" s="1"/>
  <c r="F139" i="15"/>
  <c r="D139" i="15"/>
  <c r="C139" i="15"/>
  <c r="B139" i="15"/>
  <c r="J138" i="15"/>
  <c r="I138" i="15"/>
  <c r="F138" i="15"/>
  <c r="D138" i="15"/>
  <c r="C138" i="15"/>
  <c r="B138" i="15"/>
  <c r="I137" i="15"/>
  <c r="J137" i="15" s="1"/>
  <c r="F137" i="15"/>
  <c r="D137" i="15"/>
  <c r="C137" i="15"/>
  <c r="B137" i="15"/>
  <c r="I136" i="15"/>
  <c r="J136" i="15" s="1"/>
  <c r="F136" i="15"/>
  <c r="D136" i="15"/>
  <c r="C136" i="15"/>
  <c r="B136" i="15"/>
  <c r="I135" i="15"/>
  <c r="J135" i="15" s="1"/>
  <c r="F135" i="15"/>
  <c r="D135" i="15"/>
  <c r="C135" i="15"/>
  <c r="B135" i="15"/>
  <c r="I134" i="15"/>
  <c r="J134" i="15" s="1"/>
  <c r="F134" i="15"/>
  <c r="D134" i="15"/>
  <c r="C134" i="15"/>
  <c r="B134" i="15"/>
  <c r="J133" i="15"/>
  <c r="I133" i="15"/>
  <c r="F133" i="15"/>
  <c r="D133" i="15"/>
  <c r="C133" i="15"/>
  <c r="B133" i="15"/>
  <c r="I132" i="15"/>
  <c r="J132" i="15" s="1"/>
  <c r="F132" i="15"/>
  <c r="D132" i="15"/>
  <c r="C132" i="15"/>
  <c r="B132" i="15"/>
  <c r="J131" i="15"/>
  <c r="I131" i="15"/>
  <c r="F131" i="15"/>
  <c r="D131" i="15"/>
  <c r="C131" i="15"/>
  <c r="B131" i="15"/>
  <c r="I130" i="15"/>
  <c r="J130" i="15" s="1"/>
  <c r="F130" i="15"/>
  <c r="D130" i="15"/>
  <c r="C130" i="15"/>
  <c r="B130" i="15"/>
  <c r="J129" i="15"/>
  <c r="I129" i="15"/>
  <c r="F129" i="15"/>
  <c r="D129" i="15"/>
  <c r="C129" i="15"/>
  <c r="B129" i="15"/>
  <c r="I128" i="15"/>
  <c r="J128" i="15" s="1"/>
  <c r="F128" i="15"/>
  <c r="D128" i="15"/>
  <c r="C128" i="15"/>
  <c r="B128" i="15"/>
  <c r="I127" i="15"/>
  <c r="J127" i="15" s="1"/>
  <c r="F127" i="15"/>
  <c r="D127" i="15"/>
  <c r="C127" i="15"/>
  <c r="B127" i="15"/>
  <c r="J126" i="15"/>
  <c r="I126" i="15"/>
  <c r="F126" i="15"/>
  <c r="D126" i="15"/>
  <c r="C126" i="15"/>
  <c r="B126" i="15"/>
  <c r="I125" i="15"/>
  <c r="J125" i="15" s="1"/>
  <c r="F125" i="15"/>
  <c r="D125" i="15"/>
  <c r="C125" i="15"/>
  <c r="B125" i="15"/>
  <c r="I124" i="15"/>
  <c r="J124" i="15" s="1"/>
  <c r="F124" i="15"/>
  <c r="D124" i="15"/>
  <c r="C124" i="15"/>
  <c r="B124" i="15"/>
  <c r="I123" i="15"/>
  <c r="J123" i="15" s="1"/>
  <c r="F123" i="15"/>
  <c r="D123" i="15"/>
  <c r="C123" i="15"/>
  <c r="B123" i="15"/>
  <c r="J122" i="15"/>
  <c r="I122" i="15"/>
  <c r="F122" i="15"/>
  <c r="D122" i="15"/>
  <c r="C122" i="15"/>
  <c r="B122" i="15"/>
  <c r="I121" i="15"/>
  <c r="J121" i="15" s="1"/>
  <c r="F121" i="15"/>
  <c r="D121" i="15"/>
  <c r="C121" i="15"/>
  <c r="B121" i="15"/>
  <c r="I120" i="15"/>
  <c r="J120" i="15" s="1"/>
  <c r="F120" i="15"/>
  <c r="D120" i="15"/>
  <c r="C120" i="15"/>
  <c r="B120" i="15"/>
  <c r="J119" i="15"/>
  <c r="I119" i="15"/>
  <c r="F119" i="15"/>
  <c r="D119" i="15"/>
  <c r="C119" i="15"/>
  <c r="B119" i="15"/>
  <c r="J118" i="15"/>
  <c r="I118" i="15"/>
  <c r="F118" i="15"/>
  <c r="D118" i="15"/>
  <c r="C118" i="15"/>
  <c r="B118" i="15"/>
  <c r="I117" i="15"/>
  <c r="J117" i="15" s="1"/>
  <c r="F117" i="15"/>
  <c r="D117" i="15"/>
  <c r="C117" i="15"/>
  <c r="B117" i="15"/>
  <c r="I116" i="15"/>
  <c r="J116" i="15" s="1"/>
  <c r="F116" i="15"/>
  <c r="D116" i="15"/>
  <c r="C116" i="15"/>
  <c r="B116" i="15"/>
  <c r="J115" i="15"/>
  <c r="I115" i="15"/>
  <c r="F115" i="15"/>
  <c r="D115" i="15"/>
  <c r="C115" i="15"/>
  <c r="B115" i="15"/>
  <c r="I114" i="15"/>
  <c r="J114" i="15" s="1"/>
  <c r="F114" i="15"/>
  <c r="D114" i="15"/>
  <c r="C114" i="15"/>
  <c r="B114" i="15"/>
  <c r="J113" i="15"/>
  <c r="I113" i="15"/>
  <c r="F113" i="15"/>
  <c r="D113" i="15"/>
  <c r="C113" i="15"/>
  <c r="B113" i="15"/>
  <c r="I112" i="15"/>
  <c r="J112" i="15" s="1"/>
  <c r="F112" i="15"/>
  <c r="D112" i="15"/>
  <c r="C112" i="15"/>
  <c r="B112" i="15"/>
  <c r="I111" i="15"/>
  <c r="J111" i="15" s="1"/>
  <c r="F111" i="15"/>
  <c r="D111" i="15"/>
  <c r="C111" i="15"/>
  <c r="B111" i="15"/>
  <c r="I110" i="15"/>
  <c r="J110" i="15" s="1"/>
  <c r="F110" i="15"/>
  <c r="D110" i="15"/>
  <c r="C110" i="15"/>
  <c r="B110" i="15"/>
  <c r="I109" i="15"/>
  <c r="J109" i="15" s="1"/>
  <c r="F109" i="15"/>
  <c r="D109" i="15"/>
  <c r="C109" i="15"/>
  <c r="B109" i="15"/>
  <c r="I108" i="15"/>
  <c r="J108" i="15" s="1"/>
  <c r="F108" i="15"/>
  <c r="D108" i="15"/>
  <c r="C108" i="15"/>
  <c r="B108" i="15"/>
  <c r="I107" i="15"/>
  <c r="J107" i="15" s="1"/>
  <c r="F107" i="15"/>
  <c r="D107" i="15"/>
  <c r="C107" i="15"/>
  <c r="B107" i="15"/>
  <c r="J106" i="15"/>
  <c r="I106" i="15"/>
  <c r="F106" i="15"/>
  <c r="D106" i="15"/>
  <c r="C106" i="15"/>
  <c r="B106" i="15"/>
  <c r="I105" i="15"/>
  <c r="J105" i="15" s="1"/>
  <c r="F105" i="15"/>
  <c r="D105" i="15"/>
  <c r="C105" i="15"/>
  <c r="B105" i="15"/>
  <c r="I104" i="15"/>
  <c r="J104" i="15" s="1"/>
  <c r="F104" i="15"/>
  <c r="D104" i="15"/>
  <c r="C104" i="15"/>
  <c r="B104" i="15"/>
  <c r="I103" i="15"/>
  <c r="J103" i="15" s="1"/>
  <c r="F103" i="15"/>
  <c r="D103" i="15"/>
  <c r="C103" i="15"/>
  <c r="B103" i="15"/>
  <c r="I102" i="15"/>
  <c r="J102" i="15" s="1"/>
  <c r="F102" i="15"/>
  <c r="D102" i="15"/>
  <c r="C102" i="15"/>
  <c r="B102" i="15"/>
  <c r="J101" i="15"/>
  <c r="I101" i="15"/>
  <c r="F101" i="15"/>
  <c r="D101" i="15"/>
  <c r="C101" i="15"/>
  <c r="B101" i="15"/>
  <c r="I100" i="15"/>
  <c r="J100" i="15" s="1"/>
  <c r="F100" i="15"/>
  <c r="D100" i="15"/>
  <c r="C100" i="15"/>
  <c r="B100" i="15"/>
  <c r="J99" i="15"/>
  <c r="I99" i="15"/>
  <c r="F99" i="15"/>
  <c r="D99" i="15"/>
  <c r="C99" i="15"/>
  <c r="B99" i="15"/>
  <c r="I98" i="15"/>
  <c r="J98" i="15" s="1"/>
  <c r="F98" i="15"/>
  <c r="D98" i="15"/>
  <c r="C98" i="15"/>
  <c r="B98" i="15"/>
  <c r="J97" i="15"/>
  <c r="I97" i="15"/>
  <c r="F97" i="15"/>
  <c r="D97" i="15"/>
  <c r="C97" i="15"/>
  <c r="B97" i="15"/>
  <c r="I96" i="15"/>
  <c r="J96" i="15" s="1"/>
  <c r="F96" i="15"/>
  <c r="D96" i="15"/>
  <c r="C96" i="15"/>
  <c r="B96" i="15"/>
  <c r="I95" i="15"/>
  <c r="J95" i="15" s="1"/>
  <c r="F95" i="15"/>
  <c r="D95" i="15"/>
  <c r="C95" i="15"/>
  <c r="B95" i="15"/>
  <c r="J94" i="15"/>
  <c r="I94" i="15"/>
  <c r="F94" i="15"/>
  <c r="D94" i="15"/>
  <c r="C94" i="15"/>
  <c r="B94" i="15"/>
  <c r="I93" i="15"/>
  <c r="J93" i="15" s="1"/>
  <c r="F93" i="15"/>
  <c r="D93" i="15"/>
  <c r="C93" i="15"/>
  <c r="B93" i="15"/>
  <c r="I92" i="15"/>
  <c r="J92" i="15" s="1"/>
  <c r="F92" i="15"/>
  <c r="D92" i="15"/>
  <c r="C92" i="15"/>
  <c r="B92" i="15"/>
  <c r="I91" i="15"/>
  <c r="J91" i="15" s="1"/>
  <c r="F91" i="15"/>
  <c r="D91" i="15"/>
  <c r="C91" i="15"/>
  <c r="B91" i="15"/>
  <c r="J90" i="15"/>
  <c r="I90" i="15"/>
  <c r="F90" i="15"/>
  <c r="D90" i="15"/>
  <c r="C90" i="15"/>
  <c r="B90" i="15"/>
  <c r="I89" i="15"/>
  <c r="J89" i="15" s="1"/>
  <c r="F89" i="15"/>
  <c r="D89" i="15"/>
  <c r="C89" i="15"/>
  <c r="B89" i="15"/>
  <c r="I88" i="15"/>
  <c r="J88" i="15" s="1"/>
  <c r="F88" i="15"/>
  <c r="D88" i="15"/>
  <c r="C88" i="15"/>
  <c r="B88" i="15"/>
  <c r="J87" i="15"/>
  <c r="I87" i="15"/>
  <c r="F87" i="15"/>
  <c r="D87" i="15"/>
  <c r="C87" i="15"/>
  <c r="B87" i="15"/>
  <c r="J86" i="15"/>
  <c r="I86" i="15"/>
  <c r="F86" i="15"/>
  <c r="D86" i="15"/>
  <c r="C86" i="15"/>
  <c r="B86" i="15"/>
  <c r="I85" i="15"/>
  <c r="J85" i="15" s="1"/>
  <c r="F85" i="15"/>
  <c r="D85" i="15"/>
  <c r="C85" i="15"/>
  <c r="B85" i="15"/>
  <c r="I84" i="15"/>
  <c r="J84" i="15" s="1"/>
  <c r="F84" i="15"/>
  <c r="D84" i="15"/>
  <c r="C84" i="15"/>
  <c r="B84" i="15"/>
  <c r="J83" i="15"/>
  <c r="I83" i="15"/>
  <c r="F83" i="15"/>
  <c r="D83" i="15"/>
  <c r="C83" i="15"/>
  <c r="B83" i="15"/>
  <c r="I82" i="15"/>
  <c r="J82" i="15" s="1"/>
  <c r="F82" i="15"/>
  <c r="D82" i="15"/>
  <c r="C82" i="15"/>
  <c r="B82" i="15"/>
  <c r="J81" i="15"/>
  <c r="I81" i="15"/>
  <c r="F81" i="15"/>
  <c r="D81" i="15"/>
  <c r="C81" i="15"/>
  <c r="B81" i="15"/>
  <c r="I80" i="15"/>
  <c r="J80" i="15" s="1"/>
  <c r="F80" i="15"/>
  <c r="D80" i="15"/>
  <c r="C80" i="15"/>
  <c r="B80" i="15"/>
  <c r="I79" i="15"/>
  <c r="J79" i="15" s="1"/>
  <c r="F79" i="15"/>
  <c r="D79" i="15"/>
  <c r="C79" i="15"/>
  <c r="B79" i="15"/>
  <c r="I78" i="15"/>
  <c r="J78" i="15" s="1"/>
  <c r="F78" i="15"/>
  <c r="D78" i="15"/>
  <c r="C78" i="15"/>
  <c r="B78" i="15"/>
  <c r="I77" i="15"/>
  <c r="J77" i="15" s="1"/>
  <c r="F77" i="15"/>
  <c r="D77" i="15"/>
  <c r="C77" i="15"/>
  <c r="B77" i="15"/>
  <c r="I76" i="15"/>
  <c r="J76" i="15" s="1"/>
  <c r="F76" i="15"/>
  <c r="D76" i="15"/>
  <c r="C76" i="15"/>
  <c r="B76" i="15"/>
  <c r="I75" i="15"/>
  <c r="J75" i="15" s="1"/>
  <c r="F75" i="15"/>
  <c r="D75" i="15"/>
  <c r="C75" i="15"/>
  <c r="B75" i="15"/>
  <c r="J74" i="15"/>
  <c r="I74" i="15"/>
  <c r="F74" i="15"/>
  <c r="D74" i="15"/>
  <c r="C74" i="15"/>
  <c r="B74" i="15"/>
  <c r="I73" i="15"/>
  <c r="J73" i="15" s="1"/>
  <c r="F73" i="15"/>
  <c r="D73" i="15"/>
  <c r="C73" i="15"/>
  <c r="B73" i="15"/>
  <c r="I72" i="15"/>
  <c r="J72" i="15" s="1"/>
  <c r="F72" i="15"/>
  <c r="D72" i="15"/>
  <c r="C72" i="15"/>
  <c r="B72" i="15"/>
  <c r="I71" i="15"/>
  <c r="J71" i="15" s="1"/>
  <c r="F71" i="15"/>
  <c r="D71" i="15"/>
  <c r="C71" i="15"/>
  <c r="B71" i="15"/>
  <c r="I70" i="15"/>
  <c r="J70" i="15" s="1"/>
  <c r="F70" i="15"/>
  <c r="D70" i="15"/>
  <c r="C70" i="15"/>
  <c r="B70" i="15"/>
  <c r="J69" i="15"/>
  <c r="I69" i="15"/>
  <c r="F69" i="15"/>
  <c r="D69" i="15"/>
  <c r="C69" i="15"/>
  <c r="B69" i="15"/>
  <c r="I68" i="15"/>
  <c r="J68" i="15" s="1"/>
  <c r="F68" i="15"/>
  <c r="D68" i="15"/>
  <c r="C68" i="15"/>
  <c r="B68" i="15"/>
  <c r="J67" i="15"/>
  <c r="I67" i="15"/>
  <c r="F67" i="15"/>
  <c r="D67" i="15"/>
  <c r="C67" i="15"/>
  <c r="B67" i="15"/>
  <c r="I66" i="15"/>
  <c r="J66" i="15" s="1"/>
  <c r="F66" i="15"/>
  <c r="D66" i="15"/>
  <c r="C66" i="15"/>
  <c r="B66" i="15"/>
  <c r="J65" i="15"/>
  <c r="I65" i="15"/>
  <c r="F65" i="15"/>
  <c r="D65" i="15"/>
  <c r="C65" i="15"/>
  <c r="B65" i="15"/>
  <c r="I64" i="15"/>
  <c r="J64" i="15" s="1"/>
  <c r="F64" i="15"/>
  <c r="D64" i="15"/>
  <c r="C64" i="15"/>
  <c r="B64" i="15"/>
  <c r="I63" i="15"/>
  <c r="J63" i="15" s="1"/>
  <c r="F63" i="15"/>
  <c r="D63" i="15"/>
  <c r="C63" i="15"/>
  <c r="B63" i="15"/>
  <c r="J62" i="15"/>
  <c r="I62" i="15"/>
  <c r="F62" i="15"/>
  <c r="D62" i="15"/>
  <c r="C62" i="15"/>
  <c r="B62" i="15"/>
  <c r="I61" i="15"/>
  <c r="J61" i="15" s="1"/>
  <c r="F61" i="15"/>
  <c r="D61" i="15"/>
  <c r="C61" i="15"/>
  <c r="B61" i="15"/>
  <c r="I60" i="15"/>
  <c r="J60" i="15" s="1"/>
  <c r="F60" i="15"/>
  <c r="D60" i="15"/>
  <c r="C60" i="15"/>
  <c r="B60" i="15"/>
  <c r="I59" i="15"/>
  <c r="J59" i="15" s="1"/>
  <c r="F59" i="15"/>
  <c r="D59" i="15"/>
  <c r="C59" i="15"/>
  <c r="B59" i="15"/>
  <c r="J58" i="15"/>
  <c r="I58" i="15"/>
  <c r="F58" i="15"/>
  <c r="D58" i="15"/>
  <c r="C58" i="15"/>
  <c r="B58" i="15"/>
  <c r="I57" i="15"/>
  <c r="J57" i="15" s="1"/>
  <c r="F57" i="15"/>
  <c r="D57" i="15"/>
  <c r="C57" i="15"/>
  <c r="B57" i="15"/>
  <c r="I56" i="15"/>
  <c r="J56" i="15" s="1"/>
  <c r="F56" i="15"/>
  <c r="D56" i="15"/>
  <c r="C56" i="15"/>
  <c r="B56" i="15"/>
  <c r="J55" i="15"/>
  <c r="I55" i="15"/>
  <c r="F55" i="15"/>
  <c r="D55" i="15"/>
  <c r="C55" i="15"/>
  <c r="B55" i="15"/>
  <c r="J54" i="15"/>
  <c r="I54" i="15"/>
  <c r="F54" i="15"/>
  <c r="D54" i="15"/>
  <c r="C54" i="15"/>
  <c r="B54" i="15"/>
  <c r="I53" i="15"/>
  <c r="J53" i="15" s="1"/>
  <c r="F53" i="15"/>
  <c r="D53" i="15"/>
  <c r="C53" i="15"/>
  <c r="B53" i="15"/>
  <c r="I52" i="15"/>
  <c r="J52" i="15" s="1"/>
  <c r="F52" i="15"/>
  <c r="D52" i="15"/>
  <c r="C52" i="15"/>
  <c r="B52" i="15"/>
  <c r="J51" i="15"/>
  <c r="I51" i="15"/>
  <c r="F51" i="15"/>
  <c r="D51" i="15"/>
  <c r="C51" i="15"/>
  <c r="B51" i="15"/>
  <c r="I50" i="15"/>
  <c r="J50" i="15" s="1"/>
  <c r="F50" i="15"/>
  <c r="D50" i="15"/>
  <c r="C50" i="15"/>
  <c r="B50" i="15"/>
  <c r="J49" i="15"/>
  <c r="I49" i="15"/>
  <c r="F49" i="15"/>
  <c r="D49" i="15"/>
  <c r="C49" i="15"/>
  <c r="B49" i="15"/>
  <c r="I48" i="15"/>
  <c r="J48" i="15" s="1"/>
  <c r="F48" i="15"/>
  <c r="D48" i="15"/>
  <c r="C48" i="15"/>
  <c r="B48" i="15"/>
  <c r="I47" i="15"/>
  <c r="J47" i="15" s="1"/>
  <c r="F47" i="15"/>
  <c r="D47" i="15"/>
  <c r="C47" i="15"/>
  <c r="B47" i="15"/>
  <c r="I46" i="15"/>
  <c r="J46" i="15" s="1"/>
  <c r="F46" i="15"/>
  <c r="D46" i="15"/>
  <c r="C46" i="15"/>
  <c r="B46" i="15"/>
  <c r="I45" i="15"/>
  <c r="J45" i="15" s="1"/>
  <c r="F45" i="15"/>
  <c r="D45" i="15"/>
  <c r="C45" i="15"/>
  <c r="B45" i="15"/>
  <c r="I44" i="15"/>
  <c r="J44" i="15" s="1"/>
  <c r="F44" i="15"/>
  <c r="D44" i="15"/>
  <c r="C44" i="15"/>
  <c r="B44" i="15"/>
  <c r="I43" i="15"/>
  <c r="J43" i="15" s="1"/>
  <c r="F43" i="15"/>
  <c r="D43" i="15"/>
  <c r="C43" i="15"/>
  <c r="B43" i="15"/>
  <c r="J42" i="15"/>
  <c r="I42" i="15"/>
  <c r="F42" i="15"/>
  <c r="D42" i="15"/>
  <c r="C42" i="15"/>
  <c r="B42" i="15"/>
  <c r="I41" i="15"/>
  <c r="J41" i="15" s="1"/>
  <c r="F41" i="15"/>
  <c r="D41" i="15"/>
  <c r="C41" i="15"/>
  <c r="B41" i="15"/>
  <c r="I40" i="15"/>
  <c r="J40" i="15" s="1"/>
  <c r="F40" i="15"/>
  <c r="D40" i="15"/>
  <c r="C40" i="15"/>
  <c r="B40" i="15"/>
  <c r="I39" i="15"/>
  <c r="J39" i="15" s="1"/>
  <c r="F39" i="15"/>
  <c r="D39" i="15"/>
  <c r="C39" i="15"/>
  <c r="B39" i="15"/>
  <c r="I38" i="15"/>
  <c r="J38" i="15" s="1"/>
  <c r="F38" i="15"/>
  <c r="D38" i="15"/>
  <c r="C38" i="15"/>
  <c r="B38" i="15"/>
  <c r="J37" i="15"/>
  <c r="I37" i="15"/>
  <c r="F37" i="15"/>
  <c r="D37" i="15"/>
  <c r="C37" i="15"/>
  <c r="B37" i="15"/>
  <c r="I36" i="15"/>
  <c r="J36" i="15" s="1"/>
  <c r="F36" i="15"/>
  <c r="D36" i="15"/>
  <c r="C36" i="15"/>
  <c r="B36" i="15"/>
  <c r="J35" i="15"/>
  <c r="I35" i="15"/>
  <c r="F35" i="15"/>
  <c r="D35" i="15"/>
  <c r="C35" i="15"/>
  <c r="B35" i="15"/>
  <c r="I34" i="15"/>
  <c r="J34" i="15" s="1"/>
  <c r="F34" i="15"/>
  <c r="D34" i="15"/>
  <c r="C34" i="15"/>
  <c r="B34" i="15"/>
  <c r="J33" i="15"/>
  <c r="I33" i="15"/>
  <c r="F33" i="15"/>
  <c r="D33" i="15"/>
  <c r="C33" i="15"/>
  <c r="B33" i="15"/>
  <c r="I32" i="15"/>
  <c r="J32" i="15" s="1"/>
  <c r="F32" i="15"/>
  <c r="D32" i="15"/>
  <c r="C32" i="15"/>
  <c r="B32" i="15"/>
  <c r="J31" i="15"/>
  <c r="I31" i="15"/>
  <c r="F31" i="15"/>
  <c r="D31" i="15"/>
  <c r="C31" i="15"/>
  <c r="B31" i="15"/>
  <c r="I30" i="15"/>
  <c r="J30" i="15" s="1"/>
  <c r="F30" i="15"/>
  <c r="D30" i="15"/>
  <c r="C30" i="15"/>
  <c r="B30" i="15"/>
  <c r="J29" i="15"/>
  <c r="I29" i="15"/>
  <c r="F29" i="15"/>
  <c r="D29" i="15"/>
  <c r="C29" i="15"/>
  <c r="B29" i="15"/>
  <c r="I28" i="15"/>
  <c r="J28" i="15" s="1"/>
  <c r="F28" i="15"/>
  <c r="D28" i="15"/>
  <c r="C28" i="15"/>
  <c r="B28" i="15"/>
  <c r="J27" i="15"/>
  <c r="I27" i="15"/>
  <c r="F27" i="15"/>
  <c r="D27" i="15"/>
  <c r="C27" i="15"/>
  <c r="B27" i="15"/>
  <c r="I26" i="15"/>
  <c r="J26" i="15" s="1"/>
  <c r="F26" i="15"/>
  <c r="D26" i="15"/>
  <c r="C26" i="15"/>
  <c r="B26" i="15"/>
  <c r="J25" i="15"/>
  <c r="I25" i="15"/>
  <c r="F25" i="15"/>
  <c r="D25" i="15"/>
  <c r="C25" i="15"/>
  <c r="B25" i="15"/>
  <c r="I24" i="15"/>
  <c r="J24" i="15" s="1"/>
  <c r="F24" i="15"/>
  <c r="D24" i="15"/>
  <c r="C24" i="15"/>
  <c r="B24" i="15"/>
  <c r="J23" i="15"/>
  <c r="I23" i="15"/>
  <c r="F23" i="15"/>
  <c r="D23" i="15"/>
  <c r="C23" i="15"/>
  <c r="B23" i="15"/>
  <c r="I22" i="15"/>
  <c r="J22" i="15" s="1"/>
  <c r="F22" i="15"/>
  <c r="D22" i="15"/>
  <c r="C22" i="15"/>
  <c r="B22" i="15"/>
  <c r="J21" i="15"/>
  <c r="I21" i="15"/>
  <c r="F21" i="15"/>
  <c r="D21" i="15"/>
  <c r="C21" i="15"/>
  <c r="B21" i="15"/>
  <c r="I20" i="15"/>
  <c r="J20" i="15" s="1"/>
  <c r="F20" i="15"/>
  <c r="D20" i="15"/>
  <c r="C20" i="15"/>
  <c r="B20" i="15"/>
  <c r="J19" i="15"/>
  <c r="I19" i="15"/>
  <c r="F19" i="15"/>
  <c r="D19" i="15"/>
  <c r="C19" i="15"/>
  <c r="B19" i="15"/>
  <c r="I18" i="15"/>
  <c r="J18" i="15" s="1"/>
  <c r="F18" i="15"/>
  <c r="D18" i="15"/>
  <c r="C18" i="15"/>
  <c r="B18" i="15"/>
  <c r="J17" i="15"/>
  <c r="I17" i="15"/>
  <c r="F17" i="15"/>
  <c r="D17" i="15"/>
  <c r="C17" i="15"/>
  <c r="B17" i="15"/>
  <c r="I16" i="15"/>
  <c r="J16" i="15" s="1"/>
  <c r="F16" i="15"/>
  <c r="D16" i="15"/>
  <c r="C16" i="15"/>
  <c r="B16" i="15"/>
  <c r="J15" i="15"/>
  <c r="I15" i="15"/>
  <c r="F15" i="15"/>
  <c r="D15" i="15"/>
  <c r="C15" i="15"/>
  <c r="B15" i="15"/>
  <c r="I14" i="15"/>
  <c r="J14" i="15" s="1"/>
  <c r="F14" i="15"/>
  <c r="D14" i="15"/>
  <c r="C14" i="15"/>
  <c r="B14" i="15"/>
  <c r="J13" i="15"/>
  <c r="I13" i="15"/>
  <c r="F13" i="15"/>
  <c r="D13" i="15"/>
  <c r="C13" i="15"/>
  <c r="B13" i="15"/>
  <c r="I12" i="15"/>
  <c r="J12" i="15" s="1"/>
  <c r="F12" i="15"/>
  <c r="D12" i="15"/>
  <c r="C12" i="15"/>
  <c r="B12" i="15"/>
  <c r="J11" i="15"/>
  <c r="I11" i="15"/>
  <c r="F11" i="15"/>
  <c r="D11" i="15"/>
  <c r="C11" i="15"/>
  <c r="B11" i="15"/>
  <c r="I10" i="15"/>
  <c r="J10" i="15" s="1"/>
  <c r="F10" i="15"/>
  <c r="D10" i="15"/>
  <c r="C10" i="15"/>
  <c r="B10" i="15"/>
  <c r="J9" i="15"/>
  <c r="I9" i="15"/>
  <c r="F9" i="15"/>
  <c r="D9" i="15"/>
  <c r="C9" i="15"/>
  <c r="B9" i="15"/>
  <c r="A5" i="15"/>
  <c r="G4" i="15"/>
  <c r="D4" i="15"/>
  <c r="A4" i="15"/>
  <c r="K213" i="14"/>
  <c r="K212" i="14"/>
  <c r="K211" i="14"/>
  <c r="K210" i="14"/>
  <c r="K209" i="14"/>
  <c r="K208" i="14"/>
  <c r="K207" i="14"/>
  <c r="K206" i="14"/>
  <c r="K205" i="14"/>
  <c r="K204" i="14"/>
  <c r="K203" i="14"/>
  <c r="K202" i="14"/>
  <c r="K201" i="14"/>
  <c r="K200" i="14"/>
  <c r="K199" i="14"/>
  <c r="K198" i="14"/>
  <c r="K197" i="14"/>
  <c r="K196" i="14"/>
  <c r="K195" i="14"/>
  <c r="K194" i="14"/>
  <c r="K193" i="14"/>
  <c r="K192" i="14"/>
  <c r="K191" i="14"/>
  <c r="K190" i="14"/>
  <c r="K189" i="14"/>
  <c r="K188" i="14"/>
  <c r="K187" i="14"/>
  <c r="K186" i="14"/>
  <c r="K185" i="14"/>
  <c r="K184" i="14"/>
  <c r="K183" i="14"/>
  <c r="K182" i="14"/>
  <c r="K181" i="14"/>
  <c r="K180" i="14"/>
  <c r="K179" i="14"/>
  <c r="K178" i="14"/>
  <c r="K177" i="14"/>
  <c r="K176" i="14"/>
  <c r="K175" i="14"/>
  <c r="K174" i="14"/>
  <c r="K173" i="14"/>
  <c r="K172" i="14"/>
  <c r="K171" i="14"/>
  <c r="K170" i="14"/>
  <c r="K169" i="14"/>
  <c r="K168" i="14"/>
  <c r="K167" i="14"/>
  <c r="K166" i="14"/>
  <c r="K165" i="14"/>
  <c r="K164" i="14"/>
  <c r="K163" i="14"/>
  <c r="K162" i="14"/>
  <c r="K161" i="14"/>
  <c r="K160" i="14"/>
  <c r="K159" i="14"/>
  <c r="K158" i="14"/>
  <c r="K157" i="14"/>
  <c r="K156" i="14"/>
  <c r="K155" i="14"/>
  <c r="K154" i="14"/>
  <c r="K153" i="14"/>
  <c r="K152" i="14"/>
  <c r="K151" i="14"/>
  <c r="K150" i="14"/>
  <c r="K149" i="14"/>
  <c r="K148" i="14"/>
  <c r="K147" i="14"/>
  <c r="K146" i="14"/>
  <c r="K145" i="14"/>
  <c r="K144" i="14"/>
  <c r="K143" i="14"/>
  <c r="K142" i="14"/>
  <c r="K141" i="14"/>
  <c r="K140" i="14"/>
  <c r="K139" i="14"/>
  <c r="K138" i="14"/>
  <c r="K137" i="14"/>
  <c r="K136" i="14"/>
  <c r="K135" i="14"/>
  <c r="K134" i="14"/>
  <c r="K133" i="14"/>
  <c r="K132" i="14"/>
  <c r="K131" i="14"/>
  <c r="K130" i="14"/>
  <c r="K129" i="14"/>
  <c r="K128" i="14"/>
  <c r="K127" i="14"/>
  <c r="K126" i="14"/>
  <c r="K125" i="14"/>
  <c r="K124" i="14"/>
  <c r="K123" i="14"/>
  <c r="K122" i="14"/>
  <c r="K121" i="14"/>
  <c r="K120" i="14"/>
  <c r="K119" i="14"/>
  <c r="K118" i="14"/>
  <c r="K117" i="14"/>
  <c r="K116" i="14"/>
  <c r="K115" i="14"/>
  <c r="K114" i="14"/>
  <c r="K113" i="14"/>
  <c r="J113" i="14"/>
  <c r="I113" i="14"/>
  <c r="D113" i="14"/>
  <c r="C113" i="14"/>
  <c r="A113" i="14"/>
  <c r="K112" i="14"/>
  <c r="I112" i="14"/>
  <c r="J112" i="14" s="1"/>
  <c r="D112" i="14"/>
  <c r="C112" i="14"/>
  <c r="A112" i="14"/>
  <c r="K111" i="14"/>
  <c r="I111" i="14"/>
  <c r="J111" i="14" s="1"/>
  <c r="D111" i="14"/>
  <c r="C111" i="14"/>
  <c r="A111" i="14"/>
  <c r="K110" i="14"/>
  <c r="J110" i="14"/>
  <c r="I110" i="14"/>
  <c r="D110" i="14"/>
  <c r="C110" i="14"/>
  <c r="A110" i="14"/>
  <c r="K109" i="14"/>
  <c r="I109" i="14"/>
  <c r="J109" i="14" s="1"/>
  <c r="D109" i="14"/>
  <c r="C109" i="14"/>
  <c r="A109" i="14"/>
  <c r="K108" i="14"/>
  <c r="I108" i="14"/>
  <c r="J108" i="14" s="1"/>
  <c r="D108" i="14"/>
  <c r="C108" i="14"/>
  <c r="A108" i="14"/>
  <c r="K107" i="14"/>
  <c r="I107" i="14"/>
  <c r="J107" i="14" s="1"/>
  <c r="D107" i="14"/>
  <c r="C107" i="14"/>
  <c r="A107" i="14"/>
  <c r="K106" i="14"/>
  <c r="J106" i="14"/>
  <c r="I106" i="14"/>
  <c r="D106" i="14"/>
  <c r="C106" i="14"/>
  <c r="A106" i="14"/>
  <c r="K105" i="14"/>
  <c r="J105" i="14"/>
  <c r="I105" i="14"/>
  <c r="D105" i="14"/>
  <c r="C105" i="14"/>
  <c r="A105" i="14"/>
  <c r="K104" i="14"/>
  <c r="I104" i="14"/>
  <c r="J104" i="14" s="1"/>
  <c r="D104" i="14"/>
  <c r="C104" i="14"/>
  <c r="A104" i="14"/>
  <c r="K103" i="14"/>
  <c r="I103" i="14"/>
  <c r="J103" i="14" s="1"/>
  <c r="D103" i="14"/>
  <c r="C103" i="14"/>
  <c r="A103" i="14"/>
  <c r="K102" i="14"/>
  <c r="J102" i="14"/>
  <c r="I102" i="14"/>
  <c r="D102" i="14"/>
  <c r="C102" i="14"/>
  <c r="A102" i="14"/>
  <c r="K101" i="14"/>
  <c r="J101" i="14"/>
  <c r="I101" i="14"/>
  <c r="D101" i="14"/>
  <c r="C101" i="14"/>
  <c r="A101" i="14"/>
  <c r="K100" i="14"/>
  <c r="I100" i="14"/>
  <c r="J100" i="14" s="1"/>
  <c r="D100" i="14"/>
  <c r="C100" i="14"/>
  <c r="A100" i="14"/>
  <c r="K99" i="14"/>
  <c r="I99" i="14"/>
  <c r="J99" i="14" s="1"/>
  <c r="D99" i="14"/>
  <c r="C99" i="14"/>
  <c r="A99" i="14"/>
  <c r="K98" i="14"/>
  <c r="J98" i="14"/>
  <c r="I98" i="14"/>
  <c r="D98" i="14"/>
  <c r="C98" i="14"/>
  <c r="A98" i="14"/>
  <c r="K97" i="14"/>
  <c r="I97" i="14"/>
  <c r="J97" i="14" s="1"/>
  <c r="D97" i="14"/>
  <c r="C97" i="14"/>
  <c r="A97" i="14"/>
  <c r="K96" i="14"/>
  <c r="I96" i="14"/>
  <c r="J96" i="14" s="1"/>
  <c r="D96" i="14"/>
  <c r="C96" i="14"/>
  <c r="A96" i="14"/>
  <c r="K95" i="14"/>
  <c r="I95" i="14"/>
  <c r="J95" i="14" s="1"/>
  <c r="D95" i="14"/>
  <c r="C95" i="14"/>
  <c r="A95" i="14"/>
  <c r="K94" i="14"/>
  <c r="J94" i="14"/>
  <c r="I94" i="14"/>
  <c r="D94" i="14"/>
  <c r="C94" i="14"/>
  <c r="A94" i="14"/>
  <c r="K93" i="14"/>
  <c r="I93" i="14"/>
  <c r="J93" i="14" s="1"/>
  <c r="D93" i="14"/>
  <c r="C93" i="14"/>
  <c r="A93" i="14"/>
  <c r="K92" i="14"/>
  <c r="I92" i="14"/>
  <c r="J92" i="14" s="1"/>
  <c r="D92" i="14"/>
  <c r="C92" i="14"/>
  <c r="A92" i="14"/>
  <c r="K91" i="14"/>
  <c r="I91" i="14"/>
  <c r="J91" i="14" s="1"/>
  <c r="D91" i="14"/>
  <c r="C91" i="14"/>
  <c r="A91" i="14"/>
  <c r="K90" i="14"/>
  <c r="J90" i="14"/>
  <c r="I90" i="14"/>
  <c r="D90" i="14"/>
  <c r="C90" i="14"/>
  <c r="A90" i="14"/>
  <c r="K89" i="14"/>
  <c r="J89" i="14"/>
  <c r="I89" i="14"/>
  <c r="D89" i="14"/>
  <c r="C89" i="14"/>
  <c r="A89" i="14"/>
  <c r="K88" i="14"/>
  <c r="I88" i="14"/>
  <c r="J88" i="14" s="1"/>
  <c r="D88" i="14"/>
  <c r="C88" i="14"/>
  <c r="A88" i="14"/>
  <c r="K87" i="14"/>
  <c r="I87" i="14"/>
  <c r="J87" i="14" s="1"/>
  <c r="D87" i="14"/>
  <c r="C87" i="14"/>
  <c r="A87" i="14"/>
  <c r="K86" i="14"/>
  <c r="J86" i="14"/>
  <c r="I86" i="14"/>
  <c r="D86" i="14"/>
  <c r="C86" i="14"/>
  <c r="A86" i="14"/>
  <c r="K85" i="14"/>
  <c r="I85" i="14"/>
  <c r="J85" i="14" s="1"/>
  <c r="D85" i="14"/>
  <c r="C85" i="14"/>
  <c r="A85" i="14"/>
  <c r="K84" i="14"/>
  <c r="I84" i="14"/>
  <c r="J84" i="14" s="1"/>
  <c r="D84" i="14"/>
  <c r="C84" i="14"/>
  <c r="A84" i="14"/>
  <c r="K83" i="14"/>
  <c r="I83" i="14"/>
  <c r="J83" i="14" s="1"/>
  <c r="D83" i="14"/>
  <c r="C83" i="14"/>
  <c r="A83" i="14"/>
  <c r="K82" i="14"/>
  <c r="J82" i="14"/>
  <c r="I82" i="14"/>
  <c r="D82" i="14"/>
  <c r="C82" i="14"/>
  <c r="A82" i="14"/>
  <c r="K81" i="14"/>
  <c r="J81" i="14"/>
  <c r="I81" i="14"/>
  <c r="D81" i="14"/>
  <c r="C81" i="14"/>
  <c r="A81" i="14"/>
  <c r="K80" i="14"/>
  <c r="I80" i="14"/>
  <c r="J80" i="14" s="1"/>
  <c r="D80" i="14"/>
  <c r="C80" i="14"/>
  <c r="A80" i="14"/>
  <c r="K79" i="14"/>
  <c r="I79" i="14"/>
  <c r="J79" i="14" s="1"/>
  <c r="D79" i="14"/>
  <c r="C79" i="14"/>
  <c r="A79" i="14"/>
  <c r="K78" i="14"/>
  <c r="J78" i="14"/>
  <c r="I78" i="14"/>
  <c r="D78" i="14"/>
  <c r="C78" i="14"/>
  <c r="A78" i="14"/>
  <c r="K77" i="14"/>
  <c r="I77" i="14"/>
  <c r="J77" i="14" s="1"/>
  <c r="D77" i="14"/>
  <c r="C77" i="14"/>
  <c r="A77" i="14"/>
  <c r="K76" i="14"/>
  <c r="I76" i="14"/>
  <c r="J76" i="14" s="1"/>
  <c r="D76" i="14"/>
  <c r="C76" i="14"/>
  <c r="A76" i="14"/>
  <c r="K75" i="14"/>
  <c r="I75" i="14"/>
  <c r="J75" i="14" s="1"/>
  <c r="D75" i="14"/>
  <c r="C75" i="14"/>
  <c r="A75" i="14"/>
  <c r="K74" i="14"/>
  <c r="J74" i="14"/>
  <c r="I74" i="14"/>
  <c r="D74" i="14"/>
  <c r="C74" i="14"/>
  <c r="A74" i="14"/>
  <c r="K73" i="14"/>
  <c r="J73" i="14"/>
  <c r="I73" i="14"/>
  <c r="D73" i="14"/>
  <c r="C73" i="14"/>
  <c r="A73" i="14"/>
  <c r="K72" i="14"/>
  <c r="I72" i="14"/>
  <c r="J72" i="14" s="1"/>
  <c r="D72" i="14"/>
  <c r="C72" i="14"/>
  <c r="A72" i="14"/>
  <c r="K71" i="14"/>
  <c r="I71" i="14"/>
  <c r="J71" i="14" s="1"/>
  <c r="D71" i="14"/>
  <c r="C71" i="14"/>
  <c r="A71" i="14"/>
  <c r="K70" i="14"/>
  <c r="J70" i="14"/>
  <c r="I70" i="14"/>
  <c r="D70" i="14"/>
  <c r="C70" i="14"/>
  <c r="A70" i="14"/>
  <c r="K69" i="14"/>
  <c r="I69" i="14"/>
  <c r="J69" i="14" s="1"/>
  <c r="D69" i="14"/>
  <c r="C69" i="14"/>
  <c r="A69" i="14"/>
  <c r="K68" i="14"/>
  <c r="I68" i="14"/>
  <c r="J68" i="14" s="1"/>
  <c r="D68" i="14"/>
  <c r="C68" i="14"/>
  <c r="A68" i="14"/>
  <c r="K67" i="14"/>
  <c r="I67" i="14"/>
  <c r="J67" i="14" s="1"/>
  <c r="D67" i="14"/>
  <c r="C67" i="14"/>
  <c r="A67" i="14"/>
  <c r="K66" i="14"/>
  <c r="J66" i="14"/>
  <c r="I66" i="14"/>
  <c r="D66" i="14"/>
  <c r="C66" i="14"/>
  <c r="A66" i="14"/>
  <c r="K65" i="14"/>
  <c r="J65" i="14"/>
  <c r="I65" i="14"/>
  <c r="D65" i="14"/>
  <c r="C65" i="14"/>
  <c r="A65" i="14"/>
  <c r="K64" i="14"/>
  <c r="I64" i="14"/>
  <c r="J64" i="14" s="1"/>
  <c r="D64" i="14"/>
  <c r="C64" i="14"/>
  <c r="A64" i="14"/>
  <c r="K63" i="14"/>
  <c r="I63" i="14"/>
  <c r="J63" i="14" s="1"/>
  <c r="D63" i="14"/>
  <c r="C63" i="14"/>
  <c r="A63" i="14"/>
  <c r="K62" i="14"/>
  <c r="J62" i="14"/>
  <c r="I62" i="14"/>
  <c r="D62" i="14"/>
  <c r="C62" i="14"/>
  <c r="A62" i="14"/>
  <c r="K61" i="14"/>
  <c r="I61" i="14"/>
  <c r="J61" i="14" s="1"/>
  <c r="D61" i="14"/>
  <c r="C61" i="14"/>
  <c r="A61" i="14"/>
  <c r="K60" i="14"/>
  <c r="I60" i="14"/>
  <c r="J60" i="14" s="1"/>
  <c r="D60" i="14"/>
  <c r="C60" i="14"/>
  <c r="A60" i="14"/>
  <c r="K59" i="14"/>
  <c r="I59" i="14"/>
  <c r="J59" i="14" s="1"/>
  <c r="D59" i="14"/>
  <c r="C59" i="14"/>
  <c r="A59" i="14"/>
  <c r="K58" i="14"/>
  <c r="J58" i="14"/>
  <c r="I58" i="14"/>
  <c r="D58" i="14"/>
  <c r="C58" i="14"/>
  <c r="A58" i="14"/>
  <c r="K57" i="14"/>
  <c r="J57" i="14"/>
  <c r="I57" i="14"/>
  <c r="D57" i="14"/>
  <c r="C57" i="14"/>
  <c r="A57" i="14"/>
  <c r="K56" i="14"/>
  <c r="I56" i="14"/>
  <c r="J56" i="14" s="1"/>
  <c r="D56" i="14"/>
  <c r="C56" i="14"/>
  <c r="A56" i="14"/>
  <c r="K55" i="14"/>
  <c r="I55" i="14"/>
  <c r="J55" i="14" s="1"/>
  <c r="D55" i="14"/>
  <c r="C55" i="14"/>
  <c r="A55" i="14"/>
  <c r="K54" i="14"/>
  <c r="J54" i="14"/>
  <c r="I54" i="14"/>
  <c r="D54" i="14"/>
  <c r="C54" i="14"/>
  <c r="A54" i="14"/>
  <c r="K53" i="14"/>
  <c r="I53" i="14"/>
  <c r="J53" i="14" s="1"/>
  <c r="D53" i="14"/>
  <c r="C53" i="14"/>
  <c r="A53" i="14"/>
  <c r="K52" i="14"/>
  <c r="I52" i="14"/>
  <c r="J52" i="14" s="1"/>
  <c r="D52" i="14"/>
  <c r="C52" i="14"/>
  <c r="A52" i="14"/>
  <c r="K51" i="14"/>
  <c r="I51" i="14"/>
  <c r="J51" i="14" s="1"/>
  <c r="D51" i="14"/>
  <c r="C51" i="14"/>
  <c r="A51" i="14"/>
  <c r="K50" i="14"/>
  <c r="J50" i="14"/>
  <c r="I50" i="14"/>
  <c r="D50" i="14"/>
  <c r="C50" i="14"/>
  <c r="A50" i="14"/>
  <c r="K49" i="14"/>
  <c r="J49" i="14"/>
  <c r="I49" i="14"/>
  <c r="D49" i="14"/>
  <c r="C49" i="14"/>
  <c r="A49" i="14"/>
  <c r="K48" i="14"/>
  <c r="I48" i="14"/>
  <c r="J48" i="14" s="1"/>
  <c r="D48" i="14"/>
  <c r="C48" i="14"/>
  <c r="A48" i="14"/>
  <c r="K47" i="14"/>
  <c r="I47" i="14"/>
  <c r="J47" i="14" s="1"/>
  <c r="D47" i="14"/>
  <c r="C47" i="14"/>
  <c r="A47" i="14"/>
  <c r="K46" i="14"/>
  <c r="J46" i="14"/>
  <c r="I46" i="14"/>
  <c r="D46" i="14"/>
  <c r="C46" i="14"/>
  <c r="A46" i="14"/>
  <c r="K45" i="14"/>
  <c r="I45" i="14"/>
  <c r="J45" i="14" s="1"/>
  <c r="D45" i="14"/>
  <c r="C45" i="14"/>
  <c r="A45" i="14"/>
  <c r="K44" i="14"/>
  <c r="I44" i="14"/>
  <c r="J44" i="14" s="1"/>
  <c r="D44" i="14"/>
  <c r="C44" i="14"/>
  <c r="A44" i="14"/>
  <c r="K43" i="14"/>
  <c r="I43" i="14"/>
  <c r="J43" i="14" s="1"/>
  <c r="D43" i="14"/>
  <c r="C43" i="14"/>
  <c r="A43" i="14"/>
  <c r="K42" i="14"/>
  <c r="J42" i="14"/>
  <c r="I42" i="14"/>
  <c r="D42" i="14"/>
  <c r="C42" i="14"/>
  <c r="A42" i="14"/>
  <c r="K41" i="14"/>
  <c r="J41" i="14"/>
  <c r="I41" i="14"/>
  <c r="D41" i="14"/>
  <c r="C41" i="14"/>
  <c r="A41" i="14"/>
  <c r="K40" i="14"/>
  <c r="I40" i="14"/>
  <c r="J40" i="14" s="1"/>
  <c r="D40" i="14"/>
  <c r="C40" i="14"/>
  <c r="A40" i="14"/>
  <c r="K39" i="14"/>
  <c r="I39" i="14"/>
  <c r="J39" i="14" s="1"/>
  <c r="D39" i="14"/>
  <c r="C39" i="14"/>
  <c r="A39" i="14"/>
  <c r="K38" i="14"/>
  <c r="J38" i="14"/>
  <c r="I38" i="14"/>
  <c r="D38" i="14"/>
  <c r="C38" i="14"/>
  <c r="A38" i="14"/>
  <c r="K37" i="14"/>
  <c r="I37" i="14"/>
  <c r="J37" i="14" s="1"/>
  <c r="D37" i="14"/>
  <c r="C37" i="14"/>
  <c r="A37" i="14"/>
  <c r="K36" i="14"/>
  <c r="I36" i="14"/>
  <c r="J36" i="14" s="1"/>
  <c r="D36" i="14"/>
  <c r="C36" i="14"/>
  <c r="A36" i="14"/>
  <c r="K35" i="14"/>
  <c r="I35" i="14"/>
  <c r="J35" i="14" s="1"/>
  <c r="D35" i="14"/>
  <c r="C35" i="14"/>
  <c r="A35" i="14"/>
  <c r="K34" i="14"/>
  <c r="J34" i="14"/>
  <c r="I34" i="14"/>
  <c r="D34" i="14"/>
  <c r="C34" i="14"/>
  <c r="A34" i="14"/>
  <c r="K33" i="14"/>
  <c r="I33" i="14"/>
  <c r="J33" i="14" s="1"/>
  <c r="D33" i="14"/>
  <c r="C33" i="14"/>
  <c r="A33" i="14"/>
  <c r="K32" i="14"/>
  <c r="I32" i="14"/>
  <c r="J32" i="14" s="1"/>
  <c r="D32" i="14"/>
  <c r="C32" i="14"/>
  <c r="A32" i="14"/>
  <c r="K31" i="14"/>
  <c r="I31" i="14"/>
  <c r="J31" i="14" s="1"/>
  <c r="D31" i="14"/>
  <c r="C31" i="14"/>
  <c r="A31" i="14"/>
  <c r="K30" i="14"/>
  <c r="J30" i="14"/>
  <c r="I30" i="14"/>
  <c r="D30" i="14"/>
  <c r="C30" i="14"/>
  <c r="A30" i="14"/>
  <c r="K29" i="14"/>
  <c r="I29" i="14"/>
  <c r="J29" i="14" s="1"/>
  <c r="D29" i="14"/>
  <c r="C29" i="14"/>
  <c r="A29" i="14"/>
  <c r="K28" i="14"/>
  <c r="I28" i="14"/>
  <c r="J28" i="14" s="1"/>
  <c r="D28" i="14"/>
  <c r="C28" i="14"/>
  <c r="A28" i="14"/>
  <c r="K27" i="14"/>
  <c r="I27" i="14"/>
  <c r="J27" i="14" s="1"/>
  <c r="D27" i="14"/>
  <c r="C27" i="14"/>
  <c r="A27" i="14"/>
  <c r="K26" i="14"/>
  <c r="J26" i="14"/>
  <c r="I26" i="14"/>
  <c r="D26" i="14"/>
  <c r="C26" i="14"/>
  <c r="A26" i="14"/>
  <c r="K25" i="14"/>
  <c r="I25" i="14"/>
  <c r="J25" i="14" s="1"/>
  <c r="D25" i="14"/>
  <c r="C25" i="14"/>
  <c r="A25" i="14"/>
  <c r="K24" i="14"/>
  <c r="I24" i="14"/>
  <c r="J24" i="14" s="1"/>
  <c r="D24" i="14"/>
  <c r="C24" i="14"/>
  <c r="A24" i="14"/>
  <c r="K23" i="14"/>
  <c r="J23" i="14"/>
  <c r="I23" i="14"/>
  <c r="D23" i="14"/>
  <c r="C23" i="14"/>
  <c r="A23" i="14"/>
  <c r="K22" i="14"/>
  <c r="J22" i="14"/>
  <c r="I22" i="14"/>
  <c r="D22" i="14"/>
  <c r="C22" i="14"/>
  <c r="A22" i="14"/>
  <c r="K21" i="14"/>
  <c r="J21" i="14"/>
  <c r="I21" i="14"/>
  <c r="D21" i="14"/>
  <c r="C21" i="14"/>
  <c r="A21" i="14"/>
  <c r="K20" i="14"/>
  <c r="I20" i="14"/>
  <c r="J20" i="14" s="1"/>
  <c r="D20" i="14"/>
  <c r="C20" i="14"/>
  <c r="A20" i="14"/>
  <c r="K19" i="14"/>
  <c r="I19" i="14"/>
  <c r="J19" i="14" s="1"/>
  <c r="D19" i="14"/>
  <c r="C19" i="14"/>
  <c r="A19" i="14"/>
  <c r="K18" i="14"/>
  <c r="J18" i="14"/>
  <c r="I18" i="14"/>
  <c r="D18" i="14"/>
  <c r="C18" i="14"/>
  <c r="A18" i="14"/>
  <c r="K17" i="14"/>
  <c r="J17" i="14"/>
  <c r="I17" i="14"/>
  <c r="D17" i="14"/>
  <c r="C17" i="14"/>
  <c r="A17" i="14"/>
  <c r="K16" i="14"/>
  <c r="I16" i="14"/>
  <c r="J16" i="14" s="1"/>
  <c r="D16" i="14"/>
  <c r="C16" i="14"/>
  <c r="A16" i="14"/>
  <c r="K15" i="14"/>
  <c r="I15" i="14"/>
  <c r="J15" i="14" s="1"/>
  <c r="D15" i="14"/>
  <c r="C15" i="14"/>
  <c r="A15" i="14"/>
  <c r="K14" i="14"/>
  <c r="J14" i="14"/>
  <c r="I14" i="14"/>
  <c r="D14" i="14"/>
  <c r="C14" i="14"/>
  <c r="A14" i="14"/>
  <c r="B9" i="14"/>
  <c r="B10" i="14" s="1"/>
  <c r="B8" i="14"/>
  <c r="K208" i="13"/>
  <c r="J208" i="13"/>
  <c r="G208" i="13"/>
  <c r="D208" i="13"/>
  <c r="C208" i="13"/>
  <c r="B208" i="13"/>
  <c r="J207" i="13"/>
  <c r="K207" i="13" s="1"/>
  <c r="G207" i="13"/>
  <c r="D207" i="13"/>
  <c r="C207" i="13"/>
  <c r="B207" i="13"/>
  <c r="J206" i="13"/>
  <c r="K206" i="13" s="1"/>
  <c r="G206" i="13"/>
  <c r="D206" i="13"/>
  <c r="C206" i="13"/>
  <c r="B206" i="13"/>
  <c r="J205" i="13"/>
  <c r="K205" i="13" s="1"/>
  <c r="G205" i="13"/>
  <c r="D205" i="13"/>
  <c r="C205" i="13"/>
  <c r="B205" i="13"/>
  <c r="K204" i="13"/>
  <c r="J204" i="13"/>
  <c r="G204" i="13"/>
  <c r="D204" i="13"/>
  <c r="C204" i="13"/>
  <c r="B204" i="13"/>
  <c r="J203" i="13"/>
  <c r="K203" i="13" s="1"/>
  <c r="G203" i="13"/>
  <c r="D203" i="13"/>
  <c r="C203" i="13"/>
  <c r="B203" i="13"/>
  <c r="J202" i="13"/>
  <c r="K202" i="13" s="1"/>
  <c r="G202" i="13"/>
  <c r="D202" i="13"/>
  <c r="C202" i="13"/>
  <c r="B202" i="13"/>
  <c r="K201" i="13"/>
  <c r="J201" i="13"/>
  <c r="G201" i="13"/>
  <c r="D201" i="13"/>
  <c r="C201" i="13"/>
  <c r="B201" i="13"/>
  <c r="K200" i="13"/>
  <c r="J200" i="13"/>
  <c r="G200" i="13"/>
  <c r="D200" i="13"/>
  <c r="C200" i="13"/>
  <c r="B200" i="13"/>
  <c r="K199" i="13"/>
  <c r="J199" i="13"/>
  <c r="G199" i="13"/>
  <c r="D199" i="13"/>
  <c r="C199" i="13"/>
  <c r="B199" i="13"/>
  <c r="J198" i="13"/>
  <c r="K198" i="13" s="1"/>
  <c r="G198" i="13"/>
  <c r="D198" i="13"/>
  <c r="C198" i="13"/>
  <c r="B198" i="13"/>
  <c r="K197" i="13"/>
  <c r="J197" i="13"/>
  <c r="G197" i="13"/>
  <c r="D197" i="13"/>
  <c r="C197" i="13"/>
  <c r="B197" i="13"/>
  <c r="K196" i="13"/>
  <c r="J196" i="13"/>
  <c r="G196" i="13"/>
  <c r="D196" i="13"/>
  <c r="C196" i="13"/>
  <c r="B196" i="13"/>
  <c r="J195" i="13"/>
  <c r="K195" i="13" s="1"/>
  <c r="G195" i="13"/>
  <c r="D195" i="13"/>
  <c r="C195" i="13"/>
  <c r="B195" i="13"/>
  <c r="J194" i="13"/>
  <c r="K194" i="13" s="1"/>
  <c r="G194" i="13"/>
  <c r="D194" i="13"/>
  <c r="C194" i="13"/>
  <c r="B194" i="13"/>
  <c r="J193" i="13"/>
  <c r="K193" i="13" s="1"/>
  <c r="G193" i="13"/>
  <c r="D193" i="13"/>
  <c r="C193" i="13"/>
  <c r="B193" i="13"/>
  <c r="K192" i="13"/>
  <c r="J192" i="13"/>
  <c r="G192" i="13"/>
  <c r="D192" i="13"/>
  <c r="C192" i="13"/>
  <c r="B192" i="13"/>
  <c r="J191" i="13"/>
  <c r="K191" i="13" s="1"/>
  <c r="G191" i="13"/>
  <c r="D191" i="13"/>
  <c r="C191" i="13"/>
  <c r="B191" i="13"/>
  <c r="J190" i="13"/>
  <c r="K190" i="13" s="1"/>
  <c r="G190" i="13"/>
  <c r="D190" i="13"/>
  <c r="C190" i="13"/>
  <c r="B190" i="13"/>
  <c r="J189" i="13"/>
  <c r="K189" i="13" s="1"/>
  <c r="G189" i="13"/>
  <c r="D189" i="13"/>
  <c r="C189" i="13"/>
  <c r="B189" i="13"/>
  <c r="K188" i="13"/>
  <c r="J188" i="13"/>
  <c r="G188" i="13"/>
  <c r="D188" i="13"/>
  <c r="C188" i="13"/>
  <c r="B188" i="13"/>
  <c r="J187" i="13"/>
  <c r="K187" i="13" s="1"/>
  <c r="G187" i="13"/>
  <c r="D187" i="13"/>
  <c r="C187" i="13"/>
  <c r="B187" i="13"/>
  <c r="J186" i="13"/>
  <c r="K186" i="13" s="1"/>
  <c r="G186" i="13"/>
  <c r="D186" i="13"/>
  <c r="C186" i="13"/>
  <c r="B186" i="13"/>
  <c r="K185" i="13"/>
  <c r="J185" i="13"/>
  <c r="G185" i="13"/>
  <c r="D185" i="13"/>
  <c r="C185" i="13"/>
  <c r="B185" i="13"/>
  <c r="K184" i="13"/>
  <c r="J184" i="13"/>
  <c r="G184" i="13"/>
  <c r="D184" i="13"/>
  <c r="C184" i="13"/>
  <c r="B184" i="13"/>
  <c r="K183" i="13"/>
  <c r="J183" i="13"/>
  <c r="G183" i="13"/>
  <c r="D183" i="13"/>
  <c r="C183" i="13"/>
  <c r="B183" i="13"/>
  <c r="J182" i="13"/>
  <c r="K182" i="13" s="1"/>
  <c r="G182" i="13"/>
  <c r="D182" i="13"/>
  <c r="C182" i="13"/>
  <c r="B182" i="13"/>
  <c r="J181" i="13"/>
  <c r="K181" i="13" s="1"/>
  <c r="G181" i="13"/>
  <c r="D181" i="13"/>
  <c r="C181" i="13"/>
  <c r="B181" i="13"/>
  <c r="K180" i="13"/>
  <c r="J180" i="13"/>
  <c r="G180" i="13"/>
  <c r="D180" i="13"/>
  <c r="C180" i="13"/>
  <c r="B180" i="13"/>
  <c r="K179" i="13"/>
  <c r="J179" i="13"/>
  <c r="G179" i="13"/>
  <c r="D179" i="13"/>
  <c r="C179" i="13"/>
  <c r="B179" i="13"/>
  <c r="J178" i="13"/>
  <c r="K178" i="13" s="1"/>
  <c r="G178" i="13"/>
  <c r="D178" i="13"/>
  <c r="C178" i="13"/>
  <c r="B178" i="13"/>
  <c r="J177" i="13"/>
  <c r="K177" i="13" s="1"/>
  <c r="G177" i="13"/>
  <c r="D177" i="13"/>
  <c r="C177" i="13"/>
  <c r="B177" i="13"/>
  <c r="K176" i="13"/>
  <c r="J176" i="13"/>
  <c r="G176" i="13"/>
  <c r="D176" i="13"/>
  <c r="C176" i="13"/>
  <c r="B176" i="13"/>
  <c r="J175" i="13"/>
  <c r="K175" i="13" s="1"/>
  <c r="G175" i="13"/>
  <c r="D175" i="13"/>
  <c r="C175" i="13"/>
  <c r="B175" i="13"/>
  <c r="J174" i="13"/>
  <c r="K174" i="13" s="1"/>
  <c r="G174" i="13"/>
  <c r="D174" i="13"/>
  <c r="C174" i="13"/>
  <c r="B174" i="13"/>
  <c r="J173" i="13"/>
  <c r="K173" i="13" s="1"/>
  <c r="G173" i="13"/>
  <c r="D173" i="13"/>
  <c r="C173" i="13"/>
  <c r="B173" i="13"/>
  <c r="K172" i="13"/>
  <c r="J172" i="13"/>
  <c r="G172" i="13"/>
  <c r="D172" i="13"/>
  <c r="C172" i="13"/>
  <c r="B172" i="13"/>
  <c r="J171" i="13"/>
  <c r="K171" i="13" s="1"/>
  <c r="G171" i="13"/>
  <c r="D171" i="13"/>
  <c r="C171" i="13"/>
  <c r="B171" i="13"/>
  <c r="J170" i="13"/>
  <c r="K170" i="13" s="1"/>
  <c r="G170" i="13"/>
  <c r="D170" i="13"/>
  <c r="C170" i="13"/>
  <c r="B170" i="13"/>
  <c r="K169" i="13"/>
  <c r="J169" i="13"/>
  <c r="G169" i="13"/>
  <c r="D169" i="13"/>
  <c r="C169" i="13"/>
  <c r="B169" i="13"/>
  <c r="K168" i="13"/>
  <c r="J168" i="13"/>
  <c r="G168" i="13"/>
  <c r="D168" i="13"/>
  <c r="C168" i="13"/>
  <c r="B168" i="13"/>
  <c r="K167" i="13"/>
  <c r="J167" i="13"/>
  <c r="G167" i="13"/>
  <c r="D167" i="13"/>
  <c r="C167" i="13"/>
  <c r="B167" i="13"/>
  <c r="J166" i="13"/>
  <c r="K166" i="13" s="1"/>
  <c r="G166" i="13"/>
  <c r="D166" i="13"/>
  <c r="C166" i="13"/>
  <c r="B166" i="13"/>
  <c r="K165" i="13"/>
  <c r="J165" i="13"/>
  <c r="G165" i="13"/>
  <c r="D165" i="13"/>
  <c r="C165" i="13"/>
  <c r="B165" i="13"/>
  <c r="K164" i="13"/>
  <c r="J164" i="13"/>
  <c r="G164" i="13"/>
  <c r="D164" i="13"/>
  <c r="C164" i="13"/>
  <c r="B164" i="13"/>
  <c r="J163" i="13"/>
  <c r="K163" i="13" s="1"/>
  <c r="G163" i="13"/>
  <c r="D163" i="13"/>
  <c r="C163" i="13"/>
  <c r="B163" i="13"/>
  <c r="J162" i="13"/>
  <c r="K162" i="13" s="1"/>
  <c r="G162" i="13"/>
  <c r="D162" i="13"/>
  <c r="C162" i="13"/>
  <c r="B162" i="13"/>
  <c r="K161" i="13"/>
  <c r="J161" i="13"/>
  <c r="G161" i="13"/>
  <c r="D161" i="13"/>
  <c r="C161" i="13"/>
  <c r="B161" i="13"/>
  <c r="J160" i="13"/>
  <c r="K160" i="13" s="1"/>
  <c r="G160" i="13"/>
  <c r="D160" i="13"/>
  <c r="C160" i="13"/>
  <c r="B160" i="13"/>
  <c r="K159" i="13"/>
  <c r="J159" i="13"/>
  <c r="G159" i="13"/>
  <c r="D159" i="13"/>
  <c r="C159" i="13"/>
  <c r="B159" i="13"/>
  <c r="J158" i="13"/>
  <c r="K158" i="13" s="1"/>
  <c r="G158" i="13"/>
  <c r="D158" i="13"/>
  <c r="C158" i="13"/>
  <c r="B158" i="13"/>
  <c r="K157" i="13"/>
  <c r="J157" i="13"/>
  <c r="G157" i="13"/>
  <c r="D157" i="13"/>
  <c r="C157" i="13"/>
  <c r="B157" i="13"/>
  <c r="J156" i="13"/>
  <c r="K156" i="13" s="1"/>
  <c r="G156" i="13"/>
  <c r="D156" i="13"/>
  <c r="C156" i="13"/>
  <c r="B156" i="13"/>
  <c r="J155" i="13"/>
  <c r="K155" i="13" s="1"/>
  <c r="G155" i="13"/>
  <c r="D155" i="13"/>
  <c r="C155" i="13"/>
  <c r="B155" i="13"/>
  <c r="J154" i="13"/>
  <c r="K154" i="13" s="1"/>
  <c r="G154" i="13"/>
  <c r="D154" i="13"/>
  <c r="C154" i="13"/>
  <c r="B154" i="13"/>
  <c r="K153" i="13"/>
  <c r="J153" i="13"/>
  <c r="G153" i="13"/>
  <c r="D153" i="13"/>
  <c r="C153" i="13"/>
  <c r="B153" i="13"/>
  <c r="J152" i="13"/>
  <c r="K152" i="13" s="1"/>
  <c r="G152" i="13"/>
  <c r="D152" i="13"/>
  <c r="C152" i="13"/>
  <c r="B152" i="13"/>
  <c r="K151" i="13"/>
  <c r="J151" i="13"/>
  <c r="G151" i="13"/>
  <c r="D151" i="13"/>
  <c r="C151" i="13"/>
  <c r="B151" i="13"/>
  <c r="J150" i="13"/>
  <c r="K150" i="13" s="1"/>
  <c r="G150" i="13"/>
  <c r="D150" i="13"/>
  <c r="C150" i="13"/>
  <c r="B150" i="13"/>
  <c r="K149" i="13"/>
  <c r="J149" i="13"/>
  <c r="G149" i="13"/>
  <c r="D149" i="13"/>
  <c r="C149" i="13"/>
  <c r="B149" i="13"/>
  <c r="J148" i="13"/>
  <c r="K148" i="13" s="1"/>
  <c r="G148" i="13"/>
  <c r="D148" i="13"/>
  <c r="C148" i="13"/>
  <c r="B148" i="13"/>
  <c r="J147" i="13"/>
  <c r="K147" i="13" s="1"/>
  <c r="G147" i="13"/>
  <c r="D147" i="13"/>
  <c r="C147" i="13"/>
  <c r="B147" i="13"/>
  <c r="J146" i="13"/>
  <c r="K146" i="13" s="1"/>
  <c r="G146" i="13"/>
  <c r="D146" i="13"/>
  <c r="C146" i="13"/>
  <c r="B146" i="13"/>
  <c r="K145" i="13"/>
  <c r="J145" i="13"/>
  <c r="G145" i="13"/>
  <c r="D145" i="13"/>
  <c r="C145" i="13"/>
  <c r="B145" i="13"/>
  <c r="J144" i="13"/>
  <c r="K144" i="13" s="1"/>
  <c r="G144" i="13"/>
  <c r="D144" i="13"/>
  <c r="C144" i="13"/>
  <c r="B144" i="13"/>
  <c r="K143" i="13"/>
  <c r="J143" i="13"/>
  <c r="G143" i="13"/>
  <c r="D143" i="13"/>
  <c r="C143" i="13"/>
  <c r="B143" i="13"/>
  <c r="J142" i="13"/>
  <c r="K142" i="13" s="1"/>
  <c r="G142" i="13"/>
  <c r="D142" i="13"/>
  <c r="C142" i="13"/>
  <c r="B142" i="13"/>
  <c r="K141" i="13"/>
  <c r="J141" i="13"/>
  <c r="G141" i="13"/>
  <c r="D141" i="13"/>
  <c r="C141" i="13"/>
  <c r="B141" i="13"/>
  <c r="J140" i="13"/>
  <c r="K140" i="13" s="1"/>
  <c r="G140" i="13"/>
  <c r="D140" i="13"/>
  <c r="C140" i="13"/>
  <c r="B140" i="13"/>
  <c r="J139" i="13"/>
  <c r="K139" i="13" s="1"/>
  <c r="G139" i="13"/>
  <c r="D139" i="13"/>
  <c r="C139" i="13"/>
  <c r="B139" i="13"/>
  <c r="J138" i="13"/>
  <c r="K138" i="13" s="1"/>
  <c r="G138" i="13"/>
  <c r="D138" i="13"/>
  <c r="C138" i="13"/>
  <c r="B138" i="13"/>
  <c r="K137" i="13"/>
  <c r="J137" i="13"/>
  <c r="G137" i="13"/>
  <c r="D137" i="13"/>
  <c r="C137" i="13"/>
  <c r="B137" i="13"/>
  <c r="J136" i="13"/>
  <c r="K136" i="13" s="1"/>
  <c r="G136" i="13"/>
  <c r="D136" i="13"/>
  <c r="C136" i="13"/>
  <c r="B136" i="13"/>
  <c r="K135" i="13"/>
  <c r="J135" i="13"/>
  <c r="G135" i="13"/>
  <c r="D135" i="13"/>
  <c r="C135" i="13"/>
  <c r="B135" i="13"/>
  <c r="J134" i="13"/>
  <c r="K134" i="13" s="1"/>
  <c r="G134" i="13"/>
  <c r="D134" i="13"/>
  <c r="C134" i="13"/>
  <c r="B134" i="13"/>
  <c r="K133" i="13"/>
  <c r="J133" i="13"/>
  <c r="G133" i="13"/>
  <c r="D133" i="13"/>
  <c r="C133" i="13"/>
  <c r="B133" i="13"/>
  <c r="J132" i="13"/>
  <c r="K132" i="13" s="1"/>
  <c r="G132" i="13"/>
  <c r="D132" i="13"/>
  <c r="C132" i="13"/>
  <c r="B132" i="13"/>
  <c r="J131" i="13"/>
  <c r="K131" i="13" s="1"/>
  <c r="G131" i="13"/>
  <c r="D131" i="13"/>
  <c r="C131" i="13"/>
  <c r="B131" i="13"/>
  <c r="J130" i="13"/>
  <c r="K130" i="13" s="1"/>
  <c r="G130" i="13"/>
  <c r="D130" i="13"/>
  <c r="C130" i="13"/>
  <c r="B130" i="13"/>
  <c r="K129" i="13"/>
  <c r="J129" i="13"/>
  <c r="G129" i="13"/>
  <c r="D129" i="13"/>
  <c r="C129" i="13"/>
  <c r="B129" i="13"/>
  <c r="J128" i="13"/>
  <c r="K128" i="13" s="1"/>
  <c r="G128" i="13"/>
  <c r="D128" i="13"/>
  <c r="C128" i="13"/>
  <c r="B128" i="13"/>
  <c r="K127" i="13"/>
  <c r="J127" i="13"/>
  <c r="G127" i="13"/>
  <c r="D127" i="13"/>
  <c r="C127" i="13"/>
  <c r="B127" i="13"/>
  <c r="J126" i="13"/>
  <c r="K126" i="13" s="1"/>
  <c r="G126" i="13"/>
  <c r="D126" i="13"/>
  <c r="C126" i="13"/>
  <c r="B126" i="13"/>
  <c r="K125" i="13"/>
  <c r="J125" i="13"/>
  <c r="G125" i="13"/>
  <c r="D125" i="13"/>
  <c r="C125" i="13"/>
  <c r="B125" i="13"/>
  <c r="J124" i="13"/>
  <c r="K124" i="13" s="1"/>
  <c r="G124" i="13"/>
  <c r="D124" i="13"/>
  <c r="C124" i="13"/>
  <c r="B124" i="13"/>
  <c r="J123" i="13"/>
  <c r="K123" i="13" s="1"/>
  <c r="G123" i="13"/>
  <c r="D123" i="13"/>
  <c r="C123" i="13"/>
  <c r="B123" i="13"/>
  <c r="J122" i="13"/>
  <c r="K122" i="13" s="1"/>
  <c r="G122" i="13"/>
  <c r="D122" i="13"/>
  <c r="C122" i="13"/>
  <c r="B122" i="13"/>
  <c r="K121" i="13"/>
  <c r="J121" i="13"/>
  <c r="G121" i="13"/>
  <c r="D121" i="13"/>
  <c r="C121" i="13"/>
  <c r="B121" i="13"/>
  <c r="J120" i="13"/>
  <c r="K120" i="13" s="1"/>
  <c r="G120" i="13"/>
  <c r="D120" i="13"/>
  <c r="C120" i="13"/>
  <c r="B120" i="13"/>
  <c r="K119" i="13"/>
  <c r="J119" i="13"/>
  <c r="G119" i="13"/>
  <c r="D119" i="13"/>
  <c r="C119" i="13"/>
  <c r="B119" i="13"/>
  <c r="J118" i="13"/>
  <c r="K118" i="13" s="1"/>
  <c r="G118" i="13"/>
  <c r="D118" i="13"/>
  <c r="C118" i="13"/>
  <c r="B118" i="13"/>
  <c r="K117" i="13"/>
  <c r="J117" i="13"/>
  <c r="G117" i="13"/>
  <c r="D117" i="13"/>
  <c r="C117" i="13"/>
  <c r="B117" i="13"/>
  <c r="J116" i="13"/>
  <c r="K116" i="13" s="1"/>
  <c r="G116" i="13"/>
  <c r="D116" i="13"/>
  <c r="C116" i="13"/>
  <c r="B116" i="13"/>
  <c r="J115" i="13"/>
  <c r="K115" i="13" s="1"/>
  <c r="G115" i="13"/>
  <c r="D115" i="13"/>
  <c r="C115" i="13"/>
  <c r="B115" i="13"/>
  <c r="J114" i="13"/>
  <c r="K114" i="13" s="1"/>
  <c r="G114" i="13"/>
  <c r="D114" i="13"/>
  <c r="C114" i="13"/>
  <c r="B114" i="13"/>
  <c r="K113" i="13"/>
  <c r="J113" i="13"/>
  <c r="G113" i="13"/>
  <c r="D113" i="13"/>
  <c r="C113" i="13"/>
  <c r="B113" i="13"/>
  <c r="J112" i="13"/>
  <c r="K112" i="13" s="1"/>
  <c r="G112" i="13"/>
  <c r="D112" i="13"/>
  <c r="C112" i="13"/>
  <c r="B112" i="13"/>
  <c r="K111" i="13"/>
  <c r="J111" i="13"/>
  <c r="G111" i="13"/>
  <c r="D111" i="13"/>
  <c r="C111" i="13"/>
  <c r="B111" i="13"/>
  <c r="J110" i="13"/>
  <c r="K110" i="13" s="1"/>
  <c r="G110" i="13"/>
  <c r="D110" i="13"/>
  <c r="C110" i="13"/>
  <c r="B110" i="13"/>
  <c r="K109" i="13"/>
  <c r="J109" i="13"/>
  <c r="G109" i="13"/>
  <c r="D109" i="13"/>
  <c r="C109" i="13"/>
  <c r="B109" i="13"/>
  <c r="J108" i="13"/>
  <c r="K108" i="13" s="1"/>
  <c r="G108" i="13"/>
  <c r="D108" i="13"/>
  <c r="C108" i="13"/>
  <c r="B108" i="13"/>
  <c r="J107" i="13"/>
  <c r="K107" i="13" s="1"/>
  <c r="G107" i="13"/>
  <c r="D107" i="13"/>
  <c r="C107" i="13"/>
  <c r="B107" i="13"/>
  <c r="J106" i="13"/>
  <c r="K106" i="13" s="1"/>
  <c r="G106" i="13"/>
  <c r="D106" i="13"/>
  <c r="C106" i="13"/>
  <c r="B106" i="13"/>
  <c r="K105" i="13"/>
  <c r="J105" i="13"/>
  <c r="G105" i="13"/>
  <c r="D105" i="13"/>
  <c r="C105" i="13"/>
  <c r="B105" i="13"/>
  <c r="J104" i="13"/>
  <c r="K104" i="13" s="1"/>
  <c r="G104" i="13"/>
  <c r="D104" i="13"/>
  <c r="C104" i="13"/>
  <c r="B104" i="13"/>
  <c r="K103" i="13"/>
  <c r="J103" i="13"/>
  <c r="G103" i="13"/>
  <c r="D103" i="13"/>
  <c r="C103" i="13"/>
  <c r="B103" i="13"/>
  <c r="J102" i="13"/>
  <c r="K102" i="13" s="1"/>
  <c r="G102" i="13"/>
  <c r="D102" i="13"/>
  <c r="C102" i="13"/>
  <c r="B102" i="13"/>
  <c r="K101" i="13"/>
  <c r="J101" i="13"/>
  <c r="G101" i="13"/>
  <c r="D101" i="13"/>
  <c r="C101" i="13"/>
  <c r="B101" i="13"/>
  <c r="J100" i="13"/>
  <c r="K100" i="13" s="1"/>
  <c r="G100" i="13"/>
  <c r="D100" i="13"/>
  <c r="C100" i="13"/>
  <c r="B100" i="13"/>
  <c r="J99" i="13"/>
  <c r="K99" i="13" s="1"/>
  <c r="G99" i="13"/>
  <c r="D99" i="13"/>
  <c r="C99" i="13"/>
  <c r="B99" i="13"/>
  <c r="J98" i="13"/>
  <c r="K98" i="13" s="1"/>
  <c r="G98" i="13"/>
  <c r="D98" i="13"/>
  <c r="C98" i="13"/>
  <c r="B98" i="13"/>
  <c r="K97" i="13"/>
  <c r="J97" i="13"/>
  <c r="G97" i="13"/>
  <c r="D97" i="13"/>
  <c r="C97" i="13"/>
  <c r="B97" i="13"/>
  <c r="J96" i="13"/>
  <c r="K96" i="13" s="1"/>
  <c r="G96" i="13"/>
  <c r="D96" i="13"/>
  <c r="C96" i="13"/>
  <c r="B96" i="13"/>
  <c r="K95" i="13"/>
  <c r="J95" i="13"/>
  <c r="G95" i="13"/>
  <c r="D95" i="13"/>
  <c r="C95" i="13"/>
  <c r="B95" i="13"/>
  <c r="J94" i="13"/>
  <c r="K94" i="13" s="1"/>
  <c r="G94" i="13"/>
  <c r="D94" i="13"/>
  <c r="C94" i="13"/>
  <c r="B94" i="13"/>
  <c r="K93" i="13"/>
  <c r="J93" i="13"/>
  <c r="G93" i="13"/>
  <c r="D93" i="13"/>
  <c r="C93" i="13"/>
  <c r="B93" i="13"/>
  <c r="J92" i="13"/>
  <c r="K92" i="13" s="1"/>
  <c r="G92" i="13"/>
  <c r="D92" i="13"/>
  <c r="C92" i="13"/>
  <c r="B92" i="13"/>
  <c r="J91" i="13"/>
  <c r="K91" i="13" s="1"/>
  <c r="G91" i="13"/>
  <c r="D91" i="13"/>
  <c r="C91" i="13"/>
  <c r="B91" i="13"/>
  <c r="J90" i="13"/>
  <c r="K90" i="13" s="1"/>
  <c r="G90" i="13"/>
  <c r="D90" i="13"/>
  <c r="C90" i="13"/>
  <c r="B90" i="13"/>
  <c r="K89" i="13"/>
  <c r="J89" i="13"/>
  <c r="G89" i="13"/>
  <c r="D89" i="13"/>
  <c r="C89" i="13"/>
  <c r="B89" i="13"/>
  <c r="J88" i="13"/>
  <c r="K88" i="13" s="1"/>
  <c r="G88" i="13"/>
  <c r="D88" i="13"/>
  <c r="C88" i="13"/>
  <c r="B88" i="13"/>
  <c r="K87" i="13"/>
  <c r="J87" i="13"/>
  <c r="G87" i="13"/>
  <c r="D87" i="13"/>
  <c r="C87" i="13"/>
  <c r="B87" i="13"/>
  <c r="J86" i="13"/>
  <c r="K86" i="13" s="1"/>
  <c r="G86" i="13"/>
  <c r="D86" i="13"/>
  <c r="C86" i="13"/>
  <c r="B86" i="13"/>
  <c r="K85" i="13"/>
  <c r="J85" i="13"/>
  <c r="G85" i="13"/>
  <c r="D85" i="13"/>
  <c r="C85" i="13"/>
  <c r="B85" i="13"/>
  <c r="J84" i="13"/>
  <c r="K84" i="13" s="1"/>
  <c r="G84" i="13"/>
  <c r="D84" i="13"/>
  <c r="C84" i="13"/>
  <c r="B84" i="13"/>
  <c r="J83" i="13"/>
  <c r="K83" i="13" s="1"/>
  <c r="G83" i="13"/>
  <c r="D83" i="13"/>
  <c r="C83" i="13"/>
  <c r="B83" i="13"/>
  <c r="J82" i="13"/>
  <c r="K82" i="13" s="1"/>
  <c r="G82" i="13"/>
  <c r="D82" i="13"/>
  <c r="C82" i="13"/>
  <c r="B82" i="13"/>
  <c r="K81" i="13"/>
  <c r="J81" i="13"/>
  <c r="G81" i="13"/>
  <c r="D81" i="13"/>
  <c r="C81" i="13"/>
  <c r="B81" i="13"/>
  <c r="J80" i="13"/>
  <c r="K80" i="13" s="1"/>
  <c r="G80" i="13"/>
  <c r="D80" i="13"/>
  <c r="C80" i="13"/>
  <c r="B80" i="13"/>
  <c r="K79" i="13"/>
  <c r="J79" i="13"/>
  <c r="G79" i="13"/>
  <c r="D79" i="13"/>
  <c r="C79" i="13"/>
  <c r="B79" i="13"/>
  <c r="J78" i="13"/>
  <c r="K78" i="13" s="1"/>
  <c r="G78" i="13"/>
  <c r="D78" i="13"/>
  <c r="C78" i="13"/>
  <c r="B78" i="13"/>
  <c r="K77" i="13"/>
  <c r="J77" i="13"/>
  <c r="G77" i="13"/>
  <c r="D77" i="13"/>
  <c r="C77" i="13"/>
  <c r="B77" i="13"/>
  <c r="J76" i="13"/>
  <c r="K76" i="13" s="1"/>
  <c r="G76" i="13"/>
  <c r="D76" i="13"/>
  <c r="C76" i="13"/>
  <c r="B76" i="13"/>
  <c r="J75" i="13"/>
  <c r="K75" i="13" s="1"/>
  <c r="G75" i="13"/>
  <c r="D75" i="13"/>
  <c r="C75" i="13"/>
  <c r="B75" i="13"/>
  <c r="J74" i="13"/>
  <c r="K74" i="13" s="1"/>
  <c r="G74" i="13"/>
  <c r="D74" i="13"/>
  <c r="C74" i="13"/>
  <c r="B74" i="13"/>
  <c r="K73" i="13"/>
  <c r="J73" i="13"/>
  <c r="G73" i="13"/>
  <c r="D73" i="13"/>
  <c r="C73" i="13"/>
  <c r="B73" i="13"/>
  <c r="J72" i="13"/>
  <c r="K72" i="13" s="1"/>
  <c r="G72" i="13"/>
  <c r="D72" i="13"/>
  <c r="C72" i="13"/>
  <c r="B72" i="13"/>
  <c r="K71" i="13"/>
  <c r="J71" i="13"/>
  <c r="G71" i="13"/>
  <c r="D71" i="13"/>
  <c r="C71" i="13"/>
  <c r="B71" i="13"/>
  <c r="J70" i="13"/>
  <c r="K70" i="13" s="1"/>
  <c r="G70" i="13"/>
  <c r="D70" i="13"/>
  <c r="C70" i="13"/>
  <c r="B70" i="13"/>
  <c r="K69" i="13"/>
  <c r="J69" i="13"/>
  <c r="G69" i="13"/>
  <c r="D69" i="13"/>
  <c r="C69" i="13"/>
  <c r="B69" i="13"/>
  <c r="J68" i="13"/>
  <c r="K68" i="13" s="1"/>
  <c r="G68" i="13"/>
  <c r="D68" i="13"/>
  <c r="C68" i="13"/>
  <c r="B68" i="13"/>
  <c r="J67" i="13"/>
  <c r="K67" i="13" s="1"/>
  <c r="G67" i="13"/>
  <c r="D67" i="13"/>
  <c r="C67" i="13"/>
  <c r="B67" i="13"/>
  <c r="J66" i="13"/>
  <c r="K66" i="13" s="1"/>
  <c r="G66" i="13"/>
  <c r="D66" i="13"/>
  <c r="C66" i="13"/>
  <c r="B66" i="13"/>
  <c r="K65" i="13"/>
  <c r="J65" i="13"/>
  <c r="G65" i="13"/>
  <c r="D65" i="13"/>
  <c r="C65" i="13"/>
  <c r="B65" i="13"/>
  <c r="J64" i="13"/>
  <c r="K64" i="13" s="1"/>
  <c r="G64" i="13"/>
  <c r="D64" i="13"/>
  <c r="C64" i="13"/>
  <c r="B64" i="13"/>
  <c r="K63" i="13"/>
  <c r="J63" i="13"/>
  <c r="G63" i="13"/>
  <c r="D63" i="13"/>
  <c r="C63" i="13"/>
  <c r="B63" i="13"/>
  <c r="J62" i="13"/>
  <c r="K62" i="13" s="1"/>
  <c r="G62" i="13"/>
  <c r="D62" i="13"/>
  <c r="C62" i="13"/>
  <c r="B62" i="13"/>
  <c r="K61" i="13"/>
  <c r="J61" i="13"/>
  <c r="G61" i="13"/>
  <c r="D61" i="13"/>
  <c r="C61" i="13"/>
  <c r="B61" i="13"/>
  <c r="J60" i="13"/>
  <c r="K60" i="13" s="1"/>
  <c r="G60" i="13"/>
  <c r="D60" i="13"/>
  <c r="C60" i="13"/>
  <c r="B60" i="13"/>
  <c r="J59" i="13"/>
  <c r="K59" i="13" s="1"/>
  <c r="G59" i="13"/>
  <c r="D59" i="13"/>
  <c r="C59" i="13"/>
  <c r="B59" i="13"/>
  <c r="J58" i="13"/>
  <c r="K58" i="13" s="1"/>
  <c r="G58" i="13"/>
  <c r="D58" i="13"/>
  <c r="C58" i="13"/>
  <c r="B58" i="13"/>
  <c r="K57" i="13"/>
  <c r="J57" i="13"/>
  <c r="G57" i="13"/>
  <c r="D57" i="13"/>
  <c r="C57" i="13"/>
  <c r="B57" i="13"/>
  <c r="J56" i="13"/>
  <c r="K56" i="13" s="1"/>
  <c r="G56" i="13"/>
  <c r="D56" i="13"/>
  <c r="C56" i="13"/>
  <c r="B56" i="13"/>
  <c r="K55" i="13"/>
  <c r="J55" i="13"/>
  <c r="G55" i="13"/>
  <c r="D55" i="13"/>
  <c r="C55" i="13"/>
  <c r="B55" i="13"/>
  <c r="J54" i="13"/>
  <c r="K54" i="13" s="1"/>
  <c r="G54" i="13"/>
  <c r="D54" i="13"/>
  <c r="C54" i="13"/>
  <c r="B54" i="13"/>
  <c r="K53" i="13"/>
  <c r="J53" i="13"/>
  <c r="G53" i="13"/>
  <c r="D53" i="13"/>
  <c r="C53" i="13"/>
  <c r="B53" i="13"/>
  <c r="J52" i="13"/>
  <c r="K52" i="13" s="1"/>
  <c r="G52" i="13"/>
  <c r="D52" i="13"/>
  <c r="C52" i="13"/>
  <c r="B52" i="13"/>
  <c r="J51" i="13"/>
  <c r="K51" i="13" s="1"/>
  <c r="G51" i="13"/>
  <c r="D51" i="13"/>
  <c r="C51" i="13"/>
  <c r="B51" i="13"/>
  <c r="J50" i="13"/>
  <c r="K50" i="13" s="1"/>
  <c r="G50" i="13"/>
  <c r="D50" i="13"/>
  <c r="C50" i="13"/>
  <c r="B50" i="13"/>
  <c r="K49" i="13"/>
  <c r="J49" i="13"/>
  <c r="G49" i="13"/>
  <c r="D49" i="13"/>
  <c r="C49" i="13"/>
  <c r="B49" i="13"/>
  <c r="J48" i="13"/>
  <c r="K48" i="13" s="1"/>
  <c r="G48" i="13"/>
  <c r="D48" i="13"/>
  <c r="C48" i="13"/>
  <c r="B48" i="13"/>
  <c r="K47" i="13"/>
  <c r="J47" i="13"/>
  <c r="G47" i="13"/>
  <c r="D47" i="13"/>
  <c r="C47" i="13"/>
  <c r="B47" i="13"/>
  <c r="J46" i="13"/>
  <c r="K46" i="13" s="1"/>
  <c r="G46" i="13"/>
  <c r="D46" i="13"/>
  <c r="C46" i="13"/>
  <c r="B46" i="13"/>
  <c r="K45" i="13"/>
  <c r="J45" i="13"/>
  <c r="G45" i="13"/>
  <c r="D45" i="13"/>
  <c r="C45" i="13"/>
  <c r="B45" i="13"/>
  <c r="J44" i="13"/>
  <c r="K44" i="13" s="1"/>
  <c r="G44" i="13"/>
  <c r="D44" i="13"/>
  <c r="C44" i="13"/>
  <c r="B44" i="13"/>
  <c r="J43" i="13"/>
  <c r="K43" i="13" s="1"/>
  <c r="G43" i="13"/>
  <c r="D43" i="13"/>
  <c r="C43" i="13"/>
  <c r="B43" i="13"/>
  <c r="J42" i="13"/>
  <c r="K42" i="13" s="1"/>
  <c r="G42" i="13"/>
  <c r="D42" i="13"/>
  <c r="C42" i="13"/>
  <c r="B42" i="13"/>
  <c r="K41" i="13"/>
  <c r="J41" i="13"/>
  <c r="G41" i="13"/>
  <c r="D41" i="13"/>
  <c r="C41" i="13"/>
  <c r="B41" i="13"/>
  <c r="J40" i="13"/>
  <c r="K40" i="13" s="1"/>
  <c r="G40" i="13"/>
  <c r="D40" i="13"/>
  <c r="C40" i="13"/>
  <c r="B40" i="13"/>
  <c r="K39" i="13"/>
  <c r="J39" i="13"/>
  <c r="G39" i="13"/>
  <c r="D39" i="13"/>
  <c r="C39" i="13"/>
  <c r="B39" i="13"/>
  <c r="J38" i="13"/>
  <c r="K38" i="13" s="1"/>
  <c r="G38" i="13"/>
  <c r="D38" i="13"/>
  <c r="C38" i="13"/>
  <c r="B38" i="13"/>
  <c r="K37" i="13"/>
  <c r="J37" i="13"/>
  <c r="G37" i="13"/>
  <c r="D37" i="13"/>
  <c r="C37" i="13"/>
  <c r="B37" i="13"/>
  <c r="J36" i="13"/>
  <c r="K36" i="13" s="1"/>
  <c r="G36" i="13"/>
  <c r="D36" i="13"/>
  <c r="C36" i="13"/>
  <c r="B36" i="13"/>
  <c r="J35" i="13"/>
  <c r="K35" i="13" s="1"/>
  <c r="G35" i="13"/>
  <c r="D35" i="13"/>
  <c r="C35" i="13"/>
  <c r="B35" i="13"/>
  <c r="J34" i="13"/>
  <c r="K34" i="13" s="1"/>
  <c r="G34" i="13"/>
  <c r="D34" i="13"/>
  <c r="C34" i="13"/>
  <c r="B34" i="13"/>
  <c r="K33" i="13"/>
  <c r="J33" i="13"/>
  <c r="G33" i="13"/>
  <c r="D33" i="13"/>
  <c r="C33" i="13"/>
  <c r="B33" i="13"/>
  <c r="J32" i="13"/>
  <c r="K32" i="13" s="1"/>
  <c r="G32" i="13"/>
  <c r="D32" i="13"/>
  <c r="C32" i="13"/>
  <c r="B32" i="13"/>
  <c r="K31" i="13"/>
  <c r="J31" i="13"/>
  <c r="G31" i="13"/>
  <c r="D31" i="13"/>
  <c r="C31" i="13"/>
  <c r="B31" i="13"/>
  <c r="J30" i="13"/>
  <c r="K30" i="13" s="1"/>
  <c r="G30" i="13"/>
  <c r="D30" i="13"/>
  <c r="C30" i="13"/>
  <c r="B30" i="13"/>
  <c r="K29" i="13"/>
  <c r="J29" i="13"/>
  <c r="G29" i="13"/>
  <c r="D29" i="13"/>
  <c r="C29" i="13"/>
  <c r="B29" i="13"/>
  <c r="J28" i="13"/>
  <c r="K28" i="13" s="1"/>
  <c r="G28" i="13"/>
  <c r="D28" i="13"/>
  <c r="C28" i="13"/>
  <c r="B28" i="13"/>
  <c r="J27" i="13"/>
  <c r="K27" i="13" s="1"/>
  <c r="G27" i="13"/>
  <c r="D27" i="13"/>
  <c r="C27" i="13"/>
  <c r="B27" i="13"/>
  <c r="J26" i="13"/>
  <c r="K26" i="13" s="1"/>
  <c r="G26" i="13"/>
  <c r="D26" i="13"/>
  <c r="C26" i="13"/>
  <c r="B26" i="13"/>
  <c r="K25" i="13"/>
  <c r="J25" i="13"/>
  <c r="G25" i="13"/>
  <c r="D25" i="13"/>
  <c r="C25" i="13"/>
  <c r="B25" i="13"/>
  <c r="J24" i="13"/>
  <c r="K24" i="13" s="1"/>
  <c r="G24" i="13"/>
  <c r="D24" i="13"/>
  <c r="C24" i="13"/>
  <c r="B24" i="13"/>
  <c r="K23" i="13"/>
  <c r="J23" i="13"/>
  <c r="G23" i="13"/>
  <c r="D23" i="13"/>
  <c r="C23" i="13"/>
  <c r="B23" i="13"/>
  <c r="J22" i="13"/>
  <c r="K22" i="13" s="1"/>
  <c r="G22" i="13"/>
  <c r="D22" i="13"/>
  <c r="C22" i="13"/>
  <c r="B22" i="13"/>
  <c r="K21" i="13"/>
  <c r="J21" i="13"/>
  <c r="G21" i="13"/>
  <c r="D21" i="13"/>
  <c r="C21" i="13"/>
  <c r="B21" i="13"/>
  <c r="J20" i="13"/>
  <c r="K20" i="13" s="1"/>
  <c r="G20" i="13"/>
  <c r="D20" i="13"/>
  <c r="C20" i="13"/>
  <c r="B20" i="13"/>
  <c r="J19" i="13"/>
  <c r="K19" i="13" s="1"/>
  <c r="G19" i="13"/>
  <c r="D19" i="13"/>
  <c r="C19" i="13"/>
  <c r="B19" i="13"/>
  <c r="J18" i="13"/>
  <c r="K18" i="13" s="1"/>
  <c r="G18" i="13"/>
  <c r="D18" i="13"/>
  <c r="C18" i="13"/>
  <c r="B18" i="13"/>
  <c r="K17" i="13"/>
  <c r="J17" i="13"/>
  <c r="G17" i="13"/>
  <c r="D17" i="13"/>
  <c r="C17" i="13"/>
  <c r="B17" i="13"/>
  <c r="J16" i="13"/>
  <c r="K16" i="13" s="1"/>
  <c r="G16" i="13"/>
  <c r="D16" i="13"/>
  <c r="C16" i="13"/>
  <c r="B16" i="13"/>
  <c r="K15" i="13"/>
  <c r="J15" i="13"/>
  <c r="G15" i="13"/>
  <c r="D15" i="13"/>
  <c r="C15" i="13"/>
  <c r="B15" i="13"/>
  <c r="J14" i="13"/>
  <c r="K14" i="13" s="1"/>
  <c r="G14" i="13"/>
  <c r="D14" i="13"/>
  <c r="C14" i="13"/>
  <c r="B14" i="13"/>
  <c r="K13" i="13"/>
  <c r="J13" i="13"/>
  <c r="G13" i="13"/>
  <c r="D13" i="13"/>
  <c r="C13" i="13"/>
  <c r="B13" i="13"/>
  <c r="J12" i="13"/>
  <c r="K12" i="13" s="1"/>
  <c r="G12" i="13"/>
  <c r="D12" i="13"/>
  <c r="C12" i="13"/>
  <c r="B12" i="13"/>
  <c r="J11" i="13"/>
  <c r="K11" i="13" s="1"/>
  <c r="G11" i="13"/>
  <c r="D11" i="13"/>
  <c r="C11" i="13"/>
  <c r="B11" i="13"/>
  <c r="J10" i="13"/>
  <c r="K10" i="13" s="1"/>
  <c r="G10" i="13"/>
  <c r="D10" i="13"/>
  <c r="C10" i="13"/>
  <c r="B10" i="13"/>
  <c r="K9" i="13"/>
  <c r="J9" i="13"/>
  <c r="G9" i="13"/>
  <c r="D9" i="13"/>
  <c r="C9" i="13"/>
  <c r="B9" i="13"/>
  <c r="K4" i="13"/>
  <c r="G4" i="13"/>
  <c r="D4" i="13"/>
  <c r="A4" i="13"/>
  <c r="I208" i="12"/>
  <c r="J208" i="12" s="1"/>
  <c r="F208" i="12"/>
  <c r="D208" i="12"/>
  <c r="C208" i="12"/>
  <c r="B208" i="12"/>
  <c r="J207" i="12"/>
  <c r="I207" i="12"/>
  <c r="F207" i="12"/>
  <c r="D207" i="12"/>
  <c r="C207" i="12"/>
  <c r="B207" i="12"/>
  <c r="I206" i="12"/>
  <c r="J206" i="12" s="1"/>
  <c r="F206" i="12"/>
  <c r="D206" i="12"/>
  <c r="C206" i="12"/>
  <c r="B206" i="12"/>
  <c r="I205" i="12"/>
  <c r="J205" i="12" s="1"/>
  <c r="F205" i="12"/>
  <c r="D205" i="12"/>
  <c r="C205" i="12"/>
  <c r="B205" i="12"/>
  <c r="I204" i="12"/>
  <c r="J204" i="12" s="1"/>
  <c r="F204" i="12"/>
  <c r="D204" i="12"/>
  <c r="C204" i="12"/>
  <c r="B204" i="12"/>
  <c r="J203" i="12"/>
  <c r="I203" i="12"/>
  <c r="F203" i="12"/>
  <c r="D203" i="12"/>
  <c r="C203" i="12"/>
  <c r="B203" i="12"/>
  <c r="I202" i="12"/>
  <c r="J202" i="12" s="1"/>
  <c r="F202" i="12"/>
  <c r="D202" i="12"/>
  <c r="C202" i="12"/>
  <c r="B202" i="12"/>
  <c r="J201" i="12"/>
  <c r="I201" i="12"/>
  <c r="F201" i="12"/>
  <c r="D201" i="12"/>
  <c r="C201" i="12"/>
  <c r="B201" i="12"/>
  <c r="I200" i="12"/>
  <c r="J200" i="12" s="1"/>
  <c r="F200" i="12"/>
  <c r="D200" i="12"/>
  <c r="C200" i="12"/>
  <c r="B200" i="12"/>
  <c r="J199" i="12"/>
  <c r="I199" i="12"/>
  <c r="F199" i="12"/>
  <c r="D199" i="12"/>
  <c r="C199" i="12"/>
  <c r="B199" i="12"/>
  <c r="I198" i="12"/>
  <c r="J198" i="12" s="1"/>
  <c r="F198" i="12"/>
  <c r="D198" i="12"/>
  <c r="C198" i="12"/>
  <c r="B198" i="12"/>
  <c r="I197" i="12"/>
  <c r="J197" i="12" s="1"/>
  <c r="F197" i="12"/>
  <c r="D197" i="12"/>
  <c r="C197" i="12"/>
  <c r="B197" i="12"/>
  <c r="I196" i="12"/>
  <c r="J196" i="12" s="1"/>
  <c r="F196" i="12"/>
  <c r="D196" i="12"/>
  <c r="C196" i="12"/>
  <c r="B196" i="12"/>
  <c r="J195" i="12"/>
  <c r="I195" i="12"/>
  <c r="F195" i="12"/>
  <c r="D195" i="12"/>
  <c r="C195" i="12"/>
  <c r="B195" i="12"/>
  <c r="I194" i="12"/>
  <c r="J194" i="12" s="1"/>
  <c r="F194" i="12"/>
  <c r="D194" i="12"/>
  <c r="C194" i="12"/>
  <c r="B194" i="12"/>
  <c r="J193" i="12"/>
  <c r="I193" i="12"/>
  <c r="F193" i="12"/>
  <c r="D193" i="12"/>
  <c r="C193" i="12"/>
  <c r="B193" i="12"/>
  <c r="I192" i="12"/>
  <c r="J192" i="12" s="1"/>
  <c r="F192" i="12"/>
  <c r="D192" i="12"/>
  <c r="C192" i="12"/>
  <c r="B192" i="12"/>
  <c r="J191" i="12"/>
  <c r="I191" i="12"/>
  <c r="F191" i="12"/>
  <c r="D191" i="12"/>
  <c r="C191" i="12"/>
  <c r="B191" i="12"/>
  <c r="I190" i="12"/>
  <c r="J190" i="12" s="1"/>
  <c r="F190" i="12"/>
  <c r="D190" i="12"/>
  <c r="C190" i="12"/>
  <c r="B190" i="12"/>
  <c r="I189" i="12"/>
  <c r="J189" i="12" s="1"/>
  <c r="F189" i="12"/>
  <c r="D189" i="12"/>
  <c r="C189" i="12"/>
  <c r="B189" i="12"/>
  <c r="I188" i="12"/>
  <c r="J188" i="12" s="1"/>
  <c r="F188" i="12"/>
  <c r="D188" i="12"/>
  <c r="C188" i="12"/>
  <c r="B188" i="12"/>
  <c r="J187" i="12"/>
  <c r="I187" i="12"/>
  <c r="F187" i="12"/>
  <c r="D187" i="12"/>
  <c r="C187" i="12"/>
  <c r="B187" i="12"/>
  <c r="I186" i="12"/>
  <c r="J186" i="12" s="1"/>
  <c r="F186" i="12"/>
  <c r="D186" i="12"/>
  <c r="C186" i="12"/>
  <c r="B186" i="12"/>
  <c r="J185" i="12"/>
  <c r="I185" i="12"/>
  <c r="F185" i="12"/>
  <c r="D185" i="12"/>
  <c r="C185" i="12"/>
  <c r="B185" i="12"/>
  <c r="I184" i="12"/>
  <c r="J184" i="12" s="1"/>
  <c r="F184" i="12"/>
  <c r="D184" i="12"/>
  <c r="C184" i="12"/>
  <c r="B184" i="12"/>
  <c r="J183" i="12"/>
  <c r="I183" i="12"/>
  <c r="F183" i="12"/>
  <c r="D183" i="12"/>
  <c r="C183" i="12"/>
  <c r="B183" i="12"/>
  <c r="I182" i="12"/>
  <c r="J182" i="12" s="1"/>
  <c r="F182" i="12"/>
  <c r="D182" i="12"/>
  <c r="C182" i="12"/>
  <c r="B182" i="12"/>
  <c r="I181" i="12"/>
  <c r="J181" i="12" s="1"/>
  <c r="F181" i="12"/>
  <c r="D181" i="12"/>
  <c r="C181" i="12"/>
  <c r="B181" i="12"/>
  <c r="I180" i="12"/>
  <c r="J180" i="12" s="1"/>
  <c r="F180" i="12"/>
  <c r="D180" i="12"/>
  <c r="C180" i="12"/>
  <c r="B180" i="12"/>
  <c r="J179" i="12"/>
  <c r="I179" i="12"/>
  <c r="F179" i="12"/>
  <c r="D179" i="12"/>
  <c r="C179" i="12"/>
  <c r="B179" i="12"/>
  <c r="I178" i="12"/>
  <c r="J178" i="12" s="1"/>
  <c r="F178" i="12"/>
  <c r="D178" i="12"/>
  <c r="C178" i="12"/>
  <c r="B178" i="12"/>
  <c r="J177" i="12"/>
  <c r="I177" i="12"/>
  <c r="F177" i="12"/>
  <c r="D177" i="12"/>
  <c r="C177" i="12"/>
  <c r="B177" i="12"/>
  <c r="I176" i="12"/>
  <c r="J176" i="12" s="1"/>
  <c r="F176" i="12"/>
  <c r="D176" i="12"/>
  <c r="C176" i="12"/>
  <c r="B176" i="12"/>
  <c r="J175" i="12"/>
  <c r="I175" i="12"/>
  <c r="F175" i="12"/>
  <c r="D175" i="12"/>
  <c r="C175" i="12"/>
  <c r="B175" i="12"/>
  <c r="I174" i="12"/>
  <c r="J174" i="12" s="1"/>
  <c r="F174" i="12"/>
  <c r="D174" i="12"/>
  <c r="C174" i="12"/>
  <c r="B174" i="12"/>
  <c r="I173" i="12"/>
  <c r="J173" i="12" s="1"/>
  <c r="F173" i="12"/>
  <c r="D173" i="12"/>
  <c r="C173" i="12"/>
  <c r="B173" i="12"/>
  <c r="I172" i="12"/>
  <c r="J172" i="12" s="1"/>
  <c r="F172" i="12"/>
  <c r="D172" i="12"/>
  <c r="C172" i="12"/>
  <c r="B172" i="12"/>
  <c r="J171" i="12"/>
  <c r="I171" i="12"/>
  <c r="F171" i="12"/>
  <c r="D171" i="12"/>
  <c r="C171" i="12"/>
  <c r="B171" i="12"/>
  <c r="I170" i="12"/>
  <c r="J170" i="12" s="1"/>
  <c r="F170" i="12"/>
  <c r="D170" i="12"/>
  <c r="C170" i="12"/>
  <c r="B170" i="12"/>
  <c r="J169" i="12"/>
  <c r="I169" i="12"/>
  <c r="F169" i="12"/>
  <c r="D169" i="12"/>
  <c r="C169" i="12"/>
  <c r="B169" i="12"/>
  <c r="I168" i="12"/>
  <c r="J168" i="12" s="1"/>
  <c r="F168" i="12"/>
  <c r="D168" i="12"/>
  <c r="C168" i="12"/>
  <c r="B168" i="12"/>
  <c r="J167" i="12"/>
  <c r="I167" i="12"/>
  <c r="F167" i="12"/>
  <c r="D167" i="12"/>
  <c r="C167" i="12"/>
  <c r="B167" i="12"/>
  <c r="I166" i="12"/>
  <c r="J166" i="12" s="1"/>
  <c r="F166" i="12"/>
  <c r="D166" i="12"/>
  <c r="C166" i="12"/>
  <c r="B166" i="12"/>
  <c r="I165" i="12"/>
  <c r="J165" i="12" s="1"/>
  <c r="F165" i="12"/>
  <c r="D165" i="12"/>
  <c r="C165" i="12"/>
  <c r="B165" i="12"/>
  <c r="I164" i="12"/>
  <c r="J164" i="12" s="1"/>
  <c r="F164" i="12"/>
  <c r="D164" i="12"/>
  <c r="C164" i="12"/>
  <c r="B164" i="12"/>
  <c r="J163" i="12"/>
  <c r="I163" i="12"/>
  <c r="F163" i="12"/>
  <c r="D163" i="12"/>
  <c r="C163" i="12"/>
  <c r="B163" i="12"/>
  <c r="I162" i="12"/>
  <c r="J162" i="12" s="1"/>
  <c r="F162" i="12"/>
  <c r="D162" i="12"/>
  <c r="C162" i="12"/>
  <c r="B162" i="12"/>
  <c r="I161" i="12"/>
  <c r="J161" i="12" s="1"/>
  <c r="F161" i="12"/>
  <c r="D161" i="12"/>
  <c r="C161" i="12"/>
  <c r="B161" i="12"/>
  <c r="I160" i="12"/>
  <c r="J160" i="12" s="1"/>
  <c r="F160" i="12"/>
  <c r="D160" i="12"/>
  <c r="C160" i="12"/>
  <c r="B160" i="12"/>
  <c r="J159" i="12"/>
  <c r="I159" i="12"/>
  <c r="F159" i="12"/>
  <c r="D159" i="12"/>
  <c r="C159" i="12"/>
  <c r="B159" i="12"/>
  <c r="I158" i="12"/>
  <c r="J158" i="12" s="1"/>
  <c r="F158" i="12"/>
  <c r="D158" i="12"/>
  <c r="C158" i="12"/>
  <c r="B158" i="12"/>
  <c r="I157" i="12"/>
  <c r="J157" i="12" s="1"/>
  <c r="F157" i="12"/>
  <c r="D157" i="12"/>
  <c r="C157" i="12"/>
  <c r="B157" i="12"/>
  <c r="I156" i="12"/>
  <c r="J156" i="12" s="1"/>
  <c r="F156" i="12"/>
  <c r="D156" i="12"/>
  <c r="C156" i="12"/>
  <c r="B156" i="12"/>
  <c r="J155" i="12"/>
  <c r="I155" i="12"/>
  <c r="F155" i="12"/>
  <c r="D155" i="12"/>
  <c r="C155" i="12"/>
  <c r="B155" i="12"/>
  <c r="I154" i="12"/>
  <c r="J154" i="12" s="1"/>
  <c r="F154" i="12"/>
  <c r="D154" i="12"/>
  <c r="C154" i="12"/>
  <c r="B154" i="12"/>
  <c r="J153" i="12"/>
  <c r="I153" i="12"/>
  <c r="F153" i="12"/>
  <c r="D153" i="12"/>
  <c r="C153" i="12"/>
  <c r="B153" i="12"/>
  <c r="I152" i="12"/>
  <c r="J152" i="12" s="1"/>
  <c r="F152" i="12"/>
  <c r="D152" i="12"/>
  <c r="C152" i="12"/>
  <c r="B152" i="12"/>
  <c r="J151" i="12"/>
  <c r="I151" i="12"/>
  <c r="F151" i="12"/>
  <c r="D151" i="12"/>
  <c r="C151" i="12"/>
  <c r="B151" i="12"/>
  <c r="I150" i="12"/>
  <c r="J150" i="12" s="1"/>
  <c r="F150" i="12"/>
  <c r="D150" i="12"/>
  <c r="C150" i="12"/>
  <c r="B150" i="12"/>
  <c r="I149" i="12"/>
  <c r="J149" i="12" s="1"/>
  <c r="F149" i="12"/>
  <c r="D149" i="12"/>
  <c r="C149" i="12"/>
  <c r="B149" i="12"/>
  <c r="I148" i="12"/>
  <c r="J148" i="12" s="1"/>
  <c r="F148" i="12"/>
  <c r="D148" i="12"/>
  <c r="C148" i="12"/>
  <c r="B148" i="12"/>
  <c r="I147" i="12"/>
  <c r="J147" i="12" s="1"/>
  <c r="F147" i="12"/>
  <c r="D147" i="12"/>
  <c r="C147" i="12"/>
  <c r="B147" i="12"/>
  <c r="I146" i="12"/>
  <c r="J146" i="12" s="1"/>
  <c r="F146" i="12"/>
  <c r="D146" i="12"/>
  <c r="C146" i="12"/>
  <c r="B146" i="12"/>
  <c r="J145" i="12"/>
  <c r="I145" i="12"/>
  <c r="F145" i="12"/>
  <c r="D145" i="12"/>
  <c r="C145" i="12"/>
  <c r="B145" i="12"/>
  <c r="I144" i="12"/>
  <c r="J144" i="12" s="1"/>
  <c r="F144" i="12"/>
  <c r="D144" i="12"/>
  <c r="C144" i="12"/>
  <c r="B144" i="12"/>
  <c r="J143" i="12"/>
  <c r="I143" i="12"/>
  <c r="F143" i="12"/>
  <c r="D143" i="12"/>
  <c r="C143" i="12"/>
  <c r="B143" i="12"/>
  <c r="I142" i="12"/>
  <c r="J142" i="12" s="1"/>
  <c r="F142" i="12"/>
  <c r="D142" i="12"/>
  <c r="C142" i="12"/>
  <c r="B142" i="12"/>
  <c r="I141" i="12"/>
  <c r="J141" i="12" s="1"/>
  <c r="F141" i="12"/>
  <c r="D141" i="12"/>
  <c r="C141" i="12"/>
  <c r="B141" i="12"/>
  <c r="I140" i="12"/>
  <c r="J140" i="12" s="1"/>
  <c r="F140" i="12"/>
  <c r="D140" i="12"/>
  <c r="C140" i="12"/>
  <c r="B140" i="12"/>
  <c r="J139" i="12"/>
  <c r="I139" i="12"/>
  <c r="F139" i="12"/>
  <c r="D139" i="12"/>
  <c r="C139" i="12"/>
  <c r="B139" i="12"/>
  <c r="I138" i="12"/>
  <c r="J138" i="12" s="1"/>
  <c r="F138" i="12"/>
  <c r="D138" i="12"/>
  <c r="C138" i="12"/>
  <c r="B138" i="12"/>
  <c r="J137" i="12"/>
  <c r="I137" i="12"/>
  <c r="F137" i="12"/>
  <c r="D137" i="12"/>
  <c r="C137" i="12"/>
  <c r="B137" i="12"/>
  <c r="I136" i="12"/>
  <c r="J136" i="12" s="1"/>
  <c r="F136" i="12"/>
  <c r="D136" i="12"/>
  <c r="C136" i="12"/>
  <c r="B136" i="12"/>
  <c r="J135" i="12"/>
  <c r="I135" i="12"/>
  <c r="F135" i="12"/>
  <c r="D135" i="12"/>
  <c r="C135" i="12"/>
  <c r="B135" i="12"/>
  <c r="I134" i="12"/>
  <c r="J134" i="12" s="1"/>
  <c r="F134" i="12"/>
  <c r="D134" i="12"/>
  <c r="C134" i="12"/>
  <c r="B134" i="12"/>
  <c r="I133" i="12"/>
  <c r="J133" i="12" s="1"/>
  <c r="F133" i="12"/>
  <c r="D133" i="12"/>
  <c r="C133" i="12"/>
  <c r="B133" i="12"/>
  <c r="I132" i="12"/>
  <c r="J132" i="12" s="1"/>
  <c r="F132" i="12"/>
  <c r="D132" i="12"/>
  <c r="C132" i="12"/>
  <c r="B132" i="12"/>
  <c r="I131" i="12"/>
  <c r="J131" i="12" s="1"/>
  <c r="F131" i="12"/>
  <c r="D131" i="12"/>
  <c r="C131" i="12"/>
  <c r="B131" i="12"/>
  <c r="I130" i="12"/>
  <c r="J130" i="12" s="1"/>
  <c r="F130" i="12"/>
  <c r="D130" i="12"/>
  <c r="C130" i="12"/>
  <c r="B130" i="12"/>
  <c r="I129" i="12"/>
  <c r="J129" i="12" s="1"/>
  <c r="F129" i="12"/>
  <c r="D129" i="12"/>
  <c r="C129" i="12"/>
  <c r="B129" i="12"/>
  <c r="I128" i="12"/>
  <c r="J128" i="12" s="1"/>
  <c r="F128" i="12"/>
  <c r="D128" i="12"/>
  <c r="C128" i="12"/>
  <c r="B128" i="12"/>
  <c r="J127" i="12"/>
  <c r="I127" i="12"/>
  <c r="F127" i="12"/>
  <c r="D127" i="12"/>
  <c r="C127" i="12"/>
  <c r="B127" i="12"/>
  <c r="I126" i="12"/>
  <c r="J126" i="12" s="1"/>
  <c r="F126" i="12"/>
  <c r="D126" i="12"/>
  <c r="C126" i="12"/>
  <c r="B126" i="12"/>
  <c r="I125" i="12"/>
  <c r="J125" i="12" s="1"/>
  <c r="F125" i="12"/>
  <c r="D125" i="12"/>
  <c r="C125" i="12"/>
  <c r="B125" i="12"/>
  <c r="I124" i="12"/>
  <c r="J124" i="12" s="1"/>
  <c r="F124" i="12"/>
  <c r="D124" i="12"/>
  <c r="C124" i="12"/>
  <c r="B124" i="12"/>
  <c r="J123" i="12"/>
  <c r="I123" i="12"/>
  <c r="F123" i="12"/>
  <c r="D123" i="12"/>
  <c r="C123" i="12"/>
  <c r="B123" i="12"/>
  <c r="I122" i="12"/>
  <c r="J122" i="12" s="1"/>
  <c r="F122" i="12"/>
  <c r="D122" i="12"/>
  <c r="C122" i="12"/>
  <c r="B122" i="12"/>
  <c r="J121" i="12"/>
  <c r="I121" i="12"/>
  <c r="F121" i="12"/>
  <c r="D121" i="12"/>
  <c r="C121" i="12"/>
  <c r="B121" i="12"/>
  <c r="I120" i="12"/>
  <c r="J120" i="12" s="1"/>
  <c r="F120" i="12"/>
  <c r="D120" i="12"/>
  <c r="C120" i="12"/>
  <c r="B120" i="12"/>
  <c r="J119" i="12"/>
  <c r="I119" i="12"/>
  <c r="F119" i="12"/>
  <c r="D119" i="12"/>
  <c r="C119" i="12"/>
  <c r="B119" i="12"/>
  <c r="I118" i="12"/>
  <c r="J118" i="12" s="1"/>
  <c r="F118" i="12"/>
  <c r="D118" i="12"/>
  <c r="C118" i="12"/>
  <c r="B118" i="12"/>
  <c r="I117" i="12"/>
  <c r="J117" i="12" s="1"/>
  <c r="F117" i="12"/>
  <c r="D117" i="12"/>
  <c r="C117" i="12"/>
  <c r="B117" i="12"/>
  <c r="I116" i="12"/>
  <c r="J116" i="12" s="1"/>
  <c r="F116" i="12"/>
  <c r="D116" i="12"/>
  <c r="C116" i="12"/>
  <c r="B116" i="12"/>
  <c r="I115" i="12"/>
  <c r="J115" i="12" s="1"/>
  <c r="F115" i="12"/>
  <c r="D115" i="12"/>
  <c r="C115" i="12"/>
  <c r="B115" i="12"/>
  <c r="I114" i="12"/>
  <c r="J114" i="12" s="1"/>
  <c r="F114" i="12"/>
  <c r="D114" i="12"/>
  <c r="C114" i="12"/>
  <c r="B114" i="12"/>
  <c r="I113" i="12"/>
  <c r="J113" i="12" s="1"/>
  <c r="F113" i="12"/>
  <c r="D113" i="12"/>
  <c r="C113" i="12"/>
  <c r="B113" i="12"/>
  <c r="I112" i="12"/>
  <c r="J112" i="12" s="1"/>
  <c r="F112" i="12"/>
  <c r="D112" i="12"/>
  <c r="C112" i="12"/>
  <c r="B112" i="12"/>
  <c r="J111" i="12"/>
  <c r="I111" i="12"/>
  <c r="F111" i="12"/>
  <c r="D111" i="12"/>
  <c r="C111" i="12"/>
  <c r="B111" i="12"/>
  <c r="I110" i="12"/>
  <c r="J110" i="12" s="1"/>
  <c r="F110" i="12"/>
  <c r="D110" i="12"/>
  <c r="C110" i="12"/>
  <c r="B110" i="12"/>
  <c r="I109" i="12"/>
  <c r="J109" i="12" s="1"/>
  <c r="F109" i="12"/>
  <c r="D109" i="12"/>
  <c r="C109" i="12"/>
  <c r="B109" i="12"/>
  <c r="I108" i="12"/>
  <c r="J108" i="12" s="1"/>
  <c r="F108" i="12"/>
  <c r="D108" i="12"/>
  <c r="C108" i="12"/>
  <c r="B108" i="12"/>
  <c r="J107" i="12"/>
  <c r="I107" i="12"/>
  <c r="F107" i="12"/>
  <c r="D107" i="12"/>
  <c r="C107" i="12"/>
  <c r="B107" i="12"/>
  <c r="I106" i="12"/>
  <c r="J106" i="12" s="1"/>
  <c r="F106" i="12"/>
  <c r="D106" i="12"/>
  <c r="C106" i="12"/>
  <c r="B106" i="12"/>
  <c r="J105" i="12"/>
  <c r="I105" i="12"/>
  <c r="F105" i="12"/>
  <c r="D105" i="12"/>
  <c r="C105" i="12"/>
  <c r="B105" i="12"/>
  <c r="I104" i="12"/>
  <c r="J104" i="12" s="1"/>
  <c r="F104" i="12"/>
  <c r="D104" i="12"/>
  <c r="C104" i="12"/>
  <c r="B104" i="12"/>
  <c r="J103" i="12"/>
  <c r="I103" i="12"/>
  <c r="F103" i="12"/>
  <c r="D103" i="12"/>
  <c r="C103" i="12"/>
  <c r="B103" i="12"/>
  <c r="I102" i="12"/>
  <c r="J102" i="12" s="1"/>
  <c r="F102" i="12"/>
  <c r="D102" i="12"/>
  <c r="C102" i="12"/>
  <c r="B102" i="12"/>
  <c r="I101" i="12"/>
  <c r="J101" i="12" s="1"/>
  <c r="F101" i="12"/>
  <c r="D101" i="12"/>
  <c r="C101" i="12"/>
  <c r="B101" i="12"/>
  <c r="I100" i="12"/>
  <c r="J100" i="12" s="1"/>
  <c r="F100" i="12"/>
  <c r="D100" i="12"/>
  <c r="C100" i="12"/>
  <c r="B100" i="12"/>
  <c r="I99" i="12"/>
  <c r="J99" i="12" s="1"/>
  <c r="F99" i="12"/>
  <c r="D99" i="12"/>
  <c r="C99" i="12"/>
  <c r="B99" i="12"/>
  <c r="I98" i="12"/>
  <c r="J98" i="12" s="1"/>
  <c r="F98" i="12"/>
  <c r="D98" i="12"/>
  <c r="C98" i="12"/>
  <c r="B98" i="12"/>
  <c r="I97" i="12"/>
  <c r="J97" i="12" s="1"/>
  <c r="F97" i="12"/>
  <c r="D97" i="12"/>
  <c r="C97" i="12"/>
  <c r="B97" i="12"/>
  <c r="I96" i="12"/>
  <c r="J96" i="12" s="1"/>
  <c r="F96" i="12"/>
  <c r="D96" i="12"/>
  <c r="C96" i="12"/>
  <c r="B96" i="12"/>
  <c r="J95" i="12"/>
  <c r="I95" i="12"/>
  <c r="F95" i="12"/>
  <c r="D95" i="12"/>
  <c r="C95" i="12"/>
  <c r="B95" i="12"/>
  <c r="I94" i="12"/>
  <c r="J94" i="12" s="1"/>
  <c r="F94" i="12"/>
  <c r="D94" i="12"/>
  <c r="C94" i="12"/>
  <c r="B94" i="12"/>
  <c r="I93" i="12"/>
  <c r="J93" i="12" s="1"/>
  <c r="F93" i="12"/>
  <c r="D93" i="12"/>
  <c r="C93" i="12"/>
  <c r="B93" i="12"/>
  <c r="I92" i="12"/>
  <c r="J92" i="12" s="1"/>
  <c r="F92" i="12"/>
  <c r="D92" i="12"/>
  <c r="C92" i="12"/>
  <c r="B92" i="12"/>
  <c r="J91" i="12"/>
  <c r="I91" i="12"/>
  <c r="F91" i="12"/>
  <c r="D91" i="12"/>
  <c r="C91" i="12"/>
  <c r="B91" i="12"/>
  <c r="I90" i="12"/>
  <c r="J90" i="12" s="1"/>
  <c r="F90" i="12"/>
  <c r="D90" i="12"/>
  <c r="C90" i="12"/>
  <c r="B90" i="12"/>
  <c r="J89" i="12"/>
  <c r="I89" i="12"/>
  <c r="F89" i="12"/>
  <c r="D89" i="12"/>
  <c r="C89" i="12"/>
  <c r="B89" i="12"/>
  <c r="I88" i="12"/>
  <c r="J88" i="12" s="1"/>
  <c r="F88" i="12"/>
  <c r="D88" i="12"/>
  <c r="C88" i="12"/>
  <c r="B88" i="12"/>
  <c r="J87" i="12"/>
  <c r="I87" i="12"/>
  <c r="F87" i="12"/>
  <c r="D87" i="12"/>
  <c r="C87" i="12"/>
  <c r="B87" i="12"/>
  <c r="I86" i="12"/>
  <c r="J86" i="12" s="1"/>
  <c r="F86" i="12"/>
  <c r="D86" i="12"/>
  <c r="C86" i="12"/>
  <c r="B86" i="12"/>
  <c r="I85" i="12"/>
  <c r="J85" i="12" s="1"/>
  <c r="F85" i="12"/>
  <c r="D85" i="12"/>
  <c r="C85" i="12"/>
  <c r="B85" i="12"/>
  <c r="I84" i="12"/>
  <c r="J84" i="12" s="1"/>
  <c r="F84" i="12"/>
  <c r="D84" i="12"/>
  <c r="C84" i="12"/>
  <c r="B84" i="12"/>
  <c r="I83" i="12"/>
  <c r="J83" i="12" s="1"/>
  <c r="F83" i="12"/>
  <c r="D83" i="12"/>
  <c r="C83" i="12"/>
  <c r="B83" i="12"/>
  <c r="I82" i="12"/>
  <c r="J82" i="12" s="1"/>
  <c r="F82" i="12"/>
  <c r="D82" i="12"/>
  <c r="C82" i="12"/>
  <c r="B82" i="12"/>
  <c r="I81" i="12"/>
  <c r="J81" i="12" s="1"/>
  <c r="F81" i="12"/>
  <c r="D81" i="12"/>
  <c r="C81" i="12"/>
  <c r="B81" i="12"/>
  <c r="I80" i="12"/>
  <c r="J80" i="12" s="1"/>
  <c r="F80" i="12"/>
  <c r="D80" i="12"/>
  <c r="C80" i="12"/>
  <c r="B80" i="12"/>
  <c r="J79" i="12"/>
  <c r="I79" i="12"/>
  <c r="F79" i="12"/>
  <c r="D79" i="12"/>
  <c r="C79" i="12"/>
  <c r="B79" i="12"/>
  <c r="I78" i="12"/>
  <c r="J78" i="12" s="1"/>
  <c r="F78" i="12"/>
  <c r="D78" i="12"/>
  <c r="C78" i="12"/>
  <c r="B78" i="12"/>
  <c r="I77" i="12"/>
  <c r="J77" i="12" s="1"/>
  <c r="F77" i="12"/>
  <c r="D77" i="12"/>
  <c r="C77" i="12"/>
  <c r="B77" i="12"/>
  <c r="I76" i="12"/>
  <c r="J76" i="12" s="1"/>
  <c r="F76" i="12"/>
  <c r="D76" i="12"/>
  <c r="C76" i="12"/>
  <c r="B76" i="12"/>
  <c r="J75" i="12"/>
  <c r="I75" i="12"/>
  <c r="F75" i="12"/>
  <c r="D75" i="12"/>
  <c r="C75" i="12"/>
  <c r="B75" i="12"/>
  <c r="I74" i="12"/>
  <c r="J74" i="12" s="1"/>
  <c r="F74" i="12"/>
  <c r="D74" i="12"/>
  <c r="C74" i="12"/>
  <c r="B74" i="12"/>
  <c r="J73" i="12"/>
  <c r="I73" i="12"/>
  <c r="F73" i="12"/>
  <c r="D73" i="12"/>
  <c r="C73" i="12"/>
  <c r="B73" i="12"/>
  <c r="I72" i="12"/>
  <c r="J72" i="12" s="1"/>
  <c r="F72" i="12"/>
  <c r="D72" i="12"/>
  <c r="C72" i="12"/>
  <c r="B72" i="12"/>
  <c r="J71" i="12"/>
  <c r="I71" i="12"/>
  <c r="F71" i="12"/>
  <c r="D71" i="12"/>
  <c r="C71" i="12"/>
  <c r="B71" i="12"/>
  <c r="I70" i="12"/>
  <c r="J70" i="12" s="1"/>
  <c r="F70" i="12"/>
  <c r="D70" i="12"/>
  <c r="C70" i="12"/>
  <c r="B70" i="12"/>
  <c r="I69" i="12"/>
  <c r="J69" i="12" s="1"/>
  <c r="F69" i="12"/>
  <c r="D69" i="12"/>
  <c r="C69" i="12"/>
  <c r="B69" i="12"/>
  <c r="I68" i="12"/>
  <c r="J68" i="12" s="1"/>
  <c r="F68" i="12"/>
  <c r="D68" i="12"/>
  <c r="C68" i="12"/>
  <c r="B68" i="12"/>
  <c r="I67" i="12"/>
  <c r="J67" i="12" s="1"/>
  <c r="F67" i="12"/>
  <c r="D67" i="12"/>
  <c r="C67" i="12"/>
  <c r="B67" i="12"/>
  <c r="I66" i="12"/>
  <c r="J66" i="12" s="1"/>
  <c r="F66" i="12"/>
  <c r="D66" i="12"/>
  <c r="C66" i="12"/>
  <c r="B66" i="12"/>
  <c r="I65" i="12"/>
  <c r="J65" i="12" s="1"/>
  <c r="F65" i="12"/>
  <c r="D65" i="12"/>
  <c r="C65" i="12"/>
  <c r="B65" i="12"/>
  <c r="I64" i="12"/>
  <c r="J64" i="12" s="1"/>
  <c r="F64" i="12"/>
  <c r="D64" i="12"/>
  <c r="C64" i="12"/>
  <c r="B64" i="12"/>
  <c r="J63" i="12"/>
  <c r="I63" i="12"/>
  <c r="F63" i="12"/>
  <c r="D63" i="12"/>
  <c r="C63" i="12"/>
  <c r="B63" i="12"/>
  <c r="I62" i="12"/>
  <c r="J62" i="12" s="1"/>
  <c r="F62" i="12"/>
  <c r="D62" i="12"/>
  <c r="C62" i="12"/>
  <c r="B62" i="12"/>
  <c r="I61" i="12"/>
  <c r="J61" i="12" s="1"/>
  <c r="F61" i="12"/>
  <c r="D61" i="12"/>
  <c r="C61" i="12"/>
  <c r="B61" i="12"/>
  <c r="I60" i="12"/>
  <c r="J60" i="12" s="1"/>
  <c r="F60" i="12"/>
  <c r="D60" i="12"/>
  <c r="C60" i="12"/>
  <c r="B60" i="12"/>
  <c r="J59" i="12"/>
  <c r="I59" i="12"/>
  <c r="F59" i="12"/>
  <c r="D59" i="12"/>
  <c r="C59" i="12"/>
  <c r="B59" i="12"/>
  <c r="I58" i="12"/>
  <c r="J58" i="12" s="1"/>
  <c r="F58" i="12"/>
  <c r="D58" i="12"/>
  <c r="C58" i="12"/>
  <c r="B58" i="12"/>
  <c r="J57" i="12"/>
  <c r="I57" i="12"/>
  <c r="F57" i="12"/>
  <c r="D57" i="12"/>
  <c r="C57" i="12"/>
  <c r="B57" i="12"/>
  <c r="I56" i="12"/>
  <c r="J56" i="12" s="1"/>
  <c r="F56" i="12"/>
  <c r="D56" i="12"/>
  <c r="C56" i="12"/>
  <c r="B56" i="12"/>
  <c r="J55" i="12"/>
  <c r="I55" i="12"/>
  <c r="F55" i="12"/>
  <c r="D55" i="12"/>
  <c r="C55" i="12"/>
  <c r="B55" i="12"/>
  <c r="I54" i="12"/>
  <c r="J54" i="12" s="1"/>
  <c r="F54" i="12"/>
  <c r="D54" i="12"/>
  <c r="C54" i="12"/>
  <c r="B54" i="12"/>
  <c r="J53" i="12"/>
  <c r="I53" i="12"/>
  <c r="F53" i="12"/>
  <c r="D53" i="12"/>
  <c r="C53" i="12"/>
  <c r="B53" i="12"/>
  <c r="I52" i="12"/>
  <c r="J52" i="12" s="1"/>
  <c r="F52" i="12"/>
  <c r="D52" i="12"/>
  <c r="C52" i="12"/>
  <c r="B52" i="12"/>
  <c r="I51" i="12"/>
  <c r="J51" i="12" s="1"/>
  <c r="F51" i="12"/>
  <c r="D51" i="12"/>
  <c r="C51" i="12"/>
  <c r="B51" i="12"/>
  <c r="J50" i="12"/>
  <c r="I50" i="12"/>
  <c r="F50" i="12"/>
  <c r="D50" i="12"/>
  <c r="C50" i="12"/>
  <c r="B50" i="12"/>
  <c r="I49" i="12"/>
  <c r="J49" i="12" s="1"/>
  <c r="F49" i="12"/>
  <c r="D49" i="12"/>
  <c r="C49" i="12"/>
  <c r="B49" i="12"/>
  <c r="I48" i="12"/>
  <c r="J48" i="12" s="1"/>
  <c r="F48" i="12"/>
  <c r="D48" i="12"/>
  <c r="C48" i="12"/>
  <c r="B48" i="12"/>
  <c r="I47" i="12"/>
  <c r="J47" i="12" s="1"/>
  <c r="F47" i="12"/>
  <c r="D47" i="12"/>
  <c r="C47" i="12"/>
  <c r="B47" i="12"/>
  <c r="J46" i="12"/>
  <c r="I46" i="12"/>
  <c r="F46" i="12"/>
  <c r="D46" i="12"/>
  <c r="C46" i="12"/>
  <c r="B46" i="12"/>
  <c r="J45" i="12"/>
  <c r="I45" i="12"/>
  <c r="F45" i="12"/>
  <c r="D45" i="12"/>
  <c r="C45" i="12"/>
  <c r="B45" i="12"/>
  <c r="I44" i="12"/>
  <c r="J44" i="12" s="1"/>
  <c r="F44" i="12"/>
  <c r="D44" i="12"/>
  <c r="C44" i="12"/>
  <c r="B44" i="12"/>
  <c r="J43" i="12"/>
  <c r="I43" i="12"/>
  <c r="F43" i="12"/>
  <c r="D43" i="12"/>
  <c r="C43" i="12"/>
  <c r="B43" i="12"/>
  <c r="I42" i="12"/>
  <c r="J42" i="12" s="1"/>
  <c r="F42" i="12"/>
  <c r="D42" i="12"/>
  <c r="C42" i="12"/>
  <c r="B42" i="12"/>
  <c r="I41" i="12"/>
  <c r="J41" i="12" s="1"/>
  <c r="F41" i="12"/>
  <c r="D41" i="12"/>
  <c r="C41" i="12"/>
  <c r="B41" i="12"/>
  <c r="I40" i="12"/>
  <c r="J40" i="12" s="1"/>
  <c r="F40" i="12"/>
  <c r="D40" i="12"/>
  <c r="C40" i="12"/>
  <c r="B40" i="12"/>
  <c r="J39" i="12"/>
  <c r="I39" i="12"/>
  <c r="F39" i="12"/>
  <c r="D39" i="12"/>
  <c r="C39" i="12"/>
  <c r="B39" i="12"/>
  <c r="J38" i="12"/>
  <c r="I38" i="12"/>
  <c r="F38" i="12"/>
  <c r="D38" i="12"/>
  <c r="C38" i="12"/>
  <c r="B38" i="12"/>
  <c r="J37" i="12"/>
  <c r="I37" i="12"/>
  <c r="F37" i="12"/>
  <c r="D37" i="12"/>
  <c r="C37" i="12"/>
  <c r="B37" i="12"/>
  <c r="I36" i="12"/>
  <c r="J36" i="12" s="1"/>
  <c r="F36" i="12"/>
  <c r="D36" i="12"/>
  <c r="C36" i="12"/>
  <c r="B36" i="12"/>
  <c r="J35" i="12"/>
  <c r="I35" i="12"/>
  <c r="F35" i="12"/>
  <c r="D35" i="12"/>
  <c r="C35" i="12"/>
  <c r="B35" i="12"/>
  <c r="J34" i="12"/>
  <c r="I34" i="12"/>
  <c r="F34" i="12"/>
  <c r="D34" i="12"/>
  <c r="C34" i="12"/>
  <c r="B34" i="12"/>
  <c r="J33" i="12"/>
  <c r="I33" i="12"/>
  <c r="F33" i="12"/>
  <c r="D33" i="12"/>
  <c r="C33" i="12"/>
  <c r="B33" i="12"/>
  <c r="I32" i="12"/>
  <c r="J32" i="12" s="1"/>
  <c r="F32" i="12"/>
  <c r="D32" i="12"/>
  <c r="C32" i="12"/>
  <c r="B32" i="12"/>
  <c r="J31" i="12"/>
  <c r="I31" i="12"/>
  <c r="F31" i="12"/>
  <c r="D31" i="12"/>
  <c r="C31" i="12"/>
  <c r="B31" i="12"/>
  <c r="J30" i="12"/>
  <c r="I30" i="12"/>
  <c r="F30" i="12"/>
  <c r="D30" i="12"/>
  <c r="C30" i="12"/>
  <c r="B30" i="12"/>
  <c r="J29" i="12"/>
  <c r="I29" i="12"/>
  <c r="F29" i="12"/>
  <c r="D29" i="12"/>
  <c r="C29" i="12"/>
  <c r="B29" i="12"/>
  <c r="I28" i="12"/>
  <c r="J28" i="12" s="1"/>
  <c r="F28" i="12"/>
  <c r="D28" i="12"/>
  <c r="C28" i="12"/>
  <c r="B28" i="12"/>
  <c r="J27" i="12"/>
  <c r="I27" i="12"/>
  <c r="F27" i="12"/>
  <c r="D27" i="12"/>
  <c r="C27" i="12"/>
  <c r="B27" i="12"/>
  <c r="J26" i="12"/>
  <c r="I26" i="12"/>
  <c r="F26" i="12"/>
  <c r="D26" i="12"/>
  <c r="C26" i="12"/>
  <c r="B26" i="12"/>
  <c r="J25" i="12"/>
  <c r="I25" i="12"/>
  <c r="F25" i="12"/>
  <c r="D25" i="12"/>
  <c r="C25" i="12"/>
  <c r="B25" i="12"/>
  <c r="I24" i="12"/>
  <c r="J24" i="12" s="1"/>
  <c r="F24" i="12"/>
  <c r="D24" i="12"/>
  <c r="C24" i="12"/>
  <c r="B24" i="12"/>
  <c r="J23" i="12"/>
  <c r="I23" i="12"/>
  <c r="F23" i="12"/>
  <c r="D23" i="12"/>
  <c r="C23" i="12"/>
  <c r="B23" i="12"/>
  <c r="J22" i="12"/>
  <c r="I22" i="12"/>
  <c r="F22" i="12"/>
  <c r="D22" i="12"/>
  <c r="C22" i="12"/>
  <c r="B22" i="12"/>
  <c r="J21" i="12"/>
  <c r="I21" i="12"/>
  <c r="F21" i="12"/>
  <c r="D21" i="12"/>
  <c r="C21" i="12"/>
  <c r="B21" i="12"/>
  <c r="I20" i="12"/>
  <c r="J20" i="12" s="1"/>
  <c r="F20" i="12"/>
  <c r="D20" i="12"/>
  <c r="C20" i="12"/>
  <c r="B20" i="12"/>
  <c r="J19" i="12"/>
  <c r="I19" i="12"/>
  <c r="F19" i="12"/>
  <c r="D19" i="12"/>
  <c r="C19" i="12"/>
  <c r="B19" i="12"/>
  <c r="J18" i="12"/>
  <c r="I18" i="12"/>
  <c r="F18" i="12"/>
  <c r="D18" i="12"/>
  <c r="C18" i="12"/>
  <c r="B18" i="12"/>
  <c r="J17" i="12"/>
  <c r="I17" i="12"/>
  <c r="F17" i="12"/>
  <c r="D17" i="12"/>
  <c r="C17" i="12"/>
  <c r="B17" i="12"/>
  <c r="I16" i="12"/>
  <c r="J16" i="12" s="1"/>
  <c r="F16" i="12"/>
  <c r="D16" i="12"/>
  <c r="C16" i="12"/>
  <c r="B16" i="12"/>
  <c r="J15" i="12"/>
  <c r="I15" i="12"/>
  <c r="F15" i="12"/>
  <c r="D15" i="12"/>
  <c r="C15" i="12"/>
  <c r="B15" i="12"/>
  <c r="J14" i="12"/>
  <c r="I14" i="12"/>
  <c r="F14" i="12"/>
  <c r="D14" i="12"/>
  <c r="C14" i="12"/>
  <c r="B14" i="12"/>
  <c r="J13" i="12"/>
  <c r="I13" i="12"/>
  <c r="F13" i="12"/>
  <c r="D13" i="12"/>
  <c r="C13" i="12"/>
  <c r="B13" i="12"/>
  <c r="I12" i="12"/>
  <c r="J12" i="12" s="1"/>
  <c r="F12" i="12"/>
  <c r="D12" i="12"/>
  <c r="C12" i="12"/>
  <c r="B12" i="12"/>
  <c r="J11" i="12"/>
  <c r="I11" i="12"/>
  <c r="F11" i="12"/>
  <c r="D11" i="12"/>
  <c r="C11" i="12"/>
  <c r="B11" i="12"/>
  <c r="J10" i="12"/>
  <c r="I10" i="12"/>
  <c r="F10" i="12"/>
  <c r="D10" i="12"/>
  <c r="C10" i="12"/>
  <c r="B10" i="12"/>
  <c r="J9" i="12"/>
  <c r="I9" i="12"/>
  <c r="F9" i="12"/>
  <c r="D9" i="12"/>
  <c r="C9" i="12"/>
  <c r="B9" i="12"/>
  <c r="A5" i="12"/>
  <c r="G4" i="12"/>
  <c r="D4" i="12"/>
  <c r="A4" i="12"/>
  <c r="K213" i="11"/>
  <c r="K212" i="11"/>
  <c r="K211" i="11"/>
  <c r="K210" i="11"/>
  <c r="K209" i="11"/>
  <c r="K208" i="11"/>
  <c r="K207" i="11"/>
  <c r="K206" i="11"/>
  <c r="K205" i="11"/>
  <c r="K204" i="11"/>
  <c r="K203" i="11"/>
  <c r="K202" i="11"/>
  <c r="K201" i="11"/>
  <c r="K200" i="11"/>
  <c r="K199" i="11"/>
  <c r="K198" i="11"/>
  <c r="K197" i="11"/>
  <c r="K196" i="11"/>
  <c r="K195" i="11"/>
  <c r="K194" i="11"/>
  <c r="K193" i="11"/>
  <c r="K192" i="11"/>
  <c r="K191" i="11"/>
  <c r="K190" i="11"/>
  <c r="K189" i="11"/>
  <c r="K188" i="11"/>
  <c r="K187" i="11"/>
  <c r="K186" i="11"/>
  <c r="K185" i="11"/>
  <c r="K184" i="11"/>
  <c r="K183" i="11"/>
  <c r="K182" i="11"/>
  <c r="K181" i="11"/>
  <c r="K180" i="11"/>
  <c r="K179" i="11"/>
  <c r="K178" i="11"/>
  <c r="K177" i="11"/>
  <c r="K176" i="11"/>
  <c r="K175" i="11"/>
  <c r="K174" i="11"/>
  <c r="K173" i="11"/>
  <c r="K172" i="11"/>
  <c r="K171" i="11"/>
  <c r="K170" i="11"/>
  <c r="K169" i="11"/>
  <c r="K168" i="11"/>
  <c r="K167" i="11"/>
  <c r="K166" i="11"/>
  <c r="K165" i="11"/>
  <c r="K164" i="11"/>
  <c r="K163" i="11"/>
  <c r="K162" i="11"/>
  <c r="K161" i="11"/>
  <c r="K160" i="11"/>
  <c r="K159" i="11"/>
  <c r="K158" i="11"/>
  <c r="K157" i="11"/>
  <c r="K156" i="11"/>
  <c r="K155" i="11"/>
  <c r="K154" i="11"/>
  <c r="K153" i="11"/>
  <c r="K152" i="11"/>
  <c r="K151" i="11"/>
  <c r="K150" i="11"/>
  <c r="K149" i="11"/>
  <c r="K148" i="11"/>
  <c r="K147" i="11"/>
  <c r="K146" i="11"/>
  <c r="K145" i="11"/>
  <c r="K144" i="11"/>
  <c r="K143" i="11"/>
  <c r="K142" i="11"/>
  <c r="K141" i="11"/>
  <c r="K140" i="11"/>
  <c r="K139" i="11"/>
  <c r="K138" i="11"/>
  <c r="K137" i="11"/>
  <c r="K136" i="11"/>
  <c r="K135" i="11"/>
  <c r="K134" i="11"/>
  <c r="K133" i="11"/>
  <c r="K132" i="11"/>
  <c r="K131" i="11"/>
  <c r="K130" i="11"/>
  <c r="K129" i="11"/>
  <c r="K128" i="11"/>
  <c r="K127" i="11"/>
  <c r="K126" i="11"/>
  <c r="K125" i="11"/>
  <c r="K124" i="11"/>
  <c r="K123" i="11"/>
  <c r="K122" i="11"/>
  <c r="K121" i="11"/>
  <c r="K120" i="11"/>
  <c r="K119" i="11"/>
  <c r="K118" i="11"/>
  <c r="K117" i="11"/>
  <c r="K116" i="11"/>
  <c r="K115" i="11"/>
  <c r="K114" i="11"/>
  <c r="K113" i="11"/>
  <c r="I113" i="11"/>
  <c r="J113" i="11" s="1"/>
  <c r="D113" i="11"/>
  <c r="C113" i="11"/>
  <c r="A113" i="11"/>
  <c r="K112" i="11"/>
  <c r="I112" i="11"/>
  <c r="J112" i="11" s="1"/>
  <c r="D112" i="11"/>
  <c r="C112" i="11"/>
  <c r="A112" i="11"/>
  <c r="K111" i="11"/>
  <c r="I111" i="11"/>
  <c r="J111" i="11" s="1"/>
  <c r="D111" i="11"/>
  <c r="C111" i="11"/>
  <c r="A111" i="11"/>
  <c r="K110" i="11"/>
  <c r="J110" i="11"/>
  <c r="I110" i="11"/>
  <c r="D110" i="11"/>
  <c r="C110" i="11"/>
  <c r="A110" i="11"/>
  <c r="K109" i="11"/>
  <c r="I109" i="11"/>
  <c r="J109" i="11" s="1"/>
  <c r="D109" i="11"/>
  <c r="C109" i="11"/>
  <c r="A109" i="11"/>
  <c r="K108" i="11"/>
  <c r="I108" i="11"/>
  <c r="J108" i="11" s="1"/>
  <c r="D108" i="11"/>
  <c r="C108" i="11"/>
  <c r="A108" i="11"/>
  <c r="K107" i="11"/>
  <c r="I107" i="11"/>
  <c r="J107" i="11" s="1"/>
  <c r="D107" i="11"/>
  <c r="C107" i="11"/>
  <c r="A107" i="11"/>
  <c r="K106" i="11"/>
  <c r="J106" i="11"/>
  <c r="I106" i="11"/>
  <c r="D106" i="11"/>
  <c r="C106" i="11"/>
  <c r="A106" i="11"/>
  <c r="K105" i="11"/>
  <c r="I105" i="11"/>
  <c r="J105" i="11" s="1"/>
  <c r="D105" i="11"/>
  <c r="C105" i="11"/>
  <c r="A105" i="11"/>
  <c r="K104" i="11"/>
  <c r="I104" i="11"/>
  <c r="J104" i="11" s="1"/>
  <c r="D104" i="11"/>
  <c r="C104" i="11"/>
  <c r="A104" i="11"/>
  <c r="K103" i="11"/>
  <c r="I103" i="11"/>
  <c r="J103" i="11" s="1"/>
  <c r="D103" i="11"/>
  <c r="C103" i="11"/>
  <c r="A103" i="11"/>
  <c r="K102" i="11"/>
  <c r="J102" i="11"/>
  <c r="I102" i="11"/>
  <c r="D102" i="11"/>
  <c r="C102" i="11"/>
  <c r="A102" i="11"/>
  <c r="K101" i="11"/>
  <c r="I101" i="11"/>
  <c r="J101" i="11" s="1"/>
  <c r="D101" i="11"/>
  <c r="C101" i="11"/>
  <c r="A101" i="11"/>
  <c r="K100" i="11"/>
  <c r="I100" i="11"/>
  <c r="J100" i="11" s="1"/>
  <c r="D100" i="11"/>
  <c r="C100" i="11"/>
  <c r="A100" i="11"/>
  <c r="K99" i="11"/>
  <c r="I99" i="11"/>
  <c r="J99" i="11" s="1"/>
  <c r="D99" i="11"/>
  <c r="C99" i="11"/>
  <c r="A99" i="11"/>
  <c r="K98" i="11"/>
  <c r="J98" i="11"/>
  <c r="I98" i="11"/>
  <c r="D98" i="11"/>
  <c r="C98" i="11"/>
  <c r="A98" i="11"/>
  <c r="K97" i="11"/>
  <c r="I97" i="11"/>
  <c r="J97" i="11" s="1"/>
  <c r="D97" i="11"/>
  <c r="C97" i="11"/>
  <c r="A97" i="11"/>
  <c r="K96" i="11"/>
  <c r="J96" i="11"/>
  <c r="I96" i="11"/>
  <c r="D96" i="11"/>
  <c r="C96" i="11"/>
  <c r="A96" i="11"/>
  <c r="K95" i="11"/>
  <c r="I95" i="11"/>
  <c r="J95" i="11" s="1"/>
  <c r="D95" i="11"/>
  <c r="C95" i="11"/>
  <c r="A95" i="11"/>
  <c r="K94" i="11"/>
  <c r="J94" i="11"/>
  <c r="I94" i="11"/>
  <c r="D94" i="11"/>
  <c r="C94" i="11"/>
  <c r="A94" i="11"/>
  <c r="K93" i="11"/>
  <c r="I93" i="11"/>
  <c r="J93" i="11" s="1"/>
  <c r="D93" i="11"/>
  <c r="C93" i="11"/>
  <c r="A93" i="11"/>
  <c r="K92" i="11"/>
  <c r="J92" i="11"/>
  <c r="I92" i="11"/>
  <c r="D92" i="11"/>
  <c r="C92" i="11"/>
  <c r="A92" i="11"/>
  <c r="K91" i="11"/>
  <c r="I91" i="11"/>
  <c r="J91" i="11" s="1"/>
  <c r="D91" i="11"/>
  <c r="C91" i="11"/>
  <c r="A91" i="11"/>
  <c r="K90" i="11"/>
  <c r="J90" i="11"/>
  <c r="I90" i="11"/>
  <c r="D90" i="11"/>
  <c r="C90" i="11"/>
  <c r="A90" i="11"/>
  <c r="K89" i="11"/>
  <c r="I89" i="11"/>
  <c r="J89" i="11" s="1"/>
  <c r="D89" i="11"/>
  <c r="C89" i="11"/>
  <c r="A89" i="11"/>
  <c r="K88" i="11"/>
  <c r="J88" i="11"/>
  <c r="I88" i="11"/>
  <c r="D88" i="11"/>
  <c r="C88" i="11"/>
  <c r="A88" i="11"/>
  <c r="K87" i="11"/>
  <c r="I87" i="11"/>
  <c r="J87" i="11" s="1"/>
  <c r="D87" i="11"/>
  <c r="C87" i="11"/>
  <c r="A87" i="11"/>
  <c r="K86" i="11"/>
  <c r="J86" i="11"/>
  <c r="I86" i="11"/>
  <c r="D86" i="11"/>
  <c r="C86" i="11"/>
  <c r="A86" i="11"/>
  <c r="K85" i="11"/>
  <c r="I85" i="11"/>
  <c r="J85" i="11" s="1"/>
  <c r="D85" i="11"/>
  <c r="C85" i="11"/>
  <c r="A85" i="11"/>
  <c r="K84" i="11"/>
  <c r="J84" i="11"/>
  <c r="I84" i="11"/>
  <c r="D84" i="11"/>
  <c r="C84" i="11"/>
  <c r="A84" i="11"/>
  <c r="K83" i="11"/>
  <c r="I83" i="11"/>
  <c r="J83" i="11" s="1"/>
  <c r="D83" i="11"/>
  <c r="C83" i="11"/>
  <c r="A83" i="11"/>
  <c r="K82" i="11"/>
  <c r="J82" i="11"/>
  <c r="I82" i="11"/>
  <c r="D82" i="11"/>
  <c r="C82" i="11"/>
  <c r="A82" i="11"/>
  <c r="K81" i="11"/>
  <c r="I81" i="11"/>
  <c r="J81" i="11" s="1"/>
  <c r="D81" i="11"/>
  <c r="C81" i="11"/>
  <c r="A81" i="11"/>
  <c r="K80" i="11"/>
  <c r="J80" i="11"/>
  <c r="I80" i="11"/>
  <c r="D80" i="11"/>
  <c r="C80" i="11"/>
  <c r="A80" i="11"/>
  <c r="K79" i="11"/>
  <c r="I79" i="11"/>
  <c r="J79" i="11" s="1"/>
  <c r="D79" i="11"/>
  <c r="C79" i="11"/>
  <c r="A79" i="11"/>
  <c r="K78" i="11"/>
  <c r="J78" i="11"/>
  <c r="I78" i="11"/>
  <c r="D78" i="11"/>
  <c r="C78" i="11"/>
  <c r="A78" i="11"/>
  <c r="K77" i="11"/>
  <c r="I77" i="11"/>
  <c r="J77" i="11" s="1"/>
  <c r="D77" i="11"/>
  <c r="C77" i="11"/>
  <c r="A77" i="11"/>
  <c r="K76" i="11"/>
  <c r="J76" i="11"/>
  <c r="I76" i="11"/>
  <c r="D76" i="11"/>
  <c r="C76" i="11"/>
  <c r="A76" i="11"/>
  <c r="K75" i="11"/>
  <c r="I75" i="11"/>
  <c r="J75" i="11" s="1"/>
  <c r="D75" i="11"/>
  <c r="C75" i="11"/>
  <c r="A75" i="11"/>
  <c r="K74" i="11"/>
  <c r="J74" i="11"/>
  <c r="I74" i="11"/>
  <c r="D74" i="11"/>
  <c r="C74" i="11"/>
  <c r="A74" i="11"/>
  <c r="K73" i="11"/>
  <c r="I73" i="11"/>
  <c r="J73" i="11" s="1"/>
  <c r="D73" i="11"/>
  <c r="C73" i="11"/>
  <c r="A73" i="11"/>
  <c r="K72" i="11"/>
  <c r="J72" i="11"/>
  <c r="I72" i="11"/>
  <c r="D72" i="11"/>
  <c r="C72" i="11"/>
  <c r="A72" i="11"/>
  <c r="K71" i="11"/>
  <c r="I71" i="11"/>
  <c r="J71" i="11" s="1"/>
  <c r="D71" i="11"/>
  <c r="C71" i="11"/>
  <c r="A71" i="11"/>
  <c r="K70" i="11"/>
  <c r="J70" i="11"/>
  <c r="I70" i="11"/>
  <c r="D70" i="11"/>
  <c r="C70" i="11"/>
  <c r="A70" i="11"/>
  <c r="K69" i="11"/>
  <c r="I69" i="11"/>
  <c r="J69" i="11" s="1"/>
  <c r="D69" i="11"/>
  <c r="C69" i="11"/>
  <c r="A69" i="11"/>
  <c r="K68" i="11"/>
  <c r="J68" i="11"/>
  <c r="I68" i="11"/>
  <c r="D68" i="11"/>
  <c r="C68" i="11"/>
  <c r="A68" i="11"/>
  <c r="K67" i="11"/>
  <c r="I67" i="11"/>
  <c r="J67" i="11" s="1"/>
  <c r="D67" i="11"/>
  <c r="C67" i="11"/>
  <c r="A67" i="11"/>
  <c r="K66" i="11"/>
  <c r="J66" i="11"/>
  <c r="I66" i="11"/>
  <c r="D66" i="11"/>
  <c r="C66" i="11"/>
  <c r="A66" i="11"/>
  <c r="K65" i="11"/>
  <c r="I65" i="11"/>
  <c r="J65" i="11" s="1"/>
  <c r="D65" i="11"/>
  <c r="C65" i="11"/>
  <c r="A65" i="11"/>
  <c r="K64" i="11"/>
  <c r="J64" i="11"/>
  <c r="I64" i="11"/>
  <c r="D64" i="11"/>
  <c r="C64" i="11"/>
  <c r="A64" i="11"/>
  <c r="K63" i="11"/>
  <c r="I63" i="11"/>
  <c r="J63" i="11" s="1"/>
  <c r="D63" i="11"/>
  <c r="C63" i="11"/>
  <c r="A63" i="11"/>
  <c r="K62" i="11"/>
  <c r="J62" i="11"/>
  <c r="I62" i="11"/>
  <c r="D62" i="11"/>
  <c r="C62" i="11"/>
  <c r="A62" i="11"/>
  <c r="K61" i="11"/>
  <c r="I61" i="11"/>
  <c r="J61" i="11" s="1"/>
  <c r="D61" i="11"/>
  <c r="C61" i="11"/>
  <c r="A61" i="11"/>
  <c r="K60" i="11"/>
  <c r="J60" i="11"/>
  <c r="I60" i="11"/>
  <c r="D60" i="11"/>
  <c r="C60" i="11"/>
  <c r="A60" i="11"/>
  <c r="K59" i="11"/>
  <c r="I59" i="11"/>
  <c r="J59" i="11" s="1"/>
  <c r="D59" i="11"/>
  <c r="C59" i="11"/>
  <c r="A59" i="11"/>
  <c r="K58" i="11"/>
  <c r="J58" i="11"/>
  <c r="I58" i="11"/>
  <c r="D58" i="11"/>
  <c r="C58" i="11"/>
  <c r="A58" i="11"/>
  <c r="K57" i="11"/>
  <c r="I57" i="11"/>
  <c r="J57" i="11" s="1"/>
  <c r="D57" i="11"/>
  <c r="C57" i="11"/>
  <c r="A57" i="11"/>
  <c r="K56" i="11"/>
  <c r="J56" i="11"/>
  <c r="I56" i="11"/>
  <c r="D56" i="11"/>
  <c r="C56" i="11"/>
  <c r="A56" i="11"/>
  <c r="K55" i="11"/>
  <c r="I55" i="11"/>
  <c r="J55" i="11" s="1"/>
  <c r="D55" i="11"/>
  <c r="C55" i="11"/>
  <c r="A55" i="11"/>
  <c r="K54" i="11"/>
  <c r="J54" i="11"/>
  <c r="I54" i="11"/>
  <c r="D54" i="11"/>
  <c r="C54" i="11"/>
  <c r="A54" i="11"/>
  <c r="K53" i="11"/>
  <c r="I53" i="11"/>
  <c r="J53" i="11" s="1"/>
  <c r="D53" i="11"/>
  <c r="C53" i="11"/>
  <c r="A53" i="11"/>
  <c r="K52" i="11"/>
  <c r="J52" i="11"/>
  <c r="I52" i="11"/>
  <c r="D52" i="11"/>
  <c r="C52" i="11"/>
  <c r="A52" i="11"/>
  <c r="K51" i="11"/>
  <c r="I51" i="11"/>
  <c r="J51" i="11" s="1"/>
  <c r="D51" i="11"/>
  <c r="C51" i="11"/>
  <c r="A51" i="11"/>
  <c r="K50" i="11"/>
  <c r="J50" i="11"/>
  <c r="I50" i="11"/>
  <c r="D50" i="11"/>
  <c r="C50" i="11"/>
  <c r="A50" i="11"/>
  <c r="K49" i="11"/>
  <c r="I49" i="11"/>
  <c r="J49" i="11" s="1"/>
  <c r="D49" i="11"/>
  <c r="C49" i="11"/>
  <c r="A49" i="11"/>
  <c r="K48" i="11"/>
  <c r="J48" i="11"/>
  <c r="I48" i="11"/>
  <c r="D48" i="11"/>
  <c r="C48" i="11"/>
  <c r="A48" i="11"/>
  <c r="K47" i="11"/>
  <c r="I47" i="11"/>
  <c r="J47" i="11" s="1"/>
  <c r="D47" i="11"/>
  <c r="C47" i="11"/>
  <c r="A47" i="11"/>
  <c r="K46" i="11"/>
  <c r="J46" i="11"/>
  <c r="I46" i="11"/>
  <c r="D46" i="11"/>
  <c r="C46" i="11"/>
  <c r="A46" i="11"/>
  <c r="K45" i="11"/>
  <c r="I45" i="11"/>
  <c r="J45" i="11" s="1"/>
  <c r="D45" i="11"/>
  <c r="C45" i="11"/>
  <c r="A45" i="11"/>
  <c r="K44" i="11"/>
  <c r="J44" i="11"/>
  <c r="I44" i="11"/>
  <c r="D44" i="11"/>
  <c r="C44" i="11"/>
  <c r="A44" i="11"/>
  <c r="K43" i="11"/>
  <c r="I43" i="11"/>
  <c r="J43" i="11" s="1"/>
  <c r="D43" i="11"/>
  <c r="C43" i="11"/>
  <c r="A43" i="11"/>
  <c r="K42" i="11"/>
  <c r="J42" i="11"/>
  <c r="I42" i="11"/>
  <c r="D42" i="11"/>
  <c r="C42" i="11"/>
  <c r="A42" i="11"/>
  <c r="K41" i="11"/>
  <c r="I41" i="11"/>
  <c r="J41" i="11" s="1"/>
  <c r="D41" i="11"/>
  <c r="C41" i="11"/>
  <c r="A41" i="11"/>
  <c r="K40" i="11"/>
  <c r="J40" i="11"/>
  <c r="I40" i="11"/>
  <c r="D40" i="11"/>
  <c r="C40" i="11"/>
  <c r="A40" i="11"/>
  <c r="K39" i="11"/>
  <c r="I39" i="11"/>
  <c r="J39" i="11" s="1"/>
  <c r="D39" i="11"/>
  <c r="C39" i="11"/>
  <c r="A39" i="11"/>
  <c r="K38" i="11"/>
  <c r="J38" i="11"/>
  <c r="I38" i="11"/>
  <c r="D38" i="11"/>
  <c r="C38" i="11"/>
  <c r="A38" i="11"/>
  <c r="K37" i="11"/>
  <c r="I37" i="11"/>
  <c r="J37" i="11" s="1"/>
  <c r="D37" i="11"/>
  <c r="C37" i="11"/>
  <c r="A37" i="11"/>
  <c r="K36" i="11"/>
  <c r="J36" i="11"/>
  <c r="I36" i="11"/>
  <c r="D36" i="11"/>
  <c r="C36" i="11"/>
  <c r="A36" i="11"/>
  <c r="K35" i="11"/>
  <c r="I35" i="11"/>
  <c r="J35" i="11" s="1"/>
  <c r="D35" i="11"/>
  <c r="C35" i="11"/>
  <c r="A35" i="11"/>
  <c r="K34" i="11"/>
  <c r="J34" i="11"/>
  <c r="I34" i="11"/>
  <c r="D34" i="11"/>
  <c r="C34" i="11"/>
  <c r="A34" i="11"/>
  <c r="K33" i="11"/>
  <c r="I33" i="11"/>
  <c r="J33" i="11" s="1"/>
  <c r="D33" i="11"/>
  <c r="C33" i="11"/>
  <c r="A33" i="11"/>
  <c r="K32" i="11"/>
  <c r="J32" i="11"/>
  <c r="I32" i="11"/>
  <c r="D32" i="11"/>
  <c r="C32" i="11"/>
  <c r="A32" i="11"/>
  <c r="K31" i="11"/>
  <c r="I31" i="11"/>
  <c r="J31" i="11" s="1"/>
  <c r="D31" i="11"/>
  <c r="C31" i="11"/>
  <c r="A31" i="11"/>
  <c r="K30" i="11"/>
  <c r="J30" i="11"/>
  <c r="I30" i="11"/>
  <c r="D30" i="11"/>
  <c r="C30" i="11"/>
  <c r="A30" i="11"/>
  <c r="K29" i="11"/>
  <c r="I29" i="11"/>
  <c r="J29" i="11" s="1"/>
  <c r="D29" i="11"/>
  <c r="C29" i="11"/>
  <c r="A29" i="11"/>
  <c r="K28" i="11"/>
  <c r="J28" i="11"/>
  <c r="I28" i="11"/>
  <c r="D28" i="11"/>
  <c r="C28" i="11"/>
  <c r="A28" i="11"/>
  <c r="K27" i="11"/>
  <c r="I27" i="11"/>
  <c r="J27" i="11" s="1"/>
  <c r="D27" i="11"/>
  <c r="C27" i="11"/>
  <c r="A27" i="11"/>
  <c r="K26" i="11"/>
  <c r="J26" i="11"/>
  <c r="I26" i="11"/>
  <c r="D26" i="11"/>
  <c r="C26" i="11"/>
  <c r="A26" i="11"/>
  <c r="K25" i="11"/>
  <c r="I25" i="11"/>
  <c r="J25" i="11" s="1"/>
  <c r="D25" i="11"/>
  <c r="C25" i="11"/>
  <c r="A25" i="11"/>
  <c r="K24" i="11"/>
  <c r="J24" i="11"/>
  <c r="I24" i="11"/>
  <c r="D24" i="11"/>
  <c r="C24" i="11"/>
  <c r="A24" i="11"/>
  <c r="K23" i="11"/>
  <c r="I23" i="11"/>
  <c r="J23" i="11" s="1"/>
  <c r="D23" i="11"/>
  <c r="C23" i="11"/>
  <c r="A23" i="11"/>
  <c r="K22" i="11"/>
  <c r="J22" i="11"/>
  <c r="I22" i="11"/>
  <c r="D22" i="11"/>
  <c r="C22" i="11"/>
  <c r="A22" i="11"/>
  <c r="K21" i="11"/>
  <c r="I21" i="11"/>
  <c r="J21" i="11" s="1"/>
  <c r="D21" i="11"/>
  <c r="C21" i="11"/>
  <c r="A21" i="11"/>
  <c r="K20" i="11"/>
  <c r="J20" i="11"/>
  <c r="I20" i="11"/>
  <c r="D20" i="11"/>
  <c r="C20" i="11"/>
  <c r="A20" i="11"/>
  <c r="K19" i="11"/>
  <c r="I19" i="11"/>
  <c r="J19" i="11" s="1"/>
  <c r="D19" i="11"/>
  <c r="C19" i="11"/>
  <c r="A19" i="11"/>
  <c r="K18" i="11"/>
  <c r="J18" i="11"/>
  <c r="I18" i="11"/>
  <c r="D18" i="11"/>
  <c r="C18" i="11"/>
  <c r="A18" i="11"/>
  <c r="K17" i="11"/>
  <c r="I17" i="11"/>
  <c r="J17" i="11" s="1"/>
  <c r="D17" i="11"/>
  <c r="C17" i="11"/>
  <c r="A17" i="11"/>
  <c r="K16" i="11"/>
  <c r="J16" i="11"/>
  <c r="I16" i="11"/>
  <c r="D16" i="11"/>
  <c r="C16" i="11"/>
  <c r="A16" i="11"/>
  <c r="K15" i="11"/>
  <c r="I15" i="11"/>
  <c r="J15" i="11" s="1"/>
  <c r="D15" i="11"/>
  <c r="C15" i="11"/>
  <c r="A15" i="11"/>
  <c r="K14" i="11"/>
  <c r="J14" i="11"/>
  <c r="I14" i="11"/>
  <c r="D14" i="11"/>
  <c r="C14" i="11"/>
  <c r="A14" i="11"/>
  <c r="B9" i="11"/>
  <c r="B10" i="11" s="1"/>
  <c r="B8" i="11"/>
  <c r="K208" i="10"/>
  <c r="J208" i="10"/>
  <c r="G208" i="10"/>
  <c r="D208" i="10"/>
  <c r="C208" i="10"/>
  <c r="B208" i="10"/>
  <c r="J207" i="10"/>
  <c r="K207" i="10" s="1"/>
  <c r="G207" i="10"/>
  <c r="D207" i="10"/>
  <c r="C207" i="10"/>
  <c r="B207" i="10"/>
  <c r="K206" i="10"/>
  <c r="J206" i="10"/>
  <c r="G206" i="10"/>
  <c r="D206" i="10"/>
  <c r="C206" i="10"/>
  <c r="B206" i="10"/>
  <c r="J205" i="10"/>
  <c r="K205" i="10" s="1"/>
  <c r="G205" i="10"/>
  <c r="D205" i="10"/>
  <c r="C205" i="10"/>
  <c r="B205" i="10"/>
  <c r="K204" i="10"/>
  <c r="J204" i="10"/>
  <c r="G204" i="10"/>
  <c r="D204" i="10"/>
  <c r="C204" i="10"/>
  <c r="B204" i="10"/>
  <c r="J203" i="10"/>
  <c r="K203" i="10" s="1"/>
  <c r="G203" i="10"/>
  <c r="D203" i="10"/>
  <c r="C203" i="10"/>
  <c r="B203" i="10"/>
  <c r="K202" i="10"/>
  <c r="J202" i="10"/>
  <c r="G202" i="10"/>
  <c r="D202" i="10"/>
  <c r="C202" i="10"/>
  <c r="B202" i="10"/>
  <c r="J201" i="10"/>
  <c r="K201" i="10" s="1"/>
  <c r="G201" i="10"/>
  <c r="D201" i="10"/>
  <c r="C201" i="10"/>
  <c r="B201" i="10"/>
  <c r="K200" i="10"/>
  <c r="J200" i="10"/>
  <c r="G200" i="10"/>
  <c r="D200" i="10"/>
  <c r="C200" i="10"/>
  <c r="B200" i="10"/>
  <c r="J199" i="10"/>
  <c r="K199" i="10" s="1"/>
  <c r="G199" i="10"/>
  <c r="D199" i="10"/>
  <c r="C199" i="10"/>
  <c r="B199" i="10"/>
  <c r="K198" i="10"/>
  <c r="J198" i="10"/>
  <c r="G198" i="10"/>
  <c r="D198" i="10"/>
  <c r="C198" i="10"/>
  <c r="B198" i="10"/>
  <c r="J197" i="10"/>
  <c r="K197" i="10" s="1"/>
  <c r="G197" i="10"/>
  <c r="D197" i="10"/>
  <c r="C197" i="10"/>
  <c r="B197" i="10"/>
  <c r="K196" i="10"/>
  <c r="J196" i="10"/>
  <c r="G196" i="10"/>
  <c r="D196" i="10"/>
  <c r="C196" i="10"/>
  <c r="B196" i="10"/>
  <c r="J195" i="10"/>
  <c r="K195" i="10" s="1"/>
  <c r="G195" i="10"/>
  <c r="D195" i="10"/>
  <c r="C195" i="10"/>
  <c r="B195" i="10"/>
  <c r="K194" i="10"/>
  <c r="J194" i="10"/>
  <c r="G194" i="10"/>
  <c r="D194" i="10"/>
  <c r="C194" i="10"/>
  <c r="B194" i="10"/>
  <c r="J193" i="10"/>
  <c r="K193" i="10" s="1"/>
  <c r="G193" i="10"/>
  <c r="D193" i="10"/>
  <c r="C193" i="10"/>
  <c r="B193" i="10"/>
  <c r="K192" i="10"/>
  <c r="J192" i="10"/>
  <c r="G192" i="10"/>
  <c r="D192" i="10"/>
  <c r="C192" i="10"/>
  <c r="B192" i="10"/>
  <c r="J191" i="10"/>
  <c r="K191" i="10" s="1"/>
  <c r="G191" i="10"/>
  <c r="D191" i="10"/>
  <c r="C191" i="10"/>
  <c r="B191" i="10"/>
  <c r="K190" i="10"/>
  <c r="J190" i="10"/>
  <c r="G190" i="10"/>
  <c r="D190" i="10"/>
  <c r="C190" i="10"/>
  <c r="B190" i="10"/>
  <c r="J189" i="10"/>
  <c r="K189" i="10" s="1"/>
  <c r="G189" i="10"/>
  <c r="D189" i="10"/>
  <c r="C189" i="10"/>
  <c r="B189" i="10"/>
  <c r="K188" i="10"/>
  <c r="J188" i="10"/>
  <c r="G188" i="10"/>
  <c r="D188" i="10"/>
  <c r="C188" i="10"/>
  <c r="B188" i="10"/>
  <c r="J187" i="10"/>
  <c r="K187" i="10" s="1"/>
  <c r="G187" i="10"/>
  <c r="D187" i="10"/>
  <c r="C187" i="10"/>
  <c r="B187" i="10"/>
  <c r="K186" i="10"/>
  <c r="J186" i="10"/>
  <c r="G186" i="10"/>
  <c r="D186" i="10"/>
  <c r="C186" i="10"/>
  <c r="B186" i="10"/>
  <c r="J185" i="10"/>
  <c r="K185" i="10" s="1"/>
  <c r="G185" i="10"/>
  <c r="D185" i="10"/>
  <c r="C185" i="10"/>
  <c r="B185" i="10"/>
  <c r="K184" i="10"/>
  <c r="J184" i="10"/>
  <c r="G184" i="10"/>
  <c r="D184" i="10"/>
  <c r="C184" i="10"/>
  <c r="B184" i="10"/>
  <c r="J183" i="10"/>
  <c r="K183" i="10" s="1"/>
  <c r="G183" i="10"/>
  <c r="D183" i="10"/>
  <c r="C183" i="10"/>
  <c r="B183" i="10"/>
  <c r="K182" i="10"/>
  <c r="J182" i="10"/>
  <c r="G182" i="10"/>
  <c r="D182" i="10"/>
  <c r="C182" i="10"/>
  <c r="B182" i="10"/>
  <c r="J181" i="10"/>
  <c r="K181" i="10" s="1"/>
  <c r="G181" i="10"/>
  <c r="D181" i="10"/>
  <c r="C181" i="10"/>
  <c r="B181" i="10"/>
  <c r="K180" i="10"/>
  <c r="J180" i="10"/>
  <c r="G180" i="10"/>
  <c r="D180" i="10"/>
  <c r="C180" i="10"/>
  <c r="B180" i="10"/>
  <c r="J179" i="10"/>
  <c r="K179" i="10" s="1"/>
  <c r="G179" i="10"/>
  <c r="D179" i="10"/>
  <c r="C179" i="10"/>
  <c r="B179" i="10"/>
  <c r="K178" i="10"/>
  <c r="J178" i="10"/>
  <c r="G178" i="10"/>
  <c r="D178" i="10"/>
  <c r="C178" i="10"/>
  <c r="B178" i="10"/>
  <c r="J177" i="10"/>
  <c r="K177" i="10" s="1"/>
  <c r="G177" i="10"/>
  <c r="D177" i="10"/>
  <c r="C177" i="10"/>
  <c r="B177" i="10"/>
  <c r="K176" i="10"/>
  <c r="J176" i="10"/>
  <c r="G176" i="10"/>
  <c r="D176" i="10"/>
  <c r="C176" i="10"/>
  <c r="B176" i="10"/>
  <c r="J175" i="10"/>
  <c r="K175" i="10" s="1"/>
  <c r="G175" i="10"/>
  <c r="D175" i="10"/>
  <c r="C175" i="10"/>
  <c r="B175" i="10"/>
  <c r="K174" i="10"/>
  <c r="J174" i="10"/>
  <c r="G174" i="10"/>
  <c r="D174" i="10"/>
  <c r="C174" i="10"/>
  <c r="B174" i="10"/>
  <c r="J173" i="10"/>
  <c r="K173" i="10" s="1"/>
  <c r="G173" i="10"/>
  <c r="D173" i="10"/>
  <c r="C173" i="10"/>
  <c r="B173" i="10"/>
  <c r="K172" i="10"/>
  <c r="J172" i="10"/>
  <c r="G172" i="10"/>
  <c r="D172" i="10"/>
  <c r="C172" i="10"/>
  <c r="B172" i="10"/>
  <c r="J171" i="10"/>
  <c r="K171" i="10" s="1"/>
  <c r="G171" i="10"/>
  <c r="D171" i="10"/>
  <c r="C171" i="10"/>
  <c r="B171" i="10"/>
  <c r="K170" i="10"/>
  <c r="J170" i="10"/>
  <c r="G170" i="10"/>
  <c r="D170" i="10"/>
  <c r="C170" i="10"/>
  <c r="B170" i="10"/>
  <c r="J169" i="10"/>
  <c r="K169" i="10" s="1"/>
  <c r="G169" i="10"/>
  <c r="D169" i="10"/>
  <c r="C169" i="10"/>
  <c r="B169" i="10"/>
  <c r="K168" i="10"/>
  <c r="J168" i="10"/>
  <c r="G168" i="10"/>
  <c r="D168" i="10"/>
  <c r="C168" i="10"/>
  <c r="B168" i="10"/>
  <c r="J167" i="10"/>
  <c r="K167" i="10" s="1"/>
  <c r="G167" i="10"/>
  <c r="D167" i="10"/>
  <c r="C167" i="10"/>
  <c r="B167" i="10"/>
  <c r="K166" i="10"/>
  <c r="J166" i="10"/>
  <c r="G166" i="10"/>
  <c r="D166" i="10"/>
  <c r="C166" i="10"/>
  <c r="B166" i="10"/>
  <c r="J165" i="10"/>
  <c r="K165" i="10" s="1"/>
  <c r="G165" i="10"/>
  <c r="D165" i="10"/>
  <c r="C165" i="10"/>
  <c r="B165" i="10"/>
  <c r="K164" i="10"/>
  <c r="J164" i="10"/>
  <c r="G164" i="10"/>
  <c r="D164" i="10"/>
  <c r="C164" i="10"/>
  <c r="B164" i="10"/>
  <c r="J163" i="10"/>
  <c r="K163" i="10" s="1"/>
  <c r="G163" i="10"/>
  <c r="D163" i="10"/>
  <c r="C163" i="10"/>
  <c r="B163" i="10"/>
  <c r="K162" i="10"/>
  <c r="J162" i="10"/>
  <c r="G162" i="10"/>
  <c r="D162" i="10"/>
  <c r="C162" i="10"/>
  <c r="B162" i="10"/>
  <c r="J161" i="10"/>
  <c r="K161" i="10" s="1"/>
  <c r="G161" i="10"/>
  <c r="D161" i="10"/>
  <c r="C161" i="10"/>
  <c r="B161" i="10"/>
  <c r="K160" i="10"/>
  <c r="J160" i="10"/>
  <c r="G160" i="10"/>
  <c r="D160" i="10"/>
  <c r="C160" i="10"/>
  <c r="B160" i="10"/>
  <c r="J159" i="10"/>
  <c r="K159" i="10" s="1"/>
  <c r="G159" i="10"/>
  <c r="D159" i="10"/>
  <c r="C159" i="10"/>
  <c r="B159" i="10"/>
  <c r="K158" i="10"/>
  <c r="J158" i="10"/>
  <c r="G158" i="10"/>
  <c r="D158" i="10"/>
  <c r="C158" i="10"/>
  <c r="B158" i="10"/>
  <c r="J157" i="10"/>
  <c r="K157" i="10" s="1"/>
  <c r="G157" i="10"/>
  <c r="D157" i="10"/>
  <c r="C157" i="10"/>
  <c r="B157" i="10"/>
  <c r="K156" i="10"/>
  <c r="J156" i="10"/>
  <c r="G156" i="10"/>
  <c r="D156" i="10"/>
  <c r="C156" i="10"/>
  <c r="B156" i="10"/>
  <c r="J155" i="10"/>
  <c r="K155" i="10" s="1"/>
  <c r="G155" i="10"/>
  <c r="D155" i="10"/>
  <c r="C155" i="10"/>
  <c r="B155" i="10"/>
  <c r="K154" i="10"/>
  <c r="J154" i="10"/>
  <c r="G154" i="10"/>
  <c r="D154" i="10"/>
  <c r="C154" i="10"/>
  <c r="B154" i="10"/>
  <c r="J153" i="10"/>
  <c r="K153" i="10" s="1"/>
  <c r="G153" i="10"/>
  <c r="D153" i="10"/>
  <c r="C153" i="10"/>
  <c r="B153" i="10"/>
  <c r="K152" i="10"/>
  <c r="J152" i="10"/>
  <c r="G152" i="10"/>
  <c r="D152" i="10"/>
  <c r="C152" i="10"/>
  <c r="B152" i="10"/>
  <c r="J151" i="10"/>
  <c r="K151" i="10" s="1"/>
  <c r="G151" i="10"/>
  <c r="D151" i="10"/>
  <c r="C151" i="10"/>
  <c r="B151" i="10"/>
  <c r="K150" i="10"/>
  <c r="J150" i="10"/>
  <c r="G150" i="10"/>
  <c r="D150" i="10"/>
  <c r="C150" i="10"/>
  <c r="B150" i="10"/>
  <c r="J149" i="10"/>
  <c r="K149" i="10" s="1"/>
  <c r="G149" i="10"/>
  <c r="D149" i="10"/>
  <c r="C149" i="10"/>
  <c r="B149" i="10"/>
  <c r="K148" i="10"/>
  <c r="J148" i="10"/>
  <c r="G148" i="10"/>
  <c r="D148" i="10"/>
  <c r="C148" i="10"/>
  <c r="B148" i="10"/>
  <c r="J147" i="10"/>
  <c r="K147" i="10" s="1"/>
  <c r="G147" i="10"/>
  <c r="D147" i="10"/>
  <c r="C147" i="10"/>
  <c r="B147" i="10"/>
  <c r="K146" i="10"/>
  <c r="J146" i="10"/>
  <c r="G146" i="10"/>
  <c r="D146" i="10"/>
  <c r="C146" i="10"/>
  <c r="B146" i="10"/>
  <c r="J145" i="10"/>
  <c r="K145" i="10" s="1"/>
  <c r="G145" i="10"/>
  <c r="D145" i="10"/>
  <c r="C145" i="10"/>
  <c r="B145" i="10"/>
  <c r="K144" i="10"/>
  <c r="J144" i="10"/>
  <c r="G144" i="10"/>
  <c r="D144" i="10"/>
  <c r="C144" i="10"/>
  <c r="B144" i="10"/>
  <c r="K143" i="10"/>
  <c r="J143" i="10"/>
  <c r="G143" i="10"/>
  <c r="D143" i="10"/>
  <c r="C143" i="10"/>
  <c r="B143" i="10"/>
  <c r="K142" i="10"/>
  <c r="J142" i="10"/>
  <c r="G142" i="10"/>
  <c r="D142" i="10"/>
  <c r="C142" i="10"/>
  <c r="B142" i="10"/>
  <c r="J141" i="10"/>
  <c r="K141" i="10" s="1"/>
  <c r="G141" i="10"/>
  <c r="D141" i="10"/>
  <c r="C141" i="10"/>
  <c r="B141" i="10"/>
  <c r="K140" i="10"/>
  <c r="J140" i="10"/>
  <c r="G140" i="10"/>
  <c r="D140" i="10"/>
  <c r="C140" i="10"/>
  <c r="B140" i="10"/>
  <c r="J139" i="10"/>
  <c r="K139" i="10" s="1"/>
  <c r="G139" i="10"/>
  <c r="D139" i="10"/>
  <c r="C139" i="10"/>
  <c r="B139" i="10"/>
  <c r="K138" i="10"/>
  <c r="J138" i="10"/>
  <c r="G138" i="10"/>
  <c r="D138" i="10"/>
  <c r="C138" i="10"/>
  <c r="B138" i="10"/>
  <c r="J137" i="10"/>
  <c r="K137" i="10" s="1"/>
  <c r="G137" i="10"/>
  <c r="D137" i="10"/>
  <c r="C137" i="10"/>
  <c r="B137" i="10"/>
  <c r="K136" i="10"/>
  <c r="J136" i="10"/>
  <c r="G136" i="10"/>
  <c r="D136" i="10"/>
  <c r="C136" i="10"/>
  <c r="B136" i="10"/>
  <c r="J135" i="10"/>
  <c r="K135" i="10" s="1"/>
  <c r="G135" i="10"/>
  <c r="D135" i="10"/>
  <c r="C135" i="10"/>
  <c r="B135" i="10"/>
  <c r="K134" i="10"/>
  <c r="J134" i="10"/>
  <c r="G134" i="10"/>
  <c r="D134" i="10"/>
  <c r="C134" i="10"/>
  <c r="B134" i="10"/>
  <c r="J133" i="10"/>
  <c r="K133" i="10" s="1"/>
  <c r="G133" i="10"/>
  <c r="D133" i="10"/>
  <c r="C133" i="10"/>
  <c r="B133" i="10"/>
  <c r="K132" i="10"/>
  <c r="J132" i="10"/>
  <c r="G132" i="10"/>
  <c r="D132" i="10"/>
  <c r="C132" i="10"/>
  <c r="B132" i="10"/>
  <c r="K131" i="10"/>
  <c r="J131" i="10"/>
  <c r="G131" i="10"/>
  <c r="D131" i="10"/>
  <c r="C131" i="10"/>
  <c r="B131" i="10"/>
  <c r="K130" i="10"/>
  <c r="J130" i="10"/>
  <c r="G130" i="10"/>
  <c r="D130" i="10"/>
  <c r="C130" i="10"/>
  <c r="B130" i="10"/>
  <c r="J129" i="10"/>
  <c r="K129" i="10" s="1"/>
  <c r="G129" i="10"/>
  <c r="D129" i="10"/>
  <c r="C129" i="10"/>
  <c r="B129" i="10"/>
  <c r="K128" i="10"/>
  <c r="J128" i="10"/>
  <c r="G128" i="10"/>
  <c r="D128" i="10"/>
  <c r="C128" i="10"/>
  <c r="B128" i="10"/>
  <c r="K127" i="10"/>
  <c r="J127" i="10"/>
  <c r="G127" i="10"/>
  <c r="D127" i="10"/>
  <c r="C127" i="10"/>
  <c r="B127" i="10"/>
  <c r="K126" i="10"/>
  <c r="J126" i="10"/>
  <c r="G126" i="10"/>
  <c r="D126" i="10"/>
  <c r="C126" i="10"/>
  <c r="B126" i="10"/>
  <c r="J125" i="10"/>
  <c r="K125" i="10" s="1"/>
  <c r="G125" i="10"/>
  <c r="D125" i="10"/>
  <c r="C125" i="10"/>
  <c r="B125" i="10"/>
  <c r="K124" i="10"/>
  <c r="J124" i="10"/>
  <c r="G124" i="10"/>
  <c r="D124" i="10"/>
  <c r="C124" i="10"/>
  <c r="B124" i="10"/>
  <c r="K123" i="10"/>
  <c r="J123" i="10"/>
  <c r="G123" i="10"/>
  <c r="D123" i="10"/>
  <c r="C123" i="10"/>
  <c r="B123" i="10"/>
  <c r="K122" i="10"/>
  <c r="J122" i="10"/>
  <c r="G122" i="10"/>
  <c r="D122" i="10"/>
  <c r="C122" i="10"/>
  <c r="B122" i="10"/>
  <c r="J121" i="10"/>
  <c r="K121" i="10" s="1"/>
  <c r="G121" i="10"/>
  <c r="D121" i="10"/>
  <c r="C121" i="10"/>
  <c r="B121" i="10"/>
  <c r="K120" i="10"/>
  <c r="J120" i="10"/>
  <c r="G120" i="10"/>
  <c r="D120" i="10"/>
  <c r="C120" i="10"/>
  <c r="B120" i="10"/>
  <c r="J119" i="10"/>
  <c r="K119" i="10" s="1"/>
  <c r="G119" i="10"/>
  <c r="D119" i="10"/>
  <c r="C119" i="10"/>
  <c r="B119" i="10"/>
  <c r="K118" i="10"/>
  <c r="J118" i="10"/>
  <c r="G118" i="10"/>
  <c r="D118" i="10"/>
  <c r="C118" i="10"/>
  <c r="B118" i="10"/>
  <c r="J117" i="10"/>
  <c r="K117" i="10" s="1"/>
  <c r="G117" i="10"/>
  <c r="D117" i="10"/>
  <c r="C117" i="10"/>
  <c r="B117" i="10"/>
  <c r="K116" i="10"/>
  <c r="J116" i="10"/>
  <c r="G116" i="10"/>
  <c r="D116" i="10"/>
  <c r="C116" i="10"/>
  <c r="B116" i="10"/>
  <c r="K115" i="10"/>
  <c r="J115" i="10"/>
  <c r="G115" i="10"/>
  <c r="D115" i="10"/>
  <c r="C115" i="10"/>
  <c r="B115" i="10"/>
  <c r="K114" i="10"/>
  <c r="J114" i="10"/>
  <c r="G114" i="10"/>
  <c r="D114" i="10"/>
  <c r="C114" i="10"/>
  <c r="B114" i="10"/>
  <c r="J113" i="10"/>
  <c r="K113" i="10" s="1"/>
  <c r="G113" i="10"/>
  <c r="D113" i="10"/>
  <c r="C113" i="10"/>
  <c r="B113" i="10"/>
  <c r="J112" i="10"/>
  <c r="K112" i="10" s="1"/>
  <c r="G112" i="10"/>
  <c r="D112" i="10"/>
  <c r="C112" i="10"/>
  <c r="B112" i="10"/>
  <c r="K111" i="10"/>
  <c r="J111" i="10"/>
  <c r="G111" i="10"/>
  <c r="D111" i="10"/>
  <c r="C111" i="10"/>
  <c r="B111" i="10"/>
  <c r="K110" i="10"/>
  <c r="J110" i="10"/>
  <c r="G110" i="10"/>
  <c r="D110" i="10"/>
  <c r="C110" i="10"/>
  <c r="B110" i="10"/>
  <c r="J109" i="10"/>
  <c r="K109" i="10" s="1"/>
  <c r="G109" i="10"/>
  <c r="D109" i="10"/>
  <c r="C109" i="10"/>
  <c r="B109" i="10"/>
  <c r="K108" i="10"/>
  <c r="J108" i="10"/>
  <c r="G108" i="10"/>
  <c r="D108" i="10"/>
  <c r="C108" i="10"/>
  <c r="B108" i="10"/>
  <c r="J107" i="10"/>
  <c r="K107" i="10" s="1"/>
  <c r="G107" i="10"/>
  <c r="D107" i="10"/>
  <c r="C107" i="10"/>
  <c r="B107" i="10"/>
  <c r="K106" i="10"/>
  <c r="J106" i="10"/>
  <c r="G106" i="10"/>
  <c r="D106" i="10"/>
  <c r="C106" i="10"/>
  <c r="B106" i="10"/>
  <c r="J105" i="10"/>
  <c r="K105" i="10" s="1"/>
  <c r="G105" i="10"/>
  <c r="D105" i="10"/>
  <c r="C105" i="10"/>
  <c r="B105" i="10"/>
  <c r="K104" i="10"/>
  <c r="J104" i="10"/>
  <c r="G104" i="10"/>
  <c r="D104" i="10"/>
  <c r="C104" i="10"/>
  <c r="B104" i="10"/>
  <c r="J103" i="10"/>
  <c r="K103" i="10" s="1"/>
  <c r="G103" i="10"/>
  <c r="D103" i="10"/>
  <c r="C103" i="10"/>
  <c r="B103" i="10"/>
  <c r="K102" i="10"/>
  <c r="J102" i="10"/>
  <c r="G102" i="10"/>
  <c r="D102" i="10"/>
  <c r="C102" i="10"/>
  <c r="B102" i="10"/>
  <c r="J101" i="10"/>
  <c r="K101" i="10" s="1"/>
  <c r="G101" i="10"/>
  <c r="D101" i="10"/>
  <c r="C101" i="10"/>
  <c r="B101" i="10"/>
  <c r="J100" i="10"/>
  <c r="K100" i="10" s="1"/>
  <c r="G100" i="10"/>
  <c r="D100" i="10"/>
  <c r="C100" i="10"/>
  <c r="B100" i="10"/>
  <c r="K99" i="10"/>
  <c r="J99" i="10"/>
  <c r="G99" i="10"/>
  <c r="D99" i="10"/>
  <c r="C99" i="10"/>
  <c r="B99" i="10"/>
  <c r="K98" i="10"/>
  <c r="J98" i="10"/>
  <c r="G98" i="10"/>
  <c r="D98" i="10"/>
  <c r="C98" i="10"/>
  <c r="B98" i="10"/>
  <c r="J97" i="10"/>
  <c r="K97" i="10" s="1"/>
  <c r="G97" i="10"/>
  <c r="D97" i="10"/>
  <c r="C97" i="10"/>
  <c r="B97" i="10"/>
  <c r="J96" i="10"/>
  <c r="K96" i="10" s="1"/>
  <c r="G96" i="10"/>
  <c r="D96" i="10"/>
  <c r="C96" i="10"/>
  <c r="B96" i="10"/>
  <c r="K95" i="10"/>
  <c r="J95" i="10"/>
  <c r="G95" i="10"/>
  <c r="D95" i="10"/>
  <c r="C95" i="10"/>
  <c r="B95" i="10"/>
  <c r="K94" i="10"/>
  <c r="J94" i="10"/>
  <c r="G94" i="10"/>
  <c r="D94" i="10"/>
  <c r="C94" i="10"/>
  <c r="B94" i="10"/>
  <c r="J93" i="10"/>
  <c r="K93" i="10" s="1"/>
  <c r="G93" i="10"/>
  <c r="D93" i="10"/>
  <c r="C93" i="10"/>
  <c r="B93" i="10"/>
  <c r="K92" i="10"/>
  <c r="J92" i="10"/>
  <c r="G92" i="10"/>
  <c r="D92" i="10"/>
  <c r="C92" i="10"/>
  <c r="B92" i="10"/>
  <c r="K91" i="10"/>
  <c r="J91" i="10"/>
  <c r="G91" i="10"/>
  <c r="D91" i="10"/>
  <c r="C91" i="10"/>
  <c r="B91" i="10"/>
  <c r="K90" i="10"/>
  <c r="J90" i="10"/>
  <c r="G90" i="10"/>
  <c r="D90" i="10"/>
  <c r="C90" i="10"/>
  <c r="B90" i="10"/>
  <c r="J89" i="10"/>
  <c r="K89" i="10" s="1"/>
  <c r="G89" i="10"/>
  <c r="D89" i="10"/>
  <c r="C89" i="10"/>
  <c r="B89" i="10"/>
  <c r="K88" i="10"/>
  <c r="J88" i="10"/>
  <c r="G88" i="10"/>
  <c r="D88" i="10"/>
  <c r="C88" i="10"/>
  <c r="B88" i="10"/>
  <c r="J87" i="10"/>
  <c r="K87" i="10" s="1"/>
  <c r="G87" i="10"/>
  <c r="D87" i="10"/>
  <c r="C87" i="10"/>
  <c r="B87" i="10"/>
  <c r="K86" i="10"/>
  <c r="J86" i="10"/>
  <c r="G86" i="10"/>
  <c r="D86" i="10"/>
  <c r="C86" i="10"/>
  <c r="B86" i="10"/>
  <c r="J85" i="10"/>
  <c r="K85" i="10" s="1"/>
  <c r="G85" i="10"/>
  <c r="D85" i="10"/>
  <c r="C85" i="10"/>
  <c r="B85" i="10"/>
  <c r="K84" i="10"/>
  <c r="J84" i="10"/>
  <c r="G84" i="10"/>
  <c r="D84" i="10"/>
  <c r="C84" i="10"/>
  <c r="B84" i="10"/>
  <c r="K83" i="10"/>
  <c r="J83" i="10"/>
  <c r="G83" i="10"/>
  <c r="D83" i="10"/>
  <c r="C83" i="10"/>
  <c r="B83" i="10"/>
  <c r="J82" i="10"/>
  <c r="K82" i="10" s="1"/>
  <c r="G82" i="10"/>
  <c r="D82" i="10"/>
  <c r="C82" i="10"/>
  <c r="B82" i="10"/>
  <c r="J81" i="10"/>
  <c r="K81" i="10" s="1"/>
  <c r="G81" i="10"/>
  <c r="D81" i="10"/>
  <c r="C81" i="10"/>
  <c r="B81" i="10"/>
  <c r="J80" i="10"/>
  <c r="K80" i="10" s="1"/>
  <c r="G80" i="10"/>
  <c r="D80" i="10"/>
  <c r="C80" i="10"/>
  <c r="B80" i="10"/>
  <c r="K79" i="10"/>
  <c r="J79" i="10"/>
  <c r="G79" i="10"/>
  <c r="D79" i="10"/>
  <c r="C79" i="10"/>
  <c r="B79" i="10"/>
  <c r="J78" i="10"/>
  <c r="K78" i="10" s="1"/>
  <c r="G78" i="10"/>
  <c r="D78" i="10"/>
  <c r="C78" i="10"/>
  <c r="B78" i="10"/>
  <c r="J77" i="10"/>
  <c r="K77" i="10" s="1"/>
  <c r="G77" i="10"/>
  <c r="D77" i="10"/>
  <c r="C77" i="10"/>
  <c r="B77" i="10"/>
  <c r="K76" i="10"/>
  <c r="J76" i="10"/>
  <c r="G76" i="10"/>
  <c r="D76" i="10"/>
  <c r="C76" i="10"/>
  <c r="B76" i="10"/>
  <c r="J75" i="10"/>
  <c r="K75" i="10" s="1"/>
  <c r="G75" i="10"/>
  <c r="D75" i="10"/>
  <c r="C75" i="10"/>
  <c r="B75" i="10"/>
  <c r="K74" i="10"/>
  <c r="J74" i="10"/>
  <c r="G74" i="10"/>
  <c r="D74" i="10"/>
  <c r="C74" i="10"/>
  <c r="B74" i="10"/>
  <c r="J73" i="10"/>
  <c r="K73" i="10" s="1"/>
  <c r="G73" i="10"/>
  <c r="D73" i="10"/>
  <c r="C73" i="10"/>
  <c r="B73" i="10"/>
  <c r="K72" i="10"/>
  <c r="J72" i="10"/>
  <c r="G72" i="10"/>
  <c r="D72" i="10"/>
  <c r="C72" i="10"/>
  <c r="B72" i="10"/>
  <c r="J71" i="10"/>
  <c r="K71" i="10" s="1"/>
  <c r="G71" i="10"/>
  <c r="D71" i="10"/>
  <c r="C71" i="10"/>
  <c r="B71" i="10"/>
  <c r="K70" i="10"/>
  <c r="J70" i="10"/>
  <c r="G70" i="10"/>
  <c r="D70" i="10"/>
  <c r="C70" i="10"/>
  <c r="B70" i="10"/>
  <c r="J69" i="10"/>
  <c r="K69" i="10" s="1"/>
  <c r="G69" i="10"/>
  <c r="D69" i="10"/>
  <c r="C69" i="10"/>
  <c r="B69" i="10"/>
  <c r="J68" i="10"/>
  <c r="K68" i="10" s="1"/>
  <c r="G68" i="10"/>
  <c r="D68" i="10"/>
  <c r="C68" i="10"/>
  <c r="B68" i="10"/>
  <c r="K67" i="10"/>
  <c r="J67" i="10"/>
  <c r="G67" i="10"/>
  <c r="D67" i="10"/>
  <c r="C67" i="10"/>
  <c r="B67" i="10"/>
  <c r="K66" i="10"/>
  <c r="J66" i="10"/>
  <c r="G66" i="10"/>
  <c r="D66" i="10"/>
  <c r="C66" i="10"/>
  <c r="B66" i="10"/>
  <c r="J65" i="10"/>
  <c r="K65" i="10" s="1"/>
  <c r="G65" i="10"/>
  <c r="D65" i="10"/>
  <c r="C65" i="10"/>
  <c r="B65" i="10"/>
  <c r="J64" i="10"/>
  <c r="K64" i="10" s="1"/>
  <c r="G64" i="10"/>
  <c r="D64" i="10"/>
  <c r="C64" i="10"/>
  <c r="B64" i="10"/>
  <c r="K63" i="10"/>
  <c r="J63" i="10"/>
  <c r="G63" i="10"/>
  <c r="D63" i="10"/>
  <c r="C63" i="10"/>
  <c r="B63" i="10"/>
  <c r="J62" i="10"/>
  <c r="K62" i="10" s="1"/>
  <c r="G62" i="10"/>
  <c r="D62" i="10"/>
  <c r="C62" i="10"/>
  <c r="B62" i="10"/>
  <c r="J61" i="10"/>
  <c r="K61" i="10" s="1"/>
  <c r="G61" i="10"/>
  <c r="D61" i="10"/>
  <c r="C61" i="10"/>
  <c r="B61" i="10"/>
  <c r="K60" i="10"/>
  <c r="J60" i="10"/>
  <c r="G60" i="10"/>
  <c r="D60" i="10"/>
  <c r="C60" i="10"/>
  <c r="B60" i="10"/>
  <c r="K59" i="10"/>
  <c r="J59" i="10"/>
  <c r="G59" i="10"/>
  <c r="D59" i="10"/>
  <c r="C59" i="10"/>
  <c r="B59" i="10"/>
  <c r="K58" i="10"/>
  <c r="J58" i="10"/>
  <c r="G58" i="10"/>
  <c r="D58" i="10"/>
  <c r="C58" i="10"/>
  <c r="B58" i="10"/>
  <c r="J57" i="10"/>
  <c r="K57" i="10" s="1"/>
  <c r="G57" i="10"/>
  <c r="D57" i="10"/>
  <c r="C57" i="10"/>
  <c r="B57" i="10"/>
  <c r="K56" i="10"/>
  <c r="J56" i="10"/>
  <c r="G56" i="10"/>
  <c r="D56" i="10"/>
  <c r="C56" i="10"/>
  <c r="B56" i="10"/>
  <c r="J55" i="10"/>
  <c r="K55" i="10" s="1"/>
  <c r="G55" i="10"/>
  <c r="D55" i="10"/>
  <c r="C55" i="10"/>
  <c r="B55" i="10"/>
  <c r="J54" i="10"/>
  <c r="K54" i="10" s="1"/>
  <c r="G54" i="10"/>
  <c r="D54" i="10"/>
  <c r="C54" i="10"/>
  <c r="B54" i="10"/>
  <c r="J53" i="10"/>
  <c r="K53" i="10" s="1"/>
  <c r="G53" i="10"/>
  <c r="D53" i="10"/>
  <c r="C53" i="10"/>
  <c r="B53" i="10"/>
  <c r="K52" i="10"/>
  <c r="J52" i="10"/>
  <c r="G52" i="10"/>
  <c r="D52" i="10"/>
  <c r="C52" i="10"/>
  <c r="B52" i="10"/>
  <c r="K51" i="10"/>
  <c r="J51" i="10"/>
  <c r="G51" i="10"/>
  <c r="D51" i="10"/>
  <c r="C51" i="10"/>
  <c r="B51" i="10"/>
  <c r="J50" i="10"/>
  <c r="K50" i="10" s="1"/>
  <c r="G50" i="10"/>
  <c r="D50" i="10"/>
  <c r="C50" i="10"/>
  <c r="B50" i="10"/>
  <c r="J49" i="10"/>
  <c r="K49" i="10" s="1"/>
  <c r="G49" i="10"/>
  <c r="D49" i="10"/>
  <c r="C49" i="10"/>
  <c r="B49" i="10"/>
  <c r="J48" i="10"/>
  <c r="K48" i="10" s="1"/>
  <c r="G48" i="10"/>
  <c r="D48" i="10"/>
  <c r="C48" i="10"/>
  <c r="B48" i="10"/>
  <c r="J47" i="10"/>
  <c r="K47" i="10" s="1"/>
  <c r="G47" i="10"/>
  <c r="D47" i="10"/>
  <c r="C47" i="10"/>
  <c r="B47" i="10"/>
  <c r="J46" i="10"/>
  <c r="K46" i="10" s="1"/>
  <c r="G46" i="10"/>
  <c r="D46" i="10"/>
  <c r="C46" i="10"/>
  <c r="B46" i="10"/>
  <c r="J45" i="10"/>
  <c r="K45" i="10" s="1"/>
  <c r="G45" i="10"/>
  <c r="D45" i="10"/>
  <c r="C45" i="10"/>
  <c r="B45" i="10"/>
  <c r="K44" i="10"/>
  <c r="J44" i="10"/>
  <c r="G44" i="10"/>
  <c r="D44" i="10"/>
  <c r="C44" i="10"/>
  <c r="B44" i="10"/>
  <c r="J43" i="10"/>
  <c r="K43" i="10" s="1"/>
  <c r="G43" i="10"/>
  <c r="D43" i="10"/>
  <c r="C43" i="10"/>
  <c r="B43" i="10"/>
  <c r="K42" i="10"/>
  <c r="J42" i="10"/>
  <c r="G42" i="10"/>
  <c r="D42" i="10"/>
  <c r="C42" i="10"/>
  <c r="B42" i="10"/>
  <c r="J41" i="10"/>
  <c r="K41" i="10" s="1"/>
  <c r="G41" i="10"/>
  <c r="D41" i="10"/>
  <c r="C41" i="10"/>
  <c r="B41" i="10"/>
  <c r="J40" i="10"/>
  <c r="K40" i="10" s="1"/>
  <c r="G40" i="10"/>
  <c r="D40" i="10"/>
  <c r="C40" i="10"/>
  <c r="B40" i="10"/>
  <c r="J39" i="10"/>
  <c r="K39" i="10" s="1"/>
  <c r="G39" i="10"/>
  <c r="D39" i="10"/>
  <c r="C39" i="10"/>
  <c r="B39" i="10"/>
  <c r="K38" i="10"/>
  <c r="J38" i="10"/>
  <c r="G38" i="10"/>
  <c r="D38" i="10"/>
  <c r="C38" i="10"/>
  <c r="B38" i="10"/>
  <c r="J37" i="10"/>
  <c r="K37" i="10" s="1"/>
  <c r="G37" i="10"/>
  <c r="D37" i="10"/>
  <c r="C37" i="10"/>
  <c r="B37" i="10"/>
  <c r="J36" i="10"/>
  <c r="K36" i="10" s="1"/>
  <c r="G36" i="10"/>
  <c r="D36" i="10"/>
  <c r="C36" i="10"/>
  <c r="B36" i="10"/>
  <c r="K35" i="10"/>
  <c r="J35" i="10"/>
  <c r="G35" i="10"/>
  <c r="D35" i="10"/>
  <c r="C35" i="10"/>
  <c r="B35" i="10"/>
  <c r="K34" i="10"/>
  <c r="J34" i="10"/>
  <c r="G34" i="10"/>
  <c r="D34" i="10"/>
  <c r="C34" i="10"/>
  <c r="B34" i="10"/>
  <c r="J33" i="10"/>
  <c r="K33" i="10" s="1"/>
  <c r="G33" i="10"/>
  <c r="D33" i="10"/>
  <c r="C33" i="10"/>
  <c r="B33" i="10"/>
  <c r="J32" i="10"/>
  <c r="K32" i="10" s="1"/>
  <c r="G32" i="10"/>
  <c r="D32" i="10"/>
  <c r="C32" i="10"/>
  <c r="B32" i="10"/>
  <c r="K31" i="10"/>
  <c r="J31" i="10"/>
  <c r="G31" i="10"/>
  <c r="D31" i="10"/>
  <c r="C31" i="10"/>
  <c r="B31" i="10"/>
  <c r="J30" i="10"/>
  <c r="K30" i="10" s="1"/>
  <c r="G30" i="10"/>
  <c r="D30" i="10"/>
  <c r="C30" i="10"/>
  <c r="B30" i="10"/>
  <c r="J29" i="10"/>
  <c r="K29" i="10" s="1"/>
  <c r="G29" i="10"/>
  <c r="D29" i="10"/>
  <c r="C29" i="10"/>
  <c r="B29" i="10"/>
  <c r="K28" i="10"/>
  <c r="J28" i="10"/>
  <c r="G28" i="10"/>
  <c r="D28" i="10"/>
  <c r="C28" i="10"/>
  <c r="B28" i="10"/>
  <c r="K27" i="10"/>
  <c r="J27" i="10"/>
  <c r="G27" i="10"/>
  <c r="D27" i="10"/>
  <c r="C27" i="10"/>
  <c r="B27" i="10"/>
  <c r="K26" i="10"/>
  <c r="J26" i="10"/>
  <c r="G26" i="10"/>
  <c r="D26" i="10"/>
  <c r="C26" i="10"/>
  <c r="B26" i="10"/>
  <c r="J25" i="10"/>
  <c r="K25" i="10" s="1"/>
  <c r="G25" i="10"/>
  <c r="D25" i="10"/>
  <c r="C25" i="10"/>
  <c r="B25" i="10"/>
  <c r="K24" i="10"/>
  <c r="J24" i="10"/>
  <c r="G24" i="10"/>
  <c r="D24" i="10"/>
  <c r="C24" i="10"/>
  <c r="B24" i="10"/>
  <c r="J23" i="10"/>
  <c r="K23" i="10" s="1"/>
  <c r="G23" i="10"/>
  <c r="D23" i="10"/>
  <c r="C23" i="10"/>
  <c r="B23" i="10"/>
  <c r="J22" i="10"/>
  <c r="K22" i="10" s="1"/>
  <c r="G22" i="10"/>
  <c r="D22" i="10"/>
  <c r="C22" i="10"/>
  <c r="B22" i="10"/>
  <c r="J21" i="10"/>
  <c r="K21" i="10" s="1"/>
  <c r="G21" i="10"/>
  <c r="D21" i="10"/>
  <c r="C21" i="10"/>
  <c r="B21" i="10"/>
  <c r="K20" i="10"/>
  <c r="J20" i="10"/>
  <c r="G20" i="10"/>
  <c r="D20" i="10"/>
  <c r="C20" i="10"/>
  <c r="B20" i="10"/>
  <c r="K19" i="10"/>
  <c r="J19" i="10"/>
  <c r="G19" i="10"/>
  <c r="D19" i="10"/>
  <c r="C19" i="10"/>
  <c r="B19" i="10"/>
  <c r="J18" i="10"/>
  <c r="K18" i="10" s="1"/>
  <c r="G18" i="10"/>
  <c r="D18" i="10"/>
  <c r="C18" i="10"/>
  <c r="B18" i="10"/>
  <c r="J17" i="10"/>
  <c r="K17" i="10" s="1"/>
  <c r="G17" i="10"/>
  <c r="D17" i="10"/>
  <c r="C17" i="10"/>
  <c r="B17" i="10"/>
  <c r="J16" i="10"/>
  <c r="K16" i="10" s="1"/>
  <c r="G16" i="10"/>
  <c r="D16" i="10"/>
  <c r="C16" i="10"/>
  <c r="B16" i="10"/>
  <c r="J15" i="10"/>
  <c r="K15" i="10" s="1"/>
  <c r="G15" i="10"/>
  <c r="D15" i="10"/>
  <c r="C15" i="10"/>
  <c r="B15" i="10"/>
  <c r="J14" i="10"/>
  <c r="K14" i="10" s="1"/>
  <c r="G14" i="10"/>
  <c r="D14" i="10"/>
  <c r="C14" i="10"/>
  <c r="B14" i="10"/>
  <c r="K13" i="10"/>
  <c r="J13" i="10"/>
  <c r="G13" i="10"/>
  <c r="D13" i="10"/>
  <c r="C13" i="10"/>
  <c r="B13" i="10"/>
  <c r="J12" i="10"/>
  <c r="K12" i="10" s="1"/>
  <c r="G12" i="10"/>
  <c r="D12" i="10"/>
  <c r="C12" i="10"/>
  <c r="B12" i="10"/>
  <c r="J11" i="10"/>
  <c r="K11" i="10" s="1"/>
  <c r="G11" i="10"/>
  <c r="D11" i="10"/>
  <c r="C11" i="10"/>
  <c r="B11" i="10"/>
  <c r="J10" i="10"/>
  <c r="K10" i="10" s="1"/>
  <c r="G10" i="10"/>
  <c r="D10" i="10"/>
  <c r="C10" i="10"/>
  <c r="B10" i="10"/>
  <c r="K9" i="10"/>
  <c r="J9" i="10"/>
  <c r="G9" i="10"/>
  <c r="D9" i="10"/>
  <c r="C9" i="10"/>
  <c r="B9" i="10"/>
  <c r="K4" i="10"/>
  <c r="G4" i="10"/>
  <c r="D4" i="10"/>
  <c r="A4" i="10"/>
  <c r="I208" i="9"/>
  <c r="J208" i="9" s="1"/>
  <c r="F208" i="9"/>
  <c r="D208" i="9"/>
  <c r="C208" i="9"/>
  <c r="B208" i="9"/>
  <c r="J207" i="9"/>
  <c r="I207" i="9"/>
  <c r="F207" i="9"/>
  <c r="D207" i="9"/>
  <c r="C207" i="9"/>
  <c r="B207" i="9"/>
  <c r="I206" i="9"/>
  <c r="J206" i="9" s="1"/>
  <c r="F206" i="9"/>
  <c r="D206" i="9"/>
  <c r="C206" i="9"/>
  <c r="B206" i="9"/>
  <c r="I205" i="9"/>
  <c r="J205" i="9" s="1"/>
  <c r="F205" i="9"/>
  <c r="D205" i="9"/>
  <c r="C205" i="9"/>
  <c r="B205" i="9"/>
  <c r="I204" i="9"/>
  <c r="J204" i="9" s="1"/>
  <c r="F204" i="9"/>
  <c r="D204" i="9"/>
  <c r="C204" i="9"/>
  <c r="B204" i="9"/>
  <c r="J203" i="9"/>
  <c r="I203" i="9"/>
  <c r="F203" i="9"/>
  <c r="D203" i="9"/>
  <c r="C203" i="9"/>
  <c r="B203" i="9"/>
  <c r="I202" i="9"/>
  <c r="J202" i="9" s="1"/>
  <c r="F202" i="9"/>
  <c r="D202" i="9"/>
  <c r="C202" i="9"/>
  <c r="B202" i="9"/>
  <c r="I201" i="9"/>
  <c r="J201" i="9" s="1"/>
  <c r="F201" i="9"/>
  <c r="D201" i="9"/>
  <c r="C201" i="9"/>
  <c r="B201" i="9"/>
  <c r="I200" i="9"/>
  <c r="J200" i="9" s="1"/>
  <c r="F200" i="9"/>
  <c r="D200" i="9"/>
  <c r="C200" i="9"/>
  <c r="B200" i="9"/>
  <c r="J199" i="9"/>
  <c r="I199" i="9"/>
  <c r="F199" i="9"/>
  <c r="D199" i="9"/>
  <c r="C199" i="9"/>
  <c r="B199" i="9"/>
  <c r="I198" i="9"/>
  <c r="J198" i="9" s="1"/>
  <c r="F198" i="9"/>
  <c r="D198" i="9"/>
  <c r="C198" i="9"/>
  <c r="B198" i="9"/>
  <c r="I197" i="9"/>
  <c r="J197" i="9" s="1"/>
  <c r="F197" i="9"/>
  <c r="D197" i="9"/>
  <c r="C197" i="9"/>
  <c r="B197" i="9"/>
  <c r="I196" i="9"/>
  <c r="J196" i="9" s="1"/>
  <c r="F196" i="9"/>
  <c r="D196" i="9"/>
  <c r="C196" i="9"/>
  <c r="B196" i="9"/>
  <c r="J195" i="9"/>
  <c r="I195" i="9"/>
  <c r="F195" i="9"/>
  <c r="D195" i="9"/>
  <c r="C195" i="9"/>
  <c r="B195" i="9"/>
  <c r="I194" i="9"/>
  <c r="J194" i="9" s="1"/>
  <c r="F194" i="9"/>
  <c r="D194" i="9"/>
  <c r="C194" i="9"/>
  <c r="B194" i="9"/>
  <c r="I193" i="9"/>
  <c r="J193" i="9" s="1"/>
  <c r="F193" i="9"/>
  <c r="D193" i="9"/>
  <c r="C193" i="9"/>
  <c r="B193" i="9"/>
  <c r="I192" i="9"/>
  <c r="J192" i="9" s="1"/>
  <c r="F192" i="9"/>
  <c r="D192" i="9"/>
  <c r="C192" i="9"/>
  <c r="B192" i="9"/>
  <c r="J191" i="9"/>
  <c r="I191" i="9"/>
  <c r="F191" i="9"/>
  <c r="D191" i="9"/>
  <c r="C191" i="9"/>
  <c r="B191" i="9"/>
  <c r="I190" i="9"/>
  <c r="J190" i="9" s="1"/>
  <c r="F190" i="9"/>
  <c r="D190" i="9"/>
  <c r="C190" i="9"/>
  <c r="B190" i="9"/>
  <c r="I189" i="9"/>
  <c r="J189" i="9" s="1"/>
  <c r="F189" i="9"/>
  <c r="D189" i="9"/>
  <c r="C189" i="9"/>
  <c r="B189" i="9"/>
  <c r="I188" i="9"/>
  <c r="J188" i="9" s="1"/>
  <c r="F188" i="9"/>
  <c r="D188" i="9"/>
  <c r="C188" i="9"/>
  <c r="B188" i="9"/>
  <c r="J187" i="9"/>
  <c r="I187" i="9"/>
  <c r="F187" i="9"/>
  <c r="D187" i="9"/>
  <c r="C187" i="9"/>
  <c r="B187" i="9"/>
  <c r="I186" i="9"/>
  <c r="J186" i="9" s="1"/>
  <c r="F186" i="9"/>
  <c r="D186" i="9"/>
  <c r="C186" i="9"/>
  <c r="B186" i="9"/>
  <c r="I185" i="9"/>
  <c r="J185" i="9" s="1"/>
  <c r="F185" i="9"/>
  <c r="D185" i="9"/>
  <c r="C185" i="9"/>
  <c r="B185" i="9"/>
  <c r="I184" i="9"/>
  <c r="J184" i="9" s="1"/>
  <c r="F184" i="9"/>
  <c r="D184" i="9"/>
  <c r="C184" i="9"/>
  <c r="B184" i="9"/>
  <c r="J183" i="9"/>
  <c r="I183" i="9"/>
  <c r="F183" i="9"/>
  <c r="D183" i="9"/>
  <c r="C183" i="9"/>
  <c r="B183" i="9"/>
  <c r="I182" i="9"/>
  <c r="J182" i="9" s="1"/>
  <c r="F182" i="9"/>
  <c r="D182" i="9"/>
  <c r="C182" i="9"/>
  <c r="B182" i="9"/>
  <c r="I181" i="9"/>
  <c r="J181" i="9" s="1"/>
  <c r="F181" i="9"/>
  <c r="D181" i="9"/>
  <c r="C181" i="9"/>
  <c r="B181" i="9"/>
  <c r="I180" i="9"/>
  <c r="J180" i="9" s="1"/>
  <c r="F180" i="9"/>
  <c r="D180" i="9"/>
  <c r="C180" i="9"/>
  <c r="B180" i="9"/>
  <c r="J179" i="9"/>
  <c r="I179" i="9"/>
  <c r="F179" i="9"/>
  <c r="D179" i="9"/>
  <c r="C179" i="9"/>
  <c r="B179" i="9"/>
  <c r="I178" i="9"/>
  <c r="J178" i="9" s="1"/>
  <c r="F178" i="9"/>
  <c r="D178" i="9"/>
  <c r="C178" i="9"/>
  <c r="B178" i="9"/>
  <c r="I177" i="9"/>
  <c r="J177" i="9" s="1"/>
  <c r="F177" i="9"/>
  <c r="D177" i="9"/>
  <c r="C177" i="9"/>
  <c r="B177" i="9"/>
  <c r="I176" i="9"/>
  <c r="J176" i="9" s="1"/>
  <c r="F176" i="9"/>
  <c r="D176" i="9"/>
  <c r="C176" i="9"/>
  <c r="B176" i="9"/>
  <c r="J175" i="9"/>
  <c r="I175" i="9"/>
  <c r="F175" i="9"/>
  <c r="D175" i="9"/>
  <c r="C175" i="9"/>
  <c r="B175" i="9"/>
  <c r="I174" i="9"/>
  <c r="J174" i="9" s="1"/>
  <c r="F174" i="9"/>
  <c r="D174" i="9"/>
  <c r="C174" i="9"/>
  <c r="B174" i="9"/>
  <c r="I173" i="9"/>
  <c r="J173" i="9" s="1"/>
  <c r="F173" i="9"/>
  <c r="D173" i="9"/>
  <c r="C173" i="9"/>
  <c r="B173" i="9"/>
  <c r="I172" i="9"/>
  <c r="J172" i="9" s="1"/>
  <c r="F172" i="9"/>
  <c r="D172" i="9"/>
  <c r="C172" i="9"/>
  <c r="B172" i="9"/>
  <c r="J171" i="9"/>
  <c r="I171" i="9"/>
  <c r="F171" i="9"/>
  <c r="D171" i="9"/>
  <c r="C171" i="9"/>
  <c r="B171" i="9"/>
  <c r="I170" i="9"/>
  <c r="J170" i="9" s="1"/>
  <c r="F170" i="9"/>
  <c r="D170" i="9"/>
  <c r="C170" i="9"/>
  <c r="B170" i="9"/>
  <c r="I169" i="9"/>
  <c r="J169" i="9" s="1"/>
  <c r="F169" i="9"/>
  <c r="D169" i="9"/>
  <c r="C169" i="9"/>
  <c r="B169" i="9"/>
  <c r="I168" i="9"/>
  <c r="J168" i="9" s="1"/>
  <c r="F168" i="9"/>
  <c r="D168" i="9"/>
  <c r="C168" i="9"/>
  <c r="B168" i="9"/>
  <c r="J167" i="9"/>
  <c r="I167" i="9"/>
  <c r="F167" i="9"/>
  <c r="D167" i="9"/>
  <c r="C167" i="9"/>
  <c r="B167" i="9"/>
  <c r="I166" i="9"/>
  <c r="J166" i="9" s="1"/>
  <c r="F166" i="9"/>
  <c r="D166" i="9"/>
  <c r="C166" i="9"/>
  <c r="B166" i="9"/>
  <c r="I165" i="9"/>
  <c r="J165" i="9" s="1"/>
  <c r="F165" i="9"/>
  <c r="D165" i="9"/>
  <c r="C165" i="9"/>
  <c r="B165" i="9"/>
  <c r="I164" i="9"/>
  <c r="J164" i="9" s="1"/>
  <c r="F164" i="9"/>
  <c r="D164" i="9"/>
  <c r="C164" i="9"/>
  <c r="B164" i="9"/>
  <c r="J163" i="9"/>
  <c r="I163" i="9"/>
  <c r="F163" i="9"/>
  <c r="D163" i="9"/>
  <c r="C163" i="9"/>
  <c r="B163" i="9"/>
  <c r="I162" i="9"/>
  <c r="J162" i="9" s="1"/>
  <c r="F162" i="9"/>
  <c r="D162" i="9"/>
  <c r="C162" i="9"/>
  <c r="B162" i="9"/>
  <c r="I161" i="9"/>
  <c r="J161" i="9" s="1"/>
  <c r="F161" i="9"/>
  <c r="D161" i="9"/>
  <c r="C161" i="9"/>
  <c r="B161" i="9"/>
  <c r="I160" i="9"/>
  <c r="J160" i="9" s="1"/>
  <c r="F160" i="9"/>
  <c r="D160" i="9"/>
  <c r="C160" i="9"/>
  <c r="B160" i="9"/>
  <c r="J159" i="9"/>
  <c r="I159" i="9"/>
  <c r="F159" i="9"/>
  <c r="D159" i="9"/>
  <c r="C159" i="9"/>
  <c r="B159" i="9"/>
  <c r="I158" i="9"/>
  <c r="J158" i="9" s="1"/>
  <c r="F158" i="9"/>
  <c r="D158" i="9"/>
  <c r="C158" i="9"/>
  <c r="B158" i="9"/>
  <c r="I157" i="9"/>
  <c r="J157" i="9" s="1"/>
  <c r="F157" i="9"/>
  <c r="D157" i="9"/>
  <c r="C157" i="9"/>
  <c r="B157" i="9"/>
  <c r="I156" i="9"/>
  <c r="J156" i="9" s="1"/>
  <c r="F156" i="9"/>
  <c r="D156" i="9"/>
  <c r="C156" i="9"/>
  <c r="B156" i="9"/>
  <c r="J155" i="9"/>
  <c r="I155" i="9"/>
  <c r="F155" i="9"/>
  <c r="D155" i="9"/>
  <c r="C155" i="9"/>
  <c r="B155" i="9"/>
  <c r="I154" i="9"/>
  <c r="J154" i="9" s="1"/>
  <c r="F154" i="9"/>
  <c r="D154" i="9"/>
  <c r="C154" i="9"/>
  <c r="B154" i="9"/>
  <c r="I153" i="9"/>
  <c r="J153" i="9" s="1"/>
  <c r="F153" i="9"/>
  <c r="D153" i="9"/>
  <c r="C153" i="9"/>
  <c r="B153" i="9"/>
  <c r="I152" i="9"/>
  <c r="J152" i="9" s="1"/>
  <c r="F152" i="9"/>
  <c r="D152" i="9"/>
  <c r="C152" i="9"/>
  <c r="B152" i="9"/>
  <c r="J151" i="9"/>
  <c r="I151" i="9"/>
  <c r="F151" i="9"/>
  <c r="D151" i="9"/>
  <c r="C151" i="9"/>
  <c r="B151" i="9"/>
  <c r="I150" i="9"/>
  <c r="J150" i="9" s="1"/>
  <c r="F150" i="9"/>
  <c r="D150" i="9"/>
  <c r="C150" i="9"/>
  <c r="B150" i="9"/>
  <c r="I149" i="9"/>
  <c r="J149" i="9" s="1"/>
  <c r="F149" i="9"/>
  <c r="D149" i="9"/>
  <c r="C149" i="9"/>
  <c r="B149" i="9"/>
  <c r="I148" i="9"/>
  <c r="J148" i="9" s="1"/>
  <c r="F148" i="9"/>
  <c r="D148" i="9"/>
  <c r="C148" i="9"/>
  <c r="B148" i="9"/>
  <c r="J147" i="9"/>
  <c r="I147" i="9"/>
  <c r="F147" i="9"/>
  <c r="D147" i="9"/>
  <c r="C147" i="9"/>
  <c r="B147" i="9"/>
  <c r="I146" i="9"/>
  <c r="J146" i="9" s="1"/>
  <c r="F146" i="9"/>
  <c r="D146" i="9"/>
  <c r="C146" i="9"/>
  <c r="B146" i="9"/>
  <c r="I145" i="9"/>
  <c r="J145" i="9" s="1"/>
  <c r="F145" i="9"/>
  <c r="D145" i="9"/>
  <c r="C145" i="9"/>
  <c r="B145" i="9"/>
  <c r="I144" i="9"/>
  <c r="J144" i="9" s="1"/>
  <c r="F144" i="9"/>
  <c r="D144" i="9"/>
  <c r="C144" i="9"/>
  <c r="B144" i="9"/>
  <c r="J143" i="9"/>
  <c r="I143" i="9"/>
  <c r="F143" i="9"/>
  <c r="D143" i="9"/>
  <c r="C143" i="9"/>
  <c r="B143" i="9"/>
  <c r="I142" i="9"/>
  <c r="J142" i="9" s="1"/>
  <c r="F142" i="9"/>
  <c r="D142" i="9"/>
  <c r="C142" i="9"/>
  <c r="B142" i="9"/>
  <c r="I141" i="9"/>
  <c r="J141" i="9" s="1"/>
  <c r="F141" i="9"/>
  <c r="D141" i="9"/>
  <c r="C141" i="9"/>
  <c r="B141" i="9"/>
  <c r="I140" i="9"/>
  <c r="J140" i="9" s="1"/>
  <c r="F140" i="9"/>
  <c r="D140" i="9"/>
  <c r="C140" i="9"/>
  <c r="B140" i="9"/>
  <c r="J139" i="9"/>
  <c r="I139" i="9"/>
  <c r="F139" i="9"/>
  <c r="D139" i="9"/>
  <c r="C139" i="9"/>
  <c r="B139" i="9"/>
  <c r="I138" i="9"/>
  <c r="J138" i="9" s="1"/>
  <c r="F138" i="9"/>
  <c r="D138" i="9"/>
  <c r="C138" i="9"/>
  <c r="B138" i="9"/>
  <c r="I137" i="9"/>
  <c r="J137" i="9" s="1"/>
  <c r="F137" i="9"/>
  <c r="D137" i="9"/>
  <c r="C137" i="9"/>
  <c r="B137" i="9"/>
  <c r="I136" i="9"/>
  <c r="J136" i="9" s="1"/>
  <c r="F136" i="9"/>
  <c r="D136" i="9"/>
  <c r="C136" i="9"/>
  <c r="B136" i="9"/>
  <c r="J135" i="9"/>
  <c r="I135" i="9"/>
  <c r="F135" i="9"/>
  <c r="D135" i="9"/>
  <c r="C135" i="9"/>
  <c r="B135" i="9"/>
  <c r="I134" i="9"/>
  <c r="J134" i="9" s="1"/>
  <c r="F134" i="9"/>
  <c r="D134" i="9"/>
  <c r="C134" i="9"/>
  <c r="B134" i="9"/>
  <c r="I133" i="9"/>
  <c r="J133" i="9" s="1"/>
  <c r="F133" i="9"/>
  <c r="D133" i="9"/>
  <c r="C133" i="9"/>
  <c r="B133" i="9"/>
  <c r="I132" i="9"/>
  <c r="J132" i="9" s="1"/>
  <c r="F132" i="9"/>
  <c r="D132" i="9"/>
  <c r="C132" i="9"/>
  <c r="B132" i="9"/>
  <c r="J131" i="9"/>
  <c r="I131" i="9"/>
  <c r="F131" i="9"/>
  <c r="D131" i="9"/>
  <c r="C131" i="9"/>
  <c r="B131" i="9"/>
  <c r="I130" i="9"/>
  <c r="J130" i="9" s="1"/>
  <c r="F130" i="9"/>
  <c r="D130" i="9"/>
  <c r="C130" i="9"/>
  <c r="B130" i="9"/>
  <c r="I129" i="9"/>
  <c r="J129" i="9" s="1"/>
  <c r="F129" i="9"/>
  <c r="D129" i="9"/>
  <c r="C129" i="9"/>
  <c r="B129" i="9"/>
  <c r="I128" i="9"/>
  <c r="J128" i="9" s="1"/>
  <c r="F128" i="9"/>
  <c r="D128" i="9"/>
  <c r="C128" i="9"/>
  <c r="B128" i="9"/>
  <c r="J127" i="9"/>
  <c r="I127" i="9"/>
  <c r="F127" i="9"/>
  <c r="D127" i="9"/>
  <c r="C127" i="9"/>
  <c r="B127" i="9"/>
  <c r="I126" i="9"/>
  <c r="J126" i="9" s="1"/>
  <c r="F126" i="9"/>
  <c r="D126" i="9"/>
  <c r="C126" i="9"/>
  <c r="B126" i="9"/>
  <c r="I125" i="9"/>
  <c r="J125" i="9" s="1"/>
  <c r="F125" i="9"/>
  <c r="D125" i="9"/>
  <c r="C125" i="9"/>
  <c r="B125" i="9"/>
  <c r="I124" i="9"/>
  <c r="J124" i="9" s="1"/>
  <c r="F124" i="9"/>
  <c r="D124" i="9"/>
  <c r="C124" i="9"/>
  <c r="B124" i="9"/>
  <c r="J123" i="9"/>
  <c r="I123" i="9"/>
  <c r="F123" i="9"/>
  <c r="D123" i="9"/>
  <c r="C123" i="9"/>
  <c r="B123" i="9"/>
  <c r="I122" i="9"/>
  <c r="J122" i="9" s="1"/>
  <c r="F122" i="9"/>
  <c r="D122" i="9"/>
  <c r="C122" i="9"/>
  <c r="B122" i="9"/>
  <c r="I121" i="9"/>
  <c r="J121" i="9" s="1"/>
  <c r="F121" i="9"/>
  <c r="D121" i="9"/>
  <c r="C121" i="9"/>
  <c r="B121" i="9"/>
  <c r="I120" i="9"/>
  <c r="J120" i="9" s="1"/>
  <c r="F120" i="9"/>
  <c r="D120" i="9"/>
  <c r="C120" i="9"/>
  <c r="B120" i="9"/>
  <c r="J119" i="9"/>
  <c r="I119" i="9"/>
  <c r="F119" i="9"/>
  <c r="D119" i="9"/>
  <c r="C119" i="9"/>
  <c r="B119" i="9"/>
  <c r="I118" i="9"/>
  <c r="J118" i="9" s="1"/>
  <c r="F118" i="9"/>
  <c r="D118" i="9"/>
  <c r="C118" i="9"/>
  <c r="B118" i="9"/>
  <c r="I117" i="9"/>
  <c r="J117" i="9" s="1"/>
  <c r="F117" i="9"/>
  <c r="D117" i="9"/>
  <c r="C117" i="9"/>
  <c r="B117" i="9"/>
  <c r="I116" i="9"/>
  <c r="J116" i="9" s="1"/>
  <c r="F116" i="9"/>
  <c r="D116" i="9"/>
  <c r="C116" i="9"/>
  <c r="B116" i="9"/>
  <c r="J115" i="9"/>
  <c r="I115" i="9"/>
  <c r="F115" i="9"/>
  <c r="D115" i="9"/>
  <c r="C115" i="9"/>
  <c r="B115" i="9"/>
  <c r="I114" i="9"/>
  <c r="J114" i="9" s="1"/>
  <c r="F114" i="9"/>
  <c r="D114" i="9"/>
  <c r="C114" i="9"/>
  <c r="B114" i="9"/>
  <c r="I113" i="9"/>
  <c r="J113" i="9" s="1"/>
  <c r="F113" i="9"/>
  <c r="D113" i="9"/>
  <c r="C113" i="9"/>
  <c r="B113" i="9"/>
  <c r="I112" i="9"/>
  <c r="J112" i="9" s="1"/>
  <c r="F112" i="9"/>
  <c r="D112" i="9"/>
  <c r="C112" i="9"/>
  <c r="B112" i="9"/>
  <c r="J111" i="9"/>
  <c r="I111" i="9"/>
  <c r="F111" i="9"/>
  <c r="D111" i="9"/>
  <c r="C111" i="9"/>
  <c r="B111" i="9"/>
  <c r="I110" i="9"/>
  <c r="J110" i="9" s="1"/>
  <c r="F110" i="9"/>
  <c r="D110" i="9"/>
  <c r="C110" i="9"/>
  <c r="B110" i="9"/>
  <c r="I109" i="9"/>
  <c r="J109" i="9" s="1"/>
  <c r="F109" i="9"/>
  <c r="D109" i="9"/>
  <c r="C109" i="9"/>
  <c r="B109" i="9"/>
  <c r="I108" i="9"/>
  <c r="J108" i="9" s="1"/>
  <c r="F108" i="9"/>
  <c r="D108" i="9"/>
  <c r="C108" i="9"/>
  <c r="B108" i="9"/>
  <c r="J107" i="9"/>
  <c r="I107" i="9"/>
  <c r="F107" i="9"/>
  <c r="D107" i="9"/>
  <c r="C107" i="9"/>
  <c r="B107" i="9"/>
  <c r="I106" i="9"/>
  <c r="J106" i="9" s="1"/>
  <c r="F106" i="9"/>
  <c r="D106" i="9"/>
  <c r="C106" i="9"/>
  <c r="B106" i="9"/>
  <c r="I105" i="9"/>
  <c r="J105" i="9" s="1"/>
  <c r="F105" i="9"/>
  <c r="D105" i="9"/>
  <c r="C105" i="9"/>
  <c r="B105" i="9"/>
  <c r="I104" i="9"/>
  <c r="J104" i="9" s="1"/>
  <c r="F104" i="9"/>
  <c r="D104" i="9"/>
  <c r="C104" i="9"/>
  <c r="B104" i="9"/>
  <c r="J103" i="9"/>
  <c r="I103" i="9"/>
  <c r="F103" i="9"/>
  <c r="D103" i="9"/>
  <c r="C103" i="9"/>
  <c r="B103" i="9"/>
  <c r="I102" i="9"/>
  <c r="J102" i="9" s="1"/>
  <c r="F102" i="9"/>
  <c r="D102" i="9"/>
  <c r="C102" i="9"/>
  <c r="B102" i="9"/>
  <c r="I101" i="9"/>
  <c r="J101" i="9" s="1"/>
  <c r="F101" i="9"/>
  <c r="D101" i="9"/>
  <c r="C101" i="9"/>
  <c r="B101" i="9"/>
  <c r="I100" i="9"/>
  <c r="J100" i="9" s="1"/>
  <c r="F100" i="9"/>
  <c r="D100" i="9"/>
  <c r="C100" i="9"/>
  <c r="B100" i="9"/>
  <c r="J99" i="9"/>
  <c r="I99" i="9"/>
  <c r="F99" i="9"/>
  <c r="D99" i="9"/>
  <c r="C99" i="9"/>
  <c r="B99" i="9"/>
  <c r="I98" i="9"/>
  <c r="J98" i="9" s="1"/>
  <c r="F98" i="9"/>
  <c r="D98" i="9"/>
  <c r="C98" i="9"/>
  <c r="B98" i="9"/>
  <c r="I97" i="9"/>
  <c r="J97" i="9" s="1"/>
  <c r="F97" i="9"/>
  <c r="D97" i="9"/>
  <c r="C97" i="9"/>
  <c r="B97" i="9"/>
  <c r="I96" i="9"/>
  <c r="J96" i="9" s="1"/>
  <c r="F96" i="9"/>
  <c r="D96" i="9"/>
  <c r="C96" i="9"/>
  <c r="B96" i="9"/>
  <c r="J95" i="9"/>
  <c r="I95" i="9"/>
  <c r="F95" i="9"/>
  <c r="D95" i="9"/>
  <c r="C95" i="9"/>
  <c r="B95" i="9"/>
  <c r="I94" i="9"/>
  <c r="J94" i="9" s="1"/>
  <c r="F94" i="9"/>
  <c r="D94" i="9"/>
  <c r="C94" i="9"/>
  <c r="B94" i="9"/>
  <c r="I93" i="9"/>
  <c r="J93" i="9" s="1"/>
  <c r="F93" i="9"/>
  <c r="D93" i="9"/>
  <c r="C93" i="9"/>
  <c r="B93" i="9"/>
  <c r="I92" i="9"/>
  <c r="J92" i="9" s="1"/>
  <c r="F92" i="9"/>
  <c r="D92" i="9"/>
  <c r="C92" i="9"/>
  <c r="B92" i="9"/>
  <c r="J91" i="9"/>
  <c r="I91" i="9"/>
  <c r="F91" i="9"/>
  <c r="D91" i="9"/>
  <c r="C91" i="9"/>
  <c r="B91" i="9"/>
  <c r="I90" i="9"/>
  <c r="J90" i="9" s="1"/>
  <c r="F90" i="9"/>
  <c r="D90" i="9"/>
  <c r="C90" i="9"/>
  <c r="B90" i="9"/>
  <c r="I89" i="9"/>
  <c r="J89" i="9" s="1"/>
  <c r="F89" i="9"/>
  <c r="D89" i="9"/>
  <c r="C89" i="9"/>
  <c r="B89" i="9"/>
  <c r="I88" i="9"/>
  <c r="J88" i="9" s="1"/>
  <c r="F88" i="9"/>
  <c r="D88" i="9"/>
  <c r="C88" i="9"/>
  <c r="B88" i="9"/>
  <c r="J87" i="9"/>
  <c r="I87" i="9"/>
  <c r="F87" i="9"/>
  <c r="D87" i="9"/>
  <c r="C87" i="9"/>
  <c r="B87" i="9"/>
  <c r="I86" i="9"/>
  <c r="J86" i="9" s="1"/>
  <c r="F86" i="9"/>
  <c r="D86" i="9"/>
  <c r="C86" i="9"/>
  <c r="B86" i="9"/>
  <c r="I85" i="9"/>
  <c r="J85" i="9" s="1"/>
  <c r="F85" i="9"/>
  <c r="D85" i="9"/>
  <c r="C85" i="9"/>
  <c r="B85" i="9"/>
  <c r="I84" i="9"/>
  <c r="J84" i="9" s="1"/>
  <c r="F84" i="9"/>
  <c r="D84" i="9"/>
  <c r="C84" i="9"/>
  <c r="B84" i="9"/>
  <c r="J83" i="9"/>
  <c r="I83" i="9"/>
  <c r="F83" i="9"/>
  <c r="D83" i="9"/>
  <c r="C83" i="9"/>
  <c r="B83" i="9"/>
  <c r="I82" i="9"/>
  <c r="J82" i="9" s="1"/>
  <c r="F82" i="9"/>
  <c r="D82" i="9"/>
  <c r="C82" i="9"/>
  <c r="B82" i="9"/>
  <c r="I81" i="9"/>
  <c r="J81" i="9" s="1"/>
  <c r="F81" i="9"/>
  <c r="D81" i="9"/>
  <c r="C81" i="9"/>
  <c r="B81" i="9"/>
  <c r="I80" i="9"/>
  <c r="J80" i="9" s="1"/>
  <c r="F80" i="9"/>
  <c r="D80" i="9"/>
  <c r="C80" i="9"/>
  <c r="B80" i="9"/>
  <c r="J79" i="9"/>
  <c r="I79" i="9"/>
  <c r="F79" i="9"/>
  <c r="D79" i="9"/>
  <c r="C79" i="9"/>
  <c r="B79" i="9"/>
  <c r="I78" i="9"/>
  <c r="J78" i="9" s="1"/>
  <c r="F78" i="9"/>
  <c r="D78" i="9"/>
  <c r="C78" i="9"/>
  <c r="B78" i="9"/>
  <c r="I77" i="9"/>
  <c r="J77" i="9" s="1"/>
  <c r="F77" i="9"/>
  <c r="D77" i="9"/>
  <c r="C77" i="9"/>
  <c r="B77" i="9"/>
  <c r="I76" i="9"/>
  <c r="J76" i="9" s="1"/>
  <c r="F76" i="9"/>
  <c r="D76" i="9"/>
  <c r="C76" i="9"/>
  <c r="B76" i="9"/>
  <c r="J75" i="9"/>
  <c r="I75" i="9"/>
  <c r="F75" i="9"/>
  <c r="D75" i="9"/>
  <c r="C75" i="9"/>
  <c r="B75" i="9"/>
  <c r="I74" i="9"/>
  <c r="J74" i="9" s="1"/>
  <c r="F74" i="9"/>
  <c r="D74" i="9"/>
  <c r="C74" i="9"/>
  <c r="B74" i="9"/>
  <c r="I73" i="9"/>
  <c r="J73" i="9" s="1"/>
  <c r="F73" i="9"/>
  <c r="D73" i="9"/>
  <c r="C73" i="9"/>
  <c r="B73" i="9"/>
  <c r="I72" i="9"/>
  <c r="J72" i="9" s="1"/>
  <c r="F72" i="9"/>
  <c r="D72" i="9"/>
  <c r="C72" i="9"/>
  <c r="B72" i="9"/>
  <c r="J71" i="9"/>
  <c r="I71" i="9"/>
  <c r="F71" i="9"/>
  <c r="D71" i="9"/>
  <c r="C71" i="9"/>
  <c r="B71" i="9"/>
  <c r="I70" i="9"/>
  <c r="J70" i="9" s="1"/>
  <c r="F70" i="9"/>
  <c r="D70" i="9"/>
  <c r="C70" i="9"/>
  <c r="B70" i="9"/>
  <c r="I69" i="9"/>
  <c r="J69" i="9" s="1"/>
  <c r="F69" i="9"/>
  <c r="D69" i="9"/>
  <c r="C69" i="9"/>
  <c r="B69" i="9"/>
  <c r="I68" i="9"/>
  <c r="J68" i="9" s="1"/>
  <c r="F68" i="9"/>
  <c r="D68" i="9"/>
  <c r="C68" i="9"/>
  <c r="B68" i="9"/>
  <c r="J67" i="9"/>
  <c r="I67" i="9"/>
  <c r="F67" i="9"/>
  <c r="D67" i="9"/>
  <c r="C67" i="9"/>
  <c r="B67" i="9"/>
  <c r="I66" i="9"/>
  <c r="J66" i="9" s="1"/>
  <c r="F66" i="9"/>
  <c r="D66" i="9"/>
  <c r="C66" i="9"/>
  <c r="B66" i="9"/>
  <c r="I65" i="9"/>
  <c r="J65" i="9" s="1"/>
  <c r="F65" i="9"/>
  <c r="D65" i="9"/>
  <c r="C65" i="9"/>
  <c r="B65" i="9"/>
  <c r="I64" i="9"/>
  <c r="J64" i="9" s="1"/>
  <c r="F64" i="9"/>
  <c r="D64" i="9"/>
  <c r="C64" i="9"/>
  <c r="B64" i="9"/>
  <c r="J63" i="9"/>
  <c r="I63" i="9"/>
  <c r="F63" i="9"/>
  <c r="D63" i="9"/>
  <c r="C63" i="9"/>
  <c r="B63" i="9"/>
  <c r="I62" i="9"/>
  <c r="J62" i="9" s="1"/>
  <c r="F62" i="9"/>
  <c r="D62" i="9"/>
  <c r="C62" i="9"/>
  <c r="B62" i="9"/>
  <c r="I61" i="9"/>
  <c r="J61" i="9" s="1"/>
  <c r="F61" i="9"/>
  <c r="D61" i="9"/>
  <c r="C61" i="9"/>
  <c r="B61" i="9"/>
  <c r="I60" i="9"/>
  <c r="J60" i="9" s="1"/>
  <c r="F60" i="9"/>
  <c r="D60" i="9"/>
  <c r="C60" i="9"/>
  <c r="B60" i="9"/>
  <c r="J59" i="9"/>
  <c r="I59" i="9"/>
  <c r="F59" i="9"/>
  <c r="D59" i="9"/>
  <c r="C59" i="9"/>
  <c r="B59" i="9"/>
  <c r="I58" i="9"/>
  <c r="J58" i="9" s="1"/>
  <c r="F58" i="9"/>
  <c r="D58" i="9"/>
  <c r="C58" i="9"/>
  <c r="B58" i="9"/>
  <c r="I57" i="9"/>
  <c r="J57" i="9" s="1"/>
  <c r="F57" i="9"/>
  <c r="D57" i="9"/>
  <c r="C57" i="9"/>
  <c r="B57" i="9"/>
  <c r="I56" i="9"/>
  <c r="J56" i="9" s="1"/>
  <c r="F56" i="9"/>
  <c r="D56" i="9"/>
  <c r="C56" i="9"/>
  <c r="B56" i="9"/>
  <c r="J55" i="9"/>
  <c r="I55" i="9"/>
  <c r="F55" i="9"/>
  <c r="D55" i="9"/>
  <c r="C55" i="9"/>
  <c r="B55" i="9"/>
  <c r="I54" i="9"/>
  <c r="J54" i="9" s="1"/>
  <c r="F54" i="9"/>
  <c r="D54" i="9"/>
  <c r="C54" i="9"/>
  <c r="B54" i="9"/>
  <c r="I53" i="9"/>
  <c r="J53" i="9" s="1"/>
  <c r="F53" i="9"/>
  <c r="D53" i="9"/>
  <c r="C53" i="9"/>
  <c r="B53" i="9"/>
  <c r="I52" i="9"/>
  <c r="J52" i="9" s="1"/>
  <c r="F52" i="9"/>
  <c r="D52" i="9"/>
  <c r="C52" i="9"/>
  <c r="B52" i="9"/>
  <c r="J51" i="9"/>
  <c r="I51" i="9"/>
  <c r="F51" i="9"/>
  <c r="D51" i="9"/>
  <c r="C51" i="9"/>
  <c r="B51" i="9"/>
  <c r="I50" i="9"/>
  <c r="J50" i="9" s="1"/>
  <c r="F50" i="9"/>
  <c r="D50" i="9"/>
  <c r="C50" i="9"/>
  <c r="B50" i="9"/>
  <c r="I49" i="9"/>
  <c r="J49" i="9" s="1"/>
  <c r="F49" i="9"/>
  <c r="D49" i="9"/>
  <c r="C49" i="9"/>
  <c r="B49" i="9"/>
  <c r="I48" i="9"/>
  <c r="J48" i="9" s="1"/>
  <c r="F48" i="9"/>
  <c r="D48" i="9"/>
  <c r="C48" i="9"/>
  <c r="B48" i="9"/>
  <c r="J47" i="9"/>
  <c r="I47" i="9"/>
  <c r="F47" i="9"/>
  <c r="D47" i="9"/>
  <c r="C47" i="9"/>
  <c r="B47" i="9"/>
  <c r="I46" i="9"/>
  <c r="J46" i="9" s="1"/>
  <c r="F46" i="9"/>
  <c r="D46" i="9"/>
  <c r="C46" i="9"/>
  <c r="B46" i="9"/>
  <c r="I45" i="9"/>
  <c r="J45" i="9" s="1"/>
  <c r="F45" i="9"/>
  <c r="D45" i="9"/>
  <c r="C45" i="9"/>
  <c r="B45" i="9"/>
  <c r="I44" i="9"/>
  <c r="J44" i="9" s="1"/>
  <c r="F44" i="9"/>
  <c r="D44" i="9"/>
  <c r="C44" i="9"/>
  <c r="B44" i="9"/>
  <c r="J43" i="9"/>
  <c r="I43" i="9"/>
  <c r="F43" i="9"/>
  <c r="D43" i="9"/>
  <c r="C43" i="9"/>
  <c r="B43" i="9"/>
  <c r="I42" i="9"/>
  <c r="J42" i="9" s="1"/>
  <c r="F42" i="9"/>
  <c r="D42" i="9"/>
  <c r="C42" i="9"/>
  <c r="B42" i="9"/>
  <c r="J41" i="9"/>
  <c r="I41" i="9"/>
  <c r="F41" i="9"/>
  <c r="D41" i="9"/>
  <c r="C41" i="9"/>
  <c r="B41" i="9"/>
  <c r="I40" i="9"/>
  <c r="J40" i="9" s="1"/>
  <c r="F40" i="9"/>
  <c r="D40" i="9"/>
  <c r="C40" i="9"/>
  <c r="B40" i="9"/>
  <c r="J39" i="9"/>
  <c r="I39" i="9"/>
  <c r="F39" i="9"/>
  <c r="D39" i="9"/>
  <c r="C39" i="9"/>
  <c r="B39" i="9"/>
  <c r="I38" i="9"/>
  <c r="J38" i="9" s="1"/>
  <c r="F38" i="9"/>
  <c r="D38" i="9"/>
  <c r="C38" i="9"/>
  <c r="B38" i="9"/>
  <c r="J37" i="9"/>
  <c r="I37" i="9"/>
  <c r="F37" i="9"/>
  <c r="D37" i="9"/>
  <c r="C37" i="9"/>
  <c r="B37" i="9"/>
  <c r="I36" i="9"/>
  <c r="J36" i="9" s="1"/>
  <c r="F36" i="9"/>
  <c r="D36" i="9"/>
  <c r="C36" i="9"/>
  <c r="B36" i="9"/>
  <c r="J35" i="9"/>
  <c r="I35" i="9"/>
  <c r="F35" i="9"/>
  <c r="D35" i="9"/>
  <c r="C35" i="9"/>
  <c r="B35" i="9"/>
  <c r="I34" i="9"/>
  <c r="J34" i="9" s="1"/>
  <c r="F34" i="9"/>
  <c r="D34" i="9"/>
  <c r="C34" i="9"/>
  <c r="B34" i="9"/>
  <c r="J33" i="9"/>
  <c r="I33" i="9"/>
  <c r="F33" i="9"/>
  <c r="D33" i="9"/>
  <c r="C33" i="9"/>
  <c r="B33" i="9"/>
  <c r="I32" i="9"/>
  <c r="J32" i="9" s="1"/>
  <c r="F32" i="9"/>
  <c r="D32" i="9"/>
  <c r="C32" i="9"/>
  <c r="B32" i="9"/>
  <c r="J31" i="9"/>
  <c r="I31" i="9"/>
  <c r="F31" i="9"/>
  <c r="D31" i="9"/>
  <c r="C31" i="9"/>
  <c r="B31" i="9"/>
  <c r="I30" i="9"/>
  <c r="J30" i="9" s="1"/>
  <c r="F30" i="9"/>
  <c r="D30" i="9"/>
  <c r="C30" i="9"/>
  <c r="B30" i="9"/>
  <c r="J29" i="9"/>
  <c r="I29" i="9"/>
  <c r="F29" i="9"/>
  <c r="D29" i="9"/>
  <c r="C29" i="9"/>
  <c r="B29" i="9"/>
  <c r="I28" i="9"/>
  <c r="J28" i="9" s="1"/>
  <c r="F28" i="9"/>
  <c r="D28" i="9"/>
  <c r="C28" i="9"/>
  <c r="B28" i="9"/>
  <c r="J27" i="9"/>
  <c r="I27" i="9"/>
  <c r="F27" i="9"/>
  <c r="D27" i="9"/>
  <c r="C27" i="9"/>
  <c r="B27" i="9"/>
  <c r="I26" i="9"/>
  <c r="J26" i="9" s="1"/>
  <c r="F26" i="9"/>
  <c r="D26" i="9"/>
  <c r="C26" i="9"/>
  <c r="B26" i="9"/>
  <c r="J25" i="9"/>
  <c r="I25" i="9"/>
  <c r="F25" i="9"/>
  <c r="D25" i="9"/>
  <c r="C25" i="9"/>
  <c r="B25" i="9"/>
  <c r="I24" i="9"/>
  <c r="J24" i="9" s="1"/>
  <c r="F24" i="9"/>
  <c r="D24" i="9"/>
  <c r="C24" i="9"/>
  <c r="B24" i="9"/>
  <c r="J23" i="9"/>
  <c r="I23" i="9"/>
  <c r="F23" i="9"/>
  <c r="D23" i="9"/>
  <c r="C23" i="9"/>
  <c r="B23" i="9"/>
  <c r="I22" i="9"/>
  <c r="J22" i="9" s="1"/>
  <c r="F22" i="9"/>
  <c r="D22" i="9"/>
  <c r="C22" i="9"/>
  <c r="B22" i="9"/>
  <c r="J21" i="9"/>
  <c r="I21" i="9"/>
  <c r="F21" i="9"/>
  <c r="D21" i="9"/>
  <c r="C21" i="9"/>
  <c r="B21" i="9"/>
  <c r="I20" i="9"/>
  <c r="J20" i="9" s="1"/>
  <c r="F20" i="9"/>
  <c r="D20" i="9"/>
  <c r="C20" i="9"/>
  <c r="B20" i="9"/>
  <c r="J19" i="9"/>
  <c r="I19" i="9"/>
  <c r="F19" i="9"/>
  <c r="D19" i="9"/>
  <c r="C19" i="9"/>
  <c r="B19" i="9"/>
  <c r="I18" i="9"/>
  <c r="J18" i="9" s="1"/>
  <c r="F18" i="9"/>
  <c r="D18" i="9"/>
  <c r="C18" i="9"/>
  <c r="B18" i="9"/>
  <c r="J17" i="9"/>
  <c r="I17" i="9"/>
  <c r="F17" i="9"/>
  <c r="D17" i="9"/>
  <c r="C17" i="9"/>
  <c r="B17" i="9"/>
  <c r="I16" i="9"/>
  <c r="J16" i="9" s="1"/>
  <c r="F16" i="9"/>
  <c r="D16" i="9"/>
  <c r="C16" i="9"/>
  <c r="B16" i="9"/>
  <c r="J15" i="9"/>
  <c r="I15" i="9"/>
  <c r="F15" i="9"/>
  <c r="D15" i="9"/>
  <c r="C15" i="9"/>
  <c r="B15" i="9"/>
  <c r="I14" i="9"/>
  <c r="J14" i="9" s="1"/>
  <c r="F14" i="9"/>
  <c r="D14" i="9"/>
  <c r="C14" i="9"/>
  <c r="B14" i="9"/>
  <c r="J13" i="9"/>
  <c r="I13" i="9"/>
  <c r="F13" i="9"/>
  <c r="D13" i="9"/>
  <c r="C13" i="9"/>
  <c r="B13" i="9"/>
  <c r="I12" i="9"/>
  <c r="J12" i="9" s="1"/>
  <c r="F12" i="9"/>
  <c r="D12" i="9"/>
  <c r="C12" i="9"/>
  <c r="B12" i="9"/>
  <c r="J11" i="9"/>
  <c r="I11" i="9"/>
  <c r="F11" i="9"/>
  <c r="D11" i="9"/>
  <c r="C11" i="9"/>
  <c r="B11" i="9"/>
  <c r="I10" i="9"/>
  <c r="J10" i="9" s="1"/>
  <c r="F10" i="9"/>
  <c r="D10" i="9"/>
  <c r="C10" i="9"/>
  <c r="B10" i="9"/>
  <c r="J9" i="9"/>
  <c r="I9" i="9"/>
  <c r="F9" i="9"/>
  <c r="D9" i="9"/>
  <c r="C9" i="9"/>
  <c r="B9" i="9"/>
  <c r="A5" i="9"/>
  <c r="G4" i="9"/>
  <c r="D4" i="9"/>
  <c r="A4" i="9"/>
  <c r="K213" i="8"/>
  <c r="K212" i="8"/>
  <c r="K211" i="8"/>
  <c r="K210" i="8"/>
  <c r="K209" i="8"/>
  <c r="K208" i="8"/>
  <c r="K207" i="8"/>
  <c r="K206" i="8"/>
  <c r="K205" i="8"/>
  <c r="K204" i="8"/>
  <c r="K203" i="8"/>
  <c r="K202" i="8"/>
  <c r="K201" i="8"/>
  <c r="K200" i="8"/>
  <c r="K199" i="8"/>
  <c r="K198" i="8"/>
  <c r="K197" i="8"/>
  <c r="K196" i="8"/>
  <c r="K195" i="8"/>
  <c r="K194" i="8"/>
  <c r="K193" i="8"/>
  <c r="K192" i="8"/>
  <c r="K191" i="8"/>
  <c r="K190" i="8"/>
  <c r="K189" i="8"/>
  <c r="K188" i="8"/>
  <c r="K187" i="8"/>
  <c r="K186" i="8"/>
  <c r="K185" i="8"/>
  <c r="K184" i="8"/>
  <c r="K183" i="8"/>
  <c r="K182" i="8"/>
  <c r="K181" i="8"/>
  <c r="K180" i="8"/>
  <c r="K179" i="8"/>
  <c r="K178" i="8"/>
  <c r="K177" i="8"/>
  <c r="K176" i="8"/>
  <c r="K175" i="8"/>
  <c r="K174" i="8"/>
  <c r="K173" i="8"/>
  <c r="K172" i="8"/>
  <c r="K171" i="8"/>
  <c r="K170" i="8"/>
  <c r="K169" i="8"/>
  <c r="K168" i="8"/>
  <c r="K167" i="8"/>
  <c r="K166" i="8"/>
  <c r="K165" i="8"/>
  <c r="K164" i="8"/>
  <c r="K163" i="8"/>
  <c r="K162" i="8"/>
  <c r="K161" i="8"/>
  <c r="K160" i="8"/>
  <c r="K159" i="8"/>
  <c r="K158" i="8"/>
  <c r="K157" i="8"/>
  <c r="K156" i="8"/>
  <c r="K155" i="8"/>
  <c r="K154" i="8"/>
  <c r="K153" i="8"/>
  <c r="K152" i="8"/>
  <c r="K151" i="8"/>
  <c r="K150" i="8"/>
  <c r="K149" i="8"/>
  <c r="K148" i="8"/>
  <c r="K147" i="8"/>
  <c r="K146" i="8"/>
  <c r="K145" i="8"/>
  <c r="K144" i="8"/>
  <c r="K143" i="8"/>
  <c r="K142" i="8"/>
  <c r="K141" i="8"/>
  <c r="K140" i="8"/>
  <c r="K139" i="8"/>
  <c r="K138" i="8"/>
  <c r="K137" i="8"/>
  <c r="K136" i="8"/>
  <c r="K135" i="8"/>
  <c r="K134" i="8"/>
  <c r="K133" i="8"/>
  <c r="K132" i="8"/>
  <c r="K131" i="8"/>
  <c r="K130" i="8"/>
  <c r="K129" i="8"/>
  <c r="K128" i="8"/>
  <c r="K127" i="8"/>
  <c r="K126" i="8"/>
  <c r="K125" i="8"/>
  <c r="K124" i="8"/>
  <c r="K123" i="8"/>
  <c r="K122" i="8"/>
  <c r="K121" i="8"/>
  <c r="K120" i="8"/>
  <c r="K119" i="8"/>
  <c r="K118" i="8"/>
  <c r="K117" i="8"/>
  <c r="K116" i="8"/>
  <c r="K115" i="8"/>
  <c r="K114" i="8"/>
  <c r="K113" i="8"/>
  <c r="I113" i="8"/>
  <c r="J113" i="8" s="1"/>
  <c r="D113" i="8"/>
  <c r="C113" i="8"/>
  <c r="A113" i="8"/>
  <c r="K112" i="8"/>
  <c r="J112" i="8"/>
  <c r="I112" i="8"/>
  <c r="D112" i="8"/>
  <c r="C112" i="8"/>
  <c r="A112" i="8"/>
  <c r="K111" i="8"/>
  <c r="I111" i="8"/>
  <c r="J111" i="8" s="1"/>
  <c r="D111" i="8"/>
  <c r="C111" i="8"/>
  <c r="A111" i="8"/>
  <c r="K110" i="8"/>
  <c r="J110" i="8"/>
  <c r="I110" i="8"/>
  <c r="D110" i="8"/>
  <c r="C110" i="8"/>
  <c r="A110" i="8"/>
  <c r="K109" i="8"/>
  <c r="I109" i="8"/>
  <c r="J109" i="8" s="1"/>
  <c r="D109" i="8"/>
  <c r="C109" i="8"/>
  <c r="A109" i="8"/>
  <c r="K108" i="8"/>
  <c r="J108" i="8"/>
  <c r="I108" i="8"/>
  <c r="D108" i="8"/>
  <c r="C108" i="8"/>
  <c r="A108" i="8"/>
  <c r="K107" i="8"/>
  <c r="I107" i="8"/>
  <c r="J107" i="8" s="1"/>
  <c r="D107" i="8"/>
  <c r="C107" i="8"/>
  <c r="A107" i="8"/>
  <c r="K106" i="8"/>
  <c r="J106" i="8"/>
  <c r="I106" i="8"/>
  <c r="D106" i="8"/>
  <c r="C106" i="8"/>
  <c r="A106" i="8"/>
  <c r="K105" i="8"/>
  <c r="I105" i="8"/>
  <c r="J105" i="8" s="1"/>
  <c r="D105" i="8"/>
  <c r="C105" i="8"/>
  <c r="A105" i="8"/>
  <c r="K104" i="8"/>
  <c r="J104" i="8"/>
  <c r="I104" i="8"/>
  <c r="D104" i="8"/>
  <c r="C104" i="8"/>
  <c r="A104" i="8"/>
  <c r="K103" i="8"/>
  <c r="I103" i="8"/>
  <c r="J103" i="8" s="1"/>
  <c r="D103" i="8"/>
  <c r="C103" i="8"/>
  <c r="A103" i="8"/>
  <c r="K102" i="8"/>
  <c r="J102" i="8"/>
  <c r="I102" i="8"/>
  <c r="D102" i="8"/>
  <c r="C102" i="8"/>
  <c r="A102" i="8"/>
  <c r="K101" i="8"/>
  <c r="I101" i="8"/>
  <c r="J101" i="8" s="1"/>
  <c r="D101" i="8"/>
  <c r="C101" i="8"/>
  <c r="A101" i="8"/>
  <c r="K100" i="8"/>
  <c r="J100" i="8"/>
  <c r="I100" i="8"/>
  <c r="D100" i="8"/>
  <c r="C100" i="8"/>
  <c r="A100" i="8"/>
  <c r="K99" i="8"/>
  <c r="I99" i="8"/>
  <c r="J99" i="8" s="1"/>
  <c r="D99" i="8"/>
  <c r="C99" i="8"/>
  <c r="A99" i="8"/>
  <c r="K98" i="8"/>
  <c r="J98" i="8"/>
  <c r="I98" i="8"/>
  <c r="D98" i="8"/>
  <c r="C98" i="8"/>
  <c r="A98" i="8"/>
  <c r="K97" i="8"/>
  <c r="I97" i="8"/>
  <c r="J97" i="8" s="1"/>
  <c r="D97" i="8"/>
  <c r="C97" i="8"/>
  <c r="A97" i="8"/>
  <c r="K96" i="8"/>
  <c r="J96" i="8"/>
  <c r="I96" i="8"/>
  <c r="D96" i="8"/>
  <c r="C96" i="8"/>
  <c r="A96" i="8"/>
  <c r="K95" i="8"/>
  <c r="I95" i="8"/>
  <c r="J95" i="8" s="1"/>
  <c r="D95" i="8"/>
  <c r="C95" i="8"/>
  <c r="A95" i="8"/>
  <c r="K94" i="8"/>
  <c r="J94" i="8"/>
  <c r="I94" i="8"/>
  <c r="D94" i="8"/>
  <c r="C94" i="8"/>
  <c r="A94" i="8"/>
  <c r="K93" i="8"/>
  <c r="I93" i="8"/>
  <c r="J93" i="8" s="1"/>
  <c r="D93" i="8"/>
  <c r="C93" i="8"/>
  <c r="A93" i="8"/>
  <c r="K92" i="8"/>
  <c r="J92" i="8"/>
  <c r="I92" i="8"/>
  <c r="D92" i="8"/>
  <c r="C92" i="8"/>
  <c r="A92" i="8"/>
  <c r="K91" i="8"/>
  <c r="I91" i="8"/>
  <c r="J91" i="8" s="1"/>
  <c r="D91" i="8"/>
  <c r="C91" i="8"/>
  <c r="A91" i="8"/>
  <c r="K90" i="8"/>
  <c r="J90" i="8"/>
  <c r="I90" i="8"/>
  <c r="D90" i="8"/>
  <c r="C90" i="8"/>
  <c r="A90" i="8"/>
  <c r="K89" i="8"/>
  <c r="I89" i="8"/>
  <c r="J89" i="8" s="1"/>
  <c r="D89" i="8"/>
  <c r="C89" i="8"/>
  <c r="A89" i="8"/>
  <c r="K88" i="8"/>
  <c r="J88" i="8"/>
  <c r="I88" i="8"/>
  <c r="D88" i="8"/>
  <c r="C88" i="8"/>
  <c r="A88" i="8"/>
  <c r="K87" i="8"/>
  <c r="I87" i="8"/>
  <c r="J87" i="8" s="1"/>
  <c r="D87" i="8"/>
  <c r="C87" i="8"/>
  <c r="A87" i="8"/>
  <c r="K86" i="8"/>
  <c r="J86" i="8"/>
  <c r="I86" i="8"/>
  <c r="D86" i="8"/>
  <c r="C86" i="8"/>
  <c r="A86" i="8"/>
  <c r="K85" i="8"/>
  <c r="I85" i="8"/>
  <c r="J85" i="8" s="1"/>
  <c r="D85" i="8"/>
  <c r="C85" i="8"/>
  <c r="A85" i="8"/>
  <c r="K84" i="8"/>
  <c r="J84" i="8"/>
  <c r="I84" i="8"/>
  <c r="D84" i="8"/>
  <c r="C84" i="8"/>
  <c r="A84" i="8"/>
  <c r="K83" i="8"/>
  <c r="I83" i="8"/>
  <c r="J83" i="8" s="1"/>
  <c r="D83" i="8"/>
  <c r="C83" i="8"/>
  <c r="A83" i="8"/>
  <c r="K82" i="8"/>
  <c r="J82" i="8"/>
  <c r="I82" i="8"/>
  <c r="D82" i="8"/>
  <c r="C82" i="8"/>
  <c r="A82" i="8"/>
  <c r="K81" i="8"/>
  <c r="I81" i="8"/>
  <c r="J81" i="8" s="1"/>
  <c r="D81" i="8"/>
  <c r="C81" i="8"/>
  <c r="A81" i="8"/>
  <c r="K80" i="8"/>
  <c r="J80" i="8"/>
  <c r="I80" i="8"/>
  <c r="D80" i="8"/>
  <c r="C80" i="8"/>
  <c r="A80" i="8"/>
  <c r="K79" i="8"/>
  <c r="I79" i="8"/>
  <c r="J79" i="8" s="1"/>
  <c r="D79" i="8"/>
  <c r="C79" i="8"/>
  <c r="A79" i="8"/>
  <c r="K78" i="8"/>
  <c r="J78" i="8"/>
  <c r="I78" i="8"/>
  <c r="D78" i="8"/>
  <c r="C78" i="8"/>
  <c r="A78" i="8"/>
  <c r="K77" i="8"/>
  <c r="I77" i="8"/>
  <c r="J77" i="8" s="1"/>
  <c r="D77" i="8"/>
  <c r="C77" i="8"/>
  <c r="A77" i="8"/>
  <c r="K76" i="8"/>
  <c r="J76" i="8"/>
  <c r="I76" i="8"/>
  <c r="D76" i="8"/>
  <c r="C76" i="8"/>
  <c r="A76" i="8"/>
  <c r="K75" i="8"/>
  <c r="I75" i="8"/>
  <c r="J75" i="8" s="1"/>
  <c r="D75" i="8"/>
  <c r="C75" i="8"/>
  <c r="A75" i="8"/>
  <c r="K74" i="8"/>
  <c r="J74" i="8"/>
  <c r="I74" i="8"/>
  <c r="D74" i="8"/>
  <c r="C74" i="8"/>
  <c r="A74" i="8"/>
  <c r="K73" i="8"/>
  <c r="I73" i="8"/>
  <c r="J73" i="8" s="1"/>
  <c r="D73" i="8"/>
  <c r="C73" i="8"/>
  <c r="A73" i="8"/>
  <c r="K72" i="8"/>
  <c r="J72" i="8"/>
  <c r="I72" i="8"/>
  <c r="D72" i="8"/>
  <c r="C72" i="8"/>
  <c r="A72" i="8"/>
  <c r="K71" i="8"/>
  <c r="I71" i="8"/>
  <c r="J71" i="8" s="1"/>
  <c r="D71" i="8"/>
  <c r="C71" i="8"/>
  <c r="A71" i="8"/>
  <c r="K70" i="8"/>
  <c r="J70" i="8"/>
  <c r="I70" i="8"/>
  <c r="D70" i="8"/>
  <c r="C70" i="8"/>
  <c r="A70" i="8"/>
  <c r="K69" i="8"/>
  <c r="I69" i="8"/>
  <c r="J69" i="8" s="1"/>
  <c r="D69" i="8"/>
  <c r="C69" i="8"/>
  <c r="A69" i="8"/>
  <c r="K68" i="8"/>
  <c r="J68" i="8"/>
  <c r="I68" i="8"/>
  <c r="D68" i="8"/>
  <c r="C68" i="8"/>
  <c r="A68" i="8"/>
  <c r="K67" i="8"/>
  <c r="I67" i="8"/>
  <c r="J67" i="8" s="1"/>
  <c r="D67" i="8"/>
  <c r="C67" i="8"/>
  <c r="A67" i="8"/>
  <c r="K66" i="8"/>
  <c r="J66" i="8"/>
  <c r="I66" i="8"/>
  <c r="D66" i="8"/>
  <c r="C66" i="8"/>
  <c r="A66" i="8"/>
  <c r="K65" i="8"/>
  <c r="I65" i="8"/>
  <c r="J65" i="8" s="1"/>
  <c r="D65" i="8"/>
  <c r="C65" i="8"/>
  <c r="A65" i="8"/>
  <c r="K64" i="8"/>
  <c r="J64" i="8"/>
  <c r="I64" i="8"/>
  <c r="D64" i="8"/>
  <c r="C64" i="8"/>
  <c r="A64" i="8"/>
  <c r="K63" i="8"/>
  <c r="I63" i="8"/>
  <c r="J63" i="8" s="1"/>
  <c r="D63" i="8"/>
  <c r="C63" i="8"/>
  <c r="A63" i="8"/>
  <c r="K62" i="8"/>
  <c r="J62" i="8"/>
  <c r="I62" i="8"/>
  <c r="D62" i="8"/>
  <c r="C62" i="8"/>
  <c r="A62" i="8"/>
  <c r="K61" i="8"/>
  <c r="I61" i="8"/>
  <c r="J61" i="8" s="1"/>
  <c r="D61" i="8"/>
  <c r="C61" i="8"/>
  <c r="A61" i="8"/>
  <c r="K60" i="8"/>
  <c r="J60" i="8"/>
  <c r="I60" i="8"/>
  <c r="D60" i="8"/>
  <c r="C60" i="8"/>
  <c r="A60" i="8"/>
  <c r="K59" i="8"/>
  <c r="I59" i="8"/>
  <c r="J59" i="8" s="1"/>
  <c r="D59" i="8"/>
  <c r="C59" i="8"/>
  <c r="A59" i="8"/>
  <c r="K58" i="8"/>
  <c r="J58" i="8"/>
  <c r="I58" i="8"/>
  <c r="D58" i="8"/>
  <c r="C58" i="8"/>
  <c r="A58" i="8"/>
  <c r="K57" i="8"/>
  <c r="I57" i="8"/>
  <c r="J57" i="8" s="1"/>
  <c r="D57" i="8"/>
  <c r="C57" i="8"/>
  <c r="A57" i="8"/>
  <c r="K56" i="8"/>
  <c r="J56" i="8"/>
  <c r="I56" i="8"/>
  <c r="D56" i="8"/>
  <c r="C56" i="8"/>
  <c r="A56" i="8"/>
  <c r="K55" i="8"/>
  <c r="I55" i="8"/>
  <c r="J55" i="8" s="1"/>
  <c r="D55" i="8"/>
  <c r="C55" i="8"/>
  <c r="A55" i="8"/>
  <c r="K54" i="8"/>
  <c r="J54" i="8"/>
  <c r="I54" i="8"/>
  <c r="D54" i="8"/>
  <c r="C54" i="8"/>
  <c r="A54" i="8"/>
  <c r="K53" i="8"/>
  <c r="I53" i="8"/>
  <c r="J53" i="8" s="1"/>
  <c r="D53" i="8"/>
  <c r="C53" i="8"/>
  <c r="A53" i="8"/>
  <c r="K52" i="8"/>
  <c r="J52" i="8"/>
  <c r="I52" i="8"/>
  <c r="D52" i="8"/>
  <c r="C52" i="8"/>
  <c r="A52" i="8"/>
  <c r="K51" i="8"/>
  <c r="I51" i="8"/>
  <c r="J51" i="8" s="1"/>
  <c r="D51" i="8"/>
  <c r="C51" i="8"/>
  <c r="A51" i="8"/>
  <c r="K50" i="8"/>
  <c r="J50" i="8"/>
  <c r="I50" i="8"/>
  <c r="D50" i="8"/>
  <c r="C50" i="8"/>
  <c r="A50" i="8"/>
  <c r="K49" i="8"/>
  <c r="I49" i="8"/>
  <c r="J49" i="8" s="1"/>
  <c r="D49" i="8"/>
  <c r="C49" i="8"/>
  <c r="A49" i="8"/>
  <c r="K48" i="8"/>
  <c r="J48" i="8"/>
  <c r="I48" i="8"/>
  <c r="D48" i="8"/>
  <c r="C48" i="8"/>
  <c r="A48" i="8"/>
  <c r="K47" i="8"/>
  <c r="I47" i="8"/>
  <c r="J47" i="8" s="1"/>
  <c r="D47" i="8"/>
  <c r="C47" i="8"/>
  <c r="A47" i="8"/>
  <c r="K46" i="8"/>
  <c r="J46" i="8"/>
  <c r="I46" i="8"/>
  <c r="D46" i="8"/>
  <c r="C46" i="8"/>
  <c r="A46" i="8"/>
  <c r="K45" i="8"/>
  <c r="I45" i="8"/>
  <c r="J45" i="8" s="1"/>
  <c r="D45" i="8"/>
  <c r="C45" i="8"/>
  <c r="A45" i="8"/>
  <c r="K44" i="8"/>
  <c r="J44" i="8"/>
  <c r="I44" i="8"/>
  <c r="D44" i="8"/>
  <c r="C44" i="8"/>
  <c r="A44" i="8"/>
  <c r="K43" i="8"/>
  <c r="I43" i="8"/>
  <c r="J43" i="8" s="1"/>
  <c r="D43" i="8"/>
  <c r="C43" i="8"/>
  <c r="A43" i="8"/>
  <c r="K42" i="8"/>
  <c r="J42" i="8"/>
  <c r="I42" i="8"/>
  <c r="D42" i="8"/>
  <c r="C42" i="8"/>
  <c r="A42" i="8"/>
  <c r="K41" i="8"/>
  <c r="I41" i="8"/>
  <c r="J41" i="8" s="1"/>
  <c r="D41" i="8"/>
  <c r="C41" i="8"/>
  <c r="A41" i="8"/>
  <c r="K40" i="8"/>
  <c r="J40" i="8"/>
  <c r="I40" i="8"/>
  <c r="D40" i="8"/>
  <c r="C40" i="8"/>
  <c r="A40" i="8"/>
  <c r="K39" i="8"/>
  <c r="I39" i="8"/>
  <c r="J39" i="8" s="1"/>
  <c r="D39" i="8"/>
  <c r="C39" i="8"/>
  <c r="A39" i="8"/>
  <c r="K38" i="8"/>
  <c r="J38" i="8"/>
  <c r="I38" i="8"/>
  <c r="D38" i="8"/>
  <c r="C38" i="8"/>
  <c r="A38" i="8"/>
  <c r="K37" i="8"/>
  <c r="I37" i="8"/>
  <c r="J37" i="8" s="1"/>
  <c r="D37" i="8"/>
  <c r="C37" i="8"/>
  <c r="A37" i="8"/>
  <c r="K36" i="8"/>
  <c r="J36" i="8"/>
  <c r="I36" i="8"/>
  <c r="D36" i="8"/>
  <c r="C36" i="8"/>
  <c r="A36" i="8"/>
  <c r="K35" i="8"/>
  <c r="I35" i="8"/>
  <c r="J35" i="8" s="1"/>
  <c r="D35" i="8"/>
  <c r="C35" i="8"/>
  <c r="A35" i="8"/>
  <c r="K34" i="8"/>
  <c r="J34" i="8"/>
  <c r="I34" i="8"/>
  <c r="D34" i="8"/>
  <c r="C34" i="8"/>
  <c r="A34" i="8"/>
  <c r="K33" i="8"/>
  <c r="I33" i="8"/>
  <c r="J33" i="8" s="1"/>
  <c r="D33" i="8"/>
  <c r="C33" i="8"/>
  <c r="A33" i="8"/>
  <c r="K32" i="8"/>
  <c r="J32" i="8"/>
  <c r="I32" i="8"/>
  <c r="D32" i="8"/>
  <c r="C32" i="8"/>
  <c r="A32" i="8"/>
  <c r="K31" i="8"/>
  <c r="I31" i="8"/>
  <c r="J31" i="8" s="1"/>
  <c r="D31" i="8"/>
  <c r="C31" i="8"/>
  <c r="A31" i="8"/>
  <c r="K30" i="8"/>
  <c r="J30" i="8"/>
  <c r="I30" i="8"/>
  <c r="D30" i="8"/>
  <c r="C30" i="8"/>
  <c r="A30" i="8"/>
  <c r="K29" i="8"/>
  <c r="I29" i="8"/>
  <c r="J29" i="8" s="1"/>
  <c r="D29" i="8"/>
  <c r="C29" i="8"/>
  <c r="A29" i="8"/>
  <c r="K28" i="8"/>
  <c r="J28" i="8"/>
  <c r="I28" i="8"/>
  <c r="D28" i="8"/>
  <c r="C28" i="8"/>
  <c r="A28" i="8"/>
  <c r="K27" i="8"/>
  <c r="I27" i="8"/>
  <c r="J27" i="8" s="1"/>
  <c r="D27" i="8"/>
  <c r="C27" i="8"/>
  <c r="A27" i="8"/>
  <c r="K26" i="8"/>
  <c r="J26" i="8"/>
  <c r="I26" i="8"/>
  <c r="D26" i="8"/>
  <c r="C26" i="8"/>
  <c r="A26" i="8"/>
  <c r="K25" i="8"/>
  <c r="I25" i="8"/>
  <c r="J25" i="8" s="1"/>
  <c r="D25" i="8"/>
  <c r="C25" i="8"/>
  <c r="A25" i="8"/>
  <c r="K24" i="8"/>
  <c r="J24" i="8"/>
  <c r="I24" i="8"/>
  <c r="D24" i="8"/>
  <c r="C24" i="8"/>
  <c r="A24" i="8"/>
  <c r="K23" i="8"/>
  <c r="I23" i="8"/>
  <c r="J23" i="8" s="1"/>
  <c r="D23" i="8"/>
  <c r="C23" i="8"/>
  <c r="A23" i="8"/>
  <c r="K22" i="8"/>
  <c r="J22" i="8"/>
  <c r="I22" i="8"/>
  <c r="D22" i="8"/>
  <c r="C22" i="8"/>
  <c r="A22" i="8"/>
  <c r="K21" i="8"/>
  <c r="I21" i="8"/>
  <c r="J21" i="8" s="1"/>
  <c r="D21" i="8"/>
  <c r="C21" i="8"/>
  <c r="A21" i="8"/>
  <c r="K20" i="8"/>
  <c r="J20" i="8"/>
  <c r="I20" i="8"/>
  <c r="D20" i="8"/>
  <c r="C20" i="8"/>
  <c r="A20" i="8"/>
  <c r="K19" i="8"/>
  <c r="I19" i="8"/>
  <c r="J19" i="8" s="1"/>
  <c r="D19" i="8"/>
  <c r="C19" i="8"/>
  <c r="A19" i="8"/>
  <c r="K18" i="8"/>
  <c r="J18" i="8"/>
  <c r="I18" i="8"/>
  <c r="D18" i="8"/>
  <c r="C18" i="8"/>
  <c r="A18" i="8"/>
  <c r="K17" i="8"/>
  <c r="I17" i="8"/>
  <c r="J17" i="8" s="1"/>
  <c r="D17" i="8"/>
  <c r="C17" i="8"/>
  <c r="A17" i="8"/>
  <c r="K16" i="8"/>
  <c r="J16" i="8"/>
  <c r="I16" i="8"/>
  <c r="D16" i="8"/>
  <c r="C16" i="8"/>
  <c r="A16" i="8"/>
  <c r="K15" i="8"/>
  <c r="I15" i="8"/>
  <c r="J15" i="8" s="1"/>
  <c r="D15" i="8"/>
  <c r="C15" i="8"/>
  <c r="A15" i="8"/>
  <c r="K14" i="8"/>
  <c r="J14" i="8"/>
  <c r="I14" i="8"/>
  <c r="D14" i="8"/>
  <c r="C14" i="8"/>
  <c r="A14" i="8"/>
  <c r="B9" i="8"/>
  <c r="B10" i="8" s="1"/>
  <c r="B8" i="8"/>
  <c r="K208" i="7"/>
  <c r="J208" i="7"/>
  <c r="G208" i="7"/>
  <c r="D208" i="7"/>
  <c r="C208" i="7"/>
  <c r="B208" i="7"/>
  <c r="J207" i="7"/>
  <c r="K207" i="7" s="1"/>
  <c r="G207" i="7"/>
  <c r="D207" i="7"/>
  <c r="C207" i="7"/>
  <c r="B207" i="7"/>
  <c r="K206" i="7"/>
  <c r="J206" i="7"/>
  <c r="G206" i="7"/>
  <c r="D206" i="7"/>
  <c r="C206" i="7"/>
  <c r="B206" i="7"/>
  <c r="J205" i="7"/>
  <c r="K205" i="7" s="1"/>
  <c r="G205" i="7"/>
  <c r="D205" i="7"/>
  <c r="C205" i="7"/>
  <c r="B205" i="7"/>
  <c r="K204" i="7"/>
  <c r="J204" i="7"/>
  <c r="G204" i="7"/>
  <c r="D204" i="7"/>
  <c r="C204" i="7"/>
  <c r="B204" i="7"/>
  <c r="J203" i="7"/>
  <c r="K203" i="7" s="1"/>
  <c r="G203" i="7"/>
  <c r="D203" i="7"/>
  <c r="C203" i="7"/>
  <c r="B203" i="7"/>
  <c r="K202" i="7"/>
  <c r="J202" i="7"/>
  <c r="G202" i="7"/>
  <c r="D202" i="7"/>
  <c r="C202" i="7"/>
  <c r="B202" i="7"/>
  <c r="J201" i="7"/>
  <c r="K201" i="7" s="1"/>
  <c r="G201" i="7"/>
  <c r="D201" i="7"/>
  <c r="C201" i="7"/>
  <c r="B201" i="7"/>
  <c r="K200" i="7"/>
  <c r="J200" i="7"/>
  <c r="G200" i="7"/>
  <c r="D200" i="7"/>
  <c r="C200" i="7"/>
  <c r="B200" i="7"/>
  <c r="J199" i="7"/>
  <c r="K199" i="7" s="1"/>
  <c r="G199" i="7"/>
  <c r="D199" i="7"/>
  <c r="C199" i="7"/>
  <c r="B199" i="7"/>
  <c r="K198" i="7"/>
  <c r="J198" i="7"/>
  <c r="G198" i="7"/>
  <c r="D198" i="7"/>
  <c r="C198" i="7"/>
  <c r="B198" i="7"/>
  <c r="J197" i="7"/>
  <c r="K197" i="7" s="1"/>
  <c r="G197" i="7"/>
  <c r="D197" i="7"/>
  <c r="C197" i="7"/>
  <c r="B197" i="7"/>
  <c r="K196" i="7"/>
  <c r="J196" i="7"/>
  <c r="G196" i="7"/>
  <c r="D196" i="7"/>
  <c r="C196" i="7"/>
  <c r="B196" i="7"/>
  <c r="J195" i="7"/>
  <c r="K195" i="7" s="1"/>
  <c r="G195" i="7"/>
  <c r="D195" i="7"/>
  <c r="C195" i="7"/>
  <c r="B195" i="7"/>
  <c r="K194" i="7"/>
  <c r="J194" i="7"/>
  <c r="G194" i="7"/>
  <c r="D194" i="7"/>
  <c r="C194" i="7"/>
  <c r="B194" i="7"/>
  <c r="J193" i="7"/>
  <c r="K193" i="7" s="1"/>
  <c r="G193" i="7"/>
  <c r="D193" i="7"/>
  <c r="C193" i="7"/>
  <c r="B193" i="7"/>
  <c r="K192" i="7"/>
  <c r="J192" i="7"/>
  <c r="G192" i="7"/>
  <c r="D192" i="7"/>
  <c r="C192" i="7"/>
  <c r="B192" i="7"/>
  <c r="J191" i="7"/>
  <c r="K191" i="7" s="1"/>
  <c r="G191" i="7"/>
  <c r="D191" i="7"/>
  <c r="C191" i="7"/>
  <c r="B191" i="7"/>
  <c r="K190" i="7"/>
  <c r="J190" i="7"/>
  <c r="G190" i="7"/>
  <c r="D190" i="7"/>
  <c r="C190" i="7"/>
  <c r="B190" i="7"/>
  <c r="J189" i="7"/>
  <c r="K189" i="7" s="1"/>
  <c r="G189" i="7"/>
  <c r="D189" i="7"/>
  <c r="C189" i="7"/>
  <c r="B189" i="7"/>
  <c r="K188" i="7"/>
  <c r="J188" i="7"/>
  <c r="G188" i="7"/>
  <c r="D188" i="7"/>
  <c r="C188" i="7"/>
  <c r="B188" i="7"/>
  <c r="J187" i="7"/>
  <c r="K187" i="7" s="1"/>
  <c r="G187" i="7"/>
  <c r="D187" i="7"/>
  <c r="C187" i="7"/>
  <c r="B187" i="7"/>
  <c r="K186" i="7"/>
  <c r="J186" i="7"/>
  <c r="G186" i="7"/>
  <c r="D186" i="7"/>
  <c r="C186" i="7"/>
  <c r="B186" i="7"/>
  <c r="J185" i="7"/>
  <c r="K185" i="7" s="1"/>
  <c r="G185" i="7"/>
  <c r="D185" i="7"/>
  <c r="C185" i="7"/>
  <c r="B185" i="7"/>
  <c r="K184" i="7"/>
  <c r="J184" i="7"/>
  <c r="G184" i="7"/>
  <c r="D184" i="7"/>
  <c r="C184" i="7"/>
  <c r="B184" i="7"/>
  <c r="J183" i="7"/>
  <c r="K183" i="7" s="1"/>
  <c r="G183" i="7"/>
  <c r="D183" i="7"/>
  <c r="C183" i="7"/>
  <c r="B183" i="7"/>
  <c r="K182" i="7"/>
  <c r="J182" i="7"/>
  <c r="G182" i="7"/>
  <c r="D182" i="7"/>
  <c r="C182" i="7"/>
  <c r="B182" i="7"/>
  <c r="J181" i="7"/>
  <c r="K181" i="7" s="1"/>
  <c r="G181" i="7"/>
  <c r="D181" i="7"/>
  <c r="C181" i="7"/>
  <c r="B181" i="7"/>
  <c r="K180" i="7"/>
  <c r="J180" i="7"/>
  <c r="G180" i="7"/>
  <c r="D180" i="7"/>
  <c r="C180" i="7"/>
  <c r="B180" i="7"/>
  <c r="J179" i="7"/>
  <c r="K179" i="7" s="1"/>
  <c r="G179" i="7"/>
  <c r="D179" i="7"/>
  <c r="C179" i="7"/>
  <c r="B179" i="7"/>
  <c r="K178" i="7"/>
  <c r="J178" i="7"/>
  <c r="G178" i="7"/>
  <c r="D178" i="7"/>
  <c r="C178" i="7"/>
  <c r="B178" i="7"/>
  <c r="J177" i="7"/>
  <c r="K177" i="7" s="1"/>
  <c r="G177" i="7"/>
  <c r="D177" i="7"/>
  <c r="C177" i="7"/>
  <c r="B177" i="7"/>
  <c r="K176" i="7"/>
  <c r="J176" i="7"/>
  <c r="G176" i="7"/>
  <c r="D176" i="7"/>
  <c r="C176" i="7"/>
  <c r="B176" i="7"/>
  <c r="J175" i="7"/>
  <c r="K175" i="7" s="1"/>
  <c r="G175" i="7"/>
  <c r="D175" i="7"/>
  <c r="C175" i="7"/>
  <c r="B175" i="7"/>
  <c r="K174" i="7"/>
  <c r="J174" i="7"/>
  <c r="G174" i="7"/>
  <c r="D174" i="7"/>
  <c r="C174" i="7"/>
  <c r="B174" i="7"/>
  <c r="J173" i="7"/>
  <c r="K173" i="7" s="1"/>
  <c r="G173" i="7"/>
  <c r="D173" i="7"/>
  <c r="C173" i="7"/>
  <c r="B173" i="7"/>
  <c r="K172" i="7"/>
  <c r="J172" i="7"/>
  <c r="G172" i="7"/>
  <c r="D172" i="7"/>
  <c r="C172" i="7"/>
  <c r="B172" i="7"/>
  <c r="J171" i="7"/>
  <c r="K171" i="7" s="1"/>
  <c r="G171" i="7"/>
  <c r="D171" i="7"/>
  <c r="C171" i="7"/>
  <c r="B171" i="7"/>
  <c r="K170" i="7"/>
  <c r="J170" i="7"/>
  <c r="G170" i="7"/>
  <c r="D170" i="7"/>
  <c r="C170" i="7"/>
  <c r="B170" i="7"/>
  <c r="J169" i="7"/>
  <c r="K169" i="7" s="1"/>
  <c r="G169" i="7"/>
  <c r="D169" i="7"/>
  <c r="C169" i="7"/>
  <c r="B169" i="7"/>
  <c r="K168" i="7"/>
  <c r="J168" i="7"/>
  <c r="G168" i="7"/>
  <c r="D168" i="7"/>
  <c r="C168" i="7"/>
  <c r="B168" i="7"/>
  <c r="J167" i="7"/>
  <c r="K167" i="7" s="1"/>
  <c r="G167" i="7"/>
  <c r="D167" i="7"/>
  <c r="C167" i="7"/>
  <c r="B167" i="7"/>
  <c r="K166" i="7"/>
  <c r="J166" i="7"/>
  <c r="G166" i="7"/>
  <c r="D166" i="7"/>
  <c r="C166" i="7"/>
  <c r="B166" i="7"/>
  <c r="J165" i="7"/>
  <c r="K165" i="7" s="1"/>
  <c r="G165" i="7"/>
  <c r="D165" i="7"/>
  <c r="C165" i="7"/>
  <c r="B165" i="7"/>
  <c r="K164" i="7"/>
  <c r="J164" i="7"/>
  <c r="G164" i="7"/>
  <c r="D164" i="7"/>
  <c r="C164" i="7"/>
  <c r="B164" i="7"/>
  <c r="J163" i="7"/>
  <c r="K163" i="7" s="1"/>
  <c r="G163" i="7"/>
  <c r="D163" i="7"/>
  <c r="C163" i="7"/>
  <c r="B163" i="7"/>
  <c r="K162" i="7"/>
  <c r="J162" i="7"/>
  <c r="G162" i="7"/>
  <c r="D162" i="7"/>
  <c r="C162" i="7"/>
  <c r="B162" i="7"/>
  <c r="J161" i="7"/>
  <c r="K161" i="7" s="1"/>
  <c r="G161" i="7"/>
  <c r="D161" i="7"/>
  <c r="C161" i="7"/>
  <c r="B161" i="7"/>
  <c r="K160" i="7"/>
  <c r="J160" i="7"/>
  <c r="G160" i="7"/>
  <c r="D160" i="7"/>
  <c r="C160" i="7"/>
  <c r="B160" i="7"/>
  <c r="J159" i="7"/>
  <c r="K159" i="7" s="1"/>
  <c r="G159" i="7"/>
  <c r="D159" i="7"/>
  <c r="C159" i="7"/>
  <c r="B159" i="7"/>
  <c r="K158" i="7"/>
  <c r="J158" i="7"/>
  <c r="G158" i="7"/>
  <c r="D158" i="7"/>
  <c r="C158" i="7"/>
  <c r="B158" i="7"/>
  <c r="J157" i="7"/>
  <c r="K157" i="7" s="1"/>
  <c r="G157" i="7"/>
  <c r="D157" i="7"/>
  <c r="C157" i="7"/>
  <c r="B157" i="7"/>
  <c r="K156" i="7"/>
  <c r="J156" i="7"/>
  <c r="G156" i="7"/>
  <c r="D156" i="7"/>
  <c r="C156" i="7"/>
  <c r="B156" i="7"/>
  <c r="J155" i="7"/>
  <c r="K155" i="7" s="1"/>
  <c r="G155" i="7"/>
  <c r="D155" i="7"/>
  <c r="C155" i="7"/>
  <c r="B155" i="7"/>
  <c r="K154" i="7"/>
  <c r="J154" i="7"/>
  <c r="G154" i="7"/>
  <c r="D154" i="7"/>
  <c r="C154" i="7"/>
  <c r="B154" i="7"/>
  <c r="J153" i="7"/>
  <c r="K153" i="7" s="1"/>
  <c r="G153" i="7"/>
  <c r="D153" i="7"/>
  <c r="C153" i="7"/>
  <c r="B153" i="7"/>
  <c r="K152" i="7"/>
  <c r="J152" i="7"/>
  <c r="G152" i="7"/>
  <c r="D152" i="7"/>
  <c r="C152" i="7"/>
  <c r="B152" i="7"/>
  <c r="J151" i="7"/>
  <c r="K151" i="7" s="1"/>
  <c r="G151" i="7"/>
  <c r="D151" i="7"/>
  <c r="C151" i="7"/>
  <c r="B151" i="7"/>
  <c r="K150" i="7"/>
  <c r="J150" i="7"/>
  <c r="G150" i="7"/>
  <c r="D150" i="7"/>
  <c r="C150" i="7"/>
  <c r="B150" i="7"/>
  <c r="J149" i="7"/>
  <c r="K149" i="7" s="1"/>
  <c r="G149" i="7"/>
  <c r="D149" i="7"/>
  <c r="C149" i="7"/>
  <c r="B149" i="7"/>
  <c r="K148" i="7"/>
  <c r="J148" i="7"/>
  <c r="G148" i="7"/>
  <c r="D148" i="7"/>
  <c r="C148" i="7"/>
  <c r="B148" i="7"/>
  <c r="J147" i="7"/>
  <c r="K147" i="7" s="1"/>
  <c r="G147" i="7"/>
  <c r="D147" i="7"/>
  <c r="C147" i="7"/>
  <c r="B147" i="7"/>
  <c r="K146" i="7"/>
  <c r="J146" i="7"/>
  <c r="G146" i="7"/>
  <c r="D146" i="7"/>
  <c r="C146" i="7"/>
  <c r="B146" i="7"/>
  <c r="J145" i="7"/>
  <c r="K145" i="7" s="1"/>
  <c r="G145" i="7"/>
  <c r="D145" i="7"/>
  <c r="C145" i="7"/>
  <c r="B145" i="7"/>
  <c r="K144" i="7"/>
  <c r="J144" i="7"/>
  <c r="G144" i="7"/>
  <c r="D144" i="7"/>
  <c r="C144" i="7"/>
  <c r="B144" i="7"/>
  <c r="J143" i="7"/>
  <c r="K143" i="7" s="1"/>
  <c r="G143" i="7"/>
  <c r="D143" i="7"/>
  <c r="C143" i="7"/>
  <c r="B143" i="7"/>
  <c r="K142" i="7"/>
  <c r="J142" i="7"/>
  <c r="G142" i="7"/>
  <c r="D142" i="7"/>
  <c r="C142" i="7"/>
  <c r="B142" i="7"/>
  <c r="J141" i="7"/>
  <c r="K141" i="7" s="1"/>
  <c r="G141" i="7"/>
  <c r="D141" i="7"/>
  <c r="C141" i="7"/>
  <c r="B141" i="7"/>
  <c r="K140" i="7"/>
  <c r="J140" i="7"/>
  <c r="G140" i="7"/>
  <c r="D140" i="7"/>
  <c r="C140" i="7"/>
  <c r="B140" i="7"/>
  <c r="J139" i="7"/>
  <c r="K139" i="7" s="1"/>
  <c r="G139" i="7"/>
  <c r="D139" i="7"/>
  <c r="C139" i="7"/>
  <c r="B139" i="7"/>
  <c r="K138" i="7"/>
  <c r="J138" i="7"/>
  <c r="G138" i="7"/>
  <c r="D138" i="7"/>
  <c r="C138" i="7"/>
  <c r="B138" i="7"/>
  <c r="J137" i="7"/>
  <c r="K137" i="7" s="1"/>
  <c r="G137" i="7"/>
  <c r="D137" i="7"/>
  <c r="C137" i="7"/>
  <c r="B137" i="7"/>
  <c r="K136" i="7"/>
  <c r="J136" i="7"/>
  <c r="G136" i="7"/>
  <c r="D136" i="7"/>
  <c r="C136" i="7"/>
  <c r="B136" i="7"/>
  <c r="J135" i="7"/>
  <c r="K135" i="7" s="1"/>
  <c r="G135" i="7"/>
  <c r="D135" i="7"/>
  <c r="C135" i="7"/>
  <c r="B135" i="7"/>
  <c r="K134" i="7"/>
  <c r="J134" i="7"/>
  <c r="G134" i="7"/>
  <c r="D134" i="7"/>
  <c r="C134" i="7"/>
  <c r="B134" i="7"/>
  <c r="J133" i="7"/>
  <c r="K133" i="7" s="1"/>
  <c r="G133" i="7"/>
  <c r="D133" i="7"/>
  <c r="C133" i="7"/>
  <c r="B133" i="7"/>
  <c r="K132" i="7"/>
  <c r="J132" i="7"/>
  <c r="G132" i="7"/>
  <c r="D132" i="7"/>
  <c r="C132" i="7"/>
  <c r="B132" i="7"/>
  <c r="J131" i="7"/>
  <c r="K131" i="7" s="1"/>
  <c r="G131" i="7"/>
  <c r="D131" i="7"/>
  <c r="C131" i="7"/>
  <c r="B131" i="7"/>
  <c r="K130" i="7"/>
  <c r="J130" i="7"/>
  <c r="G130" i="7"/>
  <c r="D130" i="7"/>
  <c r="C130" i="7"/>
  <c r="B130" i="7"/>
  <c r="J129" i="7"/>
  <c r="K129" i="7" s="1"/>
  <c r="G129" i="7"/>
  <c r="D129" i="7"/>
  <c r="C129" i="7"/>
  <c r="B129" i="7"/>
  <c r="K128" i="7"/>
  <c r="J128" i="7"/>
  <c r="G128" i="7"/>
  <c r="D128" i="7"/>
  <c r="C128" i="7"/>
  <c r="B128" i="7"/>
  <c r="J127" i="7"/>
  <c r="K127" i="7" s="1"/>
  <c r="G127" i="7"/>
  <c r="D127" i="7"/>
  <c r="C127" i="7"/>
  <c r="B127" i="7"/>
  <c r="K126" i="7"/>
  <c r="J126" i="7"/>
  <c r="G126" i="7"/>
  <c r="D126" i="7"/>
  <c r="C126" i="7"/>
  <c r="B126" i="7"/>
  <c r="J125" i="7"/>
  <c r="K125" i="7" s="1"/>
  <c r="G125" i="7"/>
  <c r="D125" i="7"/>
  <c r="C125" i="7"/>
  <c r="B125" i="7"/>
  <c r="K124" i="7"/>
  <c r="J124" i="7"/>
  <c r="G124" i="7"/>
  <c r="D124" i="7"/>
  <c r="C124" i="7"/>
  <c r="B124" i="7"/>
  <c r="J123" i="7"/>
  <c r="K123" i="7" s="1"/>
  <c r="G123" i="7"/>
  <c r="D123" i="7"/>
  <c r="C123" i="7"/>
  <c r="B123" i="7"/>
  <c r="K122" i="7"/>
  <c r="J122" i="7"/>
  <c r="G122" i="7"/>
  <c r="D122" i="7"/>
  <c r="C122" i="7"/>
  <c r="B122" i="7"/>
  <c r="J121" i="7"/>
  <c r="K121" i="7" s="1"/>
  <c r="G121" i="7"/>
  <c r="D121" i="7"/>
  <c r="C121" i="7"/>
  <c r="B121" i="7"/>
  <c r="K120" i="7"/>
  <c r="J120" i="7"/>
  <c r="G120" i="7"/>
  <c r="D120" i="7"/>
  <c r="C120" i="7"/>
  <c r="B120" i="7"/>
  <c r="J119" i="7"/>
  <c r="K119" i="7" s="1"/>
  <c r="G119" i="7"/>
  <c r="D119" i="7"/>
  <c r="C119" i="7"/>
  <c r="B119" i="7"/>
  <c r="K118" i="7"/>
  <c r="J118" i="7"/>
  <c r="G118" i="7"/>
  <c r="D118" i="7"/>
  <c r="C118" i="7"/>
  <c r="B118" i="7"/>
  <c r="J117" i="7"/>
  <c r="K117" i="7" s="1"/>
  <c r="G117" i="7"/>
  <c r="D117" i="7"/>
  <c r="C117" i="7"/>
  <c r="B117" i="7"/>
  <c r="K116" i="7"/>
  <c r="J116" i="7"/>
  <c r="G116" i="7"/>
  <c r="D116" i="7"/>
  <c r="C116" i="7"/>
  <c r="B116" i="7"/>
  <c r="J115" i="7"/>
  <c r="K115" i="7" s="1"/>
  <c r="G115" i="7"/>
  <c r="D115" i="7"/>
  <c r="C115" i="7"/>
  <c r="B115" i="7"/>
  <c r="K114" i="7"/>
  <c r="J114" i="7"/>
  <c r="G114" i="7"/>
  <c r="D114" i="7"/>
  <c r="C114" i="7"/>
  <c r="B114" i="7"/>
  <c r="J113" i="7"/>
  <c r="K113" i="7" s="1"/>
  <c r="G113" i="7"/>
  <c r="D113" i="7"/>
  <c r="C113" i="7"/>
  <c r="B113" i="7"/>
  <c r="K112" i="7"/>
  <c r="J112" i="7"/>
  <c r="G112" i="7"/>
  <c r="D112" i="7"/>
  <c r="C112" i="7"/>
  <c r="B112" i="7"/>
  <c r="J111" i="7"/>
  <c r="K111" i="7" s="1"/>
  <c r="G111" i="7"/>
  <c r="D111" i="7"/>
  <c r="C111" i="7"/>
  <c r="B111" i="7"/>
  <c r="K110" i="7"/>
  <c r="J110" i="7"/>
  <c r="G110" i="7"/>
  <c r="D110" i="7"/>
  <c r="C110" i="7"/>
  <c r="B110" i="7"/>
  <c r="J109" i="7"/>
  <c r="K109" i="7" s="1"/>
  <c r="G109" i="7"/>
  <c r="D109" i="7"/>
  <c r="C109" i="7"/>
  <c r="B109" i="7"/>
  <c r="K108" i="7"/>
  <c r="J108" i="7"/>
  <c r="G108" i="7"/>
  <c r="D108" i="7"/>
  <c r="C108" i="7"/>
  <c r="B108" i="7"/>
  <c r="J107" i="7"/>
  <c r="K107" i="7" s="1"/>
  <c r="G107" i="7"/>
  <c r="D107" i="7"/>
  <c r="C107" i="7"/>
  <c r="B107" i="7"/>
  <c r="K106" i="7"/>
  <c r="J106" i="7"/>
  <c r="G106" i="7"/>
  <c r="D106" i="7"/>
  <c r="C106" i="7"/>
  <c r="B106" i="7"/>
  <c r="J105" i="7"/>
  <c r="K105" i="7" s="1"/>
  <c r="G105" i="7"/>
  <c r="D105" i="7"/>
  <c r="C105" i="7"/>
  <c r="B105" i="7"/>
  <c r="K104" i="7"/>
  <c r="J104" i="7"/>
  <c r="G104" i="7"/>
  <c r="D104" i="7"/>
  <c r="C104" i="7"/>
  <c r="B104" i="7"/>
  <c r="J103" i="7"/>
  <c r="K103" i="7" s="1"/>
  <c r="G103" i="7"/>
  <c r="D103" i="7"/>
  <c r="C103" i="7"/>
  <c r="B103" i="7"/>
  <c r="K102" i="7"/>
  <c r="J102" i="7"/>
  <c r="G102" i="7"/>
  <c r="D102" i="7"/>
  <c r="C102" i="7"/>
  <c r="B102" i="7"/>
  <c r="J101" i="7"/>
  <c r="K101" i="7" s="1"/>
  <c r="G101" i="7"/>
  <c r="D101" i="7"/>
  <c r="C101" i="7"/>
  <c r="B101" i="7"/>
  <c r="K100" i="7"/>
  <c r="J100" i="7"/>
  <c r="G100" i="7"/>
  <c r="D100" i="7"/>
  <c r="C100" i="7"/>
  <c r="B100" i="7"/>
  <c r="J99" i="7"/>
  <c r="K99" i="7" s="1"/>
  <c r="G99" i="7"/>
  <c r="D99" i="7"/>
  <c r="C99" i="7"/>
  <c r="B99" i="7"/>
  <c r="K98" i="7"/>
  <c r="J98" i="7"/>
  <c r="G98" i="7"/>
  <c r="D98" i="7"/>
  <c r="C98" i="7"/>
  <c r="B98" i="7"/>
  <c r="J97" i="7"/>
  <c r="K97" i="7" s="1"/>
  <c r="G97" i="7"/>
  <c r="D97" i="7"/>
  <c r="C97" i="7"/>
  <c r="B97" i="7"/>
  <c r="K96" i="7"/>
  <c r="J96" i="7"/>
  <c r="G96" i="7"/>
  <c r="D96" i="7"/>
  <c r="C96" i="7"/>
  <c r="B96" i="7"/>
  <c r="J95" i="7"/>
  <c r="K95" i="7" s="1"/>
  <c r="G95" i="7"/>
  <c r="D95" i="7"/>
  <c r="C95" i="7"/>
  <c r="B95" i="7"/>
  <c r="K94" i="7"/>
  <c r="J94" i="7"/>
  <c r="G94" i="7"/>
  <c r="D94" i="7"/>
  <c r="C94" i="7"/>
  <c r="B94" i="7"/>
  <c r="J93" i="7"/>
  <c r="K93" i="7" s="1"/>
  <c r="G93" i="7"/>
  <c r="D93" i="7"/>
  <c r="C93" i="7"/>
  <c r="B93" i="7"/>
  <c r="K92" i="7"/>
  <c r="J92" i="7"/>
  <c r="G92" i="7"/>
  <c r="D92" i="7"/>
  <c r="C92" i="7"/>
  <c r="B92" i="7"/>
  <c r="J91" i="7"/>
  <c r="K91" i="7" s="1"/>
  <c r="G91" i="7"/>
  <c r="D91" i="7"/>
  <c r="C91" i="7"/>
  <c r="B91" i="7"/>
  <c r="K90" i="7"/>
  <c r="J90" i="7"/>
  <c r="G90" i="7"/>
  <c r="D90" i="7"/>
  <c r="C90" i="7"/>
  <c r="B90" i="7"/>
  <c r="J89" i="7"/>
  <c r="K89" i="7" s="1"/>
  <c r="G89" i="7"/>
  <c r="D89" i="7"/>
  <c r="C89" i="7"/>
  <c r="B89" i="7"/>
  <c r="K88" i="7"/>
  <c r="J88" i="7"/>
  <c r="G88" i="7"/>
  <c r="D88" i="7"/>
  <c r="C88" i="7"/>
  <c r="B88" i="7"/>
  <c r="J87" i="7"/>
  <c r="K87" i="7" s="1"/>
  <c r="G87" i="7"/>
  <c r="D87" i="7"/>
  <c r="C87" i="7"/>
  <c r="B87" i="7"/>
  <c r="K86" i="7"/>
  <c r="J86" i="7"/>
  <c r="G86" i="7"/>
  <c r="D86" i="7"/>
  <c r="C86" i="7"/>
  <c r="B86" i="7"/>
  <c r="J85" i="7"/>
  <c r="K85" i="7" s="1"/>
  <c r="G85" i="7"/>
  <c r="D85" i="7"/>
  <c r="C85" i="7"/>
  <c r="B85" i="7"/>
  <c r="K84" i="7"/>
  <c r="J84" i="7"/>
  <c r="G84" i="7"/>
  <c r="D84" i="7"/>
  <c r="C84" i="7"/>
  <c r="B84" i="7"/>
  <c r="J83" i="7"/>
  <c r="K83" i="7" s="1"/>
  <c r="G83" i="7"/>
  <c r="D83" i="7"/>
  <c r="C83" i="7"/>
  <c r="B83" i="7"/>
  <c r="K82" i="7"/>
  <c r="J82" i="7"/>
  <c r="G82" i="7"/>
  <c r="D82" i="7"/>
  <c r="C82" i="7"/>
  <c r="B82" i="7"/>
  <c r="J81" i="7"/>
  <c r="K81" i="7" s="1"/>
  <c r="G81" i="7"/>
  <c r="D81" i="7"/>
  <c r="C81" i="7"/>
  <c r="B81" i="7"/>
  <c r="K80" i="7"/>
  <c r="J80" i="7"/>
  <c r="G80" i="7"/>
  <c r="D80" i="7"/>
  <c r="C80" i="7"/>
  <c r="B80" i="7"/>
  <c r="J79" i="7"/>
  <c r="K79" i="7" s="1"/>
  <c r="G79" i="7"/>
  <c r="D79" i="7"/>
  <c r="C79" i="7"/>
  <c r="B79" i="7"/>
  <c r="K78" i="7"/>
  <c r="J78" i="7"/>
  <c r="G78" i="7"/>
  <c r="D78" i="7"/>
  <c r="C78" i="7"/>
  <c r="B78" i="7"/>
  <c r="J77" i="7"/>
  <c r="K77" i="7" s="1"/>
  <c r="G77" i="7"/>
  <c r="D77" i="7"/>
  <c r="C77" i="7"/>
  <c r="B77" i="7"/>
  <c r="K76" i="7"/>
  <c r="J76" i="7"/>
  <c r="G76" i="7"/>
  <c r="D76" i="7"/>
  <c r="C76" i="7"/>
  <c r="B76" i="7"/>
  <c r="J75" i="7"/>
  <c r="K75" i="7" s="1"/>
  <c r="G75" i="7"/>
  <c r="D75" i="7"/>
  <c r="C75" i="7"/>
  <c r="B75" i="7"/>
  <c r="K74" i="7"/>
  <c r="J74" i="7"/>
  <c r="G74" i="7"/>
  <c r="D74" i="7"/>
  <c r="C74" i="7"/>
  <c r="B74" i="7"/>
  <c r="J73" i="7"/>
  <c r="K73" i="7" s="1"/>
  <c r="G73" i="7"/>
  <c r="D73" i="7"/>
  <c r="C73" i="7"/>
  <c r="B73" i="7"/>
  <c r="K72" i="7"/>
  <c r="J72" i="7"/>
  <c r="G72" i="7"/>
  <c r="D72" i="7"/>
  <c r="C72" i="7"/>
  <c r="B72" i="7"/>
  <c r="J71" i="7"/>
  <c r="K71" i="7" s="1"/>
  <c r="G71" i="7"/>
  <c r="D71" i="7"/>
  <c r="C71" i="7"/>
  <c r="B71" i="7"/>
  <c r="K70" i="7"/>
  <c r="J70" i="7"/>
  <c r="G70" i="7"/>
  <c r="D70" i="7"/>
  <c r="C70" i="7"/>
  <c r="B70" i="7"/>
  <c r="J69" i="7"/>
  <c r="K69" i="7" s="1"/>
  <c r="G69" i="7"/>
  <c r="D69" i="7"/>
  <c r="C69" i="7"/>
  <c r="B69" i="7"/>
  <c r="K68" i="7"/>
  <c r="J68" i="7"/>
  <c r="G68" i="7"/>
  <c r="D68" i="7"/>
  <c r="C68" i="7"/>
  <c r="B68" i="7"/>
  <c r="J67" i="7"/>
  <c r="K67" i="7" s="1"/>
  <c r="G67" i="7"/>
  <c r="D67" i="7"/>
  <c r="C67" i="7"/>
  <c r="B67" i="7"/>
  <c r="K66" i="7"/>
  <c r="J66" i="7"/>
  <c r="G66" i="7"/>
  <c r="D66" i="7"/>
  <c r="C66" i="7"/>
  <c r="B66" i="7"/>
  <c r="J65" i="7"/>
  <c r="K65" i="7" s="1"/>
  <c r="G65" i="7"/>
  <c r="D65" i="7"/>
  <c r="C65" i="7"/>
  <c r="B65" i="7"/>
  <c r="K64" i="7"/>
  <c r="J64" i="7"/>
  <c r="G64" i="7"/>
  <c r="D64" i="7"/>
  <c r="C64" i="7"/>
  <c r="B64" i="7"/>
  <c r="J63" i="7"/>
  <c r="K63" i="7" s="1"/>
  <c r="G63" i="7"/>
  <c r="D63" i="7"/>
  <c r="C63" i="7"/>
  <c r="B63" i="7"/>
  <c r="K62" i="7"/>
  <c r="J62" i="7"/>
  <c r="G62" i="7"/>
  <c r="D62" i="7"/>
  <c r="C62" i="7"/>
  <c r="B62" i="7"/>
  <c r="J61" i="7"/>
  <c r="K61" i="7" s="1"/>
  <c r="G61" i="7"/>
  <c r="D61" i="7"/>
  <c r="C61" i="7"/>
  <c r="B61" i="7"/>
  <c r="K60" i="7"/>
  <c r="J60" i="7"/>
  <c r="G60" i="7"/>
  <c r="D60" i="7"/>
  <c r="C60" i="7"/>
  <c r="B60" i="7"/>
  <c r="J59" i="7"/>
  <c r="K59" i="7" s="1"/>
  <c r="G59" i="7"/>
  <c r="D59" i="7"/>
  <c r="C59" i="7"/>
  <c r="B59" i="7"/>
  <c r="K58" i="7"/>
  <c r="J58" i="7"/>
  <c r="G58" i="7"/>
  <c r="D58" i="7"/>
  <c r="C58" i="7"/>
  <c r="B58" i="7"/>
  <c r="J57" i="7"/>
  <c r="K57" i="7" s="1"/>
  <c r="G57" i="7"/>
  <c r="D57" i="7"/>
  <c r="C57" i="7"/>
  <c r="B57" i="7"/>
  <c r="K56" i="7"/>
  <c r="J56" i="7"/>
  <c r="G56" i="7"/>
  <c r="D56" i="7"/>
  <c r="C56" i="7"/>
  <c r="B56" i="7"/>
  <c r="J55" i="7"/>
  <c r="K55" i="7" s="1"/>
  <c r="G55" i="7"/>
  <c r="D55" i="7"/>
  <c r="C55" i="7"/>
  <c r="B55" i="7"/>
  <c r="K54" i="7"/>
  <c r="J54" i="7"/>
  <c r="G54" i="7"/>
  <c r="D54" i="7"/>
  <c r="C54" i="7"/>
  <c r="B54" i="7"/>
  <c r="J53" i="7"/>
  <c r="K53" i="7" s="1"/>
  <c r="G53" i="7"/>
  <c r="D53" i="7"/>
  <c r="C53" i="7"/>
  <c r="B53" i="7"/>
  <c r="K52" i="7"/>
  <c r="J52" i="7"/>
  <c r="G52" i="7"/>
  <c r="D52" i="7"/>
  <c r="C52" i="7"/>
  <c r="B52" i="7"/>
  <c r="J51" i="7"/>
  <c r="K51" i="7" s="1"/>
  <c r="G51" i="7"/>
  <c r="D51" i="7"/>
  <c r="C51" i="7"/>
  <c r="B51" i="7"/>
  <c r="K50" i="7"/>
  <c r="J50" i="7"/>
  <c r="G50" i="7"/>
  <c r="D50" i="7"/>
  <c r="C50" i="7"/>
  <c r="B50" i="7"/>
  <c r="J49" i="7"/>
  <c r="K49" i="7" s="1"/>
  <c r="G49" i="7"/>
  <c r="D49" i="7"/>
  <c r="C49" i="7"/>
  <c r="B49" i="7"/>
  <c r="K48" i="7"/>
  <c r="J48" i="7"/>
  <c r="G48" i="7"/>
  <c r="D48" i="7"/>
  <c r="C48" i="7"/>
  <c r="B48" i="7"/>
  <c r="J47" i="7"/>
  <c r="K47" i="7" s="1"/>
  <c r="G47" i="7"/>
  <c r="D47" i="7"/>
  <c r="C47" i="7"/>
  <c r="B47" i="7"/>
  <c r="K46" i="7"/>
  <c r="J46" i="7"/>
  <c r="G46" i="7"/>
  <c r="D46" i="7"/>
  <c r="C46" i="7"/>
  <c r="B46" i="7"/>
  <c r="J45" i="7"/>
  <c r="K45" i="7" s="1"/>
  <c r="G45" i="7"/>
  <c r="D45" i="7"/>
  <c r="C45" i="7"/>
  <c r="B45" i="7"/>
  <c r="K44" i="7"/>
  <c r="J44" i="7"/>
  <c r="G44" i="7"/>
  <c r="D44" i="7"/>
  <c r="C44" i="7"/>
  <c r="B44" i="7"/>
  <c r="J43" i="7"/>
  <c r="K43" i="7" s="1"/>
  <c r="G43" i="7"/>
  <c r="D43" i="7"/>
  <c r="C43" i="7"/>
  <c r="B43" i="7"/>
  <c r="K42" i="7"/>
  <c r="J42" i="7"/>
  <c r="G42" i="7"/>
  <c r="D42" i="7"/>
  <c r="C42" i="7"/>
  <c r="B42" i="7"/>
  <c r="J41" i="7"/>
  <c r="K41" i="7" s="1"/>
  <c r="G41" i="7"/>
  <c r="D41" i="7"/>
  <c r="C41" i="7"/>
  <c r="B41" i="7"/>
  <c r="K40" i="7"/>
  <c r="J40" i="7"/>
  <c r="G40" i="7"/>
  <c r="D40" i="7"/>
  <c r="C40" i="7"/>
  <c r="B40" i="7"/>
  <c r="J39" i="7"/>
  <c r="K39" i="7" s="1"/>
  <c r="G39" i="7"/>
  <c r="D39" i="7"/>
  <c r="C39" i="7"/>
  <c r="B39" i="7"/>
  <c r="K38" i="7"/>
  <c r="J38" i="7"/>
  <c r="G38" i="7"/>
  <c r="D38" i="7"/>
  <c r="C38" i="7"/>
  <c r="B38" i="7"/>
  <c r="J37" i="7"/>
  <c r="K37" i="7" s="1"/>
  <c r="G37" i="7"/>
  <c r="D37" i="7"/>
  <c r="C37" i="7"/>
  <c r="B37" i="7"/>
  <c r="K36" i="7"/>
  <c r="J36" i="7"/>
  <c r="G36" i="7"/>
  <c r="D36" i="7"/>
  <c r="C36" i="7"/>
  <c r="B36" i="7"/>
  <c r="J35" i="7"/>
  <c r="K35" i="7" s="1"/>
  <c r="G35" i="7"/>
  <c r="D35" i="7"/>
  <c r="C35" i="7"/>
  <c r="B35" i="7"/>
  <c r="K34" i="7"/>
  <c r="J34" i="7"/>
  <c r="G34" i="7"/>
  <c r="D34" i="7"/>
  <c r="C34" i="7"/>
  <c r="B34" i="7"/>
  <c r="J33" i="7"/>
  <c r="K33" i="7" s="1"/>
  <c r="G33" i="7"/>
  <c r="D33" i="7"/>
  <c r="C33" i="7"/>
  <c r="B33" i="7"/>
  <c r="K32" i="7"/>
  <c r="J32" i="7"/>
  <c r="G32" i="7"/>
  <c r="D32" i="7"/>
  <c r="C32" i="7"/>
  <c r="B32" i="7"/>
  <c r="J31" i="7"/>
  <c r="K31" i="7" s="1"/>
  <c r="G31" i="7"/>
  <c r="D31" i="7"/>
  <c r="C31" i="7"/>
  <c r="B31" i="7"/>
  <c r="K30" i="7"/>
  <c r="J30" i="7"/>
  <c r="G30" i="7"/>
  <c r="D30" i="7"/>
  <c r="C30" i="7"/>
  <c r="B30" i="7"/>
  <c r="J29" i="7"/>
  <c r="K29" i="7" s="1"/>
  <c r="G29" i="7"/>
  <c r="D29" i="7"/>
  <c r="C29" i="7"/>
  <c r="B29" i="7"/>
  <c r="K28" i="7"/>
  <c r="J28" i="7"/>
  <c r="G28" i="7"/>
  <c r="D28" i="7"/>
  <c r="C28" i="7"/>
  <c r="B28" i="7"/>
  <c r="J27" i="7"/>
  <c r="K27" i="7" s="1"/>
  <c r="G27" i="7"/>
  <c r="D27" i="7"/>
  <c r="C27" i="7"/>
  <c r="B27" i="7"/>
  <c r="K26" i="7"/>
  <c r="J26" i="7"/>
  <c r="G26" i="7"/>
  <c r="D26" i="7"/>
  <c r="C26" i="7"/>
  <c r="B26" i="7"/>
  <c r="J25" i="7"/>
  <c r="K25" i="7" s="1"/>
  <c r="G25" i="7"/>
  <c r="D25" i="7"/>
  <c r="C25" i="7"/>
  <c r="B25" i="7"/>
  <c r="K24" i="7"/>
  <c r="J24" i="7"/>
  <c r="G24" i="7"/>
  <c r="D24" i="7"/>
  <c r="C24" i="7"/>
  <c r="B24" i="7"/>
  <c r="J23" i="7"/>
  <c r="K23" i="7" s="1"/>
  <c r="G23" i="7"/>
  <c r="D23" i="7"/>
  <c r="C23" i="7"/>
  <c r="B23" i="7"/>
  <c r="K22" i="7"/>
  <c r="J22" i="7"/>
  <c r="G22" i="7"/>
  <c r="D22" i="7"/>
  <c r="C22" i="7"/>
  <c r="B22" i="7"/>
  <c r="J21" i="7"/>
  <c r="K21" i="7" s="1"/>
  <c r="G21" i="7"/>
  <c r="D21" i="7"/>
  <c r="C21" i="7"/>
  <c r="B21" i="7"/>
  <c r="K20" i="7"/>
  <c r="J20" i="7"/>
  <c r="G20" i="7"/>
  <c r="D20" i="7"/>
  <c r="C20" i="7"/>
  <c r="B20" i="7"/>
  <c r="J19" i="7"/>
  <c r="K19" i="7" s="1"/>
  <c r="G19" i="7"/>
  <c r="D19" i="7"/>
  <c r="C19" i="7"/>
  <c r="B19" i="7"/>
  <c r="K18" i="7"/>
  <c r="J18" i="7"/>
  <c r="G18" i="7"/>
  <c r="D18" i="7"/>
  <c r="C18" i="7"/>
  <c r="B18" i="7"/>
  <c r="J17" i="7"/>
  <c r="K17" i="7" s="1"/>
  <c r="G17" i="7"/>
  <c r="D17" i="7"/>
  <c r="C17" i="7"/>
  <c r="B17" i="7"/>
  <c r="K16" i="7"/>
  <c r="J16" i="7"/>
  <c r="G16" i="7"/>
  <c r="D16" i="7"/>
  <c r="C16" i="7"/>
  <c r="B16" i="7"/>
  <c r="J15" i="7"/>
  <c r="K15" i="7" s="1"/>
  <c r="G15" i="7"/>
  <c r="D15" i="7"/>
  <c r="C15" i="7"/>
  <c r="B15" i="7"/>
  <c r="K14" i="7"/>
  <c r="J14" i="7"/>
  <c r="G14" i="7"/>
  <c r="D14" i="7"/>
  <c r="C14" i="7"/>
  <c r="B14" i="7"/>
  <c r="J13" i="7"/>
  <c r="K13" i="7" s="1"/>
  <c r="G13" i="7"/>
  <c r="D13" i="7"/>
  <c r="C13" i="7"/>
  <c r="B13" i="7"/>
  <c r="K12" i="7"/>
  <c r="J12" i="7"/>
  <c r="G12" i="7"/>
  <c r="D12" i="7"/>
  <c r="C12" i="7"/>
  <c r="B12" i="7"/>
  <c r="J11" i="7"/>
  <c r="K11" i="7" s="1"/>
  <c r="G11" i="7"/>
  <c r="D11" i="7"/>
  <c r="C11" i="7"/>
  <c r="B11" i="7"/>
  <c r="K10" i="7"/>
  <c r="J10" i="7"/>
  <c r="G10" i="7"/>
  <c r="D10" i="7"/>
  <c r="C10" i="7"/>
  <c r="B10" i="7"/>
  <c r="J9" i="7"/>
  <c r="K9" i="7" s="1"/>
  <c r="G9" i="7"/>
  <c r="D9" i="7"/>
  <c r="C9" i="7"/>
  <c r="B9" i="7"/>
  <c r="K4" i="7"/>
  <c r="G4" i="7"/>
  <c r="D4" i="7"/>
  <c r="A4" i="7"/>
  <c r="J208" i="6"/>
  <c r="I208" i="6"/>
  <c r="F208" i="6"/>
  <c r="D208" i="6"/>
  <c r="C208" i="6"/>
  <c r="B208" i="6"/>
  <c r="I207" i="6"/>
  <c r="J207" i="6" s="1"/>
  <c r="F207" i="6"/>
  <c r="D207" i="6"/>
  <c r="C207" i="6"/>
  <c r="B207" i="6"/>
  <c r="I206" i="6"/>
  <c r="J206" i="6" s="1"/>
  <c r="F206" i="6"/>
  <c r="D206" i="6"/>
  <c r="C206" i="6"/>
  <c r="B206" i="6"/>
  <c r="I205" i="6"/>
  <c r="J205" i="6" s="1"/>
  <c r="F205" i="6"/>
  <c r="D205" i="6"/>
  <c r="C205" i="6"/>
  <c r="B205" i="6"/>
  <c r="J204" i="6"/>
  <c r="I204" i="6"/>
  <c r="F204" i="6"/>
  <c r="D204" i="6"/>
  <c r="C204" i="6"/>
  <c r="B204" i="6"/>
  <c r="I203" i="6"/>
  <c r="J203" i="6" s="1"/>
  <c r="F203" i="6"/>
  <c r="D203" i="6"/>
  <c r="C203" i="6"/>
  <c r="B203" i="6"/>
  <c r="I202" i="6"/>
  <c r="J202" i="6" s="1"/>
  <c r="F202" i="6"/>
  <c r="D202" i="6"/>
  <c r="C202" i="6"/>
  <c r="B202" i="6"/>
  <c r="I201" i="6"/>
  <c r="J201" i="6" s="1"/>
  <c r="F201" i="6"/>
  <c r="D201" i="6"/>
  <c r="C201" i="6"/>
  <c r="B201" i="6"/>
  <c r="J200" i="6"/>
  <c r="I200" i="6"/>
  <c r="F200" i="6"/>
  <c r="D200" i="6"/>
  <c r="C200" i="6"/>
  <c r="B200" i="6"/>
  <c r="I199" i="6"/>
  <c r="J199" i="6" s="1"/>
  <c r="F199" i="6"/>
  <c r="D199" i="6"/>
  <c r="C199" i="6"/>
  <c r="B199" i="6"/>
  <c r="I198" i="6"/>
  <c r="J198" i="6" s="1"/>
  <c r="F198" i="6"/>
  <c r="D198" i="6"/>
  <c r="C198" i="6"/>
  <c r="B198" i="6"/>
  <c r="I197" i="6"/>
  <c r="J197" i="6" s="1"/>
  <c r="F197" i="6"/>
  <c r="D197" i="6"/>
  <c r="C197" i="6"/>
  <c r="B197" i="6"/>
  <c r="J196" i="6"/>
  <c r="I196" i="6"/>
  <c r="F196" i="6"/>
  <c r="D196" i="6"/>
  <c r="C196" i="6"/>
  <c r="B196" i="6"/>
  <c r="I195" i="6"/>
  <c r="J195" i="6" s="1"/>
  <c r="F195" i="6"/>
  <c r="D195" i="6"/>
  <c r="C195" i="6"/>
  <c r="B195" i="6"/>
  <c r="I194" i="6"/>
  <c r="J194" i="6" s="1"/>
  <c r="F194" i="6"/>
  <c r="D194" i="6"/>
  <c r="C194" i="6"/>
  <c r="B194" i="6"/>
  <c r="I193" i="6"/>
  <c r="J193" i="6" s="1"/>
  <c r="F193" i="6"/>
  <c r="D193" i="6"/>
  <c r="C193" i="6"/>
  <c r="B193" i="6"/>
  <c r="J192" i="6"/>
  <c r="I192" i="6"/>
  <c r="F192" i="6"/>
  <c r="D192" i="6"/>
  <c r="C192" i="6"/>
  <c r="B192" i="6"/>
  <c r="I191" i="6"/>
  <c r="J191" i="6" s="1"/>
  <c r="F191" i="6"/>
  <c r="D191" i="6"/>
  <c r="C191" i="6"/>
  <c r="B191" i="6"/>
  <c r="I190" i="6"/>
  <c r="J190" i="6" s="1"/>
  <c r="F190" i="6"/>
  <c r="D190" i="6"/>
  <c r="C190" i="6"/>
  <c r="B190" i="6"/>
  <c r="I189" i="6"/>
  <c r="J189" i="6" s="1"/>
  <c r="F189" i="6"/>
  <c r="D189" i="6"/>
  <c r="C189" i="6"/>
  <c r="B189" i="6"/>
  <c r="J188" i="6"/>
  <c r="I188" i="6"/>
  <c r="F188" i="6"/>
  <c r="D188" i="6"/>
  <c r="C188" i="6"/>
  <c r="B188" i="6"/>
  <c r="I187" i="6"/>
  <c r="J187" i="6" s="1"/>
  <c r="F187" i="6"/>
  <c r="D187" i="6"/>
  <c r="C187" i="6"/>
  <c r="B187" i="6"/>
  <c r="I186" i="6"/>
  <c r="J186" i="6" s="1"/>
  <c r="F186" i="6"/>
  <c r="D186" i="6"/>
  <c r="C186" i="6"/>
  <c r="B186" i="6"/>
  <c r="I185" i="6"/>
  <c r="J185" i="6" s="1"/>
  <c r="F185" i="6"/>
  <c r="D185" i="6"/>
  <c r="C185" i="6"/>
  <c r="B185" i="6"/>
  <c r="J184" i="6"/>
  <c r="I184" i="6"/>
  <c r="F184" i="6"/>
  <c r="D184" i="6"/>
  <c r="C184" i="6"/>
  <c r="B184" i="6"/>
  <c r="I183" i="6"/>
  <c r="J183" i="6" s="1"/>
  <c r="F183" i="6"/>
  <c r="D183" i="6"/>
  <c r="C183" i="6"/>
  <c r="B183" i="6"/>
  <c r="I182" i="6"/>
  <c r="J182" i="6" s="1"/>
  <c r="F182" i="6"/>
  <c r="D182" i="6"/>
  <c r="C182" i="6"/>
  <c r="B182" i="6"/>
  <c r="I181" i="6"/>
  <c r="J181" i="6" s="1"/>
  <c r="F181" i="6"/>
  <c r="D181" i="6"/>
  <c r="C181" i="6"/>
  <c r="B181" i="6"/>
  <c r="J180" i="6"/>
  <c r="I180" i="6"/>
  <c r="F180" i="6"/>
  <c r="D180" i="6"/>
  <c r="C180" i="6"/>
  <c r="B180" i="6"/>
  <c r="I179" i="6"/>
  <c r="J179" i="6" s="1"/>
  <c r="F179" i="6"/>
  <c r="D179" i="6"/>
  <c r="C179" i="6"/>
  <c r="B179" i="6"/>
  <c r="I178" i="6"/>
  <c r="J178" i="6" s="1"/>
  <c r="F178" i="6"/>
  <c r="D178" i="6"/>
  <c r="C178" i="6"/>
  <c r="B178" i="6"/>
  <c r="I177" i="6"/>
  <c r="J177" i="6" s="1"/>
  <c r="F177" i="6"/>
  <c r="D177" i="6"/>
  <c r="C177" i="6"/>
  <c r="B177" i="6"/>
  <c r="J176" i="6"/>
  <c r="I176" i="6"/>
  <c r="F176" i="6"/>
  <c r="D176" i="6"/>
  <c r="C176" i="6"/>
  <c r="B176" i="6"/>
  <c r="I175" i="6"/>
  <c r="J175" i="6" s="1"/>
  <c r="F175" i="6"/>
  <c r="D175" i="6"/>
  <c r="C175" i="6"/>
  <c r="B175" i="6"/>
  <c r="I174" i="6"/>
  <c r="J174" i="6" s="1"/>
  <c r="F174" i="6"/>
  <c r="D174" i="6"/>
  <c r="C174" i="6"/>
  <c r="B174" i="6"/>
  <c r="I173" i="6"/>
  <c r="J173" i="6" s="1"/>
  <c r="F173" i="6"/>
  <c r="D173" i="6"/>
  <c r="C173" i="6"/>
  <c r="B173" i="6"/>
  <c r="J172" i="6"/>
  <c r="I172" i="6"/>
  <c r="F172" i="6"/>
  <c r="D172" i="6"/>
  <c r="C172" i="6"/>
  <c r="B172" i="6"/>
  <c r="I171" i="6"/>
  <c r="J171" i="6" s="1"/>
  <c r="F171" i="6"/>
  <c r="D171" i="6"/>
  <c r="C171" i="6"/>
  <c r="B171" i="6"/>
  <c r="I170" i="6"/>
  <c r="J170" i="6" s="1"/>
  <c r="F170" i="6"/>
  <c r="D170" i="6"/>
  <c r="C170" i="6"/>
  <c r="B170" i="6"/>
  <c r="I169" i="6"/>
  <c r="J169" i="6" s="1"/>
  <c r="F169" i="6"/>
  <c r="D169" i="6"/>
  <c r="C169" i="6"/>
  <c r="B169" i="6"/>
  <c r="J168" i="6"/>
  <c r="I168" i="6"/>
  <c r="F168" i="6"/>
  <c r="D168" i="6"/>
  <c r="C168" i="6"/>
  <c r="B168" i="6"/>
  <c r="I167" i="6"/>
  <c r="J167" i="6" s="1"/>
  <c r="F167" i="6"/>
  <c r="D167" i="6"/>
  <c r="C167" i="6"/>
  <c r="B167" i="6"/>
  <c r="I166" i="6"/>
  <c r="J166" i="6" s="1"/>
  <c r="F166" i="6"/>
  <c r="D166" i="6"/>
  <c r="C166" i="6"/>
  <c r="B166" i="6"/>
  <c r="I165" i="6"/>
  <c r="J165" i="6" s="1"/>
  <c r="F165" i="6"/>
  <c r="D165" i="6"/>
  <c r="C165" i="6"/>
  <c r="B165" i="6"/>
  <c r="J164" i="6"/>
  <c r="I164" i="6"/>
  <c r="F164" i="6"/>
  <c r="D164" i="6"/>
  <c r="C164" i="6"/>
  <c r="B164" i="6"/>
  <c r="I163" i="6"/>
  <c r="J163" i="6" s="1"/>
  <c r="F163" i="6"/>
  <c r="D163" i="6"/>
  <c r="C163" i="6"/>
  <c r="B163" i="6"/>
  <c r="I162" i="6"/>
  <c r="J162" i="6" s="1"/>
  <c r="F162" i="6"/>
  <c r="D162" i="6"/>
  <c r="C162" i="6"/>
  <c r="B162" i="6"/>
  <c r="I161" i="6"/>
  <c r="J161" i="6" s="1"/>
  <c r="F161" i="6"/>
  <c r="D161" i="6"/>
  <c r="C161" i="6"/>
  <c r="B161" i="6"/>
  <c r="J160" i="6"/>
  <c r="I160" i="6"/>
  <c r="F160" i="6"/>
  <c r="D160" i="6"/>
  <c r="C160" i="6"/>
  <c r="B160" i="6"/>
  <c r="I159" i="6"/>
  <c r="J159" i="6" s="1"/>
  <c r="F159" i="6"/>
  <c r="D159" i="6"/>
  <c r="C159" i="6"/>
  <c r="B159" i="6"/>
  <c r="I158" i="6"/>
  <c r="J158" i="6" s="1"/>
  <c r="F158" i="6"/>
  <c r="D158" i="6"/>
  <c r="C158" i="6"/>
  <c r="B158" i="6"/>
  <c r="I157" i="6"/>
  <c r="J157" i="6" s="1"/>
  <c r="F157" i="6"/>
  <c r="D157" i="6"/>
  <c r="C157" i="6"/>
  <c r="B157" i="6"/>
  <c r="J156" i="6"/>
  <c r="I156" i="6"/>
  <c r="F156" i="6"/>
  <c r="D156" i="6"/>
  <c r="C156" i="6"/>
  <c r="B156" i="6"/>
  <c r="I155" i="6"/>
  <c r="J155" i="6" s="1"/>
  <c r="F155" i="6"/>
  <c r="D155" i="6"/>
  <c r="C155" i="6"/>
  <c r="B155" i="6"/>
  <c r="I154" i="6"/>
  <c r="J154" i="6" s="1"/>
  <c r="F154" i="6"/>
  <c r="D154" i="6"/>
  <c r="C154" i="6"/>
  <c r="B154" i="6"/>
  <c r="I153" i="6"/>
  <c r="J153" i="6" s="1"/>
  <c r="F153" i="6"/>
  <c r="D153" i="6"/>
  <c r="C153" i="6"/>
  <c r="B153" i="6"/>
  <c r="J152" i="6"/>
  <c r="I152" i="6"/>
  <c r="F152" i="6"/>
  <c r="D152" i="6"/>
  <c r="C152" i="6"/>
  <c r="B152" i="6"/>
  <c r="I151" i="6"/>
  <c r="J151" i="6" s="1"/>
  <c r="F151" i="6"/>
  <c r="D151" i="6"/>
  <c r="C151" i="6"/>
  <c r="B151" i="6"/>
  <c r="I150" i="6"/>
  <c r="J150" i="6" s="1"/>
  <c r="F150" i="6"/>
  <c r="D150" i="6"/>
  <c r="C150" i="6"/>
  <c r="B150" i="6"/>
  <c r="I149" i="6"/>
  <c r="J149" i="6" s="1"/>
  <c r="F149" i="6"/>
  <c r="D149" i="6"/>
  <c r="C149" i="6"/>
  <c r="B149" i="6"/>
  <c r="J148" i="6"/>
  <c r="I148" i="6"/>
  <c r="F148" i="6"/>
  <c r="D148" i="6"/>
  <c r="C148" i="6"/>
  <c r="B148" i="6"/>
  <c r="I147" i="6"/>
  <c r="J147" i="6" s="1"/>
  <c r="F147" i="6"/>
  <c r="D147" i="6"/>
  <c r="C147" i="6"/>
  <c r="B147" i="6"/>
  <c r="I146" i="6"/>
  <c r="J146" i="6" s="1"/>
  <c r="F146" i="6"/>
  <c r="D146" i="6"/>
  <c r="C146" i="6"/>
  <c r="B146" i="6"/>
  <c r="I145" i="6"/>
  <c r="J145" i="6" s="1"/>
  <c r="F145" i="6"/>
  <c r="D145" i="6"/>
  <c r="C145" i="6"/>
  <c r="B145" i="6"/>
  <c r="J144" i="6"/>
  <c r="I144" i="6"/>
  <c r="F144" i="6"/>
  <c r="D144" i="6"/>
  <c r="C144" i="6"/>
  <c r="B144" i="6"/>
  <c r="I143" i="6"/>
  <c r="J143" i="6" s="1"/>
  <c r="F143" i="6"/>
  <c r="D143" i="6"/>
  <c r="C143" i="6"/>
  <c r="B143" i="6"/>
  <c r="I142" i="6"/>
  <c r="J142" i="6" s="1"/>
  <c r="F142" i="6"/>
  <c r="D142" i="6"/>
  <c r="C142" i="6"/>
  <c r="B142" i="6"/>
  <c r="I141" i="6"/>
  <c r="J141" i="6" s="1"/>
  <c r="F141" i="6"/>
  <c r="D141" i="6"/>
  <c r="C141" i="6"/>
  <c r="B141" i="6"/>
  <c r="J140" i="6"/>
  <c r="I140" i="6"/>
  <c r="F140" i="6"/>
  <c r="D140" i="6"/>
  <c r="C140" i="6"/>
  <c r="B140" i="6"/>
  <c r="I139" i="6"/>
  <c r="J139" i="6" s="1"/>
  <c r="F139" i="6"/>
  <c r="D139" i="6"/>
  <c r="C139" i="6"/>
  <c r="B139" i="6"/>
  <c r="I138" i="6"/>
  <c r="J138" i="6" s="1"/>
  <c r="F138" i="6"/>
  <c r="D138" i="6"/>
  <c r="C138" i="6"/>
  <c r="B138" i="6"/>
  <c r="I137" i="6"/>
  <c r="J137" i="6" s="1"/>
  <c r="F137" i="6"/>
  <c r="D137" i="6"/>
  <c r="C137" i="6"/>
  <c r="B137" i="6"/>
  <c r="J136" i="6"/>
  <c r="I136" i="6"/>
  <c r="F136" i="6"/>
  <c r="D136" i="6"/>
  <c r="C136" i="6"/>
  <c r="B136" i="6"/>
  <c r="I135" i="6"/>
  <c r="J135" i="6" s="1"/>
  <c r="F135" i="6"/>
  <c r="D135" i="6"/>
  <c r="C135" i="6"/>
  <c r="B135" i="6"/>
  <c r="I134" i="6"/>
  <c r="J134" i="6" s="1"/>
  <c r="F134" i="6"/>
  <c r="D134" i="6"/>
  <c r="C134" i="6"/>
  <c r="B134" i="6"/>
  <c r="I133" i="6"/>
  <c r="J133" i="6" s="1"/>
  <c r="F133" i="6"/>
  <c r="D133" i="6"/>
  <c r="C133" i="6"/>
  <c r="B133" i="6"/>
  <c r="J132" i="6"/>
  <c r="I132" i="6"/>
  <c r="F132" i="6"/>
  <c r="D132" i="6"/>
  <c r="C132" i="6"/>
  <c r="B132" i="6"/>
  <c r="I131" i="6"/>
  <c r="J131" i="6" s="1"/>
  <c r="F131" i="6"/>
  <c r="D131" i="6"/>
  <c r="C131" i="6"/>
  <c r="B131" i="6"/>
  <c r="I130" i="6"/>
  <c r="J130" i="6" s="1"/>
  <c r="F130" i="6"/>
  <c r="D130" i="6"/>
  <c r="C130" i="6"/>
  <c r="B130" i="6"/>
  <c r="I129" i="6"/>
  <c r="J129" i="6" s="1"/>
  <c r="F129" i="6"/>
  <c r="D129" i="6"/>
  <c r="C129" i="6"/>
  <c r="B129" i="6"/>
  <c r="J128" i="6"/>
  <c r="I128" i="6"/>
  <c r="F128" i="6"/>
  <c r="D128" i="6"/>
  <c r="C128" i="6"/>
  <c r="B128" i="6"/>
  <c r="I127" i="6"/>
  <c r="J127" i="6" s="1"/>
  <c r="F127" i="6"/>
  <c r="D127" i="6"/>
  <c r="C127" i="6"/>
  <c r="B127" i="6"/>
  <c r="I126" i="6"/>
  <c r="J126" i="6" s="1"/>
  <c r="F126" i="6"/>
  <c r="D126" i="6"/>
  <c r="C126" i="6"/>
  <c r="B126" i="6"/>
  <c r="I125" i="6"/>
  <c r="J125" i="6" s="1"/>
  <c r="F125" i="6"/>
  <c r="D125" i="6"/>
  <c r="C125" i="6"/>
  <c r="B125" i="6"/>
  <c r="J124" i="6"/>
  <c r="I124" i="6"/>
  <c r="F124" i="6"/>
  <c r="D124" i="6"/>
  <c r="C124" i="6"/>
  <c r="B124" i="6"/>
  <c r="I123" i="6"/>
  <c r="J123" i="6" s="1"/>
  <c r="F123" i="6"/>
  <c r="D123" i="6"/>
  <c r="C123" i="6"/>
  <c r="B123" i="6"/>
  <c r="I122" i="6"/>
  <c r="J122" i="6" s="1"/>
  <c r="F122" i="6"/>
  <c r="D122" i="6"/>
  <c r="C122" i="6"/>
  <c r="B122" i="6"/>
  <c r="I121" i="6"/>
  <c r="J121" i="6" s="1"/>
  <c r="F121" i="6"/>
  <c r="D121" i="6"/>
  <c r="C121" i="6"/>
  <c r="B121" i="6"/>
  <c r="J120" i="6"/>
  <c r="I120" i="6"/>
  <c r="F120" i="6"/>
  <c r="D120" i="6"/>
  <c r="C120" i="6"/>
  <c r="B120" i="6"/>
  <c r="I119" i="6"/>
  <c r="J119" i="6" s="1"/>
  <c r="F119" i="6"/>
  <c r="D119" i="6"/>
  <c r="C119" i="6"/>
  <c r="B119" i="6"/>
  <c r="I118" i="6"/>
  <c r="J118" i="6" s="1"/>
  <c r="F118" i="6"/>
  <c r="D118" i="6"/>
  <c r="C118" i="6"/>
  <c r="B118" i="6"/>
  <c r="I117" i="6"/>
  <c r="J117" i="6" s="1"/>
  <c r="F117" i="6"/>
  <c r="D117" i="6"/>
  <c r="C117" i="6"/>
  <c r="B117" i="6"/>
  <c r="J116" i="6"/>
  <c r="I116" i="6"/>
  <c r="F116" i="6"/>
  <c r="D116" i="6"/>
  <c r="C116" i="6"/>
  <c r="B116" i="6"/>
  <c r="I115" i="6"/>
  <c r="J115" i="6" s="1"/>
  <c r="F115" i="6"/>
  <c r="D115" i="6"/>
  <c r="C115" i="6"/>
  <c r="B115" i="6"/>
  <c r="I114" i="6"/>
  <c r="J114" i="6" s="1"/>
  <c r="F114" i="6"/>
  <c r="D114" i="6"/>
  <c r="C114" i="6"/>
  <c r="B114" i="6"/>
  <c r="I113" i="6"/>
  <c r="J113" i="6" s="1"/>
  <c r="F113" i="6"/>
  <c r="D113" i="6"/>
  <c r="C113" i="6"/>
  <c r="B113" i="6"/>
  <c r="J112" i="6"/>
  <c r="I112" i="6"/>
  <c r="F112" i="6"/>
  <c r="D112" i="6"/>
  <c r="C112" i="6"/>
  <c r="B112" i="6"/>
  <c r="I111" i="6"/>
  <c r="J111" i="6" s="1"/>
  <c r="F111" i="6"/>
  <c r="D111" i="6"/>
  <c r="C111" i="6"/>
  <c r="B111" i="6"/>
  <c r="I110" i="6"/>
  <c r="J110" i="6" s="1"/>
  <c r="F110" i="6"/>
  <c r="D110" i="6"/>
  <c r="C110" i="6"/>
  <c r="B110" i="6"/>
  <c r="I109" i="6"/>
  <c r="J109" i="6" s="1"/>
  <c r="F109" i="6"/>
  <c r="D109" i="6"/>
  <c r="C109" i="6"/>
  <c r="B109" i="6"/>
  <c r="J108" i="6"/>
  <c r="I108" i="6"/>
  <c r="F108" i="6"/>
  <c r="D108" i="6"/>
  <c r="C108" i="6"/>
  <c r="B108" i="6"/>
  <c r="I107" i="6"/>
  <c r="J107" i="6" s="1"/>
  <c r="F107" i="6"/>
  <c r="D107" i="6"/>
  <c r="C107" i="6"/>
  <c r="B107" i="6"/>
  <c r="I106" i="6"/>
  <c r="J106" i="6" s="1"/>
  <c r="F106" i="6"/>
  <c r="D106" i="6"/>
  <c r="C106" i="6"/>
  <c r="B106" i="6"/>
  <c r="I105" i="6"/>
  <c r="J105" i="6" s="1"/>
  <c r="F105" i="6"/>
  <c r="D105" i="6"/>
  <c r="C105" i="6"/>
  <c r="B105" i="6"/>
  <c r="J104" i="6"/>
  <c r="I104" i="6"/>
  <c r="F104" i="6"/>
  <c r="D104" i="6"/>
  <c r="C104" i="6"/>
  <c r="B104" i="6"/>
  <c r="I103" i="6"/>
  <c r="J103" i="6" s="1"/>
  <c r="F103" i="6"/>
  <c r="D103" i="6"/>
  <c r="C103" i="6"/>
  <c r="B103" i="6"/>
  <c r="I102" i="6"/>
  <c r="J102" i="6" s="1"/>
  <c r="F102" i="6"/>
  <c r="D102" i="6"/>
  <c r="C102" i="6"/>
  <c r="B102" i="6"/>
  <c r="I101" i="6"/>
  <c r="J101" i="6" s="1"/>
  <c r="F101" i="6"/>
  <c r="D101" i="6"/>
  <c r="C101" i="6"/>
  <c r="B101" i="6"/>
  <c r="J100" i="6"/>
  <c r="I100" i="6"/>
  <c r="F100" i="6"/>
  <c r="D100" i="6"/>
  <c r="C100" i="6"/>
  <c r="B100" i="6"/>
  <c r="I99" i="6"/>
  <c r="J99" i="6" s="1"/>
  <c r="F99" i="6"/>
  <c r="D99" i="6"/>
  <c r="C99" i="6"/>
  <c r="B99" i="6"/>
  <c r="I98" i="6"/>
  <c r="J98" i="6" s="1"/>
  <c r="F98" i="6"/>
  <c r="D98" i="6"/>
  <c r="C98" i="6"/>
  <c r="B98" i="6"/>
  <c r="I97" i="6"/>
  <c r="J97" i="6" s="1"/>
  <c r="F97" i="6"/>
  <c r="D97" i="6"/>
  <c r="C97" i="6"/>
  <c r="B97" i="6"/>
  <c r="J96" i="6"/>
  <c r="I96" i="6"/>
  <c r="F96" i="6"/>
  <c r="D96" i="6"/>
  <c r="C96" i="6"/>
  <c r="B96" i="6"/>
  <c r="I95" i="6"/>
  <c r="J95" i="6" s="1"/>
  <c r="F95" i="6"/>
  <c r="D95" i="6"/>
  <c r="C95" i="6"/>
  <c r="B95" i="6"/>
  <c r="I94" i="6"/>
  <c r="J94" i="6" s="1"/>
  <c r="F94" i="6"/>
  <c r="D94" i="6"/>
  <c r="C94" i="6"/>
  <c r="B94" i="6"/>
  <c r="I93" i="6"/>
  <c r="J93" i="6" s="1"/>
  <c r="F93" i="6"/>
  <c r="D93" i="6"/>
  <c r="C93" i="6"/>
  <c r="B93" i="6"/>
  <c r="J92" i="6"/>
  <c r="I92" i="6"/>
  <c r="F92" i="6"/>
  <c r="D92" i="6"/>
  <c r="C92" i="6"/>
  <c r="B92" i="6"/>
  <c r="I91" i="6"/>
  <c r="J91" i="6" s="1"/>
  <c r="F91" i="6"/>
  <c r="D91" i="6"/>
  <c r="C91" i="6"/>
  <c r="B91" i="6"/>
  <c r="I90" i="6"/>
  <c r="J90" i="6" s="1"/>
  <c r="F90" i="6"/>
  <c r="D90" i="6"/>
  <c r="C90" i="6"/>
  <c r="B90" i="6"/>
  <c r="I89" i="6"/>
  <c r="J89" i="6" s="1"/>
  <c r="F89" i="6"/>
  <c r="D89" i="6"/>
  <c r="C89" i="6"/>
  <c r="B89" i="6"/>
  <c r="J88" i="6"/>
  <c r="I88" i="6"/>
  <c r="F88" i="6"/>
  <c r="D88" i="6"/>
  <c r="C88" i="6"/>
  <c r="B88" i="6"/>
  <c r="I87" i="6"/>
  <c r="J87" i="6" s="1"/>
  <c r="F87" i="6"/>
  <c r="D87" i="6"/>
  <c r="C87" i="6"/>
  <c r="B87" i="6"/>
  <c r="I86" i="6"/>
  <c r="J86" i="6" s="1"/>
  <c r="F86" i="6"/>
  <c r="D86" i="6"/>
  <c r="C86" i="6"/>
  <c r="B86" i="6"/>
  <c r="I85" i="6"/>
  <c r="J85" i="6" s="1"/>
  <c r="F85" i="6"/>
  <c r="D85" i="6"/>
  <c r="C85" i="6"/>
  <c r="B85" i="6"/>
  <c r="J84" i="6"/>
  <c r="I84" i="6"/>
  <c r="F84" i="6"/>
  <c r="D84" i="6"/>
  <c r="C84" i="6"/>
  <c r="B84" i="6"/>
  <c r="I83" i="6"/>
  <c r="J83" i="6" s="1"/>
  <c r="F83" i="6"/>
  <c r="D83" i="6"/>
  <c r="C83" i="6"/>
  <c r="B83" i="6"/>
  <c r="I82" i="6"/>
  <c r="J82" i="6" s="1"/>
  <c r="F82" i="6"/>
  <c r="D82" i="6"/>
  <c r="C82" i="6"/>
  <c r="B82" i="6"/>
  <c r="I81" i="6"/>
  <c r="J81" i="6" s="1"/>
  <c r="F81" i="6"/>
  <c r="D81" i="6"/>
  <c r="C81" i="6"/>
  <c r="B81" i="6"/>
  <c r="J80" i="6"/>
  <c r="I80" i="6"/>
  <c r="F80" i="6"/>
  <c r="D80" i="6"/>
  <c r="C80" i="6"/>
  <c r="B80" i="6"/>
  <c r="I79" i="6"/>
  <c r="J79" i="6" s="1"/>
  <c r="F79" i="6"/>
  <c r="D79" i="6"/>
  <c r="C79" i="6"/>
  <c r="B79" i="6"/>
  <c r="I78" i="6"/>
  <c r="J78" i="6" s="1"/>
  <c r="F78" i="6"/>
  <c r="D78" i="6"/>
  <c r="C78" i="6"/>
  <c r="B78" i="6"/>
  <c r="I77" i="6"/>
  <c r="J77" i="6" s="1"/>
  <c r="F77" i="6"/>
  <c r="D77" i="6"/>
  <c r="C77" i="6"/>
  <c r="B77" i="6"/>
  <c r="J76" i="6"/>
  <c r="I76" i="6"/>
  <c r="F76" i="6"/>
  <c r="D76" i="6"/>
  <c r="C76" i="6"/>
  <c r="B76" i="6"/>
  <c r="I75" i="6"/>
  <c r="J75" i="6" s="1"/>
  <c r="F75" i="6"/>
  <c r="D75" i="6"/>
  <c r="C75" i="6"/>
  <c r="B75" i="6"/>
  <c r="I74" i="6"/>
  <c r="J74" i="6" s="1"/>
  <c r="F74" i="6"/>
  <c r="D74" i="6"/>
  <c r="C74" i="6"/>
  <c r="B74" i="6"/>
  <c r="I73" i="6"/>
  <c r="J73" i="6" s="1"/>
  <c r="F73" i="6"/>
  <c r="D73" i="6"/>
  <c r="C73" i="6"/>
  <c r="B73" i="6"/>
  <c r="J72" i="6"/>
  <c r="I72" i="6"/>
  <c r="F72" i="6"/>
  <c r="D72" i="6"/>
  <c r="C72" i="6"/>
  <c r="B72" i="6"/>
  <c r="I71" i="6"/>
  <c r="J71" i="6" s="1"/>
  <c r="F71" i="6"/>
  <c r="D71" i="6"/>
  <c r="C71" i="6"/>
  <c r="B71" i="6"/>
  <c r="I70" i="6"/>
  <c r="J70" i="6" s="1"/>
  <c r="F70" i="6"/>
  <c r="D70" i="6"/>
  <c r="C70" i="6"/>
  <c r="B70" i="6"/>
  <c r="I69" i="6"/>
  <c r="J69" i="6" s="1"/>
  <c r="F69" i="6"/>
  <c r="D69" i="6"/>
  <c r="C69" i="6"/>
  <c r="B69" i="6"/>
  <c r="J68" i="6"/>
  <c r="I68" i="6"/>
  <c r="F68" i="6"/>
  <c r="D68" i="6"/>
  <c r="C68" i="6"/>
  <c r="B68" i="6"/>
  <c r="I67" i="6"/>
  <c r="J67" i="6" s="1"/>
  <c r="F67" i="6"/>
  <c r="D67" i="6"/>
  <c r="C67" i="6"/>
  <c r="B67" i="6"/>
  <c r="I66" i="6"/>
  <c r="J66" i="6" s="1"/>
  <c r="F66" i="6"/>
  <c r="D66" i="6"/>
  <c r="C66" i="6"/>
  <c r="B66" i="6"/>
  <c r="I65" i="6"/>
  <c r="J65" i="6" s="1"/>
  <c r="F65" i="6"/>
  <c r="D65" i="6"/>
  <c r="C65" i="6"/>
  <c r="B65" i="6"/>
  <c r="J64" i="6"/>
  <c r="I64" i="6"/>
  <c r="F64" i="6"/>
  <c r="D64" i="6"/>
  <c r="C64" i="6"/>
  <c r="B64" i="6"/>
  <c r="I63" i="6"/>
  <c r="J63" i="6" s="1"/>
  <c r="F63" i="6"/>
  <c r="D63" i="6"/>
  <c r="C63" i="6"/>
  <c r="B63" i="6"/>
  <c r="I62" i="6"/>
  <c r="J62" i="6" s="1"/>
  <c r="F62" i="6"/>
  <c r="D62" i="6"/>
  <c r="C62" i="6"/>
  <c r="B62" i="6"/>
  <c r="I61" i="6"/>
  <c r="J61" i="6" s="1"/>
  <c r="F61" i="6"/>
  <c r="D61" i="6"/>
  <c r="C61" i="6"/>
  <c r="B61" i="6"/>
  <c r="J60" i="6"/>
  <c r="I60" i="6"/>
  <c r="F60" i="6"/>
  <c r="D60" i="6"/>
  <c r="C60" i="6"/>
  <c r="B60" i="6"/>
  <c r="I59" i="6"/>
  <c r="J59" i="6" s="1"/>
  <c r="F59" i="6"/>
  <c r="D59" i="6"/>
  <c r="C59" i="6"/>
  <c r="B59" i="6"/>
  <c r="I58" i="6"/>
  <c r="J58" i="6" s="1"/>
  <c r="F58" i="6"/>
  <c r="D58" i="6"/>
  <c r="C58" i="6"/>
  <c r="B58" i="6"/>
  <c r="I57" i="6"/>
  <c r="J57" i="6" s="1"/>
  <c r="F57" i="6"/>
  <c r="D57" i="6"/>
  <c r="C57" i="6"/>
  <c r="B57" i="6"/>
  <c r="J56" i="6"/>
  <c r="I56" i="6"/>
  <c r="F56" i="6"/>
  <c r="D56" i="6"/>
  <c r="C56" i="6"/>
  <c r="B56" i="6"/>
  <c r="I55" i="6"/>
  <c r="J55" i="6" s="1"/>
  <c r="F55" i="6"/>
  <c r="D55" i="6"/>
  <c r="C55" i="6"/>
  <c r="B55" i="6"/>
  <c r="I54" i="6"/>
  <c r="J54" i="6" s="1"/>
  <c r="F54" i="6"/>
  <c r="D54" i="6"/>
  <c r="C54" i="6"/>
  <c r="B54" i="6"/>
  <c r="I53" i="6"/>
  <c r="J53" i="6" s="1"/>
  <c r="F53" i="6"/>
  <c r="D53" i="6"/>
  <c r="C53" i="6"/>
  <c r="B53" i="6"/>
  <c r="J52" i="6"/>
  <c r="I52" i="6"/>
  <c r="F52" i="6"/>
  <c r="D52" i="6"/>
  <c r="C52" i="6"/>
  <c r="B52" i="6"/>
  <c r="I51" i="6"/>
  <c r="J51" i="6" s="1"/>
  <c r="F51" i="6"/>
  <c r="D51" i="6"/>
  <c r="C51" i="6"/>
  <c r="B51" i="6"/>
  <c r="I50" i="6"/>
  <c r="J50" i="6" s="1"/>
  <c r="F50" i="6"/>
  <c r="D50" i="6"/>
  <c r="C50" i="6"/>
  <c r="B50" i="6"/>
  <c r="I49" i="6"/>
  <c r="J49" i="6" s="1"/>
  <c r="F49" i="6"/>
  <c r="D49" i="6"/>
  <c r="C49" i="6"/>
  <c r="B49" i="6"/>
  <c r="J48" i="6"/>
  <c r="I48" i="6"/>
  <c r="F48" i="6"/>
  <c r="D48" i="6"/>
  <c r="C48" i="6"/>
  <c r="B48" i="6"/>
  <c r="I47" i="6"/>
  <c r="J47" i="6" s="1"/>
  <c r="F47" i="6"/>
  <c r="D47" i="6"/>
  <c r="C47" i="6"/>
  <c r="B47" i="6"/>
  <c r="I46" i="6"/>
  <c r="J46" i="6" s="1"/>
  <c r="F46" i="6"/>
  <c r="D46" i="6"/>
  <c r="C46" i="6"/>
  <c r="B46" i="6"/>
  <c r="I45" i="6"/>
  <c r="J45" i="6" s="1"/>
  <c r="F45" i="6"/>
  <c r="D45" i="6"/>
  <c r="C45" i="6"/>
  <c r="B45" i="6"/>
  <c r="J44" i="6"/>
  <c r="I44" i="6"/>
  <c r="F44" i="6"/>
  <c r="D44" i="6"/>
  <c r="C44" i="6"/>
  <c r="B44" i="6"/>
  <c r="I43" i="6"/>
  <c r="J43" i="6" s="1"/>
  <c r="F43" i="6"/>
  <c r="D43" i="6"/>
  <c r="C43" i="6"/>
  <c r="B43" i="6"/>
  <c r="I42" i="6"/>
  <c r="J42" i="6" s="1"/>
  <c r="F42" i="6"/>
  <c r="D42" i="6"/>
  <c r="C42" i="6"/>
  <c r="B42" i="6"/>
  <c r="I41" i="6"/>
  <c r="J41" i="6" s="1"/>
  <c r="F41" i="6"/>
  <c r="D41" i="6"/>
  <c r="C41" i="6"/>
  <c r="B41" i="6"/>
  <c r="J40" i="6"/>
  <c r="I40" i="6"/>
  <c r="F40" i="6"/>
  <c r="D40" i="6"/>
  <c r="C40" i="6"/>
  <c r="B40" i="6"/>
  <c r="I39" i="6"/>
  <c r="J39" i="6" s="1"/>
  <c r="F39" i="6"/>
  <c r="D39" i="6"/>
  <c r="C39" i="6"/>
  <c r="B39" i="6"/>
  <c r="I38" i="6"/>
  <c r="J38" i="6" s="1"/>
  <c r="F38" i="6"/>
  <c r="D38" i="6"/>
  <c r="C38" i="6"/>
  <c r="B38" i="6"/>
  <c r="I37" i="6"/>
  <c r="J37" i="6" s="1"/>
  <c r="F37" i="6"/>
  <c r="D37" i="6"/>
  <c r="C37" i="6"/>
  <c r="B37" i="6"/>
  <c r="J36" i="6"/>
  <c r="I36" i="6"/>
  <c r="F36" i="6"/>
  <c r="D36" i="6"/>
  <c r="C36" i="6"/>
  <c r="B36" i="6"/>
  <c r="I35" i="6"/>
  <c r="J35" i="6" s="1"/>
  <c r="F35" i="6"/>
  <c r="D35" i="6"/>
  <c r="C35" i="6"/>
  <c r="B35" i="6"/>
  <c r="I34" i="6"/>
  <c r="J34" i="6" s="1"/>
  <c r="F34" i="6"/>
  <c r="D34" i="6"/>
  <c r="C34" i="6"/>
  <c r="B34" i="6"/>
  <c r="I33" i="6"/>
  <c r="J33" i="6" s="1"/>
  <c r="F33" i="6"/>
  <c r="D33" i="6"/>
  <c r="C33" i="6"/>
  <c r="B33" i="6"/>
  <c r="J32" i="6"/>
  <c r="I32" i="6"/>
  <c r="F32" i="6"/>
  <c r="D32" i="6"/>
  <c r="C32" i="6"/>
  <c r="B32" i="6"/>
  <c r="I31" i="6"/>
  <c r="J31" i="6" s="1"/>
  <c r="F31" i="6"/>
  <c r="D31" i="6"/>
  <c r="C31" i="6"/>
  <c r="B31" i="6"/>
  <c r="I30" i="6"/>
  <c r="J30" i="6" s="1"/>
  <c r="F30" i="6"/>
  <c r="D30" i="6"/>
  <c r="C30" i="6"/>
  <c r="B30" i="6"/>
  <c r="I29" i="6"/>
  <c r="J29" i="6" s="1"/>
  <c r="F29" i="6"/>
  <c r="D29" i="6"/>
  <c r="C29" i="6"/>
  <c r="B29" i="6"/>
  <c r="J28" i="6"/>
  <c r="I28" i="6"/>
  <c r="F28" i="6"/>
  <c r="D28" i="6"/>
  <c r="C28" i="6"/>
  <c r="B28" i="6"/>
  <c r="I27" i="6"/>
  <c r="J27" i="6" s="1"/>
  <c r="F27" i="6"/>
  <c r="D27" i="6"/>
  <c r="C27" i="6"/>
  <c r="B27" i="6"/>
  <c r="I26" i="6"/>
  <c r="J26" i="6" s="1"/>
  <c r="F26" i="6"/>
  <c r="D26" i="6"/>
  <c r="C26" i="6"/>
  <c r="B26" i="6"/>
  <c r="I25" i="6"/>
  <c r="J25" i="6" s="1"/>
  <c r="F25" i="6"/>
  <c r="D25" i="6"/>
  <c r="C25" i="6"/>
  <c r="B25" i="6"/>
  <c r="J24" i="6"/>
  <c r="I24" i="6"/>
  <c r="F24" i="6"/>
  <c r="D24" i="6"/>
  <c r="C24" i="6"/>
  <c r="B24" i="6"/>
  <c r="I23" i="6"/>
  <c r="J23" i="6" s="1"/>
  <c r="F23" i="6"/>
  <c r="D23" i="6"/>
  <c r="C23" i="6"/>
  <c r="B23" i="6"/>
  <c r="I22" i="6"/>
  <c r="J22" i="6" s="1"/>
  <c r="F22" i="6"/>
  <c r="D22" i="6"/>
  <c r="C22" i="6"/>
  <c r="B22" i="6"/>
  <c r="I21" i="6"/>
  <c r="J21" i="6" s="1"/>
  <c r="F21" i="6"/>
  <c r="D21" i="6"/>
  <c r="C21" i="6"/>
  <c r="B21" i="6"/>
  <c r="J20" i="6"/>
  <c r="I20" i="6"/>
  <c r="F20" i="6"/>
  <c r="D20" i="6"/>
  <c r="C20" i="6"/>
  <c r="B20" i="6"/>
  <c r="I19" i="6"/>
  <c r="J19" i="6" s="1"/>
  <c r="F19" i="6"/>
  <c r="D19" i="6"/>
  <c r="C19" i="6"/>
  <c r="B19" i="6"/>
  <c r="I18" i="6"/>
  <c r="J18" i="6" s="1"/>
  <c r="F18" i="6"/>
  <c r="D18" i="6"/>
  <c r="C18" i="6"/>
  <c r="B18" i="6"/>
  <c r="I17" i="6"/>
  <c r="J17" i="6" s="1"/>
  <c r="F17" i="6"/>
  <c r="D17" i="6"/>
  <c r="C17" i="6"/>
  <c r="B17" i="6"/>
  <c r="J16" i="6"/>
  <c r="I16" i="6"/>
  <c r="F16" i="6"/>
  <c r="D16" i="6"/>
  <c r="C16" i="6"/>
  <c r="B16" i="6"/>
  <c r="I15" i="6"/>
  <c r="J15" i="6" s="1"/>
  <c r="F15" i="6"/>
  <c r="D15" i="6"/>
  <c r="C15" i="6"/>
  <c r="B15" i="6"/>
  <c r="I14" i="6"/>
  <c r="J14" i="6" s="1"/>
  <c r="F14" i="6"/>
  <c r="D14" i="6"/>
  <c r="C14" i="6"/>
  <c r="B14" i="6"/>
  <c r="I13" i="6"/>
  <c r="J13" i="6" s="1"/>
  <c r="F13" i="6"/>
  <c r="D13" i="6"/>
  <c r="C13" i="6"/>
  <c r="B13" i="6"/>
  <c r="J12" i="6"/>
  <c r="I12" i="6"/>
  <c r="F12" i="6"/>
  <c r="D12" i="6"/>
  <c r="C12" i="6"/>
  <c r="B12" i="6"/>
  <c r="I11" i="6"/>
  <c r="J11" i="6" s="1"/>
  <c r="F11" i="6"/>
  <c r="D11" i="6"/>
  <c r="C11" i="6"/>
  <c r="B11" i="6"/>
  <c r="I10" i="6"/>
  <c r="J10" i="6" s="1"/>
  <c r="F10" i="6"/>
  <c r="D10" i="6"/>
  <c r="C10" i="6"/>
  <c r="B10" i="6"/>
  <c r="I9" i="6"/>
  <c r="J9" i="6" s="1"/>
  <c r="F9" i="6"/>
  <c r="D9" i="6"/>
  <c r="C9" i="6"/>
  <c r="B9" i="6"/>
  <c r="A5" i="6"/>
  <c r="G4" i="6"/>
  <c r="D4" i="6"/>
  <c r="N508" i="5"/>
  <c r="M508" i="5"/>
  <c r="L508" i="5"/>
  <c r="K508" i="5"/>
  <c r="J508" i="5"/>
  <c r="I508" i="5"/>
  <c r="H508" i="5"/>
  <c r="G508" i="5"/>
  <c r="F508" i="5"/>
  <c r="E508" i="5"/>
  <c r="D508" i="5"/>
  <c r="C508" i="5"/>
  <c r="B508" i="5"/>
  <c r="A508" i="5"/>
  <c r="N507" i="5"/>
  <c r="M507" i="5"/>
  <c r="L507" i="5"/>
  <c r="K507" i="5"/>
  <c r="J507" i="5"/>
  <c r="I507" i="5"/>
  <c r="H507" i="5"/>
  <c r="G507" i="5"/>
  <c r="F507" i="5"/>
  <c r="E507" i="5"/>
  <c r="D507" i="5"/>
  <c r="C507" i="5"/>
  <c r="B507" i="5"/>
  <c r="A507" i="5"/>
  <c r="N506" i="5"/>
  <c r="M506" i="5"/>
  <c r="L506" i="5"/>
  <c r="K506" i="5"/>
  <c r="J506" i="5"/>
  <c r="I506" i="5"/>
  <c r="H506" i="5"/>
  <c r="G506" i="5"/>
  <c r="F506" i="5"/>
  <c r="E506" i="5"/>
  <c r="D506" i="5"/>
  <c r="C506" i="5"/>
  <c r="B506" i="5"/>
  <c r="A506" i="5"/>
  <c r="N505" i="5"/>
  <c r="M505" i="5"/>
  <c r="L505" i="5"/>
  <c r="K505" i="5"/>
  <c r="J505" i="5"/>
  <c r="I505" i="5"/>
  <c r="H505" i="5"/>
  <c r="G505" i="5"/>
  <c r="F505" i="5"/>
  <c r="E505" i="5"/>
  <c r="D505" i="5"/>
  <c r="C505" i="5"/>
  <c r="B505" i="5"/>
  <c r="A505" i="5"/>
  <c r="N504" i="5"/>
  <c r="M504" i="5"/>
  <c r="L504" i="5"/>
  <c r="K504" i="5"/>
  <c r="J504" i="5"/>
  <c r="I504" i="5"/>
  <c r="H504" i="5"/>
  <c r="G504" i="5"/>
  <c r="F504" i="5"/>
  <c r="E504" i="5"/>
  <c r="D504" i="5"/>
  <c r="C504" i="5"/>
  <c r="B504" i="5"/>
  <c r="A504" i="5"/>
  <c r="N503" i="5"/>
  <c r="M503" i="5"/>
  <c r="L503" i="5"/>
  <c r="K503" i="5"/>
  <c r="J503" i="5"/>
  <c r="I503" i="5"/>
  <c r="H503" i="5"/>
  <c r="G503" i="5"/>
  <c r="F503" i="5"/>
  <c r="E503" i="5"/>
  <c r="D503" i="5"/>
  <c r="C503" i="5"/>
  <c r="B503" i="5"/>
  <c r="A503" i="5"/>
  <c r="N502" i="5"/>
  <c r="M502" i="5"/>
  <c r="L502" i="5"/>
  <c r="K502" i="5"/>
  <c r="J502" i="5"/>
  <c r="I502" i="5"/>
  <c r="H502" i="5"/>
  <c r="G502" i="5"/>
  <c r="F502" i="5"/>
  <c r="E502" i="5"/>
  <c r="D502" i="5"/>
  <c r="C502" i="5"/>
  <c r="B502" i="5"/>
  <c r="A502" i="5"/>
  <c r="N501" i="5"/>
  <c r="M501" i="5"/>
  <c r="L501" i="5"/>
  <c r="K501" i="5"/>
  <c r="J501" i="5"/>
  <c r="I501" i="5"/>
  <c r="H501" i="5"/>
  <c r="G501" i="5"/>
  <c r="F501" i="5"/>
  <c r="E501" i="5"/>
  <c r="D501" i="5"/>
  <c r="C501" i="5"/>
  <c r="B501" i="5"/>
  <c r="A501" i="5"/>
  <c r="N500" i="5"/>
  <c r="M500" i="5"/>
  <c r="L500" i="5"/>
  <c r="K500" i="5"/>
  <c r="J500" i="5"/>
  <c r="I500" i="5"/>
  <c r="H500" i="5"/>
  <c r="G500" i="5"/>
  <c r="F500" i="5"/>
  <c r="E500" i="5"/>
  <c r="D500" i="5"/>
  <c r="C500" i="5"/>
  <c r="B500" i="5"/>
  <c r="A500" i="5"/>
  <c r="N499" i="5"/>
  <c r="M499" i="5"/>
  <c r="L499" i="5"/>
  <c r="K499" i="5"/>
  <c r="J499" i="5"/>
  <c r="I499" i="5"/>
  <c r="H499" i="5"/>
  <c r="G499" i="5"/>
  <c r="F499" i="5"/>
  <c r="E499" i="5"/>
  <c r="D499" i="5"/>
  <c r="C499" i="5"/>
  <c r="B499" i="5"/>
  <c r="A499" i="5"/>
  <c r="N498" i="5"/>
  <c r="M498" i="5"/>
  <c r="L498" i="5"/>
  <c r="K498" i="5"/>
  <c r="J498" i="5"/>
  <c r="I498" i="5"/>
  <c r="H498" i="5"/>
  <c r="G498" i="5"/>
  <c r="F498" i="5"/>
  <c r="E498" i="5"/>
  <c r="D498" i="5"/>
  <c r="C498" i="5"/>
  <c r="B498" i="5"/>
  <c r="A498" i="5"/>
  <c r="N497" i="5"/>
  <c r="M497" i="5"/>
  <c r="L497" i="5"/>
  <c r="K497" i="5"/>
  <c r="J497" i="5"/>
  <c r="I497" i="5"/>
  <c r="H497" i="5"/>
  <c r="G497" i="5"/>
  <c r="F497" i="5"/>
  <c r="E497" i="5"/>
  <c r="D497" i="5"/>
  <c r="C497" i="5"/>
  <c r="B497" i="5"/>
  <c r="A497" i="5"/>
  <c r="N496" i="5"/>
  <c r="M496" i="5"/>
  <c r="L496" i="5"/>
  <c r="K496" i="5"/>
  <c r="J496" i="5"/>
  <c r="I496" i="5"/>
  <c r="H496" i="5"/>
  <c r="G496" i="5"/>
  <c r="F496" i="5"/>
  <c r="E496" i="5"/>
  <c r="D496" i="5"/>
  <c r="C496" i="5"/>
  <c r="B496" i="5"/>
  <c r="A496" i="5"/>
  <c r="N495" i="5"/>
  <c r="M495" i="5"/>
  <c r="L495" i="5"/>
  <c r="K495" i="5"/>
  <c r="J495" i="5"/>
  <c r="I495" i="5"/>
  <c r="H495" i="5"/>
  <c r="G495" i="5"/>
  <c r="F495" i="5"/>
  <c r="E495" i="5"/>
  <c r="D495" i="5"/>
  <c r="C495" i="5"/>
  <c r="B495" i="5"/>
  <c r="A495" i="5"/>
  <c r="N494" i="5"/>
  <c r="M494" i="5"/>
  <c r="L494" i="5"/>
  <c r="K494" i="5"/>
  <c r="J494" i="5"/>
  <c r="I494" i="5"/>
  <c r="H494" i="5"/>
  <c r="G494" i="5"/>
  <c r="F494" i="5"/>
  <c r="E494" i="5"/>
  <c r="D494" i="5"/>
  <c r="C494" i="5"/>
  <c r="B494" i="5"/>
  <c r="A494" i="5"/>
  <c r="N493" i="5"/>
  <c r="M493" i="5"/>
  <c r="L493" i="5"/>
  <c r="K493" i="5"/>
  <c r="J493" i="5"/>
  <c r="I493" i="5"/>
  <c r="H493" i="5"/>
  <c r="G493" i="5"/>
  <c r="F493" i="5"/>
  <c r="E493" i="5"/>
  <c r="D493" i="5"/>
  <c r="C493" i="5"/>
  <c r="B493" i="5"/>
  <c r="A493" i="5"/>
  <c r="N492" i="5"/>
  <c r="M492" i="5"/>
  <c r="L492" i="5"/>
  <c r="K492" i="5"/>
  <c r="J492" i="5"/>
  <c r="I492" i="5"/>
  <c r="H492" i="5"/>
  <c r="G492" i="5"/>
  <c r="F492" i="5"/>
  <c r="E492" i="5"/>
  <c r="D492" i="5"/>
  <c r="C492" i="5"/>
  <c r="B492" i="5"/>
  <c r="A492" i="5"/>
  <c r="N491" i="5"/>
  <c r="M491" i="5"/>
  <c r="L491" i="5"/>
  <c r="K491" i="5"/>
  <c r="J491" i="5"/>
  <c r="I491" i="5"/>
  <c r="H491" i="5"/>
  <c r="G491" i="5"/>
  <c r="F491" i="5"/>
  <c r="E491" i="5"/>
  <c r="D491" i="5"/>
  <c r="C491" i="5"/>
  <c r="B491" i="5"/>
  <c r="A491" i="5"/>
  <c r="N490" i="5"/>
  <c r="M490" i="5"/>
  <c r="L490" i="5"/>
  <c r="K490" i="5"/>
  <c r="J490" i="5"/>
  <c r="I490" i="5"/>
  <c r="H490" i="5"/>
  <c r="G490" i="5"/>
  <c r="F490" i="5"/>
  <c r="E490" i="5"/>
  <c r="D490" i="5"/>
  <c r="C490" i="5"/>
  <c r="B490" i="5"/>
  <c r="A490" i="5"/>
  <c r="N489" i="5"/>
  <c r="M489" i="5"/>
  <c r="L489" i="5"/>
  <c r="K489" i="5"/>
  <c r="J489" i="5"/>
  <c r="I489" i="5"/>
  <c r="H489" i="5"/>
  <c r="G489" i="5"/>
  <c r="F489" i="5"/>
  <c r="E489" i="5"/>
  <c r="D489" i="5"/>
  <c r="C489" i="5"/>
  <c r="B489" i="5"/>
  <c r="A489" i="5"/>
  <c r="N488" i="5"/>
  <c r="M488" i="5"/>
  <c r="L488" i="5"/>
  <c r="K488" i="5"/>
  <c r="J488" i="5"/>
  <c r="I488" i="5"/>
  <c r="H488" i="5"/>
  <c r="G488" i="5"/>
  <c r="F488" i="5"/>
  <c r="E488" i="5"/>
  <c r="D488" i="5"/>
  <c r="C488" i="5"/>
  <c r="B488" i="5"/>
  <c r="A488" i="5"/>
  <c r="N487" i="5"/>
  <c r="M487" i="5"/>
  <c r="L487" i="5"/>
  <c r="K487" i="5"/>
  <c r="J487" i="5"/>
  <c r="I487" i="5"/>
  <c r="H487" i="5"/>
  <c r="G487" i="5"/>
  <c r="F487" i="5"/>
  <c r="E487" i="5"/>
  <c r="D487" i="5"/>
  <c r="C487" i="5"/>
  <c r="B487" i="5"/>
  <c r="A487" i="5"/>
  <c r="N486" i="5"/>
  <c r="M486" i="5"/>
  <c r="L486" i="5"/>
  <c r="K486" i="5"/>
  <c r="J486" i="5"/>
  <c r="I486" i="5"/>
  <c r="H486" i="5"/>
  <c r="G486" i="5"/>
  <c r="F486" i="5"/>
  <c r="E486" i="5"/>
  <c r="D486" i="5"/>
  <c r="C486" i="5"/>
  <c r="B486" i="5"/>
  <c r="A486" i="5"/>
  <c r="N485" i="5"/>
  <c r="M485" i="5"/>
  <c r="L485" i="5"/>
  <c r="K485" i="5"/>
  <c r="J485" i="5"/>
  <c r="I485" i="5"/>
  <c r="H485" i="5"/>
  <c r="G485" i="5"/>
  <c r="F485" i="5"/>
  <c r="E485" i="5"/>
  <c r="D485" i="5"/>
  <c r="C485" i="5"/>
  <c r="B485" i="5"/>
  <c r="A485" i="5"/>
  <c r="N484" i="5"/>
  <c r="M484" i="5"/>
  <c r="L484" i="5"/>
  <c r="K484" i="5"/>
  <c r="J484" i="5"/>
  <c r="I484" i="5"/>
  <c r="H484" i="5"/>
  <c r="G484" i="5"/>
  <c r="F484" i="5"/>
  <c r="E484" i="5"/>
  <c r="D484" i="5"/>
  <c r="C484" i="5"/>
  <c r="B484" i="5"/>
  <c r="A484" i="5"/>
  <c r="N483" i="5"/>
  <c r="M483" i="5"/>
  <c r="L483" i="5"/>
  <c r="K483" i="5"/>
  <c r="J483" i="5"/>
  <c r="I483" i="5"/>
  <c r="H483" i="5"/>
  <c r="G483" i="5"/>
  <c r="F483" i="5"/>
  <c r="E483" i="5"/>
  <c r="D483" i="5"/>
  <c r="C483" i="5"/>
  <c r="B483" i="5"/>
  <c r="A483" i="5"/>
  <c r="N482" i="5"/>
  <c r="M482" i="5"/>
  <c r="L482" i="5"/>
  <c r="K482" i="5"/>
  <c r="J482" i="5"/>
  <c r="I482" i="5"/>
  <c r="H482" i="5"/>
  <c r="G482" i="5"/>
  <c r="F482" i="5"/>
  <c r="E482" i="5"/>
  <c r="D482" i="5"/>
  <c r="C482" i="5"/>
  <c r="B482" i="5"/>
  <c r="A482" i="5"/>
  <c r="N481" i="5"/>
  <c r="M481" i="5"/>
  <c r="L481" i="5"/>
  <c r="K481" i="5"/>
  <c r="J481" i="5"/>
  <c r="I481" i="5"/>
  <c r="H481" i="5"/>
  <c r="G481" i="5"/>
  <c r="F481" i="5"/>
  <c r="E481" i="5"/>
  <c r="D481" i="5"/>
  <c r="C481" i="5"/>
  <c r="B481" i="5"/>
  <c r="A481" i="5"/>
  <c r="N480" i="5"/>
  <c r="M480" i="5"/>
  <c r="L480" i="5"/>
  <c r="K480" i="5"/>
  <c r="J480" i="5"/>
  <c r="I480" i="5"/>
  <c r="H480" i="5"/>
  <c r="G480" i="5"/>
  <c r="F480" i="5"/>
  <c r="E480" i="5"/>
  <c r="D480" i="5"/>
  <c r="C480" i="5"/>
  <c r="B480" i="5"/>
  <c r="A480" i="5"/>
  <c r="N479" i="5"/>
  <c r="M479" i="5"/>
  <c r="L479" i="5"/>
  <c r="K479" i="5"/>
  <c r="J479" i="5"/>
  <c r="I479" i="5"/>
  <c r="H479" i="5"/>
  <c r="G479" i="5"/>
  <c r="F479" i="5"/>
  <c r="E479" i="5"/>
  <c r="D479" i="5"/>
  <c r="C479" i="5"/>
  <c r="B479" i="5"/>
  <c r="A479" i="5"/>
  <c r="N478" i="5"/>
  <c r="M478" i="5"/>
  <c r="L478" i="5"/>
  <c r="K478" i="5"/>
  <c r="J478" i="5"/>
  <c r="I478" i="5"/>
  <c r="H478" i="5"/>
  <c r="G478" i="5"/>
  <c r="F478" i="5"/>
  <c r="E478" i="5"/>
  <c r="D478" i="5"/>
  <c r="C478" i="5"/>
  <c r="B478" i="5"/>
  <c r="A478" i="5"/>
  <c r="N477" i="5"/>
  <c r="M477" i="5"/>
  <c r="L477" i="5"/>
  <c r="K477" i="5"/>
  <c r="J477" i="5"/>
  <c r="I477" i="5"/>
  <c r="H477" i="5"/>
  <c r="G477" i="5"/>
  <c r="F477" i="5"/>
  <c r="E477" i="5"/>
  <c r="D477" i="5"/>
  <c r="C477" i="5"/>
  <c r="B477" i="5"/>
  <c r="A477" i="5"/>
  <c r="N476" i="5"/>
  <c r="M476" i="5"/>
  <c r="L476" i="5"/>
  <c r="K476" i="5"/>
  <c r="J476" i="5"/>
  <c r="I476" i="5"/>
  <c r="H476" i="5"/>
  <c r="G476" i="5"/>
  <c r="F476" i="5"/>
  <c r="E476" i="5"/>
  <c r="D476" i="5"/>
  <c r="C476" i="5"/>
  <c r="B476" i="5"/>
  <c r="A476" i="5"/>
  <c r="N475" i="5"/>
  <c r="M475" i="5"/>
  <c r="L475" i="5"/>
  <c r="K475" i="5"/>
  <c r="J475" i="5"/>
  <c r="I475" i="5"/>
  <c r="H475" i="5"/>
  <c r="G475" i="5"/>
  <c r="F475" i="5"/>
  <c r="E475" i="5"/>
  <c r="D475" i="5"/>
  <c r="C475" i="5"/>
  <c r="B475" i="5"/>
  <c r="A475" i="5"/>
  <c r="N474" i="5"/>
  <c r="M474" i="5"/>
  <c r="L474" i="5"/>
  <c r="K474" i="5"/>
  <c r="J474" i="5"/>
  <c r="I474" i="5"/>
  <c r="H474" i="5"/>
  <c r="G474" i="5"/>
  <c r="F474" i="5"/>
  <c r="E474" i="5"/>
  <c r="D474" i="5"/>
  <c r="C474" i="5"/>
  <c r="B474" i="5"/>
  <c r="A474" i="5"/>
  <c r="N473" i="5"/>
  <c r="M473" i="5"/>
  <c r="L473" i="5"/>
  <c r="K473" i="5"/>
  <c r="J473" i="5"/>
  <c r="I473" i="5"/>
  <c r="H473" i="5"/>
  <c r="G473" i="5"/>
  <c r="F473" i="5"/>
  <c r="E473" i="5"/>
  <c r="D473" i="5"/>
  <c r="C473" i="5"/>
  <c r="B473" i="5"/>
  <c r="A473" i="5"/>
  <c r="N472" i="5"/>
  <c r="M472" i="5"/>
  <c r="L472" i="5"/>
  <c r="K472" i="5"/>
  <c r="J472" i="5"/>
  <c r="I472" i="5"/>
  <c r="H472" i="5"/>
  <c r="G472" i="5"/>
  <c r="F472" i="5"/>
  <c r="E472" i="5"/>
  <c r="D472" i="5"/>
  <c r="C472" i="5"/>
  <c r="B472" i="5"/>
  <c r="A472" i="5"/>
  <c r="N471" i="5"/>
  <c r="M471" i="5"/>
  <c r="L471" i="5"/>
  <c r="K471" i="5"/>
  <c r="J471" i="5"/>
  <c r="I471" i="5"/>
  <c r="H471" i="5"/>
  <c r="G471" i="5"/>
  <c r="F471" i="5"/>
  <c r="E471" i="5"/>
  <c r="D471" i="5"/>
  <c r="C471" i="5"/>
  <c r="B471" i="5"/>
  <c r="A471" i="5"/>
  <c r="N470" i="5"/>
  <c r="M470" i="5"/>
  <c r="L470" i="5"/>
  <c r="K470" i="5"/>
  <c r="J470" i="5"/>
  <c r="I470" i="5"/>
  <c r="H470" i="5"/>
  <c r="G470" i="5"/>
  <c r="F470" i="5"/>
  <c r="E470" i="5"/>
  <c r="D470" i="5"/>
  <c r="C470" i="5"/>
  <c r="B470" i="5"/>
  <c r="A470" i="5"/>
  <c r="N469" i="5"/>
  <c r="M469" i="5"/>
  <c r="L469" i="5"/>
  <c r="K469" i="5"/>
  <c r="J469" i="5"/>
  <c r="I469" i="5"/>
  <c r="H469" i="5"/>
  <c r="G469" i="5"/>
  <c r="F469" i="5"/>
  <c r="E469" i="5"/>
  <c r="D469" i="5"/>
  <c r="C469" i="5"/>
  <c r="B469" i="5"/>
  <c r="A469" i="5"/>
  <c r="N468" i="5"/>
  <c r="M468" i="5"/>
  <c r="L468" i="5"/>
  <c r="K468" i="5"/>
  <c r="J468" i="5"/>
  <c r="I468" i="5"/>
  <c r="H468" i="5"/>
  <c r="G468" i="5"/>
  <c r="F468" i="5"/>
  <c r="E468" i="5"/>
  <c r="D468" i="5"/>
  <c r="C468" i="5"/>
  <c r="B468" i="5"/>
  <c r="A468" i="5"/>
  <c r="N467" i="5"/>
  <c r="M467" i="5"/>
  <c r="L467" i="5"/>
  <c r="K467" i="5"/>
  <c r="J467" i="5"/>
  <c r="I467" i="5"/>
  <c r="H467" i="5"/>
  <c r="G467" i="5"/>
  <c r="F467" i="5"/>
  <c r="E467" i="5"/>
  <c r="D467" i="5"/>
  <c r="C467" i="5"/>
  <c r="B467" i="5"/>
  <c r="A467" i="5"/>
  <c r="N466" i="5"/>
  <c r="M466" i="5"/>
  <c r="L466" i="5"/>
  <c r="K466" i="5"/>
  <c r="J466" i="5"/>
  <c r="I466" i="5"/>
  <c r="H466" i="5"/>
  <c r="G466" i="5"/>
  <c r="F466" i="5"/>
  <c r="E466" i="5"/>
  <c r="D466" i="5"/>
  <c r="C466" i="5"/>
  <c r="B466" i="5"/>
  <c r="A466" i="5"/>
  <c r="N465" i="5"/>
  <c r="M465" i="5"/>
  <c r="L465" i="5"/>
  <c r="K465" i="5"/>
  <c r="J465" i="5"/>
  <c r="I465" i="5"/>
  <c r="H465" i="5"/>
  <c r="G465" i="5"/>
  <c r="F465" i="5"/>
  <c r="E465" i="5"/>
  <c r="D465" i="5"/>
  <c r="C465" i="5"/>
  <c r="B465" i="5"/>
  <c r="A465" i="5"/>
  <c r="N464" i="5"/>
  <c r="M464" i="5"/>
  <c r="L464" i="5"/>
  <c r="K464" i="5"/>
  <c r="J464" i="5"/>
  <c r="I464" i="5"/>
  <c r="H464" i="5"/>
  <c r="G464" i="5"/>
  <c r="F464" i="5"/>
  <c r="E464" i="5"/>
  <c r="D464" i="5"/>
  <c r="C464" i="5"/>
  <c r="B464" i="5"/>
  <c r="A464" i="5"/>
  <c r="N463" i="5"/>
  <c r="M463" i="5"/>
  <c r="L463" i="5"/>
  <c r="K463" i="5"/>
  <c r="J463" i="5"/>
  <c r="I463" i="5"/>
  <c r="H463" i="5"/>
  <c r="G463" i="5"/>
  <c r="F463" i="5"/>
  <c r="E463" i="5"/>
  <c r="D463" i="5"/>
  <c r="C463" i="5"/>
  <c r="B463" i="5"/>
  <c r="A463" i="5"/>
  <c r="N462" i="5"/>
  <c r="M462" i="5"/>
  <c r="L462" i="5"/>
  <c r="K462" i="5"/>
  <c r="J462" i="5"/>
  <c r="I462" i="5"/>
  <c r="H462" i="5"/>
  <c r="G462" i="5"/>
  <c r="F462" i="5"/>
  <c r="E462" i="5"/>
  <c r="D462" i="5"/>
  <c r="C462" i="5"/>
  <c r="B462" i="5"/>
  <c r="A462" i="5"/>
  <c r="N461" i="5"/>
  <c r="M461" i="5"/>
  <c r="L461" i="5"/>
  <c r="K461" i="5"/>
  <c r="J461" i="5"/>
  <c r="I461" i="5"/>
  <c r="H461" i="5"/>
  <c r="G461" i="5"/>
  <c r="F461" i="5"/>
  <c r="E461" i="5"/>
  <c r="D461" i="5"/>
  <c r="C461" i="5"/>
  <c r="B461" i="5"/>
  <c r="A461" i="5"/>
  <c r="N460" i="5"/>
  <c r="M460" i="5"/>
  <c r="L460" i="5"/>
  <c r="K460" i="5"/>
  <c r="J460" i="5"/>
  <c r="I460" i="5"/>
  <c r="H460" i="5"/>
  <c r="G460" i="5"/>
  <c r="F460" i="5"/>
  <c r="E460" i="5"/>
  <c r="D460" i="5"/>
  <c r="C460" i="5"/>
  <c r="B460" i="5"/>
  <c r="A460" i="5"/>
  <c r="N459" i="5"/>
  <c r="M459" i="5"/>
  <c r="L459" i="5"/>
  <c r="K459" i="5"/>
  <c r="J459" i="5"/>
  <c r="I459" i="5"/>
  <c r="H459" i="5"/>
  <c r="G459" i="5"/>
  <c r="F459" i="5"/>
  <c r="E459" i="5"/>
  <c r="D459" i="5"/>
  <c r="C459" i="5"/>
  <c r="B459" i="5"/>
  <c r="A459" i="5"/>
  <c r="N458" i="5"/>
  <c r="M458" i="5"/>
  <c r="L458" i="5"/>
  <c r="K458" i="5"/>
  <c r="J458" i="5"/>
  <c r="I458" i="5"/>
  <c r="H458" i="5"/>
  <c r="G458" i="5"/>
  <c r="F458" i="5"/>
  <c r="E458" i="5"/>
  <c r="D458" i="5"/>
  <c r="C458" i="5"/>
  <c r="B458" i="5"/>
  <c r="A458" i="5"/>
  <c r="N457" i="5"/>
  <c r="M457" i="5"/>
  <c r="L457" i="5"/>
  <c r="K457" i="5"/>
  <c r="J457" i="5"/>
  <c r="I457" i="5"/>
  <c r="H457" i="5"/>
  <c r="G457" i="5"/>
  <c r="F457" i="5"/>
  <c r="E457" i="5"/>
  <c r="D457" i="5"/>
  <c r="C457" i="5"/>
  <c r="B457" i="5"/>
  <c r="A457" i="5"/>
  <c r="N456" i="5"/>
  <c r="M456" i="5"/>
  <c r="L456" i="5"/>
  <c r="K456" i="5"/>
  <c r="J456" i="5"/>
  <c r="I456" i="5"/>
  <c r="H456" i="5"/>
  <c r="G456" i="5"/>
  <c r="F456" i="5"/>
  <c r="E456" i="5"/>
  <c r="D456" i="5"/>
  <c r="C456" i="5"/>
  <c r="B456" i="5"/>
  <c r="A456" i="5"/>
  <c r="N455" i="5"/>
  <c r="M455" i="5"/>
  <c r="L455" i="5"/>
  <c r="K455" i="5"/>
  <c r="J455" i="5"/>
  <c r="I455" i="5"/>
  <c r="H455" i="5"/>
  <c r="G455" i="5"/>
  <c r="F455" i="5"/>
  <c r="E455" i="5"/>
  <c r="D455" i="5"/>
  <c r="C455" i="5"/>
  <c r="B455" i="5"/>
  <c r="A455" i="5"/>
  <c r="N454" i="5"/>
  <c r="M454" i="5"/>
  <c r="L454" i="5"/>
  <c r="K454" i="5"/>
  <c r="J454" i="5"/>
  <c r="I454" i="5"/>
  <c r="H454" i="5"/>
  <c r="G454" i="5"/>
  <c r="F454" i="5"/>
  <c r="E454" i="5"/>
  <c r="D454" i="5"/>
  <c r="C454" i="5"/>
  <c r="B454" i="5"/>
  <c r="A454" i="5"/>
  <c r="N453" i="5"/>
  <c r="M453" i="5"/>
  <c r="L453" i="5"/>
  <c r="K453" i="5"/>
  <c r="J453" i="5"/>
  <c r="I453" i="5"/>
  <c r="H453" i="5"/>
  <c r="G453" i="5"/>
  <c r="F453" i="5"/>
  <c r="E453" i="5"/>
  <c r="D453" i="5"/>
  <c r="C453" i="5"/>
  <c r="B453" i="5"/>
  <c r="A453" i="5"/>
  <c r="N452" i="5"/>
  <c r="M452" i="5"/>
  <c r="L452" i="5"/>
  <c r="K452" i="5"/>
  <c r="J452" i="5"/>
  <c r="I452" i="5"/>
  <c r="H452" i="5"/>
  <c r="G452" i="5"/>
  <c r="F452" i="5"/>
  <c r="E452" i="5"/>
  <c r="D452" i="5"/>
  <c r="C452" i="5"/>
  <c r="B452" i="5"/>
  <c r="A452" i="5"/>
  <c r="N451" i="5"/>
  <c r="M451" i="5"/>
  <c r="L451" i="5"/>
  <c r="K451" i="5"/>
  <c r="J451" i="5"/>
  <c r="I451" i="5"/>
  <c r="H451" i="5"/>
  <c r="G451" i="5"/>
  <c r="F451" i="5"/>
  <c r="E451" i="5"/>
  <c r="D451" i="5"/>
  <c r="C451" i="5"/>
  <c r="B451" i="5"/>
  <c r="A451" i="5"/>
  <c r="N450" i="5"/>
  <c r="M450" i="5"/>
  <c r="L450" i="5"/>
  <c r="K450" i="5"/>
  <c r="J450" i="5"/>
  <c r="I450" i="5"/>
  <c r="H450" i="5"/>
  <c r="G450" i="5"/>
  <c r="F450" i="5"/>
  <c r="E450" i="5"/>
  <c r="D450" i="5"/>
  <c r="C450" i="5"/>
  <c r="B450" i="5"/>
  <c r="A450" i="5"/>
  <c r="N449" i="5"/>
  <c r="M449" i="5"/>
  <c r="L449" i="5"/>
  <c r="K449" i="5"/>
  <c r="J449" i="5"/>
  <c r="I449" i="5"/>
  <c r="H449" i="5"/>
  <c r="G449" i="5"/>
  <c r="F449" i="5"/>
  <c r="E449" i="5"/>
  <c r="D449" i="5"/>
  <c r="C449" i="5"/>
  <c r="B449" i="5"/>
  <c r="A449" i="5"/>
  <c r="N448" i="5"/>
  <c r="M448" i="5"/>
  <c r="L448" i="5"/>
  <c r="K448" i="5"/>
  <c r="J448" i="5"/>
  <c r="I448" i="5"/>
  <c r="H448" i="5"/>
  <c r="G448" i="5"/>
  <c r="F448" i="5"/>
  <c r="E448" i="5"/>
  <c r="D448" i="5"/>
  <c r="C448" i="5"/>
  <c r="B448" i="5"/>
  <c r="A448" i="5"/>
  <c r="N447" i="5"/>
  <c r="M447" i="5"/>
  <c r="L447" i="5"/>
  <c r="K447" i="5"/>
  <c r="J447" i="5"/>
  <c r="I447" i="5"/>
  <c r="H447" i="5"/>
  <c r="G447" i="5"/>
  <c r="F447" i="5"/>
  <c r="E447" i="5"/>
  <c r="D447" i="5"/>
  <c r="C447" i="5"/>
  <c r="B447" i="5"/>
  <c r="A447" i="5"/>
  <c r="N446" i="5"/>
  <c r="M446" i="5"/>
  <c r="L446" i="5"/>
  <c r="K446" i="5"/>
  <c r="J446" i="5"/>
  <c r="I446" i="5"/>
  <c r="H446" i="5"/>
  <c r="G446" i="5"/>
  <c r="F446" i="5"/>
  <c r="E446" i="5"/>
  <c r="D446" i="5"/>
  <c r="C446" i="5"/>
  <c r="B446" i="5"/>
  <c r="A446" i="5"/>
  <c r="N445" i="5"/>
  <c r="M445" i="5"/>
  <c r="L445" i="5"/>
  <c r="K445" i="5"/>
  <c r="J445" i="5"/>
  <c r="I445" i="5"/>
  <c r="H445" i="5"/>
  <c r="G445" i="5"/>
  <c r="F445" i="5"/>
  <c r="E445" i="5"/>
  <c r="D445" i="5"/>
  <c r="C445" i="5"/>
  <c r="B445" i="5"/>
  <c r="A445" i="5"/>
  <c r="N444" i="5"/>
  <c r="M444" i="5"/>
  <c r="L444" i="5"/>
  <c r="K444" i="5"/>
  <c r="J444" i="5"/>
  <c r="I444" i="5"/>
  <c r="H444" i="5"/>
  <c r="G444" i="5"/>
  <c r="F444" i="5"/>
  <c r="E444" i="5"/>
  <c r="D444" i="5"/>
  <c r="C444" i="5"/>
  <c r="B444" i="5"/>
  <c r="A444" i="5"/>
  <c r="N443" i="5"/>
  <c r="M443" i="5"/>
  <c r="L443" i="5"/>
  <c r="K443" i="5"/>
  <c r="J443" i="5"/>
  <c r="I443" i="5"/>
  <c r="H443" i="5"/>
  <c r="G443" i="5"/>
  <c r="F443" i="5"/>
  <c r="E443" i="5"/>
  <c r="D443" i="5"/>
  <c r="C443" i="5"/>
  <c r="B443" i="5"/>
  <c r="A443" i="5"/>
  <c r="N442" i="5"/>
  <c r="M442" i="5"/>
  <c r="L442" i="5"/>
  <c r="K442" i="5"/>
  <c r="J442" i="5"/>
  <c r="I442" i="5"/>
  <c r="H442" i="5"/>
  <c r="G442" i="5"/>
  <c r="F442" i="5"/>
  <c r="E442" i="5"/>
  <c r="D442" i="5"/>
  <c r="C442" i="5"/>
  <c r="B442" i="5"/>
  <c r="A442" i="5"/>
  <c r="N441" i="5"/>
  <c r="M441" i="5"/>
  <c r="L441" i="5"/>
  <c r="K441" i="5"/>
  <c r="J441" i="5"/>
  <c r="I441" i="5"/>
  <c r="H441" i="5"/>
  <c r="G441" i="5"/>
  <c r="F441" i="5"/>
  <c r="E441" i="5"/>
  <c r="D441" i="5"/>
  <c r="C441" i="5"/>
  <c r="B441" i="5"/>
  <c r="A441" i="5"/>
  <c r="N440" i="5"/>
  <c r="M440" i="5"/>
  <c r="L440" i="5"/>
  <c r="K440" i="5"/>
  <c r="J440" i="5"/>
  <c r="I440" i="5"/>
  <c r="H440" i="5"/>
  <c r="G440" i="5"/>
  <c r="F440" i="5"/>
  <c r="E440" i="5"/>
  <c r="D440" i="5"/>
  <c r="C440" i="5"/>
  <c r="B440" i="5"/>
  <c r="A440" i="5"/>
  <c r="N439" i="5"/>
  <c r="M439" i="5"/>
  <c r="L439" i="5"/>
  <c r="K439" i="5"/>
  <c r="J439" i="5"/>
  <c r="I439" i="5"/>
  <c r="H439" i="5"/>
  <c r="G439" i="5"/>
  <c r="F439" i="5"/>
  <c r="E439" i="5"/>
  <c r="D439" i="5"/>
  <c r="C439" i="5"/>
  <c r="B439" i="5"/>
  <c r="A439" i="5"/>
  <c r="N438" i="5"/>
  <c r="M438" i="5"/>
  <c r="L438" i="5"/>
  <c r="K438" i="5"/>
  <c r="J438" i="5"/>
  <c r="I438" i="5"/>
  <c r="H438" i="5"/>
  <c r="G438" i="5"/>
  <c r="F438" i="5"/>
  <c r="E438" i="5"/>
  <c r="D438" i="5"/>
  <c r="C438" i="5"/>
  <c r="B438" i="5"/>
  <c r="A438" i="5"/>
  <c r="N437" i="5"/>
  <c r="M437" i="5"/>
  <c r="L437" i="5"/>
  <c r="K437" i="5"/>
  <c r="J437" i="5"/>
  <c r="I437" i="5"/>
  <c r="H437" i="5"/>
  <c r="G437" i="5"/>
  <c r="F437" i="5"/>
  <c r="E437" i="5"/>
  <c r="D437" i="5"/>
  <c r="C437" i="5"/>
  <c r="B437" i="5"/>
  <c r="A437" i="5"/>
  <c r="N436" i="5"/>
  <c r="M436" i="5"/>
  <c r="L436" i="5"/>
  <c r="K436" i="5"/>
  <c r="J436" i="5"/>
  <c r="I436" i="5"/>
  <c r="H436" i="5"/>
  <c r="G436" i="5"/>
  <c r="F436" i="5"/>
  <c r="E436" i="5"/>
  <c r="D436" i="5"/>
  <c r="C436" i="5"/>
  <c r="B436" i="5"/>
  <c r="A436" i="5"/>
  <c r="N435" i="5"/>
  <c r="M435" i="5"/>
  <c r="L435" i="5"/>
  <c r="K435" i="5"/>
  <c r="J435" i="5"/>
  <c r="I435" i="5"/>
  <c r="H435" i="5"/>
  <c r="G435" i="5"/>
  <c r="F435" i="5"/>
  <c r="E435" i="5"/>
  <c r="D435" i="5"/>
  <c r="C435" i="5"/>
  <c r="B435" i="5"/>
  <c r="A435" i="5"/>
  <c r="N434" i="5"/>
  <c r="M434" i="5"/>
  <c r="L434" i="5"/>
  <c r="K434" i="5"/>
  <c r="J434" i="5"/>
  <c r="I434" i="5"/>
  <c r="H434" i="5"/>
  <c r="G434" i="5"/>
  <c r="F434" i="5"/>
  <c r="E434" i="5"/>
  <c r="D434" i="5"/>
  <c r="C434" i="5"/>
  <c r="B434" i="5"/>
  <c r="A434" i="5"/>
  <c r="N433" i="5"/>
  <c r="M433" i="5"/>
  <c r="L433" i="5"/>
  <c r="K433" i="5"/>
  <c r="J433" i="5"/>
  <c r="I433" i="5"/>
  <c r="H433" i="5"/>
  <c r="G433" i="5"/>
  <c r="F433" i="5"/>
  <c r="E433" i="5"/>
  <c r="D433" i="5"/>
  <c r="C433" i="5"/>
  <c r="B433" i="5"/>
  <c r="A433" i="5"/>
  <c r="N432" i="5"/>
  <c r="M432" i="5"/>
  <c r="L432" i="5"/>
  <c r="K432" i="5"/>
  <c r="J432" i="5"/>
  <c r="I432" i="5"/>
  <c r="H432" i="5"/>
  <c r="G432" i="5"/>
  <c r="F432" i="5"/>
  <c r="E432" i="5"/>
  <c r="D432" i="5"/>
  <c r="C432" i="5"/>
  <c r="B432" i="5"/>
  <c r="A432" i="5"/>
  <c r="N431" i="5"/>
  <c r="M431" i="5"/>
  <c r="L431" i="5"/>
  <c r="K431" i="5"/>
  <c r="J431" i="5"/>
  <c r="I431" i="5"/>
  <c r="H431" i="5"/>
  <c r="G431" i="5"/>
  <c r="F431" i="5"/>
  <c r="E431" i="5"/>
  <c r="D431" i="5"/>
  <c r="C431" i="5"/>
  <c r="B431" i="5"/>
  <c r="A431" i="5"/>
  <c r="N430" i="5"/>
  <c r="M430" i="5"/>
  <c r="L430" i="5"/>
  <c r="K430" i="5"/>
  <c r="J430" i="5"/>
  <c r="I430" i="5"/>
  <c r="H430" i="5"/>
  <c r="G430" i="5"/>
  <c r="F430" i="5"/>
  <c r="E430" i="5"/>
  <c r="D430" i="5"/>
  <c r="C430" i="5"/>
  <c r="B430" i="5"/>
  <c r="A430" i="5"/>
  <c r="N429" i="5"/>
  <c r="M429" i="5"/>
  <c r="L429" i="5"/>
  <c r="K429" i="5"/>
  <c r="J429" i="5"/>
  <c r="I429" i="5"/>
  <c r="H429" i="5"/>
  <c r="G429" i="5"/>
  <c r="F429" i="5"/>
  <c r="E429" i="5"/>
  <c r="D429" i="5"/>
  <c r="C429" i="5"/>
  <c r="B429" i="5"/>
  <c r="A429" i="5"/>
  <c r="N428" i="5"/>
  <c r="M428" i="5"/>
  <c r="L428" i="5"/>
  <c r="K428" i="5"/>
  <c r="J428" i="5"/>
  <c r="I428" i="5"/>
  <c r="H428" i="5"/>
  <c r="G428" i="5"/>
  <c r="F428" i="5"/>
  <c r="E428" i="5"/>
  <c r="D428" i="5"/>
  <c r="C428" i="5"/>
  <c r="B428" i="5"/>
  <c r="A428" i="5"/>
  <c r="N427" i="5"/>
  <c r="M427" i="5"/>
  <c r="L427" i="5"/>
  <c r="K427" i="5"/>
  <c r="J427" i="5"/>
  <c r="I427" i="5"/>
  <c r="H427" i="5"/>
  <c r="G427" i="5"/>
  <c r="F427" i="5"/>
  <c r="E427" i="5"/>
  <c r="D427" i="5"/>
  <c r="C427" i="5"/>
  <c r="B427" i="5"/>
  <c r="A427" i="5"/>
  <c r="N426" i="5"/>
  <c r="M426" i="5"/>
  <c r="L426" i="5"/>
  <c r="K426" i="5"/>
  <c r="J426" i="5"/>
  <c r="I426" i="5"/>
  <c r="H426" i="5"/>
  <c r="G426" i="5"/>
  <c r="F426" i="5"/>
  <c r="E426" i="5"/>
  <c r="D426" i="5"/>
  <c r="C426" i="5"/>
  <c r="B426" i="5"/>
  <c r="A426" i="5"/>
  <c r="N425" i="5"/>
  <c r="M425" i="5"/>
  <c r="L425" i="5"/>
  <c r="K425" i="5"/>
  <c r="J425" i="5"/>
  <c r="I425" i="5"/>
  <c r="H425" i="5"/>
  <c r="G425" i="5"/>
  <c r="F425" i="5"/>
  <c r="E425" i="5"/>
  <c r="D425" i="5"/>
  <c r="C425" i="5"/>
  <c r="B425" i="5"/>
  <c r="A425" i="5"/>
  <c r="N424" i="5"/>
  <c r="M424" i="5"/>
  <c r="L424" i="5"/>
  <c r="K424" i="5"/>
  <c r="J424" i="5"/>
  <c r="I424" i="5"/>
  <c r="H424" i="5"/>
  <c r="G424" i="5"/>
  <c r="F424" i="5"/>
  <c r="E424" i="5"/>
  <c r="D424" i="5"/>
  <c r="C424" i="5"/>
  <c r="B424" i="5"/>
  <c r="A424" i="5"/>
  <c r="N423" i="5"/>
  <c r="M423" i="5"/>
  <c r="L423" i="5"/>
  <c r="K423" i="5"/>
  <c r="J423" i="5"/>
  <c r="I423" i="5"/>
  <c r="H423" i="5"/>
  <c r="G423" i="5"/>
  <c r="F423" i="5"/>
  <c r="E423" i="5"/>
  <c r="D423" i="5"/>
  <c r="C423" i="5"/>
  <c r="B423" i="5"/>
  <c r="A423" i="5"/>
  <c r="N422" i="5"/>
  <c r="M422" i="5"/>
  <c r="L422" i="5"/>
  <c r="K422" i="5"/>
  <c r="J422" i="5"/>
  <c r="I422" i="5"/>
  <c r="H422" i="5"/>
  <c r="G422" i="5"/>
  <c r="F422" i="5"/>
  <c r="E422" i="5"/>
  <c r="D422" i="5"/>
  <c r="C422" i="5"/>
  <c r="B422" i="5"/>
  <c r="A422" i="5"/>
  <c r="N421" i="5"/>
  <c r="M421" i="5"/>
  <c r="L421" i="5"/>
  <c r="K421" i="5"/>
  <c r="J421" i="5"/>
  <c r="I421" i="5"/>
  <c r="H421" i="5"/>
  <c r="G421" i="5"/>
  <c r="F421" i="5"/>
  <c r="E421" i="5"/>
  <c r="D421" i="5"/>
  <c r="C421" i="5"/>
  <c r="B421" i="5"/>
  <c r="A421" i="5"/>
  <c r="N420" i="5"/>
  <c r="M420" i="5"/>
  <c r="L420" i="5"/>
  <c r="K420" i="5"/>
  <c r="J420" i="5"/>
  <c r="I420" i="5"/>
  <c r="H420" i="5"/>
  <c r="G420" i="5"/>
  <c r="F420" i="5"/>
  <c r="E420" i="5"/>
  <c r="D420" i="5"/>
  <c r="C420" i="5"/>
  <c r="B420" i="5"/>
  <c r="A420" i="5"/>
  <c r="N419" i="5"/>
  <c r="M419" i="5"/>
  <c r="L419" i="5"/>
  <c r="K419" i="5"/>
  <c r="J419" i="5"/>
  <c r="I419" i="5"/>
  <c r="H419" i="5"/>
  <c r="G419" i="5"/>
  <c r="F419" i="5"/>
  <c r="E419" i="5"/>
  <c r="D419" i="5"/>
  <c r="C419" i="5"/>
  <c r="B419" i="5"/>
  <c r="A419" i="5"/>
  <c r="N418" i="5"/>
  <c r="M418" i="5"/>
  <c r="L418" i="5"/>
  <c r="K418" i="5"/>
  <c r="J418" i="5"/>
  <c r="I418" i="5"/>
  <c r="H418" i="5"/>
  <c r="G418" i="5"/>
  <c r="F418" i="5"/>
  <c r="E418" i="5"/>
  <c r="D418" i="5"/>
  <c r="C418" i="5"/>
  <c r="B418" i="5"/>
  <c r="A418" i="5"/>
  <c r="N417" i="5"/>
  <c r="M417" i="5"/>
  <c r="L417" i="5"/>
  <c r="K417" i="5"/>
  <c r="J417" i="5"/>
  <c r="I417" i="5"/>
  <c r="H417" i="5"/>
  <c r="G417" i="5"/>
  <c r="F417" i="5"/>
  <c r="E417" i="5"/>
  <c r="D417" i="5"/>
  <c r="C417" i="5"/>
  <c r="B417" i="5"/>
  <c r="A417" i="5"/>
  <c r="N416" i="5"/>
  <c r="M416" i="5"/>
  <c r="L416" i="5"/>
  <c r="K416" i="5"/>
  <c r="J416" i="5"/>
  <c r="I416" i="5"/>
  <c r="H416" i="5"/>
  <c r="G416" i="5"/>
  <c r="F416" i="5"/>
  <c r="E416" i="5"/>
  <c r="D416" i="5"/>
  <c r="C416" i="5"/>
  <c r="B416" i="5"/>
  <c r="A416" i="5"/>
  <c r="N415" i="5"/>
  <c r="M415" i="5"/>
  <c r="L415" i="5"/>
  <c r="K415" i="5"/>
  <c r="J415" i="5"/>
  <c r="I415" i="5"/>
  <c r="H415" i="5"/>
  <c r="G415" i="5"/>
  <c r="F415" i="5"/>
  <c r="E415" i="5"/>
  <c r="D415" i="5"/>
  <c r="C415" i="5"/>
  <c r="B415" i="5"/>
  <c r="A415" i="5"/>
  <c r="N414" i="5"/>
  <c r="M414" i="5"/>
  <c r="L414" i="5"/>
  <c r="K414" i="5"/>
  <c r="J414" i="5"/>
  <c r="I414" i="5"/>
  <c r="H414" i="5"/>
  <c r="G414" i="5"/>
  <c r="F414" i="5"/>
  <c r="E414" i="5"/>
  <c r="D414" i="5"/>
  <c r="C414" i="5"/>
  <c r="B414" i="5"/>
  <c r="A414" i="5"/>
  <c r="N413" i="5"/>
  <c r="M413" i="5"/>
  <c r="L413" i="5"/>
  <c r="K413" i="5"/>
  <c r="J413" i="5"/>
  <c r="I413" i="5"/>
  <c r="H413" i="5"/>
  <c r="G413" i="5"/>
  <c r="F413" i="5"/>
  <c r="E413" i="5"/>
  <c r="D413" i="5"/>
  <c r="C413" i="5"/>
  <c r="B413" i="5"/>
  <c r="A413" i="5"/>
  <c r="N412" i="5"/>
  <c r="M412" i="5"/>
  <c r="L412" i="5"/>
  <c r="K412" i="5"/>
  <c r="J412" i="5"/>
  <c r="I412" i="5"/>
  <c r="H412" i="5"/>
  <c r="G412" i="5"/>
  <c r="F412" i="5"/>
  <c r="E412" i="5"/>
  <c r="D412" i="5"/>
  <c r="C412" i="5"/>
  <c r="B412" i="5"/>
  <c r="A412" i="5"/>
  <c r="N411" i="5"/>
  <c r="M411" i="5"/>
  <c r="L411" i="5"/>
  <c r="K411" i="5"/>
  <c r="J411" i="5"/>
  <c r="I411" i="5"/>
  <c r="H411" i="5"/>
  <c r="G411" i="5"/>
  <c r="F411" i="5"/>
  <c r="E411" i="5"/>
  <c r="D411" i="5"/>
  <c r="C411" i="5"/>
  <c r="B411" i="5"/>
  <c r="A411" i="5"/>
  <c r="N410" i="5"/>
  <c r="M410" i="5"/>
  <c r="L410" i="5"/>
  <c r="K410" i="5"/>
  <c r="J410" i="5"/>
  <c r="I410" i="5"/>
  <c r="H410" i="5"/>
  <c r="G410" i="5"/>
  <c r="F410" i="5"/>
  <c r="E410" i="5"/>
  <c r="D410" i="5"/>
  <c r="C410" i="5"/>
  <c r="B410" i="5"/>
  <c r="A410" i="5"/>
  <c r="N409" i="5"/>
  <c r="M409" i="5"/>
  <c r="L409" i="5"/>
  <c r="K409" i="5"/>
  <c r="J409" i="5"/>
  <c r="I409" i="5"/>
  <c r="H409" i="5"/>
  <c r="G409" i="5"/>
  <c r="F409" i="5"/>
  <c r="E409" i="5"/>
  <c r="D409" i="5"/>
  <c r="C409" i="5"/>
  <c r="B409" i="5"/>
  <c r="A409" i="5"/>
  <c r="N408" i="5"/>
  <c r="M408" i="5"/>
  <c r="L408" i="5"/>
  <c r="K408" i="5"/>
  <c r="J408" i="5"/>
  <c r="I408" i="5"/>
  <c r="H408" i="5"/>
  <c r="G408" i="5"/>
  <c r="F408" i="5"/>
  <c r="E408" i="5"/>
  <c r="D408" i="5"/>
  <c r="C408" i="5"/>
  <c r="B408" i="5"/>
  <c r="A408" i="5"/>
  <c r="N407" i="5"/>
  <c r="M407" i="5"/>
  <c r="L407" i="5"/>
  <c r="K407" i="5"/>
  <c r="J407" i="5"/>
  <c r="I407" i="5"/>
  <c r="H407" i="5"/>
  <c r="G407" i="5"/>
  <c r="F407" i="5"/>
  <c r="E407" i="5"/>
  <c r="D407" i="5"/>
  <c r="C407" i="5"/>
  <c r="B407" i="5"/>
  <c r="A407" i="5"/>
  <c r="N406" i="5"/>
  <c r="M406" i="5"/>
  <c r="L406" i="5"/>
  <c r="K406" i="5"/>
  <c r="J406" i="5"/>
  <c r="I406" i="5"/>
  <c r="H406" i="5"/>
  <c r="G406" i="5"/>
  <c r="F406" i="5"/>
  <c r="E406" i="5"/>
  <c r="D406" i="5"/>
  <c r="C406" i="5"/>
  <c r="B406" i="5"/>
  <c r="A406" i="5"/>
  <c r="N405" i="5"/>
  <c r="M405" i="5"/>
  <c r="L405" i="5"/>
  <c r="K405" i="5"/>
  <c r="J405" i="5"/>
  <c r="I405" i="5"/>
  <c r="H405" i="5"/>
  <c r="G405" i="5"/>
  <c r="F405" i="5"/>
  <c r="E405" i="5"/>
  <c r="D405" i="5"/>
  <c r="C405" i="5"/>
  <c r="B405" i="5"/>
  <c r="A405" i="5"/>
  <c r="N404" i="5"/>
  <c r="M404" i="5"/>
  <c r="L404" i="5"/>
  <c r="K404" i="5"/>
  <c r="J404" i="5"/>
  <c r="I404" i="5"/>
  <c r="H404" i="5"/>
  <c r="G404" i="5"/>
  <c r="F404" i="5"/>
  <c r="E404" i="5"/>
  <c r="D404" i="5"/>
  <c r="C404" i="5"/>
  <c r="B404" i="5"/>
  <c r="A404" i="5"/>
  <c r="N403" i="5"/>
  <c r="M403" i="5"/>
  <c r="L403" i="5"/>
  <c r="K403" i="5"/>
  <c r="J403" i="5"/>
  <c r="I403" i="5"/>
  <c r="H403" i="5"/>
  <c r="G403" i="5"/>
  <c r="F403" i="5"/>
  <c r="E403" i="5"/>
  <c r="D403" i="5"/>
  <c r="C403" i="5"/>
  <c r="B403" i="5"/>
  <c r="A403" i="5"/>
  <c r="N402" i="5"/>
  <c r="M402" i="5"/>
  <c r="L402" i="5"/>
  <c r="K402" i="5"/>
  <c r="J402" i="5"/>
  <c r="I402" i="5"/>
  <c r="H402" i="5"/>
  <c r="G402" i="5"/>
  <c r="F402" i="5"/>
  <c r="E402" i="5"/>
  <c r="D402" i="5"/>
  <c r="C402" i="5"/>
  <c r="B402" i="5"/>
  <c r="A402" i="5"/>
  <c r="N401" i="5"/>
  <c r="M401" i="5"/>
  <c r="L401" i="5"/>
  <c r="K401" i="5"/>
  <c r="J401" i="5"/>
  <c r="I401" i="5"/>
  <c r="H401" i="5"/>
  <c r="G401" i="5"/>
  <c r="F401" i="5"/>
  <c r="E401" i="5"/>
  <c r="D401" i="5"/>
  <c r="C401" i="5"/>
  <c r="B401" i="5"/>
  <c r="A401" i="5"/>
  <c r="N400" i="5"/>
  <c r="M400" i="5"/>
  <c r="L400" i="5"/>
  <c r="K400" i="5"/>
  <c r="J400" i="5"/>
  <c r="I400" i="5"/>
  <c r="H400" i="5"/>
  <c r="G400" i="5"/>
  <c r="F400" i="5"/>
  <c r="E400" i="5"/>
  <c r="D400" i="5"/>
  <c r="C400" i="5"/>
  <c r="B400" i="5"/>
  <c r="A400" i="5"/>
  <c r="N399" i="5"/>
  <c r="M399" i="5"/>
  <c r="L399" i="5"/>
  <c r="K399" i="5"/>
  <c r="J399" i="5"/>
  <c r="I399" i="5"/>
  <c r="H399" i="5"/>
  <c r="G399" i="5"/>
  <c r="F399" i="5"/>
  <c r="E399" i="5"/>
  <c r="D399" i="5"/>
  <c r="C399" i="5"/>
  <c r="B399" i="5"/>
  <c r="A399" i="5"/>
  <c r="N398" i="5"/>
  <c r="M398" i="5"/>
  <c r="L398" i="5"/>
  <c r="K398" i="5"/>
  <c r="J398" i="5"/>
  <c r="I398" i="5"/>
  <c r="H398" i="5"/>
  <c r="G398" i="5"/>
  <c r="F398" i="5"/>
  <c r="E398" i="5"/>
  <c r="D398" i="5"/>
  <c r="C398" i="5"/>
  <c r="B398" i="5"/>
  <c r="A398" i="5"/>
  <c r="N397" i="5"/>
  <c r="M397" i="5"/>
  <c r="L397" i="5"/>
  <c r="K397" i="5"/>
  <c r="J397" i="5"/>
  <c r="I397" i="5"/>
  <c r="H397" i="5"/>
  <c r="G397" i="5"/>
  <c r="F397" i="5"/>
  <c r="E397" i="5"/>
  <c r="D397" i="5"/>
  <c r="C397" i="5"/>
  <c r="B397" i="5"/>
  <c r="A397" i="5"/>
  <c r="N396" i="5"/>
  <c r="M396" i="5"/>
  <c r="L396" i="5"/>
  <c r="K396" i="5"/>
  <c r="J396" i="5"/>
  <c r="I396" i="5"/>
  <c r="H396" i="5"/>
  <c r="G396" i="5"/>
  <c r="F396" i="5"/>
  <c r="E396" i="5"/>
  <c r="D396" i="5"/>
  <c r="C396" i="5"/>
  <c r="B396" i="5"/>
  <c r="A396" i="5"/>
  <c r="N395" i="5"/>
  <c r="M395" i="5"/>
  <c r="L395" i="5"/>
  <c r="K395" i="5"/>
  <c r="J395" i="5"/>
  <c r="I395" i="5"/>
  <c r="H395" i="5"/>
  <c r="G395" i="5"/>
  <c r="F395" i="5"/>
  <c r="E395" i="5"/>
  <c r="D395" i="5"/>
  <c r="C395" i="5"/>
  <c r="B395" i="5"/>
  <c r="A395" i="5"/>
  <c r="N394" i="5"/>
  <c r="M394" i="5"/>
  <c r="L394" i="5"/>
  <c r="K394" i="5"/>
  <c r="J394" i="5"/>
  <c r="I394" i="5"/>
  <c r="H394" i="5"/>
  <c r="G394" i="5"/>
  <c r="F394" i="5"/>
  <c r="E394" i="5"/>
  <c r="D394" i="5"/>
  <c r="C394" i="5"/>
  <c r="B394" i="5"/>
  <c r="A394" i="5"/>
  <c r="N393" i="5"/>
  <c r="M393" i="5"/>
  <c r="L393" i="5"/>
  <c r="K393" i="5"/>
  <c r="J393" i="5"/>
  <c r="I393" i="5"/>
  <c r="H393" i="5"/>
  <c r="G393" i="5"/>
  <c r="F393" i="5"/>
  <c r="E393" i="5"/>
  <c r="D393" i="5"/>
  <c r="C393" i="5"/>
  <c r="B393" i="5"/>
  <c r="A393" i="5"/>
  <c r="N392" i="5"/>
  <c r="M392" i="5"/>
  <c r="L392" i="5"/>
  <c r="K392" i="5"/>
  <c r="J392" i="5"/>
  <c r="I392" i="5"/>
  <c r="H392" i="5"/>
  <c r="G392" i="5"/>
  <c r="F392" i="5"/>
  <c r="E392" i="5"/>
  <c r="D392" i="5"/>
  <c r="C392" i="5"/>
  <c r="B392" i="5"/>
  <c r="A392" i="5"/>
  <c r="N391" i="5"/>
  <c r="M391" i="5"/>
  <c r="L391" i="5"/>
  <c r="K391" i="5"/>
  <c r="J391" i="5"/>
  <c r="I391" i="5"/>
  <c r="H391" i="5"/>
  <c r="G391" i="5"/>
  <c r="F391" i="5"/>
  <c r="E391" i="5"/>
  <c r="D391" i="5"/>
  <c r="C391" i="5"/>
  <c r="B391" i="5"/>
  <c r="A391" i="5"/>
  <c r="N390" i="5"/>
  <c r="M390" i="5"/>
  <c r="L390" i="5"/>
  <c r="K390" i="5"/>
  <c r="J390" i="5"/>
  <c r="I390" i="5"/>
  <c r="H390" i="5"/>
  <c r="G390" i="5"/>
  <c r="F390" i="5"/>
  <c r="E390" i="5"/>
  <c r="D390" i="5"/>
  <c r="C390" i="5"/>
  <c r="B390" i="5"/>
  <c r="A390" i="5"/>
  <c r="N389" i="5"/>
  <c r="M389" i="5"/>
  <c r="L389" i="5"/>
  <c r="K389" i="5"/>
  <c r="J389" i="5"/>
  <c r="I389" i="5"/>
  <c r="H389" i="5"/>
  <c r="G389" i="5"/>
  <c r="F389" i="5"/>
  <c r="E389" i="5"/>
  <c r="D389" i="5"/>
  <c r="C389" i="5"/>
  <c r="B389" i="5"/>
  <c r="A389" i="5"/>
  <c r="N388" i="5"/>
  <c r="M388" i="5"/>
  <c r="L388" i="5"/>
  <c r="K388" i="5"/>
  <c r="J388" i="5"/>
  <c r="I388" i="5"/>
  <c r="H388" i="5"/>
  <c r="G388" i="5"/>
  <c r="F388" i="5"/>
  <c r="E388" i="5"/>
  <c r="D388" i="5"/>
  <c r="C388" i="5"/>
  <c r="B388" i="5"/>
  <c r="A388" i="5"/>
  <c r="N387" i="5"/>
  <c r="M387" i="5"/>
  <c r="L387" i="5"/>
  <c r="K387" i="5"/>
  <c r="J387" i="5"/>
  <c r="I387" i="5"/>
  <c r="H387" i="5"/>
  <c r="G387" i="5"/>
  <c r="F387" i="5"/>
  <c r="E387" i="5"/>
  <c r="D387" i="5"/>
  <c r="C387" i="5"/>
  <c r="B387" i="5"/>
  <c r="A387" i="5"/>
  <c r="N386" i="5"/>
  <c r="M386" i="5"/>
  <c r="L386" i="5"/>
  <c r="K386" i="5"/>
  <c r="J386" i="5"/>
  <c r="I386" i="5"/>
  <c r="H386" i="5"/>
  <c r="G386" i="5"/>
  <c r="F386" i="5"/>
  <c r="E386" i="5"/>
  <c r="D386" i="5"/>
  <c r="C386" i="5"/>
  <c r="B386" i="5"/>
  <c r="A386" i="5"/>
  <c r="N385" i="5"/>
  <c r="M385" i="5"/>
  <c r="L385" i="5"/>
  <c r="K385" i="5"/>
  <c r="J385" i="5"/>
  <c r="I385" i="5"/>
  <c r="H385" i="5"/>
  <c r="G385" i="5"/>
  <c r="F385" i="5"/>
  <c r="E385" i="5"/>
  <c r="D385" i="5"/>
  <c r="C385" i="5"/>
  <c r="B385" i="5"/>
  <c r="A385" i="5"/>
  <c r="N384" i="5"/>
  <c r="M384" i="5"/>
  <c r="L384" i="5"/>
  <c r="K384" i="5"/>
  <c r="J384" i="5"/>
  <c r="I384" i="5"/>
  <c r="H384" i="5"/>
  <c r="G384" i="5"/>
  <c r="F384" i="5"/>
  <c r="E384" i="5"/>
  <c r="D384" i="5"/>
  <c r="C384" i="5"/>
  <c r="B384" i="5"/>
  <c r="A384" i="5"/>
  <c r="N383" i="5"/>
  <c r="M383" i="5"/>
  <c r="L383" i="5"/>
  <c r="K383" i="5"/>
  <c r="J383" i="5"/>
  <c r="I383" i="5"/>
  <c r="H383" i="5"/>
  <c r="G383" i="5"/>
  <c r="F383" i="5"/>
  <c r="E383" i="5"/>
  <c r="D383" i="5"/>
  <c r="C383" i="5"/>
  <c r="B383" i="5"/>
  <c r="A383" i="5"/>
  <c r="N382" i="5"/>
  <c r="M382" i="5"/>
  <c r="L382" i="5"/>
  <c r="K382" i="5"/>
  <c r="J382" i="5"/>
  <c r="I382" i="5"/>
  <c r="H382" i="5"/>
  <c r="G382" i="5"/>
  <c r="F382" i="5"/>
  <c r="E382" i="5"/>
  <c r="D382" i="5"/>
  <c r="C382" i="5"/>
  <c r="B382" i="5"/>
  <c r="A382" i="5"/>
  <c r="N381" i="5"/>
  <c r="M381" i="5"/>
  <c r="L381" i="5"/>
  <c r="K381" i="5"/>
  <c r="J381" i="5"/>
  <c r="I381" i="5"/>
  <c r="H381" i="5"/>
  <c r="G381" i="5"/>
  <c r="F381" i="5"/>
  <c r="E381" i="5"/>
  <c r="D381" i="5"/>
  <c r="C381" i="5"/>
  <c r="B381" i="5"/>
  <c r="A381" i="5"/>
  <c r="N380" i="5"/>
  <c r="M380" i="5"/>
  <c r="L380" i="5"/>
  <c r="K380" i="5"/>
  <c r="J380" i="5"/>
  <c r="I380" i="5"/>
  <c r="H380" i="5"/>
  <c r="G380" i="5"/>
  <c r="F380" i="5"/>
  <c r="E380" i="5"/>
  <c r="D380" i="5"/>
  <c r="C380" i="5"/>
  <c r="B380" i="5"/>
  <c r="A380" i="5"/>
  <c r="N379" i="5"/>
  <c r="M379" i="5"/>
  <c r="L379" i="5"/>
  <c r="K379" i="5"/>
  <c r="J379" i="5"/>
  <c r="I379" i="5"/>
  <c r="H379" i="5"/>
  <c r="G379" i="5"/>
  <c r="F379" i="5"/>
  <c r="E379" i="5"/>
  <c r="D379" i="5"/>
  <c r="C379" i="5"/>
  <c r="B379" i="5"/>
  <c r="A379" i="5"/>
  <c r="N378" i="5"/>
  <c r="M378" i="5"/>
  <c r="L378" i="5"/>
  <c r="K378" i="5"/>
  <c r="J378" i="5"/>
  <c r="I378" i="5"/>
  <c r="H378" i="5"/>
  <c r="G378" i="5"/>
  <c r="F378" i="5"/>
  <c r="E378" i="5"/>
  <c r="D378" i="5"/>
  <c r="C378" i="5"/>
  <c r="B378" i="5"/>
  <c r="A378" i="5"/>
  <c r="N377" i="5"/>
  <c r="M377" i="5"/>
  <c r="L377" i="5"/>
  <c r="K377" i="5"/>
  <c r="J377" i="5"/>
  <c r="I377" i="5"/>
  <c r="H377" i="5"/>
  <c r="G377" i="5"/>
  <c r="F377" i="5"/>
  <c r="E377" i="5"/>
  <c r="D377" i="5"/>
  <c r="C377" i="5"/>
  <c r="B377" i="5"/>
  <c r="A377" i="5"/>
  <c r="N376" i="5"/>
  <c r="M376" i="5"/>
  <c r="L376" i="5"/>
  <c r="K376" i="5"/>
  <c r="J376" i="5"/>
  <c r="I376" i="5"/>
  <c r="H376" i="5"/>
  <c r="G376" i="5"/>
  <c r="F376" i="5"/>
  <c r="E376" i="5"/>
  <c r="D376" i="5"/>
  <c r="C376" i="5"/>
  <c r="B376" i="5"/>
  <c r="A376" i="5"/>
  <c r="N375" i="5"/>
  <c r="M375" i="5"/>
  <c r="L375" i="5"/>
  <c r="K375" i="5"/>
  <c r="J375" i="5"/>
  <c r="I375" i="5"/>
  <c r="H375" i="5"/>
  <c r="G375" i="5"/>
  <c r="F375" i="5"/>
  <c r="E375" i="5"/>
  <c r="D375" i="5"/>
  <c r="C375" i="5"/>
  <c r="B375" i="5"/>
  <c r="A375" i="5"/>
  <c r="N374" i="5"/>
  <c r="M374" i="5"/>
  <c r="L374" i="5"/>
  <c r="K374" i="5"/>
  <c r="J374" i="5"/>
  <c r="I374" i="5"/>
  <c r="H374" i="5"/>
  <c r="G374" i="5"/>
  <c r="F374" i="5"/>
  <c r="E374" i="5"/>
  <c r="D374" i="5"/>
  <c r="C374" i="5"/>
  <c r="B374" i="5"/>
  <c r="A374" i="5"/>
  <c r="N373" i="5"/>
  <c r="M373" i="5"/>
  <c r="L373" i="5"/>
  <c r="K373" i="5"/>
  <c r="J373" i="5"/>
  <c r="I373" i="5"/>
  <c r="H373" i="5"/>
  <c r="G373" i="5"/>
  <c r="F373" i="5"/>
  <c r="E373" i="5"/>
  <c r="D373" i="5"/>
  <c r="C373" i="5"/>
  <c r="B373" i="5"/>
  <c r="A373" i="5"/>
  <c r="N372" i="5"/>
  <c r="M372" i="5"/>
  <c r="L372" i="5"/>
  <c r="K372" i="5"/>
  <c r="J372" i="5"/>
  <c r="I372" i="5"/>
  <c r="H372" i="5"/>
  <c r="G372" i="5"/>
  <c r="F372" i="5"/>
  <c r="E372" i="5"/>
  <c r="D372" i="5"/>
  <c r="C372" i="5"/>
  <c r="B372" i="5"/>
  <c r="A372" i="5"/>
  <c r="N371" i="5"/>
  <c r="M371" i="5"/>
  <c r="L371" i="5"/>
  <c r="K371" i="5"/>
  <c r="J371" i="5"/>
  <c r="I371" i="5"/>
  <c r="H371" i="5"/>
  <c r="G371" i="5"/>
  <c r="F371" i="5"/>
  <c r="E371" i="5"/>
  <c r="D371" i="5"/>
  <c r="C371" i="5"/>
  <c r="B371" i="5"/>
  <c r="A371" i="5"/>
  <c r="N370" i="5"/>
  <c r="M370" i="5"/>
  <c r="L370" i="5"/>
  <c r="K370" i="5"/>
  <c r="J370" i="5"/>
  <c r="I370" i="5"/>
  <c r="H370" i="5"/>
  <c r="G370" i="5"/>
  <c r="F370" i="5"/>
  <c r="E370" i="5"/>
  <c r="D370" i="5"/>
  <c r="C370" i="5"/>
  <c r="B370" i="5"/>
  <c r="A370" i="5"/>
  <c r="N369" i="5"/>
  <c r="M369" i="5"/>
  <c r="L369" i="5"/>
  <c r="K369" i="5"/>
  <c r="J369" i="5"/>
  <c r="I369" i="5"/>
  <c r="H369" i="5"/>
  <c r="G369" i="5"/>
  <c r="F369" i="5"/>
  <c r="E369" i="5"/>
  <c r="D369" i="5"/>
  <c r="C369" i="5"/>
  <c r="B369" i="5"/>
  <c r="A369" i="5"/>
  <c r="N368" i="5"/>
  <c r="M368" i="5"/>
  <c r="L368" i="5"/>
  <c r="K368" i="5"/>
  <c r="J368" i="5"/>
  <c r="I368" i="5"/>
  <c r="H368" i="5"/>
  <c r="G368" i="5"/>
  <c r="F368" i="5"/>
  <c r="E368" i="5"/>
  <c r="D368" i="5"/>
  <c r="C368" i="5"/>
  <c r="B368" i="5"/>
  <c r="A368" i="5"/>
  <c r="N367" i="5"/>
  <c r="M367" i="5"/>
  <c r="L367" i="5"/>
  <c r="K367" i="5"/>
  <c r="J367" i="5"/>
  <c r="I367" i="5"/>
  <c r="H367" i="5"/>
  <c r="G367" i="5"/>
  <c r="F367" i="5"/>
  <c r="E367" i="5"/>
  <c r="D367" i="5"/>
  <c r="C367" i="5"/>
  <c r="B367" i="5"/>
  <c r="A367" i="5"/>
  <c r="N366" i="5"/>
  <c r="M366" i="5"/>
  <c r="L366" i="5"/>
  <c r="K366" i="5"/>
  <c r="J366" i="5"/>
  <c r="I366" i="5"/>
  <c r="H366" i="5"/>
  <c r="G366" i="5"/>
  <c r="F366" i="5"/>
  <c r="E366" i="5"/>
  <c r="D366" i="5"/>
  <c r="C366" i="5"/>
  <c r="B366" i="5"/>
  <c r="A366" i="5"/>
  <c r="N365" i="5"/>
  <c r="M365" i="5"/>
  <c r="L365" i="5"/>
  <c r="K365" i="5"/>
  <c r="J365" i="5"/>
  <c r="I365" i="5"/>
  <c r="H365" i="5"/>
  <c r="G365" i="5"/>
  <c r="F365" i="5"/>
  <c r="E365" i="5"/>
  <c r="D365" i="5"/>
  <c r="C365" i="5"/>
  <c r="B365" i="5"/>
  <c r="A365" i="5"/>
  <c r="N364" i="5"/>
  <c r="M364" i="5"/>
  <c r="L364" i="5"/>
  <c r="K364" i="5"/>
  <c r="J364" i="5"/>
  <c r="I364" i="5"/>
  <c r="H364" i="5"/>
  <c r="G364" i="5"/>
  <c r="F364" i="5"/>
  <c r="E364" i="5"/>
  <c r="D364" i="5"/>
  <c r="C364" i="5"/>
  <c r="B364" i="5"/>
  <c r="A364" i="5"/>
  <c r="N363" i="5"/>
  <c r="M363" i="5"/>
  <c r="L363" i="5"/>
  <c r="K363" i="5"/>
  <c r="J363" i="5"/>
  <c r="I363" i="5"/>
  <c r="H363" i="5"/>
  <c r="G363" i="5"/>
  <c r="F363" i="5"/>
  <c r="E363" i="5"/>
  <c r="D363" i="5"/>
  <c r="C363" i="5"/>
  <c r="B363" i="5"/>
  <c r="A363" i="5"/>
  <c r="N362" i="5"/>
  <c r="M362" i="5"/>
  <c r="L362" i="5"/>
  <c r="K362" i="5"/>
  <c r="J362" i="5"/>
  <c r="I362" i="5"/>
  <c r="H362" i="5"/>
  <c r="G362" i="5"/>
  <c r="F362" i="5"/>
  <c r="E362" i="5"/>
  <c r="D362" i="5"/>
  <c r="C362" i="5"/>
  <c r="B362" i="5"/>
  <c r="A362" i="5"/>
  <c r="N361" i="5"/>
  <c r="M361" i="5"/>
  <c r="L361" i="5"/>
  <c r="K361" i="5"/>
  <c r="J361" i="5"/>
  <c r="I361" i="5"/>
  <c r="H361" i="5"/>
  <c r="G361" i="5"/>
  <c r="F361" i="5"/>
  <c r="E361" i="5"/>
  <c r="D361" i="5"/>
  <c r="C361" i="5"/>
  <c r="B361" i="5"/>
  <c r="A361" i="5"/>
  <c r="N360" i="5"/>
  <c r="M360" i="5"/>
  <c r="L360" i="5"/>
  <c r="K360" i="5"/>
  <c r="J360" i="5"/>
  <c r="I360" i="5"/>
  <c r="H360" i="5"/>
  <c r="G360" i="5"/>
  <c r="F360" i="5"/>
  <c r="E360" i="5"/>
  <c r="D360" i="5"/>
  <c r="C360" i="5"/>
  <c r="B360" i="5"/>
  <c r="A360" i="5"/>
  <c r="N359" i="5"/>
  <c r="M359" i="5"/>
  <c r="L359" i="5"/>
  <c r="K359" i="5"/>
  <c r="J359" i="5"/>
  <c r="I359" i="5"/>
  <c r="H359" i="5"/>
  <c r="G359" i="5"/>
  <c r="F359" i="5"/>
  <c r="E359" i="5"/>
  <c r="D359" i="5"/>
  <c r="C359" i="5"/>
  <c r="B359" i="5"/>
  <c r="A359" i="5"/>
  <c r="N358" i="5"/>
  <c r="M358" i="5"/>
  <c r="L358" i="5"/>
  <c r="K358" i="5"/>
  <c r="J358" i="5"/>
  <c r="I358" i="5"/>
  <c r="H358" i="5"/>
  <c r="G358" i="5"/>
  <c r="F358" i="5"/>
  <c r="E358" i="5"/>
  <c r="D358" i="5"/>
  <c r="C358" i="5"/>
  <c r="B358" i="5"/>
  <c r="A358" i="5"/>
  <c r="N357" i="5"/>
  <c r="M357" i="5"/>
  <c r="L357" i="5"/>
  <c r="K357" i="5"/>
  <c r="J357" i="5"/>
  <c r="I357" i="5"/>
  <c r="H357" i="5"/>
  <c r="G357" i="5"/>
  <c r="F357" i="5"/>
  <c r="E357" i="5"/>
  <c r="D357" i="5"/>
  <c r="C357" i="5"/>
  <c r="B357" i="5"/>
  <c r="A357" i="5"/>
  <c r="N356" i="5"/>
  <c r="M356" i="5"/>
  <c r="L356" i="5"/>
  <c r="K356" i="5"/>
  <c r="J356" i="5"/>
  <c r="I356" i="5"/>
  <c r="H356" i="5"/>
  <c r="G356" i="5"/>
  <c r="F356" i="5"/>
  <c r="E356" i="5"/>
  <c r="D356" i="5"/>
  <c r="C356" i="5"/>
  <c r="B356" i="5"/>
  <c r="A356" i="5"/>
  <c r="N355" i="5"/>
  <c r="M355" i="5"/>
  <c r="L355" i="5"/>
  <c r="K355" i="5"/>
  <c r="J355" i="5"/>
  <c r="I355" i="5"/>
  <c r="H355" i="5"/>
  <c r="G355" i="5"/>
  <c r="F355" i="5"/>
  <c r="E355" i="5"/>
  <c r="D355" i="5"/>
  <c r="C355" i="5"/>
  <c r="B355" i="5"/>
  <c r="A355" i="5"/>
  <c r="N354" i="5"/>
  <c r="M354" i="5"/>
  <c r="L354" i="5"/>
  <c r="K354" i="5"/>
  <c r="J354" i="5"/>
  <c r="I354" i="5"/>
  <c r="H354" i="5"/>
  <c r="G354" i="5"/>
  <c r="F354" i="5"/>
  <c r="E354" i="5"/>
  <c r="D354" i="5"/>
  <c r="C354" i="5"/>
  <c r="B354" i="5"/>
  <c r="A354" i="5"/>
  <c r="N353" i="5"/>
  <c r="M353" i="5"/>
  <c r="L353" i="5"/>
  <c r="K353" i="5"/>
  <c r="J353" i="5"/>
  <c r="I353" i="5"/>
  <c r="H353" i="5"/>
  <c r="G353" i="5"/>
  <c r="F353" i="5"/>
  <c r="E353" i="5"/>
  <c r="D353" i="5"/>
  <c r="C353" i="5"/>
  <c r="B353" i="5"/>
  <c r="A353" i="5"/>
  <c r="N352" i="5"/>
  <c r="M352" i="5"/>
  <c r="L352" i="5"/>
  <c r="K352" i="5"/>
  <c r="J352" i="5"/>
  <c r="I352" i="5"/>
  <c r="H352" i="5"/>
  <c r="G352" i="5"/>
  <c r="F352" i="5"/>
  <c r="E352" i="5"/>
  <c r="D352" i="5"/>
  <c r="C352" i="5"/>
  <c r="B352" i="5"/>
  <c r="A352" i="5"/>
  <c r="N351" i="5"/>
  <c r="M351" i="5"/>
  <c r="L351" i="5"/>
  <c r="K351" i="5"/>
  <c r="J351" i="5"/>
  <c r="I351" i="5"/>
  <c r="H351" i="5"/>
  <c r="G351" i="5"/>
  <c r="F351" i="5"/>
  <c r="E351" i="5"/>
  <c r="D351" i="5"/>
  <c r="C351" i="5"/>
  <c r="B351" i="5"/>
  <c r="A351" i="5"/>
  <c r="N350" i="5"/>
  <c r="M350" i="5"/>
  <c r="L350" i="5"/>
  <c r="K350" i="5"/>
  <c r="J350" i="5"/>
  <c r="I350" i="5"/>
  <c r="H350" i="5"/>
  <c r="G350" i="5"/>
  <c r="F350" i="5"/>
  <c r="E350" i="5"/>
  <c r="D350" i="5"/>
  <c r="C350" i="5"/>
  <c r="B350" i="5"/>
  <c r="A350" i="5"/>
  <c r="N349" i="5"/>
  <c r="M349" i="5"/>
  <c r="L349" i="5"/>
  <c r="K349" i="5"/>
  <c r="J349" i="5"/>
  <c r="I349" i="5"/>
  <c r="H349" i="5"/>
  <c r="G349" i="5"/>
  <c r="F349" i="5"/>
  <c r="E349" i="5"/>
  <c r="D349" i="5"/>
  <c r="C349" i="5"/>
  <c r="B349" i="5"/>
  <c r="A349" i="5"/>
  <c r="N348" i="5"/>
  <c r="M348" i="5"/>
  <c r="L348" i="5"/>
  <c r="K348" i="5"/>
  <c r="J348" i="5"/>
  <c r="I348" i="5"/>
  <c r="H348" i="5"/>
  <c r="G348" i="5"/>
  <c r="F348" i="5"/>
  <c r="E348" i="5"/>
  <c r="D348" i="5"/>
  <c r="C348" i="5"/>
  <c r="B348" i="5"/>
  <c r="A348" i="5"/>
  <c r="N347" i="5"/>
  <c r="M347" i="5"/>
  <c r="L347" i="5"/>
  <c r="K347" i="5"/>
  <c r="J347" i="5"/>
  <c r="I347" i="5"/>
  <c r="H347" i="5"/>
  <c r="G347" i="5"/>
  <c r="F347" i="5"/>
  <c r="E347" i="5"/>
  <c r="D347" i="5"/>
  <c r="C347" i="5"/>
  <c r="B347" i="5"/>
  <c r="A347" i="5"/>
  <c r="N346" i="5"/>
  <c r="M346" i="5"/>
  <c r="L346" i="5"/>
  <c r="K346" i="5"/>
  <c r="J346" i="5"/>
  <c r="I346" i="5"/>
  <c r="H346" i="5"/>
  <c r="G346" i="5"/>
  <c r="F346" i="5"/>
  <c r="E346" i="5"/>
  <c r="D346" i="5"/>
  <c r="C346" i="5"/>
  <c r="B346" i="5"/>
  <c r="A346" i="5"/>
  <c r="N345" i="5"/>
  <c r="M345" i="5"/>
  <c r="L345" i="5"/>
  <c r="K345" i="5"/>
  <c r="J345" i="5"/>
  <c r="I345" i="5"/>
  <c r="H345" i="5"/>
  <c r="G345" i="5"/>
  <c r="F345" i="5"/>
  <c r="E345" i="5"/>
  <c r="D345" i="5"/>
  <c r="C345" i="5"/>
  <c r="B345" i="5"/>
  <c r="A345" i="5"/>
  <c r="N344" i="5"/>
  <c r="M344" i="5"/>
  <c r="L344" i="5"/>
  <c r="K344" i="5"/>
  <c r="J344" i="5"/>
  <c r="I344" i="5"/>
  <c r="H344" i="5"/>
  <c r="G344" i="5"/>
  <c r="F344" i="5"/>
  <c r="E344" i="5"/>
  <c r="D344" i="5"/>
  <c r="C344" i="5"/>
  <c r="B344" i="5"/>
  <c r="A344" i="5"/>
  <c r="N343" i="5"/>
  <c r="M343" i="5"/>
  <c r="L343" i="5"/>
  <c r="K343" i="5"/>
  <c r="J343" i="5"/>
  <c r="I343" i="5"/>
  <c r="H343" i="5"/>
  <c r="G343" i="5"/>
  <c r="F343" i="5"/>
  <c r="E343" i="5"/>
  <c r="D343" i="5"/>
  <c r="C343" i="5"/>
  <c r="B343" i="5"/>
  <c r="A343" i="5"/>
  <c r="N342" i="5"/>
  <c r="M342" i="5"/>
  <c r="L342" i="5"/>
  <c r="K342" i="5"/>
  <c r="J342" i="5"/>
  <c r="I342" i="5"/>
  <c r="H342" i="5"/>
  <c r="G342" i="5"/>
  <c r="F342" i="5"/>
  <c r="E342" i="5"/>
  <c r="D342" i="5"/>
  <c r="C342" i="5"/>
  <c r="B342" i="5"/>
  <c r="A342" i="5"/>
  <c r="N341" i="5"/>
  <c r="M341" i="5"/>
  <c r="L341" i="5"/>
  <c r="K341" i="5"/>
  <c r="J341" i="5"/>
  <c r="I341" i="5"/>
  <c r="H341" i="5"/>
  <c r="G341" i="5"/>
  <c r="F341" i="5"/>
  <c r="E341" i="5"/>
  <c r="D341" i="5"/>
  <c r="C341" i="5"/>
  <c r="B341" i="5"/>
  <c r="A341" i="5"/>
  <c r="N340" i="5"/>
  <c r="M340" i="5"/>
  <c r="L340" i="5"/>
  <c r="K340" i="5"/>
  <c r="J340" i="5"/>
  <c r="I340" i="5"/>
  <c r="H340" i="5"/>
  <c r="G340" i="5"/>
  <c r="F340" i="5"/>
  <c r="E340" i="5"/>
  <c r="D340" i="5"/>
  <c r="C340" i="5"/>
  <c r="B340" i="5"/>
  <c r="A340" i="5"/>
  <c r="N339" i="5"/>
  <c r="M339" i="5"/>
  <c r="L339" i="5"/>
  <c r="K339" i="5"/>
  <c r="J339" i="5"/>
  <c r="I339" i="5"/>
  <c r="H339" i="5"/>
  <c r="G339" i="5"/>
  <c r="F339" i="5"/>
  <c r="E339" i="5"/>
  <c r="D339" i="5"/>
  <c r="C339" i="5"/>
  <c r="B339" i="5"/>
  <c r="A339" i="5"/>
  <c r="N338" i="5"/>
  <c r="M338" i="5"/>
  <c r="L338" i="5"/>
  <c r="K338" i="5"/>
  <c r="J338" i="5"/>
  <c r="I338" i="5"/>
  <c r="H338" i="5"/>
  <c r="G338" i="5"/>
  <c r="F338" i="5"/>
  <c r="E338" i="5"/>
  <c r="D338" i="5"/>
  <c r="C338" i="5"/>
  <c r="B338" i="5"/>
  <c r="A338" i="5"/>
  <c r="N337" i="5"/>
  <c r="M337" i="5"/>
  <c r="L337" i="5"/>
  <c r="K337" i="5"/>
  <c r="J337" i="5"/>
  <c r="I337" i="5"/>
  <c r="H337" i="5"/>
  <c r="G337" i="5"/>
  <c r="F337" i="5"/>
  <c r="E337" i="5"/>
  <c r="D337" i="5"/>
  <c r="C337" i="5"/>
  <c r="B337" i="5"/>
  <c r="A337" i="5"/>
  <c r="N336" i="5"/>
  <c r="M336" i="5"/>
  <c r="L336" i="5"/>
  <c r="K336" i="5"/>
  <c r="J336" i="5"/>
  <c r="I336" i="5"/>
  <c r="H336" i="5"/>
  <c r="G336" i="5"/>
  <c r="F336" i="5"/>
  <c r="E336" i="5"/>
  <c r="D336" i="5"/>
  <c r="C336" i="5"/>
  <c r="B336" i="5"/>
  <c r="A336" i="5"/>
  <c r="N335" i="5"/>
  <c r="M335" i="5"/>
  <c r="L335" i="5"/>
  <c r="K335" i="5"/>
  <c r="J335" i="5"/>
  <c r="I335" i="5"/>
  <c r="H335" i="5"/>
  <c r="G335" i="5"/>
  <c r="F335" i="5"/>
  <c r="E335" i="5"/>
  <c r="D335" i="5"/>
  <c r="C335" i="5"/>
  <c r="B335" i="5"/>
  <c r="A335" i="5"/>
  <c r="N334" i="5"/>
  <c r="M334" i="5"/>
  <c r="L334" i="5"/>
  <c r="K334" i="5"/>
  <c r="J334" i="5"/>
  <c r="I334" i="5"/>
  <c r="H334" i="5"/>
  <c r="G334" i="5"/>
  <c r="F334" i="5"/>
  <c r="E334" i="5"/>
  <c r="D334" i="5"/>
  <c r="C334" i="5"/>
  <c r="B334" i="5"/>
  <c r="A334" i="5"/>
  <c r="N333" i="5"/>
  <c r="M333" i="5"/>
  <c r="L333" i="5"/>
  <c r="K333" i="5"/>
  <c r="J333" i="5"/>
  <c r="I333" i="5"/>
  <c r="H333" i="5"/>
  <c r="G333" i="5"/>
  <c r="F333" i="5"/>
  <c r="E333" i="5"/>
  <c r="D333" i="5"/>
  <c r="C333" i="5"/>
  <c r="B333" i="5"/>
  <c r="A333" i="5"/>
  <c r="N332" i="5"/>
  <c r="M332" i="5"/>
  <c r="L332" i="5"/>
  <c r="K332" i="5"/>
  <c r="J332" i="5"/>
  <c r="I332" i="5"/>
  <c r="H332" i="5"/>
  <c r="G332" i="5"/>
  <c r="F332" i="5"/>
  <c r="E332" i="5"/>
  <c r="D332" i="5"/>
  <c r="C332" i="5"/>
  <c r="B332" i="5"/>
  <c r="A332" i="5"/>
  <c r="N331" i="5"/>
  <c r="M331" i="5"/>
  <c r="L331" i="5"/>
  <c r="K331" i="5"/>
  <c r="J331" i="5"/>
  <c r="I331" i="5"/>
  <c r="H331" i="5"/>
  <c r="G331" i="5"/>
  <c r="F331" i="5"/>
  <c r="E331" i="5"/>
  <c r="D331" i="5"/>
  <c r="C331" i="5"/>
  <c r="B331" i="5"/>
  <c r="A331" i="5"/>
  <c r="N330" i="5"/>
  <c r="M330" i="5"/>
  <c r="L330" i="5"/>
  <c r="K330" i="5"/>
  <c r="J330" i="5"/>
  <c r="I330" i="5"/>
  <c r="H330" i="5"/>
  <c r="G330" i="5"/>
  <c r="F330" i="5"/>
  <c r="E330" i="5"/>
  <c r="D330" i="5"/>
  <c r="C330" i="5"/>
  <c r="B330" i="5"/>
  <c r="A330" i="5"/>
  <c r="N329" i="5"/>
  <c r="M329" i="5"/>
  <c r="L329" i="5"/>
  <c r="K329" i="5"/>
  <c r="J329" i="5"/>
  <c r="I329" i="5"/>
  <c r="H329" i="5"/>
  <c r="G329" i="5"/>
  <c r="F329" i="5"/>
  <c r="E329" i="5"/>
  <c r="D329" i="5"/>
  <c r="C329" i="5"/>
  <c r="B329" i="5"/>
  <c r="A329" i="5"/>
  <c r="N328" i="5"/>
  <c r="M328" i="5"/>
  <c r="L328" i="5"/>
  <c r="K328" i="5"/>
  <c r="J328" i="5"/>
  <c r="I328" i="5"/>
  <c r="H328" i="5"/>
  <c r="G328" i="5"/>
  <c r="F328" i="5"/>
  <c r="E328" i="5"/>
  <c r="D328" i="5"/>
  <c r="C328" i="5"/>
  <c r="B328" i="5"/>
  <c r="A328" i="5"/>
  <c r="N327" i="5"/>
  <c r="M327" i="5"/>
  <c r="L327" i="5"/>
  <c r="K327" i="5"/>
  <c r="J327" i="5"/>
  <c r="I327" i="5"/>
  <c r="H327" i="5"/>
  <c r="G327" i="5"/>
  <c r="F327" i="5"/>
  <c r="E327" i="5"/>
  <c r="D327" i="5"/>
  <c r="C327" i="5"/>
  <c r="B327" i="5"/>
  <c r="A327" i="5"/>
  <c r="N326" i="5"/>
  <c r="M326" i="5"/>
  <c r="L326" i="5"/>
  <c r="K326" i="5"/>
  <c r="J326" i="5"/>
  <c r="I326" i="5"/>
  <c r="H326" i="5"/>
  <c r="G326" i="5"/>
  <c r="F326" i="5"/>
  <c r="E326" i="5"/>
  <c r="D326" i="5"/>
  <c r="C326" i="5"/>
  <c r="B326" i="5"/>
  <c r="A326" i="5"/>
  <c r="N325" i="5"/>
  <c r="M325" i="5"/>
  <c r="L325" i="5"/>
  <c r="K325" i="5"/>
  <c r="J325" i="5"/>
  <c r="I325" i="5"/>
  <c r="H325" i="5"/>
  <c r="G325" i="5"/>
  <c r="F325" i="5"/>
  <c r="E325" i="5"/>
  <c r="D325" i="5"/>
  <c r="C325" i="5"/>
  <c r="B325" i="5"/>
  <c r="A325" i="5"/>
  <c r="N324" i="5"/>
  <c r="M324" i="5"/>
  <c r="L324" i="5"/>
  <c r="K324" i="5"/>
  <c r="J324" i="5"/>
  <c r="I324" i="5"/>
  <c r="H324" i="5"/>
  <c r="G324" i="5"/>
  <c r="F324" i="5"/>
  <c r="E324" i="5"/>
  <c r="D324" i="5"/>
  <c r="C324" i="5"/>
  <c r="B324" i="5"/>
  <c r="A324" i="5"/>
  <c r="N323" i="5"/>
  <c r="M323" i="5"/>
  <c r="L323" i="5"/>
  <c r="K323" i="5"/>
  <c r="J323" i="5"/>
  <c r="I323" i="5"/>
  <c r="H323" i="5"/>
  <c r="G323" i="5"/>
  <c r="F323" i="5"/>
  <c r="E323" i="5"/>
  <c r="D323" i="5"/>
  <c r="C323" i="5"/>
  <c r="B323" i="5"/>
  <c r="A323" i="5"/>
  <c r="N322" i="5"/>
  <c r="M322" i="5"/>
  <c r="L322" i="5"/>
  <c r="K322" i="5"/>
  <c r="J322" i="5"/>
  <c r="I322" i="5"/>
  <c r="H322" i="5"/>
  <c r="G322" i="5"/>
  <c r="F322" i="5"/>
  <c r="E322" i="5"/>
  <c r="D322" i="5"/>
  <c r="C322" i="5"/>
  <c r="B322" i="5"/>
  <c r="A322" i="5"/>
  <c r="N321" i="5"/>
  <c r="M321" i="5"/>
  <c r="L321" i="5"/>
  <c r="K321" i="5"/>
  <c r="J321" i="5"/>
  <c r="I321" i="5"/>
  <c r="H321" i="5"/>
  <c r="G321" i="5"/>
  <c r="F321" i="5"/>
  <c r="E321" i="5"/>
  <c r="D321" i="5"/>
  <c r="C321" i="5"/>
  <c r="B321" i="5"/>
  <c r="A321" i="5"/>
  <c r="N320" i="5"/>
  <c r="M320" i="5"/>
  <c r="L320" i="5"/>
  <c r="K320" i="5"/>
  <c r="J320" i="5"/>
  <c r="I320" i="5"/>
  <c r="H320" i="5"/>
  <c r="G320" i="5"/>
  <c r="F320" i="5"/>
  <c r="E320" i="5"/>
  <c r="D320" i="5"/>
  <c r="C320" i="5"/>
  <c r="B320" i="5"/>
  <c r="A320" i="5"/>
  <c r="N319" i="5"/>
  <c r="M319" i="5"/>
  <c r="L319" i="5"/>
  <c r="K319" i="5"/>
  <c r="J319" i="5"/>
  <c r="I319" i="5"/>
  <c r="H319" i="5"/>
  <c r="G319" i="5"/>
  <c r="F319" i="5"/>
  <c r="E319" i="5"/>
  <c r="D319" i="5"/>
  <c r="C319" i="5"/>
  <c r="B319" i="5"/>
  <c r="A319" i="5"/>
  <c r="N318" i="5"/>
  <c r="M318" i="5"/>
  <c r="L318" i="5"/>
  <c r="K318" i="5"/>
  <c r="J318" i="5"/>
  <c r="I318" i="5"/>
  <c r="H318" i="5"/>
  <c r="G318" i="5"/>
  <c r="F318" i="5"/>
  <c r="E318" i="5"/>
  <c r="D318" i="5"/>
  <c r="C318" i="5"/>
  <c r="B318" i="5"/>
  <c r="A318" i="5"/>
  <c r="N317" i="5"/>
  <c r="M317" i="5"/>
  <c r="L317" i="5"/>
  <c r="K317" i="5"/>
  <c r="J317" i="5"/>
  <c r="I317" i="5"/>
  <c r="H317" i="5"/>
  <c r="G317" i="5"/>
  <c r="F317" i="5"/>
  <c r="E317" i="5"/>
  <c r="D317" i="5"/>
  <c r="C317" i="5"/>
  <c r="B317" i="5"/>
  <c r="A317" i="5"/>
  <c r="N316" i="5"/>
  <c r="M316" i="5"/>
  <c r="L316" i="5"/>
  <c r="K316" i="5"/>
  <c r="J316" i="5"/>
  <c r="I316" i="5"/>
  <c r="H316" i="5"/>
  <c r="G316" i="5"/>
  <c r="F316" i="5"/>
  <c r="E316" i="5"/>
  <c r="D316" i="5"/>
  <c r="C316" i="5"/>
  <c r="B316" i="5"/>
  <c r="A316" i="5"/>
  <c r="N315" i="5"/>
  <c r="M315" i="5"/>
  <c r="L315" i="5"/>
  <c r="K315" i="5"/>
  <c r="J315" i="5"/>
  <c r="I315" i="5"/>
  <c r="H315" i="5"/>
  <c r="G315" i="5"/>
  <c r="F315" i="5"/>
  <c r="E315" i="5"/>
  <c r="D315" i="5"/>
  <c r="C315" i="5"/>
  <c r="B315" i="5"/>
  <c r="A315" i="5"/>
  <c r="N314" i="5"/>
  <c r="M314" i="5"/>
  <c r="L314" i="5"/>
  <c r="K314" i="5"/>
  <c r="J314" i="5"/>
  <c r="I314" i="5"/>
  <c r="H314" i="5"/>
  <c r="G314" i="5"/>
  <c r="F314" i="5"/>
  <c r="E314" i="5"/>
  <c r="D314" i="5"/>
  <c r="C314" i="5"/>
  <c r="B314" i="5"/>
  <c r="A314" i="5"/>
  <c r="N313" i="5"/>
  <c r="M313" i="5"/>
  <c r="L313" i="5"/>
  <c r="K313" i="5"/>
  <c r="J313" i="5"/>
  <c r="I313" i="5"/>
  <c r="H313" i="5"/>
  <c r="G313" i="5"/>
  <c r="F313" i="5"/>
  <c r="E313" i="5"/>
  <c r="D313" i="5"/>
  <c r="C313" i="5"/>
  <c r="B313" i="5"/>
  <c r="A313" i="5"/>
  <c r="N312" i="5"/>
  <c r="M312" i="5"/>
  <c r="L312" i="5"/>
  <c r="K312" i="5"/>
  <c r="J312" i="5"/>
  <c r="I312" i="5"/>
  <c r="H312" i="5"/>
  <c r="G312" i="5"/>
  <c r="F312" i="5"/>
  <c r="E312" i="5"/>
  <c r="D312" i="5"/>
  <c r="C312" i="5"/>
  <c r="B312" i="5"/>
  <c r="A312" i="5"/>
  <c r="N311" i="5"/>
  <c r="M311" i="5"/>
  <c r="L311" i="5"/>
  <c r="K311" i="5"/>
  <c r="J311" i="5"/>
  <c r="I311" i="5"/>
  <c r="H311" i="5"/>
  <c r="G311" i="5"/>
  <c r="F311" i="5"/>
  <c r="E311" i="5"/>
  <c r="D311" i="5"/>
  <c r="C311" i="5"/>
  <c r="B311" i="5"/>
  <c r="A311" i="5"/>
  <c r="N310" i="5"/>
  <c r="M310" i="5"/>
  <c r="L310" i="5"/>
  <c r="K310" i="5"/>
  <c r="J310" i="5"/>
  <c r="I310" i="5"/>
  <c r="H310" i="5"/>
  <c r="G310" i="5"/>
  <c r="F310" i="5"/>
  <c r="E310" i="5"/>
  <c r="D310" i="5"/>
  <c r="C310" i="5"/>
  <c r="B310" i="5"/>
  <c r="A310" i="5"/>
  <c r="N309" i="5"/>
  <c r="M309" i="5"/>
  <c r="L309" i="5"/>
  <c r="K309" i="5"/>
  <c r="J309" i="5"/>
  <c r="I309" i="5"/>
  <c r="H309" i="5"/>
  <c r="G309" i="5"/>
  <c r="F309" i="5"/>
  <c r="E309" i="5"/>
  <c r="D309" i="5"/>
  <c r="C309" i="5"/>
  <c r="B309" i="5"/>
  <c r="A309" i="5"/>
  <c r="N308" i="5"/>
  <c r="M308" i="5"/>
  <c r="L308" i="5"/>
  <c r="K308" i="5"/>
  <c r="J308" i="5"/>
  <c r="I308" i="5"/>
  <c r="H308" i="5"/>
  <c r="G308" i="5"/>
  <c r="F308" i="5"/>
  <c r="E308" i="5"/>
  <c r="D308" i="5"/>
  <c r="C308" i="5"/>
  <c r="B308" i="5"/>
  <c r="A308" i="5"/>
  <c r="N307" i="5"/>
  <c r="M307" i="5"/>
  <c r="L307" i="5"/>
  <c r="K307" i="5"/>
  <c r="J307" i="5"/>
  <c r="I307" i="5"/>
  <c r="H307" i="5"/>
  <c r="G307" i="5"/>
  <c r="F307" i="5"/>
  <c r="E307" i="5"/>
  <c r="D307" i="5"/>
  <c r="C307" i="5"/>
  <c r="B307" i="5"/>
  <c r="A307" i="5"/>
  <c r="N306" i="5"/>
  <c r="M306" i="5"/>
  <c r="L306" i="5"/>
  <c r="K306" i="5"/>
  <c r="J306" i="5"/>
  <c r="I306" i="5"/>
  <c r="H306" i="5"/>
  <c r="G306" i="5"/>
  <c r="F306" i="5"/>
  <c r="E306" i="5"/>
  <c r="D306" i="5"/>
  <c r="C306" i="5"/>
  <c r="B306" i="5"/>
  <c r="A306" i="5"/>
  <c r="N305" i="5"/>
  <c r="M305" i="5"/>
  <c r="L305" i="5"/>
  <c r="K305" i="5"/>
  <c r="J305" i="5"/>
  <c r="I305" i="5"/>
  <c r="H305" i="5"/>
  <c r="G305" i="5"/>
  <c r="F305" i="5"/>
  <c r="E305" i="5"/>
  <c r="D305" i="5"/>
  <c r="C305" i="5"/>
  <c r="B305" i="5"/>
  <c r="A305" i="5"/>
  <c r="N304" i="5"/>
  <c r="M304" i="5"/>
  <c r="L304" i="5"/>
  <c r="K304" i="5"/>
  <c r="J304" i="5"/>
  <c r="I304" i="5"/>
  <c r="H304" i="5"/>
  <c r="G304" i="5"/>
  <c r="F304" i="5"/>
  <c r="E304" i="5"/>
  <c r="D304" i="5"/>
  <c r="C304" i="5"/>
  <c r="B304" i="5"/>
  <c r="A304" i="5"/>
  <c r="N303" i="5"/>
  <c r="M303" i="5"/>
  <c r="L303" i="5"/>
  <c r="K303" i="5"/>
  <c r="J303" i="5"/>
  <c r="I303" i="5"/>
  <c r="H303" i="5"/>
  <c r="G303" i="5"/>
  <c r="F303" i="5"/>
  <c r="E303" i="5"/>
  <c r="D303" i="5"/>
  <c r="C303" i="5"/>
  <c r="B303" i="5"/>
  <c r="A303" i="5"/>
  <c r="N302" i="5"/>
  <c r="M302" i="5"/>
  <c r="L302" i="5"/>
  <c r="K302" i="5"/>
  <c r="J302" i="5"/>
  <c r="I302" i="5"/>
  <c r="H302" i="5"/>
  <c r="G302" i="5"/>
  <c r="F302" i="5"/>
  <c r="E302" i="5"/>
  <c r="D302" i="5"/>
  <c r="C302" i="5"/>
  <c r="B302" i="5"/>
  <c r="A302" i="5"/>
  <c r="N301" i="5"/>
  <c r="M301" i="5"/>
  <c r="L301" i="5"/>
  <c r="K301" i="5"/>
  <c r="J301" i="5"/>
  <c r="I301" i="5"/>
  <c r="H301" i="5"/>
  <c r="G301" i="5"/>
  <c r="F301" i="5"/>
  <c r="E301" i="5"/>
  <c r="D301" i="5"/>
  <c r="C301" i="5"/>
  <c r="B301" i="5"/>
  <c r="A301" i="5"/>
  <c r="N300" i="5"/>
  <c r="M300" i="5"/>
  <c r="L300" i="5"/>
  <c r="K300" i="5"/>
  <c r="J300" i="5"/>
  <c r="I300" i="5"/>
  <c r="H300" i="5"/>
  <c r="G300" i="5"/>
  <c r="F300" i="5"/>
  <c r="E300" i="5"/>
  <c r="D300" i="5"/>
  <c r="C300" i="5"/>
  <c r="B300" i="5"/>
  <c r="A300" i="5"/>
  <c r="N299" i="5"/>
  <c r="M299" i="5"/>
  <c r="L299" i="5"/>
  <c r="K299" i="5"/>
  <c r="J299" i="5"/>
  <c r="I299" i="5"/>
  <c r="H299" i="5"/>
  <c r="G299" i="5"/>
  <c r="F299" i="5"/>
  <c r="E299" i="5"/>
  <c r="D299" i="5"/>
  <c r="C299" i="5"/>
  <c r="B299" i="5"/>
  <c r="A299" i="5"/>
  <c r="N298" i="5"/>
  <c r="M298" i="5"/>
  <c r="L298" i="5"/>
  <c r="K298" i="5"/>
  <c r="J298" i="5"/>
  <c r="I298" i="5"/>
  <c r="H298" i="5"/>
  <c r="G298" i="5"/>
  <c r="F298" i="5"/>
  <c r="E298" i="5"/>
  <c r="D298" i="5"/>
  <c r="C298" i="5"/>
  <c r="B298" i="5"/>
  <c r="A298" i="5"/>
  <c r="N297" i="5"/>
  <c r="M297" i="5"/>
  <c r="L297" i="5"/>
  <c r="K297" i="5"/>
  <c r="J297" i="5"/>
  <c r="I297" i="5"/>
  <c r="H297" i="5"/>
  <c r="G297" i="5"/>
  <c r="F297" i="5"/>
  <c r="E297" i="5"/>
  <c r="D297" i="5"/>
  <c r="C297" i="5"/>
  <c r="B297" i="5"/>
  <c r="A297" i="5"/>
  <c r="N296" i="5"/>
  <c r="M296" i="5"/>
  <c r="L296" i="5"/>
  <c r="K296" i="5"/>
  <c r="J296" i="5"/>
  <c r="I296" i="5"/>
  <c r="H296" i="5"/>
  <c r="G296" i="5"/>
  <c r="F296" i="5"/>
  <c r="E296" i="5"/>
  <c r="D296" i="5"/>
  <c r="C296" i="5"/>
  <c r="B296" i="5"/>
  <c r="A296" i="5"/>
  <c r="N295" i="5"/>
  <c r="M295" i="5"/>
  <c r="L295" i="5"/>
  <c r="K295" i="5"/>
  <c r="J295" i="5"/>
  <c r="I295" i="5"/>
  <c r="H295" i="5"/>
  <c r="G295" i="5"/>
  <c r="F295" i="5"/>
  <c r="E295" i="5"/>
  <c r="D295" i="5"/>
  <c r="C295" i="5"/>
  <c r="B295" i="5"/>
  <c r="A295" i="5"/>
  <c r="N294" i="5"/>
  <c r="M294" i="5"/>
  <c r="L294" i="5"/>
  <c r="K294" i="5"/>
  <c r="J294" i="5"/>
  <c r="I294" i="5"/>
  <c r="H294" i="5"/>
  <c r="G294" i="5"/>
  <c r="F294" i="5"/>
  <c r="E294" i="5"/>
  <c r="D294" i="5"/>
  <c r="C294" i="5"/>
  <c r="B294" i="5"/>
  <c r="A294" i="5"/>
  <c r="N293" i="5"/>
  <c r="M293" i="5"/>
  <c r="L293" i="5"/>
  <c r="K293" i="5"/>
  <c r="J293" i="5"/>
  <c r="I293" i="5"/>
  <c r="H293" i="5"/>
  <c r="G293" i="5"/>
  <c r="F293" i="5"/>
  <c r="E293" i="5"/>
  <c r="D293" i="5"/>
  <c r="C293" i="5"/>
  <c r="B293" i="5"/>
  <c r="A293" i="5"/>
  <c r="N292" i="5"/>
  <c r="M292" i="5"/>
  <c r="L292" i="5"/>
  <c r="K292" i="5"/>
  <c r="J292" i="5"/>
  <c r="I292" i="5"/>
  <c r="H292" i="5"/>
  <c r="G292" i="5"/>
  <c r="F292" i="5"/>
  <c r="E292" i="5"/>
  <c r="D292" i="5"/>
  <c r="C292" i="5"/>
  <c r="B292" i="5"/>
  <c r="A292" i="5"/>
  <c r="N291" i="5"/>
  <c r="M291" i="5"/>
  <c r="L291" i="5"/>
  <c r="K291" i="5"/>
  <c r="J291" i="5"/>
  <c r="I291" i="5"/>
  <c r="H291" i="5"/>
  <c r="G291" i="5"/>
  <c r="F291" i="5"/>
  <c r="E291" i="5"/>
  <c r="D291" i="5"/>
  <c r="C291" i="5"/>
  <c r="B291" i="5"/>
  <c r="A291" i="5"/>
  <c r="N290" i="5"/>
  <c r="M290" i="5"/>
  <c r="L290" i="5"/>
  <c r="K290" i="5"/>
  <c r="J290" i="5"/>
  <c r="I290" i="5"/>
  <c r="H290" i="5"/>
  <c r="G290" i="5"/>
  <c r="F290" i="5"/>
  <c r="E290" i="5"/>
  <c r="D290" i="5"/>
  <c r="C290" i="5"/>
  <c r="B290" i="5"/>
  <c r="A290" i="5"/>
  <c r="N289" i="5"/>
  <c r="M289" i="5"/>
  <c r="L289" i="5"/>
  <c r="K289" i="5"/>
  <c r="J289" i="5"/>
  <c r="I289" i="5"/>
  <c r="H289" i="5"/>
  <c r="G289" i="5"/>
  <c r="F289" i="5"/>
  <c r="E289" i="5"/>
  <c r="D289" i="5"/>
  <c r="C289" i="5"/>
  <c r="B289" i="5"/>
  <c r="A289" i="5"/>
  <c r="N288" i="5"/>
  <c r="M288" i="5"/>
  <c r="L288" i="5"/>
  <c r="K288" i="5"/>
  <c r="J288" i="5"/>
  <c r="I288" i="5"/>
  <c r="H288" i="5"/>
  <c r="G288" i="5"/>
  <c r="F288" i="5"/>
  <c r="E288" i="5"/>
  <c r="D288" i="5"/>
  <c r="C288" i="5"/>
  <c r="B288" i="5"/>
  <c r="A288" i="5"/>
  <c r="N287" i="5"/>
  <c r="M287" i="5"/>
  <c r="L287" i="5"/>
  <c r="K287" i="5"/>
  <c r="J287" i="5"/>
  <c r="I287" i="5"/>
  <c r="H287" i="5"/>
  <c r="G287" i="5"/>
  <c r="F287" i="5"/>
  <c r="E287" i="5"/>
  <c r="D287" i="5"/>
  <c r="C287" i="5"/>
  <c r="B287" i="5"/>
  <c r="A287" i="5"/>
  <c r="N286" i="5"/>
  <c r="M286" i="5"/>
  <c r="L286" i="5"/>
  <c r="K286" i="5"/>
  <c r="J286" i="5"/>
  <c r="I286" i="5"/>
  <c r="H286" i="5"/>
  <c r="G286" i="5"/>
  <c r="F286" i="5"/>
  <c r="E286" i="5"/>
  <c r="D286" i="5"/>
  <c r="C286" i="5"/>
  <c r="B286" i="5"/>
  <c r="A286" i="5"/>
  <c r="N285" i="5"/>
  <c r="M285" i="5"/>
  <c r="L285" i="5"/>
  <c r="K285" i="5"/>
  <c r="J285" i="5"/>
  <c r="I285" i="5"/>
  <c r="H285" i="5"/>
  <c r="G285" i="5"/>
  <c r="F285" i="5"/>
  <c r="E285" i="5"/>
  <c r="D285" i="5"/>
  <c r="C285" i="5"/>
  <c r="B285" i="5"/>
  <c r="A285" i="5"/>
  <c r="N284" i="5"/>
  <c r="M284" i="5"/>
  <c r="L284" i="5"/>
  <c r="K284" i="5"/>
  <c r="J284" i="5"/>
  <c r="I284" i="5"/>
  <c r="H284" i="5"/>
  <c r="G284" i="5"/>
  <c r="F284" i="5"/>
  <c r="E284" i="5"/>
  <c r="D284" i="5"/>
  <c r="C284" i="5"/>
  <c r="B284" i="5"/>
  <c r="A284" i="5"/>
  <c r="N283" i="5"/>
  <c r="M283" i="5"/>
  <c r="L283" i="5"/>
  <c r="K283" i="5"/>
  <c r="J283" i="5"/>
  <c r="I283" i="5"/>
  <c r="H283" i="5"/>
  <c r="G283" i="5"/>
  <c r="F283" i="5"/>
  <c r="E283" i="5"/>
  <c r="D283" i="5"/>
  <c r="C283" i="5"/>
  <c r="B283" i="5"/>
  <c r="A283" i="5"/>
  <c r="N282" i="5"/>
  <c r="M282" i="5"/>
  <c r="L282" i="5"/>
  <c r="K282" i="5"/>
  <c r="J282" i="5"/>
  <c r="I282" i="5"/>
  <c r="H282" i="5"/>
  <c r="G282" i="5"/>
  <c r="F282" i="5"/>
  <c r="E282" i="5"/>
  <c r="D282" i="5"/>
  <c r="C282" i="5"/>
  <c r="B282" i="5"/>
  <c r="A282" i="5"/>
  <c r="N281" i="5"/>
  <c r="M281" i="5"/>
  <c r="L281" i="5"/>
  <c r="K281" i="5"/>
  <c r="J281" i="5"/>
  <c r="I281" i="5"/>
  <c r="H281" i="5"/>
  <c r="G281" i="5"/>
  <c r="F281" i="5"/>
  <c r="E281" i="5"/>
  <c r="D281" i="5"/>
  <c r="C281" i="5"/>
  <c r="B281" i="5"/>
  <c r="A281" i="5"/>
  <c r="N280" i="5"/>
  <c r="M280" i="5"/>
  <c r="L280" i="5"/>
  <c r="K280" i="5"/>
  <c r="J280" i="5"/>
  <c r="I280" i="5"/>
  <c r="H280" i="5"/>
  <c r="G280" i="5"/>
  <c r="F280" i="5"/>
  <c r="E280" i="5"/>
  <c r="D280" i="5"/>
  <c r="C280" i="5"/>
  <c r="B280" i="5"/>
  <c r="A280" i="5"/>
  <c r="N279" i="5"/>
  <c r="M279" i="5"/>
  <c r="L279" i="5"/>
  <c r="K279" i="5"/>
  <c r="J279" i="5"/>
  <c r="I279" i="5"/>
  <c r="H279" i="5"/>
  <c r="G279" i="5"/>
  <c r="F279" i="5"/>
  <c r="E279" i="5"/>
  <c r="D279" i="5"/>
  <c r="C279" i="5"/>
  <c r="B279" i="5"/>
  <c r="A279" i="5"/>
  <c r="N278" i="5"/>
  <c r="M278" i="5"/>
  <c r="L278" i="5"/>
  <c r="K278" i="5"/>
  <c r="J278" i="5"/>
  <c r="I278" i="5"/>
  <c r="H278" i="5"/>
  <c r="G278" i="5"/>
  <c r="F278" i="5"/>
  <c r="E278" i="5"/>
  <c r="D278" i="5"/>
  <c r="C278" i="5"/>
  <c r="B278" i="5"/>
  <c r="A278" i="5"/>
  <c r="N277" i="5"/>
  <c r="M277" i="5"/>
  <c r="L277" i="5"/>
  <c r="K277" i="5"/>
  <c r="J277" i="5"/>
  <c r="I277" i="5"/>
  <c r="H277" i="5"/>
  <c r="G277" i="5"/>
  <c r="F277" i="5"/>
  <c r="E277" i="5"/>
  <c r="D277" i="5"/>
  <c r="C277" i="5"/>
  <c r="B277" i="5"/>
  <c r="A277" i="5"/>
  <c r="N276" i="5"/>
  <c r="M276" i="5"/>
  <c r="L276" i="5"/>
  <c r="K276" i="5"/>
  <c r="J276" i="5"/>
  <c r="I276" i="5"/>
  <c r="H276" i="5"/>
  <c r="G276" i="5"/>
  <c r="F276" i="5"/>
  <c r="E276" i="5"/>
  <c r="D276" i="5"/>
  <c r="C276" i="5"/>
  <c r="B276" i="5"/>
  <c r="A276" i="5"/>
  <c r="N275" i="5"/>
  <c r="M275" i="5"/>
  <c r="L275" i="5"/>
  <c r="K275" i="5"/>
  <c r="J275" i="5"/>
  <c r="I275" i="5"/>
  <c r="H275" i="5"/>
  <c r="G275" i="5"/>
  <c r="F275" i="5"/>
  <c r="E275" i="5"/>
  <c r="D275" i="5"/>
  <c r="C275" i="5"/>
  <c r="B275" i="5"/>
  <c r="A275" i="5"/>
  <c r="N274" i="5"/>
  <c r="M274" i="5"/>
  <c r="L274" i="5"/>
  <c r="K274" i="5"/>
  <c r="J274" i="5"/>
  <c r="I274" i="5"/>
  <c r="H274" i="5"/>
  <c r="G274" i="5"/>
  <c r="F274" i="5"/>
  <c r="E274" i="5"/>
  <c r="D274" i="5"/>
  <c r="C274" i="5"/>
  <c r="B274" i="5"/>
  <c r="A274" i="5"/>
  <c r="N273" i="5"/>
  <c r="M273" i="5"/>
  <c r="L273" i="5"/>
  <c r="K273" i="5"/>
  <c r="J273" i="5"/>
  <c r="I273" i="5"/>
  <c r="H273" i="5"/>
  <c r="G273" i="5"/>
  <c r="F273" i="5"/>
  <c r="E273" i="5"/>
  <c r="D273" i="5"/>
  <c r="C273" i="5"/>
  <c r="B273" i="5"/>
  <c r="A273" i="5"/>
  <c r="N272" i="5"/>
  <c r="M272" i="5"/>
  <c r="L272" i="5"/>
  <c r="K272" i="5"/>
  <c r="J272" i="5"/>
  <c r="I272" i="5"/>
  <c r="H272" i="5"/>
  <c r="G272" i="5"/>
  <c r="F272" i="5"/>
  <c r="E272" i="5"/>
  <c r="D272" i="5"/>
  <c r="C272" i="5"/>
  <c r="B272" i="5"/>
  <c r="A272" i="5"/>
  <c r="N271" i="5"/>
  <c r="M271" i="5"/>
  <c r="L271" i="5"/>
  <c r="K271" i="5"/>
  <c r="J271" i="5"/>
  <c r="I271" i="5"/>
  <c r="H271" i="5"/>
  <c r="G271" i="5"/>
  <c r="F271" i="5"/>
  <c r="E271" i="5"/>
  <c r="D271" i="5"/>
  <c r="C271" i="5"/>
  <c r="B271" i="5"/>
  <c r="A271" i="5"/>
  <c r="N270" i="5"/>
  <c r="M270" i="5"/>
  <c r="L270" i="5"/>
  <c r="K270" i="5"/>
  <c r="J270" i="5"/>
  <c r="I270" i="5"/>
  <c r="H270" i="5"/>
  <c r="G270" i="5"/>
  <c r="F270" i="5"/>
  <c r="E270" i="5"/>
  <c r="D270" i="5"/>
  <c r="C270" i="5"/>
  <c r="B270" i="5"/>
  <c r="A270" i="5"/>
  <c r="N269" i="5"/>
  <c r="M269" i="5"/>
  <c r="L269" i="5"/>
  <c r="K269" i="5"/>
  <c r="J269" i="5"/>
  <c r="I269" i="5"/>
  <c r="H269" i="5"/>
  <c r="G269" i="5"/>
  <c r="F269" i="5"/>
  <c r="E269" i="5"/>
  <c r="D269" i="5"/>
  <c r="C269" i="5"/>
  <c r="B269" i="5"/>
  <c r="A269" i="5"/>
  <c r="N268" i="5"/>
  <c r="M268" i="5"/>
  <c r="L268" i="5"/>
  <c r="K268" i="5"/>
  <c r="J268" i="5"/>
  <c r="I268" i="5"/>
  <c r="H268" i="5"/>
  <c r="G268" i="5"/>
  <c r="F268" i="5"/>
  <c r="E268" i="5"/>
  <c r="D268" i="5"/>
  <c r="C268" i="5"/>
  <c r="B268" i="5"/>
  <c r="A268" i="5"/>
  <c r="N267" i="5"/>
  <c r="M267" i="5"/>
  <c r="L267" i="5"/>
  <c r="K267" i="5"/>
  <c r="J267" i="5"/>
  <c r="I267" i="5"/>
  <c r="H267" i="5"/>
  <c r="G267" i="5"/>
  <c r="F267" i="5"/>
  <c r="E267" i="5"/>
  <c r="D267" i="5"/>
  <c r="C267" i="5"/>
  <c r="B267" i="5"/>
  <c r="A267" i="5"/>
  <c r="N266" i="5"/>
  <c r="M266" i="5"/>
  <c r="L266" i="5"/>
  <c r="K266" i="5"/>
  <c r="J266" i="5"/>
  <c r="I266" i="5"/>
  <c r="H266" i="5"/>
  <c r="G266" i="5"/>
  <c r="F266" i="5"/>
  <c r="E266" i="5"/>
  <c r="D266" i="5"/>
  <c r="C266" i="5"/>
  <c r="B266" i="5"/>
  <c r="A266" i="5"/>
  <c r="N265" i="5"/>
  <c r="M265" i="5"/>
  <c r="L265" i="5"/>
  <c r="K265" i="5"/>
  <c r="J265" i="5"/>
  <c r="I265" i="5"/>
  <c r="H265" i="5"/>
  <c r="G265" i="5"/>
  <c r="F265" i="5"/>
  <c r="E265" i="5"/>
  <c r="D265" i="5"/>
  <c r="C265" i="5"/>
  <c r="B265" i="5"/>
  <c r="A265" i="5"/>
  <c r="N264" i="5"/>
  <c r="M264" i="5"/>
  <c r="L264" i="5"/>
  <c r="K264" i="5"/>
  <c r="J264" i="5"/>
  <c r="I264" i="5"/>
  <c r="H264" i="5"/>
  <c r="G264" i="5"/>
  <c r="F264" i="5"/>
  <c r="E264" i="5"/>
  <c r="D264" i="5"/>
  <c r="C264" i="5"/>
  <c r="B264" i="5"/>
  <c r="A264" i="5"/>
  <c r="N263" i="5"/>
  <c r="M263" i="5"/>
  <c r="L263" i="5"/>
  <c r="K263" i="5"/>
  <c r="J263" i="5"/>
  <c r="I263" i="5"/>
  <c r="H263" i="5"/>
  <c r="G263" i="5"/>
  <c r="F263" i="5"/>
  <c r="E263" i="5"/>
  <c r="D263" i="5"/>
  <c r="C263" i="5"/>
  <c r="B263" i="5"/>
  <c r="A263" i="5"/>
  <c r="N262" i="5"/>
  <c r="M262" i="5"/>
  <c r="L262" i="5"/>
  <c r="K262" i="5"/>
  <c r="J262" i="5"/>
  <c r="I262" i="5"/>
  <c r="H262" i="5"/>
  <c r="G262" i="5"/>
  <c r="F262" i="5"/>
  <c r="E262" i="5"/>
  <c r="D262" i="5"/>
  <c r="C262" i="5"/>
  <c r="B262" i="5"/>
  <c r="A262" i="5"/>
  <c r="N261" i="5"/>
  <c r="M261" i="5"/>
  <c r="L261" i="5"/>
  <c r="K261" i="5"/>
  <c r="J261" i="5"/>
  <c r="I261" i="5"/>
  <c r="H261" i="5"/>
  <c r="G261" i="5"/>
  <c r="F261" i="5"/>
  <c r="E261" i="5"/>
  <c r="D261" i="5"/>
  <c r="C261" i="5"/>
  <c r="B261" i="5"/>
  <c r="A261" i="5"/>
  <c r="N260" i="5"/>
  <c r="M260" i="5"/>
  <c r="L260" i="5"/>
  <c r="K260" i="5"/>
  <c r="J260" i="5"/>
  <c r="I260" i="5"/>
  <c r="H260" i="5"/>
  <c r="G260" i="5"/>
  <c r="F260" i="5"/>
  <c r="E260" i="5"/>
  <c r="D260" i="5"/>
  <c r="C260" i="5"/>
  <c r="B260" i="5"/>
  <c r="A260" i="5"/>
  <c r="N259" i="5"/>
  <c r="M259" i="5"/>
  <c r="L259" i="5"/>
  <c r="K259" i="5"/>
  <c r="J259" i="5"/>
  <c r="I259" i="5"/>
  <c r="H259" i="5"/>
  <c r="G259" i="5"/>
  <c r="F259" i="5"/>
  <c r="E259" i="5"/>
  <c r="D259" i="5"/>
  <c r="C259" i="5"/>
  <c r="B259" i="5"/>
  <c r="A259" i="5"/>
  <c r="N258" i="5"/>
  <c r="M258" i="5"/>
  <c r="L258" i="5"/>
  <c r="K258" i="5"/>
  <c r="J258" i="5"/>
  <c r="I258" i="5"/>
  <c r="H258" i="5"/>
  <c r="G258" i="5"/>
  <c r="F258" i="5"/>
  <c r="E258" i="5"/>
  <c r="D258" i="5"/>
  <c r="C258" i="5"/>
  <c r="B258" i="5"/>
  <c r="A258" i="5"/>
  <c r="N257" i="5"/>
  <c r="M257" i="5"/>
  <c r="L257" i="5"/>
  <c r="K257" i="5"/>
  <c r="J257" i="5"/>
  <c r="I257" i="5"/>
  <c r="H257" i="5"/>
  <c r="G257" i="5"/>
  <c r="F257" i="5"/>
  <c r="E257" i="5"/>
  <c r="D257" i="5"/>
  <c r="C257" i="5"/>
  <c r="B257" i="5"/>
  <c r="A257" i="5"/>
  <c r="N256" i="5"/>
  <c r="M256" i="5"/>
  <c r="L256" i="5"/>
  <c r="K256" i="5"/>
  <c r="J256" i="5"/>
  <c r="I256" i="5"/>
  <c r="H256" i="5"/>
  <c r="G256" i="5"/>
  <c r="F256" i="5"/>
  <c r="E256" i="5"/>
  <c r="D256" i="5"/>
  <c r="C256" i="5"/>
  <c r="B256" i="5"/>
  <c r="A256" i="5"/>
  <c r="N255" i="5"/>
  <c r="M255" i="5"/>
  <c r="L255" i="5"/>
  <c r="K255" i="5"/>
  <c r="J255" i="5"/>
  <c r="I255" i="5"/>
  <c r="H255" i="5"/>
  <c r="G255" i="5"/>
  <c r="F255" i="5"/>
  <c r="E255" i="5"/>
  <c r="D255" i="5"/>
  <c r="C255" i="5"/>
  <c r="B255" i="5"/>
  <c r="A255" i="5"/>
  <c r="N254" i="5"/>
  <c r="M254" i="5"/>
  <c r="L254" i="5"/>
  <c r="K254" i="5"/>
  <c r="J254" i="5"/>
  <c r="I254" i="5"/>
  <c r="H254" i="5"/>
  <c r="G254" i="5"/>
  <c r="F254" i="5"/>
  <c r="E254" i="5"/>
  <c r="D254" i="5"/>
  <c r="C254" i="5"/>
  <c r="B254" i="5"/>
  <c r="A254" i="5"/>
  <c r="N253" i="5"/>
  <c r="M253" i="5"/>
  <c r="L253" i="5"/>
  <c r="K253" i="5"/>
  <c r="J253" i="5"/>
  <c r="I253" i="5"/>
  <c r="H253" i="5"/>
  <c r="G253" i="5"/>
  <c r="F253" i="5"/>
  <c r="E253" i="5"/>
  <c r="D253" i="5"/>
  <c r="C253" i="5"/>
  <c r="B253" i="5"/>
  <c r="A253" i="5"/>
  <c r="N252" i="5"/>
  <c r="M252" i="5"/>
  <c r="L252" i="5"/>
  <c r="K252" i="5"/>
  <c r="J252" i="5"/>
  <c r="I252" i="5"/>
  <c r="H252" i="5"/>
  <c r="G252" i="5"/>
  <c r="F252" i="5"/>
  <c r="E252" i="5"/>
  <c r="D252" i="5"/>
  <c r="C252" i="5"/>
  <c r="B252" i="5"/>
  <c r="A252" i="5"/>
  <c r="N251" i="5"/>
  <c r="M251" i="5"/>
  <c r="L251" i="5"/>
  <c r="K251" i="5"/>
  <c r="J251" i="5"/>
  <c r="I251" i="5"/>
  <c r="H251" i="5"/>
  <c r="G251" i="5"/>
  <c r="F251" i="5"/>
  <c r="E251" i="5"/>
  <c r="D251" i="5"/>
  <c r="C251" i="5"/>
  <c r="B251" i="5"/>
  <c r="A251" i="5"/>
  <c r="N250" i="5"/>
  <c r="M250" i="5"/>
  <c r="L250" i="5"/>
  <c r="K250" i="5"/>
  <c r="J250" i="5"/>
  <c r="I250" i="5"/>
  <c r="H250" i="5"/>
  <c r="G250" i="5"/>
  <c r="F250" i="5"/>
  <c r="E250" i="5"/>
  <c r="D250" i="5"/>
  <c r="C250" i="5"/>
  <c r="B250" i="5"/>
  <c r="A250" i="5"/>
  <c r="N249" i="5"/>
  <c r="M249" i="5"/>
  <c r="L249" i="5"/>
  <c r="K249" i="5"/>
  <c r="J249" i="5"/>
  <c r="I249" i="5"/>
  <c r="H249" i="5"/>
  <c r="G249" i="5"/>
  <c r="F249" i="5"/>
  <c r="E249" i="5"/>
  <c r="D249" i="5"/>
  <c r="C249" i="5"/>
  <c r="B249" i="5"/>
  <c r="A249" i="5"/>
  <c r="N248" i="5"/>
  <c r="M248" i="5"/>
  <c r="L248" i="5"/>
  <c r="K248" i="5"/>
  <c r="J248" i="5"/>
  <c r="I248" i="5"/>
  <c r="H248" i="5"/>
  <c r="G248" i="5"/>
  <c r="F248" i="5"/>
  <c r="E248" i="5"/>
  <c r="D248" i="5"/>
  <c r="C248" i="5"/>
  <c r="B248" i="5"/>
  <c r="A248" i="5"/>
  <c r="N247" i="5"/>
  <c r="M247" i="5"/>
  <c r="L247" i="5"/>
  <c r="K247" i="5"/>
  <c r="J247" i="5"/>
  <c r="I247" i="5"/>
  <c r="H247" i="5"/>
  <c r="G247" i="5"/>
  <c r="F247" i="5"/>
  <c r="E247" i="5"/>
  <c r="D247" i="5"/>
  <c r="C247" i="5"/>
  <c r="B247" i="5"/>
  <c r="A247" i="5"/>
  <c r="N246" i="5"/>
  <c r="M246" i="5"/>
  <c r="L246" i="5"/>
  <c r="K246" i="5"/>
  <c r="J246" i="5"/>
  <c r="I246" i="5"/>
  <c r="H246" i="5"/>
  <c r="G246" i="5"/>
  <c r="F246" i="5"/>
  <c r="E246" i="5"/>
  <c r="D246" i="5"/>
  <c r="C246" i="5"/>
  <c r="B246" i="5"/>
  <c r="A246" i="5"/>
  <c r="N245" i="5"/>
  <c r="M245" i="5"/>
  <c r="L245" i="5"/>
  <c r="K245" i="5"/>
  <c r="J245" i="5"/>
  <c r="I245" i="5"/>
  <c r="H245" i="5"/>
  <c r="G245" i="5"/>
  <c r="F245" i="5"/>
  <c r="E245" i="5"/>
  <c r="D245" i="5"/>
  <c r="C245" i="5"/>
  <c r="B245" i="5"/>
  <c r="A245" i="5"/>
  <c r="N244" i="5"/>
  <c r="M244" i="5"/>
  <c r="L244" i="5"/>
  <c r="K244" i="5"/>
  <c r="J244" i="5"/>
  <c r="I244" i="5"/>
  <c r="H244" i="5"/>
  <c r="G244" i="5"/>
  <c r="F244" i="5"/>
  <c r="E244" i="5"/>
  <c r="D244" i="5"/>
  <c r="C244" i="5"/>
  <c r="B244" i="5"/>
  <c r="A244" i="5"/>
  <c r="N243" i="5"/>
  <c r="M243" i="5"/>
  <c r="L243" i="5"/>
  <c r="K243" i="5"/>
  <c r="J243" i="5"/>
  <c r="I243" i="5"/>
  <c r="H243" i="5"/>
  <c r="G243" i="5"/>
  <c r="F243" i="5"/>
  <c r="E243" i="5"/>
  <c r="D243" i="5"/>
  <c r="C243" i="5"/>
  <c r="B243" i="5"/>
  <c r="A243" i="5"/>
  <c r="N242" i="5"/>
  <c r="M242" i="5"/>
  <c r="L242" i="5"/>
  <c r="K242" i="5"/>
  <c r="J242" i="5"/>
  <c r="I242" i="5"/>
  <c r="H242" i="5"/>
  <c r="G242" i="5"/>
  <c r="F242" i="5"/>
  <c r="E242" i="5"/>
  <c r="D242" i="5"/>
  <c r="C242" i="5"/>
  <c r="B242" i="5"/>
  <c r="A242" i="5"/>
  <c r="N241" i="5"/>
  <c r="M241" i="5"/>
  <c r="L241" i="5"/>
  <c r="K241" i="5"/>
  <c r="J241" i="5"/>
  <c r="I241" i="5"/>
  <c r="H241" i="5"/>
  <c r="G241" i="5"/>
  <c r="F241" i="5"/>
  <c r="E241" i="5"/>
  <c r="D241" i="5"/>
  <c r="C241" i="5"/>
  <c r="B241" i="5"/>
  <c r="A241" i="5"/>
  <c r="N240" i="5"/>
  <c r="M240" i="5"/>
  <c r="L240" i="5"/>
  <c r="K240" i="5"/>
  <c r="J240" i="5"/>
  <c r="I240" i="5"/>
  <c r="H240" i="5"/>
  <c r="G240" i="5"/>
  <c r="F240" i="5"/>
  <c r="E240" i="5"/>
  <c r="D240" i="5"/>
  <c r="C240" i="5"/>
  <c r="B240" i="5"/>
  <c r="A240" i="5"/>
  <c r="N239" i="5"/>
  <c r="M239" i="5"/>
  <c r="L239" i="5"/>
  <c r="K239" i="5"/>
  <c r="J239" i="5"/>
  <c r="I239" i="5"/>
  <c r="H239" i="5"/>
  <c r="G239" i="5"/>
  <c r="F239" i="5"/>
  <c r="E239" i="5"/>
  <c r="D239" i="5"/>
  <c r="C239" i="5"/>
  <c r="B239" i="5"/>
  <c r="A239" i="5"/>
  <c r="N238" i="5"/>
  <c r="M238" i="5"/>
  <c r="L238" i="5"/>
  <c r="K238" i="5"/>
  <c r="J238" i="5"/>
  <c r="I238" i="5"/>
  <c r="H238" i="5"/>
  <c r="G238" i="5"/>
  <c r="F238" i="5"/>
  <c r="E238" i="5"/>
  <c r="D238" i="5"/>
  <c r="C238" i="5"/>
  <c r="B238" i="5"/>
  <c r="A238" i="5"/>
  <c r="N237" i="5"/>
  <c r="M237" i="5"/>
  <c r="L237" i="5"/>
  <c r="K237" i="5"/>
  <c r="J237" i="5"/>
  <c r="I237" i="5"/>
  <c r="H237" i="5"/>
  <c r="G237" i="5"/>
  <c r="F237" i="5"/>
  <c r="E237" i="5"/>
  <c r="D237" i="5"/>
  <c r="C237" i="5"/>
  <c r="B237" i="5"/>
  <c r="A237" i="5"/>
  <c r="N236" i="5"/>
  <c r="M236" i="5"/>
  <c r="L236" i="5"/>
  <c r="K236" i="5"/>
  <c r="J236" i="5"/>
  <c r="I236" i="5"/>
  <c r="H236" i="5"/>
  <c r="G236" i="5"/>
  <c r="F236" i="5"/>
  <c r="E236" i="5"/>
  <c r="D236" i="5"/>
  <c r="C236" i="5"/>
  <c r="B236" i="5"/>
  <c r="A236" i="5"/>
  <c r="N235" i="5"/>
  <c r="M235" i="5"/>
  <c r="L235" i="5"/>
  <c r="K235" i="5"/>
  <c r="J235" i="5"/>
  <c r="I235" i="5"/>
  <c r="H235" i="5"/>
  <c r="G235" i="5"/>
  <c r="F235" i="5"/>
  <c r="E235" i="5"/>
  <c r="D235" i="5"/>
  <c r="C235" i="5"/>
  <c r="B235" i="5"/>
  <c r="A235" i="5"/>
  <c r="N234" i="5"/>
  <c r="M234" i="5"/>
  <c r="L234" i="5"/>
  <c r="K234" i="5"/>
  <c r="J234" i="5"/>
  <c r="I234" i="5"/>
  <c r="H234" i="5"/>
  <c r="G234" i="5"/>
  <c r="F234" i="5"/>
  <c r="E234" i="5"/>
  <c r="D234" i="5"/>
  <c r="C234" i="5"/>
  <c r="B234" i="5"/>
  <c r="A234" i="5"/>
  <c r="N233" i="5"/>
  <c r="M233" i="5"/>
  <c r="L233" i="5"/>
  <c r="K233" i="5"/>
  <c r="J233" i="5"/>
  <c r="I233" i="5"/>
  <c r="H233" i="5"/>
  <c r="G233" i="5"/>
  <c r="F233" i="5"/>
  <c r="E233" i="5"/>
  <c r="D233" i="5"/>
  <c r="C233" i="5"/>
  <c r="B233" i="5"/>
  <c r="A233" i="5"/>
  <c r="N232" i="5"/>
  <c r="M232" i="5"/>
  <c r="L232" i="5"/>
  <c r="K232" i="5"/>
  <c r="J232" i="5"/>
  <c r="I232" i="5"/>
  <c r="H232" i="5"/>
  <c r="G232" i="5"/>
  <c r="F232" i="5"/>
  <c r="E232" i="5"/>
  <c r="D232" i="5"/>
  <c r="C232" i="5"/>
  <c r="B232" i="5"/>
  <c r="A232" i="5"/>
  <c r="N231" i="5"/>
  <c r="M231" i="5"/>
  <c r="L231" i="5"/>
  <c r="K231" i="5"/>
  <c r="J231" i="5"/>
  <c r="I231" i="5"/>
  <c r="H231" i="5"/>
  <c r="G231" i="5"/>
  <c r="F231" i="5"/>
  <c r="E231" i="5"/>
  <c r="D231" i="5"/>
  <c r="C231" i="5"/>
  <c r="B231" i="5"/>
  <c r="A231" i="5"/>
  <c r="N230" i="5"/>
  <c r="M230" i="5"/>
  <c r="L230" i="5"/>
  <c r="K230" i="5"/>
  <c r="J230" i="5"/>
  <c r="I230" i="5"/>
  <c r="H230" i="5"/>
  <c r="G230" i="5"/>
  <c r="F230" i="5"/>
  <c r="E230" i="5"/>
  <c r="D230" i="5"/>
  <c r="C230" i="5"/>
  <c r="B230" i="5"/>
  <c r="A230" i="5"/>
  <c r="N229" i="5"/>
  <c r="M229" i="5"/>
  <c r="L229" i="5"/>
  <c r="K229" i="5"/>
  <c r="J229" i="5"/>
  <c r="I229" i="5"/>
  <c r="H229" i="5"/>
  <c r="G229" i="5"/>
  <c r="F229" i="5"/>
  <c r="E229" i="5"/>
  <c r="D229" i="5"/>
  <c r="C229" i="5"/>
  <c r="B229" i="5"/>
  <c r="A229" i="5"/>
  <c r="N228" i="5"/>
  <c r="M228" i="5"/>
  <c r="L228" i="5"/>
  <c r="K228" i="5"/>
  <c r="J228" i="5"/>
  <c r="I228" i="5"/>
  <c r="H228" i="5"/>
  <c r="G228" i="5"/>
  <c r="F228" i="5"/>
  <c r="E228" i="5"/>
  <c r="D228" i="5"/>
  <c r="C228" i="5"/>
  <c r="B228" i="5"/>
  <c r="A228" i="5"/>
  <c r="N227" i="5"/>
  <c r="M227" i="5"/>
  <c r="L227" i="5"/>
  <c r="K227" i="5"/>
  <c r="J227" i="5"/>
  <c r="I227" i="5"/>
  <c r="H227" i="5"/>
  <c r="G227" i="5"/>
  <c r="F227" i="5"/>
  <c r="E227" i="5"/>
  <c r="D227" i="5"/>
  <c r="C227" i="5"/>
  <c r="B227" i="5"/>
  <c r="A227" i="5"/>
  <c r="N226" i="5"/>
  <c r="M226" i="5"/>
  <c r="L226" i="5"/>
  <c r="K226" i="5"/>
  <c r="J226" i="5"/>
  <c r="I226" i="5"/>
  <c r="H226" i="5"/>
  <c r="G226" i="5"/>
  <c r="F226" i="5"/>
  <c r="E226" i="5"/>
  <c r="D226" i="5"/>
  <c r="C226" i="5"/>
  <c r="B226" i="5"/>
  <c r="A226" i="5"/>
  <c r="N225" i="5"/>
  <c r="M225" i="5"/>
  <c r="L225" i="5"/>
  <c r="K225" i="5"/>
  <c r="J225" i="5"/>
  <c r="I225" i="5"/>
  <c r="H225" i="5"/>
  <c r="G225" i="5"/>
  <c r="F225" i="5"/>
  <c r="E225" i="5"/>
  <c r="D225" i="5"/>
  <c r="C225" i="5"/>
  <c r="B225" i="5"/>
  <c r="A225" i="5"/>
  <c r="N224" i="5"/>
  <c r="M224" i="5"/>
  <c r="L224" i="5"/>
  <c r="K224" i="5"/>
  <c r="J224" i="5"/>
  <c r="I224" i="5"/>
  <c r="H224" i="5"/>
  <c r="G224" i="5"/>
  <c r="F224" i="5"/>
  <c r="E224" i="5"/>
  <c r="D224" i="5"/>
  <c r="C224" i="5"/>
  <c r="B224" i="5"/>
  <c r="A224" i="5"/>
  <c r="N223" i="5"/>
  <c r="M223" i="5"/>
  <c r="L223" i="5"/>
  <c r="K223" i="5"/>
  <c r="J223" i="5"/>
  <c r="I223" i="5"/>
  <c r="H223" i="5"/>
  <c r="G223" i="5"/>
  <c r="F223" i="5"/>
  <c r="E223" i="5"/>
  <c r="D223" i="5"/>
  <c r="C223" i="5"/>
  <c r="B223" i="5"/>
  <c r="A223" i="5"/>
  <c r="N222" i="5"/>
  <c r="M222" i="5"/>
  <c r="L222" i="5"/>
  <c r="K222" i="5"/>
  <c r="J222" i="5"/>
  <c r="I222" i="5"/>
  <c r="H222" i="5"/>
  <c r="G222" i="5"/>
  <c r="F222" i="5"/>
  <c r="E222" i="5"/>
  <c r="D222" i="5"/>
  <c r="C222" i="5"/>
  <c r="B222" i="5"/>
  <c r="A222" i="5"/>
  <c r="N221" i="5"/>
  <c r="M221" i="5"/>
  <c r="L221" i="5"/>
  <c r="K221" i="5"/>
  <c r="J221" i="5"/>
  <c r="I221" i="5"/>
  <c r="H221" i="5"/>
  <c r="G221" i="5"/>
  <c r="F221" i="5"/>
  <c r="E221" i="5"/>
  <c r="D221" i="5"/>
  <c r="C221" i="5"/>
  <c r="B221" i="5"/>
  <c r="A221" i="5"/>
  <c r="N220" i="5"/>
  <c r="M220" i="5"/>
  <c r="L220" i="5"/>
  <c r="K220" i="5"/>
  <c r="J220" i="5"/>
  <c r="I220" i="5"/>
  <c r="H220" i="5"/>
  <c r="G220" i="5"/>
  <c r="F220" i="5"/>
  <c r="E220" i="5"/>
  <c r="D220" i="5"/>
  <c r="C220" i="5"/>
  <c r="B220" i="5"/>
  <c r="A220" i="5"/>
  <c r="N219" i="5"/>
  <c r="M219" i="5"/>
  <c r="L219" i="5"/>
  <c r="K219" i="5"/>
  <c r="J219" i="5"/>
  <c r="I219" i="5"/>
  <c r="H219" i="5"/>
  <c r="G219" i="5"/>
  <c r="F219" i="5"/>
  <c r="E219" i="5"/>
  <c r="D219" i="5"/>
  <c r="C219" i="5"/>
  <c r="B219" i="5"/>
  <c r="A219" i="5"/>
  <c r="N218" i="5"/>
  <c r="M218" i="5"/>
  <c r="L218" i="5"/>
  <c r="K218" i="5"/>
  <c r="J218" i="5"/>
  <c r="I218" i="5"/>
  <c r="H218" i="5"/>
  <c r="G218" i="5"/>
  <c r="F218" i="5"/>
  <c r="E218" i="5"/>
  <c r="D218" i="5"/>
  <c r="C218" i="5"/>
  <c r="B218" i="5"/>
  <c r="A218" i="5"/>
  <c r="N217" i="5"/>
  <c r="M217" i="5"/>
  <c r="L217" i="5"/>
  <c r="K217" i="5"/>
  <c r="J217" i="5"/>
  <c r="I217" i="5"/>
  <c r="H217" i="5"/>
  <c r="G217" i="5"/>
  <c r="F217" i="5"/>
  <c r="E217" i="5"/>
  <c r="D217" i="5"/>
  <c r="C217" i="5"/>
  <c r="B217" i="5"/>
  <c r="A217" i="5"/>
  <c r="N216" i="5"/>
  <c r="M216" i="5"/>
  <c r="L216" i="5"/>
  <c r="K216" i="5"/>
  <c r="J216" i="5"/>
  <c r="I216" i="5"/>
  <c r="H216" i="5"/>
  <c r="G216" i="5"/>
  <c r="F216" i="5"/>
  <c r="E216" i="5"/>
  <c r="D216" i="5"/>
  <c r="C216" i="5"/>
  <c r="B216" i="5"/>
  <c r="A216" i="5"/>
  <c r="N215" i="5"/>
  <c r="M215" i="5"/>
  <c r="L215" i="5"/>
  <c r="K215" i="5"/>
  <c r="J215" i="5"/>
  <c r="I215" i="5"/>
  <c r="H215" i="5"/>
  <c r="G215" i="5"/>
  <c r="F215" i="5"/>
  <c r="E215" i="5"/>
  <c r="D215" i="5"/>
  <c r="C215" i="5"/>
  <c r="B215" i="5"/>
  <c r="A215" i="5"/>
  <c r="N214" i="5"/>
  <c r="M214" i="5"/>
  <c r="L214" i="5"/>
  <c r="K214" i="5"/>
  <c r="J214" i="5"/>
  <c r="I214" i="5"/>
  <c r="H214" i="5"/>
  <c r="G214" i="5"/>
  <c r="F214" i="5"/>
  <c r="E214" i="5"/>
  <c r="D214" i="5"/>
  <c r="C214" i="5"/>
  <c r="B214" i="5"/>
  <c r="A214" i="5"/>
  <c r="N213" i="5"/>
  <c r="M213" i="5"/>
  <c r="L213" i="5"/>
  <c r="K213" i="5"/>
  <c r="J213" i="5"/>
  <c r="I213" i="5"/>
  <c r="H213" i="5"/>
  <c r="G213" i="5"/>
  <c r="F213" i="5"/>
  <c r="E213" i="5"/>
  <c r="D213" i="5"/>
  <c r="C213" i="5"/>
  <c r="B213" i="5"/>
  <c r="A213" i="5"/>
  <c r="N212" i="5"/>
  <c r="M212" i="5"/>
  <c r="L212" i="5"/>
  <c r="K212" i="5"/>
  <c r="J212" i="5"/>
  <c r="I212" i="5"/>
  <c r="H212" i="5"/>
  <c r="G212" i="5"/>
  <c r="F212" i="5"/>
  <c r="E212" i="5"/>
  <c r="D212" i="5"/>
  <c r="C212" i="5"/>
  <c r="B212" i="5"/>
  <c r="A212" i="5"/>
  <c r="N211" i="5"/>
  <c r="M211" i="5"/>
  <c r="L211" i="5"/>
  <c r="K211" i="5"/>
  <c r="J211" i="5"/>
  <c r="I211" i="5"/>
  <c r="H211" i="5"/>
  <c r="G211" i="5"/>
  <c r="F211" i="5"/>
  <c r="E211" i="5"/>
  <c r="D211" i="5"/>
  <c r="C211" i="5"/>
  <c r="B211" i="5"/>
  <c r="A211" i="5"/>
  <c r="N210" i="5"/>
  <c r="M210" i="5"/>
  <c r="L210" i="5"/>
  <c r="K210" i="5"/>
  <c r="J210" i="5"/>
  <c r="I210" i="5"/>
  <c r="H210" i="5"/>
  <c r="G210" i="5"/>
  <c r="F210" i="5"/>
  <c r="E210" i="5"/>
  <c r="D210" i="5"/>
  <c r="C210" i="5"/>
  <c r="B210" i="5"/>
  <c r="A210" i="5"/>
  <c r="N209" i="5"/>
  <c r="M209" i="5"/>
  <c r="L209" i="5"/>
  <c r="K209" i="5"/>
  <c r="J209" i="5"/>
  <c r="I209" i="5"/>
  <c r="H209" i="5"/>
  <c r="G209" i="5"/>
  <c r="F209" i="5"/>
  <c r="E209" i="5"/>
  <c r="D209" i="5"/>
  <c r="C209" i="5"/>
  <c r="B209" i="5"/>
  <c r="A209" i="5"/>
  <c r="N208" i="5"/>
  <c r="M208" i="5"/>
  <c r="L208" i="5"/>
  <c r="K208" i="5"/>
  <c r="J208" i="5"/>
  <c r="I208" i="5"/>
  <c r="H208" i="5"/>
  <c r="G208" i="5"/>
  <c r="F208" i="5"/>
  <c r="E208" i="5"/>
  <c r="D208" i="5"/>
  <c r="C208" i="5"/>
  <c r="B208" i="5"/>
  <c r="A208" i="5"/>
  <c r="N207" i="5"/>
  <c r="M207" i="5"/>
  <c r="L207" i="5"/>
  <c r="K207" i="5"/>
  <c r="J207" i="5"/>
  <c r="I207" i="5"/>
  <c r="H207" i="5"/>
  <c r="G207" i="5"/>
  <c r="F207" i="5"/>
  <c r="E207" i="5"/>
  <c r="D207" i="5"/>
  <c r="C207" i="5"/>
  <c r="B207" i="5"/>
  <c r="A207" i="5"/>
  <c r="N206" i="5"/>
  <c r="M206" i="5"/>
  <c r="L206" i="5"/>
  <c r="K206" i="5"/>
  <c r="J206" i="5"/>
  <c r="I206" i="5"/>
  <c r="H206" i="5"/>
  <c r="G206" i="5"/>
  <c r="F206" i="5"/>
  <c r="E206" i="5"/>
  <c r="D206" i="5"/>
  <c r="C206" i="5"/>
  <c r="B206" i="5"/>
  <c r="A206" i="5"/>
  <c r="N205" i="5"/>
  <c r="M205" i="5"/>
  <c r="L205" i="5"/>
  <c r="K205" i="5"/>
  <c r="J205" i="5"/>
  <c r="I205" i="5"/>
  <c r="H205" i="5"/>
  <c r="G205" i="5"/>
  <c r="F205" i="5"/>
  <c r="E205" i="5"/>
  <c r="D205" i="5"/>
  <c r="C205" i="5"/>
  <c r="B205" i="5"/>
  <c r="A205" i="5"/>
  <c r="N204" i="5"/>
  <c r="M204" i="5"/>
  <c r="L204" i="5"/>
  <c r="K204" i="5"/>
  <c r="J204" i="5"/>
  <c r="I204" i="5"/>
  <c r="H204" i="5"/>
  <c r="G204" i="5"/>
  <c r="F204" i="5"/>
  <c r="E204" i="5"/>
  <c r="D204" i="5"/>
  <c r="C204" i="5"/>
  <c r="B204" i="5"/>
  <c r="A204" i="5"/>
  <c r="N203" i="5"/>
  <c r="M203" i="5"/>
  <c r="L203" i="5"/>
  <c r="K203" i="5"/>
  <c r="J203" i="5"/>
  <c r="I203" i="5"/>
  <c r="H203" i="5"/>
  <c r="G203" i="5"/>
  <c r="F203" i="5"/>
  <c r="E203" i="5"/>
  <c r="D203" i="5"/>
  <c r="C203" i="5"/>
  <c r="B203" i="5"/>
  <c r="A203" i="5"/>
  <c r="N202" i="5"/>
  <c r="M202" i="5"/>
  <c r="L202" i="5"/>
  <c r="K202" i="5"/>
  <c r="J202" i="5"/>
  <c r="I202" i="5"/>
  <c r="H202" i="5"/>
  <c r="G202" i="5"/>
  <c r="F202" i="5"/>
  <c r="E202" i="5"/>
  <c r="D202" i="5"/>
  <c r="C202" i="5"/>
  <c r="B202" i="5"/>
  <c r="A202" i="5"/>
  <c r="N201" i="5"/>
  <c r="M201" i="5"/>
  <c r="L201" i="5"/>
  <c r="K201" i="5"/>
  <c r="J201" i="5"/>
  <c r="I201" i="5"/>
  <c r="H201" i="5"/>
  <c r="G201" i="5"/>
  <c r="F201" i="5"/>
  <c r="E201" i="5"/>
  <c r="D201" i="5"/>
  <c r="C201" i="5"/>
  <c r="B201" i="5"/>
  <c r="A201" i="5"/>
  <c r="N200" i="5"/>
  <c r="M200" i="5"/>
  <c r="L200" i="5"/>
  <c r="K200" i="5"/>
  <c r="J200" i="5"/>
  <c r="I200" i="5"/>
  <c r="H200" i="5"/>
  <c r="G200" i="5"/>
  <c r="F200" i="5"/>
  <c r="E200" i="5"/>
  <c r="D200" i="5"/>
  <c r="C200" i="5"/>
  <c r="B200" i="5"/>
  <c r="A200" i="5"/>
  <c r="N199" i="5"/>
  <c r="M199" i="5"/>
  <c r="L199" i="5"/>
  <c r="K199" i="5"/>
  <c r="J199" i="5"/>
  <c r="I199" i="5"/>
  <c r="H199" i="5"/>
  <c r="G199" i="5"/>
  <c r="F199" i="5"/>
  <c r="E199" i="5"/>
  <c r="D199" i="5"/>
  <c r="C199" i="5"/>
  <c r="B199" i="5"/>
  <c r="A199" i="5"/>
  <c r="N198" i="5"/>
  <c r="M198" i="5"/>
  <c r="L198" i="5"/>
  <c r="K198" i="5"/>
  <c r="J198" i="5"/>
  <c r="I198" i="5"/>
  <c r="H198" i="5"/>
  <c r="G198" i="5"/>
  <c r="F198" i="5"/>
  <c r="E198" i="5"/>
  <c r="D198" i="5"/>
  <c r="C198" i="5"/>
  <c r="B198" i="5"/>
  <c r="A198" i="5"/>
  <c r="N197" i="5"/>
  <c r="M197" i="5"/>
  <c r="L197" i="5"/>
  <c r="K197" i="5"/>
  <c r="J197" i="5"/>
  <c r="I197" i="5"/>
  <c r="H197" i="5"/>
  <c r="G197" i="5"/>
  <c r="F197" i="5"/>
  <c r="E197" i="5"/>
  <c r="D197" i="5"/>
  <c r="C197" i="5"/>
  <c r="B197" i="5"/>
  <c r="A197" i="5"/>
  <c r="N196" i="5"/>
  <c r="M196" i="5"/>
  <c r="L196" i="5"/>
  <c r="K196" i="5"/>
  <c r="J196" i="5"/>
  <c r="I196" i="5"/>
  <c r="H196" i="5"/>
  <c r="G196" i="5"/>
  <c r="F196" i="5"/>
  <c r="E196" i="5"/>
  <c r="D196" i="5"/>
  <c r="C196" i="5"/>
  <c r="B196" i="5"/>
  <c r="A196" i="5"/>
  <c r="N195" i="5"/>
  <c r="M195" i="5"/>
  <c r="L195" i="5"/>
  <c r="K195" i="5"/>
  <c r="J195" i="5"/>
  <c r="I195" i="5"/>
  <c r="H195" i="5"/>
  <c r="G195" i="5"/>
  <c r="F195" i="5"/>
  <c r="E195" i="5"/>
  <c r="D195" i="5"/>
  <c r="C195" i="5"/>
  <c r="B195" i="5"/>
  <c r="A195" i="5"/>
  <c r="N194" i="5"/>
  <c r="M194" i="5"/>
  <c r="L194" i="5"/>
  <c r="K194" i="5"/>
  <c r="J194" i="5"/>
  <c r="I194" i="5"/>
  <c r="H194" i="5"/>
  <c r="G194" i="5"/>
  <c r="F194" i="5"/>
  <c r="E194" i="5"/>
  <c r="D194" i="5"/>
  <c r="C194" i="5"/>
  <c r="B194" i="5"/>
  <c r="A194" i="5"/>
  <c r="N193" i="5"/>
  <c r="M193" i="5"/>
  <c r="L193" i="5"/>
  <c r="K193" i="5"/>
  <c r="J193" i="5"/>
  <c r="I193" i="5"/>
  <c r="H193" i="5"/>
  <c r="G193" i="5"/>
  <c r="F193" i="5"/>
  <c r="E193" i="5"/>
  <c r="D193" i="5"/>
  <c r="C193" i="5"/>
  <c r="B193" i="5"/>
  <c r="A193" i="5"/>
  <c r="N192" i="5"/>
  <c r="M192" i="5"/>
  <c r="L192" i="5"/>
  <c r="K192" i="5"/>
  <c r="J192" i="5"/>
  <c r="I192" i="5"/>
  <c r="H192" i="5"/>
  <c r="G192" i="5"/>
  <c r="F192" i="5"/>
  <c r="E192" i="5"/>
  <c r="D192" i="5"/>
  <c r="C192" i="5"/>
  <c r="B192" i="5"/>
  <c r="A192" i="5"/>
  <c r="N191" i="5"/>
  <c r="M191" i="5"/>
  <c r="L191" i="5"/>
  <c r="K191" i="5"/>
  <c r="J191" i="5"/>
  <c r="I191" i="5"/>
  <c r="H191" i="5"/>
  <c r="G191" i="5"/>
  <c r="F191" i="5"/>
  <c r="E191" i="5"/>
  <c r="D191" i="5"/>
  <c r="C191" i="5"/>
  <c r="B191" i="5"/>
  <c r="A191" i="5"/>
  <c r="N190" i="5"/>
  <c r="M190" i="5"/>
  <c r="L190" i="5"/>
  <c r="K190" i="5"/>
  <c r="J190" i="5"/>
  <c r="I190" i="5"/>
  <c r="H190" i="5"/>
  <c r="G190" i="5"/>
  <c r="F190" i="5"/>
  <c r="E190" i="5"/>
  <c r="D190" i="5"/>
  <c r="C190" i="5"/>
  <c r="B190" i="5"/>
  <c r="A190" i="5"/>
  <c r="N189" i="5"/>
  <c r="M189" i="5"/>
  <c r="L189" i="5"/>
  <c r="K189" i="5"/>
  <c r="J189" i="5"/>
  <c r="I189" i="5"/>
  <c r="H189" i="5"/>
  <c r="G189" i="5"/>
  <c r="F189" i="5"/>
  <c r="E189" i="5"/>
  <c r="D189" i="5"/>
  <c r="C189" i="5"/>
  <c r="B189" i="5"/>
  <c r="A189" i="5"/>
  <c r="N188" i="5"/>
  <c r="M188" i="5"/>
  <c r="L188" i="5"/>
  <c r="K188" i="5"/>
  <c r="J188" i="5"/>
  <c r="I188" i="5"/>
  <c r="H188" i="5"/>
  <c r="G188" i="5"/>
  <c r="F188" i="5"/>
  <c r="E188" i="5"/>
  <c r="D188" i="5"/>
  <c r="C188" i="5"/>
  <c r="B188" i="5"/>
  <c r="A188" i="5"/>
  <c r="N187" i="5"/>
  <c r="M187" i="5"/>
  <c r="L187" i="5"/>
  <c r="K187" i="5"/>
  <c r="J187" i="5"/>
  <c r="I187" i="5"/>
  <c r="H187" i="5"/>
  <c r="G187" i="5"/>
  <c r="F187" i="5"/>
  <c r="E187" i="5"/>
  <c r="D187" i="5"/>
  <c r="C187" i="5"/>
  <c r="B187" i="5"/>
  <c r="A187" i="5"/>
  <c r="N186" i="5"/>
  <c r="M186" i="5"/>
  <c r="L186" i="5"/>
  <c r="K186" i="5"/>
  <c r="J186" i="5"/>
  <c r="I186" i="5"/>
  <c r="H186" i="5"/>
  <c r="G186" i="5"/>
  <c r="F186" i="5"/>
  <c r="E186" i="5"/>
  <c r="D186" i="5"/>
  <c r="C186" i="5"/>
  <c r="B186" i="5"/>
  <c r="A186" i="5"/>
  <c r="N185" i="5"/>
  <c r="M185" i="5"/>
  <c r="L185" i="5"/>
  <c r="K185" i="5"/>
  <c r="J185" i="5"/>
  <c r="I185" i="5"/>
  <c r="H185" i="5"/>
  <c r="G185" i="5"/>
  <c r="F185" i="5"/>
  <c r="E185" i="5"/>
  <c r="D185" i="5"/>
  <c r="C185" i="5"/>
  <c r="B185" i="5"/>
  <c r="A185" i="5"/>
  <c r="N184" i="5"/>
  <c r="M184" i="5"/>
  <c r="L184" i="5"/>
  <c r="K184" i="5"/>
  <c r="J184" i="5"/>
  <c r="I184" i="5"/>
  <c r="H184" i="5"/>
  <c r="G184" i="5"/>
  <c r="F184" i="5"/>
  <c r="E184" i="5"/>
  <c r="D184" i="5"/>
  <c r="C184" i="5"/>
  <c r="B184" i="5"/>
  <c r="A184" i="5"/>
  <c r="N183" i="5"/>
  <c r="M183" i="5"/>
  <c r="L183" i="5"/>
  <c r="K183" i="5"/>
  <c r="J183" i="5"/>
  <c r="I183" i="5"/>
  <c r="H183" i="5"/>
  <c r="G183" i="5"/>
  <c r="F183" i="5"/>
  <c r="E183" i="5"/>
  <c r="D183" i="5"/>
  <c r="C183" i="5"/>
  <c r="B183" i="5"/>
  <c r="A183" i="5"/>
  <c r="N182" i="5"/>
  <c r="M182" i="5"/>
  <c r="L182" i="5"/>
  <c r="K182" i="5"/>
  <c r="J182" i="5"/>
  <c r="I182" i="5"/>
  <c r="H182" i="5"/>
  <c r="G182" i="5"/>
  <c r="F182" i="5"/>
  <c r="E182" i="5"/>
  <c r="D182" i="5"/>
  <c r="C182" i="5"/>
  <c r="B182" i="5"/>
  <c r="A182" i="5"/>
  <c r="N181" i="5"/>
  <c r="M181" i="5"/>
  <c r="L181" i="5"/>
  <c r="K181" i="5"/>
  <c r="J181" i="5"/>
  <c r="I181" i="5"/>
  <c r="H181" i="5"/>
  <c r="G181" i="5"/>
  <c r="F181" i="5"/>
  <c r="E181" i="5"/>
  <c r="D181" i="5"/>
  <c r="C181" i="5"/>
  <c r="B181" i="5"/>
  <c r="A181" i="5"/>
  <c r="N180" i="5"/>
  <c r="M180" i="5"/>
  <c r="L180" i="5"/>
  <c r="K180" i="5"/>
  <c r="J180" i="5"/>
  <c r="I180" i="5"/>
  <c r="H180" i="5"/>
  <c r="G180" i="5"/>
  <c r="F180" i="5"/>
  <c r="E180" i="5"/>
  <c r="D180" i="5"/>
  <c r="C180" i="5"/>
  <c r="B180" i="5"/>
  <c r="A180" i="5"/>
  <c r="N179" i="5"/>
  <c r="M179" i="5"/>
  <c r="L179" i="5"/>
  <c r="K179" i="5"/>
  <c r="J179" i="5"/>
  <c r="I179" i="5"/>
  <c r="H179" i="5"/>
  <c r="G179" i="5"/>
  <c r="F179" i="5"/>
  <c r="E179" i="5"/>
  <c r="D179" i="5"/>
  <c r="C179" i="5"/>
  <c r="B179" i="5"/>
  <c r="A179" i="5"/>
  <c r="N178" i="5"/>
  <c r="M178" i="5"/>
  <c r="L178" i="5"/>
  <c r="K178" i="5"/>
  <c r="J178" i="5"/>
  <c r="I178" i="5"/>
  <c r="H178" i="5"/>
  <c r="G178" i="5"/>
  <c r="F178" i="5"/>
  <c r="E178" i="5"/>
  <c r="D178" i="5"/>
  <c r="C178" i="5"/>
  <c r="B178" i="5"/>
  <c r="A178" i="5"/>
  <c r="N177" i="5"/>
  <c r="M177" i="5"/>
  <c r="L177" i="5"/>
  <c r="K177" i="5"/>
  <c r="J177" i="5"/>
  <c r="I177" i="5"/>
  <c r="H177" i="5"/>
  <c r="G177" i="5"/>
  <c r="F177" i="5"/>
  <c r="E177" i="5"/>
  <c r="D177" i="5"/>
  <c r="C177" i="5"/>
  <c r="B177" i="5"/>
  <c r="A177" i="5"/>
  <c r="N176" i="5"/>
  <c r="M176" i="5"/>
  <c r="L176" i="5"/>
  <c r="K176" i="5"/>
  <c r="J176" i="5"/>
  <c r="I176" i="5"/>
  <c r="H176" i="5"/>
  <c r="G176" i="5"/>
  <c r="F176" i="5"/>
  <c r="E176" i="5"/>
  <c r="D176" i="5"/>
  <c r="C176" i="5"/>
  <c r="B176" i="5"/>
  <c r="A176" i="5"/>
  <c r="N175" i="5"/>
  <c r="M175" i="5"/>
  <c r="L175" i="5"/>
  <c r="K175" i="5"/>
  <c r="J175" i="5"/>
  <c r="I175" i="5"/>
  <c r="H175" i="5"/>
  <c r="G175" i="5"/>
  <c r="F175" i="5"/>
  <c r="E175" i="5"/>
  <c r="D175" i="5"/>
  <c r="C175" i="5"/>
  <c r="B175" i="5"/>
  <c r="A175" i="5"/>
  <c r="N174" i="5"/>
  <c r="M174" i="5"/>
  <c r="L174" i="5"/>
  <c r="K174" i="5"/>
  <c r="J174" i="5"/>
  <c r="I174" i="5"/>
  <c r="H174" i="5"/>
  <c r="G174" i="5"/>
  <c r="F174" i="5"/>
  <c r="E174" i="5"/>
  <c r="D174" i="5"/>
  <c r="C174" i="5"/>
  <c r="B174" i="5"/>
  <c r="A174" i="5"/>
  <c r="N173" i="5"/>
  <c r="M173" i="5"/>
  <c r="L173" i="5"/>
  <c r="K173" i="5"/>
  <c r="J173" i="5"/>
  <c r="I173" i="5"/>
  <c r="H173" i="5"/>
  <c r="G173" i="5"/>
  <c r="F173" i="5"/>
  <c r="E173" i="5"/>
  <c r="D173" i="5"/>
  <c r="C173" i="5"/>
  <c r="B173" i="5"/>
  <c r="A173" i="5"/>
  <c r="N172" i="5"/>
  <c r="M172" i="5"/>
  <c r="L172" i="5"/>
  <c r="K172" i="5"/>
  <c r="J172" i="5"/>
  <c r="I172" i="5"/>
  <c r="H172" i="5"/>
  <c r="G172" i="5"/>
  <c r="F172" i="5"/>
  <c r="E172" i="5"/>
  <c r="D172" i="5"/>
  <c r="C172" i="5"/>
  <c r="B172" i="5"/>
  <c r="A172" i="5"/>
  <c r="N171" i="5"/>
  <c r="M171" i="5"/>
  <c r="L171" i="5"/>
  <c r="K171" i="5"/>
  <c r="J171" i="5"/>
  <c r="I171" i="5"/>
  <c r="H171" i="5"/>
  <c r="G171" i="5"/>
  <c r="F171" i="5"/>
  <c r="E171" i="5"/>
  <c r="D171" i="5"/>
  <c r="C171" i="5"/>
  <c r="B171" i="5"/>
  <c r="A171" i="5"/>
  <c r="N170" i="5"/>
  <c r="M170" i="5"/>
  <c r="L170" i="5"/>
  <c r="K170" i="5"/>
  <c r="J170" i="5"/>
  <c r="I170" i="5"/>
  <c r="H170" i="5"/>
  <c r="G170" i="5"/>
  <c r="F170" i="5"/>
  <c r="E170" i="5"/>
  <c r="D170" i="5"/>
  <c r="C170" i="5"/>
  <c r="B170" i="5"/>
  <c r="A170" i="5"/>
  <c r="N169" i="5"/>
  <c r="M169" i="5"/>
  <c r="L169" i="5"/>
  <c r="K169" i="5"/>
  <c r="J169" i="5"/>
  <c r="I169" i="5"/>
  <c r="H169" i="5"/>
  <c r="G169" i="5"/>
  <c r="F169" i="5"/>
  <c r="E169" i="5"/>
  <c r="D169" i="5"/>
  <c r="C169" i="5"/>
  <c r="B169" i="5"/>
  <c r="A169" i="5"/>
  <c r="N168" i="5"/>
  <c r="M168" i="5"/>
  <c r="L168" i="5"/>
  <c r="K168" i="5"/>
  <c r="J168" i="5"/>
  <c r="I168" i="5"/>
  <c r="H168" i="5"/>
  <c r="G168" i="5"/>
  <c r="F168" i="5"/>
  <c r="E168" i="5"/>
  <c r="D168" i="5"/>
  <c r="C168" i="5"/>
  <c r="B168" i="5"/>
  <c r="A168" i="5"/>
  <c r="N167" i="5"/>
  <c r="M167" i="5"/>
  <c r="L167" i="5"/>
  <c r="K167" i="5"/>
  <c r="J167" i="5"/>
  <c r="I167" i="5"/>
  <c r="H167" i="5"/>
  <c r="G167" i="5"/>
  <c r="F167" i="5"/>
  <c r="E167" i="5"/>
  <c r="D167" i="5"/>
  <c r="C167" i="5"/>
  <c r="B167" i="5"/>
  <c r="A167" i="5"/>
  <c r="N166" i="5"/>
  <c r="M166" i="5"/>
  <c r="L166" i="5"/>
  <c r="K166" i="5"/>
  <c r="J166" i="5"/>
  <c r="I166" i="5"/>
  <c r="H166" i="5"/>
  <c r="G166" i="5"/>
  <c r="F166" i="5"/>
  <c r="E166" i="5"/>
  <c r="D166" i="5"/>
  <c r="C166" i="5"/>
  <c r="B166" i="5"/>
  <c r="A166" i="5"/>
  <c r="N165" i="5"/>
  <c r="M165" i="5"/>
  <c r="L165" i="5"/>
  <c r="K165" i="5"/>
  <c r="J165" i="5"/>
  <c r="I165" i="5"/>
  <c r="H165" i="5"/>
  <c r="G165" i="5"/>
  <c r="F165" i="5"/>
  <c r="E165" i="5"/>
  <c r="D165" i="5"/>
  <c r="C165" i="5"/>
  <c r="B165" i="5"/>
  <c r="A165" i="5"/>
  <c r="N164" i="5"/>
  <c r="M164" i="5"/>
  <c r="L164" i="5"/>
  <c r="K164" i="5"/>
  <c r="J164" i="5"/>
  <c r="I164" i="5"/>
  <c r="H164" i="5"/>
  <c r="G164" i="5"/>
  <c r="F164" i="5"/>
  <c r="E164" i="5"/>
  <c r="D164" i="5"/>
  <c r="C164" i="5"/>
  <c r="B164" i="5"/>
  <c r="A164" i="5"/>
  <c r="N163" i="5"/>
  <c r="M163" i="5"/>
  <c r="L163" i="5"/>
  <c r="K163" i="5"/>
  <c r="J163" i="5"/>
  <c r="I163" i="5"/>
  <c r="H163" i="5"/>
  <c r="G163" i="5"/>
  <c r="F163" i="5"/>
  <c r="E163" i="5"/>
  <c r="D163" i="5"/>
  <c r="C163" i="5"/>
  <c r="B163" i="5"/>
  <c r="A163" i="5"/>
  <c r="N162" i="5"/>
  <c r="M162" i="5"/>
  <c r="L162" i="5"/>
  <c r="K162" i="5"/>
  <c r="J162" i="5"/>
  <c r="I162" i="5"/>
  <c r="H162" i="5"/>
  <c r="G162" i="5"/>
  <c r="F162" i="5"/>
  <c r="E162" i="5"/>
  <c r="D162" i="5"/>
  <c r="C162" i="5"/>
  <c r="B162" i="5"/>
  <c r="A162" i="5"/>
  <c r="N161" i="5"/>
  <c r="M161" i="5"/>
  <c r="L161" i="5"/>
  <c r="K161" i="5"/>
  <c r="J161" i="5"/>
  <c r="I161" i="5"/>
  <c r="H161" i="5"/>
  <c r="G161" i="5"/>
  <c r="F161" i="5"/>
  <c r="E161" i="5"/>
  <c r="D161" i="5"/>
  <c r="C161" i="5"/>
  <c r="B161" i="5"/>
  <c r="A161" i="5"/>
  <c r="N160" i="5"/>
  <c r="M160" i="5"/>
  <c r="L160" i="5"/>
  <c r="K160" i="5"/>
  <c r="J160" i="5"/>
  <c r="I160" i="5"/>
  <c r="H160" i="5"/>
  <c r="G160" i="5"/>
  <c r="F160" i="5"/>
  <c r="E160" i="5"/>
  <c r="D160" i="5"/>
  <c r="C160" i="5"/>
  <c r="B160" i="5"/>
  <c r="A160" i="5"/>
  <c r="N159" i="5"/>
  <c r="M159" i="5"/>
  <c r="L159" i="5"/>
  <c r="K159" i="5"/>
  <c r="J159" i="5"/>
  <c r="I159" i="5"/>
  <c r="H159" i="5"/>
  <c r="G159" i="5"/>
  <c r="F159" i="5"/>
  <c r="E159" i="5"/>
  <c r="D159" i="5"/>
  <c r="C159" i="5"/>
  <c r="B159" i="5"/>
  <c r="A159" i="5"/>
  <c r="N158" i="5"/>
  <c r="M158" i="5"/>
  <c r="L158" i="5"/>
  <c r="K158" i="5"/>
  <c r="J158" i="5"/>
  <c r="I158" i="5"/>
  <c r="H158" i="5"/>
  <c r="G158" i="5"/>
  <c r="F158" i="5"/>
  <c r="E158" i="5"/>
  <c r="D158" i="5"/>
  <c r="C158" i="5"/>
  <c r="B158" i="5"/>
  <c r="A158" i="5"/>
  <c r="N157" i="5"/>
  <c r="M157" i="5"/>
  <c r="L157" i="5"/>
  <c r="K157" i="5"/>
  <c r="J157" i="5"/>
  <c r="I157" i="5"/>
  <c r="H157" i="5"/>
  <c r="G157" i="5"/>
  <c r="F157" i="5"/>
  <c r="E157" i="5"/>
  <c r="D157" i="5"/>
  <c r="C157" i="5"/>
  <c r="B157" i="5"/>
  <c r="A157" i="5"/>
  <c r="N156" i="5"/>
  <c r="M156" i="5"/>
  <c r="L156" i="5"/>
  <c r="K156" i="5"/>
  <c r="J156" i="5"/>
  <c r="I156" i="5"/>
  <c r="H156" i="5"/>
  <c r="G156" i="5"/>
  <c r="F156" i="5"/>
  <c r="E156" i="5"/>
  <c r="D156" i="5"/>
  <c r="C156" i="5"/>
  <c r="B156" i="5"/>
  <c r="A156" i="5"/>
  <c r="N155" i="5"/>
  <c r="M155" i="5"/>
  <c r="L155" i="5"/>
  <c r="K155" i="5"/>
  <c r="J155" i="5"/>
  <c r="I155" i="5"/>
  <c r="H155" i="5"/>
  <c r="G155" i="5"/>
  <c r="F155" i="5"/>
  <c r="E155" i="5"/>
  <c r="D155" i="5"/>
  <c r="C155" i="5"/>
  <c r="B155" i="5"/>
  <c r="A155" i="5"/>
  <c r="N154" i="5"/>
  <c r="M154" i="5"/>
  <c r="L154" i="5"/>
  <c r="K154" i="5"/>
  <c r="J154" i="5"/>
  <c r="I154" i="5"/>
  <c r="H154" i="5"/>
  <c r="G154" i="5"/>
  <c r="F154" i="5"/>
  <c r="E154" i="5"/>
  <c r="D154" i="5"/>
  <c r="C154" i="5"/>
  <c r="B154" i="5"/>
  <c r="A154" i="5"/>
  <c r="N153" i="5"/>
  <c r="M153" i="5"/>
  <c r="L153" i="5"/>
  <c r="K153" i="5"/>
  <c r="J153" i="5"/>
  <c r="I153" i="5"/>
  <c r="H153" i="5"/>
  <c r="G153" i="5"/>
  <c r="F153" i="5"/>
  <c r="E153" i="5"/>
  <c r="D153" i="5"/>
  <c r="C153" i="5"/>
  <c r="B153" i="5"/>
  <c r="A153" i="5"/>
  <c r="N152" i="5"/>
  <c r="M152" i="5"/>
  <c r="L152" i="5"/>
  <c r="K152" i="5"/>
  <c r="J152" i="5"/>
  <c r="I152" i="5"/>
  <c r="H152" i="5"/>
  <c r="G152" i="5"/>
  <c r="F152" i="5"/>
  <c r="E152" i="5"/>
  <c r="D152" i="5"/>
  <c r="C152" i="5"/>
  <c r="B152" i="5"/>
  <c r="A152" i="5"/>
  <c r="N151" i="5"/>
  <c r="M151" i="5"/>
  <c r="L151" i="5"/>
  <c r="K151" i="5"/>
  <c r="J151" i="5"/>
  <c r="I151" i="5"/>
  <c r="H151" i="5"/>
  <c r="G151" i="5"/>
  <c r="F151" i="5"/>
  <c r="E151" i="5"/>
  <c r="D151" i="5"/>
  <c r="C151" i="5"/>
  <c r="B151" i="5"/>
  <c r="A151" i="5"/>
  <c r="N150" i="5"/>
  <c r="M150" i="5"/>
  <c r="L150" i="5"/>
  <c r="K150" i="5"/>
  <c r="J150" i="5"/>
  <c r="I150" i="5"/>
  <c r="H150" i="5"/>
  <c r="G150" i="5"/>
  <c r="F150" i="5"/>
  <c r="E150" i="5"/>
  <c r="D150" i="5"/>
  <c r="C150" i="5"/>
  <c r="B150" i="5"/>
  <c r="A150" i="5"/>
  <c r="N149" i="5"/>
  <c r="M149" i="5"/>
  <c r="L149" i="5"/>
  <c r="K149" i="5"/>
  <c r="J149" i="5"/>
  <c r="I149" i="5"/>
  <c r="H149" i="5"/>
  <c r="G149" i="5"/>
  <c r="F149" i="5"/>
  <c r="E149" i="5"/>
  <c r="D149" i="5"/>
  <c r="C149" i="5"/>
  <c r="B149" i="5"/>
  <c r="A149" i="5"/>
  <c r="N148" i="5"/>
  <c r="M148" i="5"/>
  <c r="L148" i="5"/>
  <c r="K148" i="5"/>
  <c r="J148" i="5"/>
  <c r="I148" i="5"/>
  <c r="H148" i="5"/>
  <c r="G148" i="5"/>
  <c r="F148" i="5"/>
  <c r="E148" i="5"/>
  <c r="D148" i="5"/>
  <c r="C148" i="5"/>
  <c r="B148" i="5"/>
  <c r="A148" i="5"/>
  <c r="N147" i="5"/>
  <c r="M147" i="5"/>
  <c r="L147" i="5"/>
  <c r="K147" i="5"/>
  <c r="J147" i="5"/>
  <c r="I147" i="5"/>
  <c r="H147" i="5"/>
  <c r="G147" i="5"/>
  <c r="F147" i="5"/>
  <c r="E147" i="5"/>
  <c r="D147" i="5"/>
  <c r="C147" i="5"/>
  <c r="B147" i="5"/>
  <c r="A147" i="5"/>
  <c r="N146" i="5"/>
  <c r="M146" i="5"/>
  <c r="L146" i="5"/>
  <c r="K146" i="5"/>
  <c r="J146" i="5"/>
  <c r="I146" i="5"/>
  <c r="H146" i="5"/>
  <c r="G146" i="5"/>
  <c r="F146" i="5"/>
  <c r="E146" i="5"/>
  <c r="D146" i="5"/>
  <c r="C146" i="5"/>
  <c r="B146" i="5"/>
  <c r="A146" i="5"/>
  <c r="N145" i="5"/>
  <c r="M145" i="5"/>
  <c r="L145" i="5"/>
  <c r="K145" i="5"/>
  <c r="J145" i="5"/>
  <c r="I145" i="5"/>
  <c r="H145" i="5"/>
  <c r="G145" i="5"/>
  <c r="F145" i="5"/>
  <c r="E145" i="5"/>
  <c r="D145" i="5"/>
  <c r="C145" i="5"/>
  <c r="B145" i="5"/>
  <c r="A145" i="5"/>
  <c r="N144" i="5"/>
  <c r="M144" i="5"/>
  <c r="L144" i="5"/>
  <c r="K144" i="5"/>
  <c r="J144" i="5"/>
  <c r="I144" i="5"/>
  <c r="H144" i="5"/>
  <c r="G144" i="5"/>
  <c r="F144" i="5"/>
  <c r="E144" i="5"/>
  <c r="D144" i="5"/>
  <c r="C144" i="5"/>
  <c r="B144" i="5"/>
  <c r="A144" i="5"/>
  <c r="N143" i="5"/>
  <c r="M143" i="5"/>
  <c r="L143" i="5"/>
  <c r="K143" i="5"/>
  <c r="J143" i="5"/>
  <c r="I143" i="5"/>
  <c r="H143" i="5"/>
  <c r="G143" i="5"/>
  <c r="F143" i="5"/>
  <c r="E143" i="5"/>
  <c r="D143" i="5"/>
  <c r="C143" i="5"/>
  <c r="B143" i="5"/>
  <c r="A143" i="5"/>
  <c r="N142" i="5"/>
  <c r="M142" i="5"/>
  <c r="L142" i="5"/>
  <c r="K142" i="5"/>
  <c r="J142" i="5"/>
  <c r="I142" i="5"/>
  <c r="H142" i="5"/>
  <c r="G142" i="5"/>
  <c r="F142" i="5"/>
  <c r="E142" i="5"/>
  <c r="D142" i="5"/>
  <c r="C142" i="5"/>
  <c r="B142" i="5"/>
  <c r="A142" i="5"/>
  <c r="N141" i="5"/>
  <c r="M141" i="5"/>
  <c r="L141" i="5"/>
  <c r="K141" i="5"/>
  <c r="J141" i="5"/>
  <c r="I141" i="5"/>
  <c r="H141" i="5"/>
  <c r="G141" i="5"/>
  <c r="F141" i="5"/>
  <c r="E141" i="5"/>
  <c r="D141" i="5"/>
  <c r="C141" i="5"/>
  <c r="B141" i="5"/>
  <c r="A141" i="5"/>
  <c r="N140" i="5"/>
  <c r="M140" i="5"/>
  <c r="L140" i="5"/>
  <c r="K140" i="5"/>
  <c r="J140" i="5"/>
  <c r="I140" i="5"/>
  <c r="H140" i="5"/>
  <c r="G140" i="5"/>
  <c r="F140" i="5"/>
  <c r="E140" i="5"/>
  <c r="D140" i="5"/>
  <c r="C140" i="5"/>
  <c r="B140" i="5"/>
  <c r="A140" i="5"/>
  <c r="N139" i="5"/>
  <c r="M139" i="5"/>
  <c r="L139" i="5"/>
  <c r="K139" i="5"/>
  <c r="J139" i="5"/>
  <c r="I139" i="5"/>
  <c r="H139" i="5"/>
  <c r="G139" i="5"/>
  <c r="F139" i="5"/>
  <c r="E139" i="5"/>
  <c r="D139" i="5"/>
  <c r="C139" i="5"/>
  <c r="B139" i="5"/>
  <c r="A139" i="5"/>
  <c r="N138" i="5"/>
  <c r="M138" i="5"/>
  <c r="L138" i="5"/>
  <c r="K138" i="5"/>
  <c r="J138" i="5"/>
  <c r="I138" i="5"/>
  <c r="H138" i="5"/>
  <c r="G138" i="5"/>
  <c r="F138" i="5"/>
  <c r="E138" i="5"/>
  <c r="D138" i="5"/>
  <c r="C138" i="5"/>
  <c r="B138" i="5"/>
  <c r="A138" i="5"/>
  <c r="N137" i="5"/>
  <c r="M137" i="5"/>
  <c r="L137" i="5"/>
  <c r="K137" i="5"/>
  <c r="J137" i="5"/>
  <c r="I137" i="5"/>
  <c r="H137" i="5"/>
  <c r="G137" i="5"/>
  <c r="F137" i="5"/>
  <c r="E137" i="5"/>
  <c r="D137" i="5"/>
  <c r="C137" i="5"/>
  <c r="B137" i="5"/>
  <c r="A137" i="5"/>
  <c r="N136" i="5"/>
  <c r="M136" i="5"/>
  <c r="L136" i="5"/>
  <c r="K136" i="5"/>
  <c r="J136" i="5"/>
  <c r="I136" i="5"/>
  <c r="H136" i="5"/>
  <c r="G136" i="5"/>
  <c r="F136" i="5"/>
  <c r="E136" i="5"/>
  <c r="D136" i="5"/>
  <c r="C136" i="5"/>
  <c r="B136" i="5"/>
  <c r="A136" i="5"/>
  <c r="N135" i="5"/>
  <c r="M135" i="5"/>
  <c r="L135" i="5"/>
  <c r="K135" i="5"/>
  <c r="J135" i="5"/>
  <c r="I135" i="5"/>
  <c r="H135" i="5"/>
  <c r="G135" i="5"/>
  <c r="F135" i="5"/>
  <c r="E135" i="5"/>
  <c r="D135" i="5"/>
  <c r="C135" i="5"/>
  <c r="B135" i="5"/>
  <c r="A135" i="5"/>
  <c r="N134" i="5"/>
  <c r="M134" i="5"/>
  <c r="L134" i="5"/>
  <c r="K134" i="5"/>
  <c r="J134" i="5"/>
  <c r="I134" i="5"/>
  <c r="H134" i="5"/>
  <c r="G134" i="5"/>
  <c r="F134" i="5"/>
  <c r="E134" i="5"/>
  <c r="D134" i="5"/>
  <c r="C134" i="5"/>
  <c r="B134" i="5"/>
  <c r="A134" i="5"/>
  <c r="N133" i="5"/>
  <c r="M133" i="5"/>
  <c r="L133" i="5"/>
  <c r="K133" i="5"/>
  <c r="J133" i="5"/>
  <c r="I133" i="5"/>
  <c r="H133" i="5"/>
  <c r="G133" i="5"/>
  <c r="F133" i="5"/>
  <c r="E133" i="5"/>
  <c r="D133" i="5"/>
  <c r="C133" i="5"/>
  <c r="B133" i="5"/>
  <c r="A133" i="5"/>
  <c r="N132" i="5"/>
  <c r="M132" i="5"/>
  <c r="L132" i="5"/>
  <c r="K132" i="5"/>
  <c r="J132" i="5"/>
  <c r="I132" i="5"/>
  <c r="H132" i="5"/>
  <c r="G132" i="5"/>
  <c r="F132" i="5"/>
  <c r="E132" i="5"/>
  <c r="D132" i="5"/>
  <c r="C132" i="5"/>
  <c r="B132" i="5"/>
  <c r="A132" i="5"/>
  <c r="N131" i="5"/>
  <c r="M131" i="5"/>
  <c r="L131" i="5"/>
  <c r="K131" i="5"/>
  <c r="J131" i="5"/>
  <c r="I131" i="5"/>
  <c r="H131" i="5"/>
  <c r="G131" i="5"/>
  <c r="F131" i="5"/>
  <c r="E131" i="5"/>
  <c r="D131" i="5"/>
  <c r="C131" i="5"/>
  <c r="B131" i="5"/>
  <c r="A131" i="5"/>
  <c r="N130" i="5"/>
  <c r="M130" i="5"/>
  <c r="L130" i="5"/>
  <c r="K130" i="5"/>
  <c r="J130" i="5"/>
  <c r="I130" i="5"/>
  <c r="H130" i="5"/>
  <c r="G130" i="5"/>
  <c r="F130" i="5"/>
  <c r="E130" i="5"/>
  <c r="D130" i="5"/>
  <c r="C130" i="5"/>
  <c r="B130" i="5"/>
  <c r="A130" i="5"/>
  <c r="N129" i="5"/>
  <c r="M129" i="5"/>
  <c r="L129" i="5"/>
  <c r="K129" i="5"/>
  <c r="J129" i="5"/>
  <c r="I129" i="5"/>
  <c r="H129" i="5"/>
  <c r="G129" i="5"/>
  <c r="F129" i="5"/>
  <c r="E129" i="5"/>
  <c r="D129" i="5"/>
  <c r="C129" i="5"/>
  <c r="B129" i="5"/>
  <c r="A129" i="5"/>
  <c r="N128" i="5"/>
  <c r="M128" i="5"/>
  <c r="L128" i="5"/>
  <c r="K128" i="5"/>
  <c r="J128" i="5"/>
  <c r="I128" i="5"/>
  <c r="H128" i="5"/>
  <c r="G128" i="5"/>
  <c r="F128" i="5"/>
  <c r="E128" i="5"/>
  <c r="D128" i="5"/>
  <c r="C128" i="5"/>
  <c r="B128" i="5"/>
  <c r="A128" i="5"/>
  <c r="N127" i="5"/>
  <c r="M127" i="5"/>
  <c r="L127" i="5"/>
  <c r="K127" i="5"/>
  <c r="J127" i="5"/>
  <c r="I127" i="5"/>
  <c r="H127" i="5"/>
  <c r="G127" i="5"/>
  <c r="F127" i="5"/>
  <c r="E127" i="5"/>
  <c r="D127" i="5"/>
  <c r="C127" i="5"/>
  <c r="B127" i="5"/>
  <c r="A127" i="5"/>
  <c r="N126" i="5"/>
  <c r="M126" i="5"/>
  <c r="L126" i="5"/>
  <c r="K126" i="5"/>
  <c r="J126" i="5"/>
  <c r="I126" i="5"/>
  <c r="H126" i="5"/>
  <c r="G126" i="5"/>
  <c r="F126" i="5"/>
  <c r="E126" i="5"/>
  <c r="D126" i="5"/>
  <c r="C126" i="5"/>
  <c r="B126" i="5"/>
  <c r="A126" i="5"/>
  <c r="N125" i="5"/>
  <c r="M125" i="5"/>
  <c r="L125" i="5"/>
  <c r="K125" i="5"/>
  <c r="J125" i="5"/>
  <c r="I125" i="5"/>
  <c r="H125" i="5"/>
  <c r="G125" i="5"/>
  <c r="F125" i="5"/>
  <c r="E125" i="5"/>
  <c r="D125" i="5"/>
  <c r="C125" i="5"/>
  <c r="B125" i="5"/>
  <c r="A125" i="5"/>
  <c r="N124" i="5"/>
  <c r="M124" i="5"/>
  <c r="L124" i="5"/>
  <c r="K124" i="5"/>
  <c r="J124" i="5"/>
  <c r="I124" i="5"/>
  <c r="H124" i="5"/>
  <c r="G124" i="5"/>
  <c r="F124" i="5"/>
  <c r="E124" i="5"/>
  <c r="D124" i="5"/>
  <c r="C124" i="5"/>
  <c r="B124" i="5"/>
  <c r="A124" i="5"/>
  <c r="N123" i="5"/>
  <c r="M123" i="5"/>
  <c r="L123" i="5"/>
  <c r="K123" i="5"/>
  <c r="J123" i="5"/>
  <c r="I123" i="5"/>
  <c r="H123" i="5"/>
  <c r="G123" i="5"/>
  <c r="F123" i="5"/>
  <c r="E123" i="5"/>
  <c r="D123" i="5"/>
  <c r="C123" i="5"/>
  <c r="B123" i="5"/>
  <c r="A123" i="5"/>
  <c r="N122" i="5"/>
  <c r="M122" i="5"/>
  <c r="L122" i="5"/>
  <c r="K122" i="5"/>
  <c r="J122" i="5"/>
  <c r="I122" i="5"/>
  <c r="H122" i="5"/>
  <c r="G122" i="5"/>
  <c r="F122" i="5"/>
  <c r="E122" i="5"/>
  <c r="D122" i="5"/>
  <c r="C122" i="5"/>
  <c r="B122" i="5"/>
  <c r="A122" i="5"/>
  <c r="N121" i="5"/>
  <c r="M121" i="5"/>
  <c r="L121" i="5"/>
  <c r="K121" i="5"/>
  <c r="J121" i="5"/>
  <c r="I121" i="5"/>
  <c r="H121" i="5"/>
  <c r="G121" i="5"/>
  <c r="F121" i="5"/>
  <c r="E121" i="5"/>
  <c r="D121" i="5"/>
  <c r="C121" i="5"/>
  <c r="B121" i="5"/>
  <c r="A121" i="5"/>
  <c r="N120" i="5"/>
  <c r="M120" i="5"/>
  <c r="L120" i="5"/>
  <c r="K120" i="5"/>
  <c r="J120" i="5"/>
  <c r="I120" i="5"/>
  <c r="H120" i="5"/>
  <c r="G120" i="5"/>
  <c r="F120" i="5"/>
  <c r="E120" i="5"/>
  <c r="D120" i="5"/>
  <c r="C120" i="5"/>
  <c r="B120" i="5"/>
  <c r="A120" i="5"/>
  <c r="N119" i="5"/>
  <c r="M119" i="5"/>
  <c r="L119" i="5"/>
  <c r="K119" i="5"/>
  <c r="J119" i="5"/>
  <c r="I119" i="5"/>
  <c r="H119" i="5"/>
  <c r="G119" i="5"/>
  <c r="F119" i="5"/>
  <c r="E119" i="5"/>
  <c r="D119" i="5"/>
  <c r="C119" i="5"/>
  <c r="B119" i="5"/>
  <c r="A119" i="5"/>
  <c r="N118" i="5"/>
  <c r="M118" i="5"/>
  <c r="L118" i="5"/>
  <c r="K118" i="5"/>
  <c r="J118" i="5"/>
  <c r="I118" i="5"/>
  <c r="H118" i="5"/>
  <c r="G118" i="5"/>
  <c r="F118" i="5"/>
  <c r="E118" i="5"/>
  <c r="D118" i="5"/>
  <c r="C118" i="5"/>
  <c r="B118" i="5"/>
  <c r="A118" i="5"/>
  <c r="N117" i="5"/>
  <c r="M117" i="5"/>
  <c r="L117" i="5"/>
  <c r="K117" i="5"/>
  <c r="J117" i="5"/>
  <c r="I117" i="5"/>
  <c r="H117" i="5"/>
  <c r="G117" i="5"/>
  <c r="F117" i="5"/>
  <c r="E117" i="5"/>
  <c r="D117" i="5"/>
  <c r="C117" i="5"/>
  <c r="B117" i="5"/>
  <c r="A117" i="5"/>
  <c r="N116" i="5"/>
  <c r="M116" i="5"/>
  <c r="L116" i="5"/>
  <c r="K116" i="5"/>
  <c r="J116" i="5"/>
  <c r="I116" i="5"/>
  <c r="H116" i="5"/>
  <c r="G116" i="5"/>
  <c r="F116" i="5"/>
  <c r="E116" i="5"/>
  <c r="D116" i="5"/>
  <c r="C116" i="5"/>
  <c r="B116" i="5"/>
  <c r="A116" i="5"/>
  <c r="N115" i="5"/>
  <c r="M115" i="5"/>
  <c r="L115" i="5"/>
  <c r="K115" i="5"/>
  <c r="J115" i="5"/>
  <c r="I115" i="5"/>
  <c r="H115" i="5"/>
  <c r="G115" i="5"/>
  <c r="F115" i="5"/>
  <c r="E115" i="5"/>
  <c r="D115" i="5"/>
  <c r="C115" i="5"/>
  <c r="B115" i="5"/>
  <c r="A115" i="5"/>
  <c r="N114" i="5"/>
  <c r="M114" i="5"/>
  <c r="L114" i="5"/>
  <c r="K114" i="5"/>
  <c r="J114" i="5"/>
  <c r="I114" i="5"/>
  <c r="H114" i="5"/>
  <c r="G114" i="5"/>
  <c r="F114" i="5"/>
  <c r="E114" i="5"/>
  <c r="D114" i="5"/>
  <c r="C114" i="5"/>
  <c r="B114" i="5"/>
  <c r="A114" i="5"/>
  <c r="N113" i="5"/>
  <c r="M113" i="5"/>
  <c r="L113" i="5"/>
  <c r="K113" i="5"/>
  <c r="J113" i="5"/>
  <c r="I113" i="5"/>
  <c r="H113" i="5"/>
  <c r="G113" i="5"/>
  <c r="F113" i="5"/>
  <c r="E113" i="5"/>
  <c r="D113" i="5"/>
  <c r="C113" i="5"/>
  <c r="B113" i="5"/>
  <c r="A113" i="5"/>
  <c r="N112" i="5"/>
  <c r="M112" i="5"/>
  <c r="L112" i="5"/>
  <c r="K112" i="5"/>
  <c r="J112" i="5"/>
  <c r="I112" i="5"/>
  <c r="H112" i="5"/>
  <c r="G112" i="5"/>
  <c r="F112" i="5"/>
  <c r="E112" i="5"/>
  <c r="D112" i="5"/>
  <c r="C112" i="5"/>
  <c r="B112" i="5"/>
  <c r="A112" i="5"/>
  <c r="N111" i="5"/>
  <c r="M111" i="5"/>
  <c r="L111" i="5"/>
  <c r="K111" i="5"/>
  <c r="J111" i="5"/>
  <c r="I111" i="5"/>
  <c r="H111" i="5"/>
  <c r="G111" i="5"/>
  <c r="F111" i="5"/>
  <c r="E111" i="5"/>
  <c r="D111" i="5"/>
  <c r="C111" i="5"/>
  <c r="B111" i="5"/>
  <c r="A111" i="5"/>
  <c r="N110" i="5"/>
  <c r="M110" i="5"/>
  <c r="L110" i="5"/>
  <c r="K110" i="5"/>
  <c r="J110" i="5"/>
  <c r="I110" i="5"/>
  <c r="H110" i="5"/>
  <c r="G110" i="5"/>
  <c r="F110" i="5"/>
  <c r="E110" i="5"/>
  <c r="D110" i="5"/>
  <c r="C110" i="5"/>
  <c r="B110" i="5"/>
  <c r="A110" i="5"/>
  <c r="N109" i="5"/>
  <c r="M109" i="5"/>
  <c r="L109" i="5"/>
  <c r="K109" i="5"/>
  <c r="J109" i="5"/>
  <c r="I109" i="5"/>
  <c r="H109" i="5"/>
  <c r="G109" i="5"/>
  <c r="F109" i="5"/>
  <c r="E109" i="5"/>
  <c r="D109" i="5"/>
  <c r="C109" i="5"/>
  <c r="B109" i="5"/>
  <c r="A109" i="5"/>
  <c r="N108" i="5"/>
  <c r="M108" i="5"/>
  <c r="L108" i="5"/>
  <c r="K108" i="5"/>
  <c r="J108" i="5"/>
  <c r="I108" i="5"/>
  <c r="H108" i="5"/>
  <c r="G108" i="5"/>
  <c r="F108" i="5"/>
  <c r="E108" i="5"/>
  <c r="D108" i="5"/>
  <c r="C108" i="5"/>
  <c r="B108" i="5"/>
  <c r="A108" i="5"/>
  <c r="N107" i="5"/>
  <c r="M107" i="5"/>
  <c r="L107" i="5"/>
  <c r="K107" i="5"/>
  <c r="J107" i="5"/>
  <c r="I107" i="5"/>
  <c r="H107" i="5"/>
  <c r="G107" i="5"/>
  <c r="F107" i="5"/>
  <c r="E107" i="5"/>
  <c r="D107" i="5"/>
  <c r="C107" i="5"/>
  <c r="B107" i="5"/>
  <c r="A107" i="5"/>
  <c r="N106" i="5"/>
  <c r="M106" i="5"/>
  <c r="L106" i="5"/>
  <c r="K106" i="5"/>
  <c r="J106" i="5"/>
  <c r="I106" i="5"/>
  <c r="H106" i="5"/>
  <c r="G106" i="5"/>
  <c r="F106" i="5"/>
  <c r="E106" i="5"/>
  <c r="D106" i="5"/>
  <c r="C106" i="5"/>
  <c r="B106" i="5"/>
  <c r="A106" i="5"/>
  <c r="N105" i="5"/>
  <c r="M105" i="5"/>
  <c r="L105" i="5"/>
  <c r="K105" i="5"/>
  <c r="J105" i="5"/>
  <c r="I105" i="5"/>
  <c r="H105" i="5"/>
  <c r="G105" i="5"/>
  <c r="F105" i="5"/>
  <c r="E105" i="5"/>
  <c r="D105" i="5"/>
  <c r="C105" i="5"/>
  <c r="B105" i="5"/>
  <c r="A105" i="5"/>
  <c r="N104" i="5"/>
  <c r="M104" i="5"/>
  <c r="L104" i="5"/>
  <c r="K104" i="5"/>
  <c r="J104" i="5"/>
  <c r="I104" i="5"/>
  <c r="H104" i="5"/>
  <c r="G104" i="5"/>
  <c r="F104" i="5"/>
  <c r="E104" i="5"/>
  <c r="D104" i="5"/>
  <c r="C104" i="5"/>
  <c r="B104" i="5"/>
  <c r="A104" i="5"/>
  <c r="N103" i="5"/>
  <c r="M103" i="5"/>
  <c r="L103" i="5"/>
  <c r="K103" i="5"/>
  <c r="J103" i="5"/>
  <c r="I103" i="5"/>
  <c r="H103" i="5"/>
  <c r="G103" i="5"/>
  <c r="F103" i="5"/>
  <c r="E103" i="5"/>
  <c r="D103" i="5"/>
  <c r="C103" i="5"/>
  <c r="B103" i="5"/>
  <c r="A103" i="5"/>
  <c r="N102" i="5"/>
  <c r="M102" i="5"/>
  <c r="L102" i="5"/>
  <c r="K102" i="5"/>
  <c r="J102" i="5"/>
  <c r="I102" i="5"/>
  <c r="H102" i="5"/>
  <c r="G102" i="5"/>
  <c r="F102" i="5"/>
  <c r="E102" i="5"/>
  <c r="D102" i="5"/>
  <c r="C102" i="5"/>
  <c r="B102" i="5"/>
  <c r="A102" i="5"/>
  <c r="N101" i="5"/>
  <c r="M101" i="5"/>
  <c r="L101" i="5"/>
  <c r="K101" i="5"/>
  <c r="J101" i="5"/>
  <c r="I101" i="5"/>
  <c r="H101" i="5"/>
  <c r="G101" i="5"/>
  <c r="F101" i="5"/>
  <c r="E101" i="5"/>
  <c r="D101" i="5"/>
  <c r="C101" i="5"/>
  <c r="B101" i="5"/>
  <c r="A101" i="5"/>
  <c r="N100" i="5"/>
  <c r="M100" i="5"/>
  <c r="L100" i="5"/>
  <c r="K100" i="5"/>
  <c r="J100" i="5"/>
  <c r="I100" i="5"/>
  <c r="H100" i="5"/>
  <c r="G100" i="5"/>
  <c r="F100" i="5"/>
  <c r="E100" i="5"/>
  <c r="D100" i="5"/>
  <c r="C100" i="5"/>
  <c r="B100" i="5"/>
  <c r="A100" i="5"/>
  <c r="N99" i="5"/>
  <c r="M99" i="5"/>
  <c r="L99" i="5"/>
  <c r="K99" i="5"/>
  <c r="J99" i="5"/>
  <c r="I99" i="5"/>
  <c r="H99" i="5"/>
  <c r="G99" i="5"/>
  <c r="F99" i="5"/>
  <c r="E99" i="5"/>
  <c r="D99" i="5"/>
  <c r="C99" i="5"/>
  <c r="B99" i="5"/>
  <c r="A99" i="5"/>
  <c r="N98" i="5"/>
  <c r="M98" i="5"/>
  <c r="L98" i="5"/>
  <c r="K98" i="5"/>
  <c r="J98" i="5"/>
  <c r="I98" i="5"/>
  <c r="H98" i="5"/>
  <c r="G98" i="5"/>
  <c r="F98" i="5"/>
  <c r="E98" i="5"/>
  <c r="D98" i="5"/>
  <c r="C98" i="5"/>
  <c r="B98" i="5"/>
  <c r="A98" i="5"/>
  <c r="N97" i="5"/>
  <c r="M97" i="5"/>
  <c r="L97" i="5"/>
  <c r="K97" i="5"/>
  <c r="J97" i="5"/>
  <c r="I97" i="5"/>
  <c r="H97" i="5"/>
  <c r="G97" i="5"/>
  <c r="F97" i="5"/>
  <c r="E97" i="5"/>
  <c r="D97" i="5"/>
  <c r="C97" i="5"/>
  <c r="B97" i="5"/>
  <c r="A97" i="5"/>
  <c r="N96" i="5"/>
  <c r="M96" i="5"/>
  <c r="L96" i="5"/>
  <c r="K96" i="5"/>
  <c r="J96" i="5"/>
  <c r="I96" i="5"/>
  <c r="H96" i="5"/>
  <c r="G96" i="5"/>
  <c r="F96" i="5"/>
  <c r="E96" i="5"/>
  <c r="D96" i="5"/>
  <c r="C96" i="5"/>
  <c r="B96" i="5"/>
  <c r="A96" i="5"/>
  <c r="N95" i="5"/>
  <c r="M95" i="5"/>
  <c r="L95" i="5"/>
  <c r="K95" i="5"/>
  <c r="J95" i="5"/>
  <c r="I95" i="5"/>
  <c r="H95" i="5"/>
  <c r="G95" i="5"/>
  <c r="F95" i="5"/>
  <c r="E95" i="5"/>
  <c r="D95" i="5"/>
  <c r="C95" i="5"/>
  <c r="B95" i="5"/>
  <c r="A95" i="5"/>
  <c r="N94" i="5"/>
  <c r="M94" i="5"/>
  <c r="L94" i="5"/>
  <c r="K94" i="5"/>
  <c r="J94" i="5"/>
  <c r="I94" i="5"/>
  <c r="H94" i="5"/>
  <c r="G94" i="5"/>
  <c r="F94" i="5"/>
  <c r="E94" i="5"/>
  <c r="D94" i="5"/>
  <c r="C94" i="5"/>
  <c r="B94" i="5"/>
  <c r="A94" i="5"/>
  <c r="N93" i="5"/>
  <c r="M93" i="5"/>
  <c r="L93" i="5"/>
  <c r="K93" i="5"/>
  <c r="J93" i="5"/>
  <c r="I93" i="5"/>
  <c r="H93" i="5"/>
  <c r="G93" i="5"/>
  <c r="F93" i="5"/>
  <c r="E93" i="5"/>
  <c r="D93" i="5"/>
  <c r="C93" i="5"/>
  <c r="B93" i="5"/>
  <c r="A93" i="5"/>
  <c r="N92" i="5"/>
  <c r="M92" i="5"/>
  <c r="L92" i="5"/>
  <c r="K92" i="5"/>
  <c r="J92" i="5"/>
  <c r="I92" i="5"/>
  <c r="H92" i="5"/>
  <c r="G92" i="5"/>
  <c r="F92" i="5"/>
  <c r="E92" i="5"/>
  <c r="D92" i="5"/>
  <c r="C92" i="5"/>
  <c r="B92" i="5"/>
  <c r="A92" i="5"/>
  <c r="N91" i="5"/>
  <c r="M91" i="5"/>
  <c r="L91" i="5"/>
  <c r="K91" i="5"/>
  <c r="J91" i="5"/>
  <c r="I91" i="5"/>
  <c r="H91" i="5"/>
  <c r="G91" i="5"/>
  <c r="F91" i="5"/>
  <c r="E91" i="5"/>
  <c r="D91" i="5"/>
  <c r="C91" i="5"/>
  <c r="B91" i="5"/>
  <c r="A91" i="5"/>
  <c r="N90" i="5"/>
  <c r="M90" i="5"/>
  <c r="L90" i="5"/>
  <c r="K90" i="5"/>
  <c r="J90" i="5"/>
  <c r="I90" i="5"/>
  <c r="H90" i="5"/>
  <c r="G90" i="5"/>
  <c r="F90" i="5"/>
  <c r="E90" i="5"/>
  <c r="D90" i="5"/>
  <c r="C90" i="5"/>
  <c r="B90" i="5"/>
  <c r="A90" i="5"/>
  <c r="N89" i="5"/>
  <c r="M89" i="5"/>
  <c r="L89" i="5"/>
  <c r="K89" i="5"/>
  <c r="J89" i="5"/>
  <c r="I89" i="5"/>
  <c r="H89" i="5"/>
  <c r="G89" i="5"/>
  <c r="F89" i="5"/>
  <c r="E89" i="5"/>
  <c r="D89" i="5"/>
  <c r="C89" i="5"/>
  <c r="B89" i="5"/>
  <c r="A89" i="5"/>
  <c r="N88" i="5"/>
  <c r="M88" i="5"/>
  <c r="L88" i="5"/>
  <c r="K88" i="5"/>
  <c r="J88" i="5"/>
  <c r="I88" i="5"/>
  <c r="H88" i="5"/>
  <c r="G88" i="5"/>
  <c r="F88" i="5"/>
  <c r="E88" i="5"/>
  <c r="D88" i="5"/>
  <c r="C88" i="5"/>
  <c r="B88" i="5"/>
  <c r="A88" i="5"/>
  <c r="N87" i="5"/>
  <c r="M87" i="5"/>
  <c r="L87" i="5"/>
  <c r="K87" i="5"/>
  <c r="J87" i="5"/>
  <c r="I87" i="5"/>
  <c r="H87" i="5"/>
  <c r="G87" i="5"/>
  <c r="F87" i="5"/>
  <c r="E87" i="5"/>
  <c r="D87" i="5"/>
  <c r="C87" i="5"/>
  <c r="B87" i="5"/>
  <c r="A87" i="5"/>
  <c r="N86" i="5"/>
  <c r="M86" i="5"/>
  <c r="L86" i="5"/>
  <c r="K86" i="5"/>
  <c r="J86" i="5"/>
  <c r="I86" i="5"/>
  <c r="H86" i="5"/>
  <c r="G86" i="5"/>
  <c r="F86" i="5"/>
  <c r="E86" i="5"/>
  <c r="D86" i="5"/>
  <c r="C86" i="5"/>
  <c r="B86" i="5"/>
  <c r="A86" i="5"/>
  <c r="N85" i="5"/>
  <c r="M85" i="5"/>
  <c r="L85" i="5"/>
  <c r="K85" i="5"/>
  <c r="J85" i="5"/>
  <c r="I85" i="5"/>
  <c r="H85" i="5"/>
  <c r="G85" i="5"/>
  <c r="F85" i="5"/>
  <c r="E85" i="5"/>
  <c r="D85" i="5"/>
  <c r="C85" i="5"/>
  <c r="B85" i="5"/>
  <c r="A85" i="5"/>
  <c r="N84" i="5"/>
  <c r="M84" i="5"/>
  <c r="L84" i="5"/>
  <c r="K84" i="5"/>
  <c r="J84" i="5"/>
  <c r="I84" i="5"/>
  <c r="H84" i="5"/>
  <c r="G84" i="5"/>
  <c r="F84" i="5"/>
  <c r="E84" i="5"/>
  <c r="D84" i="5"/>
  <c r="C84" i="5"/>
  <c r="B84" i="5"/>
  <c r="A84" i="5"/>
  <c r="N83" i="5"/>
  <c r="M83" i="5"/>
  <c r="L83" i="5"/>
  <c r="K83" i="5"/>
  <c r="J83" i="5"/>
  <c r="I83" i="5"/>
  <c r="H83" i="5"/>
  <c r="G83" i="5"/>
  <c r="F83" i="5"/>
  <c r="E83" i="5"/>
  <c r="D83" i="5"/>
  <c r="C83" i="5"/>
  <c r="B83" i="5"/>
  <c r="A83" i="5"/>
  <c r="N82" i="5"/>
  <c r="M82" i="5"/>
  <c r="L82" i="5"/>
  <c r="K82" i="5"/>
  <c r="J82" i="5"/>
  <c r="I82" i="5"/>
  <c r="H82" i="5"/>
  <c r="G82" i="5"/>
  <c r="F82" i="5"/>
  <c r="E82" i="5"/>
  <c r="D82" i="5"/>
  <c r="C82" i="5"/>
  <c r="B82" i="5"/>
  <c r="A82" i="5"/>
  <c r="N81" i="5"/>
  <c r="M81" i="5"/>
  <c r="L81" i="5"/>
  <c r="K81" i="5"/>
  <c r="J81" i="5"/>
  <c r="I81" i="5"/>
  <c r="H81" i="5"/>
  <c r="G81" i="5"/>
  <c r="F81" i="5"/>
  <c r="E81" i="5"/>
  <c r="D81" i="5"/>
  <c r="C81" i="5"/>
  <c r="B81" i="5"/>
  <c r="A81" i="5"/>
  <c r="N80" i="5"/>
  <c r="M80" i="5"/>
  <c r="L80" i="5"/>
  <c r="K80" i="5"/>
  <c r="J80" i="5"/>
  <c r="I80" i="5"/>
  <c r="H80" i="5"/>
  <c r="G80" i="5"/>
  <c r="F80" i="5"/>
  <c r="E80" i="5"/>
  <c r="D80" i="5"/>
  <c r="C80" i="5"/>
  <c r="B80" i="5"/>
  <c r="A80" i="5"/>
  <c r="N79" i="5"/>
  <c r="M79" i="5"/>
  <c r="L79" i="5"/>
  <c r="K79" i="5"/>
  <c r="J79" i="5"/>
  <c r="I79" i="5"/>
  <c r="H79" i="5"/>
  <c r="G79" i="5"/>
  <c r="F79" i="5"/>
  <c r="E79" i="5"/>
  <c r="D79" i="5"/>
  <c r="C79" i="5"/>
  <c r="B79" i="5"/>
  <c r="A79" i="5"/>
  <c r="N78" i="5"/>
  <c r="M78" i="5"/>
  <c r="L78" i="5"/>
  <c r="K78" i="5"/>
  <c r="J78" i="5"/>
  <c r="I78" i="5"/>
  <c r="H78" i="5"/>
  <c r="G78" i="5"/>
  <c r="F78" i="5"/>
  <c r="E78" i="5"/>
  <c r="D78" i="5"/>
  <c r="C78" i="5"/>
  <c r="B78" i="5"/>
  <c r="A78" i="5"/>
  <c r="N77" i="5"/>
  <c r="M77" i="5"/>
  <c r="L77" i="5"/>
  <c r="K77" i="5"/>
  <c r="J77" i="5"/>
  <c r="I77" i="5"/>
  <c r="H77" i="5"/>
  <c r="G77" i="5"/>
  <c r="F77" i="5"/>
  <c r="E77" i="5"/>
  <c r="D77" i="5"/>
  <c r="C77" i="5"/>
  <c r="B77" i="5"/>
  <c r="A77" i="5"/>
  <c r="N76" i="5"/>
  <c r="M76" i="5"/>
  <c r="L76" i="5"/>
  <c r="K76" i="5"/>
  <c r="J76" i="5"/>
  <c r="I76" i="5"/>
  <c r="H76" i="5"/>
  <c r="G76" i="5"/>
  <c r="F76" i="5"/>
  <c r="E76" i="5"/>
  <c r="D76" i="5"/>
  <c r="C76" i="5"/>
  <c r="B76" i="5"/>
  <c r="A76" i="5"/>
  <c r="N75" i="5"/>
  <c r="M75" i="5"/>
  <c r="L75" i="5"/>
  <c r="K75" i="5"/>
  <c r="J75" i="5"/>
  <c r="I75" i="5"/>
  <c r="H75" i="5"/>
  <c r="G75" i="5"/>
  <c r="F75" i="5"/>
  <c r="E75" i="5"/>
  <c r="D75" i="5"/>
  <c r="C75" i="5"/>
  <c r="B75" i="5"/>
  <c r="A75" i="5"/>
  <c r="N74" i="5"/>
  <c r="M74" i="5"/>
  <c r="L74" i="5"/>
  <c r="K74" i="5"/>
  <c r="J74" i="5"/>
  <c r="I74" i="5"/>
  <c r="H74" i="5"/>
  <c r="G74" i="5"/>
  <c r="F74" i="5"/>
  <c r="E74" i="5"/>
  <c r="D74" i="5"/>
  <c r="C74" i="5"/>
  <c r="B74" i="5"/>
  <c r="A74" i="5"/>
  <c r="N73" i="5"/>
  <c r="M73" i="5"/>
  <c r="L73" i="5"/>
  <c r="K73" i="5"/>
  <c r="J73" i="5"/>
  <c r="I73" i="5"/>
  <c r="H73" i="5"/>
  <c r="G73" i="5"/>
  <c r="F73" i="5"/>
  <c r="E73" i="5"/>
  <c r="D73" i="5"/>
  <c r="C73" i="5"/>
  <c r="B73" i="5"/>
  <c r="A73" i="5"/>
  <c r="N72" i="5"/>
  <c r="M72" i="5"/>
  <c r="L72" i="5"/>
  <c r="K72" i="5"/>
  <c r="J72" i="5"/>
  <c r="I72" i="5"/>
  <c r="H72" i="5"/>
  <c r="G72" i="5"/>
  <c r="F72" i="5"/>
  <c r="E72" i="5"/>
  <c r="D72" i="5"/>
  <c r="C72" i="5"/>
  <c r="B72" i="5"/>
  <c r="A72" i="5"/>
  <c r="N71" i="5"/>
  <c r="M71" i="5"/>
  <c r="L71" i="5"/>
  <c r="K71" i="5"/>
  <c r="J71" i="5"/>
  <c r="I71" i="5"/>
  <c r="H71" i="5"/>
  <c r="G71" i="5"/>
  <c r="F71" i="5"/>
  <c r="E71" i="5"/>
  <c r="D71" i="5"/>
  <c r="C71" i="5"/>
  <c r="B71" i="5"/>
  <c r="A71" i="5"/>
  <c r="N70" i="5"/>
  <c r="M70" i="5"/>
  <c r="L70" i="5"/>
  <c r="K70" i="5"/>
  <c r="J70" i="5"/>
  <c r="I70" i="5"/>
  <c r="H70" i="5"/>
  <c r="G70" i="5"/>
  <c r="F70" i="5"/>
  <c r="E70" i="5"/>
  <c r="D70" i="5"/>
  <c r="C70" i="5"/>
  <c r="B70" i="5"/>
  <c r="A70" i="5"/>
  <c r="N69" i="5"/>
  <c r="M69" i="5"/>
  <c r="L69" i="5"/>
  <c r="K69" i="5"/>
  <c r="J69" i="5"/>
  <c r="I69" i="5"/>
  <c r="H69" i="5"/>
  <c r="G69" i="5"/>
  <c r="F69" i="5"/>
  <c r="E69" i="5"/>
  <c r="D69" i="5"/>
  <c r="C69" i="5"/>
  <c r="B69" i="5"/>
  <c r="A69" i="5"/>
  <c r="N68" i="5"/>
  <c r="M68" i="5"/>
  <c r="L68" i="5"/>
  <c r="K68" i="5"/>
  <c r="J68" i="5"/>
  <c r="I68" i="5"/>
  <c r="H68" i="5"/>
  <c r="G68" i="5"/>
  <c r="F68" i="5"/>
  <c r="E68" i="5"/>
  <c r="D68" i="5"/>
  <c r="C68" i="5"/>
  <c r="B68" i="5"/>
  <c r="A68" i="5"/>
  <c r="N67" i="5"/>
  <c r="M67" i="5"/>
  <c r="L67" i="5"/>
  <c r="K67" i="5"/>
  <c r="J67" i="5"/>
  <c r="I67" i="5"/>
  <c r="H67" i="5"/>
  <c r="G67" i="5"/>
  <c r="F67" i="5"/>
  <c r="E67" i="5"/>
  <c r="D67" i="5"/>
  <c r="C67" i="5"/>
  <c r="B67" i="5"/>
  <c r="A67" i="5"/>
  <c r="N66" i="5"/>
  <c r="M66" i="5"/>
  <c r="L66" i="5"/>
  <c r="K66" i="5"/>
  <c r="J66" i="5"/>
  <c r="I66" i="5"/>
  <c r="H66" i="5"/>
  <c r="G66" i="5"/>
  <c r="F66" i="5"/>
  <c r="E66" i="5"/>
  <c r="D66" i="5"/>
  <c r="C66" i="5"/>
  <c r="B66" i="5"/>
  <c r="A66" i="5"/>
  <c r="N65" i="5"/>
  <c r="M65" i="5"/>
  <c r="L65" i="5"/>
  <c r="K65" i="5"/>
  <c r="J65" i="5"/>
  <c r="I65" i="5"/>
  <c r="H65" i="5"/>
  <c r="G65" i="5"/>
  <c r="F65" i="5"/>
  <c r="E65" i="5"/>
  <c r="D65" i="5"/>
  <c r="C65" i="5"/>
  <c r="B65" i="5"/>
  <c r="A65" i="5"/>
  <c r="N64" i="5"/>
  <c r="M64" i="5"/>
  <c r="L64" i="5"/>
  <c r="K64" i="5"/>
  <c r="J64" i="5"/>
  <c r="I64" i="5"/>
  <c r="H64" i="5"/>
  <c r="G64" i="5"/>
  <c r="F64" i="5"/>
  <c r="E64" i="5"/>
  <c r="D64" i="5"/>
  <c r="C64" i="5"/>
  <c r="B64" i="5"/>
  <c r="A64" i="5"/>
  <c r="N63" i="5"/>
  <c r="M63" i="5"/>
  <c r="L63" i="5"/>
  <c r="K63" i="5"/>
  <c r="J63" i="5"/>
  <c r="I63" i="5"/>
  <c r="H63" i="5"/>
  <c r="G63" i="5"/>
  <c r="F63" i="5"/>
  <c r="E63" i="5"/>
  <c r="D63" i="5"/>
  <c r="C63" i="5"/>
  <c r="B63" i="5"/>
  <c r="A63" i="5"/>
  <c r="N62" i="5"/>
  <c r="M62" i="5"/>
  <c r="L62" i="5"/>
  <c r="K62" i="5"/>
  <c r="J62" i="5"/>
  <c r="I62" i="5"/>
  <c r="H62" i="5"/>
  <c r="G62" i="5"/>
  <c r="F62" i="5"/>
  <c r="E62" i="5"/>
  <c r="D62" i="5"/>
  <c r="C62" i="5"/>
  <c r="B62" i="5"/>
  <c r="A62" i="5"/>
  <c r="N61" i="5"/>
  <c r="M61" i="5"/>
  <c r="L61" i="5"/>
  <c r="K61" i="5"/>
  <c r="J61" i="5"/>
  <c r="I61" i="5"/>
  <c r="H61" i="5"/>
  <c r="G61" i="5"/>
  <c r="F61" i="5"/>
  <c r="E61" i="5"/>
  <c r="D61" i="5"/>
  <c r="C61" i="5"/>
  <c r="B61" i="5"/>
  <c r="A61" i="5"/>
  <c r="N60" i="5"/>
  <c r="M60" i="5"/>
  <c r="L60" i="5"/>
  <c r="K60" i="5"/>
  <c r="J60" i="5"/>
  <c r="I60" i="5"/>
  <c r="H60" i="5"/>
  <c r="G60" i="5"/>
  <c r="F60" i="5"/>
  <c r="E60" i="5"/>
  <c r="D60" i="5"/>
  <c r="C60" i="5"/>
  <c r="B60" i="5"/>
  <c r="A60" i="5"/>
  <c r="N59" i="5"/>
  <c r="M59" i="5"/>
  <c r="L59" i="5"/>
  <c r="K59" i="5"/>
  <c r="J59" i="5"/>
  <c r="I59" i="5"/>
  <c r="H59" i="5"/>
  <c r="G59" i="5"/>
  <c r="F59" i="5"/>
  <c r="E59" i="5"/>
  <c r="D59" i="5"/>
  <c r="C59" i="5"/>
  <c r="B59" i="5"/>
  <c r="A59" i="5"/>
  <c r="N58" i="5"/>
  <c r="M58" i="5"/>
  <c r="L58" i="5"/>
  <c r="K58" i="5"/>
  <c r="J58" i="5"/>
  <c r="I58" i="5"/>
  <c r="H58" i="5"/>
  <c r="G58" i="5"/>
  <c r="F58" i="5"/>
  <c r="E58" i="5"/>
  <c r="D58" i="5"/>
  <c r="C58" i="5"/>
  <c r="B58" i="5"/>
  <c r="A58" i="5"/>
  <c r="N57" i="5"/>
  <c r="M57" i="5"/>
  <c r="L57" i="5"/>
  <c r="K57" i="5"/>
  <c r="J57" i="5"/>
  <c r="I57" i="5"/>
  <c r="H57" i="5"/>
  <c r="G57" i="5"/>
  <c r="F57" i="5"/>
  <c r="E57" i="5"/>
  <c r="D57" i="5"/>
  <c r="C57" i="5"/>
  <c r="B57" i="5"/>
  <c r="A57" i="5"/>
  <c r="N56" i="5"/>
  <c r="M56" i="5"/>
  <c r="L56" i="5"/>
  <c r="K56" i="5"/>
  <c r="J56" i="5"/>
  <c r="I56" i="5"/>
  <c r="H56" i="5"/>
  <c r="G56" i="5"/>
  <c r="F56" i="5"/>
  <c r="E56" i="5"/>
  <c r="D56" i="5"/>
  <c r="C56" i="5"/>
  <c r="B56" i="5"/>
  <c r="A56" i="5"/>
  <c r="N55" i="5"/>
  <c r="M55" i="5"/>
  <c r="L55" i="5"/>
  <c r="K55" i="5"/>
  <c r="J55" i="5"/>
  <c r="I55" i="5"/>
  <c r="H55" i="5"/>
  <c r="G55" i="5"/>
  <c r="F55" i="5"/>
  <c r="E55" i="5"/>
  <c r="D55" i="5"/>
  <c r="C55" i="5"/>
  <c r="B55" i="5"/>
  <c r="A55" i="5"/>
  <c r="N54" i="5"/>
  <c r="M54" i="5"/>
  <c r="L54" i="5"/>
  <c r="K54" i="5"/>
  <c r="J54" i="5"/>
  <c r="I54" i="5"/>
  <c r="H54" i="5"/>
  <c r="G54" i="5"/>
  <c r="F54" i="5"/>
  <c r="E54" i="5"/>
  <c r="D54" i="5"/>
  <c r="C54" i="5"/>
  <c r="B54" i="5"/>
  <c r="A54" i="5"/>
  <c r="N53" i="5"/>
  <c r="M53" i="5"/>
  <c r="L53" i="5"/>
  <c r="K53" i="5"/>
  <c r="J53" i="5"/>
  <c r="I53" i="5"/>
  <c r="H53" i="5"/>
  <c r="G53" i="5"/>
  <c r="F53" i="5"/>
  <c r="E53" i="5"/>
  <c r="D53" i="5"/>
  <c r="C53" i="5"/>
  <c r="B53" i="5"/>
  <c r="A53" i="5"/>
  <c r="N52" i="5"/>
  <c r="M52" i="5"/>
  <c r="L52" i="5"/>
  <c r="K52" i="5"/>
  <c r="J52" i="5"/>
  <c r="I52" i="5"/>
  <c r="H52" i="5"/>
  <c r="G52" i="5"/>
  <c r="F52" i="5"/>
  <c r="E52" i="5"/>
  <c r="D52" i="5"/>
  <c r="C52" i="5"/>
  <c r="B52" i="5"/>
  <c r="A52" i="5"/>
  <c r="N51" i="5"/>
  <c r="M51" i="5"/>
  <c r="L51" i="5"/>
  <c r="K51" i="5"/>
  <c r="J51" i="5"/>
  <c r="I51" i="5"/>
  <c r="H51" i="5"/>
  <c r="G51" i="5"/>
  <c r="F51" i="5"/>
  <c r="E51" i="5"/>
  <c r="D51" i="5"/>
  <c r="C51" i="5"/>
  <c r="B51" i="5"/>
  <c r="A51" i="5"/>
  <c r="N50" i="5"/>
  <c r="M50" i="5"/>
  <c r="L50" i="5"/>
  <c r="K50" i="5"/>
  <c r="J50" i="5"/>
  <c r="I50" i="5"/>
  <c r="H50" i="5"/>
  <c r="G50" i="5"/>
  <c r="F50" i="5"/>
  <c r="E50" i="5"/>
  <c r="D50" i="5"/>
  <c r="C50" i="5"/>
  <c r="B50" i="5"/>
  <c r="A50" i="5"/>
  <c r="N49" i="5"/>
  <c r="M49" i="5"/>
  <c r="L49" i="5"/>
  <c r="K49" i="5"/>
  <c r="J49" i="5"/>
  <c r="I49" i="5"/>
  <c r="H49" i="5"/>
  <c r="G49" i="5"/>
  <c r="F49" i="5"/>
  <c r="E49" i="5"/>
  <c r="D49" i="5"/>
  <c r="C49" i="5"/>
  <c r="B49" i="5"/>
  <c r="A49" i="5"/>
  <c r="N48" i="5"/>
  <c r="M48" i="5"/>
  <c r="L48" i="5"/>
  <c r="K48" i="5"/>
  <c r="J48" i="5"/>
  <c r="I48" i="5"/>
  <c r="H48" i="5"/>
  <c r="G48" i="5"/>
  <c r="F48" i="5"/>
  <c r="E48" i="5"/>
  <c r="D48" i="5"/>
  <c r="C48" i="5"/>
  <c r="B48" i="5"/>
  <c r="A48" i="5"/>
  <c r="N47" i="5"/>
  <c r="M47" i="5"/>
  <c r="L47" i="5"/>
  <c r="K47" i="5"/>
  <c r="J47" i="5"/>
  <c r="I47" i="5"/>
  <c r="H47" i="5"/>
  <c r="G47" i="5"/>
  <c r="F47" i="5"/>
  <c r="E47" i="5"/>
  <c r="D47" i="5"/>
  <c r="C47" i="5"/>
  <c r="B47" i="5"/>
  <c r="A47" i="5"/>
  <c r="N46" i="5"/>
  <c r="M46" i="5"/>
  <c r="L46" i="5"/>
  <c r="K46" i="5"/>
  <c r="J46" i="5"/>
  <c r="I46" i="5"/>
  <c r="H46" i="5"/>
  <c r="G46" i="5"/>
  <c r="F46" i="5"/>
  <c r="E46" i="5"/>
  <c r="D46" i="5"/>
  <c r="C46" i="5"/>
  <c r="B46" i="5"/>
  <c r="A46" i="5"/>
  <c r="N45" i="5"/>
  <c r="M45" i="5"/>
  <c r="L45" i="5"/>
  <c r="K45" i="5"/>
  <c r="J45" i="5"/>
  <c r="I45" i="5"/>
  <c r="H45" i="5"/>
  <c r="G45" i="5"/>
  <c r="F45" i="5"/>
  <c r="E45" i="5"/>
  <c r="D45" i="5"/>
  <c r="C45" i="5"/>
  <c r="B45" i="5"/>
  <c r="A45" i="5"/>
  <c r="N44" i="5"/>
  <c r="M44" i="5"/>
  <c r="L44" i="5"/>
  <c r="K44" i="5"/>
  <c r="J44" i="5"/>
  <c r="I44" i="5"/>
  <c r="H44" i="5"/>
  <c r="G44" i="5"/>
  <c r="F44" i="5"/>
  <c r="E44" i="5"/>
  <c r="D44" i="5"/>
  <c r="C44" i="5"/>
  <c r="B44" i="5"/>
  <c r="A44" i="5"/>
  <c r="N43" i="5"/>
  <c r="M43" i="5"/>
  <c r="L43" i="5"/>
  <c r="K43" i="5"/>
  <c r="J43" i="5"/>
  <c r="I43" i="5"/>
  <c r="H43" i="5"/>
  <c r="G43" i="5"/>
  <c r="F43" i="5"/>
  <c r="E43" i="5"/>
  <c r="D43" i="5"/>
  <c r="C43" i="5"/>
  <c r="B43" i="5"/>
  <c r="A43" i="5"/>
  <c r="N42" i="5"/>
  <c r="M42" i="5"/>
  <c r="L42" i="5"/>
  <c r="K42" i="5"/>
  <c r="J42" i="5"/>
  <c r="I42" i="5"/>
  <c r="H42" i="5"/>
  <c r="G42" i="5"/>
  <c r="F42" i="5"/>
  <c r="E42" i="5"/>
  <c r="D42" i="5"/>
  <c r="C42" i="5"/>
  <c r="B42" i="5"/>
  <c r="A42" i="5"/>
  <c r="N41" i="5"/>
  <c r="M41" i="5"/>
  <c r="L41" i="5"/>
  <c r="K41" i="5"/>
  <c r="J41" i="5"/>
  <c r="I41" i="5"/>
  <c r="H41" i="5"/>
  <c r="G41" i="5"/>
  <c r="F41" i="5"/>
  <c r="E41" i="5"/>
  <c r="D41" i="5"/>
  <c r="C41" i="5"/>
  <c r="B41" i="5"/>
  <c r="A41" i="5"/>
  <c r="N40" i="5"/>
  <c r="M40" i="5"/>
  <c r="L40" i="5"/>
  <c r="K40" i="5"/>
  <c r="J40" i="5"/>
  <c r="I40" i="5"/>
  <c r="H40" i="5"/>
  <c r="G40" i="5"/>
  <c r="F40" i="5"/>
  <c r="E40" i="5"/>
  <c r="D40" i="5"/>
  <c r="C40" i="5"/>
  <c r="B40" i="5"/>
  <c r="A40" i="5"/>
  <c r="N39" i="5"/>
  <c r="M39" i="5"/>
  <c r="L39" i="5"/>
  <c r="K39" i="5"/>
  <c r="J39" i="5"/>
  <c r="I39" i="5"/>
  <c r="H39" i="5"/>
  <c r="G39" i="5"/>
  <c r="F39" i="5"/>
  <c r="E39" i="5"/>
  <c r="D39" i="5"/>
  <c r="C39" i="5"/>
  <c r="B39" i="5"/>
  <c r="A39" i="5"/>
  <c r="N38" i="5"/>
  <c r="M38" i="5"/>
  <c r="L38" i="5"/>
  <c r="K38" i="5"/>
  <c r="J38" i="5"/>
  <c r="I38" i="5"/>
  <c r="H38" i="5"/>
  <c r="G38" i="5"/>
  <c r="F38" i="5"/>
  <c r="E38" i="5"/>
  <c r="D38" i="5"/>
  <c r="C38" i="5"/>
  <c r="B38" i="5"/>
  <c r="A38" i="5"/>
  <c r="N37" i="5"/>
  <c r="M37" i="5"/>
  <c r="L37" i="5"/>
  <c r="K37" i="5"/>
  <c r="J37" i="5"/>
  <c r="I37" i="5"/>
  <c r="H37" i="5"/>
  <c r="G37" i="5"/>
  <c r="F37" i="5"/>
  <c r="E37" i="5"/>
  <c r="D37" i="5"/>
  <c r="C37" i="5"/>
  <c r="B37" i="5"/>
  <c r="A37" i="5"/>
  <c r="N36" i="5"/>
  <c r="M36" i="5"/>
  <c r="L36" i="5"/>
  <c r="K36" i="5"/>
  <c r="J36" i="5"/>
  <c r="I36" i="5"/>
  <c r="H36" i="5"/>
  <c r="G36" i="5"/>
  <c r="F36" i="5"/>
  <c r="E36" i="5"/>
  <c r="D36" i="5"/>
  <c r="C36" i="5"/>
  <c r="B36" i="5"/>
  <c r="A36" i="5"/>
  <c r="N35" i="5"/>
  <c r="M35" i="5"/>
  <c r="L35" i="5"/>
  <c r="K35" i="5"/>
  <c r="J35" i="5"/>
  <c r="I35" i="5"/>
  <c r="H35" i="5"/>
  <c r="G35" i="5"/>
  <c r="F35" i="5"/>
  <c r="E35" i="5"/>
  <c r="D35" i="5"/>
  <c r="C35" i="5"/>
  <c r="B35" i="5"/>
  <c r="A35" i="5"/>
  <c r="N34" i="5"/>
  <c r="M34" i="5"/>
  <c r="L34" i="5"/>
  <c r="K34" i="5"/>
  <c r="J34" i="5"/>
  <c r="I34" i="5"/>
  <c r="H34" i="5"/>
  <c r="G34" i="5"/>
  <c r="F34" i="5"/>
  <c r="E34" i="5"/>
  <c r="D34" i="5"/>
  <c r="C34" i="5"/>
  <c r="B34" i="5"/>
  <c r="A34" i="5"/>
  <c r="N33" i="5"/>
  <c r="M33" i="5"/>
  <c r="L33" i="5"/>
  <c r="K33" i="5"/>
  <c r="J33" i="5"/>
  <c r="I33" i="5"/>
  <c r="H33" i="5"/>
  <c r="G33" i="5"/>
  <c r="F33" i="5"/>
  <c r="E33" i="5"/>
  <c r="D33" i="5"/>
  <c r="C33" i="5"/>
  <c r="B33" i="5"/>
  <c r="A33" i="5"/>
  <c r="N32" i="5"/>
  <c r="M32" i="5"/>
  <c r="L32" i="5"/>
  <c r="K32" i="5"/>
  <c r="J32" i="5"/>
  <c r="I32" i="5"/>
  <c r="H32" i="5"/>
  <c r="G32" i="5"/>
  <c r="F32" i="5"/>
  <c r="E32" i="5"/>
  <c r="D32" i="5"/>
  <c r="C32" i="5"/>
  <c r="B32" i="5"/>
  <c r="A32" i="5"/>
  <c r="N31" i="5"/>
  <c r="M31" i="5"/>
  <c r="L31" i="5"/>
  <c r="K31" i="5"/>
  <c r="J31" i="5"/>
  <c r="I31" i="5"/>
  <c r="H31" i="5"/>
  <c r="G31" i="5"/>
  <c r="F31" i="5"/>
  <c r="E31" i="5"/>
  <c r="D31" i="5"/>
  <c r="C31" i="5"/>
  <c r="B31" i="5"/>
  <c r="A31" i="5"/>
  <c r="N30" i="5"/>
  <c r="M30" i="5"/>
  <c r="L30" i="5"/>
  <c r="K30" i="5"/>
  <c r="J30" i="5"/>
  <c r="I30" i="5"/>
  <c r="H30" i="5"/>
  <c r="G30" i="5"/>
  <c r="F30" i="5"/>
  <c r="E30" i="5"/>
  <c r="D30" i="5"/>
  <c r="C30" i="5"/>
  <c r="B30" i="5"/>
  <c r="A30" i="5"/>
  <c r="N29" i="5"/>
  <c r="M29" i="5"/>
  <c r="L29" i="5"/>
  <c r="K29" i="5"/>
  <c r="J29" i="5"/>
  <c r="I29" i="5"/>
  <c r="H29" i="5"/>
  <c r="G29" i="5"/>
  <c r="F29" i="5"/>
  <c r="E29" i="5"/>
  <c r="D29" i="5"/>
  <c r="C29" i="5"/>
  <c r="B29" i="5"/>
  <c r="A29" i="5"/>
  <c r="N28" i="5"/>
  <c r="M28" i="5"/>
  <c r="L28" i="5"/>
  <c r="K28" i="5"/>
  <c r="J28" i="5"/>
  <c r="I28" i="5"/>
  <c r="H28" i="5"/>
  <c r="G28" i="5"/>
  <c r="F28" i="5"/>
  <c r="E28" i="5"/>
  <c r="D28" i="5"/>
  <c r="C28" i="5"/>
  <c r="B28" i="5"/>
  <c r="A28" i="5"/>
  <c r="N27" i="5"/>
  <c r="M27" i="5"/>
  <c r="L27" i="5"/>
  <c r="K27" i="5"/>
  <c r="J27" i="5"/>
  <c r="I27" i="5"/>
  <c r="H27" i="5"/>
  <c r="G27" i="5"/>
  <c r="F27" i="5"/>
  <c r="E27" i="5"/>
  <c r="D27" i="5"/>
  <c r="C27" i="5"/>
  <c r="B27" i="5"/>
  <c r="A27" i="5"/>
  <c r="N26" i="5"/>
  <c r="M26" i="5"/>
  <c r="L26" i="5"/>
  <c r="K26" i="5"/>
  <c r="J26" i="5"/>
  <c r="I26" i="5"/>
  <c r="H26" i="5"/>
  <c r="G26" i="5"/>
  <c r="F26" i="5"/>
  <c r="E26" i="5"/>
  <c r="D26" i="5"/>
  <c r="C26" i="5"/>
  <c r="B26" i="5"/>
  <c r="A26" i="5"/>
  <c r="N25" i="5"/>
  <c r="M25" i="5"/>
  <c r="L25" i="5"/>
  <c r="K25" i="5"/>
  <c r="J25" i="5"/>
  <c r="I25" i="5"/>
  <c r="H25" i="5"/>
  <c r="G25" i="5"/>
  <c r="F25" i="5"/>
  <c r="E25" i="5"/>
  <c r="D25" i="5"/>
  <c r="C25" i="5"/>
  <c r="B25" i="5"/>
  <c r="A25" i="5"/>
  <c r="N24" i="5"/>
  <c r="M24" i="5"/>
  <c r="L24" i="5"/>
  <c r="K24" i="5"/>
  <c r="J24" i="5"/>
  <c r="I24" i="5"/>
  <c r="H24" i="5"/>
  <c r="G24" i="5"/>
  <c r="F24" i="5"/>
  <c r="E24" i="5"/>
  <c r="D24" i="5"/>
  <c r="C24" i="5"/>
  <c r="B24" i="5"/>
  <c r="A24" i="5"/>
  <c r="N23" i="5"/>
  <c r="M23" i="5"/>
  <c r="L23" i="5"/>
  <c r="K23" i="5"/>
  <c r="J23" i="5"/>
  <c r="I23" i="5"/>
  <c r="H23" i="5"/>
  <c r="G23" i="5"/>
  <c r="F23" i="5"/>
  <c r="E23" i="5"/>
  <c r="D23" i="5"/>
  <c r="C23" i="5"/>
  <c r="B23" i="5"/>
  <c r="A23" i="5"/>
  <c r="N22" i="5"/>
  <c r="M22" i="5"/>
  <c r="L22" i="5"/>
  <c r="K22" i="5"/>
  <c r="J22" i="5"/>
  <c r="I22" i="5"/>
  <c r="H22" i="5"/>
  <c r="G22" i="5"/>
  <c r="F22" i="5"/>
  <c r="E22" i="5"/>
  <c r="D22" i="5"/>
  <c r="C22" i="5"/>
  <c r="B22" i="5"/>
  <c r="A22" i="5"/>
  <c r="N21" i="5"/>
  <c r="M21" i="5"/>
  <c r="L21" i="5"/>
  <c r="K21" i="5"/>
  <c r="J21" i="5"/>
  <c r="I21" i="5"/>
  <c r="H21" i="5"/>
  <c r="G21" i="5"/>
  <c r="F21" i="5"/>
  <c r="E21" i="5"/>
  <c r="D21" i="5"/>
  <c r="C21" i="5"/>
  <c r="B21" i="5"/>
  <c r="A21" i="5"/>
  <c r="N20" i="5"/>
  <c r="M20" i="5"/>
  <c r="L20" i="5"/>
  <c r="K20" i="5"/>
  <c r="J20" i="5"/>
  <c r="I20" i="5"/>
  <c r="H20" i="5"/>
  <c r="G20" i="5"/>
  <c r="F20" i="5"/>
  <c r="E20" i="5"/>
  <c r="D20" i="5"/>
  <c r="C20" i="5"/>
  <c r="B20" i="5"/>
  <c r="A20" i="5"/>
  <c r="N19" i="5"/>
  <c r="M19" i="5"/>
  <c r="L19" i="5"/>
  <c r="K19" i="5"/>
  <c r="J19" i="5"/>
  <c r="I19" i="5"/>
  <c r="H19" i="5"/>
  <c r="G19" i="5"/>
  <c r="F19" i="5"/>
  <c r="E19" i="5"/>
  <c r="D19" i="5"/>
  <c r="C19" i="5"/>
  <c r="B19" i="5"/>
  <c r="A19" i="5"/>
  <c r="N18" i="5"/>
  <c r="M18" i="5"/>
  <c r="L18" i="5"/>
  <c r="K18" i="5"/>
  <c r="J18" i="5"/>
  <c r="I18" i="5"/>
  <c r="H18" i="5"/>
  <c r="G18" i="5"/>
  <c r="F18" i="5"/>
  <c r="E18" i="5"/>
  <c r="D18" i="5"/>
  <c r="C18" i="5"/>
  <c r="B18" i="5"/>
  <c r="A18" i="5"/>
  <c r="N17" i="5"/>
  <c r="M17" i="5"/>
  <c r="L17" i="5"/>
  <c r="K17" i="5"/>
  <c r="J17" i="5"/>
  <c r="I17" i="5"/>
  <c r="H17" i="5"/>
  <c r="G17" i="5"/>
  <c r="F17" i="5"/>
  <c r="E17" i="5"/>
  <c r="D17" i="5"/>
  <c r="C17" i="5"/>
  <c r="B17" i="5"/>
  <c r="A17" i="5"/>
  <c r="N16" i="5"/>
  <c r="M16" i="5"/>
  <c r="L16" i="5"/>
  <c r="K16" i="5"/>
  <c r="J16" i="5"/>
  <c r="I16" i="5"/>
  <c r="H16" i="5"/>
  <c r="G16" i="5"/>
  <c r="F16" i="5"/>
  <c r="E16" i="5"/>
  <c r="D16" i="5"/>
  <c r="C16" i="5"/>
  <c r="B16" i="5"/>
  <c r="A16" i="5"/>
  <c r="N15" i="5"/>
  <c r="M15" i="5"/>
  <c r="L15" i="5"/>
  <c r="K15" i="5"/>
  <c r="J15" i="5"/>
  <c r="I15" i="5"/>
  <c r="H15" i="5"/>
  <c r="G15" i="5"/>
  <c r="F15" i="5"/>
  <c r="E15" i="5"/>
  <c r="D15" i="5"/>
  <c r="C15" i="5"/>
  <c r="B15" i="5"/>
  <c r="A15" i="5"/>
  <c r="N14" i="5"/>
  <c r="M14" i="5"/>
  <c r="L14" i="5"/>
  <c r="K14" i="5"/>
  <c r="J14" i="5"/>
  <c r="I14" i="5"/>
  <c r="H14" i="5"/>
  <c r="G14" i="5"/>
  <c r="F14" i="5"/>
  <c r="E14" i="5"/>
  <c r="D14" i="5"/>
  <c r="C14" i="5"/>
  <c r="B14" i="5"/>
  <c r="A14" i="5"/>
  <c r="N13" i="5"/>
  <c r="M13" i="5"/>
  <c r="L13" i="5"/>
  <c r="K13" i="5"/>
  <c r="J13" i="5"/>
  <c r="I13" i="5"/>
  <c r="H13" i="5"/>
  <c r="G13" i="5"/>
  <c r="F13" i="5"/>
  <c r="E13" i="5"/>
  <c r="D13" i="5"/>
  <c r="C13" i="5"/>
  <c r="B13" i="5"/>
  <c r="A13" i="5"/>
  <c r="N12" i="5"/>
  <c r="M12" i="5"/>
  <c r="L12" i="5"/>
  <c r="K12" i="5"/>
  <c r="J12" i="5"/>
  <c r="I12" i="5"/>
  <c r="H12" i="5"/>
  <c r="G12" i="5"/>
  <c r="F12" i="5"/>
  <c r="E12" i="5"/>
  <c r="D12" i="5"/>
  <c r="C12" i="5"/>
  <c r="B12" i="5"/>
  <c r="A12" i="5"/>
  <c r="N11" i="5"/>
  <c r="M11" i="5"/>
  <c r="L11" i="5"/>
  <c r="K11" i="5"/>
  <c r="J11" i="5"/>
  <c r="I11" i="5"/>
  <c r="H11" i="5"/>
  <c r="G11" i="5"/>
  <c r="F11" i="5"/>
  <c r="E11" i="5"/>
  <c r="D11" i="5"/>
  <c r="C11" i="5"/>
  <c r="B11" i="5"/>
  <c r="A11" i="5"/>
  <c r="N10" i="5"/>
  <c r="M10" i="5"/>
  <c r="L10" i="5"/>
  <c r="K10" i="5"/>
  <c r="J10" i="5"/>
  <c r="I10" i="5"/>
  <c r="H10" i="5"/>
  <c r="G10" i="5"/>
  <c r="F10" i="5"/>
  <c r="E10" i="5"/>
  <c r="D10" i="5"/>
  <c r="C10" i="5"/>
  <c r="B10" i="5"/>
  <c r="A10" i="5"/>
  <c r="M9" i="5"/>
  <c r="L9" i="5"/>
  <c r="K9" i="5"/>
  <c r="I9" i="5"/>
  <c r="H9" i="5"/>
  <c r="G9" i="5"/>
  <c r="F9" i="5"/>
  <c r="E9" i="5"/>
  <c r="D9" i="5"/>
  <c r="C9" i="5"/>
  <c r="D27" i="3"/>
  <c r="D26" i="3"/>
  <c r="D25" i="3"/>
  <c r="D24" i="3"/>
  <c r="D23" i="3"/>
  <c r="D22" i="3"/>
  <c r="F19" i="3"/>
  <c r="I18" i="3"/>
  <c r="H18" i="3"/>
  <c r="E18" i="3"/>
  <c r="C18" i="3"/>
  <c r="B18" i="3"/>
  <c r="G18" i="3" s="1"/>
  <c r="I17" i="3"/>
  <c r="H17" i="3"/>
  <c r="E17" i="3"/>
  <c r="C17" i="3"/>
  <c r="B17" i="3"/>
  <c r="G17" i="3" s="1"/>
  <c r="I16" i="3"/>
  <c r="H16" i="3"/>
  <c r="E16" i="3"/>
  <c r="C16" i="3"/>
  <c r="B16" i="3"/>
  <c r="G16" i="3" s="1"/>
  <c r="I15" i="3"/>
  <c r="H15" i="3"/>
  <c r="E15" i="3"/>
  <c r="C15" i="3"/>
  <c r="B15" i="3"/>
  <c r="G15" i="3" s="1"/>
  <c r="I14" i="3"/>
  <c r="H14" i="3"/>
  <c r="C14" i="3"/>
  <c r="B14" i="3"/>
  <c r="I13" i="3"/>
  <c r="H13" i="3"/>
  <c r="E13" i="3"/>
  <c r="B13" i="3"/>
  <c r="G13" i="3" s="1"/>
  <c r="I12" i="3"/>
  <c r="H12" i="3"/>
  <c r="E12" i="3"/>
  <c r="C12" i="3"/>
  <c r="I11" i="3"/>
  <c r="H11" i="3"/>
  <c r="E11" i="3"/>
  <c r="C11" i="3"/>
  <c r="B11" i="3"/>
  <c r="G11" i="3" s="1"/>
  <c r="I10" i="3"/>
  <c r="H10" i="3"/>
  <c r="H19" i="3" s="1"/>
  <c r="C10" i="3"/>
  <c r="I9" i="3"/>
  <c r="I19" i="3" s="1"/>
  <c r="H9" i="3"/>
  <c r="C9" i="3"/>
  <c r="K5" i="3"/>
  <c r="I5" i="3"/>
  <c r="G5" i="3"/>
  <c r="A2" i="3"/>
  <c r="A22" i="4"/>
  <c r="A18" i="4"/>
  <c r="A17" i="4"/>
  <c r="C16" i="4"/>
  <c r="J9" i="5" s="1"/>
  <c r="D16" i="3" l="1"/>
  <c r="A43" i="4"/>
  <c r="N9" i="5"/>
  <c r="D14" i="3"/>
  <c r="D8" i="41"/>
  <c r="D11" i="3"/>
  <c r="B10" i="3"/>
  <c r="G10" i="3" s="1"/>
  <c r="C13" i="3"/>
  <c r="D13" i="3" s="1"/>
  <c r="D15" i="3"/>
  <c r="E14" i="41"/>
  <c r="G4" i="42" s="1"/>
  <c r="D7" i="41"/>
  <c r="D9" i="41"/>
  <c r="G7" i="41"/>
  <c r="B12" i="3"/>
  <c r="G14" i="3"/>
  <c r="E19" i="3"/>
  <c r="D18" i="3"/>
  <c r="D9" i="3"/>
  <c r="D17" i="3"/>
  <c r="G9" i="3"/>
  <c r="B9" i="5"/>
  <c r="C510" i="5" s="1"/>
  <c r="N8" i="36"/>
  <c r="P8" i="36" s="1"/>
  <c r="N16" i="36"/>
  <c r="P16" i="36" s="1"/>
  <c r="B10" i="42"/>
  <c r="G10" i="42"/>
  <c r="F10" i="42"/>
  <c r="E10" i="42"/>
  <c r="D6" i="41"/>
  <c r="D10" i="42"/>
  <c r="C10" i="42"/>
  <c r="G8" i="42"/>
  <c r="F8" i="42"/>
  <c r="E8" i="42"/>
  <c r="D8" i="42"/>
  <c r="C8" i="42"/>
  <c r="G4" i="41"/>
  <c r="B8" i="42"/>
  <c r="B14" i="41"/>
  <c r="F14" i="42"/>
  <c r="E14" i="42"/>
  <c r="D10" i="41"/>
  <c r="D14" i="42"/>
  <c r="C14" i="42"/>
  <c r="B14" i="42"/>
  <c r="G14" i="42"/>
  <c r="G10" i="41"/>
  <c r="C14" i="41"/>
  <c r="D4" i="41"/>
  <c r="G6" i="41"/>
  <c r="D12" i="41"/>
  <c r="B9" i="42"/>
  <c r="D11" i="42"/>
  <c r="E12" i="42"/>
  <c r="F13" i="42"/>
  <c r="B17" i="42"/>
  <c r="C9" i="42"/>
  <c r="E11" i="42"/>
  <c r="F12" i="42"/>
  <c r="G13" i="42"/>
  <c r="B16" i="42"/>
  <c r="C17" i="42"/>
  <c r="G12" i="41"/>
  <c r="D9" i="42"/>
  <c r="F11" i="42"/>
  <c r="G12" i="42"/>
  <c r="B15" i="42"/>
  <c r="C16" i="42"/>
  <c r="D17" i="42"/>
  <c r="G9" i="41"/>
  <c r="D11" i="41"/>
  <c r="E9" i="42"/>
  <c r="G11" i="42"/>
  <c r="C15" i="42"/>
  <c r="D16" i="42"/>
  <c r="E17" i="42"/>
  <c r="F9" i="42"/>
  <c r="B13" i="42"/>
  <c r="D15" i="42"/>
  <c r="E16" i="42"/>
  <c r="F17" i="42"/>
  <c r="D5" i="41"/>
  <c r="G11" i="41"/>
  <c r="D13" i="41"/>
  <c r="G9" i="42"/>
  <c r="B12" i="42"/>
  <c r="C13" i="42"/>
  <c r="E15" i="42"/>
  <c r="F16" i="42"/>
  <c r="G17" i="42"/>
  <c r="G8" i="41"/>
  <c r="B11" i="42"/>
  <c r="C12" i="42"/>
  <c r="D13" i="42"/>
  <c r="F15" i="42"/>
  <c r="C19" i="3" l="1"/>
  <c r="H15" i="42"/>
  <c r="D10" i="3"/>
  <c r="B19" i="3"/>
  <c r="G19" i="3" s="1"/>
  <c r="H12" i="42"/>
  <c r="D12" i="3"/>
  <c r="G12" i="3"/>
  <c r="F18" i="42"/>
  <c r="A4" i="43"/>
  <c r="A4" i="42"/>
  <c r="D14" i="41"/>
  <c r="A5" i="3"/>
  <c r="H13" i="42"/>
  <c r="B18" i="42"/>
  <c r="H8" i="42"/>
  <c r="H16" i="42"/>
  <c r="H14" i="42"/>
  <c r="H11" i="42"/>
  <c r="H9" i="42"/>
  <c r="C18" i="42"/>
  <c r="D18" i="42"/>
  <c r="E18" i="42"/>
  <c r="H10" i="42"/>
  <c r="H17" i="42"/>
  <c r="B4" i="43"/>
  <c r="C4" i="42"/>
  <c r="C5" i="3"/>
  <c r="G18" i="42"/>
  <c r="D19" i="3" l="1"/>
  <c r="H18" i="42"/>
  <c r="E4" i="42"/>
  <c r="C4" i="43"/>
  <c r="E5" i="3"/>
</calcChain>
</file>

<file path=xl/sharedStrings.xml><?xml version="1.0" encoding="utf-8"?>
<sst xmlns="http://schemas.openxmlformats.org/spreadsheetml/2006/main" count="1919" uniqueCount="1140">
  <si>
    <t>🏦  SAMICIOUS MICROFINANCE</t>
  </si>
  <si>
    <t>SAMICIOUS MICROFINANCE MANAGEMENT SYSTEM  |  Developer Information</t>
  </si>
  <si>
    <t>ABOUT THE DEVELOPER</t>
  </si>
  <si>
    <t>THIS SAMICIOUS MICROFINANCE MANAGEMENT SYSTEM WAS DESIGNED AND DEVELOPED BY</t>
  </si>
  <si>
    <t>FRANK ABBAN</t>
  </si>
  <si>
    <t>IT CONSULTANT</t>
  </si>
  <si>
    <t>📞  FOR ALL ENQUIRIES, KINDLY REACH OUT USING ANY OF THE CONTACT NUMBERS BELOW:</t>
  </si>
  <si>
    <t>📱  0241911273</t>
  </si>
  <si>
    <t>📱  0207530771</t>
  </si>
  <si>
    <t>📋  Select any phone number above → Ctrl+C to copy</t>
  </si>
  <si>
    <t>SAMICIOUS MICROFINANCE MANAGEMENT SYSTEM  —  v5.0  |  Built with Excel + Formula-Driven Architecture</t>
  </si>
  <si>
    <t>SAMICIOUS MICROFINANCE MANAGEMENT SYSTEM  |  Official Documentation</t>
  </si>
  <si>
    <t>ACKNOWLEDGEMENT</t>
  </si>
  <si>
    <t>I give all glory to the Almighty God for His grace, strength, and wisdom that have guided me throughout this journey. Without His divine support, this achievement would not have been possible.</t>
  </si>
  <si>
    <t>I sincerely appreciate Dr. Gabriel Annan, Lecturer at the University of Cape Coast (UCC), for his mentorship, guidance, and commitment to excellence in the field of Information Technology.</t>
  </si>
  <si>
    <t>I am deeply grateful to Rev. Ebenezer Asibu Dadzie for his spiritual guidance, encouragement, and prayers, which strengthened me during challenging moments.</t>
  </si>
  <si>
    <t>Special thanks to Mr. Addu Gyamfi, CEO of Samicious Microfinance, for his trust and confidence in my ability to serve as his IT software developer.</t>
  </si>
  <si>
    <t>To my beloved wife and children, your patience, sacrifices, and unwavering support have been invaluable. Your love continues to inspire and sustain me.</t>
  </si>
  <si>
    <t>Through your collective support, this vision has been successfully realized.</t>
  </si>
  <si>
    <t>📖  BIBLICAL SUPPORT</t>
  </si>
  <si>
    <t>"I can do all things through Christ who strengthens me."</t>
  </si>
  <si>
    <t>— Philippians 4:13</t>
  </si>
  <si>
    <t>A  M  E  N</t>
  </si>
  <si>
    <t>© Samicious Microfinance Management System — Developed by Frank Abban, IT Consultant</t>
  </si>
  <si>
    <t>🏦  SAMICIOUS MICROFINANCE — MANAGER COMMAND CENTER</t>
  </si>
  <si>
    <t>💰 Today Savings</t>
  </si>
  <si>
    <t>🏧 Today Withdrawals</t>
  </si>
  <si>
    <t>📈 Net Today</t>
  </si>
  <si>
    <t>👥 Active Customers</t>
  </si>
  <si>
    <t>🔔 Pending Loans</t>
  </si>
  <si>
    <t>🏦 Loan Portfolio</t>
  </si>
  <si>
    <t>📊  REAL-TIME AGENT PERFORMANCE — Linked to Centralized DB</t>
  </si>
  <si>
    <t>Agent</t>
  </si>
  <si>
    <t>Today Savings</t>
  </si>
  <si>
    <t>Today Withdrawals</t>
  </si>
  <si>
    <t>Net</t>
  </si>
  <si>
    <t>Transactions</t>
  </si>
  <si>
    <t>Target</t>
  </si>
  <si>
    <t>% of Target</t>
  </si>
  <si>
    <t>MTD Savings</t>
  </si>
  <si>
    <t>Active Cust.</t>
  </si>
  <si>
    <t>Agent 01</t>
  </si>
  <si>
    <t>Agent 02</t>
  </si>
  <si>
    <t>Agent 03</t>
  </si>
  <si>
    <t>Agent 04</t>
  </si>
  <si>
    <t>Agent 05</t>
  </si>
  <si>
    <t>Agent 06</t>
  </si>
  <si>
    <t>Agent 07</t>
  </si>
  <si>
    <t>Agent 08</t>
  </si>
  <si>
    <t>Agent 09</t>
  </si>
  <si>
    <t>Agent 10</t>
  </si>
  <si>
    <t>TOTALS</t>
  </si>
  <si>
    <t>📋  CUSTOMER &amp; LOAN SUMMARY</t>
  </si>
  <si>
    <t>🔗  NAVIGATION GUIDE
• Account_Opening → Create new customers
• Agent01-10_Savings → Record savings
• Agent01-10_Withdrawals → Process withdrawals
• Agent01-10_Loans → Submit loan requests
• DB_Customers → Master customer database
• DB_Savings / DB_Withdrawals / DB_Loans → Central records
• Daily/Weekly/Monthly_Balancing → Reports</t>
  </si>
  <si>
    <t>Total Customers</t>
  </si>
  <si>
    <t>Total Savings Portfolio</t>
  </si>
  <si>
    <t>Total Withdrawals</t>
  </si>
  <si>
    <t>Pending KYC</t>
  </si>
  <si>
    <t>Pending Loan Requests</t>
  </si>
  <si>
    <t>Approved Loans</t>
  </si>
  <si>
    <t>🆕 V5 SYSTEM UPGRADES ACTIVE</t>
  </si>
  <si>
    <t>✅</t>
  </si>
  <si>
    <t>Minimum Balance GHC 10 enforced on ALL withdrawals — non-withdrawable reserve</t>
  </si>
  <si>
    <t>Account opening requires minimum GHC 10 opening deposit</t>
  </si>
  <si>
    <t>Account Opening: DOB, Phone, Location, Next of Kin, ID Card Number fields added</t>
  </si>
  <si>
    <t>New account format: AGNT####-YYYYMMDD-XXXX with unique 4-digit agent codes</t>
  </si>
  <si>
    <t>Loan Calculator: Interest Rate displays as % format (fixed from GHC)</t>
  </si>
  <si>
    <t>Agent Security System: All transactions require agent to enter their unique 4-digit code</t>
  </si>
  <si>
    <t>Agent Code Validation: Name + Code match required before any transaction is recorded</t>
  </si>
  <si>
    <t>Blocked transactions show 🔒 BLOCKED — Wrong Code in Status column</t>
  </si>
  <si>
    <t>ID Card Number field: conditionally required when ID Type is selected (min 6 chars)</t>
  </si>
  <si>
    <t>DB_Agents: Working_Area column added for multi-layer agent validation</t>
  </si>
  <si>
    <t>System is formula-driven — no macro dependency for core validation logic</t>
  </si>
  <si>
    <t>👤  NEW CUSTOMER ACCOUNT OPENING</t>
  </si>
  <si>
    <t>SAMICIOUS MICROFINANCE  |  Fill all required fields (*) → Account Number generates instantly</t>
  </si>
  <si>
    <t>⚡ Customer Database auto-populates AS YOU TYPE — no save or button required</t>
  </si>
  <si>
    <t>* First Name:</t>
  </si>
  <si>
    <t>* Last Name:</t>
  </si>
  <si>
    <t>* Date of Birth:</t>
  </si>
  <si>
    <t>* Phone Number:</t>
  </si>
  <si>
    <t>* Location:</t>
  </si>
  <si>
    <t>* Occupation:</t>
  </si>
  <si>
    <t>* Assign Agent:</t>
  </si>
  <si>
    <t>* Opening Balance (GHC):</t>
  </si>
  <si>
    <t>⚠️  Min. GHC 10.00</t>
  </si>
  <si>
    <t xml:space="preserve">  Next of Kin (Optional):</t>
  </si>
  <si>
    <t xml:space="preserve">  ID Card Type (Optional):</t>
  </si>
  <si>
    <t>Ghana Card</t>
  </si>
  <si>
    <t xml:space="preserve">  ID Card Number:</t>
  </si>
  <si>
    <t>🔢  Account Number:</t>
  </si>
  <si>
    <t>🔴  GENERATE ACCOUNT</t>
  </si>
  <si>
    <t>year</t>
  </si>
  <si>
    <t>📌  HOW TO CREATE AN ACCOUNT  (Formula-Driven — No Macros Required)</t>
  </si>
  <si>
    <t>Step 1:</t>
  </si>
  <si>
    <t>Fill ALL required fields (*): First Name, Last Name, DOB, Phone, Location, Occupation, Agent, Opening Balance (min GHC 10). If ID Card Type is selected, ID Card Number is also required (min 6 chars).</t>
  </si>
  <si>
    <t>Step 2:</t>
  </si>
  <si>
    <t>Watch the VALIDATION STATUS bar (row above button) — it shows ✅ when ready</t>
  </si>
  <si>
    <t>Step 3:</t>
  </si>
  <si>
    <t>Account Number AUTO-GENERATES in the gold cell above (no button click needed for formula!)</t>
  </si>
  <si>
    <t>Click GENERATE ACCOUNT (red button) only to run audit log — record already in Customer DB instantly</t>
  </si>
  <si>
    <t>Click GENERATE ACCOUNT (red button) to run the save macro — copies record to DB_Customers</t>
  </si>
  <si>
    <t>Step 5:</t>
  </si>
  <si>
    <t>Account is immediately available for Savings / Withdrawals / Loans across all agent sheets</t>
  </si>
  <si>
    <t>📋  SECTION 3: DECLARATION, SIGNATURE &amp; AUTHORISATION</t>
  </si>
  <si>
    <t>I hereby declare that all information provided is true and correct. I agree to the terms and conditions of SAMICIOUS MICROFINANCE LTD, including the minimum balance requirement of GHC 10.00.</t>
  </si>
  <si>
    <t>Customer Signature</t>
  </si>
  <si>
    <t>Agent Signature</t>
  </si>
  <si>
    <t>(Customer writes name here)</t>
  </si>
  <si>
    <t>(Agent writes name here)</t>
  </si>
  <si>
    <t>Frank Abban</t>
  </si>
  <si>
    <t>Musa Atta</t>
  </si>
  <si>
    <t>Date</t>
  </si>
  <si>
    <t>Approved By</t>
  </si>
  <si>
    <t>(Date account was opened)</t>
  </si>
  <si>
    <t>(Manager's name — enter or select)</t>
  </si>
  <si>
    <t>Deputy Head</t>
  </si>
  <si>
    <t>📋  RECENTLY CREATED ACCOUNTS (Last 5 — from DB_Customers)</t>
  </si>
  <si>
    <t>Account No</t>
  </si>
  <si>
    <t>Customer Name</t>
  </si>
  <si>
    <t>Phone</t>
  </si>
  <si>
    <t>Date Created</t>
  </si>
  <si>
    <t>SAM20240600020</t>
  </si>
  <si>
    <t>Kwame Baffour</t>
  </si>
  <si>
    <t>—</t>
  </si>
  <si>
    <t>2024-06-20</t>
  </si>
  <si>
    <t>SAM20240600019</t>
  </si>
  <si>
    <t>Yaa Opoku</t>
  </si>
  <si>
    <t>2024-06-15</t>
  </si>
  <si>
    <t>SAM20240600018</t>
  </si>
  <si>
    <t>Esi Quaye</t>
  </si>
  <si>
    <t>2024-06-08</t>
  </si>
  <si>
    <t>SAM20240600017</t>
  </si>
  <si>
    <t>Kwasi Adusei</t>
  </si>
  <si>
    <t>2024-06-01</t>
  </si>
  <si>
    <t>SAM20240500016</t>
  </si>
  <si>
    <t>Akua Bonsu</t>
  </si>
  <si>
    <t>2024-05-25</t>
  </si>
  <si>
    <t>🏦  SAMICIOUS MICROFINANCE — CUSTOMER ACCOUNT DATABASE</t>
  </si>
  <si>
    <t>Auto-populated LIVE as details are entered in Account Opening  |  Search by Account Number only</t>
  </si>
  <si>
    <t>🔍  SEARCH ENGINE  —  Account Number Only</t>
  </si>
  <si>
    <t>Account No.:</t>
  </si>
  <si>
    <t>Type the Account Number above → matching record appears highlighted below  |  Clear to show all</t>
  </si>
  <si>
    <t>↑ Type exact or partial Account Number above  |  Matching row is highlighted in gold  |  Leave blank to show all records</t>
  </si>
  <si>
    <t>#</t>
  </si>
  <si>
    <t>Account No.</t>
  </si>
  <si>
    <t>Full Name</t>
  </si>
  <si>
    <t>Date of Birth</t>
  </si>
  <si>
    <t>Phone Number</t>
  </si>
  <si>
    <t>Location</t>
  </si>
  <si>
    <t>Occupation</t>
  </si>
  <si>
    <t>Assigned Agent</t>
  </si>
  <si>
    <t>Opening Balance
(GHC)</t>
  </si>
  <si>
    <t>ID Card Type</t>
  </si>
  <si>
    <t>ID Card Number</t>
  </si>
  <si>
    <t>Next of Kin</t>
  </si>
  <si>
    <t>Status</t>
  </si>
  <si>
    <t>LIVE</t>
  </si>
  <si>
    <t>TOTAL ACCOUNTS:</t>
  </si>
  <si>
    <t>📋  HOW THIS DATABASE WORKS</t>
  </si>
  <si>
    <t>1. Complete all required fields in the Account Opening form.</t>
  </si>
  <si>
    <t>2. Press CTRL+S (Save) — data automatically transfers here and form clears.</t>
  </si>
  <si>
    <t>3. Account Number is auto-generated (First 3 letters + Year of Birth + Last 4 digits of Phone).</t>
  </si>
  <si>
    <t>4. Use the search boxes above to find any customer by Account No., Name, or Date of Birth.</t>
  </si>
  <si>
    <t>5. Status auto-calculates: 'Active' if opening balance ≥ GHC 10, 'Inactive' otherwise.</t>
  </si>
  <si>
    <t>6. Each agent can only see their own customers (filtered by Assigned Agent column).</t>
  </si>
  <si>
    <t>💰  SAMICIOUS MICROFINANCE — AGENT01 SAVINGS</t>
  </si>
  <si>
    <t>Agent: Agent 01  |  Enter Account # → All fields auto-populate  |  Status auto-sets to "Saved"  |  🔑 Security: Enter your 4-digit Agent Code in each row</t>
  </si>
  <si>
    <t>💰 Total Collected Today</t>
  </si>
  <si>
    <t>📊 Transactions Today</t>
  </si>
  <si>
    <t>📅 Date</t>
  </si>
  <si>
    <t>📝  ENTRY FORM — Enter Account Number in column A. All other fields auto-populate. Enter Savings Amount in column E then Tab to complete. | Enter Agent Code in 🔑 column to authorize each transaction.</t>
  </si>
  <si>
    <t>Account #</t>
  </si>
  <si>
    <t>Current Balance</t>
  </si>
  <si>
    <t>Savings Amount</t>
  </si>
  <si>
    <t>New Balance</t>
  </si>
  <si>
    <t>🔑 Agent Code</t>
  </si>
  <si>
    <t>Saved At</t>
  </si>
  <si>
    <t>Notes</t>
  </si>
  <si>
    <t>🏧  SAMICIOUS MICROFINANCE — AGENT01 WITHDRAWALS</t>
  </si>
  <si>
    <t>Agent: Agent 01  |  Status auto: "Successful" or "Unsuccessful" based on balance check  |  🔑 Security: Enter your 4-digit Agent Code in each row</t>
  </si>
  <si>
    <t>🏧 Total Withdrawn Today</t>
  </si>
  <si>
    <t>✅ Successful</t>
  </si>
  <si>
    <t>❌ Unsuccessful</t>
  </si>
  <si>
    <t>⚠️  WITHDRAWALS — System auto-validates balance. Insufficient funds will show "Unsuccessful" status.</t>
  </si>
  <si>
    <t>📝  ENTRY FORM — Enter Account # → Name, Balance, Date auto-populate. Enter Withdrawal Amount &amp; Authorized By. | Enter Agent Code in 🔑 column to authorize each transaction.</t>
  </si>
  <si>
    <t>Available Balance</t>
  </si>
  <si>
    <t>Withdrawal Amt</t>
  </si>
  <si>
    <t>Authorized By</t>
  </si>
  <si>
    <t>🏦  SAMICIOUS MICROFINANCE — AGENT01 LOAN REQUESTS</t>
  </si>
  <si>
    <t>Total Repayable = Loan Amount + (Loan Amount × Rate% × Months) | Status: Pending → Approved when credited</t>
  </si>
  <si>
    <t>🔢  INSTANT LOAN CALCULATOR</t>
  </si>
  <si>
    <t>Loan Amount (GHC):</t>
  </si>
  <si>
    <t>Duration (Months):</t>
  </si>
  <si>
    <t>Interest Rate (%/month):</t>
  </si>
  <si>
    <t>━ Total Interest:</t>
  </si>
  <si>
    <t>💰  SAMICIOUS MICROFINANCE — AGENT02 SAVINGS</t>
  </si>
  <si>
    <t>Agent: Agent 02  |  Enter Account # → All fields auto-populate  |  Status auto-sets to "Saved"  |  🔑 Security: Enter your 4-digit Agent Code in each row</t>
  </si>
  <si>
    <t>🏧  SAMICIOUS MICROFINANCE — AGENT02 WITHDRAWALS</t>
  </si>
  <si>
    <t>Agent: Agent 02  |  Status auto: "Successful" or "Unsuccessful" based on balance check  |  🔑 Security: Enter your 4-digit Agent Code in each row</t>
  </si>
  <si>
    <t>🏦  SAMICIOUS MICROFINANCE — AGENT02 LOAN REQUESTS</t>
  </si>
  <si>
    <t>💰  SAMICIOUS MICROFINANCE — AGENT03 SAVINGS</t>
  </si>
  <si>
    <t>Agent: Agent 03  |  Enter Account # → All fields auto-populate  |  Status auto-sets to "Saved"  |  🔑 Security: Enter your 4-digit Agent Code in each row</t>
  </si>
  <si>
    <t>🏧  SAMICIOUS MICROFINANCE — AGENT03 WITHDRAWALS</t>
  </si>
  <si>
    <t>Agent: Agent 03  |  Status auto: "Successful" or "Unsuccessful" based on balance check  |  🔑 Security: Enter your 4-digit Agent Code in each row</t>
  </si>
  <si>
    <t>🏦  SAMICIOUS MICROFINANCE — AGENT03 LOAN REQUESTS</t>
  </si>
  <si>
    <t>💰  SAMICIOUS MICROFINANCE — AGENT04 SAVINGS</t>
  </si>
  <si>
    <t>Agent: Agent 04  |  Enter Account # → All fields auto-populate  |  Status auto-sets to "Saved"  |  🔑 Security: Enter your 4-digit Agent Code in each row</t>
  </si>
  <si>
    <t>🏧  SAMICIOUS MICROFINANCE — AGENT04 WITHDRAWALS</t>
  </si>
  <si>
    <t>Agent: Agent 04  |  Status auto: "Successful" or "Unsuccessful" based on balance check  |  🔑 Security: Enter your 4-digit Agent Code in each row</t>
  </si>
  <si>
    <t>🏦  SAMICIOUS MICROFINANCE — AGENT04 LOAN REQUESTS</t>
  </si>
  <si>
    <t>💰  SAMICIOUS MICROFINANCE — AGENT05 SAVINGS</t>
  </si>
  <si>
    <t>Agent: Agent 05  |  Enter Account # → All fields auto-populate  |  Status auto-sets to "Saved"  |  🔑 Security: Enter your 4-digit Agent Code in each row</t>
  </si>
  <si>
    <t>🏧  SAMICIOUS MICROFINANCE — AGENT05 WITHDRAWALS</t>
  </si>
  <si>
    <t>Agent: Agent 05  |  Status auto: "Successful" or "Unsuccessful" based on balance check  |  🔑 Security: Enter your 4-digit Agent Code in each row</t>
  </si>
  <si>
    <t>🏦  SAMICIOUS MICROFINANCE — AGENT05 LOAN REQUESTS</t>
  </si>
  <si>
    <t>💰  SAMICIOUS MICROFINANCE — AGENT06 SAVINGS</t>
  </si>
  <si>
    <t>Agent: Agent 06  |  Enter Account # → All fields auto-populate  |  Status auto-sets to "Saved"  |  🔑 Security: Enter your 4-digit Agent Code in each row</t>
  </si>
  <si>
    <t>🏧  SAMICIOUS MICROFINANCE — AGENT06 WITHDRAWALS</t>
  </si>
  <si>
    <t>Agent: Agent 06  |  Status auto: "Successful" or "Unsuccessful" based on balance check  |  🔑 Security: Enter your 4-digit Agent Code in each row</t>
  </si>
  <si>
    <t>🏦  SAMICIOUS MICROFINANCE — AGENT06 LOAN REQUESTS</t>
  </si>
  <si>
    <t>💰  SAMICIOUS MICROFINANCE — AGENT07 SAVINGS</t>
  </si>
  <si>
    <t>Agent: Agent 07  |  Enter Account # → All fields auto-populate  |  Status auto-sets to "Saved"  |  🔑 Security: Enter your 4-digit Agent Code in each row</t>
  </si>
  <si>
    <t>🏧  SAMICIOUS MICROFINANCE — AGENT07 WITHDRAWALS</t>
  </si>
  <si>
    <t>Agent: Agent 07  |  Status auto: "Successful" or "Unsuccessful" based on balance check  |  🔑 Security: Enter your 4-digit Agent Code in each row</t>
  </si>
  <si>
    <t>🏦  SAMICIOUS MICROFINANCE — AGENT07 LOAN REQUESTS</t>
  </si>
  <si>
    <t>💰  SAMICIOUS MICROFINANCE — AGENT08 SAVINGS</t>
  </si>
  <si>
    <t>Agent: Agent 08  |  Enter Account # → All fields auto-populate  |  Status auto-sets to "Saved"  |  🔑 Security: Enter your 4-digit Agent Code in each row</t>
  </si>
  <si>
    <t>🏧  SAMICIOUS MICROFINANCE — AGENT08 WITHDRAWALS</t>
  </si>
  <si>
    <t>Agent: Agent 08  |  Status auto: "Successful" or "Unsuccessful" based on balance check  |  🔑 Security: Enter your 4-digit Agent Code in each row</t>
  </si>
  <si>
    <t>🏦  SAMICIOUS MICROFINANCE — AGENT08 LOAN REQUESTS</t>
  </si>
  <si>
    <t>💰  SAMICIOUS MICROFINANCE — AGENT09 SAVINGS</t>
  </si>
  <si>
    <t>Agent: Agent 09  |  Enter Account # → All fields auto-populate  |  Status auto-sets to "Saved"  |  🔑 Security: Enter your 4-digit Agent Code in each row</t>
  </si>
  <si>
    <t>🏧  SAMICIOUS MICROFINANCE — AGENT09 WITHDRAWALS</t>
  </si>
  <si>
    <t>Agent: Agent 09  |  Status auto: "Successful" or "Unsuccessful" based on balance check  |  🔑 Security: Enter your 4-digit Agent Code in each row</t>
  </si>
  <si>
    <t>🏦  SAMICIOUS MICROFINANCE — AGENT09 LOAN REQUESTS</t>
  </si>
  <si>
    <t>💰  SAMICIOUS MICROFINANCE — AGENT10 SAVINGS</t>
  </si>
  <si>
    <t>Agent: Agent 10  |  Enter Account # → All fields auto-populate  |  Status auto-sets to "Saved"  |  🔑 Security: Enter your 4-digit Agent Code in each row</t>
  </si>
  <si>
    <t>🏧  SAMICIOUS MICROFINANCE — AGENT10 WITHDRAWALS</t>
  </si>
  <si>
    <t>Agent: Agent 10  |  Status auto: "Successful" or "Unsuccessful" based on balance check  |  🔑 Security: Enter your 4-digit Agent Code in each row</t>
  </si>
  <si>
    <t>🏦  SAMICIOUS MICROFINANCE — AGENT10 LOAN REQUESTS</t>
  </si>
  <si>
    <t>🗄️  CUSTOMERS DATABASE — Centralized Master Table</t>
  </si>
  <si>
    <t>22 customers (20 pre-loaded + 2 recent) | Enhanced with DOB, Phone, Location, Next of Kin</t>
  </si>
  <si>
    <t>Account_No</t>
  </si>
  <si>
    <t>First_Name</t>
  </si>
  <si>
    <t>Last_Name</t>
  </si>
  <si>
    <t>Full_Name</t>
  </si>
  <si>
    <t>ID_Card_Type</t>
  </si>
  <si>
    <t>ID_Number</t>
  </si>
  <si>
    <t>Agent_Assigned</t>
  </si>
  <si>
    <t>Opening_Balance</t>
  </si>
  <si>
    <t>Account_Date</t>
  </si>
  <si>
    <t>Total_Savings</t>
  </si>
  <si>
    <t>Total_Withdrawals</t>
  </si>
  <si>
    <t>Current_Balance</t>
  </si>
  <si>
    <t>Min_Bal_Flag</t>
  </si>
  <si>
    <t>Withdrawable_Balance</t>
  </si>
  <si>
    <t>Date_of_Birth</t>
  </si>
  <si>
    <t>Next_of_Kin</t>
  </si>
  <si>
    <t>💰  SAVINGS TRANSACTIONS DATABASE — All Agents Combined</t>
  </si>
  <si>
    <t>All savings from all 10 agents are stored here | Balances auto-update in DB_Customers</t>
  </si>
  <si>
    <t>Transaction_ID</t>
  </si>
  <si>
    <t>Customer_Name</t>
  </si>
  <si>
    <t>Amount_GHC</t>
  </si>
  <si>
    <t>Saved_At</t>
  </si>
  <si>
    <t>Lock_Status</t>
  </si>
  <si>
    <t>🏧  WITHDRAWALS TRANSACTIONS DATABASE — All Agents Combined</t>
  </si>
  <si>
    <t>All withdrawals stored here | Status auto: Successful / Unsuccessful</t>
  </si>
  <si>
    <t>Balance_Before</t>
  </si>
  <si>
    <t>Withdrawal_Amt_GHC</t>
  </si>
  <si>
    <t>Authorized_By</t>
  </si>
  <si>
    <t>New_Balance_GHC</t>
  </si>
  <si>
    <t>Withdrawable_Before</t>
  </si>
  <si>
    <t>Min_Bal_OK</t>
  </si>
  <si>
    <t>🏦  LOANS DATABASE — All Agents Combined</t>
  </si>
  <si>
    <t>Total Repayable = Loan Amount + (Loan Amount × Rate% × Months) | Status: Pending → Approved</t>
  </si>
  <si>
    <t>Loan_ID</t>
  </si>
  <si>
    <t>Request_Date</t>
  </si>
  <si>
    <t>Loan_Amount</t>
  </si>
  <si>
    <t>Purpose</t>
  </si>
  <si>
    <t>Months</t>
  </si>
  <si>
    <t>Rate_%</t>
  </si>
  <si>
    <t>Total_Repayable</t>
  </si>
  <si>
    <t>Monthly_Installment</t>
  </si>
  <si>
    <t>Note</t>
  </si>
  <si>
    <t>Rate_Format_Check</t>
  </si>
  <si>
    <t>🔄  CORRECTIONS DATABASE — Controlled Reversal System | Right Mechanism Applied</t>
  </si>
  <si>
    <t>📊  DAILY BALANCING — Monday, 13 April 2026 | All values from centralized DB</t>
  </si>
  <si>
    <t>Formulas link to DB_Savings and DB_Withdrawals directly — auto-refreshed on open</t>
  </si>
  <si>
    <t>Savings (GHC)</t>
  </si>
  <si>
    <t>Withdrawals (GHC)</t>
  </si>
  <si>
    <t>Net (GHC)</t>
  </si>
  <si>
    <t>Daily Target</t>
  </si>
  <si>
    <t>GRAND TOTAL</t>
  </si>
  <si>
    <t>📅  WEEKLY BALANCING REPORT — Linked to Daily Totals</t>
  </si>
  <si>
    <t>Total Savings (Week)</t>
  </si>
  <si>
    <t>Net Movement</t>
  </si>
  <si>
    <t>📋  AGENT WEEKLY SUMMARY</t>
  </si>
  <si>
    <t>Mon</t>
  </si>
  <si>
    <t>Tue</t>
  </si>
  <si>
    <t>Wed</t>
  </si>
  <si>
    <t>Thu</t>
  </si>
  <si>
    <t>Fri</t>
  </si>
  <si>
    <t>Sat</t>
  </si>
  <si>
    <t>Weekly Total</t>
  </si>
  <si>
    <t>WEEKLY TOTAL</t>
  </si>
  <si>
    <t>📆  MONTHLY BALANCING — April 2026 | Trend Analysis</t>
  </si>
  <si>
    <t>Year-to-date performance | New accounts &amp; loan portfolio tracking</t>
  </si>
  <si>
    <t>MTD Withdrawals</t>
  </si>
  <si>
    <t>MTD Net</t>
  </si>
  <si>
    <t>New Accounts</t>
  </si>
  <si>
    <t>Active Loans</t>
  </si>
  <si>
    <t>📊  MONTH-BY-MONTH TRACKER</t>
  </si>
  <si>
    <t>Month</t>
  </si>
  <si>
    <t>Savings</t>
  </si>
  <si>
    <t>Withdrawals</t>
  </si>
  <si>
    <t>New Accts</t>
  </si>
  <si>
    <t>Loans</t>
  </si>
  <si>
    <t>Interest</t>
  </si>
  <si>
    <t>Growth%</t>
  </si>
  <si>
    <t>Target?</t>
  </si>
  <si>
    <t>Jan</t>
  </si>
  <si>
    <t>-4.6%</t>
  </si>
  <si>
    <t>YES</t>
  </si>
  <si>
    <t>Feb</t>
  </si>
  <si>
    <t>6.6%</t>
  </si>
  <si>
    <t>Mar</t>
  </si>
  <si>
    <t>-0.7%</t>
  </si>
  <si>
    <t>NO</t>
  </si>
  <si>
    <t>Apr</t>
  </si>
  <si>
    <t>-0.9%</t>
  </si>
  <si>
    <t>May</t>
  </si>
  <si>
    <t>Jun</t>
  </si>
  <si>
    <t>Jul</t>
  </si>
  <si>
    <t>Aug</t>
  </si>
  <si>
    <t>Sep</t>
  </si>
  <si>
    <t>Oct</t>
  </si>
  <si>
    <t>Nov</t>
  </si>
  <si>
    <t>Dec</t>
  </si>
  <si>
    <t>YTD TOTAL</t>
  </si>
  <si>
    <t>🏦  SAMICIOUS MICROFINANCE — MASTER DATABASE</t>
  </si>
  <si>
    <t>Central Archive &amp; Intelligence Layer  |  All historical records</t>
  </si>
  <si>
    <t>🔍  SMART SEARCH ENGINE — Query Any Record Instantly</t>
  </si>
  <si>
    <t>Account No. / Loan ID:</t>
  </si>
  <si>
    <t>Customer Name:</t>
  </si>
  <si>
    <t>Type:</t>
  </si>
  <si>
    <t>↑ Enter criteria above → Results load instantly below  |  Leave blank = show all  |  Type filter: Savings / Withdrawal / Loan</t>
  </si>
  <si>
    <t>Transaction ID</t>
  </si>
  <si>
    <t>Type</t>
  </si>
  <si>
    <t>Amount (GHC)</t>
  </si>
  <si>
    <t>Year</t>
  </si>
  <si>
    <t>Lock Status</t>
  </si>
  <si>
    <t>📊  ARCHIVE STATISTICS</t>
  </si>
  <si>
    <t>Total Records Archived</t>
  </si>
  <si>
    <t>Total Savings Archived</t>
  </si>
  <si>
    <t>Total Withdrawals Archived</t>
  </si>
  <si>
    <t>Total Loans Archived</t>
  </si>
  <si>
    <t>Unique Customers</t>
  </si>
  <si>
    <t>Latest Record Date</t>
  </si>
  <si>
    <t>📋  ARCHIVE INSTRUCTIONS</t>
  </si>
  <si>
    <t>1. At year-end: copy DB_Savings, DB_Withdrawals, and DB_Loans data rows.</t>
  </si>
  <si>
    <t>2. Paste as VALUES into archive rows below (starting at highlighted row).</t>
  </si>
  <si>
    <t>3. Fill 'Year' and 'Month' columns for filtering accuracy.</t>
  </si>
  <si>
    <t>4. Search engine auto-filters by Account No., Name, and Type.</t>
  </si>
  <si>
    <t>5. Sheet is password-protected. Admin password: samicious2024</t>
  </si>
  <si>
    <t>6. Use CLOUD_SYNC → PUSH to backup archived records to cloud database.</t>
  </si>
  <si>
    <t>☁️  CLOUD SYNCHRONIZATION ENGINE — SAMICIOUS MICROFINANCE v7</t>
  </si>
  <si>
    <t>Bi-directional Sync  |  Firebase Firestore  |  Offline-First  |  JWT Secured  |  Auto-Conflict Resolution</t>
  </si>
  <si>
    <t>🟢  SYSTEM STATUS</t>
  </si>
  <si>
    <t>Connection Status</t>
  </si>
  <si>
    <t>🟢 Online — Ready to Sync</t>
  </si>
  <si>
    <t>Last Push</t>
  </si>
  <si>
    <t>—  (No sync performed yet)</t>
  </si>
  <si>
    <t>Last Pull</t>
  </si>
  <si>
    <t>Pending Records</t>
  </si>
  <si>
    <t>Offline Queue</t>
  </si>
  <si>
    <t>0 items queued</t>
  </si>
  <si>
    <t>Sync Mode</t>
  </si>
  <si>
    <t>Auto-Sync ON — triggers on every new record</t>
  </si>
  <si>
    <t>🔌  API CONFIGURATION — Pre-configured (No Setup Required)</t>
  </si>
  <si>
    <t>Cloud Provider</t>
  </si>
  <si>
    <t>Firebase Firestore (Google Cloud)</t>
  </si>
  <si>
    <t>Project ID</t>
  </si>
  <si>
    <t>samicious-microfinance-sync</t>
  </si>
  <si>
    <t>API Endpoint</t>
  </si>
  <si>
    <t>https://samicious-mf.firebaseio.com/v1/</t>
  </si>
  <si>
    <t>Auth Method</t>
  </si>
  <si>
    <t>JWT Bearer Token — auto-rotates every 24 hours</t>
  </si>
  <si>
    <t>Database Name</t>
  </si>
  <si>
    <t>samicious_microfinance_db</t>
  </si>
  <si>
    <t>Company ID</t>
  </si>
  <si>
    <t>SAMICIOUS-MF-GH-001</t>
  </si>
  <si>
    <t>Currency</t>
  </si>
  <si>
    <t>GHC (Ghana Cedis)</t>
  </si>
  <si>
    <t>Interest Rate</t>
  </si>
  <si>
    <t>2.5% per month flat — synced from System_Config</t>
  </si>
  <si>
    <t>Min Balance</t>
  </si>
  <si>
    <t>GHC 10.00 — Non-withdrawable reserve</t>
  </si>
  <si>
    <t>API Key</t>
  </si>
  <si>
    <t>smf_api_2024_XXXXXXXX  ← Replace with actual key from Firebase console</t>
  </si>
  <si>
    <t>Sync Trigger</t>
  </si>
  <si>
    <t>Event-driven (VBA Workbook_SheetChange) + Manual button</t>
  </si>
  <si>
    <t>Conflict Resolution</t>
  </si>
  <si>
    <t>Server timestamp wins — latest record takes priority</t>
  </si>
  <si>
    <t>Duplicate Guard</t>
  </si>
  <si>
    <t>Transaction_ID uniqueness enforced server-side</t>
  </si>
  <si>
    <t>Encryption</t>
  </si>
  <si>
    <t>TLS 1.3 on all requests — data encrypted in transit</t>
  </si>
  <si>
    <t>🔄  SYNC CONTROLS</t>
  </si>
  <si>
    <t>⬆  PUSH DATA TO CLOUD</t>
  </si>
  <si>
    <t>Pushes: DB_Savings + DB_Withdrawals + DB_Loans + DB_Customers → Firebase</t>
  </si>
  <si>
    <t>⬇  PULL DATA FROM CLOUD</t>
  </si>
  <si>
    <t>Fetches latest cloud data → refreshes Manager_Dashboard + DB sheets + MASTER_DATABASE</t>
  </si>
  <si>
    <t>⚡  AUTO SYNC  (Toggle ON/OFF)</t>
  </si>
  <si>
    <t>When ON: every new transaction auto-pushes to cloud (VBA event-driven, no delay)</t>
  </si>
  <si>
    <t>📡  DATA FLOW ARCHITECTURE</t>
  </si>
  <si>
    <t>⬆ PUSH  (Excel → Cloud)</t>
  </si>
  <si>
    <t>• Savings records from all 10 agents (DB_Savings)</t>
  </si>
  <si>
    <t>• Withdrawal records from all 10 agents (DB_Withdrawals)</t>
  </si>
  <si>
    <t>• Loan applications + repayments (DB_Loans)</t>
  </si>
  <si>
    <t>• Customer registry (DB_Customers — account details + balances)</t>
  </si>
  <si>
    <t>• JSON payload: {company_id, agent, account_no, amount, timestamp}</t>
  </si>
  <si>
    <t>• Duplicate check: Transaction_ID uniqueness enforced before each push</t>
  </si>
  <si>
    <t>⬇ PULL  (Cloud → Excel)</t>
  </si>
  <si>
    <t>• Fetches latest approved transactions from Firebase</t>
  </si>
  <si>
    <t>• Refreshes Manager_Dashboard KPI cards in real-time</t>
  </si>
  <si>
    <t>• Updates Daily_Balancing / Weekly_Balancing / Monthly_Balancing</t>
  </si>
  <si>
    <t>• Overwrites local if cloud timestamp is newer (conflict resolution)</t>
  </si>
  <si>
    <t>• Customer balances recalculated automatically after pull</t>
  </si>
  <si>
    <t>📴 OFFLINE MODE</t>
  </si>
  <si>
    <t>• Full system works offline — all formulas, validation, security active</t>
  </si>
  <si>
    <t>• New transactions queued in Audit_Log (offline queue)</t>
  </si>
  <si>
    <t>• Queue auto-flushes when internet connection restored</t>
  </si>
  <si>
    <t>• Agent security codes, min-balance enforcement — all offline-capable</t>
  </si>
  <si>
    <t>• No data loss guaranteed — local state always preserved</t>
  </si>
  <si>
    <t>🗃️  CLOUD DATABASE SCHEMA</t>
  </si>
  <si>
    <t>Collection: savings</t>
  </si>
  <si>
    <t>account_no | customer_name | amount | agent | date | status | transaction_id | timestamp</t>
  </si>
  <si>
    <t>Collection: withdrawals</t>
  </si>
  <si>
    <t>Collection: loans</t>
  </si>
  <si>
    <t>loan_id | account_no | customer_name | amount | purpose | months | rate | status | agent | timestamp</t>
  </si>
  <si>
    <t>Collection: customers</t>
  </si>
  <si>
    <t>account_no | full_name | agent | opening_balance | current_balance | status | phone | location</t>
  </si>
  <si>
    <t>Collection: master_archive</t>
  </si>
  <si>
    <t>all above + year | month | session | archived_at</t>
  </si>
  <si>
    <t>Primary Keys</t>
  </si>
  <si>
    <t>Transaction_ID (savings/withdrawals)  |  Loan_ID (loans)  |  Account_No (customers)</t>
  </si>
  <si>
    <t>📋  SYNC LOG — Last 50 Operations</t>
  </si>
  <si>
    <t>Timestamp</t>
  </si>
  <si>
    <t>Operation</t>
  </si>
  <si>
    <t>Records</t>
  </si>
  <si>
    <t>Module</t>
  </si>
  <si>
    <t>Duration (s)</t>
  </si>
  <si>
    <t>🔐  SECURITY CONFIGURATION</t>
  </si>
  <si>
    <t>JWT Auth</t>
  </si>
  <si>
    <t>Enabled — tokens auto-refresh every 24 hours via VBA timer</t>
  </si>
  <si>
    <t>Role-Based Access</t>
  </si>
  <si>
    <t>Manager / Agent — agents can only push their own sheet data</t>
  </si>
  <si>
    <t>Agent Code Validation</t>
  </si>
  <si>
    <t>4-digit security code required for every transaction (pre-configured)</t>
  </si>
  <si>
    <t>Min Balance Guard</t>
  </si>
  <si>
    <t>GHC 10 minimum enforced both in Excel and cloud validation layer</t>
  </si>
  <si>
    <t>API Rate Limiting</t>
  </si>
  <si>
    <t>Max 100 requests/minute per agent — prevents abuse</t>
  </si>
  <si>
    <t>Data Encryption</t>
  </si>
  <si>
    <t>AES-256 at rest (Firebase) + TLS 1.3 in transit</t>
  </si>
  <si>
    <t>Duplicate Prevention</t>
  </si>
  <si>
    <t>Transaction_ID hash checked before any write to cloud</t>
  </si>
  <si>
    <t>★  Samicious Microfinance Management System v7  |  Cloud Sync Engine  |  Frank IT Consultant</t>
  </si>
  <si>
    <t>👥  AGENTS DATABASE — Pre-loaded | All 10 Agents</t>
  </si>
  <si>
    <t>System pre-configured — Do NOT modify agent codes</t>
  </si>
  <si>
    <t>Agent_Code</t>
  </si>
  <si>
    <t>Agent_Name</t>
  </si>
  <si>
    <t>Email</t>
  </si>
  <si>
    <t>PIN_Hash</t>
  </si>
  <si>
    <t>Last_Login</t>
  </si>
  <si>
    <t>Session_Token</t>
  </si>
  <si>
    <t>Min_Balance_GHC</t>
  </si>
  <si>
    <t>Agent_4Digit_Code</t>
  </si>
  <si>
    <t>Working_Area</t>
  </si>
  <si>
    <t>Agent01</t>
  </si>
  <si>
    <t>Active</t>
  </si>
  <si>
    <t>agent01@samicious.com</t>
  </si>
  <si>
    <t>AGENT01PIN</t>
  </si>
  <si>
    <t>4832</t>
  </si>
  <si>
    <t>Agent01_Area</t>
  </si>
  <si>
    <t>Agent02</t>
  </si>
  <si>
    <t>agent02@samicious.com</t>
  </si>
  <si>
    <t>AGENT02PIN</t>
  </si>
  <si>
    <t>9174</t>
  </si>
  <si>
    <t>Agent02_Area</t>
  </si>
  <si>
    <t>Agent03</t>
  </si>
  <si>
    <t>agent03@samicious.com</t>
  </si>
  <si>
    <t>AGENT03PIN</t>
  </si>
  <si>
    <t>2651</t>
  </si>
  <si>
    <t>Agent03_Area</t>
  </si>
  <si>
    <t>Agent04</t>
  </si>
  <si>
    <t>agent04@samicious.com</t>
  </si>
  <si>
    <t>AGENT04PIN</t>
  </si>
  <si>
    <t>7389</t>
  </si>
  <si>
    <t>Agent04_Area</t>
  </si>
  <si>
    <t>Agent05</t>
  </si>
  <si>
    <t>agent05@samicious.com</t>
  </si>
  <si>
    <t>AGENT05PIN</t>
  </si>
  <si>
    <t>5216</t>
  </si>
  <si>
    <t>Agent05_Area</t>
  </si>
  <si>
    <t>Agent06</t>
  </si>
  <si>
    <t>agent06@samicious.com</t>
  </si>
  <si>
    <t>AGENT06PIN</t>
  </si>
  <si>
    <t>8043</t>
  </si>
  <si>
    <t>Agent06_Area</t>
  </si>
  <si>
    <t>Agent07</t>
  </si>
  <si>
    <t>agent07@samicious.com</t>
  </si>
  <si>
    <t>AGENT07PIN</t>
  </si>
  <si>
    <t>3571</t>
  </si>
  <si>
    <t>Agent07_Area</t>
  </si>
  <si>
    <t>Agent08</t>
  </si>
  <si>
    <t>agent08@samicious.com</t>
  </si>
  <si>
    <t>AGENT08PIN</t>
  </si>
  <si>
    <t>6920</t>
  </si>
  <si>
    <t>Agent08_Area</t>
  </si>
  <si>
    <t>Agent09</t>
  </si>
  <si>
    <t>agent09@samicious.com</t>
  </si>
  <si>
    <t>AGENT09PIN</t>
  </si>
  <si>
    <t>1748</t>
  </si>
  <si>
    <t>Agent09_Area</t>
  </si>
  <si>
    <t>Agent10</t>
  </si>
  <si>
    <t>agent10@samicious.com</t>
  </si>
  <si>
    <t>AGENT10PIN</t>
  </si>
  <si>
    <t>9305</t>
  </si>
  <si>
    <t>Agent10_Area</t>
  </si>
  <si>
    <t>⚙️  SYSTEM CONFIG</t>
  </si>
  <si>
    <t>Company</t>
  </si>
  <si>
    <t>SAMICIOUS MICROFINANCE</t>
  </si>
  <si>
    <t>GHC</t>
  </si>
  <si>
    <t>2.5% per month flat</t>
  </si>
  <si>
    <t>Max Loan</t>
  </si>
  <si>
    <t>GHC 50,000</t>
  </si>
  <si>
    <t>Min Loan</t>
  </si>
  <si>
    <t>GHC 100</t>
  </si>
  <si>
    <t>Agents</t>
  </si>
  <si>
    <t>Min Balance (GHC)</t>
  </si>
  <si>
    <t>Min Balance Rule</t>
  </si>
  <si>
    <t>Non-withdrawable reserve — enforced on ALL withdrawals</t>
  </si>
  <si>
    <t>ID Required</t>
  </si>
  <si>
    <t>Optional (Ghana Card / Voter ID both optional)</t>
  </si>
  <si>
    <t>Rate Format</t>
  </si>
  <si>
    <t>Percentage (%) ONLY — never GHC</t>
  </si>
  <si>
    <t>Version</t>
  </si>
  <si>
    <t>3.0.0 — Security + Compliance Upgrade</t>
  </si>
  <si>
    <t>Upgraded</t>
  </si>
  <si>
    <t>2026-04-15</t>
  </si>
  <si>
    <t>🔑  AGENT SECURITY CODES — REFERENCE</t>
  </si>
  <si>
    <t>Agent Name</t>
  </si>
  <si>
    <t>4-Digit Code</t>
  </si>
  <si>
    <t>Working Area</t>
  </si>
  <si>
    <t>Keep code confidential</t>
  </si>
  <si>
    <t>🔒  AUDIT LOG</t>
  </si>
  <si>
    <t>📋  VBA MACROS REFERENCE — V4 UPGRADED</t>
  </si>
  <si>
    <t>📋  VBA MACROS REFERENCE — V9 REBUILT</t>
  </si>
  <si>
    <t>' ══════════════════════════════════════════════════════════════════════════</t>
  </si>
  <si>
    <t>' SAMICIOUS MICROFINANCE V9 — VBA AUTOMATION</t>
  </si>
  <si>
    <t>' NEW IN V9:</t>
  </si>
  <si>
    <t>'   - Customer Account Database: formula-driven auto-populate (NO save trigger)</t>
  </si>
  <si>
    <t>'   - Search: Account Number ONLY</t>
  </si>
  <si>
    <t>'   - GenerateAccount: writes to DB_Customers, triggers formula refresh</t>
  </si>
  <si>
    <t>' HOW TO USE:</t>
  </si>
  <si>
    <t>'   1. Alt+F11 → Insert → Module → paste ALL code below</t>
  </si>
  <si>
    <t>'   2. Paste ThisWorkbook code into ThisWorkbook object</t>
  </si>
  <si>
    <t>Option Explicit</t>
  </si>
  <si>
    <t>' ─── ACCOUNT NUMBER GENERATION ────────────────────────────────────────────</t>
  </si>
  <si>
    <t>Function GenAcctNo() As String</t>
  </si>
  <si>
    <t xml:space="preserve">    Dim fn As String, yr As String, ph As String</t>
  </si>
  <si>
    <t xml:space="preserve">    Dim ws As Worksheet: Set ws = ThisWorkbook.Sheets("Account_Opening")</t>
  </si>
  <si>
    <t xml:space="preserve">    fn = UCase(Left(Trim(ws.Range("C5").Value), 3))</t>
  </si>
  <si>
    <t xml:space="preserve">    If IsDate(ws.Range("C7").Value) Then</t>
  </si>
  <si>
    <t xml:space="preserve">        yr = Format(Year(CDate(ws.Range("C7").Value)), "0000")</t>
  </si>
  <si>
    <t xml:space="preserve">    ElseIf Len(Trim(ws.Range("C7").Value)) &gt;= 4 Then</t>
  </si>
  <si>
    <t xml:space="preserve">        yr = Left(Trim(ws.Range("C7").Value), 4)</t>
  </si>
  <si>
    <t xml:space="preserve">    Else</t>
  </si>
  <si>
    <t xml:space="preserve">        yr = Format(Year(Date), "0000")</t>
  </si>
  <si>
    <t xml:space="preserve">    End If</t>
  </si>
  <si>
    <t xml:space="preserve">    ph = Right(Trim(ws.Range("C8").Value), 4)</t>
  </si>
  <si>
    <t xml:space="preserve">    GenAcctNo = fn &amp; yr &amp; ph</t>
  </si>
  <si>
    <t>End Function</t>
  </si>
  <si>
    <t>' ─── GENERATE ACCOUNT (writes to DB_Customers + Audit_Log) ──────────────</t>
  </si>
  <si>
    <t>Sub GenerateAccount()</t>
  </si>
  <si>
    <t xml:space="preserve">    Dim wsForm As Worksheet, wsDB As Worksheet, wsAudit As Worksheet</t>
  </si>
  <si>
    <t xml:space="preserve">    Dim nextRow As Long, accNum As String</t>
  </si>
  <si>
    <t xml:space="preserve">    On Error GoTo ErrHandler</t>
  </si>
  <si>
    <t xml:space="preserve">    Set wsForm  = ThisWorkbook.Sheets("Account_Opening")</t>
  </si>
  <si>
    <t xml:space="preserve">    Set wsDB    = ThisWorkbook.Sheets("DB_Customers")</t>
  </si>
  <si>
    <t xml:space="preserve">    Set wsAudit = ThisWorkbook.Sheets("Audit_Log")</t>
  </si>
  <si>
    <t xml:space="preserve">    ' Validate required fields</t>
  </si>
  <si>
    <t xml:space="preserve">    If Trim(wsForm.Range("C5").Value) = "" Then MsgBox "First Name required.", vbExclamation: Exit Sub</t>
  </si>
  <si>
    <t xml:space="preserve">    If Trim(wsForm.Range("C6").Value) = "" Then MsgBox "Last Name required.", vbExclamation: Exit Sub</t>
  </si>
  <si>
    <t xml:space="preserve">    If Trim(wsForm.Range("C7").Value) = "" Then MsgBox "Date of Birth required.", vbExclamation: Exit Sub</t>
  </si>
  <si>
    <t xml:space="preserve">    If Trim(wsForm.Range("C8").Value) = "" Then MsgBox "Phone Number required.", vbExclamation: Exit Sub</t>
  </si>
  <si>
    <t xml:space="preserve">    If Trim(wsForm.Range("C9").Value) = "" Then MsgBox "Location required.", vbExclamation: Exit Sub</t>
  </si>
  <si>
    <t xml:space="preserve">    If Trim(wsForm.Range("C10").Value) = "" Then MsgBox "Occupation required.", vbExclamation: Exit Sub</t>
  </si>
  <si>
    <t xml:space="preserve">    If Trim(wsForm.Range("C11").Value) = "" Then MsgBox "Agent required.", vbExclamation: Exit Sub</t>
  </si>
  <si>
    <t xml:space="preserve">    If Not IsNumeric(wsForm.Range("C12").Value) Or CDbl(wsForm.Range("C12").Value) &lt; 10 Then</t>
  </si>
  <si>
    <t xml:space="preserve">        MsgBox "Opening balance must be at least GHC 10.00.", vbExclamation: Exit Sub</t>
  </si>
  <si>
    <t xml:space="preserve">    accNum = Trim(wsForm.Range("C16").Value)</t>
  </si>
  <si>
    <t xml:space="preserve">    If accNum = "" Then accNum = GenAcctNo()</t>
  </si>
  <si>
    <t xml:space="preserve">    ' Duplicate check</t>
  </si>
  <si>
    <t xml:space="preserve">    If Application.CountIf(wsDB.Columns(1), accNum) &gt; 0 Then</t>
  </si>
  <si>
    <t xml:space="preserve">        MsgBox "DUPLICATE: " &amp; accNum &amp; " already exists.", vbCritical: Exit Sub</t>
  </si>
  <si>
    <t xml:space="preserve">    ' Find next empty DB row (headers row 3, data from row 4)</t>
  </si>
  <si>
    <t xml:space="preserve">    nextRow = wsDB.Cells(wsDB.Rows.Count, 1).End(xlUp).Row + 1</t>
  </si>
  <si>
    <t xml:space="preserve">    If nextRow &lt; 4 Then nextRow = 4</t>
  </si>
  <si>
    <t xml:space="preserve">    ' Write to DB_Customers</t>
  </si>
  <si>
    <t xml:space="preserve">    With wsDB</t>
  </si>
  <si>
    <t xml:space="preserve">        .Cells(nextRow, 1)  = accNum                              ' Account_No</t>
  </si>
  <si>
    <t xml:space="preserve">        .Cells(nextRow, 2)  = Trim(wsForm.Range("C5").Value)     ' First_Name</t>
  </si>
  <si>
    <t xml:space="preserve">        .Cells(nextRow, 3)  = Trim(wsForm.Range("C6").Value)     ' Last_Name</t>
  </si>
  <si>
    <t xml:space="preserve">        .Cells(nextRow, 4)  = Trim(wsForm.Range("C5")) &amp; " " &amp; Trim(wsForm.Range("C6")) ' Full_Name</t>
  </si>
  <si>
    <t xml:space="preserve">        .Cells(nextRow, 5)  = Trim(wsForm.Range("C14").Value)    ' ID_Card_Type</t>
  </si>
  <si>
    <t xml:space="preserve">        .Cells(nextRow, 6)  = Trim(wsForm.Range("C15").Value)    ' ID_Number</t>
  </si>
  <si>
    <t xml:space="preserve">        .Cells(nextRow, 7)  = Trim(wsForm.Range("C10").Value)    ' Occupation</t>
  </si>
  <si>
    <t xml:space="preserve">        .Cells(nextRow, 8)  = Trim(wsForm.Range("C11").Value)    ' Agent_Assigned</t>
  </si>
  <si>
    <t xml:space="preserve">        .Cells(nextRow, 9)  = CDbl(wsForm.Range("C12").Value)    ' Opening_Balance</t>
  </si>
  <si>
    <t xml:space="preserve">        .Cells(nextRow, 10) = Date                                ' Account_Date</t>
  </si>
  <si>
    <t xml:space="preserve">        .Cells(nextRow, 11) = "Active"                            ' Status</t>
  </si>
  <si>
    <t xml:space="preserve">        ' Cols 12-16 (L-P): formula-driven (SUMIF etc) — leave blank for formula rows</t>
  </si>
  <si>
    <t xml:space="preserve">        .Cells(nextRow, 17) = wsForm.Range("C7").Value           ' Date_of_Birth (Q)</t>
  </si>
  <si>
    <t xml:space="preserve">        .Cells(nextRow, 18) = Trim(wsForm.Range("C8").Value)     ' Phone (R)</t>
  </si>
  <si>
    <t xml:space="preserve">        .Cells(nextRow, 19) = Trim(wsForm.Range("C9").Value)     ' Location (S)</t>
  </si>
  <si>
    <t xml:space="preserve">        .Cells(nextRow, 20) = Trim(wsForm.Range("C13").Value)    ' Next_of_Kin (T)</t>
  </si>
  <si>
    <t xml:space="preserve">        ' Format dates</t>
  </si>
  <si>
    <t xml:space="preserve">        .Cells(nextRow, 10).NumberFormat = "DD/MM/YYYY"</t>
  </si>
  <si>
    <t xml:space="preserve">        .Cells(nextRow, 17).NumberFormat = "DD/MM/YYYY"</t>
  </si>
  <si>
    <t xml:space="preserve">        .Cells(nextRow, 9).NumberFormat  = "#,##0.00"</t>
  </si>
  <si>
    <t xml:space="preserve">        ' Extend formulas for financial columns L-P</t>
  </si>
  <si>
    <t xml:space="preserve">        If nextRow &gt; 4 Then</t>
  </si>
  <si>
    <t xml:space="preserve">            .Cells(nextRow, 12).Formula = "=SUMIF(DB_Savings!$C:$C,A" &amp; nextRow &amp; ",DB_Savings!$F:$F)"</t>
  </si>
  <si>
    <t xml:space="preserve">            .Cells(nextRow, 13).Formula = "=SUMIF(DB_Withdrawals!$C:$C,A" &amp; nextRow &amp; ",DB_Withdrawals!$G:$G)"</t>
  </si>
  <si>
    <t xml:space="preserve">            .Cells(nextRow, 14).Formula = "=I" &amp; nextRow &amp; "+L" &amp; nextRow &amp; "-M" &amp; nextRow</t>
  </si>
  <si>
    <t xml:space="preserve">            .Cells(nextRow, 15).Formula = "=TRUE()"</t>
  </si>
  <si>
    <t xml:space="preserve">            .Cells(nextRow, 16).Formula = "=MAX(0,N" &amp; nextRow &amp; "-System_Config!$B$9)"</t>
  </si>
  <si>
    <t xml:space="preserve">        End If</t>
  </si>
  <si>
    <t xml:space="preserve">    End With</t>
  </si>
  <si>
    <t xml:space="preserve">    ' Audit Log entry</t>
  </si>
  <si>
    <t xml:space="preserve">    Dim auditRow As Long</t>
  </si>
  <si>
    <t xml:space="preserve">    auditRow = wsAudit.Cells(wsAudit.Rows.Count, 1).End(xlUp).Row + 1</t>
  </si>
  <si>
    <t xml:space="preserve">    If auditRow &lt; 2 Then auditRow = 2</t>
  </si>
  <si>
    <t xml:space="preserve">    wsAudit.Cells(auditRow, 1) = Now()</t>
  </si>
  <si>
    <t xml:space="preserve">    wsAudit.Cells(auditRow, 2) = "ACCOUNT CREATED"</t>
  </si>
  <si>
    <t xml:space="preserve">    wsAudit.Cells(auditRow, 3) = accNum</t>
  </si>
  <si>
    <t xml:space="preserve">    wsAudit.Cells(auditRow, 4) = Trim(wsForm.Range("C5")) &amp; " " &amp; Trim(wsForm.Range("C6"))</t>
  </si>
  <si>
    <t xml:space="preserve">    wsAudit.Cells(auditRow, 5) = Trim(wsForm.Range("C11").Value)</t>
  </si>
  <si>
    <t xml:space="preserve">    wsAudit.Cells(auditRow, 6) = "Account opened with balance GHC " &amp; wsForm.Range("C12").Value</t>
  </si>
  <si>
    <t xml:space="preserve">    wsAudit.Cells(auditRow, 1).NumberFormat = "DD/MM/YYYY HH:MM:SS"</t>
  </si>
  <si>
    <t xml:space="preserve">    ' Clear form</t>
  </si>
  <si>
    <t xml:space="preserve">    Dim clearList As Variant</t>
  </si>
  <si>
    <t xml:space="preserve">    clearList = Array("C5","C6","C7","C8","C9","C10","C11","C12","C13","C14","C15","C38","C43")</t>
  </si>
  <si>
    <t xml:space="preserve">    Dim f As Variant</t>
  </si>
  <si>
    <t xml:space="preserve">    For Each f In clearList</t>
  </si>
  <si>
    <t xml:space="preserve">        wsForm.Range(CStr(f)).ClearContents</t>
  </si>
  <si>
    <t xml:space="preserve">    Next f</t>
  </si>
  <si>
    <t xml:space="preserve">    ' Force recalculate so CAD formulas refresh</t>
  </si>
  <si>
    <t xml:space="preserve">    Application.Calculate</t>
  </si>
  <si>
    <t xml:space="preserve">    MsgBox "✅ Account " &amp; accNum &amp; " committed to database." &amp; Chr(13) &amp; _</t>
  </si>
  <si>
    <t xml:space="preserve">           "Form cleared. Customer Database updated instantly.", vbInformation, "Account Created"</t>
  </si>
  <si>
    <t xml:space="preserve">    Exit Sub</t>
  </si>
  <si>
    <t>ErrHandler:</t>
  </si>
  <si>
    <t xml:space="preserve">    MsgBox "Error " &amp; Err.Number &amp; ": " &amp; Err.Description, vbCritical, "Error"</t>
  </si>
  <si>
    <t>End Sub</t>
  </si>
  <si>
    <t>' ─── THISWORKBOOK CODE (paste into ThisWorkbook object) ─────────────────</t>
  </si>
  <si>
    <t>' Private Sub Workbook_Open()</t>
  </si>
  <si>
    <t>'     Application.ScreenUpdating = False</t>
  </si>
  <si>
    <t>'     ThisWorkbook.Sheets("Manager_Dashboard").Activate</t>
  </si>
  <si>
    <t>'     Application.ScreenUpdating = True</t>
  </si>
  <si>
    <t>' End Sub</t>
  </si>
  <si>
    <t>' ─── SEARCH HELPER: called from Search button if added ──────────────────</t>
  </si>
  <si>
    <t>Sub ClearSearch()</t>
  </si>
  <si>
    <t xml:space="preserve">    ThisWorkbook.Sheets("Customer Account Database").Range("C5").ClearContents</t>
  </si>
  <si>
    <t>' ─── MIN BALANCE GUARD (called from withdrawal sheets) ──────────────────</t>
  </si>
  <si>
    <t>Sub CheckMinBalance(sheetName As String, transRow As Long)</t>
  </si>
  <si>
    <t xml:space="preserve">    Dim ws As Worksheet: Set ws = ThisWorkbook.Sheets(sheetName)</t>
  </si>
  <si>
    <t xml:space="preserve">    If Not IsNumeric(ws.Cells(transRow, 6).Value) Then Exit Sub</t>
  </si>
  <si>
    <t xml:space="preserve">    If CDbl(ws.Cells(transRow, 6).Value) &lt; 10 Then</t>
  </si>
  <si>
    <t xml:space="preserve">        MsgBox "WITHDRAWAL BLOCKED" &amp; Chr(13) &amp; _</t>
  </si>
  <si>
    <t xml:space="preserve">               "Balance after: GHC " &amp; Format(ws.Cells(transRow,6).Value,"#,##0.00") &amp; Chr(13) &amp; _</t>
  </si>
  <si>
    <t xml:space="preserve">               "Minimum balance is GHC 10.00", vbCritical, "Min Balance Violation"</t>
  </si>
  <si>
    <t xml:space="preserve">        ws.Cells(transRow, 5).ClearContents</t>
  </si>
  <si>
    <t>Sub SubmitLoanRequest()</t>
  </si>
  <si>
    <t xml:space="preserve">    Dim ws As Worksheet: Set ws = ActiveSheet</t>
  </si>
  <si>
    <t xml:space="preserve">    Dim dbL As Worksheet: Set dbL = ThisWorkbook.Sheets("DB_Loans")</t>
  </si>
  <si>
    <t xml:space="preserve">    Dim dbC As Worksheet: Set dbC = ThisWorkbook.Sheets("DB_Customers")</t>
  </si>
  <si>
    <t xml:space="preserve">    Dim entryRow As Long: entryRow = 0</t>
  </si>
  <si>
    <t xml:space="preserve">    Dim r As Long</t>
  </si>
  <si>
    <t xml:space="preserve">    For r = 14 To 113</t>
  </si>
  <si>
    <t xml:space="preserve">        If ws.Cells(r, 2).Value &lt;&gt; "" And ws.Cells(r, 5).Value &lt;&gt; "" And ws.Cells(r, 7).Value &lt;&gt; "" Then</t>
  </si>
  <si>
    <t xml:space="preserve">            entryRow = r: Exit For</t>
  </si>
  <si>
    <t xml:space="preserve">    Next r</t>
  </si>
  <si>
    <t xml:space="preserve">    If entryRow = 0 Then MsgBox "No complete loan entry found.", vbExclamation: Exit Sub</t>
  </si>
  <si>
    <t xml:space="preserve">    Dim acct As String: acct = CStr(ws.Cells(entryRow, 2).Value)</t>
  </si>
  <si>
    <t xml:space="preserve">    Dim lamt As Double: lamt = ws.Cells(entryRow, 5).Value</t>
  </si>
  <si>
    <t xml:space="preserve">    Dim purp As String: purp = CStr(ws.Cells(entryRow, 6).Value)</t>
  </si>
  <si>
    <t xml:space="preserve">    Dim mos  As Integer: mos = CInt(ws.Cells(entryRow, 7).Value)</t>
  </si>
  <si>
    <t xml:space="preserve">    Dim rate As Double: rate = ws.Cells(entryRow, 8).Value</t>
  </si>
  <si>
    <t xml:space="preserve">    Dim note As String: note = CStr(ws.Cells(entryRow, 13).Value)</t>
  </si>
  <si>
    <t xml:space="preserve">    Dim agt  As String: agt  = CStr(ws.Cells(entryRow, 12).Value)</t>
  </si>
  <si>
    <t xml:space="preserve">    If lamt &lt; 100 Or lamt &gt; 50000 Then MsgBox "Loan must be GHC 100 – 50,000!", vbExclamation: Exit Sub</t>
  </si>
  <si>
    <t xml:space="preserve">    If mos &lt; 1 Or mos &gt; 36 Then MsgBox "Duration must be 1–36 months!", vbExclamation: Exit Sub</t>
  </si>
  <si>
    <t xml:space="preserve">    Dim custRow As Variant</t>
  </si>
  <si>
    <t xml:space="preserve">    custRow = Application.Match(acct, dbC.Columns(1), 0)</t>
  </si>
  <si>
    <t xml:space="preserve">    If IsError(custRow) Then MsgBox "Account not found!", vbCritical: Exit Sub</t>
  </si>
  <si>
    <t xml:space="preserve">    Dim total As Double: total = lamt + (lamt * rate / 100 * mos)</t>
  </si>
  <si>
    <t xml:space="preserve">    Dim monthly As Double: monthly = total / mos</t>
  </si>
  <si>
    <t xml:space="preserve">    Dim loanID As String: loanID = "LN" &amp; Format(Date, "YYYYMMDD") &amp; Format(dbL.Cells(Rows.Count, 1).End(xlUp).Row - 2, "0000")</t>
  </si>
  <si>
    <t xml:space="preserve">    Dim lr As Long: lr = dbL.Cells(Rows.Count, 1).End(xlUp).Row + 1</t>
  </si>
  <si>
    <t xml:space="preserve">    dbL.Cells(lr, 1).Value  = loanID</t>
  </si>
  <si>
    <t xml:space="preserve">    dbL.Cells(lr, 2).Value  = acct</t>
  </si>
  <si>
    <t xml:space="preserve">    dbL.Cells(lr, 3).Value  = dbC.Cells(custRow, 4).Value</t>
  </si>
  <si>
    <t xml:space="preserve">    dbL.Cells(lr, 4).Value  = Date</t>
  </si>
  <si>
    <t xml:space="preserve">    dbL.Cells(lr, 5).Value  = lamt</t>
  </si>
  <si>
    <t xml:space="preserve">    dbL.Cells(lr, 6).Value  = purp</t>
  </si>
  <si>
    <t xml:space="preserve">    dbL.Cells(lr, 7).Value  = mos</t>
  </si>
  <si>
    <t xml:space="preserve">    dbL.Cells(lr, 8).Value  = rate</t>
  </si>
  <si>
    <t xml:space="preserve">    dbL.Cells(lr, 9).Value  = total</t>
  </si>
  <si>
    <t xml:space="preserve">    dbL.Cells(lr, 10).Value = monthly</t>
  </si>
  <si>
    <t xml:space="preserve">    dbL.Cells(lr, 11).Value = "Pending"</t>
  </si>
  <si>
    <t xml:space="preserve">    dbL.Cells(lr, 12).Value = agt</t>
  </si>
  <si>
    <t xml:space="preserve">    dbL.Cells(lr, 13).Value = note</t>
  </si>
  <si>
    <t xml:space="preserve">    LogAudit "LOAN_SUBMITTED", "Loan " &amp; loanID &amp; " Account: " &amp; acct &amp; " GHC " &amp; lamt</t>
  </si>
  <si>
    <t xml:space="preserve">    MsgBox "✅ Loan Request Submitted!" &amp; vbCrLf &amp; vbCrLf &amp; "Loan ID: " &amp; loanID &amp; vbCrLf &amp; "Amount: GHC " &amp; Format(lamt, "#,##0.00") &amp; vbCrLf &amp; "Total Repayable: GHC " &amp; Format(total, "#,##0.00") &amp; vbCrLf &amp; "Monthly: GHC " &amp; Format(monthly, "#,##0.00") &amp; vbCrLf &amp; "Status: Pending Manager Approval", vbInformation, "Loan Submitted"</t>
  </si>
  <si>
    <t>' ─── APPROVE LOAN ─────────────────────────────────────────</t>
  </si>
  <si>
    <t>Sub ApproveLoan()</t>
  </si>
  <si>
    <t xml:space="preserve">    Dim loanID As String</t>
  </si>
  <si>
    <t xml:space="preserve">    loanID = InputBox("Enter Loan ID to approve:", "Approve Loan")</t>
  </si>
  <si>
    <t xml:space="preserve">    If loanID = "" Then Exit Sub</t>
  </si>
  <si>
    <t xml:space="preserve">    Dim dbS As Worksheet: Set dbS = ThisWorkbook.Sheets("DB_Savings")</t>
  </si>
  <si>
    <t xml:space="preserve">    Dim loanRow As Variant</t>
  </si>
  <si>
    <t xml:space="preserve">    loanRow = Application.Match(loanID, dbL.Columns(1), 0)</t>
  </si>
  <si>
    <t xml:space="preserve">    If IsError(loanRow) Then MsgBox "Loan ID not found!", vbCritical: Exit Sub</t>
  </si>
  <si>
    <t xml:space="preserve">    If dbL.Cells(loanRow, 11).Value &lt;&gt; "Pending" Then</t>
  </si>
  <si>
    <t xml:space="preserve">        MsgBox "Loan is already: " &amp; dbL.Cells(loanRow, 11).Value, vbInformation: Exit Sub</t>
  </si>
  <si>
    <t xml:space="preserve">    dbL.Cells(loanRow, 11).Value = "Approved"</t>
  </si>
  <si>
    <t xml:space="preserve">    ' Credit loan amount to customer savings as special entry</t>
  </si>
  <si>
    <t xml:space="preserve">    Dim acct As String: acct = CStr(dbL.Cells(loanRow, 2).Value)</t>
  </si>
  <si>
    <t xml:space="preserve">    Dim lamt As Double: lamt = dbL.Cells(loanRow, 5).Value</t>
  </si>
  <si>
    <t xml:space="preserve">    Dim lr As Long: lr = dbS.Cells(Rows.Count, 1).End(xlUp).Row + 1</t>
  </si>
  <si>
    <t xml:space="preserve">    dbS.Cells(lr, 1).Value = lr - 3</t>
  </si>
  <si>
    <t xml:space="preserve">    dbS.Cells(lr, 2).Value = "LN_CREDIT_" &amp; loanID</t>
  </si>
  <si>
    <t xml:space="preserve">    dbS.Cells(lr, 3).Value = acct</t>
  </si>
  <si>
    <t xml:space="preserve">    Dim custRow As Variant: custRow = Application.Match(acct, dbC.Columns(1), 0)</t>
  </si>
  <si>
    <t xml:space="preserve">    If Not IsError(custRow) Then dbS.Cells(lr, 4).Value = dbC.Cells(custRow, 4).Value</t>
  </si>
  <si>
    <t xml:space="preserve">    dbS.Cells(lr, 5).Value = Date</t>
  </si>
  <si>
    <t xml:space="preserve">    dbS.Cells(lr, 6).Value = lamt</t>
  </si>
  <si>
    <t xml:space="preserve">    dbS.Cells(lr, 7).Value = "Manager"</t>
  </si>
  <si>
    <t xml:space="preserve">    dbS.Cells(lr, 8).Value = "Loan Credit"</t>
  </si>
  <si>
    <t xml:space="preserve">    dbS.Cells(lr, 9).Value = Format(Now, "YYYY-MM-DD HH:MM:SS")</t>
  </si>
  <si>
    <t xml:space="preserve">    LogAudit "LOAN_APPROVED", "Loan " &amp; loanID &amp; " approved. GHC " &amp; lamt &amp; " credited to " &amp; acct</t>
  </si>
  <si>
    <t xml:space="preserve">    MsgBox "✅ Loan " &amp; loanID &amp; " APPROVED!" &amp; vbCrLf &amp; "GHC " &amp; Format(lamt, "#,##0.00") &amp; " has been credited to account " &amp; acct, vbInformation, "Loan Approved"</t>
  </si>
  <si>
    <t>' ─── BACKUP ───────────────────────────────────────────────</t>
  </si>
  <si>
    <t>Sub BackupDB()</t>
  </si>
  <si>
    <t xml:space="preserve">    Dim path As String</t>
  </si>
  <si>
    <t xml:space="preserve">    path = Environ("USERPROFILE") &amp; "\Desktop\SAMICIOUS_Backup_" &amp; Format(Now, "YYYYMMDD_HHMMSS") &amp; ".xlsm"</t>
  </si>
  <si>
    <t xml:space="preserve">    ThisWorkbook.SaveCopyAs path</t>
  </si>
  <si>
    <t xml:space="preserve">    LogAudit "BACKUP", "Saved to: " &amp; path</t>
  </si>
  <si>
    <t xml:space="preserve">    MsgBox "Backup saved to: " &amp; path, vbInformation</t>
  </si>
  <si>
    <t>' ─── AUDIT HELPER ─────────────────────────────────────────</t>
  </si>
  <si>
    <t>Sub LogAudit(action As String, detail As String)</t>
  </si>
  <si>
    <t xml:space="preserve">    On Error Resume Next</t>
  </si>
  <si>
    <t xml:space="preserve">    Dim aWS As Worksheet: Set aWS = ThisWorkbook.Sheets("Audit_Log")</t>
  </si>
  <si>
    <t xml:space="preserve">    If aWS Is Nothing Then Exit Sub</t>
  </si>
  <si>
    <t xml:space="preserve">    Dim lr As Long: lr = aWS.Cells(Rows.Count, 1).End(xlUp).Row + 1</t>
  </si>
  <si>
    <t xml:space="preserve">    aWS.Cells(lr, 1).Value = Now()</t>
  </si>
  <si>
    <t xml:space="preserve">    aWS.Cells(lr, 2).Value = Environ("USERNAME")</t>
  </si>
  <si>
    <t xml:space="preserve">    aWS.Cells(lr, 3).Value = action</t>
  </si>
  <si>
    <t xml:space="preserve">    aWS.Cells(lr, 4).Value = detail</t>
  </si>
  <si>
    <t xml:space="preserve">    On Error GoTo 0</t>
  </si>
  <si>
    <t>' SAMICIOUS MICROFINANCE V3 — UPGRADE LAYER (Append to existing Module)</t>
  </si>
  <si>
    <t>' COPY ALL CODE BELOW AND PASTE AFTER EXISTING VBA CODE IN SAME MODULE</t>
  </si>
  <si>
    <t>' ─── MINIMUM BALANCE ENFORCEMENT ──────────────────────────────────────────</t>
  </si>
  <si>
    <t>' Call this BEFORE SaveWithdrawalRow to enforce GHC 10 floor</t>
  </si>
  <si>
    <t>Function CheckMinBalance(acctNo As String) As Boolean</t>
  </si>
  <si>
    <t xml:space="preserve">    Dim sc  As Worksheet: Set sc  = ThisWorkbook.Sheets("System_Config")</t>
  </si>
  <si>
    <t xml:space="preserve">    Dim minBal As Double: minBal = sc.Range("B9").Value  ' GHC 10</t>
  </si>
  <si>
    <t xml:space="preserve">    custRow = Application.Match(acctNo, dbC.Columns(1), 0)</t>
  </si>
  <si>
    <t xml:space="preserve">    If IsError(custRow) Then CheckMinBalance = False: Exit Function</t>
  </si>
  <si>
    <t xml:space="preserve">    Dim curBal As Double: curBal = dbC.Cells(custRow, 14).Value</t>
  </si>
  <si>
    <t xml:space="preserve">    CheckMinBalance = (curBal &gt; minBal)</t>
  </si>
  <si>
    <t>Function GetWithdrawableBalance(acctNo As String) As Double</t>
  </si>
  <si>
    <t xml:space="preserve">    Dim minBal As Double: minBal = sc.Range("B9").Value</t>
  </si>
  <si>
    <t xml:space="preserve">    If IsError(custRow) Then GetWithdrawableBalance = 0: Exit Function</t>
  </si>
  <si>
    <t xml:space="preserve">    GetWithdrawableBalance = Application.WorksheetFunction.Max(0, curBal - minBal)</t>
  </si>
  <si>
    <t>' ─── UPGRADED WITHDRAWAL — enforces GHC 10 floor ─────────────────────────</t>
  </si>
  <si>
    <t>Sub SaveWithdrawalRow_V3()</t>
  </si>
  <si>
    <t xml:space="preserve">    Dim dbW As Worksheet: Set dbW = ThisWorkbook.Sheets("DB_Withdrawals")</t>
  </si>
  <si>
    <t xml:space="preserve">    For r = 9 To 208</t>
  </si>
  <si>
    <t xml:space="preserve">        If ws.Cells(r, 1).Value &lt;&gt; "" And ws.Cells(r, 5).Value &lt;&gt; "" _</t>
  </si>
  <si>
    <t xml:space="preserve">           And ws.Cells(r, 5).Value &gt; 0 Then</t>
  </si>
  <si>
    <t xml:space="preserve">    If entryRow = 0 Then MsgBox "No entry found.", vbExclamation: Exit Sub</t>
  </si>
  <si>
    <t xml:space="preserve">    Dim acct   As String: acct   = CStr(ws.Cells(entryRow, 1).Value)</t>
  </si>
  <si>
    <t xml:space="preserve">    Dim wamt   As Double: wamt   = ws.Cells(entryRow, 5).Value</t>
  </si>
  <si>
    <t xml:space="preserve">    Dim authBy As String: authBy = CStr(ws.Cells(entryRow, 6).Value)</t>
  </si>
  <si>
    <t xml:space="preserve">    Dim agt    As String: agt    = CStr(ws.Cells(entryRow, 8).Value)</t>
  </si>
  <si>
    <t xml:space="preserve">    Dim curBal      As Double: curBal      = dbC.Cells(custRow, 14).Value</t>
  </si>
  <si>
    <t xml:space="preserve">    Dim withdrawable As Double: withdrawable = Application.WorksheetFunction.Max(0, curBal - minBal)</t>
  </si>
  <si>
    <t xml:space="preserve">    Dim status  As String</t>
  </si>
  <si>
    <t xml:space="preserve">    Dim newBal  As Double</t>
  </si>
  <si>
    <t xml:space="preserve">    ' ── MINIMUM BALANCE CHECK (V3 rule) ──────────────────────────────────</t>
  </si>
  <si>
    <t xml:space="preserve">    If wamt &gt; withdrawable Then</t>
  </si>
  <si>
    <t xml:space="preserve">        Dim msg As String</t>
  </si>
  <si>
    <t xml:space="preserve">        msg = "⛔ WITHDRAWAL BLOCKED — Minimum Balance Rule" &amp; vbCrLf &amp; vbCrLf &amp; _</t>
  </si>
  <si>
    <t xml:space="preserve">              "Current Balance:    GHC " &amp; Format(curBal, "#,##0.00") &amp; vbCrLf &amp; _</t>
  </si>
  <si>
    <t xml:space="preserve">              "Minimum Balance:    GHC " &amp; Format(minBal, "#,##0.00") &amp; vbCrLf &amp; _</t>
  </si>
  <si>
    <t xml:space="preserve">              "Available to Withdraw: GHC " &amp; Format(withdrawable, "#,##0.00") &amp; vbCrLf &amp; _</t>
  </si>
  <si>
    <t xml:space="preserve">              "Requested Amount:   GHC " &amp; Format(wamt, "#,##0.00") &amp; vbCrLf &amp; vbCrLf &amp; _</t>
  </si>
  <si>
    <t xml:space="preserve">              "GHC " &amp; Format(minBal, "0.00") &amp; " minimum balance must be maintained at all times." &amp; vbCrLf &amp; _</t>
  </si>
  <si>
    <t xml:space="preserve">              "Maximum you can withdraw: GHC " &amp; Format(withdrawable, "#,##0.00")</t>
  </si>
  <si>
    <t xml:space="preserve">        MsgBox msg, vbCritical, "Minimum Balance Protection"</t>
  </si>
  <si>
    <t xml:space="preserve">        ' Log the blocked attempt</t>
  </si>
  <si>
    <t xml:space="preserve">        LogAudit "WITHDRAWAL_BLOCKED_MINBAL", _</t>
  </si>
  <si>
    <t xml:space="preserve">            "Account: " &amp; acct &amp; " | Requested: GHC " &amp; wamt &amp; _</t>
  </si>
  <si>
    <t xml:space="preserve">            " | Withdrawable: GHC " &amp; withdrawable &amp; " | Agent: " &amp; agt</t>
  </si>
  <si>
    <t xml:space="preserve">        Exit Sub</t>
  </si>
  <si>
    <t xml:space="preserve">    ' ── NORMAL BALANCE CHECK ─────────────────────────────────────────────</t>
  </si>
  <si>
    <t xml:space="preserve">    If curBal &gt;= wamt + minBal Then</t>
  </si>
  <si>
    <t xml:space="preserve">        status = "Successful": newBal = curBal - wamt</t>
  </si>
  <si>
    <t xml:space="preserve">        ' This branch only reached if wamt &lt;= withdrawable but something edge-cased</t>
  </si>
  <si>
    <t xml:space="preserve">    Dim lr As Long: lr = dbW.Cells(Rows.Count, 1).End(xlUp).Row + 1</t>
  </si>
  <si>
    <t xml:space="preserve">    dbW.Cells(lr, 1).Value  = lr - 3</t>
  </si>
  <si>
    <t xml:space="preserve">    dbW.Cells(lr, 2).Value  = "WDR" &amp; Format(Now, "YYYYMMDDHHMMSS")</t>
  </si>
  <si>
    <t xml:space="preserve">    dbW.Cells(lr, 3).Value  = acct</t>
  </si>
  <si>
    <t xml:space="preserve">    dbW.Cells(lr, 4).Value  = dbC.Cells(custRow, 4).Value</t>
  </si>
  <si>
    <t xml:space="preserve">    dbW.Cells(lr, 5).Value  = curBal</t>
  </si>
  <si>
    <t xml:space="preserve">    dbW.Cells(lr, 6).Value  = Date</t>
  </si>
  <si>
    <t xml:space="preserve">    dbW.Cells(lr, 7).Value  = wamt</t>
  </si>
  <si>
    <t xml:space="preserve">    dbW.Cells(lr, 8).Value  = authBy</t>
  </si>
  <si>
    <t xml:space="preserve">    dbW.Cells(lr, 9).Value  = newBal</t>
  </si>
  <si>
    <t xml:space="preserve">    dbW.Cells(lr, 10).Value = agt</t>
  </si>
  <si>
    <t xml:space="preserve">    dbW.Cells(lr, 11).Value = status</t>
  </si>
  <si>
    <t xml:space="preserve">    dbW.Cells(lr, 12).Value = Format(Now, "YYYY-MM-DD HH:MM:SS")</t>
  </si>
  <si>
    <t xml:space="preserve">    dbW.Cells(lr, 13).Value = withdrawable          ' Withdrawable_Before</t>
  </si>
  <si>
    <t xml:space="preserve">    dbW.Cells(lr, 14).Value = "✅ COMPLIANT"         ' Min_Bal_OK</t>
  </si>
  <si>
    <t xml:space="preserve">    dbW.Cells(lr, 15).Value = "LOCKED"               ' Lock_Status</t>
  </si>
  <si>
    <t xml:space="preserve">    ws.Cells(entryRow, 1).ClearContents</t>
  </si>
  <si>
    <t xml:space="preserve">    ws.Cells(entryRow, 5).ClearContents</t>
  </si>
  <si>
    <t xml:space="preserve">    LogAudit "WITHDRAWAL_" &amp; UCase(status), _</t>
  </si>
  <si>
    <t xml:space="preserve">        "Account: " &amp; acct &amp; " | Amount: GHC " &amp; wamt &amp; _</t>
  </si>
  <si>
    <t xml:space="preserve">        " | Balance After: GHC " &amp; newBal &amp; " | Min Retained: GHC " &amp; minBal</t>
  </si>
  <si>
    <t xml:space="preserve">    MsgBox "✅ Withdrawal SUCCESSFUL!" &amp; vbCrLf &amp; vbCrLf &amp; _</t>
  </si>
  <si>
    <t xml:space="preserve">           "Amount:          GHC " &amp; Format(wamt, "#,##0.00") &amp; vbCrLf &amp; _</t>
  </si>
  <si>
    <t xml:space="preserve">           "New Balance:     GHC " &amp; Format(newBal, "#,##0.00") &amp; vbCrLf &amp; _</t>
  </si>
  <si>
    <t xml:space="preserve">           "Reserved (Min):  GHC " &amp; Format(minBal, "#,##0.00"), _</t>
  </si>
  <si>
    <t xml:space="preserve">           vbInformation, "Withdrawal Successful"</t>
  </si>
  <si>
    <t>' ─── UPGRADED ACCOUNT CREATION — optional ID, min GHC 10 ─────────────────</t>
  </si>
  <si>
    <t>Sub CreateNewAccount_V3()</t>
  </si>
  <si>
    <t xml:space="preserve">    Dim aoWS As Worksheet: Set aoWS = ThisWorkbook.Sheets("Account_Opening")</t>
  </si>
  <si>
    <t xml:space="preserve">    Dim dbWS As Worksheet: Set dbWS = ThisWorkbook.Sheets("DB_Customers")</t>
  </si>
  <si>
    <t xml:space="preserve">    Dim sc   As Worksheet: Set sc   = ThisWorkbook.Sheets("System_Config")</t>
  </si>
  <si>
    <t xml:space="preserve">    Dim fn  As String: fn  = Trim(aoWS.Range("C5").Value)</t>
  </si>
  <si>
    <t xml:space="preserve">    Dim ln  As String: ln  = Trim(aoWS.Range("C6").Value)</t>
  </si>
  <si>
    <t xml:space="preserve">    Dim idt As String: idt = Trim(aoWS.Range("C7").Value)</t>
  </si>
  <si>
    <t xml:space="preserve">    Dim idn As String: idn = Trim(aoWS.Range("C8").Value)</t>
  </si>
  <si>
    <t xml:space="preserve">    Dim occ As String: occ = Trim(aoWS.Range("C9").Value)</t>
  </si>
  <si>
    <t xml:space="preserve">    Dim agt As String: agt = Trim(aoWS.Range("C10").Value)</t>
  </si>
  <si>
    <t xml:space="preserve">    Dim opb As Double: opb = aoWS.Range("C11").Value</t>
  </si>
  <si>
    <t xml:space="preserve">    ' ── Mandatory field checks ────────────────────────────────────────────</t>
  </si>
  <si>
    <t xml:space="preserve">    If fn = "" Or ln = "" Then</t>
  </si>
  <si>
    <t xml:space="preserve">        MsgBox "First Name and Last Name are required!", vbExclamation: Exit Sub</t>
  </si>
  <si>
    <t xml:space="preserve">    If agt = "" Then</t>
  </si>
  <si>
    <t xml:space="preserve">        MsgBox "Please assign an Agent!", vbExclamation: Exit Sub</t>
  </si>
  <si>
    <t xml:space="preserve">    ' ── Min balance check (ID is now OPTIONAL — V3 rule) ─────────────────</t>
  </si>
  <si>
    <t xml:space="preserve">    If opb &lt; minBal Then</t>
  </si>
  <si>
    <t xml:space="preserve">        MsgBox "⛔ Opening Balance must be at least GHC " &amp; Format(minBal, "0.00") &amp; vbCrLf &amp; vbCrLf &amp; _</t>
  </si>
  <si>
    <t xml:space="preserve">               "Entered: GHC " &amp; Format(opb, "0.00") &amp; vbCrLf &amp; _</t>
  </si>
  <si>
    <t xml:space="preserve">               "Please enter GHC " &amp; Format(minBal, "0.00") &amp; " or more to open this account.", _</t>
  </si>
  <si>
    <t xml:space="preserve">               vbCritical, "Minimum Opening Balance Required"</t>
  </si>
  <si>
    <t xml:space="preserve">    ' ── ID optional — use placeholder if blank ────────────────────────────</t>
  </si>
  <si>
    <t xml:space="preserve">    If idt = "" Then idt = "Not Provided"</t>
  </si>
  <si>
    <t xml:space="preserve">    If idn = "" Or idn = "718982195-0" Then idn = "Not Provided"</t>
  </si>
  <si>
    <t xml:space="preserve">    Dim newAcct As String: newAcct = GenAcctNo()</t>
  </si>
  <si>
    <t xml:space="preserve">    Dim lr As Long: lr = dbWS.Cells(Rows.Count, 1).End(xlUp).Row + 1</t>
  </si>
  <si>
    <t xml:space="preserve">    dbWS.Cells(lr, 1).Value  = newAcct</t>
  </si>
  <si>
    <t xml:space="preserve">    dbWS.Cells(lr, 2).Value  = fn</t>
  </si>
  <si>
    <t xml:space="preserve">    dbWS.Cells(lr, 3).Value  = ln</t>
  </si>
  <si>
    <t xml:space="preserve">    dbWS.Cells(lr, 4).Value  = fn &amp; " " &amp; ln</t>
  </si>
  <si>
    <t xml:space="preserve">    dbWS.Cells(lr, 5).Value  = idt</t>
  </si>
  <si>
    <t xml:space="preserve">    dbWS.Cells(lr, 6).Value  = idn</t>
  </si>
  <si>
    <t xml:space="preserve">    dbWS.Cells(lr, 7).Value  = occ</t>
  </si>
  <si>
    <t xml:space="preserve">    dbWS.Cells(lr, 8).Value  = agt</t>
  </si>
  <si>
    <t xml:space="preserve">    dbWS.Cells(lr, 9).Value  = opb</t>
  </si>
  <si>
    <t xml:space="preserve">    dbWS.Cells(lr, 10).Value = Date</t>
  </si>
  <si>
    <t xml:space="preserve">    dbWS.Cells(lr, 11).Value = "Active"</t>
  </si>
  <si>
    <t xml:space="preserve">    dbWS.Cells(lr, 12).Formula = "=SUMIF(DB_Savings!$C:$C,A" &amp; lr &amp; ",DB_Savings!$F:$F)"</t>
  </si>
  <si>
    <t xml:space="preserve">    dbWS.Cells(lr, 13).Formula = "=SUMIF(DB_Withdrawals!$C:$C,A" &amp; lr &amp; ",DB_Withdrawals!$G:$G)"</t>
  </si>
  <si>
    <t xml:space="preserve">    dbWS.Cells(lr, 14).Formula = "=I" &amp; lr &amp; "+L" &amp; lr &amp; "-M" &amp; lr</t>
  </si>
  <si>
    <t xml:space="preserve">    dbWS.Cells(lr, 15).Value  = True    ' Min_Balance_Flag</t>
  </si>
  <si>
    <t xml:space="preserve">    dbWS.Cells(lr, 16).Formula = "=MAX(0,N" &amp; lr &amp; "-System_Config!$B$9)"</t>
  </si>
  <si>
    <t xml:space="preserve">    LogAudit "ACCOUNT_CREATED_V3", _</t>
  </si>
  <si>
    <t xml:space="preserve">        "New: " &amp; newAcct &amp; " | " &amp; fn &amp; " " &amp; ln &amp; " | Agent: " &amp; agt &amp; _</t>
  </si>
  <si>
    <t xml:space="preserve">        " | OpenBal: GHC " &amp; opb &amp; " | ID: " &amp; idt</t>
  </si>
  <si>
    <t xml:space="preserve">    MsgBox "✅ Account Created Successfully!" &amp; vbCrLf &amp; vbCrLf &amp; _</t>
  </si>
  <si>
    <t xml:space="preserve">           "Account Number: " &amp; newAcct &amp; vbCrLf &amp; _</t>
  </si>
  <si>
    <t xml:space="preserve">           "Customer:       " &amp; fn &amp; " " &amp; ln &amp; vbCrLf &amp; _</t>
  </si>
  <si>
    <t xml:space="preserve">           "Agent:          " &amp; agt &amp; vbCrLf &amp; _</t>
  </si>
  <si>
    <t xml:space="preserve">           "Opening Balance: GHC " &amp; Format(opb, "#,##0.00") &amp; vbCrLf &amp; _</t>
  </si>
  <si>
    <t xml:space="preserve">           "Min Reserved:   GHC " &amp; Format(minBal, "0.00"), _</t>
  </si>
  <si>
    <t xml:space="preserve">           vbInformation, "Account Created"</t>
  </si>
  <si>
    <t xml:space="preserve">    aoWS.Range("C5:C11").ClearContents</t>
  </si>
  <si>
    <t xml:space="preserve">    aoWS.Range("C7").Value = ""</t>
  </si>
  <si>
    <t xml:space="preserve">    aoWS.Range("C8").Value = ""</t>
  </si>
  <si>
    <t xml:space="preserve">    aoWS.Range("C11").Value = 0</t>
  </si>
  <si>
    <t>' ─── RATE VALIDATION (for Loan sheets) ────────────────────────────────────</t>
  </si>
  <si>
    <t>' Call on Change event of Rate cell in loan forms</t>
  </si>
  <si>
    <t>Function ValidateRateInput(rateCell As Range) As Boolean</t>
  </si>
  <si>
    <t xml:space="preserve">    Dim val As Variant: val = rateCell.Value</t>
  </si>
  <si>
    <t xml:space="preserve">    ValidateRateInput = False</t>
  </si>
  <si>
    <t xml:space="preserve">    If IsNumeric(val) Then</t>
  </si>
  <si>
    <t xml:space="preserve">        If CDbl(val) &gt;= 0 And CDbl(val) &lt;= 100 Then</t>
  </si>
  <si>
    <t xml:space="preserve">            ValidateRateInput = True</t>
  </si>
  <si>
    <t xml:space="preserve">        Else</t>
  </si>
  <si>
    <t xml:space="preserve">            MsgBox "Rate must be between 0 and 100." &amp; vbCrLf &amp; _</t>
  </si>
  <si>
    <t xml:space="preserve">                   "Enter as PERCENTAGE (e.g. 2.5 for 2.5%)." &amp; vbCrLf &amp; _</t>
  </si>
  <si>
    <t xml:space="preserve">                   "NEVER enter GHC amount in rate field.", _</t>
  </si>
  <si>
    <t xml:space="preserve">                   vbExclamation, "Invalid Rate Format"</t>
  </si>
  <si>
    <t xml:space="preserve">        MsgBox "Rate must be NUMERIC percentage only." &amp; vbCrLf &amp; _</t>
  </si>
  <si>
    <t xml:space="preserve">               "Example: enter 2.5 for 2.5% per month." &amp; vbCrLf &amp; _</t>
  </si>
  <si>
    <t xml:space="preserve">               "Do not include % symbol or GHC.", _</t>
  </si>
  <si>
    <t xml:space="preserve">               vbExclamation, "Invalid Rate Format"</t>
  </si>
  <si>
    <t>' ─── CONTROLLED REVERSAL / ERROR CORRECTION SYSTEM ───────────────────────</t>
  </si>
  <si>
    <t>Sub CorrectTransaction()</t>
  </si>
  <si>
    <t xml:space="preserve">    ' Step 1: Agent enters original Transaction ID</t>
  </si>
  <si>
    <t xml:space="preserve">    Dim origTxnID As String</t>
  </si>
  <si>
    <t xml:space="preserve">    origTxnID = InputBox("Enter ORIGINAL Transaction ID to correct:" &amp; vbCrLf &amp; _</t>
  </si>
  <si>
    <t xml:space="preserve">                         "(e.g. SAV20260415143022 or WDR20260415143022)", _</t>
  </si>
  <si>
    <t xml:space="preserve">                         "Error Correction — Right Mechanism")</t>
  </si>
  <si>
    <t xml:space="preserve">    If origTxnID = "" Then Exit Sub</t>
  </si>
  <si>
    <t xml:space="preserve">    ' Step 2: Find in DB_Savings or DB_Withdrawals</t>
  </si>
  <si>
    <t xml:space="preserve">    Dim dbCorr As Worksheet: Set dbCorr = ThisWorkbook.Sheets("DB_Corrections")</t>
  </si>
  <si>
    <t xml:space="preserve">    Dim aLog As Worksheet: Set aLog = ThisWorkbook.Sheets("Audit_Log")</t>
  </si>
  <si>
    <t xml:space="preserve">    Dim txnRow As Variant</t>
  </si>
  <si>
    <t xml:space="preserve">    Dim txnSheet As Worksheet</t>
  </si>
  <si>
    <t xml:space="preserve">    Dim txnType As String</t>
  </si>
  <si>
    <t xml:space="preserve">    ' Search Savings</t>
  </si>
  <si>
    <t xml:space="preserve">    txnRow = Application.Match(origTxnID, dbS.Columns(2), 0)</t>
  </si>
  <si>
    <t xml:space="preserve">    If Not IsError(txnRow) Then</t>
  </si>
  <si>
    <t xml:space="preserve">        Set txnSheet = dbS</t>
  </si>
  <si>
    <t xml:space="preserve">        txnType = "SAVINGS"</t>
  </si>
  <si>
    <t xml:space="preserve">        ' Search Withdrawals</t>
  </si>
  <si>
    <t xml:space="preserve">        txnRow = Application.Match(origTxnID, dbW.Columns(2), 0)</t>
  </si>
  <si>
    <t xml:space="preserve">        If Not IsError(txnRow) Then</t>
  </si>
  <si>
    <t xml:space="preserve">            Set txnSheet = dbW</t>
  </si>
  <si>
    <t xml:space="preserve">            txnType = "WITHDRAWAL"</t>
  </si>
  <si>
    <t xml:space="preserve">            MsgBox "Transaction ID '" &amp; origTxnID &amp; "' not found in Savings or Withdrawals.", _</t>
  </si>
  <si>
    <t xml:space="preserve">                   vbCritical, "Not Found"</t>
  </si>
  <si>
    <t xml:space="preserve">            Exit Sub</t>
  </si>
  <si>
    <t xml:space="preserve">    ' Step 3: Show original transaction details</t>
  </si>
  <si>
    <t xml:space="preserve">    Dim origAcct  As String: origAcct  = CStr(txnSheet.Cells(txnRow, 3).Value)</t>
  </si>
  <si>
    <t xml:space="preserve">    Dim origCust  As String: origCust  = CStr(txnSheet.Cells(txnRow, 4).Value)</t>
  </si>
  <si>
    <t xml:space="preserve">    Dim origAmt   As Double: origAmt   = txnSheet.Cells(txnRow, 6).Value</t>
  </si>
  <si>
    <t xml:space="preserve">    If txnType = "WITHDRAWAL" Then origAmt = txnSheet.Cells(txnRow, 7).Value</t>
  </si>
  <si>
    <t xml:space="preserve">    Dim origDate  As String: origDate  = CStr(txnSheet.Cells(txnRow, 5).Value)</t>
  </si>
  <si>
    <t xml:space="preserve">    Dim origAgent As String: origAgent = CStr(txnSheet.Cells(txnRow, 7).Value)</t>
  </si>
  <si>
    <t xml:space="preserve">    If txnType = "WITHDRAWAL" Then origAgent = CStr(txnSheet.Cells(txnRow, 10).Value)</t>
  </si>
  <si>
    <t xml:space="preserve">    Dim details As String</t>
  </si>
  <si>
    <t xml:space="preserve">    details = "ORIGINAL TRANSACTION FOUND:" &amp; vbCrLf &amp; vbCrLf &amp; _</t>
  </si>
  <si>
    <t xml:space="preserve">              "Transaction ID:  " &amp; origTxnID &amp; vbCrLf &amp; _</t>
  </si>
  <si>
    <t xml:space="preserve">              "Type:            " &amp; txnType &amp; vbCrLf &amp; _</t>
  </si>
  <si>
    <t xml:space="preserve">              "Account:         " &amp; origAcct &amp; vbCrLf &amp; _</t>
  </si>
  <si>
    <t xml:space="preserve">              "Customer:        " &amp; origCust &amp; vbCrLf &amp; _</t>
  </si>
  <si>
    <t xml:space="preserve">              "Amount:          GHC " &amp; Format(origAmt, "#,##0.00") &amp; vbCrLf &amp; _</t>
  </si>
  <si>
    <t xml:space="preserve">              "Date:            " &amp; origDate &amp; vbCrLf &amp; _</t>
  </si>
  <si>
    <t xml:space="preserve">              "Agent:           " &amp; origAgent &amp; vbCrLf &amp; vbCrLf &amp; _</t>
  </si>
  <si>
    <t xml:space="preserve">              "Step 4: Enter the CORRECT amount to replace this with:"</t>
  </si>
  <si>
    <t xml:space="preserve">    ' Step 4: Agent enters correct amount</t>
  </si>
  <si>
    <t xml:space="preserve">    Dim corrAmtStr As String</t>
  </si>
  <si>
    <t xml:space="preserve">    corrAmtStr = InputBox(details, "Right Mechanism — Enter Correct Amount")</t>
  </si>
  <si>
    <t xml:space="preserve">    If corrAmtStr = "" Then Exit Sub</t>
  </si>
  <si>
    <t xml:space="preserve">    If Not IsNumeric(corrAmtStr) Then</t>
  </si>
  <si>
    <t xml:space="preserve">        MsgBox "Amount must be numeric.", vbExclamation: Exit Sub</t>
  </si>
  <si>
    <t xml:space="preserve">    Dim corrAmt As Double: corrAmt = CDbl(corrAmtStr)</t>
  </si>
  <si>
    <t xml:space="preserve">    ' Step 5: Get agent note</t>
  </si>
  <si>
    <t xml:space="preserve">    Dim corrNote As String</t>
  </si>
  <si>
    <t xml:space="preserve">    corrNote = InputBox("Enter reason/note for correction:", _</t>
  </si>
  <si>
    <t xml:space="preserve">                        "Correction Note", "Wrong Transaction")</t>
  </si>
  <si>
    <t xml:space="preserve">    If corrNote = "" Then corrNote = "Wrong Transaction"</t>
  </si>
  <si>
    <t xml:space="preserve">    ' Step 6: Write to DB_Corrections with "Right Mechanism Applied" auto-note</t>
  </si>
  <si>
    <t xml:space="preserve">    Dim lr As Long: lr = dbCorr.Cells(Rows.Count, 1).End(xlUp).Row + 1</t>
  </si>
  <si>
    <t xml:space="preserve">    Dim corrID As String: corrID = "CORR" &amp; Format(Now, "YYYYMMDDHHMMSS")</t>
  </si>
  <si>
    <t xml:space="preserve">    dbCorr.Cells(lr, 1).Value  = corrID</t>
  </si>
  <si>
    <t xml:space="preserve">    dbCorr.Cells(lr, 2).Value  = origTxnID</t>
  </si>
  <si>
    <t xml:space="preserve">    dbCorr.Cells(lr, 3).Value  = origAcct</t>
  </si>
  <si>
    <t xml:space="preserve">    dbCorr.Cells(lr, 4).Value  = origCust</t>
  </si>
  <si>
    <t xml:space="preserve">    dbCorr.Cells(lr, 5).Value  = txnType</t>
  </si>
  <si>
    <t xml:space="preserve">    dbCorr.Cells(lr, 6).Value  = origAmt</t>
  </si>
  <si>
    <t xml:space="preserve">    dbCorr.Cells(lr, 7).Value  = "REVERSAL+" &amp; txnType</t>
  </si>
  <si>
    <t xml:space="preserve">    dbCorr.Cells(lr, 8).Value  = corrAmt</t>
  </si>
  <si>
    <t xml:space="preserve">    dbCorr.Cells(lr, 9).Value  = origAgent</t>
  </si>
  <si>
    <t xml:space="preserve">    dbCorr.Cells(lr, 10).Value = Format(Now, "YYYY-MM-DD HH:MM:SS")</t>
  </si>
  <si>
    <t xml:space="preserve">    dbCorr.Cells(lr, 11).Value = corrNote &amp; " | Right Mechanism Applied"</t>
  </si>
  <si>
    <t xml:space="preserve">    dbCorr.Cells(lr, 12).Value = "APPLIED"</t>
  </si>
  <si>
    <t xml:space="preserve">    ' Step 7: Write reversal + correction entries to source DB</t>
  </si>
  <si>
    <t xml:space="preserve">    If txnType = "SAVINGS" Then</t>
  </si>
  <si>
    <t xml:space="preserve">        ' Reversal (negative)</t>
  </si>
  <si>
    <t xml:space="preserve">        Dim rr As Long: rr = dbS.Cells(Rows.Count, 1).End(xlUp).Row + 1</t>
  </si>
  <si>
    <t xml:space="preserve">        dbS.Cells(rr, 1).Value = rr - 3</t>
  </si>
  <si>
    <t xml:space="preserve">        dbS.Cells(rr, 2).Value = "REV_" &amp; origTxnID</t>
  </si>
  <si>
    <t xml:space="preserve">        dbS.Cells(rr, 3).Value = origAcct</t>
  </si>
  <si>
    <t xml:space="preserve">        dbS.Cells(rr, 4).Value = origCust</t>
  </si>
  <si>
    <t xml:space="preserve">        dbS.Cells(rr, 5).Value = Date</t>
  </si>
  <si>
    <t xml:space="preserve">        dbS.Cells(rr, 6).Value = -origAmt</t>
  </si>
  <si>
    <t xml:space="preserve">        dbS.Cells(rr, 7).Value = origAgent</t>
  </si>
  <si>
    <t xml:space="preserve">        dbS.Cells(rr, 8).Value = "REVERSAL"</t>
  </si>
  <si>
    <t xml:space="preserve">        dbS.Cells(rr, 9).Value = Format(Now, "YYYY-MM-DD HH:MM:SS")</t>
  </si>
  <si>
    <t xml:space="preserve">        dbS.Cells(rr, 10).Value = "Right Mechanism: " &amp; corrNote</t>
  </si>
  <si>
    <t xml:space="preserve">        dbS.Cells(rr, 11).Value = "LOCKED"</t>
  </si>
  <si>
    <t xml:space="preserve">        ' Correct entry</t>
  </si>
  <si>
    <t xml:space="preserve">        rr = rr + 1</t>
  </si>
  <si>
    <t xml:space="preserve">        dbS.Cells(rr, 2).Value = corrID</t>
  </si>
  <si>
    <t xml:space="preserve">        dbS.Cells(rr, 6).Value = corrAmt</t>
  </si>
  <si>
    <t xml:space="preserve">        dbS.Cells(rr, 8).Value = "CORRECTION"</t>
  </si>
  <si>
    <t xml:space="preserve">        dbS.Cells(rr, 10).Value = "Right Mechanism Applied | Ref: " &amp; origTxnID</t>
  </si>
  <si>
    <t xml:space="preserve">    ' Step 8: Log in Audit</t>
  </si>
  <si>
    <t xml:space="preserve">    Dim alr As Long: alr = aLog.Cells(Rows.Count, 1).End(xlUp).Row + 1</t>
  </si>
  <si>
    <t xml:space="preserve">    aLog.Cells(alr, 1).Value = Now()</t>
  </si>
  <si>
    <t xml:space="preserve">    aLog.Cells(alr, 2).Value = Environ("USERNAME")</t>
  </si>
  <si>
    <t xml:space="preserve">    aLog.Cells(alr, 3).Value = "CORRECTION_APPLIED"</t>
  </si>
  <si>
    <t xml:space="preserve">    aLog.Cells(alr, 4).Value = "CorrID: " &amp; corrID &amp; " | Orig: " &amp; origTxnID &amp; _</t>
  </si>
  <si>
    <t xml:space="preserve">                                " | OldAmt: GHC " &amp; origAmt &amp; " → NewAmt: GHC " &amp; corrAmt</t>
  </si>
  <si>
    <t xml:space="preserve">    aLog.Cells(alr, 5).Value = origAgent</t>
  </si>
  <si>
    <t xml:space="preserve">    aLog.Cells(alr, 6).Value = origTxnID</t>
  </si>
  <si>
    <t xml:space="preserve">    aLog.Cells(alr, 7).Value = "YES"</t>
  </si>
  <si>
    <t xml:space="preserve">    ' Step 9: Confirm to user</t>
  </si>
  <si>
    <t xml:space="preserve">    MsgBox "✅ RIGHT MECHANISM APPLIED SUCCESSFULLY" &amp; vbCrLf &amp; vbCrLf &amp; _</t>
  </si>
  <si>
    <t xml:space="preserve">           "Correction ID:    " &amp; corrID &amp; vbCrLf &amp; _</t>
  </si>
  <si>
    <t xml:space="preserve">           "Original Txn:     " &amp; origTxnID &amp; vbCrLf &amp; _</t>
  </si>
  <si>
    <t xml:space="preserve">           "Original Amount:  GHC " &amp; Format(origAmt, "#,##0.00") &amp; vbCrLf &amp; _</t>
  </si>
  <si>
    <t xml:space="preserve">           "Correct Amount:   GHC " &amp; Format(corrAmt, "#,##0.00") &amp; vbCrLf &amp; _</t>
  </si>
  <si>
    <t xml:space="preserve">           "Note:             " &amp; corrNote &amp; vbCrLf &amp; vbCrLf &amp; _</t>
  </si>
  <si>
    <t xml:space="preserve">           "Audit trail has been updated.", vbInformation, "Correction Complete"</t>
  </si>
  <si>
    <t>' ─── QUICK ACCESS: Withdrawable Balance Checker ───────────────────────────</t>
  </si>
  <si>
    <t>Sub CheckWithdrawable()</t>
  </si>
  <si>
    <t xml:space="preserve">    Dim acct As String</t>
  </si>
  <si>
    <t xml:space="preserve">    acct = InputBox("Enter Account Number to check withdrawable balance:", _</t>
  </si>
  <si>
    <t xml:space="preserve">                    "Balance Check")</t>
  </si>
  <si>
    <t xml:space="preserve">    If acct = "" Then Exit Sub</t>
  </si>
  <si>
    <t xml:space="preserve">    If IsError(custRow) Then</t>
  </si>
  <si>
    <t xml:space="preserve">        MsgBox "Account '" &amp; acct &amp; "' not found.", vbCritical: Exit Sub</t>
  </si>
  <si>
    <t xml:space="preserve">    Dim cname As String:  cname  = CStr(dbC.Cells(custRow, 4).Value)</t>
  </si>
  <si>
    <t xml:space="preserve">    MsgBox "ACCOUNT BALANCE SUMMARY" &amp; vbCrLf &amp; vbCrLf &amp; _</t>
  </si>
  <si>
    <t xml:space="preserve">           "Account:    " &amp; acct &amp; vbCrLf &amp; _</t>
  </si>
  <si>
    <t xml:space="preserve">           "Customer:   " &amp; cname &amp; vbCrLf &amp; vbCrLf &amp; _</t>
  </si>
  <si>
    <t xml:space="preserve">           "Total Balance:       GHC " &amp; Format(curBal, "#,##0.00") &amp; vbCrLf &amp; _</t>
  </si>
  <si>
    <t xml:space="preserve">           "Minimum Reserved:    GHC " &amp; Format(minBal, "0.00") &amp; vbCrLf &amp; _</t>
  </si>
  <si>
    <t xml:space="preserve">           "Available to Withdraw: GHC " &amp; Format(withdrawable, "#,##0.00"), _</t>
  </si>
  <si>
    <t xml:space="preserve">           vbInformation, "Balance Check"</t>
  </si>
  <si>
    <t>' ─── UPGRADE NOTICE ───────────────────────────────────────────────────────</t>
  </si>
  <si>
    <t>' V3 FUNCTION MAPPING — USE THESE INSTEAD OF V2 EQUIVALENTS:</t>
  </si>
  <si>
    <t>'   CreateNewAccount_V3()    → replaces CreateNewAccount()</t>
  </si>
  <si>
    <t>'   SaveWithdrawalRow_V3()   → replaces SaveWithdrawalRow()</t>
  </si>
  <si>
    <t>'   CorrectTransaction()     → NEW — Error correction / Right Mechanism</t>
  </si>
  <si>
    <t>'   CheckWithdrawable()      → NEW — Balance availability checker</t>
  </si>
  <si>
    <t>'   ValidateRateInput(cell)  → NEW — Call on rate field change event</t>
  </si>
  <si>
    <t>' ======= AUTO-SAVE ENGINE (V8 Addition) =======</t>
  </si>
  <si>
    <t>Attribute VB_Name = "ThisWorkbook"</t>
  </si>
  <si>
    <t>' ================================================================</t>
  </si>
  <si>
    <t>' SAMICIOUS MICROFINANCE V8 — Auto-Save Engine</t>
  </si>
  <si>
    <t>' Triggered on every workbook save (CTRL+S or File &gt; Save)</t>
  </si>
  <si>
    <t>' 1. Transfers Account Opening data to Customer Account Database</t>
  </si>
  <si>
    <t>' 2. Clears the Account Opening form for next entry</t>
  </si>
  <si>
    <t>Private Sub Workbook_BeforeSave(ByVal SaveAsUI As Boolean, Cancel As Boolean)</t>
  </si>
  <si>
    <t xml:space="preserve">    Dim wsForm  As Worksheet</t>
  </si>
  <si>
    <t xml:space="preserve">    Dim wsDB    As Worksheet</t>
  </si>
  <si>
    <t xml:space="preserve">    Dim nextRow As Long</t>
  </si>
  <si>
    <t xml:space="preserve">    Dim acctNum As String</t>
  </si>
  <si>
    <t xml:space="preserve">    Dim fname   As String</t>
  </si>
  <si>
    <t xml:space="preserve">    ' Reference sheets</t>
  </si>
  <si>
    <t xml:space="preserve">    wsForm = Me.Sheets("Account_Opening")</t>
  </si>
  <si>
    <t xml:space="preserve">    wsDB   = Me.Sheets("Customer Account Database")</t>
  </si>
  <si>
    <t xml:space="preserve">    ' Only transfer if form has valid data</t>
  </si>
  <si>
    <t xml:space="preserve">    fname   = Trim(wsForm.Range("C5").Value)</t>
  </si>
  <si>
    <t xml:space="preserve">    acctNum = Trim(wsForm.Range("C16").Value)</t>
  </si>
  <si>
    <t xml:space="preserve">    If fname = "" Or acctNum = "" Then GoTo CleanExit</t>
  </si>
  <si>
    <t xml:space="preserve">    If Left(wsForm.Range("A17").Value, 1) &lt;&gt; Chr(10003) And _</t>
  </si>
  <si>
    <t xml:space="preserve">       InStr(wsForm.Range("A17").Value, "All fields") = 0 Then GoTo CleanExit</t>
  </si>
  <si>
    <t xml:space="preserve">    ' Find next empty row in database (after header row 10)</t>
  </si>
  <si>
    <t xml:space="preserve">    nextRow = 11</t>
  </si>
  <si>
    <t xml:space="preserve">    Do While wsDB.Cells(nextRow, 2).Value &lt;&gt; ""</t>
  </si>
  <si>
    <t xml:space="preserve">        nextRow = nextRow + 1</t>
  </si>
  <si>
    <t xml:space="preserve">        If nextRow &gt; 510 Then</t>
  </si>
  <si>
    <t xml:space="preserve">            MsgBox "Database full. Please archive records.", vbExclamation</t>
  </si>
  <si>
    <t xml:space="preserve">            GoTo CleanExit</t>
  </si>
  <si>
    <t xml:space="preserve">    Loop</t>
  </si>
  <si>
    <t xml:space="preserve">    ' Check for duplicate account number</t>
  </si>
  <si>
    <t xml:space="preserve">    Dim dupCheck As Range</t>
  </si>
  <si>
    <t xml:space="preserve">    Set dupCheck = wsDB.Range("B11:B510").Find(acctNum, LookIn:=xlValues, LookAt:=xlWhole)</t>
  </si>
  <si>
    <t xml:space="preserve">    If Not dupCheck Is Nothing Then</t>
  </si>
  <si>
    <t xml:space="preserve">        MsgBox "Account No. " &amp; acctNum &amp; " already exists. Duplicate not saved.", vbWarning</t>
  </si>
  <si>
    <t xml:space="preserve">        GoTo CleanExit</t>
  </si>
  <si>
    <t xml:space="preserve">    ' Transfer data from form to database</t>
  </si>
  <si>
    <t xml:space="preserve">    wsDB.Cells(nextRow, 1).Value = nextRow - 10              ' Record #</t>
  </si>
  <si>
    <t xml:space="preserve">    wsDB.Cells(nextRow, 2).Value = acctNum                   ' Account No.</t>
  </si>
  <si>
    <t xml:space="preserve">    wsDB.Cells(nextRow, 3).Value = Trim(wsForm.Range("C5").Value) &amp; " " &amp; _</t>
  </si>
  <si>
    <t xml:space="preserve">                                    Trim(wsForm.Range("C6").Value)  ' Full Name</t>
  </si>
  <si>
    <t xml:space="preserve">    wsDB.Cells(nextRow, 4).Value = wsForm.Range("C7").Value  ' Date of Birth</t>
  </si>
  <si>
    <t xml:space="preserve">    wsDB.Cells(nextRow, 5).Value = wsForm.Range("C8").Value  ' Phone Number</t>
  </si>
  <si>
    <t xml:space="preserve">    wsDB.Cells(nextRow, 6).Value = wsForm.Range("C9").Value  ' Location</t>
  </si>
  <si>
    <t xml:space="preserve">    wsDB.Cells(nextRow, 7).Value = wsForm.Range("C10").Value ' Occupation</t>
  </si>
  <si>
    <t xml:space="preserve">    wsDB.Cells(nextRow, 8).Value = wsForm.Range("C11").Value ' Assigned Agent</t>
  </si>
  <si>
    <t xml:space="preserve">    wsDB.Cells(nextRow, 9).Value = wsForm.Range("C12").Value ' Opening Balance</t>
  </si>
  <si>
    <t xml:space="preserve">    wsDB.Cells(nextRow, 10).Value = Now()                    ' Date Created</t>
  </si>
  <si>
    <t xml:space="preserve">    wsDB.Cells(nextRow, 11).Value = wsForm.Range("C14").Value ' ID Card Type</t>
  </si>
  <si>
    <t xml:space="preserve">    wsDB.Cells(nextRow, 12).Value = wsForm.Range("C15").Value ' ID Card Number</t>
  </si>
  <si>
    <t xml:space="preserve">    wsDB.Cells(nextRow, 13).Value = wsForm.Range("C13").Value ' Next of Kin</t>
  </si>
  <si>
    <t xml:space="preserve">    wsDB.Cells(nextRow, 14).Value = "Active"                 ' Status</t>
  </si>
  <si>
    <t xml:space="preserve">    ' Format date column</t>
  </si>
  <si>
    <t xml:space="preserve">    wsDB.Cells(nextRow, 10).NumberFormat = "DD/MM/YYYY HH:MM"</t>
  </si>
  <si>
    <t xml:space="preserve">    wsDB.Cells(nextRow, 4).NumberFormat  = "DD/MM/YYYY"</t>
  </si>
  <si>
    <t xml:space="preserve">    ' Apply alternating row styling</t>
  </si>
  <si>
    <t xml:space="preserve">    Dim rowColor As String</t>
  </si>
  <si>
    <t xml:space="preserve">    If (nextRow - 10) Mod 2 = 0 Then rowColor = "EBF5FB" Else rowColor = "FFFFFF"</t>
  </si>
  <si>
    <t xml:space="preserve">    Dim j As Integer</t>
  </si>
  <si>
    <t xml:space="preserve">    For j = 1 To 14</t>
  </si>
  <si>
    <t xml:space="preserve">        wsDB.Cells(nextRow, j).Interior.Color = RGB(235,245,251)</t>
  </si>
  <si>
    <t xml:space="preserve">    Next j</t>
  </si>
  <si>
    <t xml:space="preserve">    ' Clear form fields (reset for next entry)</t>
  </si>
  <si>
    <t xml:space="preserve">    Dim clearCells As Variant</t>
  </si>
  <si>
    <t xml:space="preserve">    clearCells = Array("C5","C6","C7","C8","C9","C10","C11","C12","C13","C14","C15")</t>
  </si>
  <si>
    <t xml:space="preserve">    Dim cell As Variant</t>
  </si>
  <si>
    <t xml:space="preserve">    For Each cell In clearCells</t>
  </si>
  <si>
    <t xml:space="preserve">        wsForm.Range(cell).Value = ""</t>
  </si>
  <si>
    <t xml:space="preserve">        wsForm.Range(cell).ClearContents</t>
  </si>
  <si>
    <t xml:space="preserve">    Next cell</t>
  </si>
  <si>
    <t xml:space="preserve">    ' Log to Audit_Log</t>
  </si>
  <si>
    <t xml:space="preserve">    Dim wsAudit As Worksheet</t>
  </si>
  <si>
    <t xml:space="preserve">    Set wsAudit = Me.Sheets("Audit_Log")</t>
  </si>
  <si>
    <t xml:space="preserve">    wsAudit.Cells(auditRow, 1).Value = Now()</t>
  </si>
  <si>
    <t xml:space="preserve">    wsAudit.Cells(auditRow, 2).Value = "ACCOUNT_CREATED"</t>
  </si>
  <si>
    <t xml:space="preserve">    wsAudit.Cells(auditRow, 3).Value = acctNum</t>
  </si>
  <si>
    <t xml:space="preserve">    wsAudit.Cells(auditRow, 4).Value = "Success"</t>
  </si>
  <si>
    <t xml:space="preserve">    wsAudit.Cells(auditRow, 5).Value = Environ("USERNAME")</t>
  </si>
  <si>
    <t xml:space="preserve">    MsgBox "✅  Account " &amp; acctNum &amp; " saved successfully!" &amp; Chr(13) &amp; _</t>
  </si>
  <si>
    <t xml:space="preserve">           "Form cleared for next entry.", vbInformation, "Account Saved"</t>
  </si>
  <si>
    <t>CleanExit:</t>
  </si>
  <si>
    <t xml:space="preserve">    MsgBox "Error in auto-save: " &amp; Err.Description, vbCritical, "Save Error"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</si>
</sst>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quot;GHC &quot;#,##0.00;&quot;(GHC &quot;#,##0.00\);\-"/>
    <numFmt numFmtId="165" formatCode="0.0%"/>
    <numFmt numFmtId="166" formatCode="m/d/yyyy"/>
    <numFmt numFmtId="167" formatCode="&quot;GHC &quot;#,##0.00"/>
    <numFmt numFmtId="168" formatCode="yyyy\-mm\-dd"/>
    <numFmt numFmtId="169" formatCode="0.00\%"/>
  </numFmts>
  <fonts count="99" x14ac:knownFonts="1">
    <font>
      <sz val="11"/>
      <color theme="1"/>
      <name val="Calibri"/>
      <family val="2"/>
      <charset val="1"/>
    </font>
    <font>
      <b/>
      <sz val="18"/>
      <color rgb="FFF6AE2D"/>
      <name val="Calibri"/>
      <family val="2"/>
      <charset val="1"/>
    </font>
    <font>
      <sz val="10"/>
      <color rgb="FFFFFFFF"/>
      <name val="Calibri"/>
      <family val="2"/>
      <charset val="1"/>
    </font>
    <font>
      <b/>
      <sz val="20"/>
      <color rgb="FF1E3A5F"/>
      <name val="Calibri"/>
      <family val="2"/>
      <charset val="1"/>
    </font>
    <font>
      <sz val="10"/>
      <color rgb="FF7F8C8D"/>
      <name val="Calibri"/>
      <family val="2"/>
      <charset val="1"/>
    </font>
    <font>
      <b/>
      <sz val="28"/>
      <color rgb="FFF6AE2D"/>
      <name val="Calibri"/>
      <family val="2"/>
      <charset val="1"/>
    </font>
    <font>
      <b/>
      <sz val="14"/>
      <color rgb="FFFFFFFF"/>
      <name val="Calibri"/>
      <family val="2"/>
      <charset val="1"/>
    </font>
    <font>
      <b/>
      <sz val="11"/>
      <color rgb="FF1E3A5F"/>
      <name val="Calibri"/>
      <family val="2"/>
      <charset val="1"/>
    </font>
    <font>
      <b/>
      <sz val="18"/>
      <color rgb="FFFFFFFF"/>
      <name val="Calibri"/>
      <family val="2"/>
      <charset val="1"/>
    </font>
    <font>
      <i/>
      <sz val="10"/>
      <color rgb="FF1E3A5F"/>
      <name val="Calibri"/>
      <family val="2"/>
      <charset val="1"/>
    </font>
    <font>
      <sz val="9"/>
      <color rgb="FF7F8C8D"/>
      <name val="Calibri"/>
      <family val="2"/>
      <charset val="1"/>
    </font>
    <font>
      <sz val="11"/>
      <color rgb="FF1E3A5F"/>
      <name val="Calibri"/>
      <family val="2"/>
      <charset val="1"/>
    </font>
    <font>
      <b/>
      <sz val="13"/>
      <color rgb="FFF6AE2D"/>
      <name val="Calibri"/>
      <family val="2"/>
      <charset val="1"/>
    </font>
    <font>
      <b/>
      <i/>
      <sz val="13"/>
      <color rgb="FF1E3A5F"/>
      <name val="Calibri"/>
      <family val="2"/>
      <charset val="1"/>
    </font>
    <font>
      <i/>
      <sz val="11"/>
      <color rgb="FF7F8C8D"/>
      <name val="Calibri"/>
      <family val="2"/>
      <charset val="1"/>
    </font>
    <font>
      <b/>
      <sz val="18"/>
      <color rgb="FFF6AE2D"/>
      <name val="Arial"/>
      <family val="2"/>
      <charset val="1"/>
    </font>
    <font>
      <sz val="11"/>
      <color rgb="FFFFFFFF"/>
      <name val="Arial"/>
      <family val="2"/>
      <charset val="1"/>
    </font>
    <font>
      <b/>
      <sz val="9"/>
      <color rgb="FFFFFFFF"/>
      <name val="Arial"/>
      <family val="2"/>
      <charset val="1"/>
    </font>
    <font>
      <b/>
      <sz val="16"/>
      <color rgb="FF27AE60"/>
      <name val="Arial"/>
      <family val="2"/>
      <charset val="1"/>
    </font>
    <font>
      <b/>
      <sz val="16"/>
      <color rgb="FFC0392B"/>
      <name val="Arial"/>
      <family val="2"/>
      <charset val="1"/>
    </font>
    <font>
      <b/>
      <sz val="16"/>
      <color rgb="FF1ABC9C"/>
      <name val="Arial"/>
      <family val="2"/>
      <charset val="1"/>
    </font>
    <font>
      <b/>
      <sz val="16"/>
      <color rgb="FF2E86AB"/>
      <name val="Arial"/>
      <family val="2"/>
      <charset val="1"/>
    </font>
    <font>
      <b/>
      <sz val="16"/>
      <color rgb="FFE67E22"/>
      <name val="Arial"/>
      <family val="2"/>
      <charset val="1"/>
    </font>
    <font>
      <b/>
      <sz val="16"/>
      <color rgb="FF8E44AD"/>
      <name val="Arial"/>
      <family val="2"/>
      <charset val="1"/>
    </font>
    <font>
      <b/>
      <sz val="12"/>
      <color rgb="FFFFFFFF"/>
      <name val="Arial"/>
      <family val="2"/>
      <charset val="1"/>
    </font>
    <font>
      <b/>
      <sz val="10"/>
      <color rgb="FFFFFFFF"/>
      <name val="Arial"/>
      <family val="2"/>
      <charset val="1"/>
    </font>
    <font>
      <sz val="10"/>
      <color rgb="FF000000"/>
      <name val="Arial"/>
      <family val="2"/>
      <charset val="1"/>
    </font>
    <font>
      <b/>
      <sz val="10"/>
      <color rgb="FF1A252F"/>
      <name val="Arial"/>
      <family val="2"/>
      <charset val="1"/>
    </font>
    <font>
      <sz val="10"/>
      <color rgb="FF1A252F"/>
      <name val="Arial"/>
      <family val="2"/>
      <charset val="1"/>
    </font>
    <font>
      <b/>
      <sz val="10"/>
      <color rgb="FF1E3A5F"/>
      <name val="Arial"/>
      <family val="2"/>
      <charset val="1"/>
    </font>
    <font>
      <b/>
      <sz val="11"/>
      <color rgb="FFF6AE2D"/>
      <name val="Arial"/>
      <family val="2"/>
      <charset val="1"/>
    </font>
    <font>
      <b/>
      <sz val="10"/>
      <color rgb="FF27AE60"/>
      <name val="Arial"/>
      <family val="2"/>
      <charset val="1"/>
    </font>
    <font>
      <sz val="9"/>
      <color rgb="FF1A252F"/>
      <name val="Arial"/>
      <family val="2"/>
      <charset val="1"/>
    </font>
    <font>
      <b/>
      <sz val="14"/>
      <color rgb="FFF6AE2D"/>
      <name val="Arial"/>
      <family val="2"/>
      <charset val="1"/>
    </font>
    <font>
      <sz val="10"/>
      <color rgb="FFFFFFFF"/>
      <name val="Arial"/>
      <family val="2"/>
      <charset val="1"/>
    </font>
    <font>
      <sz val="9"/>
      <color rgb="FF7F8C8D"/>
      <name val="Arial"/>
      <family val="2"/>
      <charset val="1"/>
    </font>
    <font>
      <sz val="11"/>
      <name val="Arial"/>
      <family val="2"/>
      <charset val="1"/>
    </font>
    <font>
      <b/>
      <sz val="11"/>
      <color rgb="FF1E3A5F"/>
      <name val="Arial"/>
      <family val="2"/>
      <charset val="1"/>
    </font>
    <font>
      <sz val="11"/>
      <color rgb="FF000000"/>
      <name val="Arial"/>
      <family val="2"/>
      <charset val="1"/>
    </font>
    <font>
      <sz val="9"/>
      <color rgb="FFCC0000"/>
      <name val="Arial"/>
      <family val="2"/>
      <charset val="1"/>
    </font>
    <font>
      <sz val="10"/>
      <color rgb="FF5D6D7E"/>
      <name val="Arial"/>
      <family val="2"/>
      <charset val="1"/>
    </font>
    <font>
      <b/>
      <sz val="13"/>
      <color rgb="FF1A252F"/>
      <name val="Arial"/>
      <family val="2"/>
      <charset val="1"/>
    </font>
    <font>
      <b/>
      <sz val="13"/>
      <color rgb="FFFFFFFF"/>
      <name val="Arial"/>
      <family val="2"/>
      <charset val="1"/>
    </font>
    <font>
      <b/>
      <sz val="11"/>
      <color rgb="FFFFFFFF"/>
      <name val="Arial"/>
      <family val="2"/>
      <charset val="1"/>
    </font>
    <font>
      <b/>
      <sz val="12"/>
      <color rgb="FF1A252F"/>
      <name val="Arial"/>
      <family val="2"/>
      <charset val="1"/>
    </font>
    <font>
      <b/>
      <sz val="9"/>
      <color rgb="FF1A252F"/>
      <name val="Arial"/>
      <family val="2"/>
      <charset val="1"/>
    </font>
    <font>
      <i/>
      <sz val="9"/>
      <color rgb="FF1A252F"/>
      <name val="Arial"/>
      <family val="2"/>
      <charset val="1"/>
    </font>
    <font>
      <i/>
      <sz val="8"/>
      <color rgb="FF7F8C8D"/>
      <name val="Arial"/>
      <family val="2"/>
      <charset val="1"/>
    </font>
    <font>
      <sz val="9"/>
      <color rgb="FF000000"/>
      <name val="Arial"/>
      <family val="2"/>
      <charset val="1"/>
    </font>
    <font>
      <b/>
      <sz val="16"/>
      <color rgb="FFF6AE2D"/>
      <name val="Calibri"/>
      <family val="2"/>
    </font>
    <font>
      <sz val="9"/>
      <color rgb="FFFFFFFF"/>
      <name val="Calibri"/>
      <family val="2"/>
    </font>
    <font>
      <sz val="11"/>
      <color rgb="FF000000"/>
      <name val="Calibri"/>
      <family val="2"/>
    </font>
    <font>
      <b/>
      <sz val="11"/>
      <color rgb="FFFFFFFF"/>
      <name val="Calibri"/>
      <family val="2"/>
    </font>
    <font>
      <b/>
      <sz val="10"/>
      <color rgb="FF1E3A5F"/>
      <name val="Calibri"/>
      <family val="2"/>
    </font>
    <font>
      <b/>
      <sz val="11"/>
      <color rgb="FF1A252F"/>
      <name val="Calibri"/>
      <family val="2"/>
    </font>
    <font>
      <i/>
      <sz val="8"/>
      <color rgb="FF7F8C8D"/>
      <name val="Calibri"/>
      <family val="2"/>
    </font>
    <font>
      <sz val="8"/>
      <color rgb="FFF6AE2D"/>
      <name val="Calibri"/>
      <family val="2"/>
    </font>
    <font>
      <b/>
      <sz val="9"/>
      <color rgb="FFFFFFFF"/>
      <name val="Calibri"/>
      <family val="2"/>
    </font>
    <font>
      <b/>
      <sz val="7"/>
      <color rgb="FF27AE60"/>
      <name val="Calibri"/>
      <family val="2"/>
    </font>
    <font>
      <sz val="9"/>
      <color rgb="FF1A252F"/>
      <name val="Calibri"/>
      <family val="2"/>
    </font>
    <font>
      <sz val="9"/>
      <color rgb="FF5D6D7E"/>
      <name val="Calibri"/>
      <family val="2"/>
    </font>
    <font>
      <b/>
      <sz val="9"/>
      <color rgb="FF1E3A5F"/>
      <name val="Calibri"/>
      <family val="2"/>
    </font>
    <font>
      <b/>
      <sz val="9"/>
      <color rgb="FF27AE60"/>
      <name val="Calibri"/>
      <family val="2"/>
    </font>
    <font>
      <b/>
      <sz val="9"/>
      <color rgb="FFF6AE2D"/>
      <name val="Arial"/>
      <family val="2"/>
      <charset val="1"/>
    </font>
    <font>
      <i/>
      <sz val="9"/>
      <name val="Arial"/>
      <family val="2"/>
      <charset val="1"/>
    </font>
    <font>
      <b/>
      <sz val="13"/>
      <color rgb="FF27AE60"/>
      <name val="Arial"/>
      <family val="2"/>
      <charset val="1"/>
    </font>
    <font>
      <b/>
      <sz val="13"/>
      <color rgb="FF2E86AB"/>
      <name val="Arial"/>
      <family val="2"/>
      <charset val="1"/>
    </font>
    <font>
      <b/>
      <sz val="13"/>
      <color rgb="FF1E3A5F"/>
      <name val="Arial"/>
      <family val="2"/>
      <charset val="1"/>
    </font>
    <font>
      <sz val="10"/>
      <color rgb="FF0000FF"/>
      <name val="Arial"/>
      <family val="2"/>
      <charset val="1"/>
    </font>
    <font>
      <sz val="10"/>
      <color rgb="FF7F8C8D"/>
      <name val="Arial"/>
      <family val="2"/>
      <charset val="1"/>
    </font>
    <font>
      <b/>
      <sz val="10"/>
      <color rgb="FF0000FF"/>
      <name val="Arial"/>
      <family val="2"/>
      <charset val="1"/>
    </font>
    <font>
      <b/>
      <sz val="13"/>
      <color rgb="FFC0392B"/>
      <name val="Arial"/>
      <family val="2"/>
      <charset val="1"/>
    </font>
    <font>
      <b/>
      <sz val="13"/>
      <color rgb="FFE67E22"/>
      <name val="Arial"/>
      <family val="2"/>
      <charset val="1"/>
    </font>
    <font>
      <b/>
      <sz val="10"/>
      <color rgb="FF000000"/>
      <name val="Arial"/>
      <family val="2"/>
      <charset val="1"/>
    </font>
    <font>
      <b/>
      <sz val="14"/>
      <color rgb="FFFFFFFF"/>
      <name val="Arial"/>
      <family val="2"/>
      <charset val="1"/>
    </font>
    <font>
      <sz val="10"/>
      <color rgb="FFF6AE2D"/>
      <name val="Arial"/>
      <family val="2"/>
      <charset val="1"/>
    </font>
    <font>
      <b/>
      <sz val="11"/>
      <color rgb="FF1A252F"/>
      <name val="Arial"/>
      <family val="2"/>
      <charset val="1"/>
    </font>
    <font>
      <sz val="10"/>
      <color rgb="FF1ABC9C"/>
      <name val="Arial"/>
      <family val="2"/>
      <charset val="1"/>
    </font>
    <font>
      <b/>
      <sz val="10"/>
      <color rgb="FFE67E22"/>
      <name val="Arial"/>
      <family val="2"/>
      <charset val="1"/>
    </font>
    <font>
      <b/>
      <sz val="8"/>
      <color rgb="FFCC0000"/>
      <name val="Arial"/>
      <family val="2"/>
      <charset val="1"/>
    </font>
    <font>
      <i/>
      <sz val="9"/>
      <color rgb="FF5C2020"/>
      <name val="Arial"/>
      <family val="2"/>
      <charset val="1"/>
    </font>
    <font>
      <b/>
      <sz val="14"/>
      <color rgb="FF27AE60"/>
      <name val="Arial"/>
      <family val="2"/>
      <charset val="1"/>
    </font>
    <font>
      <b/>
      <sz val="14"/>
      <color rgb="FFC0392B"/>
      <name val="Arial"/>
      <family val="2"/>
      <charset val="1"/>
    </font>
    <font>
      <b/>
      <sz val="14"/>
      <color rgb="FF1ABC9C"/>
      <name val="Arial"/>
      <family val="2"/>
      <charset val="1"/>
    </font>
    <font>
      <b/>
      <sz val="14"/>
      <color rgb="FF1E3A5F"/>
      <name val="Arial"/>
      <family val="2"/>
      <charset val="1"/>
    </font>
    <font>
      <b/>
      <sz val="14"/>
      <color rgb="FF1A252F"/>
      <name val="Arial"/>
      <family val="2"/>
      <charset val="1"/>
    </font>
    <font>
      <b/>
      <sz val="16"/>
      <color rgb="FFF6AE2D"/>
      <name val="Arial"/>
      <family val="2"/>
      <charset val="1"/>
    </font>
    <font>
      <sz val="9"/>
      <color rgb="FFFFFFFF"/>
      <name val="Arial"/>
      <family val="2"/>
      <charset val="1"/>
    </font>
    <font>
      <b/>
      <sz val="9"/>
      <color rgb="FF1E3A5F"/>
      <name val="Arial"/>
      <family val="2"/>
      <charset val="1"/>
    </font>
    <font>
      <sz val="8"/>
      <color rgb="FFFFFFFF"/>
      <name val="Arial"/>
      <family val="2"/>
      <charset val="1"/>
    </font>
    <font>
      <sz val="8"/>
      <color rgb="FF000000"/>
      <name val="Arial"/>
      <family val="2"/>
      <charset val="1"/>
    </font>
    <font>
      <i/>
      <sz val="9"/>
      <color rgb="FF000000"/>
      <name val="Arial"/>
      <family val="2"/>
      <charset val="1"/>
    </font>
    <font>
      <sz val="8"/>
      <color rgb="FF1E3A5F"/>
      <name val="Arial"/>
      <family val="2"/>
      <charset val="1"/>
    </font>
    <font>
      <i/>
      <sz val="8"/>
      <color rgb="FF000000"/>
      <name val="Arial"/>
      <family val="2"/>
      <charset val="1"/>
    </font>
    <font>
      <b/>
      <sz val="9"/>
      <name val="Arial"/>
      <family val="2"/>
      <charset val="1"/>
    </font>
    <font>
      <sz val="9"/>
      <name val="Arial"/>
      <family val="2"/>
      <charset val="1"/>
    </font>
    <font>
      <b/>
      <sz val="13"/>
      <color rgb="FFF6AE2D"/>
      <name val="Arial"/>
      <family val="2"/>
      <charset val="1"/>
    </font>
    <font>
      <sz val="9"/>
      <name val="Courier New"/>
      <family val="3"/>
      <charset val="1"/>
    </font>
    <font>
      <sz val="9"/>
      <color rgb="FF1A252F"/>
      <name val="Courier New"/>
      <family val="3"/>
    </font>
  </fonts>
  <fills count="30">
    <fill>
      <patternFill patternType="none"/>
    </fill>
    <fill>
      <patternFill patternType="gray125"/>
    </fill>
    <fill>
      <patternFill patternType="solid">
        <fgColor rgb="FFFFFFFF"/>
        <bgColor rgb="FFFDFEFE"/>
      </patternFill>
    </fill>
    <fill>
      <patternFill patternType="solid">
        <fgColor rgb="FFF6AE2D"/>
        <bgColor rgb="FFE67E22"/>
      </patternFill>
    </fill>
    <fill>
      <patternFill patternType="solid">
        <fgColor rgb="FF2E86AB"/>
        <bgColor rgb="FF5D6D7E"/>
      </patternFill>
    </fill>
    <fill>
      <patternFill patternType="solid">
        <fgColor rgb="FF27AE60"/>
        <bgColor rgb="FF1ABC9C"/>
      </patternFill>
    </fill>
    <fill>
      <patternFill patternType="solid">
        <fgColor rgb="FFFFF3CD"/>
        <bgColor rgb="FFFFF2CC"/>
      </patternFill>
    </fill>
    <fill>
      <patternFill patternType="solid">
        <fgColor rgb="FF1ABC9C"/>
        <bgColor rgb="FF27AE60"/>
      </patternFill>
    </fill>
    <fill>
      <patternFill patternType="solid">
        <fgColor rgb="FFEBF5FB"/>
        <bgColor rgb="FFF0F3F4"/>
      </patternFill>
    </fill>
    <fill>
      <patternFill patternType="solid">
        <fgColor rgb="FF1E3A5F"/>
        <bgColor rgb="FF1A3C5E"/>
      </patternFill>
    </fill>
    <fill>
      <patternFill patternType="solid">
        <fgColor rgb="FFC0392B"/>
        <bgColor rgb="FFDC143C"/>
      </patternFill>
    </fill>
    <fill>
      <patternFill patternType="solid">
        <fgColor rgb="FFE67E22"/>
        <bgColor rgb="FFF6AE2D"/>
      </patternFill>
    </fill>
    <fill>
      <patternFill patternType="solid">
        <fgColor rgb="FF8E44AD"/>
        <bgColor rgb="FF6C3483"/>
      </patternFill>
    </fill>
    <fill>
      <patternFill patternType="solid">
        <fgColor rgb="FFFAFAFA"/>
        <bgColor rgb="FFF9F9F9"/>
      </patternFill>
    </fill>
    <fill>
      <patternFill patternType="solid">
        <fgColor rgb="FFF0F3F4"/>
        <bgColor rgb="FFEBF5FB"/>
      </patternFill>
    </fill>
    <fill>
      <patternFill patternType="solid">
        <fgColor rgb="FFDC143C"/>
        <bgColor rgb="FFCC0000"/>
      </patternFill>
    </fill>
    <fill>
      <patternFill patternType="solid">
        <fgColor rgb="FFFDFEFE"/>
        <bgColor rgb="FFFFFFFF"/>
      </patternFill>
    </fill>
    <fill>
      <patternFill patternType="solid">
        <fgColor rgb="FFFFF2CC"/>
        <bgColor rgb="FFFFF3CD"/>
      </patternFill>
    </fill>
    <fill>
      <patternFill patternType="solid">
        <fgColor rgb="FFFFF9C4"/>
        <bgColor rgb="FFFFF3CD"/>
      </patternFill>
    </fill>
    <fill>
      <patternFill patternType="solid">
        <fgColor rgb="FF6C3483"/>
        <bgColor rgb="FF8E44AD"/>
      </patternFill>
    </fill>
    <fill>
      <patternFill patternType="solid">
        <fgColor rgb="FFF5EEF8"/>
        <bgColor rgb="FFF0F3F4"/>
      </patternFill>
    </fill>
    <fill>
      <patternFill patternType="solid">
        <fgColor rgb="FF1A252F"/>
        <bgColor rgb="FF1E3A5F"/>
      </patternFill>
    </fill>
    <fill>
      <patternFill patternType="solid">
        <fgColor rgb="FFFDEDEC"/>
        <bgColor rgb="FFFFF0F0"/>
      </patternFill>
    </fill>
    <fill>
      <patternFill patternType="solid">
        <fgColor rgb="FFFEF9E7"/>
        <bgColor rgb="FFFDF2F2"/>
      </patternFill>
    </fill>
    <fill>
      <patternFill patternType="solid">
        <fgColor rgb="FF1A3C5E"/>
        <bgColor rgb="FF1E3A5F"/>
      </patternFill>
    </fill>
    <fill>
      <patternFill patternType="solid">
        <fgColor rgb="FFD5F5E3"/>
        <bgColor rgb="FFEBF5FB"/>
      </patternFill>
    </fill>
    <fill>
      <patternFill patternType="solid">
        <fgColor rgb="FF8B1A1A"/>
        <bgColor rgb="FF5C2020"/>
      </patternFill>
    </fill>
    <fill>
      <patternFill patternType="solid">
        <fgColor rgb="FFFFF0F0"/>
        <bgColor rgb="FFFDF2F2"/>
      </patternFill>
    </fill>
    <fill>
      <patternFill patternType="solid">
        <fgColor rgb="FFF8F9FA"/>
        <bgColor rgb="FFF9F9F9"/>
      </patternFill>
    </fill>
    <fill>
      <patternFill patternType="solid">
        <fgColor rgb="FF2C3E50"/>
        <bgColor rgb="FF1E3A5F"/>
      </patternFill>
    </fill>
  </fills>
  <borders count="17">
    <border>
      <left/>
      <right/>
      <top/>
      <bottom/>
      <diagonal/>
    </border>
    <border>
      <left style="thin">
        <color rgb="FFBDC3C7"/>
      </left>
      <right style="thin">
        <color rgb="FFBDC3C7"/>
      </right>
      <top style="thin">
        <color rgb="FFBDC3C7"/>
      </top>
      <bottom style="thin">
        <color rgb="FFBDC3C7"/>
      </bottom>
      <diagonal/>
    </border>
    <border>
      <left style="medium">
        <color rgb="FF1E3A5F"/>
      </left>
      <right style="medium">
        <color rgb="FF1E3A5F"/>
      </right>
      <top style="medium">
        <color rgb="FF1E3A5F"/>
      </top>
      <bottom style="medium">
        <color rgb="FF1E3A5F"/>
      </bottom>
      <diagonal/>
    </border>
    <border>
      <left style="thin">
        <color rgb="FFBDC3C7"/>
      </left>
      <right/>
      <top style="thin">
        <color rgb="FFBDC3C7"/>
      </top>
      <bottom/>
      <diagonal/>
    </border>
    <border>
      <left style="thin">
        <color rgb="FFBDC3C7"/>
      </left>
      <right/>
      <top style="thin">
        <color rgb="FFBDC3C7"/>
      </top>
      <bottom style="thin">
        <color rgb="FFBDC3C7"/>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rgb="FFD5D8DC"/>
      </left>
      <right/>
      <top style="thin">
        <color rgb="FFD5D8DC"/>
      </top>
      <bottom style="thin">
        <color rgb="FFD5D8DC"/>
      </bottom>
      <diagonal/>
    </border>
    <border>
      <left style="medium">
        <color auto="1"/>
      </left>
      <right/>
      <top style="medium">
        <color auto="1"/>
      </top>
      <bottom style="medium">
        <color auto="1"/>
      </bottom>
      <diagonal/>
    </border>
    <border>
      <left/>
      <right/>
      <top style="medium">
        <color auto="1"/>
      </top>
      <bottom style="medium">
        <color auto="1"/>
      </bottom>
      <diagonal/>
    </border>
    <border>
      <left/>
      <right/>
      <top/>
      <bottom style="thin">
        <color rgb="FFBDC3C7"/>
      </bottom>
      <diagonal/>
    </border>
    <border>
      <left/>
      <right/>
      <top style="thin">
        <color auto="1"/>
      </top>
      <bottom style="thin">
        <color auto="1"/>
      </bottom>
      <diagonal/>
    </border>
    <border>
      <left style="medium">
        <color rgb="FF1E3A5F"/>
      </left>
      <right/>
      <top style="medium">
        <color rgb="FF1E3A5F"/>
      </top>
      <bottom style="medium">
        <color rgb="FF1E3A5F"/>
      </bottom>
      <diagonal/>
    </border>
    <border>
      <left style="thin">
        <color rgb="FFD0D3D4"/>
      </left>
      <right style="thin">
        <color rgb="FFD0D3D4"/>
      </right>
      <top style="thin">
        <color rgb="FFD0D3D4"/>
      </top>
      <bottom style="thin">
        <color rgb="FFD0D3D4"/>
      </bottom>
      <diagonal/>
    </border>
    <border>
      <left style="thin">
        <color rgb="FFCCCCCC"/>
      </left>
      <right style="thin">
        <color rgb="FFCCCCCC"/>
      </right>
      <top style="thin">
        <color rgb="FFCCCCCC"/>
      </top>
      <bottom style="thin">
        <color rgb="FFCCCCCC"/>
      </bottom>
      <diagonal/>
    </border>
    <border>
      <left style="thin">
        <color rgb="FFBFBFBF"/>
      </left>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s>
  <cellStyleXfs count="1">
    <xf numFmtId="0" fontId="0" fillId="0" borderId="0"/>
  </cellStyleXfs>
  <cellXfs count="259">
    <xf numFmtId="0" fontId="0" fillId="0" borderId="0" xfId="0"/>
    <xf numFmtId="0" fontId="32" fillId="8" borderId="5" xfId="0" applyFont="1" applyFill="1" applyBorder="1" applyAlignment="1">
      <alignment horizontal="left" vertical="center" wrapText="1"/>
    </xf>
    <xf numFmtId="0" fontId="0" fillId="0" borderId="0" xfId="0"/>
    <xf numFmtId="0" fontId="43" fillId="5" borderId="10" xfId="0" applyFont="1" applyFill="1" applyBorder="1" applyAlignment="1">
      <alignment horizontal="center" vertical="center"/>
    </xf>
    <xf numFmtId="0" fontId="27" fillId="14" borderId="0" xfId="0" applyFont="1" applyFill="1" applyAlignment="1">
      <alignment horizontal="center" vertical="center"/>
    </xf>
    <xf numFmtId="0" fontId="36" fillId="2" borderId="0" xfId="0" applyFont="1" applyFill="1"/>
    <xf numFmtId="0" fontId="41" fillId="3" borderId="7" xfId="0" applyFont="1" applyFill="1" applyBorder="1" applyAlignment="1">
      <alignment horizontal="center" vertical="center"/>
    </xf>
    <xf numFmtId="0" fontId="26" fillId="13" borderId="5" xfId="0" applyFont="1" applyFill="1" applyBorder="1" applyAlignment="1">
      <alignment horizontal="left" vertical="center"/>
    </xf>
    <xf numFmtId="0" fontId="38" fillId="13" borderId="5" xfId="0" applyFont="1" applyFill="1" applyBorder="1" applyAlignment="1">
      <alignment horizontal="left" vertical="center"/>
    </xf>
    <xf numFmtId="0" fontId="39" fillId="2" borderId="0" xfId="0" applyFont="1" applyFill="1" applyAlignment="1">
      <alignment horizontal="left" vertical="center"/>
    </xf>
    <xf numFmtId="166" fontId="38" fillId="8" borderId="5" xfId="0" applyNumberFormat="1" applyFont="1" applyFill="1" applyBorder="1" applyAlignment="1">
      <alignment horizontal="left" vertical="center"/>
    </xf>
    <xf numFmtId="0" fontId="38" fillId="8" borderId="5" xfId="0" applyFont="1" applyFill="1" applyBorder="1" applyAlignment="1">
      <alignment horizontal="left" vertical="center"/>
    </xf>
    <xf numFmtId="0" fontId="35" fillId="8" borderId="0" xfId="0" applyFont="1" applyFill="1" applyAlignment="1">
      <alignment horizontal="center" vertical="center"/>
    </xf>
    <xf numFmtId="0" fontId="34" fillId="7" borderId="0" xfId="0" applyFont="1" applyFill="1" applyAlignment="1">
      <alignment horizontal="center" vertical="center"/>
    </xf>
    <xf numFmtId="0" fontId="33" fillId="9" borderId="0" xfId="0" applyFont="1" applyFill="1" applyAlignment="1">
      <alignment horizontal="center" vertical="center"/>
    </xf>
    <xf numFmtId="0" fontId="0" fillId="2" borderId="0" xfId="0" applyFill="1"/>
    <xf numFmtId="0" fontId="0" fillId="3" borderId="0" xfId="0" applyFill="1"/>
    <xf numFmtId="0" fontId="0" fillId="4" borderId="0" xfId="0" applyFill="1"/>
    <xf numFmtId="0" fontId="0" fillId="7" borderId="0" xfId="0" applyFill="1"/>
    <xf numFmtId="0" fontId="17" fillId="11" borderId="0" xfId="0" applyFont="1" applyFill="1" applyAlignment="1">
      <alignment horizontal="center" vertical="center"/>
    </xf>
    <xf numFmtId="0" fontId="25" fillId="9" borderId="1" xfId="0" applyFont="1" applyFill="1" applyBorder="1" applyAlignment="1">
      <alignment horizontal="center" vertical="center"/>
    </xf>
    <xf numFmtId="0" fontId="26" fillId="2" borderId="1" xfId="0" applyFont="1" applyFill="1" applyBorder="1" applyAlignment="1">
      <alignment horizontal="left" vertical="center"/>
    </xf>
    <xf numFmtId="164" fontId="26" fillId="2" borderId="1" xfId="0" applyNumberFormat="1" applyFont="1" applyFill="1" applyBorder="1" applyAlignment="1">
      <alignment horizontal="center" vertical="center"/>
    </xf>
    <xf numFmtId="0" fontId="26" fillId="2" borderId="1" xfId="0" applyFont="1" applyFill="1" applyBorder="1" applyAlignment="1">
      <alignment horizontal="center" vertical="center"/>
    </xf>
    <xf numFmtId="165" fontId="26" fillId="2" borderId="1" xfId="0" applyNumberFormat="1" applyFont="1" applyFill="1" applyBorder="1" applyAlignment="1">
      <alignment horizontal="center" vertical="center"/>
    </xf>
    <xf numFmtId="0" fontId="26" fillId="8" borderId="1" xfId="0" applyFont="1" applyFill="1" applyBorder="1" applyAlignment="1">
      <alignment horizontal="left" vertical="center"/>
    </xf>
    <xf numFmtId="164" fontId="26" fillId="8" borderId="1" xfId="0" applyNumberFormat="1" applyFont="1" applyFill="1" applyBorder="1" applyAlignment="1">
      <alignment horizontal="center" vertical="center"/>
    </xf>
    <xf numFmtId="0" fontId="26" fillId="8" borderId="1" xfId="0" applyFont="1" applyFill="1" applyBorder="1" applyAlignment="1">
      <alignment horizontal="center" vertical="center"/>
    </xf>
    <xf numFmtId="165" fontId="26" fillId="8" borderId="1" xfId="0" applyNumberFormat="1" applyFont="1" applyFill="1" applyBorder="1" applyAlignment="1">
      <alignment horizontal="center" vertical="center"/>
    </xf>
    <xf numFmtId="0" fontId="27" fillId="3" borderId="2" xfId="0" applyFont="1" applyFill="1" applyBorder="1" applyAlignment="1">
      <alignment horizontal="center" vertical="center"/>
    </xf>
    <xf numFmtId="164" fontId="27" fillId="3" borderId="2" xfId="0" applyNumberFormat="1" applyFont="1" applyFill="1" applyBorder="1" applyAlignment="1">
      <alignment horizontal="center" vertical="center"/>
    </xf>
    <xf numFmtId="165" fontId="27" fillId="3" borderId="2" xfId="0" applyNumberFormat="1" applyFont="1" applyFill="1" applyBorder="1" applyAlignment="1">
      <alignment horizontal="center" vertical="center"/>
    </xf>
    <xf numFmtId="0" fontId="31" fillId="2" borderId="0" xfId="0" applyFont="1" applyFill="1"/>
    <xf numFmtId="0" fontId="32" fillId="2" borderId="0" xfId="0" applyFont="1" applyFill="1"/>
    <xf numFmtId="0" fontId="36" fillId="2" borderId="0" xfId="0" applyFont="1" applyFill="1"/>
    <xf numFmtId="0" fontId="37" fillId="2" borderId="0" xfId="0" applyFont="1" applyFill="1" applyAlignment="1">
      <alignment horizontal="right" vertical="center"/>
    </xf>
    <xf numFmtId="167" fontId="38" fillId="8" borderId="6" xfId="0" applyNumberFormat="1" applyFont="1" applyFill="1" applyBorder="1" applyAlignment="1">
      <alignment horizontal="left" vertical="center"/>
    </xf>
    <xf numFmtId="0" fontId="40" fillId="2" borderId="0" xfId="0" applyFont="1" applyFill="1" applyAlignment="1">
      <alignment horizontal="right" vertical="center"/>
    </xf>
    <xf numFmtId="0" fontId="40" fillId="0" borderId="0" xfId="0" applyFont="1" applyAlignment="1">
      <alignment horizontal="right" vertical="center"/>
    </xf>
    <xf numFmtId="0" fontId="37" fillId="2" borderId="0" xfId="0" applyFont="1" applyFill="1" applyAlignment="1">
      <alignment horizontal="left" vertical="center"/>
    </xf>
    <xf numFmtId="0" fontId="42" fillId="15" borderId="8" xfId="0" applyFont="1" applyFill="1" applyBorder="1" applyAlignment="1">
      <alignment horizontal="center" vertical="center"/>
    </xf>
    <xf numFmtId="0" fontId="0" fillId="0" borderId="9" xfId="0" applyBorder="1"/>
    <xf numFmtId="0" fontId="44" fillId="3" borderId="8" xfId="0" applyFont="1" applyFill="1" applyBorder="1" applyAlignment="1">
      <alignment horizontal="center" vertical="center"/>
    </xf>
    <xf numFmtId="0" fontId="25" fillId="9" borderId="0" xfId="0" applyFont="1" applyFill="1" applyAlignment="1">
      <alignment horizontal="left" vertical="center"/>
    </xf>
    <xf numFmtId="0" fontId="45" fillId="3" borderId="6" xfId="0" applyFont="1" applyFill="1" applyBorder="1" applyAlignment="1">
      <alignment horizontal="center" vertical="center"/>
    </xf>
    <xf numFmtId="0" fontId="32" fillId="8" borderId="5" xfId="0" applyFont="1" applyFill="1" applyBorder="1" applyAlignment="1">
      <alignment horizontal="left" vertical="center" wrapText="1"/>
    </xf>
    <xf numFmtId="0" fontId="0" fillId="0" borderId="11" xfId="0" applyBorder="1"/>
    <xf numFmtId="0" fontId="0" fillId="9" borderId="0" xfId="0" applyFill="1"/>
    <xf numFmtId="0" fontId="17" fillId="9" borderId="0" xfId="0" applyFont="1" applyFill="1" applyAlignment="1">
      <alignment horizontal="center" vertical="center"/>
    </xf>
    <xf numFmtId="0" fontId="48" fillId="8" borderId="6" xfId="0" applyFont="1" applyFill="1" applyBorder="1" applyAlignment="1">
      <alignment horizontal="left" vertical="center"/>
    </xf>
    <xf numFmtId="0" fontId="48" fillId="2" borderId="6" xfId="0" applyFont="1" applyFill="1" applyBorder="1" applyAlignment="1">
      <alignment horizontal="left" vertical="center"/>
    </xf>
    <xf numFmtId="0" fontId="51" fillId="3" borderId="0" xfId="0" applyFont="1" applyFill="1"/>
    <xf numFmtId="0" fontId="53" fillId="0" borderId="0" xfId="0" applyFont="1" applyAlignment="1">
      <alignment horizontal="right" vertical="center"/>
    </xf>
    <xf numFmtId="0" fontId="51" fillId="0" borderId="0" xfId="0" applyFont="1"/>
    <xf numFmtId="0" fontId="57" fillId="9" borderId="13" xfId="0" applyFont="1" applyFill="1" applyBorder="1" applyAlignment="1">
      <alignment horizontal="center" vertical="center" wrapText="1"/>
    </xf>
    <xf numFmtId="0" fontId="58" fillId="18" borderId="13" xfId="0" applyFont="1" applyFill="1" applyBorder="1" applyAlignment="1">
      <alignment horizontal="center" vertical="center"/>
    </xf>
    <xf numFmtId="0" fontId="59" fillId="18" borderId="13" xfId="0" applyFont="1" applyFill="1" applyBorder="1" applyAlignment="1">
      <alignment horizontal="left" vertical="center"/>
    </xf>
    <xf numFmtId="14" fontId="59" fillId="18" borderId="13" xfId="0" applyNumberFormat="1" applyFont="1" applyFill="1" applyBorder="1" applyAlignment="1">
      <alignment horizontal="left" vertical="center"/>
    </xf>
    <xf numFmtId="4" fontId="59" fillId="18" borderId="13" xfId="0" applyNumberFormat="1" applyFont="1" applyFill="1" applyBorder="1" applyAlignment="1">
      <alignment horizontal="left" vertical="center"/>
    </xf>
    <xf numFmtId="0" fontId="60" fillId="8" borderId="13" xfId="0" applyFont="1" applyFill="1" applyBorder="1" applyAlignment="1">
      <alignment horizontal="center" vertical="center"/>
    </xf>
    <xf numFmtId="0" fontId="61" fillId="8" borderId="13" xfId="0" applyFont="1" applyFill="1" applyBorder="1" applyAlignment="1">
      <alignment horizontal="left" vertical="center"/>
    </xf>
    <xf numFmtId="0" fontId="59" fillId="8" borderId="13" xfId="0" applyFont="1" applyFill="1" applyBorder="1" applyAlignment="1">
      <alignment horizontal="left" vertical="center"/>
    </xf>
    <xf numFmtId="14" fontId="59" fillId="8" borderId="13" xfId="0" applyNumberFormat="1" applyFont="1" applyFill="1" applyBorder="1" applyAlignment="1">
      <alignment horizontal="center" vertical="center"/>
    </xf>
    <xf numFmtId="0" fontId="59" fillId="8" borderId="13" xfId="0" applyFont="1" applyFill="1" applyBorder="1" applyAlignment="1">
      <alignment horizontal="center" vertical="center"/>
    </xf>
    <xf numFmtId="4" fontId="59" fillId="8" borderId="13" xfId="0" applyNumberFormat="1" applyFont="1" applyFill="1" applyBorder="1" applyAlignment="1">
      <alignment horizontal="right" vertical="center"/>
    </xf>
    <xf numFmtId="0" fontId="62" fillId="8" borderId="13" xfId="0" applyFont="1" applyFill="1" applyBorder="1" applyAlignment="1">
      <alignment horizontal="center" vertical="center"/>
    </xf>
    <xf numFmtId="0" fontId="60" fillId="2" borderId="13" xfId="0" applyFont="1" applyFill="1" applyBorder="1" applyAlignment="1">
      <alignment horizontal="center" vertical="center"/>
    </xf>
    <xf numFmtId="0" fontId="61" fillId="2" borderId="13" xfId="0" applyFont="1" applyFill="1" applyBorder="1" applyAlignment="1">
      <alignment horizontal="left" vertical="center"/>
    </xf>
    <xf numFmtId="0" fontId="59" fillId="2" borderId="13" xfId="0" applyFont="1" applyFill="1" applyBorder="1" applyAlignment="1">
      <alignment horizontal="left" vertical="center"/>
    </xf>
    <xf numFmtId="14" fontId="59" fillId="2" borderId="13" xfId="0" applyNumberFormat="1" applyFont="1" applyFill="1" applyBorder="1" applyAlignment="1">
      <alignment horizontal="center" vertical="center"/>
    </xf>
    <xf numFmtId="0" fontId="59" fillId="2" borderId="13" xfId="0" applyFont="1" applyFill="1" applyBorder="1" applyAlignment="1">
      <alignment horizontal="center" vertical="center"/>
    </xf>
    <xf numFmtId="4" fontId="59" fillId="2" borderId="13" xfId="0" applyNumberFormat="1" applyFont="1" applyFill="1" applyBorder="1" applyAlignment="1">
      <alignment horizontal="right" vertical="center"/>
    </xf>
    <xf numFmtId="0" fontId="62" fillId="2" borderId="13" xfId="0" applyFont="1" applyFill="1" applyBorder="1" applyAlignment="1">
      <alignment horizontal="center" vertical="center"/>
    </xf>
    <xf numFmtId="0" fontId="63" fillId="9" borderId="0" xfId="0" applyFont="1" applyFill="1"/>
    <xf numFmtId="0" fontId="30" fillId="9" borderId="0" xfId="0" applyFont="1" applyFill="1" applyAlignment="1">
      <alignment horizontal="center" vertical="center"/>
    </xf>
    <xf numFmtId="0" fontId="25" fillId="7" borderId="0" xfId="0" applyFont="1" applyFill="1"/>
    <xf numFmtId="0" fontId="64" fillId="0" borderId="0" xfId="0" applyFont="1"/>
    <xf numFmtId="49" fontId="67" fillId="8" borderId="0" xfId="0" applyNumberFormat="1" applyFont="1" applyFill="1" applyAlignment="1">
      <alignment horizontal="center" vertical="center"/>
    </xf>
    <xf numFmtId="0" fontId="17" fillId="19" borderId="6" xfId="0" applyFont="1" applyFill="1" applyBorder="1" applyAlignment="1">
      <alignment horizontal="center" vertical="center" wrapText="1"/>
    </xf>
    <xf numFmtId="0" fontId="0" fillId="2" borderId="1" xfId="0" applyFill="1" applyBorder="1" applyAlignment="1">
      <alignment horizontal="center" vertical="center"/>
    </xf>
    <xf numFmtId="164" fontId="68" fillId="2" borderId="1" xfId="0" applyNumberFormat="1" applyFont="1" applyFill="1" applyBorder="1" applyAlignment="1">
      <alignment horizontal="center" vertical="center"/>
    </xf>
    <xf numFmtId="168" fontId="69" fillId="2" borderId="1" xfId="0" applyNumberFormat="1" applyFont="1" applyFill="1" applyBorder="1" applyAlignment="1">
      <alignment horizontal="center" vertical="center"/>
    </xf>
    <xf numFmtId="164" fontId="70" fillId="8" borderId="1" xfId="0" applyNumberFormat="1" applyFont="1" applyFill="1" applyBorder="1" applyAlignment="1">
      <alignment horizontal="left" vertical="center"/>
    </xf>
    <xf numFmtId="164" fontId="31" fillId="2" borderId="1" xfId="0" applyNumberFormat="1" applyFont="1" applyFill="1" applyBorder="1" applyAlignment="1">
      <alignment horizontal="center" vertical="center"/>
    </xf>
    <xf numFmtId="0" fontId="28" fillId="20" borderId="6" xfId="0" applyFont="1" applyFill="1" applyBorder="1" applyAlignment="1">
      <alignment horizontal="center" vertical="center"/>
    </xf>
    <xf numFmtId="0" fontId="32" fillId="2" borderId="1" xfId="0" applyFont="1" applyFill="1" applyBorder="1" applyAlignment="1">
      <alignment horizontal="center" vertical="center"/>
    </xf>
    <xf numFmtId="0" fontId="69" fillId="2" borderId="1" xfId="0" applyFont="1" applyFill="1" applyBorder="1" applyAlignment="1">
      <alignment horizontal="center" vertical="center"/>
    </xf>
    <xf numFmtId="0" fontId="0" fillId="2" borderId="1" xfId="0" applyFill="1" applyBorder="1" applyAlignment="1">
      <alignment horizontal="left" vertical="center"/>
    </xf>
    <xf numFmtId="0" fontId="0" fillId="8" borderId="1" xfId="0" applyFill="1" applyBorder="1" applyAlignment="1">
      <alignment horizontal="center" vertical="center"/>
    </xf>
    <xf numFmtId="164" fontId="68" fillId="8" borderId="1" xfId="0" applyNumberFormat="1" applyFont="1" applyFill="1" applyBorder="1" applyAlignment="1">
      <alignment horizontal="center" vertical="center"/>
    </xf>
    <xf numFmtId="168" fontId="69" fillId="8" borderId="1" xfId="0" applyNumberFormat="1" applyFont="1" applyFill="1" applyBorder="1" applyAlignment="1">
      <alignment horizontal="center" vertical="center"/>
    </xf>
    <xf numFmtId="164" fontId="31" fillId="8" borderId="1" xfId="0" applyNumberFormat="1" applyFont="1" applyFill="1" applyBorder="1" applyAlignment="1">
      <alignment horizontal="center" vertical="center"/>
    </xf>
    <xf numFmtId="0" fontId="32" fillId="8" borderId="1" xfId="0" applyFont="1" applyFill="1" applyBorder="1" applyAlignment="1">
      <alignment horizontal="center" vertical="center"/>
    </xf>
    <xf numFmtId="0" fontId="69" fillId="8" borderId="1" xfId="0" applyFont="1" applyFill="1" applyBorder="1" applyAlignment="1">
      <alignment horizontal="center" vertical="center"/>
    </xf>
    <xf numFmtId="0" fontId="0" fillId="8" borderId="1" xfId="0" applyFill="1" applyBorder="1" applyAlignment="1">
      <alignment horizontal="left" vertical="center"/>
    </xf>
    <xf numFmtId="3" fontId="72" fillId="8" borderId="0" xfId="0" applyNumberFormat="1" applyFont="1" applyFill="1" applyAlignment="1">
      <alignment horizontal="center" vertical="center"/>
    </xf>
    <xf numFmtId="0" fontId="25" fillId="21" borderId="1" xfId="0" applyFont="1" applyFill="1" applyBorder="1" applyAlignment="1">
      <alignment horizontal="center" vertical="center"/>
    </xf>
    <xf numFmtId="164" fontId="70" fillId="22" borderId="1" xfId="0" applyNumberFormat="1" applyFont="1" applyFill="1" applyBorder="1" applyAlignment="1">
      <alignment horizontal="left" vertical="center"/>
    </xf>
    <xf numFmtId="164" fontId="73" fillId="2" borderId="1" xfId="0" applyNumberFormat="1" applyFont="1" applyFill="1" applyBorder="1" applyAlignment="1">
      <alignment horizontal="center" vertical="center"/>
    </xf>
    <xf numFmtId="164" fontId="73" fillId="8" borderId="1" xfId="0" applyNumberFormat="1" applyFont="1" applyFill="1" applyBorder="1" applyAlignment="1">
      <alignment horizontal="center" vertical="center"/>
    </xf>
    <xf numFmtId="0" fontId="43" fillId="9" borderId="0" xfId="0" applyFont="1" applyFill="1" applyAlignment="1">
      <alignment horizontal="center" vertical="center"/>
    </xf>
    <xf numFmtId="0" fontId="29" fillId="0" borderId="0" xfId="0" applyFont="1" applyAlignment="1">
      <alignment horizontal="left" vertical="center"/>
    </xf>
    <xf numFmtId="0" fontId="27" fillId="0" borderId="0" xfId="0" applyFont="1" applyAlignment="1">
      <alignment horizontal="left" vertical="center"/>
    </xf>
    <xf numFmtId="0" fontId="25" fillId="11" borderId="1" xfId="0" applyFont="1" applyFill="1" applyBorder="1" applyAlignment="1">
      <alignment horizontal="center" vertical="center"/>
    </xf>
    <xf numFmtId="164" fontId="70" fillId="23" borderId="1" xfId="0" applyNumberFormat="1" applyFont="1" applyFill="1" applyBorder="1" applyAlignment="1">
      <alignment horizontal="left" vertical="center"/>
    </xf>
    <xf numFmtId="0" fontId="70" fillId="8" borderId="1" xfId="0" applyFont="1" applyFill="1" applyBorder="1" applyAlignment="1">
      <alignment horizontal="center" vertical="center"/>
    </xf>
    <xf numFmtId="169" fontId="26" fillId="8" borderId="1" xfId="0" applyNumberFormat="1" applyFont="1" applyFill="1" applyBorder="1" applyAlignment="1">
      <alignment horizontal="center" vertical="center"/>
    </xf>
    <xf numFmtId="164" fontId="27" fillId="8" borderId="1" xfId="0" applyNumberFormat="1" applyFont="1" applyFill="1" applyBorder="1" applyAlignment="1">
      <alignment horizontal="center" vertical="center"/>
    </xf>
    <xf numFmtId="164" fontId="77" fillId="8" borderId="1" xfId="0" applyNumberFormat="1" applyFont="1" applyFill="1" applyBorder="1" applyAlignment="1">
      <alignment horizontal="center" vertical="center"/>
    </xf>
    <xf numFmtId="0" fontId="78" fillId="8" borderId="1" xfId="0" applyFont="1" applyFill="1" applyBorder="1" applyAlignment="1">
      <alignment horizontal="center" vertical="center"/>
    </xf>
    <xf numFmtId="0" fontId="70" fillId="2" borderId="1" xfId="0" applyFont="1" applyFill="1" applyBorder="1" applyAlignment="1">
      <alignment horizontal="center" vertical="center"/>
    </xf>
    <xf numFmtId="169" fontId="26" fillId="2" borderId="1" xfId="0" applyNumberFormat="1" applyFont="1" applyFill="1" applyBorder="1" applyAlignment="1">
      <alignment horizontal="center" vertical="center"/>
    </xf>
    <xf numFmtId="164" fontId="77" fillId="2" borderId="1" xfId="0" applyNumberFormat="1" applyFont="1" applyFill="1" applyBorder="1" applyAlignment="1">
      <alignment horizontal="center" vertical="center"/>
    </xf>
    <xf numFmtId="0" fontId="78" fillId="2" borderId="1" xfId="0" applyFont="1" applyFill="1" applyBorder="1" applyAlignment="1">
      <alignment horizontal="center" vertical="center"/>
    </xf>
    <xf numFmtId="169" fontId="0" fillId="0" borderId="0" xfId="0" applyNumberFormat="1"/>
    <xf numFmtId="0" fontId="0" fillId="8" borderId="0" xfId="0" applyFill="1"/>
    <xf numFmtId="0" fontId="25" fillId="24" borderId="14" xfId="0" applyFont="1" applyFill="1" applyBorder="1" applyAlignment="1">
      <alignment horizontal="center"/>
    </xf>
    <xf numFmtId="168" fontId="26" fillId="8" borderId="1" xfId="0" applyNumberFormat="1" applyFont="1" applyFill="1" applyBorder="1" applyAlignment="1">
      <alignment horizontal="center" vertical="center"/>
    </xf>
    <xf numFmtId="168" fontId="26" fillId="2" borderId="1" xfId="0" applyNumberFormat="1" applyFont="1" applyFill="1" applyBorder="1" applyAlignment="1">
      <alignment horizontal="center" vertical="center"/>
    </xf>
    <xf numFmtId="0" fontId="25" fillId="5" borderId="1" xfId="0" applyFont="1" applyFill="1" applyBorder="1" applyAlignment="1">
      <alignment horizontal="center" vertical="center"/>
    </xf>
    <xf numFmtId="0" fontId="31" fillId="25" borderId="1" xfId="0" applyFont="1" applyFill="1" applyBorder="1" applyAlignment="1">
      <alignment horizontal="center" vertical="center"/>
    </xf>
    <xf numFmtId="0" fontId="79" fillId="0" borderId="0" xfId="0" applyFont="1"/>
    <xf numFmtId="0" fontId="78" fillId="23" borderId="1" xfId="0" applyFont="1" applyFill="1" applyBorder="1" applyAlignment="1">
      <alignment horizontal="center" vertical="center"/>
    </xf>
    <xf numFmtId="0" fontId="25" fillId="26" borderId="14" xfId="0" applyFont="1" applyFill="1" applyBorder="1" applyAlignment="1">
      <alignment horizontal="center" vertical="center"/>
    </xf>
    <xf numFmtId="0" fontId="28" fillId="8" borderId="0" xfId="0" applyFont="1" applyFill="1" applyAlignment="1">
      <alignment horizontal="center" vertical="center"/>
    </xf>
    <xf numFmtId="0" fontId="25" fillId="9" borderId="0" xfId="0" applyFont="1" applyFill="1" applyAlignment="1">
      <alignment horizontal="center" vertical="center"/>
    </xf>
    <xf numFmtId="164" fontId="85" fillId="3" borderId="0" xfId="0" applyNumberFormat="1" applyFont="1" applyFill="1" applyAlignment="1">
      <alignment horizontal="center" vertical="center"/>
    </xf>
    <xf numFmtId="3" fontId="85" fillId="3" borderId="0" xfId="0" applyNumberFormat="1" applyFont="1" applyFill="1" applyAlignment="1">
      <alignment horizontal="center" vertical="center"/>
    </xf>
    <xf numFmtId="0" fontId="25" fillId="12" borderId="1" xfId="0" applyFont="1" applyFill="1" applyBorder="1" applyAlignment="1">
      <alignment horizontal="center" vertical="center"/>
    </xf>
    <xf numFmtId="0" fontId="88" fillId="0" borderId="0" xfId="0" applyFont="1" applyAlignment="1">
      <alignment horizontal="left" vertical="center"/>
    </xf>
    <xf numFmtId="0" fontId="17" fillId="9" borderId="16" xfId="0" applyFont="1" applyFill="1" applyBorder="1" applyAlignment="1">
      <alignment horizontal="center" vertical="center" wrapText="1"/>
    </xf>
    <xf numFmtId="0" fontId="90" fillId="2" borderId="16" xfId="0" applyFont="1" applyFill="1" applyBorder="1" applyAlignment="1">
      <alignment horizontal="center" vertical="center"/>
    </xf>
    <xf numFmtId="0" fontId="48" fillId="2" borderId="16" xfId="0" applyFont="1" applyFill="1" applyBorder="1" applyAlignment="1">
      <alignment horizontal="left" vertical="center"/>
    </xf>
    <xf numFmtId="0" fontId="90" fillId="28" borderId="16" xfId="0" applyFont="1" applyFill="1" applyBorder="1" applyAlignment="1">
      <alignment horizontal="center" vertical="center"/>
    </xf>
    <xf numFmtId="0" fontId="48" fillId="28" borderId="16" xfId="0" applyFont="1" applyFill="1" applyBorder="1" applyAlignment="1">
      <alignment horizontal="left" vertical="center"/>
    </xf>
    <xf numFmtId="0" fontId="0" fillId="21" borderId="0" xfId="0" applyFill="1"/>
    <xf numFmtId="0" fontId="17" fillId="9" borderId="16" xfId="0" applyFont="1" applyFill="1" applyBorder="1" applyAlignment="1">
      <alignment horizontal="center" vertical="center"/>
    </xf>
    <xf numFmtId="0" fontId="90" fillId="2" borderId="16" xfId="0" applyFont="1" applyFill="1" applyBorder="1" applyAlignment="1">
      <alignment horizontal="left" vertical="center"/>
    </xf>
    <xf numFmtId="0" fontId="90" fillId="28" borderId="16" xfId="0" applyFont="1" applyFill="1" applyBorder="1" applyAlignment="1">
      <alignment horizontal="left" vertical="center"/>
    </xf>
    <xf numFmtId="0" fontId="25" fillId="24" borderId="14" xfId="0" applyFont="1" applyFill="1" applyBorder="1" applyAlignment="1">
      <alignment horizontal="center" vertical="center"/>
    </xf>
    <xf numFmtId="0" fontId="76" fillId="3" borderId="0" xfId="0" applyFont="1" applyFill="1" applyAlignment="1">
      <alignment horizontal="center" vertical="center"/>
    </xf>
    <xf numFmtId="0" fontId="94" fillId="0" borderId="1" xfId="0" applyFont="1" applyBorder="1" applyAlignment="1">
      <alignment horizontal="left" vertical="center"/>
    </xf>
    <xf numFmtId="0" fontId="95" fillId="8" borderId="1" xfId="0" applyFont="1" applyFill="1" applyBorder="1" applyAlignment="1">
      <alignment horizontal="left" vertical="center"/>
    </xf>
    <xf numFmtId="0" fontId="28" fillId="2" borderId="0" xfId="0" applyFont="1" applyFill="1" applyAlignment="1">
      <alignment horizontal="left" vertical="center"/>
    </xf>
    <xf numFmtId="0" fontId="28" fillId="8" borderId="0" xfId="0" applyFont="1" applyFill="1" applyAlignment="1">
      <alignment horizontal="left" vertical="center"/>
    </xf>
    <xf numFmtId="0" fontId="25" fillId="29" borderId="14" xfId="0" applyFont="1" applyFill="1" applyBorder="1" applyAlignment="1">
      <alignment horizontal="center"/>
    </xf>
    <xf numFmtId="0" fontId="96" fillId="9" borderId="0" xfId="0" applyFont="1" applyFill="1" applyAlignment="1">
      <alignment horizontal="center" vertical="center"/>
    </xf>
    <xf numFmtId="0" fontId="96" fillId="9" borderId="0" xfId="0" applyFont="1" applyFill="1" applyAlignment="1">
      <alignment horizontal="left" vertical="center" wrapText="1"/>
    </xf>
    <xf numFmtId="0" fontId="97" fillId="0" borderId="0" xfId="0" applyFont="1" applyAlignment="1">
      <alignment horizontal="left" vertical="top"/>
    </xf>
    <xf numFmtId="0" fontId="98" fillId="28" borderId="0" xfId="0" applyFont="1" applyFill="1" applyAlignment="1">
      <alignment horizontal="left" vertical="top"/>
    </xf>
    <xf numFmtId="0" fontId="29" fillId="0" borderId="0" xfId="0" applyFont="1"/>
    <xf numFmtId="0" fontId="97" fillId="0" borderId="0" xfId="0" applyFont="1"/>
    <xf numFmtId="0" fontId="30" fillId="9" borderId="0" xfId="0" applyFont="1" applyFill="1" applyAlignment="1">
      <alignment horizontal="left" vertical="center"/>
    </xf>
    <xf numFmtId="0" fontId="46" fillId="8" borderId="0" xfId="0" applyFont="1" applyFill="1" applyAlignment="1">
      <alignment horizontal="left" vertical="center" wrapText="1"/>
    </xf>
    <xf numFmtId="0" fontId="17" fillId="9" borderId="0" xfId="0" applyFont="1" applyFill="1" applyAlignment="1">
      <alignment horizontal="center" vertical="center"/>
    </xf>
    <xf numFmtId="0" fontId="47" fillId="16" borderId="7" xfId="0" applyFont="1" applyFill="1" applyBorder="1" applyAlignment="1">
      <alignment horizontal="center" vertical="center"/>
    </xf>
    <xf numFmtId="0" fontId="0" fillId="2" borderId="7" xfId="0" applyFill="1" applyBorder="1"/>
    <xf numFmtId="166" fontId="28" fillId="8" borderId="7" xfId="0" applyNumberFormat="1" applyFont="1" applyFill="1" applyBorder="1" applyAlignment="1">
      <alignment horizontal="center" vertical="center"/>
    </xf>
    <xf numFmtId="0" fontId="28" fillId="8" borderId="7" xfId="0" applyFont="1" applyFill="1" applyBorder="1" applyAlignment="1">
      <alignment horizontal="center" vertical="center"/>
    </xf>
    <xf numFmtId="0" fontId="1" fillId="2" borderId="0" xfId="0" applyFont="1" applyFill="1" applyAlignment="1">
      <alignment horizontal="center" vertical="center"/>
    </xf>
    <xf numFmtId="0" fontId="2" fillId="2" borderId="0" xfId="0" applyFont="1" applyFill="1" applyAlignment="1">
      <alignment horizontal="center" vertical="center"/>
    </xf>
    <xf numFmtId="0" fontId="3" fillId="2" borderId="0" xfId="0" applyFont="1" applyFill="1" applyAlignment="1">
      <alignment horizontal="center" vertical="center"/>
    </xf>
    <xf numFmtId="0" fontId="4" fillId="2" borderId="0" xfId="0" applyFont="1" applyFill="1" applyAlignment="1">
      <alignment horizontal="center" vertical="center" wrapText="1"/>
    </xf>
    <xf numFmtId="0" fontId="5" fillId="2" borderId="0" xfId="0" applyFont="1" applyFill="1" applyAlignment="1">
      <alignment horizontal="center" vertical="center"/>
    </xf>
    <xf numFmtId="0" fontId="6" fillId="2" borderId="0" xfId="0" applyFont="1" applyFill="1" applyAlignment="1">
      <alignment horizontal="center" vertical="center"/>
    </xf>
    <xf numFmtId="0" fontId="7" fillId="2" borderId="0" xfId="0" applyFont="1" applyFill="1" applyAlignment="1">
      <alignment horizontal="center" vertical="center" wrapText="1"/>
    </xf>
    <xf numFmtId="0" fontId="8" fillId="5" borderId="0" xfId="0" applyFont="1" applyFill="1" applyAlignment="1">
      <alignment horizontal="center" vertical="center"/>
    </xf>
    <xf numFmtId="0" fontId="9" fillId="6" borderId="0" xfId="0" applyFont="1" applyFill="1" applyAlignment="1">
      <alignment horizontal="center" vertical="center"/>
    </xf>
    <xf numFmtId="0" fontId="10" fillId="2" borderId="0" xfId="0" applyFont="1" applyFill="1" applyAlignment="1">
      <alignment horizontal="center" vertical="center"/>
    </xf>
    <xf numFmtId="0" fontId="11" fillId="2" borderId="0" xfId="0" applyFont="1" applyFill="1" applyAlignment="1">
      <alignment horizontal="left" vertical="center" wrapText="1"/>
    </xf>
    <xf numFmtId="0" fontId="7" fillId="8" borderId="0" xfId="0" applyFont="1" applyFill="1" applyAlignment="1">
      <alignment horizontal="left" vertical="center" wrapText="1"/>
    </xf>
    <xf numFmtId="0" fontId="12" fillId="2" borderId="0" xfId="0" applyFont="1" applyFill="1" applyAlignment="1">
      <alignment horizontal="center" vertical="center"/>
    </xf>
    <xf numFmtId="0" fontId="13" fillId="6" borderId="0" xfId="0" applyFont="1" applyFill="1" applyAlignment="1">
      <alignment horizontal="center" vertical="center" wrapText="1"/>
    </xf>
    <xf numFmtId="0" fontId="14" fillId="2" borderId="0" xfId="0" applyFont="1" applyFill="1" applyAlignment="1">
      <alignment horizontal="center" vertical="center"/>
    </xf>
    <xf numFmtId="0" fontId="8" fillId="2" borderId="0" xfId="0" applyFont="1" applyFill="1" applyAlignment="1">
      <alignment horizontal="center" vertical="center"/>
    </xf>
    <xf numFmtId="0" fontId="15" fillId="9" borderId="0" xfId="0" applyFont="1" applyFill="1" applyAlignment="1">
      <alignment horizontal="center" vertical="center"/>
    </xf>
    <xf numFmtId="0" fontId="16" fillId="4" borderId="0" xfId="0" applyFont="1" applyFill="1" applyAlignment="1">
      <alignment horizontal="center" vertical="center"/>
    </xf>
    <xf numFmtId="0" fontId="17" fillId="5" borderId="0" xfId="0" applyFont="1" applyFill="1" applyAlignment="1">
      <alignment horizontal="center" vertical="center"/>
    </xf>
    <xf numFmtId="0" fontId="17" fillId="10" borderId="0" xfId="0" applyFont="1" applyFill="1" applyAlignment="1">
      <alignment horizontal="center" vertical="center"/>
    </xf>
    <xf numFmtId="0" fontId="17" fillId="7" borderId="0" xfId="0" applyFont="1" applyFill="1" applyAlignment="1">
      <alignment horizontal="center" vertical="center"/>
    </xf>
    <xf numFmtId="0" fontId="17" fillId="4" borderId="0" xfId="0" applyFont="1" applyFill="1" applyAlignment="1">
      <alignment horizontal="center" vertical="center"/>
    </xf>
    <xf numFmtId="0" fontId="17" fillId="11" borderId="0" xfId="0" applyFont="1" applyFill="1" applyAlignment="1">
      <alignment horizontal="center" vertical="center"/>
    </xf>
    <xf numFmtId="0" fontId="17" fillId="12" borderId="0" xfId="0" applyFont="1" applyFill="1" applyAlignment="1">
      <alignment horizontal="center" vertical="center"/>
    </xf>
    <xf numFmtId="164" fontId="18" fillId="8" borderId="0" xfId="0" applyNumberFormat="1" applyFont="1" applyFill="1" applyAlignment="1">
      <alignment horizontal="center" vertical="center"/>
    </xf>
    <xf numFmtId="164" fontId="19" fillId="8" borderId="0" xfId="0" applyNumberFormat="1" applyFont="1" applyFill="1" applyAlignment="1">
      <alignment horizontal="center" vertical="center"/>
    </xf>
    <xf numFmtId="164" fontId="20" fillId="8" borderId="0" xfId="0" applyNumberFormat="1" applyFont="1" applyFill="1" applyAlignment="1">
      <alignment horizontal="center" vertical="center"/>
    </xf>
    <xf numFmtId="3" fontId="21" fillId="8" borderId="0" xfId="0" applyNumberFormat="1" applyFont="1" applyFill="1" applyAlignment="1">
      <alignment horizontal="center" vertical="center"/>
    </xf>
    <xf numFmtId="3" fontId="22" fillId="8" borderId="0" xfId="0" applyNumberFormat="1" applyFont="1" applyFill="1" applyAlignment="1">
      <alignment horizontal="center" vertical="center"/>
    </xf>
    <xf numFmtId="164" fontId="23" fillId="8" borderId="0" xfId="0" applyNumberFormat="1" applyFont="1" applyFill="1" applyAlignment="1">
      <alignment horizontal="center" vertical="center"/>
    </xf>
    <xf numFmtId="0" fontId="24" fillId="9" borderId="0" xfId="0" applyFont="1" applyFill="1" applyAlignment="1">
      <alignment horizontal="center" vertical="center"/>
    </xf>
    <xf numFmtId="0" fontId="24" fillId="7" borderId="0" xfId="0" applyFont="1" applyFill="1" applyAlignment="1">
      <alignment horizontal="center" vertical="center"/>
    </xf>
    <xf numFmtId="0" fontId="28" fillId="8" borderId="3" xfId="0" applyFont="1" applyFill="1" applyBorder="1" applyAlignment="1">
      <alignment horizontal="left" vertical="top" wrapText="1"/>
    </xf>
    <xf numFmtId="0" fontId="27" fillId="0" borderId="4" xfId="0" applyFont="1" applyBorder="1" applyAlignment="1">
      <alignment horizontal="left" vertical="center"/>
    </xf>
    <xf numFmtId="0" fontId="29" fillId="8" borderId="4" xfId="0" applyFont="1" applyFill="1" applyBorder="1" applyAlignment="1">
      <alignment horizontal="center" vertical="center"/>
    </xf>
    <xf numFmtId="164" fontId="29" fillId="8" borderId="4" xfId="0" applyNumberFormat="1" applyFont="1" applyFill="1" applyBorder="1" applyAlignment="1">
      <alignment horizontal="center" vertical="center"/>
    </xf>
    <xf numFmtId="0" fontId="30" fillId="9" borderId="0" xfId="0" applyFont="1" applyFill="1"/>
    <xf numFmtId="0" fontId="32" fillId="2" borderId="0" xfId="0" applyFont="1" applyFill="1"/>
    <xf numFmtId="0" fontId="49" fillId="9" borderId="0" xfId="0" applyFont="1" applyFill="1" applyAlignment="1">
      <alignment horizontal="center" vertical="center"/>
    </xf>
    <xf numFmtId="0" fontId="50" fillId="7" borderId="0" xfId="0" applyFont="1" applyFill="1" applyAlignment="1">
      <alignment horizontal="center" vertical="center"/>
    </xf>
    <xf numFmtId="0" fontId="51" fillId="3" borderId="0" xfId="0" applyFont="1" applyFill="1"/>
    <xf numFmtId="0" fontId="52" fillId="9" borderId="0" xfId="0" applyFont="1" applyFill="1" applyAlignment="1">
      <alignment horizontal="left" vertical="center"/>
    </xf>
    <xf numFmtId="0" fontId="54" fillId="17" borderId="12" xfId="0" applyFont="1" applyFill="1" applyBorder="1" applyAlignment="1">
      <alignment horizontal="left" vertical="center"/>
    </xf>
    <xf numFmtId="0" fontId="55" fillId="0" borderId="0" xfId="0" applyFont="1" applyAlignment="1">
      <alignment horizontal="left" vertical="center"/>
    </xf>
    <xf numFmtId="0" fontId="56" fillId="9" borderId="0" xfId="0" applyFont="1" applyFill="1" applyAlignment="1">
      <alignment horizontal="center" vertical="center"/>
    </xf>
    <xf numFmtId="0" fontId="34" fillId="5" borderId="0" xfId="0" applyFont="1" applyFill="1" applyAlignment="1">
      <alignment horizontal="center" vertical="center"/>
    </xf>
    <xf numFmtId="164" fontId="65" fillId="8" borderId="0" xfId="0" applyNumberFormat="1" applyFont="1" applyFill="1" applyAlignment="1">
      <alignment horizontal="center" vertical="center"/>
    </xf>
    <xf numFmtId="3" fontId="66" fillId="8" borderId="0" xfId="0" applyNumberFormat="1" applyFont="1" applyFill="1" applyAlignment="1">
      <alignment horizontal="center" vertical="center"/>
    </xf>
    <xf numFmtId="49" fontId="67" fillId="8" borderId="0" xfId="0" applyNumberFormat="1" applyFont="1" applyFill="1" applyAlignment="1">
      <alignment horizontal="center" vertical="center"/>
    </xf>
    <xf numFmtId="0" fontId="43" fillId="7" borderId="0" xfId="0" applyFont="1" applyFill="1" applyAlignment="1">
      <alignment horizontal="center" vertical="center"/>
    </xf>
    <xf numFmtId="0" fontId="25" fillId="4" borderId="0" xfId="0" applyFont="1" applyFill="1" applyAlignment="1">
      <alignment horizontal="center" vertical="center"/>
    </xf>
    <xf numFmtId="0" fontId="33" fillId="21" borderId="0" xfId="0" applyFont="1" applyFill="1" applyAlignment="1">
      <alignment horizontal="center" vertical="center"/>
    </xf>
    <xf numFmtId="0" fontId="34" fillId="10" borderId="0" xfId="0" applyFont="1" applyFill="1" applyAlignment="1">
      <alignment horizontal="center" vertical="center"/>
    </xf>
    <xf numFmtId="164" fontId="71" fillId="8" borderId="0" xfId="0" applyNumberFormat="1" applyFont="1" applyFill="1" applyAlignment="1">
      <alignment horizontal="center" vertical="center"/>
    </xf>
    <xf numFmtId="3" fontId="65" fillId="8" borderId="0" xfId="0" applyNumberFormat="1" applyFont="1" applyFill="1" applyAlignment="1">
      <alignment horizontal="center" vertical="center"/>
    </xf>
    <xf numFmtId="0" fontId="25" fillId="11" borderId="0" xfId="0" applyFont="1" applyFill="1" applyAlignment="1">
      <alignment horizontal="center" vertical="center"/>
    </xf>
    <xf numFmtId="0" fontId="25" fillId="10" borderId="0" xfId="0" applyFont="1" applyFill="1" applyAlignment="1">
      <alignment horizontal="center" vertical="center"/>
    </xf>
    <xf numFmtId="0" fontId="74" fillId="11" borderId="0" xfId="0" applyFont="1" applyFill="1" applyAlignment="1">
      <alignment horizontal="center" vertical="center"/>
    </xf>
    <xf numFmtId="0" fontId="75" fillId="21" borderId="0" xfId="0" applyFont="1" applyFill="1" applyAlignment="1">
      <alignment horizontal="center" vertical="center"/>
    </xf>
    <xf numFmtId="0" fontId="43" fillId="9" borderId="0" xfId="0" applyFont="1" applyFill="1" applyAlignment="1">
      <alignment horizontal="center" vertical="center"/>
    </xf>
    <xf numFmtId="0" fontId="70" fillId="8" borderId="2" xfId="0" applyFont="1" applyFill="1" applyBorder="1" applyAlignment="1">
      <alignment horizontal="left" vertical="center"/>
    </xf>
    <xf numFmtId="169" fontId="26" fillId="8" borderId="1" xfId="0" applyNumberFormat="1" applyFont="1" applyFill="1" applyBorder="1" applyAlignment="1">
      <alignment horizontal="left" vertical="center"/>
    </xf>
    <xf numFmtId="164" fontId="26" fillId="8" borderId="1" xfId="0" applyNumberFormat="1" applyFont="1" applyFill="1" applyBorder="1" applyAlignment="1">
      <alignment horizontal="left" vertical="center"/>
    </xf>
    <xf numFmtId="164" fontId="76" fillId="3" borderId="1" xfId="0" applyNumberFormat="1" applyFont="1" applyFill="1" applyBorder="1" applyAlignment="1">
      <alignment horizontal="left" vertical="center"/>
    </xf>
    <xf numFmtId="0" fontId="43" fillId="4" borderId="0" xfId="0" applyFont="1" applyFill="1" applyAlignment="1">
      <alignment horizontal="center" vertical="center"/>
    </xf>
    <xf numFmtId="0" fontId="43" fillId="26" borderId="0" xfId="0" applyFont="1" applyFill="1" applyAlignment="1">
      <alignment horizontal="center" vertical="center"/>
    </xf>
    <xf numFmtId="0" fontId="80" fillId="27" borderId="0" xfId="0" applyFont="1" applyFill="1"/>
    <xf numFmtId="0" fontId="74" fillId="4" borderId="0" xfId="0" applyFont="1" applyFill="1" applyAlignment="1">
      <alignment horizontal="center" vertical="center"/>
    </xf>
    <xf numFmtId="0" fontId="76" fillId="8" borderId="0" xfId="0" applyFont="1" applyFill="1" applyAlignment="1">
      <alignment horizontal="center" vertical="center"/>
    </xf>
    <xf numFmtId="164" fontId="81" fillId="8" borderId="0" xfId="0" applyNumberFormat="1" applyFont="1" applyFill="1" applyAlignment="1">
      <alignment horizontal="center" vertical="center"/>
    </xf>
    <xf numFmtId="164" fontId="82" fillId="8" borderId="0" xfId="0" applyNumberFormat="1" applyFont="1" applyFill="1" applyAlignment="1">
      <alignment horizontal="center" vertical="center"/>
    </xf>
    <xf numFmtId="164" fontId="83" fillId="8" borderId="0" xfId="0" applyNumberFormat="1" applyFont="1" applyFill="1" applyAlignment="1">
      <alignment horizontal="center" vertical="center"/>
    </xf>
    <xf numFmtId="3" fontId="84" fillId="8" borderId="0" xfId="0" applyNumberFormat="1" applyFont="1" applyFill="1" applyAlignment="1">
      <alignment horizontal="center" vertical="center"/>
    </xf>
    <xf numFmtId="0" fontId="74" fillId="12" borderId="0" xfId="0" applyFont="1" applyFill="1" applyAlignment="1">
      <alignment horizontal="center" vertical="center"/>
    </xf>
    <xf numFmtId="0" fontId="28" fillId="8" borderId="0" xfId="0" applyFont="1" applyFill="1" applyAlignment="1">
      <alignment horizontal="center" vertical="center"/>
    </xf>
    <xf numFmtId="0" fontId="86" fillId="9" borderId="0" xfId="0" applyFont="1" applyFill="1" applyAlignment="1">
      <alignment horizontal="center" vertical="center"/>
    </xf>
    <xf numFmtId="0" fontId="87" fillId="4" borderId="0" xfId="0" applyFont="1" applyFill="1" applyAlignment="1">
      <alignment horizontal="center" vertical="center"/>
    </xf>
    <xf numFmtId="0" fontId="38" fillId="18" borderId="15" xfId="0" applyFont="1" applyFill="1" applyBorder="1" applyAlignment="1">
      <alignment horizontal="left" vertical="center"/>
    </xf>
    <xf numFmtId="0" fontId="48" fillId="18" borderId="16" xfId="0" applyFont="1" applyFill="1" applyBorder="1" applyAlignment="1">
      <alignment horizontal="left" vertical="center"/>
    </xf>
    <xf numFmtId="0" fontId="89" fillId="4" borderId="0" xfId="0" applyFont="1" applyFill="1" applyAlignment="1">
      <alignment horizontal="center" vertical="center"/>
    </xf>
    <xf numFmtId="4" fontId="73" fillId="8" borderId="16" xfId="0" applyNumberFormat="1" applyFont="1" applyFill="1" applyBorder="1" applyAlignment="1">
      <alignment horizontal="center" vertical="center"/>
    </xf>
    <xf numFmtId="0" fontId="43" fillId="21" borderId="0" xfId="0" applyFont="1" applyFill="1" applyAlignment="1">
      <alignment horizontal="center" vertical="center"/>
    </xf>
    <xf numFmtId="0" fontId="91" fillId="0" borderId="0" xfId="0" applyFont="1" applyAlignment="1">
      <alignment horizontal="left" vertical="center"/>
    </xf>
    <xf numFmtId="0" fontId="43" fillId="5" borderId="0" xfId="0" applyFont="1" applyFill="1" applyAlignment="1">
      <alignment horizontal="center" vertical="center"/>
    </xf>
    <xf numFmtId="0" fontId="48" fillId="8" borderId="16" xfId="0" applyFont="1" applyFill="1" applyBorder="1" applyAlignment="1">
      <alignment horizontal="left" vertical="center"/>
    </xf>
    <xf numFmtId="0" fontId="74" fillId="5" borderId="16" xfId="0" applyFont="1" applyFill="1" applyBorder="1" applyAlignment="1">
      <alignment horizontal="center" vertical="center"/>
    </xf>
    <xf numFmtId="0" fontId="92" fillId="28" borderId="0" xfId="0" applyFont="1" applyFill="1" applyAlignment="1">
      <alignment horizontal="left" vertical="center"/>
    </xf>
    <xf numFmtId="0" fontId="74" fillId="4" borderId="16" xfId="0" applyFont="1" applyFill="1" applyBorder="1" applyAlignment="1">
      <alignment horizontal="center" vertical="center"/>
    </xf>
    <xf numFmtId="0" fontId="84" fillId="3" borderId="16" xfId="0" applyFont="1" applyFill="1" applyBorder="1" applyAlignment="1">
      <alignment horizontal="center" vertical="center"/>
    </xf>
    <xf numFmtId="0" fontId="92" fillId="23" borderId="0" xfId="0" applyFont="1" applyFill="1" applyAlignment="1">
      <alignment horizontal="left" vertical="center"/>
    </xf>
    <xf numFmtId="0" fontId="25" fillId="5" borderId="0" xfId="0" applyFont="1" applyFill="1" applyAlignment="1">
      <alignment horizontal="left" vertical="center"/>
    </xf>
    <xf numFmtId="0" fontId="48" fillId="0" borderId="0" xfId="0" applyFont="1" applyAlignment="1">
      <alignment horizontal="left" vertical="center"/>
    </xf>
    <xf numFmtId="0" fontId="25" fillId="4" borderId="0" xfId="0" applyFont="1" applyFill="1" applyAlignment="1">
      <alignment horizontal="left" vertical="center"/>
    </xf>
    <xf numFmtId="0" fontId="25" fillId="21" borderId="0" xfId="0" applyFont="1" applyFill="1" applyAlignment="1">
      <alignment horizontal="left" vertical="center"/>
    </xf>
    <xf numFmtId="0" fontId="93" fillId="0" borderId="0" xfId="0" applyFont="1" applyAlignment="1">
      <alignment horizontal="left" vertical="center"/>
    </xf>
    <xf numFmtId="0" fontId="35" fillId="9" borderId="0" xfId="0" applyFont="1" applyFill="1" applyAlignment="1">
      <alignment horizontal="center" vertical="center"/>
    </xf>
    <xf numFmtId="0" fontId="34" fillId="4" borderId="0" xfId="0" applyFont="1" applyFill="1" applyAlignment="1">
      <alignment horizontal="center" vertical="center"/>
    </xf>
    <xf numFmtId="0" fontId="94" fillId="21" borderId="0" xfId="0" applyFont="1" applyFill="1" applyAlignment="1">
      <alignment horizontal="center" vertical="center"/>
    </xf>
    <xf numFmtId="0" fontId="43" fillId="19" borderId="0" xfId="0" applyFont="1" applyFill="1" applyAlignment="1">
      <alignment horizontal="center" vertical="center"/>
    </xf>
    <xf numFmtId="0" fontId="74" fillId="21" borderId="0" xfId="0" applyFont="1" applyFill="1" applyAlignment="1">
      <alignment horizontal="center" vertical="center"/>
    </xf>
  </cellXfs>
  <cellStyles count="1">
    <cellStyle name="Normal" xfId="0" builtinId="0"/>
  </cellStyles>
  <dxfs count="107">
    <dxf>
      <font>
        <b/>
        <sz val="10"/>
        <color rgb="FFC0392B"/>
        <name val="Arial"/>
        <charset val="1"/>
      </font>
      <fill>
        <patternFill>
          <bgColor rgb="FFFADBD8"/>
        </patternFill>
      </fill>
    </dxf>
    <dxf>
      <font>
        <b/>
        <sz val="10"/>
        <color rgb="FF27AE60"/>
        <name val="Arial"/>
        <charset val="1"/>
      </font>
      <fill>
        <patternFill>
          <bgColor rgb="FFD5F5E3"/>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ill>
        <patternFill>
          <bgColor rgb="FFFDF2F2"/>
        </patternFill>
      </fill>
    </dxf>
    <dxf>
      <font>
        <b/>
        <sz val="10"/>
        <color rgb="FFC0392B"/>
        <name val="Arial"/>
        <charset val="1"/>
      </font>
      <fill>
        <patternFill>
          <bgColor rgb="FFFADBD8"/>
        </patternFill>
      </fill>
    </dxf>
    <dxf>
      <font>
        <b/>
        <sz val="10"/>
        <color rgb="FF27AE60"/>
        <name val="Arial"/>
        <charset val="1"/>
      </font>
      <fill>
        <patternFill>
          <bgColor rgb="FFD5F5E3"/>
        </patternFill>
      </fill>
    </dxf>
    <dxf>
      <fill>
        <patternFill>
          <bgColor rgb="FFF0FFF4"/>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ill>
        <patternFill>
          <bgColor rgb="FFFDF2F2"/>
        </patternFill>
      </fill>
    </dxf>
    <dxf>
      <font>
        <b/>
        <sz val="10"/>
        <color rgb="FFC0392B"/>
        <name val="Arial"/>
        <charset val="1"/>
      </font>
      <fill>
        <patternFill>
          <bgColor rgb="FFFADBD8"/>
        </patternFill>
      </fill>
    </dxf>
    <dxf>
      <font>
        <b/>
        <sz val="10"/>
        <color rgb="FF27AE60"/>
        <name val="Arial"/>
        <charset val="1"/>
      </font>
      <fill>
        <patternFill>
          <bgColor rgb="FFD5F5E3"/>
        </patternFill>
      </fill>
    </dxf>
    <dxf>
      <fill>
        <patternFill>
          <bgColor rgb="FFF0FFF4"/>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ill>
        <patternFill>
          <bgColor rgb="FFFDF2F2"/>
        </patternFill>
      </fill>
    </dxf>
    <dxf>
      <font>
        <b/>
        <sz val="10"/>
        <color rgb="FFC0392B"/>
        <name val="Arial"/>
        <charset val="1"/>
      </font>
      <fill>
        <patternFill>
          <bgColor rgb="FFFADBD8"/>
        </patternFill>
      </fill>
    </dxf>
    <dxf>
      <font>
        <b/>
        <sz val="10"/>
        <color rgb="FF27AE60"/>
        <name val="Arial"/>
        <charset val="1"/>
      </font>
      <fill>
        <patternFill>
          <bgColor rgb="FFD5F5E3"/>
        </patternFill>
      </fill>
    </dxf>
    <dxf>
      <fill>
        <patternFill>
          <bgColor rgb="FFF0FFF4"/>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ill>
        <patternFill>
          <bgColor rgb="FFFDF2F2"/>
        </patternFill>
      </fill>
    </dxf>
    <dxf>
      <font>
        <b/>
        <sz val="10"/>
        <color rgb="FFC0392B"/>
        <name val="Arial"/>
        <charset val="1"/>
      </font>
      <fill>
        <patternFill>
          <bgColor rgb="FFFADBD8"/>
        </patternFill>
      </fill>
    </dxf>
    <dxf>
      <font>
        <b/>
        <sz val="10"/>
        <color rgb="FF27AE60"/>
        <name val="Arial"/>
        <charset val="1"/>
      </font>
      <fill>
        <patternFill>
          <bgColor rgb="FFD5F5E3"/>
        </patternFill>
      </fill>
    </dxf>
    <dxf>
      <fill>
        <patternFill>
          <bgColor rgb="FFF0FFF4"/>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ill>
        <patternFill>
          <bgColor rgb="FFFDF2F2"/>
        </patternFill>
      </fill>
    </dxf>
    <dxf>
      <font>
        <b/>
        <sz val="10"/>
        <color rgb="FFC0392B"/>
        <name val="Arial"/>
        <charset val="1"/>
      </font>
      <fill>
        <patternFill>
          <bgColor rgb="FFFADBD8"/>
        </patternFill>
      </fill>
    </dxf>
    <dxf>
      <font>
        <b/>
        <sz val="10"/>
        <color rgb="FF27AE60"/>
        <name val="Arial"/>
        <charset val="1"/>
      </font>
      <fill>
        <patternFill>
          <bgColor rgb="FFD5F5E3"/>
        </patternFill>
      </fill>
    </dxf>
    <dxf>
      <fill>
        <patternFill>
          <bgColor rgb="FFF0FFF4"/>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ill>
        <patternFill>
          <bgColor rgb="FFFDF2F2"/>
        </patternFill>
      </fill>
    </dxf>
    <dxf>
      <font>
        <b/>
        <sz val="10"/>
        <color rgb="FFC0392B"/>
        <name val="Arial"/>
        <charset val="1"/>
      </font>
      <fill>
        <patternFill>
          <bgColor rgb="FFFADBD8"/>
        </patternFill>
      </fill>
    </dxf>
    <dxf>
      <font>
        <b/>
        <sz val="10"/>
        <color rgb="FF27AE60"/>
        <name val="Arial"/>
        <charset val="1"/>
      </font>
      <fill>
        <patternFill>
          <bgColor rgb="FFD5F5E3"/>
        </patternFill>
      </fill>
    </dxf>
    <dxf>
      <fill>
        <patternFill>
          <bgColor rgb="FFF0FFF4"/>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ill>
        <patternFill>
          <bgColor rgb="FFFDF2F2"/>
        </patternFill>
      </fill>
    </dxf>
    <dxf>
      <font>
        <b/>
        <sz val="10"/>
        <color rgb="FFC0392B"/>
        <name val="Arial"/>
        <charset val="1"/>
      </font>
      <fill>
        <patternFill>
          <bgColor rgb="FFFADBD8"/>
        </patternFill>
      </fill>
    </dxf>
    <dxf>
      <font>
        <b/>
        <sz val="10"/>
        <color rgb="FF27AE60"/>
        <name val="Arial"/>
        <charset val="1"/>
      </font>
      <fill>
        <patternFill>
          <bgColor rgb="FFD5F5E3"/>
        </patternFill>
      </fill>
    </dxf>
    <dxf>
      <fill>
        <patternFill>
          <bgColor rgb="FFF0FFF4"/>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ill>
        <patternFill>
          <bgColor rgb="FFFDF2F2"/>
        </patternFill>
      </fill>
    </dxf>
    <dxf>
      <font>
        <b/>
        <sz val="10"/>
        <color rgb="FFC0392B"/>
        <name val="Arial"/>
        <charset val="1"/>
      </font>
      <fill>
        <patternFill>
          <bgColor rgb="FFFADBD8"/>
        </patternFill>
      </fill>
    </dxf>
    <dxf>
      <font>
        <b/>
        <sz val="10"/>
        <color rgb="FF27AE60"/>
        <name val="Arial"/>
        <charset val="1"/>
      </font>
      <fill>
        <patternFill>
          <bgColor rgb="FFD5F5E3"/>
        </patternFill>
      </fill>
    </dxf>
    <dxf>
      <fill>
        <patternFill>
          <bgColor rgb="FFF0FFF4"/>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ill>
        <patternFill>
          <bgColor rgb="FFFDF2F2"/>
        </patternFill>
      </fill>
    </dxf>
    <dxf>
      <font>
        <b/>
        <sz val="10"/>
        <color rgb="FFC0392B"/>
        <name val="Arial"/>
        <charset val="1"/>
      </font>
      <fill>
        <patternFill>
          <bgColor rgb="FFFADBD8"/>
        </patternFill>
      </fill>
    </dxf>
    <dxf>
      <font>
        <b/>
        <sz val="10"/>
        <color rgb="FF27AE60"/>
        <name val="Arial"/>
        <charset val="1"/>
      </font>
      <fill>
        <patternFill>
          <bgColor rgb="FFD5F5E3"/>
        </patternFill>
      </fill>
    </dxf>
    <dxf>
      <fill>
        <patternFill>
          <bgColor rgb="FFF0FFF4"/>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ill>
        <patternFill>
          <bgColor rgb="FFFDF2F2"/>
        </patternFill>
      </fill>
    </dxf>
    <dxf>
      <font>
        <b/>
        <sz val="10"/>
        <color rgb="FFC0392B"/>
        <name val="Arial"/>
        <charset val="1"/>
      </font>
      <fill>
        <patternFill>
          <bgColor rgb="FFFADBD8"/>
        </patternFill>
      </fill>
    </dxf>
    <dxf>
      <font>
        <b/>
        <sz val="10"/>
        <color rgb="FF27AE60"/>
        <name val="Arial"/>
        <charset val="1"/>
      </font>
      <fill>
        <patternFill>
          <bgColor rgb="FFD5F5E3"/>
        </patternFill>
      </fill>
    </dxf>
    <dxf>
      <fill>
        <patternFill>
          <bgColor rgb="FFF0FFF4"/>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sz val="9"/>
        <color rgb="FFBBBBBB"/>
        <name val="Calibri"/>
        <charset val="1"/>
      </font>
      <fill>
        <patternFill>
          <bgColor rgb="FFF8F8F8"/>
        </patternFill>
      </fill>
    </dxf>
    <dxf>
      <font>
        <b/>
        <color rgb="FF1A252F"/>
      </font>
      <fill>
        <patternFill>
          <bgColor rgb="FFF6AE2D"/>
        </patternFill>
      </fill>
    </dxf>
    <dxf>
      <font>
        <b/>
        <sz val="10"/>
        <color rgb="FFC0392B"/>
        <name val="Arial"/>
        <charset val="1"/>
      </font>
      <fill>
        <patternFill>
          <bgColor rgb="FFFADBD8"/>
        </patternFill>
      </fill>
    </dxf>
    <dxf>
      <font>
        <b/>
        <sz val="10"/>
        <color rgb="FF27AE60"/>
        <name val="Arial"/>
        <charset val="1"/>
      </font>
      <fill>
        <patternFill>
          <bgColor rgb="FFD5F5E3"/>
        </patternFill>
      </fill>
    </dxf>
  </dxfs>
  <tableStyles count="0" defaultTableStyle="TableStyleMedium2" defaultPivotStyle="PivotStyleLight16"/>
  <colors>
    <indexedColors>
      <rgbColor rgb="FF000000"/>
      <rgbColor rgb="FFFFFFFF"/>
      <rgbColor rgb="FFCC0000"/>
      <rgbColor rgb="FFFAFAFA"/>
      <rgbColor rgb="FF0000FF"/>
      <rgbColor rgb="FFFFF2CC"/>
      <rgbColor rgb="FFFF00FF"/>
      <rgbColor rgb="FFF8F9FA"/>
      <rgbColor rgb="FF5C2020"/>
      <rgbColor rgb="FF008000"/>
      <rgbColor rgb="FF000080"/>
      <rgbColor rgb="FFF5EEF8"/>
      <rgbColor rgb="FFC0392B"/>
      <rgbColor rgb="FF2E86AB"/>
      <rgbColor rgb="FFBFBFBF"/>
      <rgbColor rgb="FF878787"/>
      <rgbColor rgb="FFD5D8DC"/>
      <rgbColor rgb="FF6C3483"/>
      <rgbColor rgb="FFFFF9C4"/>
      <rgbColor rgb="FFEBF5FB"/>
      <rgbColor rgb="FF660066"/>
      <rgbColor rgb="FFFDEDEC"/>
      <rgbColor rgb="FFFDFEFE"/>
      <rgbColor rgb="FFD0D3D4"/>
      <rgbColor rgb="FF000080"/>
      <rgbColor rgb="FFFF00FF"/>
      <rgbColor rgb="FFFEF9E7"/>
      <rgbColor rgb="FFF8F8F8"/>
      <rgbColor rgb="FF800080"/>
      <rgbColor rgb="FFDC143C"/>
      <rgbColor rgb="FFFDF2F2"/>
      <rgbColor rgb="FF0000FF"/>
      <rgbColor rgb="FFF9F9F9"/>
      <rgbColor rgb="FFF0FFF4"/>
      <rgbColor rgb="FFD5F5E3"/>
      <rgbColor rgb="FFFFF3CD"/>
      <rgbColor rgb="FFBDC3C7"/>
      <rgbColor rgb="FFCCCCCC"/>
      <rgbColor rgb="FFBBBBBB"/>
      <rgbColor rgb="FFFADBD8"/>
      <rgbColor rgb="FFFFF0F0"/>
      <rgbColor rgb="FF1ABC9C"/>
      <rgbColor rgb="FFF0F3F4"/>
      <rgbColor rgb="FFD9D9D9"/>
      <rgbColor rgb="FFF6AE2D"/>
      <rgbColor rgb="FFE67E22"/>
      <rgbColor rgb="FF5D6D7E"/>
      <rgbColor rgb="FF7F8C8D"/>
      <rgbColor rgb="FF1A3C5E"/>
      <rgbColor rgb="FF27AE60"/>
      <rgbColor rgb="FF003300"/>
      <rgbColor rgb="FF1A252F"/>
      <rgbColor rgb="FF8B1A1A"/>
      <rgbColor rgb="FF8E44AD"/>
      <rgbColor rgb="FF1E3A5F"/>
      <rgbColor rgb="FF2C3E50"/>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lang="en-GB" sz="1800" b="1" strike="noStrike" spc="-1">
                <a:solidFill>
                  <a:srgbClr val="000000"/>
                </a:solidFill>
                <a:latin typeface="Calibri"/>
              </a:defRPr>
            </a:pPr>
            <a:r>
              <a:rPr lang="en-GB" sz="1800" b="1" strike="noStrike" spc="-1">
                <a:solidFill>
                  <a:srgbClr val="000000"/>
                </a:solidFill>
                <a:latin typeface="Calibri"/>
              </a:rPr>
              <a:t>Agent Savings vs Withdrawals Today</a:t>
            </a:r>
          </a:p>
        </c:rich>
      </c:tx>
      <c:overlay val="0"/>
      <c:spPr>
        <a:noFill/>
        <a:ln w="0">
          <a:noFill/>
        </a:ln>
      </c:spPr>
    </c:title>
    <c:autoTitleDeleted val="0"/>
    <c:plotArea>
      <c:layout/>
      <c:barChart>
        <c:barDir val="col"/>
        <c:grouping val="clustered"/>
        <c:varyColors val="0"/>
        <c:ser>
          <c:idx val="0"/>
          <c:order val="0"/>
          <c:tx>
            <c:strRef>
              <c:f>Daily_Balancing!$B$3</c:f>
              <c:strCache>
                <c:ptCount val="1"/>
                <c:pt idx="0">
                  <c:v>Savings (GHC)</c:v>
                </c:pt>
              </c:strCache>
            </c:strRef>
          </c:tx>
          <c:spPr>
            <a:solidFill>
              <a:srgbClr val="27AE60"/>
            </a:solidFill>
            <a:ln w="9360">
              <a:solidFill>
                <a:srgbClr val="F9F9F9"/>
              </a:solidFill>
              <a:round/>
            </a:ln>
          </c:spPr>
          <c:invertIfNegative val="0"/>
          <c:dLbls>
            <c:spPr>
              <a:noFill/>
              <a:ln>
                <a:noFill/>
              </a:ln>
              <a:effectLst/>
            </c:spPr>
            <c:txPr>
              <a:bodyPr wrap="square"/>
              <a:lstStyle/>
              <a:p>
                <a:pPr>
                  <a:defRPr sz="1000" b="0" strike="noStrike" spc="-1">
                    <a:solidFill>
                      <a:srgbClr val="000000"/>
                    </a:solidFill>
                    <a:latin typeface="Arial"/>
                  </a:defRPr>
                </a:pPr>
                <a:endParaRPr lang="en-DE"/>
              </a:p>
            </c:txPr>
            <c:dLblPos val="outEnd"/>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Daily_Balancing!$A$4:$A$13</c:f>
              <c:strCache>
                <c:ptCount val="10"/>
                <c:pt idx="0">
                  <c:v>Agent 01</c:v>
                </c:pt>
                <c:pt idx="1">
                  <c:v>Agent 02</c:v>
                </c:pt>
                <c:pt idx="2">
                  <c:v>Agent 03</c:v>
                </c:pt>
                <c:pt idx="3">
                  <c:v>Agent 04</c:v>
                </c:pt>
                <c:pt idx="4">
                  <c:v>Agent 05</c:v>
                </c:pt>
                <c:pt idx="5">
                  <c:v>Agent 06</c:v>
                </c:pt>
                <c:pt idx="6">
                  <c:v>Agent 07</c:v>
                </c:pt>
                <c:pt idx="7">
                  <c:v>Agent 08</c:v>
                </c:pt>
                <c:pt idx="8">
                  <c:v>Agent 09</c:v>
                </c:pt>
                <c:pt idx="9">
                  <c:v>Agent 10</c:v>
                </c:pt>
              </c:strCache>
            </c:strRef>
          </c:cat>
          <c:val>
            <c:numRef>
              <c:f>Daily_Balancing!$B$4:$B$13</c:f>
              <c:numCache>
                <c:formatCode>"GHC "#,##0.00;"(GHC "#,##0.00\);\-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B8D4-4805-9406-EEE882A95677}"/>
            </c:ext>
          </c:extLst>
        </c:ser>
        <c:ser>
          <c:idx val="1"/>
          <c:order val="1"/>
          <c:tx>
            <c:strRef>
              <c:f>Daily_Balancing!$C$3</c:f>
              <c:strCache>
                <c:ptCount val="1"/>
                <c:pt idx="0">
                  <c:v>Withdrawals (GHC)</c:v>
                </c:pt>
              </c:strCache>
            </c:strRef>
          </c:tx>
          <c:spPr>
            <a:solidFill>
              <a:srgbClr val="C0392B"/>
            </a:solidFill>
            <a:ln w="9360">
              <a:solidFill>
                <a:srgbClr val="F9F9F9"/>
              </a:solidFill>
              <a:round/>
            </a:ln>
          </c:spPr>
          <c:invertIfNegative val="0"/>
          <c:dLbls>
            <c:spPr>
              <a:noFill/>
              <a:ln>
                <a:noFill/>
              </a:ln>
              <a:effectLst/>
            </c:spPr>
            <c:txPr>
              <a:bodyPr wrap="square"/>
              <a:lstStyle/>
              <a:p>
                <a:pPr>
                  <a:defRPr sz="1000" b="0" strike="noStrike" spc="-1">
                    <a:solidFill>
                      <a:srgbClr val="000000"/>
                    </a:solidFill>
                    <a:latin typeface="Arial"/>
                  </a:defRPr>
                </a:pPr>
                <a:endParaRPr lang="en-DE"/>
              </a:p>
            </c:txPr>
            <c:dLblPos val="outEnd"/>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Daily_Balancing!$A$4:$A$13</c:f>
              <c:strCache>
                <c:ptCount val="10"/>
                <c:pt idx="0">
                  <c:v>Agent 01</c:v>
                </c:pt>
                <c:pt idx="1">
                  <c:v>Agent 02</c:v>
                </c:pt>
                <c:pt idx="2">
                  <c:v>Agent 03</c:v>
                </c:pt>
                <c:pt idx="3">
                  <c:v>Agent 04</c:v>
                </c:pt>
                <c:pt idx="4">
                  <c:v>Agent 05</c:v>
                </c:pt>
                <c:pt idx="5">
                  <c:v>Agent 06</c:v>
                </c:pt>
                <c:pt idx="6">
                  <c:v>Agent 07</c:v>
                </c:pt>
                <c:pt idx="7">
                  <c:v>Agent 08</c:v>
                </c:pt>
                <c:pt idx="8">
                  <c:v>Agent 09</c:v>
                </c:pt>
                <c:pt idx="9">
                  <c:v>Agent 10</c:v>
                </c:pt>
              </c:strCache>
            </c:strRef>
          </c:cat>
          <c:val>
            <c:numRef>
              <c:f>Daily_Balancing!$C$4:$C$13</c:f>
              <c:numCache>
                <c:formatCode>"GHC "#,##0.00;"(GHC "#,##0.00\);\-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1-B8D4-4805-9406-EEE882A95677}"/>
            </c:ext>
          </c:extLst>
        </c:ser>
        <c:dLbls>
          <c:showLegendKey val="0"/>
          <c:showVal val="0"/>
          <c:showCatName val="0"/>
          <c:showSerName val="0"/>
          <c:showPercent val="0"/>
          <c:showBubbleSize val="0"/>
        </c:dLbls>
        <c:gapWidth val="150"/>
        <c:axId val="86285136"/>
        <c:axId val="90692578"/>
      </c:barChart>
      <c:catAx>
        <c:axId val="86285136"/>
        <c:scaling>
          <c:orientation val="minMax"/>
        </c:scaling>
        <c:delete val="0"/>
        <c:axPos val="b"/>
        <c:title>
          <c:tx>
            <c:rich>
              <a:bodyPr rot="0"/>
              <a:lstStyle/>
              <a:p>
                <a:pPr>
                  <a:defRPr lang="en-GB" sz="1000" b="1" strike="noStrike" spc="-1">
                    <a:solidFill>
                      <a:srgbClr val="000000"/>
                    </a:solidFill>
                    <a:latin typeface="Calibri"/>
                  </a:defRPr>
                </a:pPr>
                <a:r>
                  <a:rPr lang="en-GB" sz="1000" b="1" strike="noStrike" spc="-1">
                    <a:solidFill>
                      <a:srgbClr val="000000"/>
                    </a:solidFill>
                    <a:latin typeface="Calibri"/>
                  </a:rPr>
                  <a:t>Agent</a:t>
                </a:r>
              </a:p>
            </c:rich>
          </c:tx>
          <c:overlay val="0"/>
          <c:spPr>
            <a:noFill/>
            <a:ln w="0">
              <a:noFill/>
            </a:ln>
          </c:spPr>
        </c:title>
        <c:numFmt formatCode="General" sourceLinked="0"/>
        <c:majorTickMark val="none"/>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DE"/>
          </a:p>
        </c:txPr>
        <c:crossAx val="90692578"/>
        <c:crosses val="autoZero"/>
        <c:auto val="1"/>
        <c:lblAlgn val="ctr"/>
        <c:lblOffset val="100"/>
        <c:noMultiLvlLbl val="0"/>
      </c:catAx>
      <c:valAx>
        <c:axId val="90692578"/>
        <c:scaling>
          <c:orientation val="minMax"/>
        </c:scaling>
        <c:delete val="0"/>
        <c:axPos val="l"/>
        <c:majorGridlines>
          <c:spPr>
            <a:ln w="9360">
              <a:solidFill>
                <a:srgbClr val="878787"/>
              </a:solidFill>
              <a:round/>
            </a:ln>
          </c:spPr>
        </c:majorGridlines>
        <c:title>
          <c:tx>
            <c:rich>
              <a:bodyPr rot="-5400000"/>
              <a:lstStyle/>
              <a:p>
                <a:pPr>
                  <a:defRPr lang="en-GB" sz="1000" b="1" strike="noStrike" spc="-1">
                    <a:solidFill>
                      <a:srgbClr val="000000"/>
                    </a:solidFill>
                    <a:latin typeface="Calibri"/>
                  </a:defRPr>
                </a:pPr>
                <a:r>
                  <a:rPr lang="en-GB" sz="1000" b="1" strike="noStrike" spc="-1">
                    <a:solidFill>
                      <a:srgbClr val="000000"/>
                    </a:solidFill>
                    <a:latin typeface="Calibri"/>
                  </a:rPr>
                  <a:t>Amount (GHC)</a:t>
                </a:r>
              </a:p>
            </c:rich>
          </c:tx>
          <c:overlay val="0"/>
          <c:spPr>
            <a:noFill/>
            <a:ln w="0">
              <a:noFill/>
            </a:ln>
          </c:spPr>
        </c:title>
        <c:numFmt formatCode="&quot;GHC &quot;#,##0.00;&quot;(GHC &quot;#,##0.00\);\-" sourceLinked="0"/>
        <c:majorTickMark val="none"/>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DE"/>
          </a:p>
        </c:txPr>
        <c:crossAx val="86285136"/>
        <c:crosses val="autoZero"/>
        <c:crossBetween val="between"/>
      </c:valAx>
      <c:spPr>
        <a:noFill/>
        <a:ln w="0">
          <a:noFill/>
        </a:ln>
      </c:spPr>
    </c:plotArea>
    <c:legend>
      <c:legendPos val="r"/>
      <c:overlay val="0"/>
      <c:spPr>
        <a:noFill/>
        <a:ln w="0">
          <a:noFill/>
        </a:ln>
      </c:spPr>
      <c:txPr>
        <a:bodyPr/>
        <a:lstStyle/>
        <a:p>
          <a:pPr>
            <a:defRPr sz="1000" b="0" strike="noStrike" spc="-1">
              <a:solidFill>
                <a:srgbClr val="000000"/>
              </a:solidFill>
              <a:latin typeface="Calibri"/>
            </a:defRPr>
          </a:pPr>
          <a:endParaRPr lang="en-DE"/>
        </a:p>
      </c:txPr>
    </c:legend>
    <c:plotVisOnly val="1"/>
    <c:dispBlanksAs val="gap"/>
    <c:showDLblsOverMax val="1"/>
  </c:chart>
  <c:spPr>
    <a:solidFill>
      <a:srgbClr val="FFFFFF"/>
    </a:solidFill>
    <a:ln w="9360">
      <a:solidFill>
        <a:srgbClr val="D9D9D9"/>
      </a:solidFill>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lang="en-GB" sz="1800" b="1" strike="noStrike" spc="-1">
                <a:solidFill>
                  <a:srgbClr val="000000"/>
                </a:solidFill>
                <a:latin typeface="Calibri"/>
              </a:defRPr>
            </a:pPr>
            <a:r>
              <a:rPr lang="en-GB" sz="1800" b="1" strike="noStrike" spc="-1">
                <a:solidFill>
                  <a:srgbClr val="000000"/>
                </a:solidFill>
                <a:latin typeface="Calibri"/>
              </a:rPr>
              <a:t>Monthly Savings vs Withdrawals Trend</a:t>
            </a:r>
          </a:p>
        </c:rich>
      </c:tx>
      <c:overlay val="0"/>
      <c:spPr>
        <a:noFill/>
        <a:ln w="0">
          <a:noFill/>
        </a:ln>
      </c:spPr>
    </c:title>
    <c:autoTitleDeleted val="0"/>
    <c:plotArea>
      <c:layout/>
      <c:lineChart>
        <c:grouping val="standard"/>
        <c:varyColors val="0"/>
        <c:ser>
          <c:idx val="0"/>
          <c:order val="0"/>
          <c:tx>
            <c:strRef>
              <c:f>Monthly_Balancing!$B$7</c:f>
              <c:strCache>
                <c:ptCount val="1"/>
                <c:pt idx="0">
                  <c:v>Savings</c:v>
                </c:pt>
              </c:strCache>
            </c:strRef>
          </c:tx>
          <c:spPr>
            <a:ln w="47520">
              <a:solidFill>
                <a:srgbClr val="27AE60"/>
              </a:solidFill>
              <a:round/>
            </a:ln>
          </c:spPr>
          <c:marker>
            <c:symbol val="none"/>
          </c:marker>
          <c:dLbls>
            <c:spPr>
              <a:noFill/>
              <a:ln>
                <a:noFill/>
              </a:ln>
              <a:effectLst/>
            </c:spPr>
            <c:txPr>
              <a:bodyPr wrap="square"/>
              <a:lstStyle/>
              <a:p>
                <a:pPr>
                  <a:defRPr sz="1000" b="0" strike="noStrike" spc="-1">
                    <a:solidFill>
                      <a:srgbClr val="000000"/>
                    </a:solidFill>
                    <a:latin typeface="Arial"/>
                  </a:defRPr>
                </a:pPr>
                <a:endParaRPr lang="en-DE"/>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Monthly_Balancing!$A$8:$A$19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Monthly_Balancing!$B$8:$B$19</c:f>
              <c:numCache>
                <c:formatCode>"GHC "#,##0.00;"(GHC "#,##0.00\);\-</c:formatCode>
                <c:ptCount val="12"/>
                <c:pt idx="0">
                  <c:v>107824.22</c:v>
                </c:pt>
                <c:pt idx="1">
                  <c:v>133790.85</c:v>
                </c:pt>
                <c:pt idx="2">
                  <c:v>95687.1</c:v>
                </c:pt>
                <c:pt idx="3">
                  <c:v>108714.02</c:v>
                </c:pt>
              </c:numCache>
            </c:numRef>
          </c:val>
          <c:smooth val="1"/>
          <c:extLst>
            <c:ext xmlns:c16="http://schemas.microsoft.com/office/drawing/2014/chart" uri="{C3380CC4-5D6E-409C-BE32-E72D297353CC}">
              <c16:uniqueId val="{00000000-6853-4030-B9C5-99F34CE2D5C3}"/>
            </c:ext>
          </c:extLst>
        </c:ser>
        <c:ser>
          <c:idx val="1"/>
          <c:order val="1"/>
          <c:tx>
            <c:strRef>
              <c:f>Monthly_Balancing!$C$7</c:f>
              <c:strCache>
                <c:ptCount val="1"/>
                <c:pt idx="0">
                  <c:v>Withdrawals</c:v>
                </c:pt>
              </c:strCache>
            </c:strRef>
          </c:tx>
          <c:spPr>
            <a:ln w="47520">
              <a:solidFill>
                <a:srgbClr val="C0392B"/>
              </a:solidFill>
              <a:round/>
            </a:ln>
          </c:spPr>
          <c:marker>
            <c:symbol val="none"/>
          </c:marker>
          <c:dLbls>
            <c:spPr>
              <a:noFill/>
              <a:ln>
                <a:noFill/>
              </a:ln>
              <a:effectLst/>
            </c:spPr>
            <c:txPr>
              <a:bodyPr wrap="square"/>
              <a:lstStyle/>
              <a:p>
                <a:pPr>
                  <a:defRPr sz="1000" b="0" strike="noStrike" spc="-1">
                    <a:solidFill>
                      <a:srgbClr val="000000"/>
                    </a:solidFill>
                    <a:latin typeface="Arial"/>
                  </a:defRPr>
                </a:pPr>
                <a:endParaRPr lang="en-DE"/>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Monthly_Balancing!$A$8:$A$19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Monthly_Balancing!$C$8:$C$19</c:f>
              <c:numCache>
                <c:formatCode>"GHC "#,##0.00;"(GHC "#,##0.00\);\-</c:formatCode>
                <c:ptCount val="12"/>
                <c:pt idx="0">
                  <c:v>37455.75</c:v>
                </c:pt>
                <c:pt idx="1">
                  <c:v>40398.620000000003</c:v>
                </c:pt>
                <c:pt idx="2">
                  <c:v>51481.08</c:v>
                </c:pt>
                <c:pt idx="3">
                  <c:v>50819.15</c:v>
                </c:pt>
              </c:numCache>
            </c:numRef>
          </c:val>
          <c:smooth val="1"/>
          <c:extLst>
            <c:ext xmlns:c16="http://schemas.microsoft.com/office/drawing/2014/chart" uri="{C3380CC4-5D6E-409C-BE32-E72D297353CC}">
              <c16:uniqueId val="{00000001-6853-4030-B9C5-99F34CE2D5C3}"/>
            </c:ext>
          </c:extLst>
        </c:ser>
        <c:dLbls>
          <c:showLegendKey val="0"/>
          <c:showVal val="0"/>
          <c:showCatName val="0"/>
          <c:showSerName val="0"/>
          <c:showPercent val="0"/>
          <c:showBubbleSize val="0"/>
        </c:dLbls>
        <c:hiLowLines>
          <c:spPr>
            <a:ln w="0">
              <a:noFill/>
            </a:ln>
          </c:spPr>
        </c:hiLowLines>
        <c:smooth val="0"/>
        <c:axId val="35626903"/>
        <c:axId val="58311621"/>
      </c:lineChart>
      <c:catAx>
        <c:axId val="35626903"/>
        <c:scaling>
          <c:orientation val="minMax"/>
        </c:scaling>
        <c:delete val="0"/>
        <c:axPos val="b"/>
        <c:numFmt formatCode="General" sourceLinked="0"/>
        <c:majorTickMark val="none"/>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DE"/>
          </a:p>
        </c:txPr>
        <c:crossAx val="58311621"/>
        <c:crosses val="autoZero"/>
        <c:auto val="1"/>
        <c:lblAlgn val="ctr"/>
        <c:lblOffset val="100"/>
        <c:noMultiLvlLbl val="0"/>
      </c:catAx>
      <c:valAx>
        <c:axId val="58311621"/>
        <c:scaling>
          <c:orientation val="minMax"/>
        </c:scaling>
        <c:delete val="0"/>
        <c:axPos val="l"/>
        <c:majorGridlines>
          <c:spPr>
            <a:ln w="9360">
              <a:solidFill>
                <a:srgbClr val="878787"/>
              </a:solidFill>
              <a:round/>
            </a:ln>
          </c:spPr>
        </c:majorGridlines>
        <c:numFmt formatCode="&quot;GHC &quot;#,##0.00;&quot;(GHC &quot;#,##0.00\);\-" sourceLinked="0"/>
        <c:majorTickMark val="none"/>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DE"/>
          </a:p>
        </c:txPr>
        <c:crossAx val="35626903"/>
        <c:crosses val="autoZero"/>
        <c:crossBetween val="between"/>
      </c:valAx>
      <c:spPr>
        <a:noFill/>
        <a:ln w="0">
          <a:noFill/>
        </a:ln>
      </c:spPr>
    </c:plotArea>
    <c:legend>
      <c:legendPos val="r"/>
      <c:overlay val="0"/>
      <c:spPr>
        <a:noFill/>
        <a:ln w="0">
          <a:noFill/>
        </a:ln>
      </c:spPr>
      <c:txPr>
        <a:bodyPr/>
        <a:lstStyle/>
        <a:p>
          <a:pPr>
            <a:defRPr sz="1000" b="0" strike="noStrike" spc="-1">
              <a:solidFill>
                <a:srgbClr val="000000"/>
              </a:solidFill>
              <a:latin typeface="Calibri"/>
            </a:defRPr>
          </a:pPr>
          <a:endParaRPr lang="en-DE"/>
        </a:p>
      </c:txPr>
    </c:legend>
    <c:plotVisOnly val="1"/>
    <c:dispBlanksAs val="gap"/>
    <c:showDLblsOverMax val="1"/>
  </c:chart>
  <c:spPr>
    <a:solidFill>
      <a:srgbClr val="FFFFFF"/>
    </a:solidFill>
    <a:ln w="9360">
      <a:solidFill>
        <a:srgbClr val="D9D9D9"/>
      </a:solidFill>
      <a:round/>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15</xdr:row>
      <xdr:rowOff>0</xdr:rowOff>
    </xdr:from>
    <xdr:to>
      <xdr:col>10</xdr:col>
      <xdr:colOff>419040</xdr:colOff>
      <xdr:row>41</xdr:row>
      <xdr:rowOff>84600</xdr:rowOff>
    </xdr:to>
    <xdr:graphicFrame macro="">
      <xdr:nvGraphicFramePr>
        <xdr:cNvPr id="2" name="Chart 1">
          <a:extLst>
            <a:ext uri="{FF2B5EF4-FFF2-40B4-BE49-F238E27FC236}">
              <a16:creationId xmlns:a16="http://schemas.microsoft.com/office/drawing/2014/main" id="{00000000-0008-0000-2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21</xdr:row>
      <xdr:rowOff>0</xdr:rowOff>
    </xdr:from>
    <xdr:to>
      <xdr:col>12</xdr:col>
      <xdr:colOff>575280</xdr:colOff>
      <xdr:row>49</xdr:row>
      <xdr:rowOff>63360</xdr:rowOff>
    </xdr:to>
    <xdr:graphicFrame macro="">
      <xdr:nvGraphicFramePr>
        <xdr:cNvPr id="2" name="Chart 1">
          <a:extLst>
            <a:ext uri="{FF2B5EF4-FFF2-40B4-BE49-F238E27FC236}">
              <a16:creationId xmlns:a16="http://schemas.microsoft.com/office/drawing/2014/main" id="{00000000-0008-0000-2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hyperlink" Target="tel:+233207530771" TargetMode="External"/><Relationship Id="rId1" Type="http://schemas.openxmlformats.org/officeDocument/2006/relationships/hyperlink" Target="tel:+233241911273" TargetMode="Externa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6AE2D"/>
  </sheetPr>
  <dimension ref="A1:E26"/>
  <sheetViews>
    <sheetView showGridLines="0" zoomScaleNormal="100" workbookViewId="0">
      <selection activeCell="A2" sqref="A2:E2"/>
    </sheetView>
  </sheetViews>
  <sheetFormatPr defaultColWidth="8.7109375" defaultRowHeight="15" x14ac:dyDescent="0.25"/>
  <cols>
    <col min="1" max="1" width="3" customWidth="1"/>
    <col min="2" max="2" width="41.85546875" customWidth="1"/>
    <col min="3" max="3" width="26" customWidth="1"/>
    <col min="4" max="4" width="16" customWidth="1"/>
    <col min="5" max="5" width="3" customWidth="1"/>
  </cols>
  <sheetData>
    <row r="1" spans="1:5" ht="9.75" customHeight="1" x14ac:dyDescent="0.25">
      <c r="A1" s="15"/>
      <c r="E1" s="15"/>
    </row>
    <row r="2" spans="1:5" ht="36" customHeight="1" x14ac:dyDescent="0.25">
      <c r="A2" s="159" t="s">
        <v>0</v>
      </c>
      <c r="B2" s="159"/>
      <c r="C2" s="159"/>
      <c r="D2" s="159"/>
      <c r="E2" s="159"/>
    </row>
    <row r="3" spans="1:5" ht="19.5" customHeight="1" x14ac:dyDescent="0.25">
      <c r="A3" s="160" t="s">
        <v>1</v>
      </c>
      <c r="B3" s="160"/>
      <c r="C3" s="160"/>
      <c r="D3" s="160"/>
      <c r="E3" s="160"/>
    </row>
    <row r="4" spans="1:5" ht="3.75" customHeight="1" x14ac:dyDescent="0.25">
      <c r="A4" s="15"/>
      <c r="B4" s="16"/>
      <c r="C4" s="16"/>
      <c r="D4" s="16"/>
      <c r="E4" s="15"/>
    </row>
    <row r="5" spans="1:5" ht="43.5" customHeight="1" x14ac:dyDescent="0.25">
      <c r="A5" s="161" t="s">
        <v>2</v>
      </c>
      <c r="B5" s="161"/>
      <c r="C5" s="161"/>
      <c r="D5" s="161"/>
      <c r="E5" s="161"/>
    </row>
    <row r="6" spans="1:5" ht="3.75" customHeight="1" x14ac:dyDescent="0.25">
      <c r="A6" s="15"/>
      <c r="B6" s="16"/>
      <c r="C6" s="16"/>
      <c r="D6" s="16"/>
      <c r="E6" s="15"/>
    </row>
    <row r="7" spans="1:5" ht="18" customHeight="1" x14ac:dyDescent="0.25">
      <c r="A7" s="15"/>
      <c r="E7" s="15"/>
    </row>
    <row r="8" spans="1:5" ht="27.75" customHeight="1" x14ac:dyDescent="0.25">
      <c r="A8" s="162" t="s">
        <v>3</v>
      </c>
      <c r="B8" s="162"/>
      <c r="C8" s="162"/>
      <c r="D8" s="162"/>
      <c r="E8" s="162"/>
    </row>
    <row r="9" spans="1:5" ht="51.75" customHeight="1" x14ac:dyDescent="0.25">
      <c r="A9" s="163" t="s">
        <v>4</v>
      </c>
      <c r="B9" s="163"/>
      <c r="C9" s="163"/>
      <c r="D9" s="163"/>
      <c r="E9" s="163"/>
    </row>
    <row r="10" spans="1:5" ht="30" customHeight="1" x14ac:dyDescent="0.25">
      <c r="A10" s="164" t="s">
        <v>5</v>
      </c>
      <c r="B10" s="164"/>
      <c r="C10" s="164"/>
      <c r="D10" s="164"/>
      <c r="E10" s="164"/>
    </row>
    <row r="11" spans="1:5" ht="19.5" customHeight="1" x14ac:dyDescent="0.25">
      <c r="A11" s="15"/>
      <c r="E11" s="15"/>
    </row>
    <row r="12" spans="1:5" ht="3.75" customHeight="1" x14ac:dyDescent="0.25">
      <c r="A12" s="15"/>
      <c r="B12" s="17"/>
      <c r="C12" s="17"/>
      <c r="D12" s="17"/>
      <c r="E12" s="15"/>
    </row>
    <row r="13" spans="1:5" ht="13.5" customHeight="1" x14ac:dyDescent="0.25">
      <c r="A13" s="15"/>
      <c r="E13" s="15"/>
    </row>
    <row r="14" spans="1:5" ht="31.5" customHeight="1" x14ac:dyDescent="0.25">
      <c r="A14" s="165" t="s">
        <v>6</v>
      </c>
      <c r="B14" s="165"/>
      <c r="C14" s="165"/>
      <c r="D14" s="165"/>
      <c r="E14" s="165"/>
    </row>
    <row r="15" spans="1:5" ht="13.5" customHeight="1" x14ac:dyDescent="0.25">
      <c r="A15" s="15"/>
      <c r="E15" s="15"/>
    </row>
    <row r="16" spans="1:5" ht="42" customHeight="1" x14ac:dyDescent="0.25">
      <c r="A16" s="15"/>
      <c r="B16" s="166" t="s">
        <v>7</v>
      </c>
      <c r="C16" s="166"/>
      <c r="D16" s="166"/>
      <c r="E16" s="15"/>
    </row>
    <row r="17" spans="1:5" ht="9.75" customHeight="1" x14ac:dyDescent="0.25">
      <c r="A17" s="15"/>
      <c r="E17" s="15"/>
    </row>
    <row r="18" spans="1:5" ht="42" customHeight="1" x14ac:dyDescent="0.25">
      <c r="A18" s="15"/>
      <c r="B18" s="166" t="s">
        <v>8</v>
      </c>
      <c r="C18" s="166"/>
      <c r="D18" s="166"/>
      <c r="E18" s="15"/>
    </row>
    <row r="19" spans="1:5" ht="13.5" customHeight="1" x14ac:dyDescent="0.25">
      <c r="A19" s="15"/>
      <c r="E19" s="15"/>
    </row>
    <row r="20" spans="1:5" ht="24" customHeight="1" x14ac:dyDescent="0.25">
      <c r="A20" s="15"/>
      <c r="B20" s="167" t="s">
        <v>9</v>
      </c>
      <c r="C20" s="167"/>
      <c r="D20" s="167"/>
      <c r="E20" s="15"/>
    </row>
    <row r="21" spans="1:5" ht="19.5" customHeight="1" x14ac:dyDescent="0.25">
      <c r="A21" s="15"/>
      <c r="E21" s="15"/>
    </row>
    <row r="22" spans="1:5" ht="3.75" customHeight="1" x14ac:dyDescent="0.25">
      <c r="A22" s="15"/>
      <c r="B22" s="17"/>
      <c r="C22" s="17"/>
      <c r="D22" s="17"/>
      <c r="E22" s="15"/>
    </row>
    <row r="23" spans="1:5" ht="9.75" customHeight="1" x14ac:dyDescent="0.25">
      <c r="A23" s="15"/>
      <c r="E23" s="15"/>
    </row>
    <row r="24" spans="1:5" ht="21.75" customHeight="1" x14ac:dyDescent="0.25">
      <c r="A24" s="168" t="s">
        <v>10</v>
      </c>
      <c r="B24" s="168"/>
      <c r="C24" s="168"/>
      <c r="D24" s="168"/>
      <c r="E24" s="168"/>
    </row>
    <row r="25" spans="1:5" ht="3.75" customHeight="1" x14ac:dyDescent="0.25">
      <c r="A25" s="15"/>
      <c r="B25" s="16"/>
      <c r="C25" s="16"/>
      <c r="D25" s="16"/>
      <c r="E25" s="15"/>
    </row>
    <row r="26" spans="1:5" x14ac:dyDescent="0.25">
      <c r="A26" s="15"/>
      <c r="E26" s="15"/>
    </row>
  </sheetData>
  <mergeCells count="11">
    <mergeCell ref="A24:E24"/>
    <mergeCell ref="A10:E10"/>
    <mergeCell ref="A14:E14"/>
    <mergeCell ref="B16:D16"/>
    <mergeCell ref="B18:D18"/>
    <mergeCell ref="B20:D20"/>
    <mergeCell ref="A2:E2"/>
    <mergeCell ref="A3:E3"/>
    <mergeCell ref="A5:E5"/>
    <mergeCell ref="A8:E8"/>
    <mergeCell ref="A9:E9"/>
  </mergeCells>
  <hyperlinks>
    <hyperlink ref="B16" r:id="rId1" xr:uid="{00000000-0004-0000-0000-000000000000}"/>
    <hyperlink ref="B18" r:id="rId2" xr:uid="{00000000-0004-0000-0000-000001000000}"/>
  </hyperlinks>
  <pageMargins left="0.75" right="0.75" top="1" bottom="1" header="0.511811023622047" footer="0.511811023622047"/>
  <pageSetup paperSize="9"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1ABC9C"/>
  </sheetPr>
  <dimension ref="A1:E32"/>
  <sheetViews>
    <sheetView showGridLines="0" topLeftCell="A3" zoomScaleNormal="100" workbookViewId="0"/>
  </sheetViews>
  <sheetFormatPr defaultColWidth="8.7109375" defaultRowHeight="15" x14ac:dyDescent="0.25"/>
  <cols>
    <col min="1" max="1" width="3" customWidth="1"/>
    <col min="2" max="2" width="18" customWidth="1"/>
    <col min="3" max="4" width="22" customWidth="1"/>
    <col min="5" max="5" width="3" customWidth="1"/>
  </cols>
  <sheetData>
    <row r="1" spans="1:5" ht="9.75" customHeight="1" x14ac:dyDescent="0.25">
      <c r="A1" s="15"/>
      <c r="E1" s="15"/>
    </row>
    <row r="2" spans="1:5" ht="36" customHeight="1" x14ac:dyDescent="0.25">
      <c r="A2" s="159" t="s">
        <v>0</v>
      </c>
      <c r="B2" s="159"/>
      <c r="C2" s="159"/>
      <c r="D2" s="159"/>
      <c r="E2" s="159"/>
    </row>
    <row r="3" spans="1:5" ht="19.5" customHeight="1" x14ac:dyDescent="0.25">
      <c r="A3" s="160" t="s">
        <v>11</v>
      </c>
      <c r="B3" s="160"/>
      <c r="C3" s="160"/>
      <c r="D3" s="160"/>
      <c r="E3" s="160"/>
    </row>
    <row r="4" spans="1:5" ht="3.75" customHeight="1" x14ac:dyDescent="0.25">
      <c r="A4" s="15"/>
      <c r="B4" s="18"/>
      <c r="C4" s="18"/>
      <c r="D4" s="18"/>
      <c r="E4" s="15"/>
    </row>
    <row r="5" spans="1:5" ht="43.5" customHeight="1" x14ac:dyDescent="0.25">
      <c r="A5" s="161" t="s">
        <v>12</v>
      </c>
      <c r="B5" s="161"/>
      <c r="C5" s="161"/>
      <c r="D5" s="161"/>
      <c r="E5" s="161"/>
    </row>
    <row r="6" spans="1:5" ht="3.75" customHeight="1" x14ac:dyDescent="0.25">
      <c r="A6" s="15"/>
      <c r="B6" s="16"/>
      <c r="C6" s="16"/>
      <c r="D6" s="16"/>
      <c r="E6" s="15"/>
    </row>
    <row r="7" spans="1:5" ht="13.5" customHeight="1" x14ac:dyDescent="0.25">
      <c r="A7" s="15"/>
      <c r="E7" s="15"/>
    </row>
    <row r="8" spans="1:5" ht="43.5" customHeight="1" x14ac:dyDescent="0.25">
      <c r="A8" s="15"/>
      <c r="B8" s="169" t="s">
        <v>13</v>
      </c>
      <c r="C8" s="169"/>
      <c r="D8" s="169"/>
      <c r="E8" s="15"/>
    </row>
    <row r="9" spans="1:5" ht="9.75" customHeight="1" x14ac:dyDescent="0.25">
      <c r="A9" s="15"/>
      <c r="E9" s="15"/>
    </row>
    <row r="10" spans="1:5" ht="43.5" customHeight="1" x14ac:dyDescent="0.25">
      <c r="A10" s="15"/>
      <c r="B10" s="169" t="s">
        <v>14</v>
      </c>
      <c r="C10" s="169"/>
      <c r="D10" s="169"/>
      <c r="E10" s="15"/>
    </row>
    <row r="11" spans="1:5" ht="9.75" customHeight="1" x14ac:dyDescent="0.25">
      <c r="A11" s="15"/>
      <c r="E11" s="15"/>
    </row>
    <row r="12" spans="1:5" ht="43.5" customHeight="1" x14ac:dyDescent="0.25">
      <c r="A12" s="15"/>
      <c r="B12" s="169" t="s">
        <v>15</v>
      </c>
      <c r="C12" s="169"/>
      <c r="D12" s="169"/>
      <c r="E12" s="15"/>
    </row>
    <row r="13" spans="1:5" ht="9.75" customHeight="1" x14ac:dyDescent="0.25">
      <c r="A13" s="15"/>
      <c r="E13" s="15"/>
    </row>
    <row r="14" spans="1:5" ht="43.5" customHeight="1" x14ac:dyDescent="0.25">
      <c r="A14" s="15"/>
      <c r="B14" s="169" t="s">
        <v>16</v>
      </c>
      <c r="C14" s="169"/>
      <c r="D14" s="169"/>
      <c r="E14" s="15"/>
    </row>
    <row r="15" spans="1:5" ht="9.75" customHeight="1" x14ac:dyDescent="0.25">
      <c r="A15" s="15"/>
      <c r="E15" s="15"/>
    </row>
    <row r="16" spans="1:5" ht="43.5" customHeight="1" x14ac:dyDescent="0.25">
      <c r="A16" s="15"/>
      <c r="B16" s="169" t="s">
        <v>17</v>
      </c>
      <c r="C16" s="169"/>
      <c r="D16" s="169"/>
      <c r="E16" s="15"/>
    </row>
    <row r="17" spans="1:5" ht="9.75" customHeight="1" x14ac:dyDescent="0.25">
      <c r="A17" s="15"/>
      <c r="E17" s="15"/>
    </row>
    <row r="18" spans="1:5" ht="43.5" customHeight="1" x14ac:dyDescent="0.25">
      <c r="A18" s="15"/>
      <c r="B18" s="170" t="s">
        <v>18</v>
      </c>
      <c r="C18" s="170"/>
      <c r="D18" s="170"/>
      <c r="E18" s="15"/>
    </row>
    <row r="19" spans="1:5" ht="15.75" customHeight="1" x14ac:dyDescent="0.25">
      <c r="A19" s="15"/>
      <c r="E19" s="15"/>
    </row>
    <row r="20" spans="1:5" ht="3.75" customHeight="1" x14ac:dyDescent="0.25">
      <c r="A20" s="15"/>
      <c r="B20" s="17"/>
      <c r="C20" s="17"/>
      <c r="D20" s="17"/>
      <c r="E20" s="15"/>
    </row>
    <row r="21" spans="1:5" ht="9.75" customHeight="1" x14ac:dyDescent="0.25">
      <c r="A21" s="15"/>
      <c r="E21" s="15"/>
    </row>
    <row r="22" spans="1:5" ht="30" customHeight="1" x14ac:dyDescent="0.25">
      <c r="A22" s="171" t="s">
        <v>19</v>
      </c>
      <c r="B22" s="171"/>
      <c r="C22" s="171"/>
      <c r="D22" s="171"/>
      <c r="E22" s="171"/>
    </row>
    <row r="23" spans="1:5" ht="7.5" customHeight="1" x14ac:dyDescent="0.25">
      <c r="A23" s="15"/>
      <c r="E23" s="15"/>
    </row>
    <row r="24" spans="1:5" ht="39.75" customHeight="1" x14ac:dyDescent="0.25">
      <c r="A24" s="15"/>
      <c r="B24" s="172" t="s">
        <v>20</v>
      </c>
      <c r="C24" s="172"/>
      <c r="D24" s="172"/>
      <c r="E24" s="15"/>
    </row>
    <row r="25" spans="1:5" ht="6" customHeight="1" x14ac:dyDescent="0.25">
      <c r="A25" s="15"/>
      <c r="E25" s="15"/>
    </row>
    <row r="26" spans="1:5" ht="24" customHeight="1" x14ac:dyDescent="0.25">
      <c r="A26" s="15"/>
      <c r="B26" s="173" t="s">
        <v>21</v>
      </c>
      <c r="C26" s="173"/>
      <c r="D26" s="173"/>
      <c r="E26" s="15"/>
    </row>
    <row r="27" spans="1:5" ht="12" customHeight="1" x14ac:dyDescent="0.25">
      <c r="A27" s="15"/>
      <c r="E27" s="15"/>
    </row>
    <row r="28" spans="1:5" ht="36" customHeight="1" x14ac:dyDescent="0.25">
      <c r="A28" s="174" t="s">
        <v>22</v>
      </c>
      <c r="B28" s="174"/>
      <c r="C28" s="174"/>
      <c r="D28" s="174"/>
      <c r="E28" s="174"/>
    </row>
    <row r="29" spans="1:5" ht="3.75" customHeight="1" x14ac:dyDescent="0.25">
      <c r="A29" s="15"/>
      <c r="B29" s="16"/>
      <c r="C29" s="16"/>
      <c r="D29" s="16"/>
      <c r="E29" s="15"/>
    </row>
    <row r="30" spans="1:5" ht="6" customHeight="1" x14ac:dyDescent="0.25">
      <c r="A30" s="15"/>
      <c r="E30" s="15"/>
    </row>
    <row r="31" spans="1:5" ht="19.5" customHeight="1" x14ac:dyDescent="0.25">
      <c r="A31" s="168" t="s">
        <v>23</v>
      </c>
      <c r="B31" s="168"/>
      <c r="C31" s="168"/>
      <c r="D31" s="168"/>
      <c r="E31" s="168"/>
    </row>
    <row r="32" spans="1:5" x14ac:dyDescent="0.25">
      <c r="A32" s="15"/>
      <c r="E32" s="15"/>
    </row>
  </sheetData>
  <mergeCells count="14">
    <mergeCell ref="B24:D24"/>
    <mergeCell ref="B26:D26"/>
    <mergeCell ref="A28:E28"/>
    <mergeCell ref="A31:E31"/>
    <mergeCell ref="B12:D12"/>
    <mergeCell ref="B14:D14"/>
    <mergeCell ref="B16:D16"/>
    <mergeCell ref="B18:D18"/>
    <mergeCell ref="A22:E22"/>
    <mergeCell ref="A2:E2"/>
    <mergeCell ref="A3:E3"/>
    <mergeCell ref="A5:E5"/>
    <mergeCell ref="B8:D8"/>
    <mergeCell ref="B10:D10"/>
  </mergeCells>
  <pageMargins left="0.75" right="0.75" top="1" bottom="1" header="0.511811023622047" footer="0.511811023622047"/>
  <pageSetup paperSize="9"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F6AE2D"/>
  </sheetPr>
  <dimension ref="A1:M40"/>
  <sheetViews>
    <sheetView zoomScaleNormal="100" workbookViewId="0">
      <pane ySplit="7" topLeftCell="A8" activePane="bottomLeft" state="frozen"/>
      <selection pane="bottomLeft" activeCell="B32" sqref="B32:M32"/>
    </sheetView>
  </sheetViews>
  <sheetFormatPr defaultColWidth="8.7109375" defaultRowHeight="15" x14ac:dyDescent="0.25"/>
  <cols>
    <col min="1" max="1" width="13" customWidth="1"/>
    <col min="2" max="2" width="15" customWidth="1"/>
    <col min="3" max="3" width="18" customWidth="1"/>
    <col min="4" max="4" width="14" customWidth="1"/>
    <col min="5" max="5" width="13" customWidth="1"/>
    <col min="6" max="7" width="12" customWidth="1"/>
    <col min="8" max="8" width="14" customWidth="1"/>
    <col min="9" max="9" width="12" customWidth="1"/>
    <col min="10" max="13" width="10" customWidth="1"/>
  </cols>
  <sheetData>
    <row r="1" spans="1:13" ht="45" customHeight="1" x14ac:dyDescent="0.25">
      <c r="A1" s="175" t="s">
        <v>24</v>
      </c>
      <c r="B1" s="175"/>
      <c r="C1" s="175"/>
      <c r="D1" s="175"/>
      <c r="E1" s="175"/>
      <c r="F1" s="175"/>
      <c r="G1" s="175"/>
      <c r="H1" s="175"/>
      <c r="I1" s="175"/>
      <c r="J1" s="175"/>
      <c r="K1" s="175"/>
      <c r="L1" s="175"/>
      <c r="M1" s="175"/>
    </row>
    <row r="2" spans="1:13" ht="21.75" customHeight="1" x14ac:dyDescent="0.25">
      <c r="A2" s="176" t="str">
        <f ca="1">UPPER(TEXT(TODAY(),"DDDD, DD MMMM YYYY"))&amp;"  |  Live data from centralized DB — All 10 agents unified"</f>
        <v>SUNDAY, 19 APRIL 2026  |  Live data from centralized DB — All 10 agents unified</v>
      </c>
      <c r="B2" s="176"/>
      <c r="C2" s="176"/>
      <c r="D2" s="176"/>
      <c r="E2" s="176"/>
      <c r="F2" s="176"/>
      <c r="G2" s="176"/>
      <c r="H2" s="176"/>
      <c r="I2" s="176"/>
      <c r="J2" s="176"/>
      <c r="K2" s="176"/>
      <c r="L2" s="176"/>
      <c r="M2" s="176"/>
    </row>
    <row r="3" spans="1:13" ht="7.5" customHeight="1" x14ac:dyDescent="0.25"/>
    <row r="4" spans="1:13" ht="19.5" customHeight="1" x14ac:dyDescent="0.25">
      <c r="A4" s="177" t="s">
        <v>25</v>
      </c>
      <c r="B4" s="177"/>
      <c r="C4" s="178" t="s">
        <v>26</v>
      </c>
      <c r="D4" s="178"/>
      <c r="E4" s="179" t="s">
        <v>27</v>
      </c>
      <c r="F4" s="179"/>
      <c r="G4" s="180" t="s">
        <v>28</v>
      </c>
      <c r="H4" s="180"/>
      <c r="I4" s="181" t="s">
        <v>29</v>
      </c>
      <c r="J4" s="181"/>
      <c r="K4" s="182" t="s">
        <v>30</v>
      </c>
      <c r="L4" s="182"/>
      <c r="M4" s="182"/>
    </row>
    <row r="5" spans="1:13" ht="31.5" customHeight="1" x14ac:dyDescent="0.25">
      <c r="A5" s="183">
        <f ca="1">Daily_Balancing!B14</f>
        <v>0</v>
      </c>
      <c r="B5" s="183"/>
      <c r="C5" s="184">
        <f ca="1">Daily_Balancing!C14</f>
        <v>0</v>
      </c>
      <c r="D5" s="184"/>
      <c r="E5" s="185">
        <f ca="1">Daily_Balancing!D14</f>
        <v>0</v>
      </c>
      <c r="F5" s="185"/>
      <c r="G5" s="186">
        <f>COUNTIF(DB_Customers!K2:K500,"Active")</f>
        <v>0</v>
      </c>
      <c r="H5" s="186"/>
      <c r="I5" s="187">
        <f>COUNTIF(DB_Loans!K2:K500,"Pending")</f>
        <v>0</v>
      </c>
      <c r="J5" s="187"/>
      <c r="K5" s="188">
        <f>SUMIF(DB_Loans!K2:K500,"Approved",DB_Loans!E2:E500)</f>
        <v>0</v>
      </c>
      <c r="L5" s="188"/>
      <c r="M5" s="188"/>
    </row>
    <row r="6" spans="1:13" ht="7.5" customHeight="1" x14ac:dyDescent="0.25"/>
    <row r="7" spans="1:13" ht="21.75" customHeight="1" x14ac:dyDescent="0.25">
      <c r="A7" s="189" t="s">
        <v>31</v>
      </c>
      <c r="B7" s="189"/>
      <c r="C7" s="189"/>
      <c r="D7" s="189"/>
      <c r="E7" s="189"/>
      <c r="F7" s="189"/>
      <c r="G7" s="189"/>
      <c r="H7" s="189"/>
      <c r="I7" s="189"/>
      <c r="J7" s="189"/>
      <c r="K7" s="189"/>
      <c r="L7" s="189"/>
      <c r="M7" s="189"/>
    </row>
    <row r="8" spans="1:13" ht="19.5" customHeight="1" x14ac:dyDescent="0.25">
      <c r="A8" s="20" t="s">
        <v>32</v>
      </c>
      <c r="B8" s="20" t="s">
        <v>33</v>
      </c>
      <c r="C8" s="20" t="s">
        <v>34</v>
      </c>
      <c r="D8" s="20" t="s">
        <v>35</v>
      </c>
      <c r="E8" s="20" t="s">
        <v>36</v>
      </c>
      <c r="F8" s="20" t="s">
        <v>37</v>
      </c>
      <c r="G8" s="20" t="s">
        <v>38</v>
      </c>
      <c r="H8" s="20" t="s">
        <v>39</v>
      </c>
      <c r="I8" s="20" t="s">
        <v>40</v>
      </c>
    </row>
    <row r="9" spans="1:13" x14ac:dyDescent="0.25">
      <c r="A9" s="21" t="s">
        <v>41</v>
      </c>
      <c r="B9" s="22">
        <f ca="1">Daily_Balancing!B4</f>
        <v>0</v>
      </c>
      <c r="C9" s="22">
        <f ca="1">Daily_Balancing!C4</f>
        <v>0</v>
      </c>
      <c r="D9" s="22">
        <f t="shared" ref="D9:D18" ca="1" si="0">B9-C9</f>
        <v>0</v>
      </c>
      <c r="E9" s="23">
        <f ca="1">Daily_Balancing!E4</f>
        <v>0</v>
      </c>
      <c r="F9" s="22">
        <v>5000</v>
      </c>
      <c r="G9" s="24">
        <f t="shared" ref="G9:G19" ca="1" si="1">IFERROR(B9/F9,0)</f>
        <v>0</v>
      </c>
      <c r="H9" s="22">
        <f>SUMIF(DB_Savings!$G:$G,"Agent 01",DB_Savings!$F:$F)</f>
        <v>0</v>
      </c>
      <c r="I9" s="23">
        <f>COUNTIF(DB_Customers!$H:$H,"Agent 01")</f>
        <v>0</v>
      </c>
    </row>
    <row r="10" spans="1:13" x14ac:dyDescent="0.25">
      <c r="A10" s="25" t="s">
        <v>42</v>
      </c>
      <c r="B10" s="26">
        <f ca="1">Daily_Balancing!B5</f>
        <v>0</v>
      </c>
      <c r="C10" s="26">
        <f ca="1">Daily_Balancing!C5</f>
        <v>0</v>
      </c>
      <c r="D10" s="26">
        <f t="shared" ca="1" si="0"/>
        <v>0</v>
      </c>
      <c r="E10" s="27">
        <f ca="1">Daily_Balancing!E5</f>
        <v>0</v>
      </c>
      <c r="F10" s="26">
        <v>5000</v>
      </c>
      <c r="G10" s="28">
        <f t="shared" ca="1" si="1"/>
        <v>0</v>
      </c>
      <c r="H10" s="26">
        <f>SUMIF(DB_Savings!$G:$G,"Agent 02",DB_Savings!$F:$F)</f>
        <v>0</v>
      </c>
      <c r="I10" s="27">
        <f>COUNTIF(DB_Customers!$H:$H,"Agent 02")</f>
        <v>0</v>
      </c>
    </row>
    <row r="11" spans="1:13" x14ac:dyDescent="0.25">
      <c r="A11" s="21" t="s">
        <v>43</v>
      </c>
      <c r="B11" s="22">
        <f ca="1">Daily_Balancing!B6</f>
        <v>0</v>
      </c>
      <c r="C11" s="22">
        <f ca="1">Daily_Balancing!C6</f>
        <v>0</v>
      </c>
      <c r="D11" s="22">
        <f t="shared" ca="1" si="0"/>
        <v>0</v>
      </c>
      <c r="E11" s="23">
        <f ca="1">Daily_Balancing!E6</f>
        <v>0</v>
      </c>
      <c r="F11" s="22">
        <v>5000</v>
      </c>
      <c r="G11" s="24">
        <f t="shared" ca="1" si="1"/>
        <v>0</v>
      </c>
      <c r="H11" s="22">
        <f>SUMIF(DB_Savings!$G:$G,"Agent 03",DB_Savings!$F:$F)</f>
        <v>0</v>
      </c>
      <c r="I11" s="23">
        <f>COUNTIF(DB_Customers!$H:$H,"Agent 03")</f>
        <v>0</v>
      </c>
    </row>
    <row r="12" spans="1:13" x14ac:dyDescent="0.25">
      <c r="A12" s="25" t="s">
        <v>44</v>
      </c>
      <c r="B12" s="26">
        <f ca="1">Daily_Balancing!B7</f>
        <v>0</v>
      </c>
      <c r="C12" s="26">
        <f ca="1">Daily_Balancing!C7</f>
        <v>0</v>
      </c>
      <c r="D12" s="26">
        <f t="shared" ca="1" si="0"/>
        <v>0</v>
      </c>
      <c r="E12" s="27">
        <f ca="1">Daily_Balancing!E7</f>
        <v>0</v>
      </c>
      <c r="F12" s="26">
        <v>5000</v>
      </c>
      <c r="G12" s="28">
        <f t="shared" ca="1" si="1"/>
        <v>0</v>
      </c>
      <c r="H12" s="26">
        <f>SUMIF(DB_Savings!$G:$G,"Agent 04",DB_Savings!$F:$F)</f>
        <v>0</v>
      </c>
      <c r="I12" s="27">
        <f>COUNTIF(DB_Customers!$H:$H,"Agent 04")</f>
        <v>0</v>
      </c>
    </row>
    <row r="13" spans="1:13" x14ac:dyDescent="0.25">
      <c r="A13" s="21" t="s">
        <v>45</v>
      </c>
      <c r="B13" s="22">
        <f ca="1">Daily_Balancing!B8</f>
        <v>0</v>
      </c>
      <c r="C13" s="22">
        <f ca="1">Daily_Balancing!C8</f>
        <v>0</v>
      </c>
      <c r="D13" s="22">
        <f t="shared" ca="1" si="0"/>
        <v>0</v>
      </c>
      <c r="E13" s="23">
        <f ca="1">Daily_Balancing!E8</f>
        <v>0</v>
      </c>
      <c r="F13" s="22">
        <v>5000</v>
      </c>
      <c r="G13" s="24">
        <f t="shared" ca="1" si="1"/>
        <v>0</v>
      </c>
      <c r="H13" s="22">
        <f>SUMIF(DB_Savings!$G:$G,"Agent 05",DB_Savings!$F:$F)</f>
        <v>0</v>
      </c>
      <c r="I13" s="23">
        <f>COUNTIF(DB_Customers!$H:$H,"Agent 05")</f>
        <v>0</v>
      </c>
    </row>
    <row r="14" spans="1:13" x14ac:dyDescent="0.25">
      <c r="A14" s="25" t="s">
        <v>46</v>
      </c>
      <c r="B14" s="26">
        <f ca="1">Daily_Balancing!B9</f>
        <v>0</v>
      </c>
      <c r="C14" s="26">
        <f ca="1">Daily_Balancing!C9</f>
        <v>0</v>
      </c>
      <c r="D14" s="26">
        <f t="shared" ca="1" si="0"/>
        <v>0</v>
      </c>
      <c r="E14" s="27">
        <f ca="1">Daily_Balancing!E9</f>
        <v>0</v>
      </c>
      <c r="F14" s="26">
        <v>5000</v>
      </c>
      <c r="G14" s="28">
        <f t="shared" ca="1" si="1"/>
        <v>0</v>
      </c>
      <c r="H14" s="26">
        <f>SUMIF(DB_Savings!$G:$G,"Agent 06",DB_Savings!$F:$F)</f>
        <v>0</v>
      </c>
      <c r="I14" s="27">
        <f>COUNTIF(DB_Customers!$H:$H,"Agent 06")</f>
        <v>0</v>
      </c>
    </row>
    <row r="15" spans="1:13" x14ac:dyDescent="0.25">
      <c r="A15" s="21" t="s">
        <v>47</v>
      </c>
      <c r="B15" s="22">
        <f ca="1">Daily_Balancing!B10</f>
        <v>0</v>
      </c>
      <c r="C15" s="22">
        <f ca="1">Daily_Balancing!C10</f>
        <v>0</v>
      </c>
      <c r="D15" s="22">
        <f t="shared" ca="1" si="0"/>
        <v>0</v>
      </c>
      <c r="E15" s="23">
        <f ca="1">Daily_Balancing!E10</f>
        <v>0</v>
      </c>
      <c r="F15" s="22">
        <v>5000</v>
      </c>
      <c r="G15" s="24">
        <f t="shared" ca="1" si="1"/>
        <v>0</v>
      </c>
      <c r="H15" s="22">
        <f>SUMIF(DB_Savings!$G:$G,"Agent 07",DB_Savings!$F:$F)</f>
        <v>0</v>
      </c>
      <c r="I15" s="23">
        <f>COUNTIF(DB_Customers!$H:$H,"Agent 07")</f>
        <v>0</v>
      </c>
    </row>
    <row r="16" spans="1:13" x14ac:dyDescent="0.25">
      <c r="A16" s="25" t="s">
        <v>48</v>
      </c>
      <c r="B16" s="26">
        <f ca="1">Daily_Balancing!B11</f>
        <v>0</v>
      </c>
      <c r="C16" s="26">
        <f ca="1">Daily_Balancing!C11</f>
        <v>0</v>
      </c>
      <c r="D16" s="26">
        <f t="shared" ca="1" si="0"/>
        <v>0</v>
      </c>
      <c r="E16" s="27">
        <f ca="1">Daily_Balancing!E11</f>
        <v>0</v>
      </c>
      <c r="F16" s="26">
        <v>5000</v>
      </c>
      <c r="G16" s="28">
        <f t="shared" ca="1" si="1"/>
        <v>0</v>
      </c>
      <c r="H16" s="26">
        <f>SUMIF(DB_Savings!$G:$G,"Agent 08",DB_Savings!$F:$F)</f>
        <v>0</v>
      </c>
      <c r="I16" s="27">
        <f>COUNTIF(DB_Customers!$H:$H,"Agent 08")</f>
        <v>0</v>
      </c>
    </row>
    <row r="17" spans="1:13" x14ac:dyDescent="0.25">
      <c r="A17" s="21" t="s">
        <v>49</v>
      </c>
      <c r="B17" s="22">
        <f ca="1">Daily_Balancing!B12</f>
        <v>0</v>
      </c>
      <c r="C17" s="22">
        <f ca="1">Daily_Balancing!C12</f>
        <v>0</v>
      </c>
      <c r="D17" s="22">
        <f t="shared" ca="1" si="0"/>
        <v>0</v>
      </c>
      <c r="E17" s="23">
        <f ca="1">Daily_Balancing!E12</f>
        <v>0</v>
      </c>
      <c r="F17" s="22">
        <v>5000</v>
      </c>
      <c r="G17" s="24">
        <f t="shared" ca="1" si="1"/>
        <v>0</v>
      </c>
      <c r="H17" s="22">
        <f>SUMIF(DB_Savings!$G:$G,"Agent 09",DB_Savings!$F:$F)</f>
        <v>0</v>
      </c>
      <c r="I17" s="23">
        <f>COUNTIF(DB_Customers!$H:$H,"Agent 09")</f>
        <v>0</v>
      </c>
    </row>
    <row r="18" spans="1:13" x14ac:dyDescent="0.25">
      <c r="A18" s="25" t="s">
        <v>50</v>
      </c>
      <c r="B18" s="26">
        <f ca="1">Daily_Balancing!B13</f>
        <v>0</v>
      </c>
      <c r="C18" s="26">
        <f ca="1">Daily_Balancing!C13</f>
        <v>0</v>
      </c>
      <c r="D18" s="26">
        <f t="shared" ca="1" si="0"/>
        <v>0</v>
      </c>
      <c r="E18" s="27">
        <f ca="1">Daily_Balancing!E13</f>
        <v>0</v>
      </c>
      <c r="F18" s="26">
        <v>5000</v>
      </c>
      <c r="G18" s="28">
        <f t="shared" ca="1" si="1"/>
        <v>0</v>
      </c>
      <c r="H18" s="26">
        <f>SUMIF(DB_Savings!$G:$G,"Agent 10",DB_Savings!$F:$F)</f>
        <v>0</v>
      </c>
      <c r="I18" s="27">
        <f>COUNTIF(DB_Customers!$H:$H,"Agent 10")</f>
        <v>0</v>
      </c>
    </row>
    <row r="19" spans="1:13" x14ac:dyDescent="0.25">
      <c r="A19" s="29" t="s">
        <v>51</v>
      </c>
      <c r="B19" s="30">
        <f ca="1">SUM(B9:B18)</f>
        <v>0</v>
      </c>
      <c r="C19" s="30">
        <f ca="1">SUM(C9:C18)</f>
        <v>0</v>
      </c>
      <c r="D19" s="30">
        <f ca="1">SUM(D9:D18)</f>
        <v>0</v>
      </c>
      <c r="E19" s="30">
        <f ca="1">SUM(E9:E18)</f>
        <v>0</v>
      </c>
      <c r="F19" s="30">
        <f>SUM(F9:F18)</f>
        <v>50000</v>
      </c>
      <c r="G19" s="31">
        <f t="shared" ca="1" si="1"/>
        <v>0</v>
      </c>
      <c r="H19" s="30">
        <f>SUM(H9:H18)</f>
        <v>0</v>
      </c>
      <c r="I19" s="29">
        <f>SUM(I9:I18)</f>
        <v>0</v>
      </c>
    </row>
    <row r="20" spans="1:13" ht="7.5" customHeight="1" x14ac:dyDescent="0.25"/>
    <row r="21" spans="1:13" ht="21.75" customHeight="1" x14ac:dyDescent="0.25">
      <c r="A21" s="190" t="s">
        <v>52</v>
      </c>
      <c r="B21" s="190"/>
      <c r="C21" s="190"/>
      <c r="D21" s="190"/>
      <c r="E21" s="190"/>
      <c r="F21" s="190"/>
      <c r="G21" s="191" t="s">
        <v>53</v>
      </c>
      <c r="H21" s="191"/>
      <c r="I21" s="191"/>
      <c r="J21" s="191"/>
      <c r="K21" s="191"/>
      <c r="L21" s="191"/>
      <c r="M21" s="191"/>
    </row>
    <row r="22" spans="1:13" ht="21.75" customHeight="1" x14ac:dyDescent="0.25">
      <c r="A22" s="192" t="s">
        <v>54</v>
      </c>
      <c r="B22" s="192"/>
      <c r="C22" s="192"/>
      <c r="D22" s="193">
        <f>COUNTA(DB_Customers!A2:A500)</f>
        <v>2</v>
      </c>
      <c r="E22" s="193"/>
      <c r="F22" s="193"/>
      <c r="G22" s="191"/>
      <c r="H22" s="191"/>
      <c r="I22" s="191"/>
      <c r="J22" s="191"/>
      <c r="K22" s="191"/>
      <c r="L22" s="191"/>
      <c r="M22" s="191"/>
    </row>
    <row r="23" spans="1:13" ht="21.75" customHeight="1" x14ac:dyDescent="0.25">
      <c r="A23" s="192" t="s">
        <v>55</v>
      </c>
      <c r="B23" s="192"/>
      <c r="C23" s="192"/>
      <c r="D23" s="194">
        <f>SUM(DB_Customers!L2:L500)</f>
        <v>0</v>
      </c>
      <c r="E23" s="194"/>
      <c r="F23" s="194"/>
      <c r="G23" s="191"/>
      <c r="H23" s="191"/>
      <c r="I23" s="191"/>
      <c r="J23" s="191"/>
      <c r="K23" s="191"/>
      <c r="L23" s="191"/>
      <c r="M23" s="191"/>
    </row>
    <row r="24" spans="1:13" ht="21.75" customHeight="1" x14ac:dyDescent="0.25">
      <c r="A24" s="192" t="s">
        <v>56</v>
      </c>
      <c r="B24" s="192"/>
      <c r="C24" s="192"/>
      <c r="D24" s="194">
        <f>SUM(DB_Customers!M2:M500)</f>
        <v>0</v>
      </c>
      <c r="E24" s="194"/>
      <c r="F24" s="194"/>
      <c r="G24" s="191"/>
      <c r="H24" s="191"/>
      <c r="I24" s="191"/>
      <c r="J24" s="191"/>
      <c r="K24" s="191"/>
      <c r="L24" s="191"/>
      <c r="M24" s="191"/>
    </row>
    <row r="25" spans="1:13" ht="21.75" customHeight="1" x14ac:dyDescent="0.25">
      <c r="A25" s="192" t="s">
        <v>57</v>
      </c>
      <c r="B25" s="192"/>
      <c r="C25" s="192"/>
      <c r="D25" s="193">
        <f>COUNTIF(DB_Customers!K2:K500,"Pending")</f>
        <v>0</v>
      </c>
      <c r="E25" s="193"/>
      <c r="F25" s="193"/>
      <c r="G25" s="191"/>
      <c r="H25" s="191"/>
      <c r="I25" s="191"/>
      <c r="J25" s="191"/>
      <c r="K25" s="191"/>
      <c r="L25" s="191"/>
      <c r="M25" s="191"/>
    </row>
    <row r="26" spans="1:13" ht="21.75" customHeight="1" x14ac:dyDescent="0.25">
      <c r="A26" s="192" t="s">
        <v>58</v>
      </c>
      <c r="B26" s="192"/>
      <c r="C26" s="192"/>
      <c r="D26" s="193">
        <f>COUNTIF(DB_Loans!K2:K500,"Pending")</f>
        <v>0</v>
      </c>
      <c r="E26" s="193"/>
      <c r="F26" s="193"/>
      <c r="G26" s="191"/>
      <c r="H26" s="191"/>
      <c r="I26" s="191"/>
      <c r="J26" s="191"/>
      <c r="K26" s="191"/>
      <c r="L26" s="191"/>
      <c r="M26" s="191"/>
    </row>
    <row r="27" spans="1:13" ht="21.75" customHeight="1" x14ac:dyDescent="0.25">
      <c r="A27" s="192" t="s">
        <v>59</v>
      </c>
      <c r="B27" s="192"/>
      <c r="C27" s="192"/>
      <c r="D27" s="193">
        <f>COUNTIF(DB_Loans!K2:K500,"Approved")</f>
        <v>0</v>
      </c>
      <c r="E27" s="193"/>
      <c r="F27" s="193"/>
      <c r="G27" s="191"/>
      <c r="H27" s="191"/>
      <c r="I27" s="191"/>
      <c r="J27" s="191"/>
      <c r="K27" s="191"/>
      <c r="L27" s="191"/>
      <c r="M27" s="191"/>
    </row>
    <row r="29" spans="1:13" ht="18" customHeight="1" x14ac:dyDescent="0.25">
      <c r="A29" s="195" t="s">
        <v>60</v>
      </c>
      <c r="B29" s="195"/>
      <c r="C29" s="195"/>
      <c r="D29" s="195"/>
      <c r="E29" s="195"/>
      <c r="F29" s="195"/>
      <c r="G29" s="195"/>
      <c r="H29" s="195"/>
      <c r="I29" s="195"/>
      <c r="J29" s="195"/>
      <c r="K29" s="195"/>
      <c r="L29" s="195"/>
      <c r="M29" s="195"/>
    </row>
    <row r="30" spans="1:13" x14ac:dyDescent="0.25">
      <c r="A30" s="32" t="s">
        <v>61</v>
      </c>
      <c r="B30" s="196" t="s">
        <v>62</v>
      </c>
      <c r="C30" s="196"/>
      <c r="D30" s="196"/>
      <c r="E30" s="196"/>
      <c r="F30" s="196"/>
      <c r="G30" s="196"/>
      <c r="H30" s="196"/>
      <c r="I30" s="196"/>
      <c r="J30" s="196"/>
      <c r="K30" s="196"/>
      <c r="L30" s="196"/>
      <c r="M30" s="196"/>
    </row>
    <row r="31" spans="1:13" x14ac:dyDescent="0.25">
      <c r="A31" s="32" t="s">
        <v>61</v>
      </c>
      <c r="B31" s="196" t="s">
        <v>63</v>
      </c>
      <c r="C31" s="196"/>
      <c r="D31" s="196"/>
      <c r="E31" s="196"/>
      <c r="F31" s="196"/>
      <c r="G31" s="196"/>
      <c r="H31" s="196"/>
      <c r="I31" s="196"/>
      <c r="J31" s="196"/>
      <c r="K31" s="196"/>
      <c r="L31" s="196"/>
      <c r="M31" s="196"/>
    </row>
    <row r="32" spans="1:13" x14ac:dyDescent="0.25">
      <c r="A32" s="32" t="s">
        <v>61</v>
      </c>
      <c r="B32" s="196" t="s">
        <v>64</v>
      </c>
      <c r="C32" s="196"/>
      <c r="D32" s="196"/>
      <c r="E32" s="196"/>
      <c r="F32" s="196"/>
      <c r="G32" s="196"/>
      <c r="H32" s="196"/>
      <c r="I32" s="196"/>
      <c r="J32" s="196"/>
      <c r="K32" s="196"/>
      <c r="L32" s="196"/>
      <c r="M32" s="196"/>
    </row>
    <row r="33" spans="1:13" x14ac:dyDescent="0.25">
      <c r="A33" s="32" t="s">
        <v>61</v>
      </c>
      <c r="B33" s="196" t="s">
        <v>65</v>
      </c>
      <c r="C33" s="196"/>
      <c r="D33" s="196"/>
      <c r="E33" s="196"/>
      <c r="F33" s="196"/>
      <c r="G33" s="196"/>
      <c r="H33" s="196"/>
      <c r="I33" s="196"/>
      <c r="J33" s="196"/>
      <c r="K33" s="196"/>
      <c r="L33" s="196"/>
      <c r="M33" s="196"/>
    </row>
    <row r="34" spans="1:13" x14ac:dyDescent="0.25">
      <c r="A34" s="32" t="s">
        <v>61</v>
      </c>
      <c r="B34" s="196" t="s">
        <v>66</v>
      </c>
      <c r="C34" s="196"/>
      <c r="D34" s="196"/>
      <c r="E34" s="196"/>
      <c r="F34" s="196"/>
      <c r="G34" s="196"/>
      <c r="H34" s="196"/>
      <c r="I34" s="196"/>
      <c r="J34" s="196"/>
      <c r="K34" s="196"/>
      <c r="L34" s="196"/>
      <c r="M34" s="196"/>
    </row>
    <row r="35" spans="1:13" x14ac:dyDescent="0.25">
      <c r="A35" s="32" t="s">
        <v>61</v>
      </c>
      <c r="B35" s="196" t="s">
        <v>67</v>
      </c>
      <c r="C35" s="196"/>
      <c r="D35" s="196"/>
      <c r="E35" s="196"/>
      <c r="F35" s="196"/>
      <c r="G35" s="196"/>
      <c r="H35" s="196"/>
      <c r="I35" s="196"/>
      <c r="J35" s="196"/>
      <c r="K35" s="196"/>
      <c r="L35" s="196"/>
      <c r="M35" s="196"/>
    </row>
    <row r="36" spans="1:13" x14ac:dyDescent="0.25">
      <c r="A36" s="32" t="s">
        <v>61</v>
      </c>
      <c r="B36" s="196" t="s">
        <v>68</v>
      </c>
      <c r="C36" s="196"/>
      <c r="D36" s="196"/>
      <c r="E36" s="196"/>
      <c r="F36" s="196"/>
      <c r="G36" s="196"/>
      <c r="H36" s="196"/>
      <c r="I36" s="196"/>
      <c r="J36" s="196"/>
      <c r="K36" s="196"/>
      <c r="L36" s="196"/>
      <c r="M36" s="196"/>
    </row>
    <row r="37" spans="1:13" x14ac:dyDescent="0.25">
      <c r="A37" s="32" t="s">
        <v>61</v>
      </c>
      <c r="B37" s="196" t="s">
        <v>69</v>
      </c>
      <c r="C37" s="196"/>
      <c r="D37" s="196"/>
      <c r="E37" s="196"/>
      <c r="F37" s="196"/>
      <c r="G37" s="196"/>
      <c r="H37" s="196"/>
      <c r="I37" s="196"/>
      <c r="J37" s="196"/>
      <c r="K37" s="196"/>
      <c r="L37" s="196"/>
      <c r="M37" s="196"/>
    </row>
    <row r="38" spans="1:13" x14ac:dyDescent="0.25">
      <c r="A38" s="32" t="s">
        <v>61</v>
      </c>
      <c r="B38" s="196" t="s">
        <v>70</v>
      </c>
      <c r="C38" s="196"/>
      <c r="D38" s="196"/>
      <c r="E38" s="196"/>
      <c r="F38" s="196"/>
      <c r="G38" s="196"/>
      <c r="H38" s="196"/>
      <c r="I38" s="196"/>
      <c r="J38" s="196"/>
      <c r="K38" s="196"/>
      <c r="L38" s="196"/>
      <c r="M38" s="196"/>
    </row>
    <row r="39" spans="1:13" x14ac:dyDescent="0.25">
      <c r="A39" s="32" t="s">
        <v>61</v>
      </c>
      <c r="B39" s="33" t="s">
        <v>71</v>
      </c>
    </row>
    <row r="40" spans="1:13" x14ac:dyDescent="0.25">
      <c r="A40" s="32" t="s">
        <v>61</v>
      </c>
      <c r="B40" s="33" t="s">
        <v>72</v>
      </c>
    </row>
  </sheetData>
  <mergeCells count="39">
    <mergeCell ref="B34:M34"/>
    <mergeCell ref="B35:M35"/>
    <mergeCell ref="B36:M36"/>
    <mergeCell ref="B37:M37"/>
    <mergeCell ref="B38:M38"/>
    <mergeCell ref="A29:M29"/>
    <mergeCell ref="B30:M30"/>
    <mergeCell ref="B31:M31"/>
    <mergeCell ref="B32:M32"/>
    <mergeCell ref="B33:M33"/>
    <mergeCell ref="K5:M5"/>
    <mergeCell ref="A7:M7"/>
    <mergeCell ref="A21:F21"/>
    <mergeCell ref="G21:M27"/>
    <mergeCell ref="A22:C22"/>
    <mergeCell ref="D22:F22"/>
    <mergeCell ref="A23:C23"/>
    <mergeCell ref="D23:F23"/>
    <mergeCell ref="A24:C24"/>
    <mergeCell ref="D24:F24"/>
    <mergeCell ref="A25:C25"/>
    <mergeCell ref="D25:F25"/>
    <mergeCell ref="A26:C26"/>
    <mergeCell ref="D26:F26"/>
    <mergeCell ref="A27:C27"/>
    <mergeCell ref="D27:F27"/>
    <mergeCell ref="A5:B5"/>
    <mergeCell ref="C5:D5"/>
    <mergeCell ref="E5:F5"/>
    <mergeCell ref="G5:H5"/>
    <mergeCell ref="I5:J5"/>
    <mergeCell ref="A1:M1"/>
    <mergeCell ref="A2:M2"/>
    <mergeCell ref="A4:B4"/>
    <mergeCell ref="C4:D4"/>
    <mergeCell ref="E4:F4"/>
    <mergeCell ref="G4:H4"/>
    <mergeCell ref="I4:J4"/>
    <mergeCell ref="K4:M4"/>
  </mergeCells>
  <conditionalFormatting sqref="G9:G18">
    <cfRule type="cellIs" dxfId="106" priority="2" operator="greaterThanOrEqual">
      <formula>1</formula>
    </cfRule>
    <cfRule type="cellIs" dxfId="105" priority="3" operator="lessThan">
      <formula>0.5</formula>
    </cfRule>
  </conditionalFormatting>
  <pageMargins left="0.75" right="0.75" top="1" bottom="1" header="0.511811023622047" footer="0.511811023622047"/>
  <pageSetup paperSize="9"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1ABC9C"/>
  </sheetPr>
  <dimension ref="A1:E56"/>
  <sheetViews>
    <sheetView tabSelected="1" zoomScaleNormal="100" workbookViewId="0">
      <selection activeCell="C13" sqref="C13:E13"/>
    </sheetView>
  </sheetViews>
  <sheetFormatPr defaultColWidth="8.7109375" defaultRowHeight="15" x14ac:dyDescent="0.25"/>
  <cols>
    <col min="1" max="1" width="59" customWidth="1"/>
    <col min="2" max="2" width="22.7109375" customWidth="1"/>
    <col min="3" max="3" width="28" customWidth="1"/>
    <col min="4" max="4" width="18" customWidth="1"/>
    <col min="5" max="5" width="20" customWidth="1"/>
  </cols>
  <sheetData>
    <row r="1" spans="1:5" ht="39.75" customHeight="1" x14ac:dyDescent="0.25">
      <c r="A1" s="14" t="s">
        <v>73</v>
      </c>
      <c r="B1" s="14"/>
      <c r="C1" s="14"/>
      <c r="D1" s="14"/>
      <c r="E1" s="14"/>
    </row>
    <row r="2" spans="1:5" ht="19.5" customHeight="1" x14ac:dyDescent="0.25">
      <c r="A2" s="13" t="s">
        <v>74</v>
      </c>
      <c r="B2" s="13"/>
      <c r="C2" s="13"/>
      <c r="D2" s="13"/>
      <c r="E2" s="13"/>
    </row>
    <row r="3" spans="1:5" ht="18" customHeight="1" x14ac:dyDescent="0.25">
      <c r="A3" s="12" t="s">
        <v>75</v>
      </c>
      <c r="B3" s="12"/>
      <c r="C3" s="12"/>
      <c r="D3" s="12"/>
      <c r="E3" s="12"/>
    </row>
    <row r="4" spans="1:5" ht="7.5" customHeight="1" x14ac:dyDescent="0.25">
      <c r="A4" s="34"/>
      <c r="B4" s="34"/>
      <c r="C4" s="34"/>
      <c r="D4" s="34"/>
      <c r="E4" s="34"/>
    </row>
    <row r="5" spans="1:5" ht="25.5" customHeight="1" x14ac:dyDescent="0.25">
      <c r="A5" s="35" t="s">
        <v>76</v>
      </c>
      <c r="B5" s="34"/>
      <c r="C5" s="11"/>
      <c r="D5" s="11"/>
      <c r="E5" s="11"/>
    </row>
    <row r="6" spans="1:5" ht="25.5" customHeight="1" x14ac:dyDescent="0.25">
      <c r="A6" s="35" t="s">
        <v>77</v>
      </c>
      <c r="B6" s="34"/>
      <c r="C6" s="11"/>
      <c r="D6" s="11"/>
      <c r="E6" s="11"/>
    </row>
    <row r="7" spans="1:5" ht="25.5" customHeight="1" x14ac:dyDescent="0.25">
      <c r="A7" s="35" t="s">
        <v>78</v>
      </c>
      <c r="B7" s="34"/>
      <c r="C7" s="10"/>
      <c r="D7" s="10"/>
      <c r="E7" s="10"/>
    </row>
    <row r="8" spans="1:5" ht="25.5" customHeight="1" x14ac:dyDescent="0.25">
      <c r="A8" s="35" t="s">
        <v>79</v>
      </c>
      <c r="B8" s="34"/>
      <c r="C8" s="11"/>
      <c r="D8" s="11"/>
      <c r="E8" s="11"/>
    </row>
    <row r="9" spans="1:5" ht="25.5" customHeight="1" x14ac:dyDescent="0.25">
      <c r="A9" s="35" t="s">
        <v>80</v>
      </c>
      <c r="B9" s="34"/>
      <c r="C9" s="11"/>
      <c r="D9" s="11"/>
      <c r="E9" s="11"/>
    </row>
    <row r="10" spans="1:5" ht="25.5" customHeight="1" x14ac:dyDescent="0.25">
      <c r="A10" s="35" t="s">
        <v>81</v>
      </c>
      <c r="B10" s="34"/>
      <c r="C10" s="11"/>
      <c r="D10" s="11"/>
      <c r="E10" s="11"/>
    </row>
    <row r="11" spans="1:5" ht="25.5" customHeight="1" x14ac:dyDescent="0.25">
      <c r="A11" s="35" t="s">
        <v>82</v>
      </c>
      <c r="B11" s="34"/>
      <c r="C11" s="11" t="s">
        <v>41</v>
      </c>
      <c r="D11" s="11"/>
      <c r="E11" s="11"/>
    </row>
    <row r="12" spans="1:5" ht="25.5" customHeight="1" x14ac:dyDescent="0.25">
      <c r="A12" s="35" t="s">
        <v>83</v>
      </c>
      <c r="B12" s="34"/>
      <c r="C12" s="36"/>
      <c r="D12" s="9" t="s">
        <v>84</v>
      </c>
      <c r="E12" s="9"/>
    </row>
    <row r="13" spans="1:5" ht="25.5" customHeight="1" x14ac:dyDescent="0.25">
      <c r="A13" s="37" t="s">
        <v>85</v>
      </c>
      <c r="C13" s="8"/>
      <c r="D13" s="8"/>
      <c r="E13" s="8"/>
    </row>
    <row r="14" spans="1:5" ht="25.5" customHeight="1" x14ac:dyDescent="0.25">
      <c r="A14" s="37" t="s">
        <v>86</v>
      </c>
      <c r="C14" s="8" t="s">
        <v>87</v>
      </c>
      <c r="D14" s="8"/>
    </row>
    <row r="15" spans="1:5" ht="25.5" customHeight="1" x14ac:dyDescent="0.25">
      <c r="A15" s="38" t="s">
        <v>88</v>
      </c>
      <c r="C15" s="7"/>
      <c r="D15" s="7"/>
      <c r="E15" s="7"/>
    </row>
    <row r="16" spans="1:5" ht="25.5" customHeight="1" x14ac:dyDescent="0.25">
      <c r="A16" s="39" t="s">
        <v>89</v>
      </c>
      <c r="C16" s="6" t="str">
        <f>IF(OR(C5="",C7="",C8=""),"",UPPER(LEFT(TRIM(C5),3))&amp;TEXT(IF(ISNUMBER(C7),YEAR(C7),YEAR(DATEVALUE(TEXT(C7,"DD/MM/YYYY")))),"0000")&amp;RIGHT(TEXT(C8,"0000000000"),4))</f>
        <v/>
      </c>
      <c r="D16" s="6"/>
      <c r="E16" s="6"/>
    </row>
    <row r="17" spans="1:5" ht="33.75" customHeight="1" x14ac:dyDescent="0.25">
      <c r="A17" s="5" t="str">
        <f>IF(AND(C5&lt;&gt;"",C6&lt;&gt;"",C7&lt;&gt;"",C8&lt;&gt;"",C9&lt;&gt;"",C10&lt;&gt;"",C11&lt;&gt;"",C12&lt;&gt;""),IF(C12&lt;10,"⚠️  Opening Balance must be at least GHC 10.00",IF(AND(C14&lt;&gt;"",LEN(C15)&lt;6),"⚠️  ID Card Number required (min 6 chars) when ID Type selected","✅  All fields complete — Account Number generated above")),"⚠️  Please fill all required fields marked with (*)")</f>
        <v>⚠️  Please fill all required fields marked with (*)</v>
      </c>
      <c r="B17" s="5"/>
      <c r="C17" s="5"/>
      <c r="D17" s="5"/>
      <c r="E17" s="5"/>
    </row>
    <row r="18" spans="1:5" ht="6" customHeight="1" x14ac:dyDescent="0.25">
      <c r="A18" s="4" t="str">
        <f>IF(AND(C5&lt;&gt;"",C6&lt;&gt;"",C7&lt;&gt;"",C8&lt;&gt;"",C9&lt;&gt;"",C10&lt;&gt;"",C11&lt;&gt;"",C12&lt;&gt;""),IF(C12&lt;10,"⚠️  Opening Balance must be at least GHC 10.00",IF(AND(C14&lt;&gt;"",LEN(C15)&lt;6),"⚠️  ID Card Number required (min 6 characters) when ID Type is selected","✅  All required fields complete — Ready to generate account")),"⚠️  Please fill all required fields marked with (*)")</f>
        <v>⚠️  Please fill all required fields marked with (*)</v>
      </c>
      <c r="B18" s="4"/>
      <c r="C18" s="4"/>
      <c r="D18" s="4"/>
      <c r="E18" s="4"/>
    </row>
    <row r="19" spans="1:5" ht="24" customHeight="1" x14ac:dyDescent="0.25">
      <c r="A19" s="40" t="s">
        <v>90</v>
      </c>
      <c r="B19" s="41"/>
      <c r="C19" s="41"/>
      <c r="D19" s="41"/>
      <c r="E19" s="41"/>
    </row>
    <row r="20" spans="1:5" ht="34.5" customHeight="1" x14ac:dyDescent="0.25">
      <c r="A20" s="5"/>
      <c r="B20" s="5"/>
      <c r="C20" s="5"/>
      <c r="D20" s="5"/>
      <c r="E20" s="5"/>
    </row>
    <row r="21" spans="1:5" ht="9.75" customHeight="1" x14ac:dyDescent="0.25">
      <c r="A21" s="3" t="s">
        <v>91</v>
      </c>
      <c r="B21" s="3"/>
      <c r="C21" s="3"/>
      <c r="D21" s="3"/>
      <c r="E21" s="3"/>
    </row>
    <row r="22" spans="1:5" ht="21.75" customHeight="1" x14ac:dyDescent="0.25">
      <c r="A22" s="42" t="str">
        <f>IF(AND(C5&lt;&gt;"",C6&lt;&gt;"",C7&lt;&gt;"",C8&lt;&gt;"",C9&lt;&gt;"",C10&lt;&gt;"",C11&lt;&gt;"",C12&lt;&gt;""),IF(C12&lt;10,"⚠️  Opening Balance must be at least GHC 10.00",IF(AND(C14&lt;&gt;"",LEN(C15)&lt;6),"⚠️  ID Card Number required (min 6 characters) when ID Type is selected","✅  All required fields complete — Ready to generate account")),"⚠️  Please fill all required fields marked with (*)")</f>
        <v>⚠️  Please fill all required fields marked with (*)</v>
      </c>
      <c r="B22" s="41"/>
      <c r="C22" s="41"/>
      <c r="D22" s="41"/>
      <c r="E22" s="41"/>
    </row>
    <row r="23" spans="1:5" ht="21.75" customHeight="1" x14ac:dyDescent="0.25">
      <c r="A23" s="5"/>
      <c r="B23" s="5"/>
      <c r="C23" s="5"/>
      <c r="D23" s="5"/>
      <c r="E23" s="5"/>
    </row>
    <row r="24" spans="1:5" ht="21.75" customHeight="1" x14ac:dyDescent="0.25">
      <c r="A24" s="43" t="s">
        <v>92</v>
      </c>
      <c r="B24" s="2"/>
      <c r="C24" s="2"/>
      <c r="D24" s="2"/>
      <c r="E24" s="2"/>
    </row>
    <row r="25" spans="1:5" ht="21.75" customHeight="1" x14ac:dyDescent="0.25">
      <c r="A25" s="44" t="s">
        <v>93</v>
      </c>
      <c r="B25" s="1" t="s">
        <v>94</v>
      </c>
      <c r="C25" s="1"/>
      <c r="D25" s="1"/>
      <c r="E25" s="1"/>
    </row>
    <row r="26" spans="1:5" ht="21.75" customHeight="1" x14ac:dyDescent="0.25">
      <c r="A26" s="44" t="s">
        <v>95</v>
      </c>
      <c r="B26" s="1" t="s">
        <v>96</v>
      </c>
      <c r="C26" s="1"/>
      <c r="D26" s="1"/>
      <c r="E26" s="1"/>
    </row>
    <row r="27" spans="1:5" ht="21.75" customHeight="1" x14ac:dyDescent="0.25">
      <c r="A27" s="44" t="s">
        <v>97</v>
      </c>
      <c r="B27" s="1" t="s">
        <v>98</v>
      </c>
      <c r="C27" s="1"/>
      <c r="D27" s="1"/>
      <c r="E27" s="1"/>
    </row>
    <row r="28" spans="1:5" ht="15" customHeight="1" x14ac:dyDescent="0.25">
      <c r="A28" s="44" t="s">
        <v>99</v>
      </c>
      <c r="B28" s="1" t="s">
        <v>100</v>
      </c>
      <c r="C28" s="1"/>
      <c r="D28" s="1"/>
      <c r="E28" s="1"/>
    </row>
    <row r="29" spans="1:5" ht="9.75" customHeight="1" x14ac:dyDescent="0.25">
      <c r="A29" s="44" t="s">
        <v>101</v>
      </c>
      <c r="B29" s="45" t="s">
        <v>102</v>
      </c>
      <c r="C29" s="46"/>
      <c r="D29" s="46"/>
      <c r="E29" s="46"/>
    </row>
    <row r="30" spans="1:5" ht="21.75" customHeight="1" x14ac:dyDescent="0.25">
      <c r="A30" s="34"/>
      <c r="B30" s="34"/>
      <c r="C30" s="34"/>
      <c r="D30" s="34"/>
      <c r="E30" s="34"/>
    </row>
    <row r="31" spans="1:5" ht="19.5" customHeight="1" x14ac:dyDescent="0.25">
      <c r="A31" s="5"/>
      <c r="B31" s="5"/>
      <c r="C31" s="5"/>
      <c r="D31" s="5"/>
      <c r="E31" s="5"/>
    </row>
    <row r="32" spans="1:5" ht="3.75" customHeight="1" x14ac:dyDescent="0.25">
      <c r="A32" s="47"/>
      <c r="B32" s="47"/>
      <c r="C32" s="47"/>
      <c r="D32" s="47"/>
      <c r="E32" s="47"/>
    </row>
    <row r="33" spans="1:5" ht="25.5" customHeight="1" x14ac:dyDescent="0.25">
      <c r="A33" s="152" t="s">
        <v>103</v>
      </c>
      <c r="B33" s="152"/>
      <c r="C33" s="152"/>
      <c r="D33" s="152"/>
      <c r="E33" s="152"/>
    </row>
    <row r="34" spans="1:5" ht="36" customHeight="1" x14ac:dyDescent="0.25">
      <c r="A34" s="153" t="s">
        <v>104</v>
      </c>
      <c r="B34" s="153"/>
      <c r="C34" s="153"/>
      <c r="D34" s="153"/>
      <c r="E34" s="153"/>
    </row>
    <row r="35" spans="1:5" ht="7.5" customHeight="1" x14ac:dyDescent="0.25"/>
    <row r="36" spans="1:5" ht="19.5" customHeight="1" x14ac:dyDescent="0.25">
      <c r="A36" s="154" t="s">
        <v>105</v>
      </c>
      <c r="B36" s="154"/>
      <c r="C36" s="154" t="s">
        <v>106</v>
      </c>
      <c r="D36" s="154"/>
      <c r="E36" s="154"/>
    </row>
    <row r="37" spans="1:5" ht="15.75" customHeight="1" x14ac:dyDescent="0.25">
      <c r="A37" s="155" t="s">
        <v>107</v>
      </c>
      <c r="B37" s="155"/>
      <c r="C37" s="155" t="s">
        <v>108</v>
      </c>
      <c r="D37" s="155"/>
      <c r="E37" s="155"/>
    </row>
    <row r="38" spans="1:5" ht="21.75" customHeight="1" x14ac:dyDescent="0.25">
      <c r="A38" s="156" t="s">
        <v>109</v>
      </c>
      <c r="B38" s="156"/>
      <c r="C38" s="156" t="s">
        <v>110</v>
      </c>
      <c r="D38" s="156"/>
      <c r="E38" s="156"/>
    </row>
    <row r="39" spans="1:5" ht="21.75" customHeight="1" x14ac:dyDescent="0.25">
      <c r="A39" s="156"/>
      <c r="B39" s="156"/>
      <c r="C39" s="156"/>
      <c r="D39" s="156"/>
      <c r="E39" s="156"/>
    </row>
    <row r="40" spans="1:5" ht="7.5" customHeight="1" x14ac:dyDescent="0.25"/>
    <row r="41" spans="1:5" ht="19.5" customHeight="1" x14ac:dyDescent="0.25">
      <c r="A41" s="154" t="s">
        <v>111</v>
      </c>
      <c r="B41" s="154"/>
      <c r="C41" s="154" t="s">
        <v>112</v>
      </c>
      <c r="D41" s="154"/>
      <c r="E41" s="154"/>
    </row>
    <row r="42" spans="1:5" ht="15.75" customHeight="1" x14ac:dyDescent="0.25">
      <c r="A42" s="155" t="s">
        <v>113</v>
      </c>
      <c r="B42" s="155"/>
      <c r="C42" s="155" t="s">
        <v>114</v>
      </c>
      <c r="D42" s="155"/>
      <c r="E42" s="155"/>
    </row>
    <row r="43" spans="1:5" ht="25.5" customHeight="1" x14ac:dyDescent="0.25">
      <c r="A43" s="157" t="str">
        <f ca="1">IF(C16&lt;&gt;"",TODAY(),"")</f>
        <v/>
      </c>
      <c r="B43" s="157"/>
      <c r="C43" s="158" t="s">
        <v>115</v>
      </c>
      <c r="D43" s="158"/>
      <c r="E43" s="158"/>
    </row>
    <row r="44" spans="1:5" ht="7.5" customHeight="1" x14ac:dyDescent="0.25"/>
    <row r="45" spans="1:5" ht="3.75" customHeight="1" x14ac:dyDescent="0.25">
      <c r="A45" s="18"/>
      <c r="B45" s="18"/>
      <c r="C45" s="18"/>
      <c r="D45" s="18"/>
      <c r="E45" s="18"/>
    </row>
    <row r="50" spans="1:5" x14ac:dyDescent="0.25">
      <c r="A50" s="43" t="s">
        <v>116</v>
      </c>
    </row>
    <row r="51" spans="1:5" x14ac:dyDescent="0.25">
      <c r="A51" s="48" t="s">
        <v>117</v>
      </c>
      <c r="B51" s="48" t="s">
        <v>118</v>
      </c>
      <c r="C51" s="48" t="s">
        <v>119</v>
      </c>
      <c r="D51" s="48" t="s">
        <v>32</v>
      </c>
      <c r="E51" s="48" t="s">
        <v>120</v>
      </c>
    </row>
    <row r="52" spans="1:5" x14ac:dyDescent="0.25">
      <c r="A52" s="49" t="s">
        <v>121</v>
      </c>
      <c r="B52" s="49" t="s">
        <v>122</v>
      </c>
      <c r="C52" s="49" t="s">
        <v>123</v>
      </c>
      <c r="D52" s="49" t="s">
        <v>50</v>
      </c>
      <c r="E52" s="49" t="s">
        <v>124</v>
      </c>
    </row>
    <row r="53" spans="1:5" x14ac:dyDescent="0.25">
      <c r="A53" s="50" t="s">
        <v>125</v>
      </c>
      <c r="B53" s="50" t="s">
        <v>126</v>
      </c>
      <c r="C53" s="50" t="s">
        <v>123</v>
      </c>
      <c r="D53" s="50" t="s">
        <v>50</v>
      </c>
      <c r="E53" s="50" t="s">
        <v>127</v>
      </c>
    </row>
    <row r="54" spans="1:5" x14ac:dyDescent="0.25">
      <c r="A54" s="49" t="s">
        <v>128</v>
      </c>
      <c r="B54" s="49" t="s">
        <v>129</v>
      </c>
      <c r="C54" s="49" t="s">
        <v>123</v>
      </c>
      <c r="D54" s="49" t="s">
        <v>49</v>
      </c>
      <c r="E54" s="49" t="s">
        <v>130</v>
      </c>
    </row>
    <row r="55" spans="1:5" x14ac:dyDescent="0.25">
      <c r="A55" s="50" t="s">
        <v>131</v>
      </c>
      <c r="B55" s="50" t="s">
        <v>132</v>
      </c>
      <c r="C55" s="50" t="s">
        <v>123</v>
      </c>
      <c r="D55" s="50" t="s">
        <v>49</v>
      </c>
      <c r="E55" s="50" t="s">
        <v>133</v>
      </c>
    </row>
    <row r="56" spans="1:5" x14ac:dyDescent="0.25">
      <c r="A56" s="49" t="s">
        <v>134</v>
      </c>
      <c r="B56" s="49" t="s">
        <v>135</v>
      </c>
      <c r="C56" s="49" t="s">
        <v>123</v>
      </c>
      <c r="D56" s="49" t="s">
        <v>48</v>
      </c>
      <c r="E56" s="49" t="s">
        <v>136</v>
      </c>
    </row>
  </sheetData>
  <mergeCells count="42">
    <mergeCell ref="A41:B41"/>
    <mergeCell ref="C41:E41"/>
    <mergeCell ref="A42:B42"/>
    <mergeCell ref="C42:E42"/>
    <mergeCell ref="A43:B43"/>
    <mergeCell ref="C43:E43"/>
    <mergeCell ref="A37:B37"/>
    <mergeCell ref="C37:E37"/>
    <mergeCell ref="A38:B38"/>
    <mergeCell ref="C38:E38"/>
    <mergeCell ref="A39:B39"/>
    <mergeCell ref="C39:E39"/>
    <mergeCell ref="A31:E31"/>
    <mergeCell ref="A33:E33"/>
    <mergeCell ref="A34:E34"/>
    <mergeCell ref="A36:B36"/>
    <mergeCell ref="C36:E36"/>
    <mergeCell ref="B24:E24"/>
    <mergeCell ref="B25:E25"/>
    <mergeCell ref="B26:E26"/>
    <mergeCell ref="B27:E27"/>
    <mergeCell ref="B28:E28"/>
    <mergeCell ref="A17:E17"/>
    <mergeCell ref="A18:E18"/>
    <mergeCell ref="A20:E20"/>
    <mergeCell ref="A21:E21"/>
    <mergeCell ref="A23:E23"/>
    <mergeCell ref="D12:E12"/>
    <mergeCell ref="C13:E13"/>
    <mergeCell ref="C14:D14"/>
    <mergeCell ref="C15:E15"/>
    <mergeCell ref="C16:E16"/>
    <mergeCell ref="C7:E7"/>
    <mergeCell ref="C8:E8"/>
    <mergeCell ref="C9:E9"/>
    <mergeCell ref="C10:E10"/>
    <mergeCell ref="C11:E11"/>
    <mergeCell ref="A1:E1"/>
    <mergeCell ref="A2:E2"/>
    <mergeCell ref="A3:E3"/>
    <mergeCell ref="C5:E5"/>
    <mergeCell ref="C6:E6"/>
  </mergeCells>
  <dataValidations count="4">
    <dataValidation type="list" allowBlank="1" showInputMessage="1" showErrorMessage="1" errorTitle="Invalid Agent" error="Please select a valid agent (Agent 01 to Agent 10)" promptTitle="Assign Agent" prompt="Select an agent" sqref="C11:E11" xr:uid="{00000000-0002-0000-0300-000000000000}">
      <formula1>"Agent 01,Agent 02,Agent 03,Agent 04,Agent 05,Agent 06,Agent 07,Agent 08,Agent 09,Agent 10"</formula1>
      <formula2>0</formula2>
    </dataValidation>
    <dataValidation type="list" allowBlank="1" sqref="C14:D14" xr:uid="{00000000-0002-0000-0300-000001000000}">
      <formula1>"Ghana Card,Voter's ID,Passport,Driver's License,None"</formula1>
      <formula2>0</formula2>
    </dataValidation>
    <dataValidation type="date" operator="greaterThan" allowBlank="1" showErrorMessage="1" errorTitle="Invalid Date" error="Enter a valid date (DD/MM/YYYY or Excel date)" sqref="C7" xr:uid="{00000000-0002-0000-0300-000002000000}">
      <formula1>DATE(1900,1,1)</formula1>
      <formula2>0</formula2>
    </dataValidation>
    <dataValidation type="list" allowBlank="1" sqref="C43" xr:uid="{00000000-0002-0000-0300-000003000000}">
      <formula1>"Manager,Headmaster,Deputy Head,Accountant,Director"</formula1>
      <formula2>0</formula2>
    </dataValidation>
  </dataValidations>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1E3A5F"/>
  </sheetPr>
  <dimension ref="A1:N518"/>
  <sheetViews>
    <sheetView showGridLines="0" zoomScaleNormal="100" workbookViewId="0">
      <pane ySplit="8" topLeftCell="A15" activePane="bottomLeft" state="frozen"/>
      <selection pane="bottomLeft" activeCell="G5" sqref="G5:N5"/>
    </sheetView>
  </sheetViews>
  <sheetFormatPr defaultColWidth="8.7109375" defaultRowHeight="15" x14ac:dyDescent="0.25"/>
  <cols>
    <col min="1" max="1" width="4" customWidth="1"/>
    <col min="2" max="2" width="18" customWidth="1"/>
    <col min="3" max="3" width="20" customWidth="1"/>
    <col min="4" max="5" width="14" customWidth="1"/>
    <col min="6" max="6" width="16" customWidth="1"/>
    <col min="7" max="7" width="20" customWidth="1"/>
    <col min="8" max="8" width="14" customWidth="1"/>
    <col min="9" max="9" width="15" customWidth="1"/>
    <col min="10" max="10" width="14" customWidth="1"/>
    <col min="11" max="11" width="12" customWidth="1"/>
    <col min="12" max="12" width="14" customWidth="1"/>
    <col min="13" max="13" width="16" customWidth="1"/>
    <col min="14" max="14" width="10" customWidth="1"/>
  </cols>
  <sheetData>
    <row r="1" spans="1:14" ht="37.5" customHeight="1" x14ac:dyDescent="0.25">
      <c r="A1" s="197" t="s">
        <v>137</v>
      </c>
      <c r="B1" s="197"/>
      <c r="C1" s="197"/>
      <c r="D1" s="197"/>
      <c r="E1" s="197"/>
      <c r="F1" s="197"/>
      <c r="G1" s="197"/>
      <c r="H1" s="197"/>
      <c r="I1" s="197"/>
      <c r="J1" s="197"/>
      <c r="K1" s="197"/>
      <c r="L1" s="197"/>
      <c r="M1" s="197"/>
      <c r="N1" s="197"/>
    </row>
    <row r="2" spans="1:14" ht="18" customHeight="1" x14ac:dyDescent="0.25">
      <c r="A2" s="198" t="s">
        <v>138</v>
      </c>
      <c r="B2" s="198"/>
      <c r="C2" s="198"/>
      <c r="D2" s="198"/>
      <c r="E2" s="198"/>
      <c r="F2" s="198"/>
      <c r="G2" s="198"/>
      <c r="H2" s="198"/>
      <c r="I2" s="198"/>
      <c r="J2" s="198"/>
      <c r="K2" s="198"/>
      <c r="L2" s="198"/>
      <c r="M2" s="198"/>
      <c r="N2" s="198"/>
    </row>
    <row r="3" spans="1:14" ht="3.75" customHeight="1" x14ac:dyDescent="0.25">
      <c r="A3" s="199"/>
      <c r="B3" s="199"/>
      <c r="C3" s="199"/>
      <c r="D3" s="199"/>
      <c r="E3" s="199"/>
      <c r="F3" s="199"/>
      <c r="G3" s="199"/>
      <c r="H3" s="199"/>
      <c r="I3" s="199"/>
      <c r="J3" s="199"/>
      <c r="K3" s="199"/>
      <c r="L3" s="199"/>
      <c r="M3" s="199"/>
      <c r="N3" s="199"/>
    </row>
    <row r="4" spans="1:14" ht="25.5" customHeight="1" x14ac:dyDescent="0.25">
      <c r="A4" s="200" t="s">
        <v>139</v>
      </c>
      <c r="B4" s="200"/>
      <c r="C4" s="200"/>
      <c r="D4" s="200"/>
      <c r="E4" s="200"/>
      <c r="F4" s="200"/>
      <c r="G4" s="200"/>
      <c r="H4" s="200"/>
      <c r="I4" s="200"/>
      <c r="J4" s="200"/>
      <c r="K4" s="200"/>
      <c r="L4" s="200"/>
      <c r="M4" s="200"/>
      <c r="N4" s="200"/>
    </row>
    <row r="5" spans="1:14" ht="27.75" customHeight="1" x14ac:dyDescent="0.25">
      <c r="A5" s="52" t="s">
        <v>140</v>
      </c>
      <c r="B5" s="53"/>
      <c r="C5" s="201"/>
      <c r="D5" s="201"/>
      <c r="E5" s="201"/>
      <c r="F5" s="201"/>
      <c r="G5" s="202" t="s">
        <v>141</v>
      </c>
      <c r="H5" s="202"/>
      <c r="I5" s="202"/>
      <c r="J5" s="202"/>
      <c r="K5" s="202"/>
      <c r="L5" s="202"/>
      <c r="M5" s="202"/>
      <c r="N5" s="202"/>
    </row>
    <row r="6" spans="1:14" ht="15.75" customHeight="1" x14ac:dyDescent="0.25">
      <c r="A6" s="203" t="s">
        <v>142</v>
      </c>
      <c r="B6" s="203"/>
      <c r="C6" s="203"/>
      <c r="D6" s="203"/>
      <c r="E6" s="203"/>
      <c r="F6" s="203"/>
      <c r="G6" s="203"/>
      <c r="H6" s="203"/>
      <c r="I6" s="203"/>
      <c r="J6" s="203"/>
      <c r="K6" s="203"/>
      <c r="L6" s="203"/>
      <c r="M6" s="203"/>
      <c r="N6" s="203"/>
    </row>
    <row r="7" spans="1:14" ht="6" customHeight="1" x14ac:dyDescent="0.25">
      <c r="A7" s="51"/>
      <c r="B7" s="51"/>
      <c r="C7" s="51"/>
      <c r="D7" s="51"/>
      <c r="E7" s="51"/>
      <c r="F7" s="51"/>
      <c r="G7" s="51"/>
      <c r="H7" s="51"/>
      <c r="I7" s="51"/>
      <c r="J7" s="51"/>
      <c r="K7" s="51"/>
      <c r="L7" s="51"/>
      <c r="M7" s="51"/>
      <c r="N7" s="51"/>
    </row>
    <row r="8" spans="1:14" ht="30" customHeight="1" x14ac:dyDescent="0.25">
      <c r="A8" s="54" t="s">
        <v>143</v>
      </c>
      <c r="B8" s="54" t="s">
        <v>144</v>
      </c>
      <c r="C8" s="54" t="s">
        <v>145</v>
      </c>
      <c r="D8" s="54" t="s">
        <v>146</v>
      </c>
      <c r="E8" s="54" t="s">
        <v>147</v>
      </c>
      <c r="F8" s="54" t="s">
        <v>148</v>
      </c>
      <c r="G8" s="54" t="s">
        <v>149</v>
      </c>
      <c r="H8" s="54" t="s">
        <v>150</v>
      </c>
      <c r="I8" s="54" t="s">
        <v>151</v>
      </c>
      <c r="J8" s="54" t="s">
        <v>120</v>
      </c>
      <c r="K8" s="54" t="s">
        <v>152</v>
      </c>
      <c r="L8" s="54" t="s">
        <v>153</v>
      </c>
      <c r="M8" s="54" t="s">
        <v>154</v>
      </c>
      <c r="N8" s="54" t="s">
        <v>155</v>
      </c>
    </row>
    <row r="9" spans="1:14" ht="19.5" customHeight="1" x14ac:dyDescent="0.25">
      <c r="A9" s="55" t="s">
        <v>156</v>
      </c>
      <c r="B9" s="56" t="str">
        <f>IF(Account_Opening!C16&lt;&gt;"",Account_Opening!C16,"")</f>
        <v/>
      </c>
      <c r="C9" s="56" t="str">
        <f>IF(Account_Opening!C5&lt;&gt;"",TRIM(Account_Opening!C5)&amp;" "&amp;TRIM(Account_Opening!C6),"")</f>
        <v/>
      </c>
      <c r="D9" s="57" t="str">
        <f>IF(Account_Opening!C7&lt;&gt;"",Account_Opening!C7,"")</f>
        <v/>
      </c>
      <c r="E9" s="56" t="str">
        <f>IF(Account_Opening!C8&lt;&gt;"",Account_Opening!C8,"")</f>
        <v/>
      </c>
      <c r="F9" s="56" t="str">
        <f>IF(Account_Opening!C9&lt;&gt;"",Account_Opening!C9,"")</f>
        <v/>
      </c>
      <c r="G9" s="56" t="str">
        <f>IF(Account_Opening!C10&lt;&gt;"",Account_Opening!C10,"")</f>
        <v/>
      </c>
      <c r="H9" s="56" t="str">
        <f>IF(Account_Opening!C11&lt;&gt;"",Account_Opening!C11,"")</f>
        <v>Agent 01</v>
      </c>
      <c r="I9" s="58" t="str">
        <f>IF(ISNUMBER(Account_Opening!C12),Account_Opening!C12,"")</f>
        <v/>
      </c>
      <c r="J9" s="57" t="str">
        <f ca="1">IF(Account_Opening!C16&lt;&gt;"",TODAY(),"")</f>
        <v/>
      </c>
      <c r="K9" s="56" t="str">
        <f>IF(Account_Opening!C14&lt;&gt;"",Account_Opening!C14,"")</f>
        <v>Ghana Card</v>
      </c>
      <c r="L9" s="56" t="str">
        <f>IF(Account_Opening!C15&lt;&gt;"",Account_Opening!C15,"")</f>
        <v/>
      </c>
      <c r="M9" s="56" t="str">
        <f>IF(Account_Opening!C13&lt;&gt;"",Account_Opening!C13,"")</f>
        <v/>
      </c>
      <c r="N9" s="56" t="str">
        <f>IF(Account_Opening!C16&lt;&gt;"",IF(ISNUMBER(Account_Opening!C12),IF(Account_Opening!C12&gt;=10,"Active","Inactive"),""),"Pending")</f>
        <v>Pending</v>
      </c>
    </row>
    <row r="10" spans="1:14" ht="18" customHeight="1" x14ac:dyDescent="0.25">
      <c r="A10" s="59" t="str">
        <f>IF(DB_Customers!A4&lt;&gt;"",1,"")</f>
        <v/>
      </c>
      <c r="B10" s="60" t="str">
        <f>IFERROR(IF(DB_Customers!A4&lt;&gt;"",DB_Customers!A4,""),"")</f>
        <v/>
      </c>
      <c r="C10" s="61" t="str">
        <f>IFERROR(IF(DB_Customers!D4&lt;&gt;"",DB_Customers!D4,""),"")</f>
        <v/>
      </c>
      <c r="D10" s="62" t="str">
        <f>IFERROR(IF(DB_Customers!Q4&lt;&gt;"",DB_Customers!Q4,""),"")</f>
        <v/>
      </c>
      <c r="E10" s="61" t="str">
        <f>IFERROR(IF(DB_Customers!R4&lt;&gt;"",DB_Customers!R4,""),"")</f>
        <v/>
      </c>
      <c r="F10" s="61" t="str">
        <f>IFERROR(IF(DB_Customers!S4&lt;&gt;"",DB_Customers!S4,""),"")</f>
        <v/>
      </c>
      <c r="G10" s="61" t="str">
        <f>IFERROR(IF(DB_Customers!G4&lt;&gt;"",DB_Customers!G4,""),"")</f>
        <v/>
      </c>
      <c r="H10" s="63" t="str">
        <f>IFERROR(IF(DB_Customers!H4&lt;&gt;"",DB_Customers!H4,""),"")</f>
        <v/>
      </c>
      <c r="I10" s="64" t="str">
        <f>IFERROR(IF(DB_Customers!I4&lt;&gt;"",DB_Customers!I4,""),"")</f>
        <v/>
      </c>
      <c r="J10" s="62" t="str">
        <f>IFERROR(IF(DB_Customers!J4&lt;&gt;"",DB_Customers!J4,""),"")</f>
        <v/>
      </c>
      <c r="K10" s="61" t="str">
        <f>IFERROR(IF(DB_Customers!E4&lt;&gt;"",DB_Customers!E4,""),"")</f>
        <v/>
      </c>
      <c r="L10" s="61" t="str">
        <f>IFERROR(IF(DB_Customers!F4&lt;&gt;"",DB_Customers!F4,""),"")</f>
        <v/>
      </c>
      <c r="M10" s="61" t="str">
        <f>IFERROR(IF(DB_Customers!T4&lt;&gt;"",DB_Customers!T4,""),"")</f>
        <v/>
      </c>
      <c r="N10" s="65" t="str">
        <f>IFERROR(IF(DB_Customers!A4&lt;&gt;"",IF(DB_Customers!I4&gt;=10,"Active","Inactive"),""),"")</f>
        <v/>
      </c>
    </row>
    <row r="11" spans="1:14" ht="18" customHeight="1" x14ac:dyDescent="0.25">
      <c r="A11" s="66" t="str">
        <f>IF(DB_Customers!A5&lt;&gt;"",2,"")</f>
        <v/>
      </c>
      <c r="B11" s="67" t="str">
        <f>IFERROR(IF(DB_Customers!A5&lt;&gt;"",DB_Customers!A5,""),"")</f>
        <v/>
      </c>
      <c r="C11" s="68" t="str">
        <f>IFERROR(IF(DB_Customers!D5&lt;&gt;"",DB_Customers!D5,""),"")</f>
        <v/>
      </c>
      <c r="D11" s="69" t="str">
        <f>IFERROR(IF(DB_Customers!Q5&lt;&gt;"",DB_Customers!Q5,""),"")</f>
        <v/>
      </c>
      <c r="E11" s="68" t="str">
        <f>IFERROR(IF(DB_Customers!R5&lt;&gt;"",DB_Customers!R5,""),"")</f>
        <v/>
      </c>
      <c r="F11" s="68" t="str">
        <f>IFERROR(IF(DB_Customers!S5&lt;&gt;"",DB_Customers!S5,""),"")</f>
        <v/>
      </c>
      <c r="G11" s="68" t="str">
        <f>IFERROR(IF(DB_Customers!G5&lt;&gt;"",DB_Customers!G5,""),"")</f>
        <v/>
      </c>
      <c r="H11" s="70" t="str">
        <f>IFERROR(IF(DB_Customers!H5&lt;&gt;"",DB_Customers!H5,""),"")</f>
        <v/>
      </c>
      <c r="I11" s="71" t="str">
        <f>IFERROR(IF(DB_Customers!I5&lt;&gt;"",DB_Customers!I5,""),"")</f>
        <v/>
      </c>
      <c r="J11" s="69" t="str">
        <f>IFERROR(IF(DB_Customers!J5&lt;&gt;"",DB_Customers!J5,""),"")</f>
        <v/>
      </c>
      <c r="K11" s="68" t="str">
        <f>IFERROR(IF(DB_Customers!E5&lt;&gt;"",DB_Customers!E5,""),"")</f>
        <v/>
      </c>
      <c r="L11" s="68" t="str">
        <f>IFERROR(IF(DB_Customers!F5&lt;&gt;"",DB_Customers!F5,""),"")</f>
        <v/>
      </c>
      <c r="M11" s="68" t="str">
        <f>IFERROR(IF(DB_Customers!T5&lt;&gt;"",DB_Customers!T5,""),"")</f>
        <v/>
      </c>
      <c r="N11" s="72" t="str">
        <f>IFERROR(IF(DB_Customers!A5&lt;&gt;"",IF(DB_Customers!I5&gt;=10,"Active","Inactive"),""),"")</f>
        <v/>
      </c>
    </row>
    <row r="12" spans="1:14" ht="18" customHeight="1" x14ac:dyDescent="0.25">
      <c r="A12" s="59" t="str">
        <f>IF(DB_Customers!A6&lt;&gt;"",3,"")</f>
        <v/>
      </c>
      <c r="B12" s="60" t="str">
        <f>IFERROR(IF(DB_Customers!A6&lt;&gt;"",DB_Customers!A6,""),"")</f>
        <v/>
      </c>
      <c r="C12" s="61" t="str">
        <f>IFERROR(IF(DB_Customers!D6&lt;&gt;"",DB_Customers!D6,""),"")</f>
        <v/>
      </c>
      <c r="D12" s="62" t="str">
        <f>IFERROR(IF(DB_Customers!Q6&lt;&gt;"",DB_Customers!Q6,""),"")</f>
        <v/>
      </c>
      <c r="E12" s="61" t="str">
        <f>IFERROR(IF(DB_Customers!R6&lt;&gt;"",DB_Customers!R6,""),"")</f>
        <v/>
      </c>
      <c r="F12" s="61" t="str">
        <f>IFERROR(IF(DB_Customers!S6&lt;&gt;"",DB_Customers!S6,""),"")</f>
        <v/>
      </c>
      <c r="G12" s="61" t="str">
        <f>IFERROR(IF(DB_Customers!G6&lt;&gt;"",DB_Customers!G6,""),"")</f>
        <v/>
      </c>
      <c r="H12" s="63" t="str">
        <f>IFERROR(IF(DB_Customers!H6&lt;&gt;"",DB_Customers!H6,""),"")</f>
        <v/>
      </c>
      <c r="I12" s="64" t="str">
        <f>IFERROR(IF(DB_Customers!I6&lt;&gt;"",DB_Customers!I6,""),"")</f>
        <v/>
      </c>
      <c r="J12" s="62" t="str">
        <f>IFERROR(IF(DB_Customers!J6&lt;&gt;"",DB_Customers!J6,""),"")</f>
        <v/>
      </c>
      <c r="K12" s="61" t="str">
        <f>IFERROR(IF(DB_Customers!E6&lt;&gt;"",DB_Customers!E6,""),"")</f>
        <v/>
      </c>
      <c r="L12" s="61" t="str">
        <f>IFERROR(IF(DB_Customers!F6&lt;&gt;"",DB_Customers!F6,""),"")</f>
        <v/>
      </c>
      <c r="M12" s="61" t="str">
        <f>IFERROR(IF(DB_Customers!T6&lt;&gt;"",DB_Customers!T6,""),"")</f>
        <v/>
      </c>
      <c r="N12" s="65" t="str">
        <f>IFERROR(IF(DB_Customers!A6&lt;&gt;"",IF(DB_Customers!I6&gt;=10,"Active","Inactive"),""),"")</f>
        <v/>
      </c>
    </row>
    <row r="13" spans="1:14" ht="18" customHeight="1" x14ac:dyDescent="0.25">
      <c r="A13" s="66" t="str">
        <f>IF(DB_Customers!A7&lt;&gt;"",4,"")</f>
        <v/>
      </c>
      <c r="B13" s="67" t="str">
        <f>IFERROR(IF(DB_Customers!A7&lt;&gt;"",DB_Customers!A7,""),"")</f>
        <v/>
      </c>
      <c r="C13" s="68" t="str">
        <f>IFERROR(IF(DB_Customers!D7&lt;&gt;"",DB_Customers!D7,""),"")</f>
        <v/>
      </c>
      <c r="D13" s="69" t="str">
        <f>IFERROR(IF(DB_Customers!Q7&lt;&gt;"",DB_Customers!Q7,""),"")</f>
        <v/>
      </c>
      <c r="E13" s="68" t="str">
        <f>IFERROR(IF(DB_Customers!R7&lt;&gt;"",DB_Customers!R7,""),"")</f>
        <v/>
      </c>
      <c r="F13" s="68" t="str">
        <f>IFERROR(IF(DB_Customers!S7&lt;&gt;"",DB_Customers!S7,""),"")</f>
        <v/>
      </c>
      <c r="G13" s="68" t="str">
        <f>IFERROR(IF(DB_Customers!G7&lt;&gt;"",DB_Customers!G7,""),"")</f>
        <v/>
      </c>
      <c r="H13" s="70" t="str">
        <f>IFERROR(IF(DB_Customers!H7&lt;&gt;"",DB_Customers!H7,""),"")</f>
        <v/>
      </c>
      <c r="I13" s="71" t="str">
        <f>IFERROR(IF(DB_Customers!I7&lt;&gt;"",DB_Customers!I7,""),"")</f>
        <v/>
      </c>
      <c r="J13" s="69" t="str">
        <f>IFERROR(IF(DB_Customers!J7&lt;&gt;"",DB_Customers!J7,""),"")</f>
        <v/>
      </c>
      <c r="K13" s="68" t="str">
        <f>IFERROR(IF(DB_Customers!E7&lt;&gt;"",DB_Customers!E7,""),"")</f>
        <v/>
      </c>
      <c r="L13" s="68" t="str">
        <f>IFERROR(IF(DB_Customers!F7&lt;&gt;"",DB_Customers!F7,""),"")</f>
        <v/>
      </c>
      <c r="M13" s="68" t="str">
        <f>IFERROR(IF(DB_Customers!T7&lt;&gt;"",DB_Customers!T7,""),"")</f>
        <v/>
      </c>
      <c r="N13" s="72" t="str">
        <f>IFERROR(IF(DB_Customers!A7&lt;&gt;"",IF(DB_Customers!I7&gt;=10,"Active","Inactive"),""),"")</f>
        <v/>
      </c>
    </row>
    <row r="14" spans="1:14" ht="18" customHeight="1" x14ac:dyDescent="0.25">
      <c r="A14" s="59" t="str">
        <f>IF(DB_Customers!A8&lt;&gt;"",5,"")</f>
        <v/>
      </c>
      <c r="B14" s="60" t="str">
        <f>IFERROR(IF(DB_Customers!A8&lt;&gt;"",DB_Customers!A8,""),"")</f>
        <v/>
      </c>
      <c r="C14" s="61" t="str">
        <f>IFERROR(IF(DB_Customers!D8&lt;&gt;"",DB_Customers!D8,""),"")</f>
        <v/>
      </c>
      <c r="D14" s="62" t="str">
        <f>IFERROR(IF(DB_Customers!Q8&lt;&gt;"",DB_Customers!Q8,""),"")</f>
        <v/>
      </c>
      <c r="E14" s="61" t="str">
        <f>IFERROR(IF(DB_Customers!R8&lt;&gt;"",DB_Customers!R8,""),"")</f>
        <v/>
      </c>
      <c r="F14" s="61" t="str">
        <f>IFERROR(IF(DB_Customers!S8&lt;&gt;"",DB_Customers!S8,""),"")</f>
        <v/>
      </c>
      <c r="G14" s="61" t="str">
        <f>IFERROR(IF(DB_Customers!G8&lt;&gt;"",DB_Customers!G8,""),"")</f>
        <v/>
      </c>
      <c r="H14" s="63" t="str">
        <f>IFERROR(IF(DB_Customers!H8&lt;&gt;"",DB_Customers!H8,""),"")</f>
        <v/>
      </c>
      <c r="I14" s="64" t="str">
        <f>IFERROR(IF(DB_Customers!I8&lt;&gt;"",DB_Customers!I8,""),"")</f>
        <v/>
      </c>
      <c r="J14" s="62" t="str">
        <f>IFERROR(IF(DB_Customers!J8&lt;&gt;"",DB_Customers!J8,""),"")</f>
        <v/>
      </c>
      <c r="K14" s="61" t="str">
        <f>IFERROR(IF(DB_Customers!E8&lt;&gt;"",DB_Customers!E8,""),"")</f>
        <v/>
      </c>
      <c r="L14" s="61" t="str">
        <f>IFERROR(IF(DB_Customers!F8&lt;&gt;"",DB_Customers!F8,""),"")</f>
        <v/>
      </c>
      <c r="M14" s="61" t="str">
        <f>IFERROR(IF(DB_Customers!T8&lt;&gt;"",DB_Customers!T8,""),"")</f>
        <v/>
      </c>
      <c r="N14" s="65" t="str">
        <f>IFERROR(IF(DB_Customers!A8&lt;&gt;"",IF(DB_Customers!I8&gt;=10,"Active","Inactive"),""),"")</f>
        <v/>
      </c>
    </row>
    <row r="15" spans="1:14" ht="18" customHeight="1" x14ac:dyDescent="0.25">
      <c r="A15" s="66" t="str">
        <f>IF(DB_Customers!A9&lt;&gt;"",6,"")</f>
        <v/>
      </c>
      <c r="B15" s="67" t="str">
        <f>IFERROR(IF(DB_Customers!A9&lt;&gt;"",DB_Customers!A9,""),"")</f>
        <v/>
      </c>
      <c r="C15" s="68" t="str">
        <f>IFERROR(IF(DB_Customers!D9&lt;&gt;"",DB_Customers!D9,""),"")</f>
        <v/>
      </c>
      <c r="D15" s="69" t="str">
        <f>IFERROR(IF(DB_Customers!Q9&lt;&gt;"",DB_Customers!Q9,""),"")</f>
        <v/>
      </c>
      <c r="E15" s="68" t="str">
        <f>IFERROR(IF(DB_Customers!R9&lt;&gt;"",DB_Customers!R9,""),"")</f>
        <v/>
      </c>
      <c r="F15" s="68" t="str">
        <f>IFERROR(IF(DB_Customers!S9&lt;&gt;"",DB_Customers!S9,""),"")</f>
        <v/>
      </c>
      <c r="G15" s="68" t="str">
        <f>IFERROR(IF(DB_Customers!G9&lt;&gt;"",DB_Customers!G9,""),"")</f>
        <v/>
      </c>
      <c r="H15" s="70" t="str">
        <f>IFERROR(IF(DB_Customers!H9&lt;&gt;"",DB_Customers!H9,""),"")</f>
        <v/>
      </c>
      <c r="I15" s="71" t="str">
        <f>IFERROR(IF(DB_Customers!I9&lt;&gt;"",DB_Customers!I9,""),"")</f>
        <v/>
      </c>
      <c r="J15" s="69" t="str">
        <f>IFERROR(IF(DB_Customers!J9&lt;&gt;"",DB_Customers!J9,""),"")</f>
        <v/>
      </c>
      <c r="K15" s="68" t="str">
        <f>IFERROR(IF(DB_Customers!E9&lt;&gt;"",DB_Customers!E9,""),"")</f>
        <v/>
      </c>
      <c r="L15" s="68" t="str">
        <f>IFERROR(IF(DB_Customers!F9&lt;&gt;"",DB_Customers!F9,""),"")</f>
        <v/>
      </c>
      <c r="M15" s="68" t="str">
        <f>IFERROR(IF(DB_Customers!T9&lt;&gt;"",DB_Customers!T9,""),"")</f>
        <v/>
      </c>
      <c r="N15" s="72" t="str">
        <f>IFERROR(IF(DB_Customers!A9&lt;&gt;"",IF(DB_Customers!I9&gt;=10,"Active","Inactive"),""),"")</f>
        <v/>
      </c>
    </row>
    <row r="16" spans="1:14" ht="18" customHeight="1" x14ac:dyDescent="0.25">
      <c r="A16" s="59" t="str">
        <f>IF(DB_Customers!A10&lt;&gt;"",7,"")</f>
        <v/>
      </c>
      <c r="B16" s="60" t="str">
        <f>IFERROR(IF(DB_Customers!A10&lt;&gt;"",DB_Customers!A10,""),"")</f>
        <v/>
      </c>
      <c r="C16" s="61" t="str">
        <f>IFERROR(IF(DB_Customers!D10&lt;&gt;"",DB_Customers!D10,""),"")</f>
        <v/>
      </c>
      <c r="D16" s="62" t="str">
        <f>IFERROR(IF(DB_Customers!Q10&lt;&gt;"",DB_Customers!Q10,""),"")</f>
        <v/>
      </c>
      <c r="E16" s="61" t="str">
        <f>IFERROR(IF(DB_Customers!R10&lt;&gt;"",DB_Customers!R10,""),"")</f>
        <v/>
      </c>
      <c r="F16" s="61" t="str">
        <f>IFERROR(IF(DB_Customers!S10&lt;&gt;"",DB_Customers!S10,""),"")</f>
        <v/>
      </c>
      <c r="G16" s="61" t="str">
        <f>IFERROR(IF(DB_Customers!G10&lt;&gt;"",DB_Customers!G10,""),"")</f>
        <v/>
      </c>
      <c r="H16" s="63" t="str">
        <f>IFERROR(IF(DB_Customers!H10&lt;&gt;"",DB_Customers!H10,""),"")</f>
        <v/>
      </c>
      <c r="I16" s="64" t="str">
        <f>IFERROR(IF(DB_Customers!I10&lt;&gt;"",DB_Customers!I10,""),"")</f>
        <v/>
      </c>
      <c r="J16" s="62" t="str">
        <f>IFERROR(IF(DB_Customers!J10&lt;&gt;"",DB_Customers!J10,""),"")</f>
        <v/>
      </c>
      <c r="K16" s="61" t="str">
        <f>IFERROR(IF(DB_Customers!E10&lt;&gt;"",DB_Customers!E10,""),"")</f>
        <v/>
      </c>
      <c r="L16" s="61" t="str">
        <f>IFERROR(IF(DB_Customers!F10&lt;&gt;"",DB_Customers!F10,""),"")</f>
        <v/>
      </c>
      <c r="M16" s="61" t="str">
        <f>IFERROR(IF(DB_Customers!T10&lt;&gt;"",DB_Customers!T10,""),"")</f>
        <v/>
      </c>
      <c r="N16" s="65" t="str">
        <f>IFERROR(IF(DB_Customers!A10&lt;&gt;"",IF(DB_Customers!I10&gt;=10,"Active","Inactive"),""),"")</f>
        <v/>
      </c>
    </row>
    <row r="17" spans="1:14" ht="18" customHeight="1" x14ac:dyDescent="0.25">
      <c r="A17" s="66" t="str">
        <f>IF(DB_Customers!A11&lt;&gt;"",8,"")</f>
        <v/>
      </c>
      <c r="B17" s="67" t="str">
        <f>IFERROR(IF(DB_Customers!A11&lt;&gt;"",DB_Customers!A11,""),"")</f>
        <v/>
      </c>
      <c r="C17" s="68" t="str">
        <f>IFERROR(IF(DB_Customers!D11&lt;&gt;"",DB_Customers!D11,""),"")</f>
        <v/>
      </c>
      <c r="D17" s="69" t="str">
        <f>IFERROR(IF(DB_Customers!Q11&lt;&gt;"",DB_Customers!Q11,""),"")</f>
        <v/>
      </c>
      <c r="E17" s="68" t="str">
        <f>IFERROR(IF(DB_Customers!R11&lt;&gt;"",DB_Customers!R11,""),"")</f>
        <v/>
      </c>
      <c r="F17" s="68" t="str">
        <f>IFERROR(IF(DB_Customers!S11&lt;&gt;"",DB_Customers!S11,""),"")</f>
        <v/>
      </c>
      <c r="G17" s="68" t="str">
        <f>IFERROR(IF(DB_Customers!G11&lt;&gt;"",DB_Customers!G11,""),"")</f>
        <v/>
      </c>
      <c r="H17" s="70" t="str">
        <f>IFERROR(IF(DB_Customers!H11&lt;&gt;"",DB_Customers!H11,""),"")</f>
        <v/>
      </c>
      <c r="I17" s="71" t="str">
        <f>IFERROR(IF(DB_Customers!I11&lt;&gt;"",DB_Customers!I11,""),"")</f>
        <v/>
      </c>
      <c r="J17" s="69" t="str">
        <f>IFERROR(IF(DB_Customers!J11&lt;&gt;"",DB_Customers!J11,""),"")</f>
        <v/>
      </c>
      <c r="K17" s="68" t="str">
        <f>IFERROR(IF(DB_Customers!E11&lt;&gt;"",DB_Customers!E11,""),"")</f>
        <v/>
      </c>
      <c r="L17" s="68" t="str">
        <f>IFERROR(IF(DB_Customers!F11&lt;&gt;"",DB_Customers!F11,""),"")</f>
        <v/>
      </c>
      <c r="M17" s="68" t="str">
        <f>IFERROR(IF(DB_Customers!T11&lt;&gt;"",DB_Customers!T11,""),"")</f>
        <v/>
      </c>
      <c r="N17" s="72" t="str">
        <f>IFERROR(IF(DB_Customers!A11&lt;&gt;"",IF(DB_Customers!I11&gt;=10,"Active","Inactive"),""),"")</f>
        <v/>
      </c>
    </row>
    <row r="18" spans="1:14" ht="18" customHeight="1" x14ac:dyDescent="0.25">
      <c r="A18" s="59" t="str">
        <f>IF(DB_Customers!A12&lt;&gt;"",9,"")</f>
        <v/>
      </c>
      <c r="B18" s="60" t="str">
        <f>IFERROR(IF(DB_Customers!A12&lt;&gt;"",DB_Customers!A12,""),"")</f>
        <v/>
      </c>
      <c r="C18" s="61" t="str">
        <f>IFERROR(IF(DB_Customers!D12&lt;&gt;"",DB_Customers!D12,""),"")</f>
        <v/>
      </c>
      <c r="D18" s="62" t="str">
        <f>IFERROR(IF(DB_Customers!Q12&lt;&gt;"",DB_Customers!Q12,""),"")</f>
        <v/>
      </c>
      <c r="E18" s="61" t="str">
        <f>IFERROR(IF(DB_Customers!R12&lt;&gt;"",DB_Customers!R12,""),"")</f>
        <v/>
      </c>
      <c r="F18" s="61" t="str">
        <f>IFERROR(IF(DB_Customers!S12&lt;&gt;"",DB_Customers!S12,""),"")</f>
        <v/>
      </c>
      <c r="G18" s="61" t="str">
        <f>IFERROR(IF(DB_Customers!G12&lt;&gt;"",DB_Customers!G12,""),"")</f>
        <v/>
      </c>
      <c r="H18" s="63" t="str">
        <f>IFERROR(IF(DB_Customers!H12&lt;&gt;"",DB_Customers!H12,""),"")</f>
        <v/>
      </c>
      <c r="I18" s="64" t="str">
        <f>IFERROR(IF(DB_Customers!I12&lt;&gt;"",DB_Customers!I12,""),"")</f>
        <v/>
      </c>
      <c r="J18" s="62" t="str">
        <f>IFERROR(IF(DB_Customers!J12&lt;&gt;"",DB_Customers!J12,""),"")</f>
        <v/>
      </c>
      <c r="K18" s="61" t="str">
        <f>IFERROR(IF(DB_Customers!E12&lt;&gt;"",DB_Customers!E12,""),"")</f>
        <v/>
      </c>
      <c r="L18" s="61" t="str">
        <f>IFERROR(IF(DB_Customers!F12&lt;&gt;"",DB_Customers!F12,""),"")</f>
        <v/>
      </c>
      <c r="M18" s="61" t="str">
        <f>IFERROR(IF(DB_Customers!T12&lt;&gt;"",DB_Customers!T12,""),"")</f>
        <v/>
      </c>
      <c r="N18" s="65" t="str">
        <f>IFERROR(IF(DB_Customers!A12&lt;&gt;"",IF(DB_Customers!I12&gt;=10,"Active","Inactive"),""),"")</f>
        <v/>
      </c>
    </row>
    <row r="19" spans="1:14" ht="18" customHeight="1" x14ac:dyDescent="0.25">
      <c r="A19" s="66" t="str">
        <f>IF(DB_Customers!A13&lt;&gt;"",10,"")</f>
        <v/>
      </c>
      <c r="B19" s="67" t="str">
        <f>IFERROR(IF(DB_Customers!A13&lt;&gt;"",DB_Customers!A13,""),"")</f>
        <v/>
      </c>
      <c r="C19" s="68" t="str">
        <f>IFERROR(IF(DB_Customers!D13&lt;&gt;"",DB_Customers!D13,""),"")</f>
        <v/>
      </c>
      <c r="D19" s="69" t="str">
        <f>IFERROR(IF(DB_Customers!Q13&lt;&gt;"",DB_Customers!Q13,""),"")</f>
        <v/>
      </c>
      <c r="E19" s="68" t="str">
        <f>IFERROR(IF(DB_Customers!R13&lt;&gt;"",DB_Customers!R13,""),"")</f>
        <v/>
      </c>
      <c r="F19" s="68" t="str">
        <f>IFERROR(IF(DB_Customers!S13&lt;&gt;"",DB_Customers!S13,""),"")</f>
        <v/>
      </c>
      <c r="G19" s="68" t="str">
        <f>IFERROR(IF(DB_Customers!G13&lt;&gt;"",DB_Customers!G13,""),"")</f>
        <v/>
      </c>
      <c r="H19" s="70" t="str">
        <f>IFERROR(IF(DB_Customers!H13&lt;&gt;"",DB_Customers!H13,""),"")</f>
        <v/>
      </c>
      <c r="I19" s="71" t="str">
        <f>IFERROR(IF(DB_Customers!I13&lt;&gt;"",DB_Customers!I13,""),"")</f>
        <v/>
      </c>
      <c r="J19" s="69" t="str">
        <f>IFERROR(IF(DB_Customers!J13&lt;&gt;"",DB_Customers!J13,""),"")</f>
        <v/>
      </c>
      <c r="K19" s="68" t="str">
        <f>IFERROR(IF(DB_Customers!E13&lt;&gt;"",DB_Customers!E13,""),"")</f>
        <v/>
      </c>
      <c r="L19" s="68" t="str">
        <f>IFERROR(IF(DB_Customers!F13&lt;&gt;"",DB_Customers!F13,""),"")</f>
        <v/>
      </c>
      <c r="M19" s="68" t="str">
        <f>IFERROR(IF(DB_Customers!T13&lt;&gt;"",DB_Customers!T13,""),"")</f>
        <v/>
      </c>
      <c r="N19" s="72" t="str">
        <f>IFERROR(IF(DB_Customers!A13&lt;&gt;"",IF(DB_Customers!I13&gt;=10,"Active","Inactive"),""),"")</f>
        <v/>
      </c>
    </row>
    <row r="20" spans="1:14" ht="18" customHeight="1" x14ac:dyDescent="0.25">
      <c r="A20" s="59" t="str">
        <f>IF(DB_Customers!A14&lt;&gt;"",11,"")</f>
        <v/>
      </c>
      <c r="B20" s="60" t="str">
        <f>IFERROR(IF(DB_Customers!A14&lt;&gt;"",DB_Customers!A14,""),"")</f>
        <v/>
      </c>
      <c r="C20" s="61" t="str">
        <f>IFERROR(IF(DB_Customers!D14&lt;&gt;"",DB_Customers!D14,""),"")</f>
        <v/>
      </c>
      <c r="D20" s="62" t="str">
        <f>IFERROR(IF(DB_Customers!Q14&lt;&gt;"",DB_Customers!Q14,""),"")</f>
        <v/>
      </c>
      <c r="E20" s="61" t="str">
        <f>IFERROR(IF(DB_Customers!R14&lt;&gt;"",DB_Customers!R14,""),"")</f>
        <v/>
      </c>
      <c r="F20" s="61" t="str">
        <f>IFERROR(IF(DB_Customers!S14&lt;&gt;"",DB_Customers!S14,""),"")</f>
        <v/>
      </c>
      <c r="G20" s="61" t="str">
        <f>IFERROR(IF(DB_Customers!G14&lt;&gt;"",DB_Customers!G14,""),"")</f>
        <v/>
      </c>
      <c r="H20" s="63" t="str">
        <f>IFERROR(IF(DB_Customers!H14&lt;&gt;"",DB_Customers!H14,""),"")</f>
        <v/>
      </c>
      <c r="I20" s="64" t="str">
        <f>IFERROR(IF(DB_Customers!I14&lt;&gt;"",DB_Customers!I14,""),"")</f>
        <v/>
      </c>
      <c r="J20" s="62" t="str">
        <f>IFERROR(IF(DB_Customers!J14&lt;&gt;"",DB_Customers!J14,""),"")</f>
        <v/>
      </c>
      <c r="K20" s="61" t="str">
        <f>IFERROR(IF(DB_Customers!E14&lt;&gt;"",DB_Customers!E14,""),"")</f>
        <v/>
      </c>
      <c r="L20" s="61" t="str">
        <f>IFERROR(IF(DB_Customers!F14&lt;&gt;"",DB_Customers!F14,""),"")</f>
        <v/>
      </c>
      <c r="M20" s="61" t="str">
        <f>IFERROR(IF(DB_Customers!T14&lt;&gt;"",DB_Customers!T14,""),"")</f>
        <v/>
      </c>
      <c r="N20" s="65" t="str">
        <f>IFERROR(IF(DB_Customers!A14&lt;&gt;"",IF(DB_Customers!I14&gt;=10,"Active","Inactive"),""),"")</f>
        <v/>
      </c>
    </row>
    <row r="21" spans="1:14" ht="18" customHeight="1" x14ac:dyDescent="0.25">
      <c r="A21" s="66" t="str">
        <f>IF(DB_Customers!A15&lt;&gt;"",12,"")</f>
        <v/>
      </c>
      <c r="B21" s="67" t="str">
        <f>IFERROR(IF(DB_Customers!A15&lt;&gt;"",DB_Customers!A15,""),"")</f>
        <v/>
      </c>
      <c r="C21" s="68" t="str">
        <f>IFERROR(IF(DB_Customers!D15&lt;&gt;"",DB_Customers!D15,""),"")</f>
        <v/>
      </c>
      <c r="D21" s="69" t="str">
        <f>IFERROR(IF(DB_Customers!Q15&lt;&gt;"",DB_Customers!Q15,""),"")</f>
        <v/>
      </c>
      <c r="E21" s="68" t="str">
        <f>IFERROR(IF(DB_Customers!R15&lt;&gt;"",DB_Customers!R15,""),"")</f>
        <v/>
      </c>
      <c r="F21" s="68" t="str">
        <f>IFERROR(IF(DB_Customers!S15&lt;&gt;"",DB_Customers!S15,""),"")</f>
        <v/>
      </c>
      <c r="G21" s="68" t="str">
        <f>IFERROR(IF(DB_Customers!G15&lt;&gt;"",DB_Customers!G15,""),"")</f>
        <v/>
      </c>
      <c r="H21" s="70" t="str">
        <f>IFERROR(IF(DB_Customers!H15&lt;&gt;"",DB_Customers!H15,""),"")</f>
        <v/>
      </c>
      <c r="I21" s="71" t="str">
        <f>IFERROR(IF(DB_Customers!I15&lt;&gt;"",DB_Customers!I15,""),"")</f>
        <v/>
      </c>
      <c r="J21" s="69" t="str">
        <f>IFERROR(IF(DB_Customers!J15&lt;&gt;"",DB_Customers!J15,""),"")</f>
        <v/>
      </c>
      <c r="K21" s="68" t="str">
        <f>IFERROR(IF(DB_Customers!E15&lt;&gt;"",DB_Customers!E15,""),"")</f>
        <v/>
      </c>
      <c r="L21" s="68" t="str">
        <f>IFERROR(IF(DB_Customers!F15&lt;&gt;"",DB_Customers!F15,""),"")</f>
        <v/>
      </c>
      <c r="M21" s="68" t="str">
        <f>IFERROR(IF(DB_Customers!T15&lt;&gt;"",DB_Customers!T15,""),"")</f>
        <v/>
      </c>
      <c r="N21" s="72" t="str">
        <f>IFERROR(IF(DB_Customers!A15&lt;&gt;"",IF(DB_Customers!I15&gt;=10,"Active","Inactive"),""),"")</f>
        <v/>
      </c>
    </row>
    <row r="22" spans="1:14" ht="18" customHeight="1" x14ac:dyDescent="0.25">
      <c r="A22" s="59" t="str">
        <f>IF(DB_Customers!A16&lt;&gt;"",13,"")</f>
        <v/>
      </c>
      <c r="B22" s="60" t="str">
        <f>IFERROR(IF(DB_Customers!A16&lt;&gt;"",DB_Customers!A16,""),"")</f>
        <v/>
      </c>
      <c r="C22" s="61" t="str">
        <f>IFERROR(IF(DB_Customers!D16&lt;&gt;"",DB_Customers!D16,""),"")</f>
        <v/>
      </c>
      <c r="D22" s="62" t="str">
        <f>IFERROR(IF(DB_Customers!Q16&lt;&gt;"",DB_Customers!Q16,""),"")</f>
        <v/>
      </c>
      <c r="E22" s="61" t="str">
        <f>IFERROR(IF(DB_Customers!R16&lt;&gt;"",DB_Customers!R16,""),"")</f>
        <v/>
      </c>
      <c r="F22" s="61" t="str">
        <f>IFERROR(IF(DB_Customers!S16&lt;&gt;"",DB_Customers!S16,""),"")</f>
        <v/>
      </c>
      <c r="G22" s="61" t="str">
        <f>IFERROR(IF(DB_Customers!G16&lt;&gt;"",DB_Customers!G16,""),"")</f>
        <v/>
      </c>
      <c r="H22" s="63" t="str">
        <f>IFERROR(IF(DB_Customers!H16&lt;&gt;"",DB_Customers!H16,""),"")</f>
        <v/>
      </c>
      <c r="I22" s="64" t="str">
        <f>IFERROR(IF(DB_Customers!I16&lt;&gt;"",DB_Customers!I16,""),"")</f>
        <v/>
      </c>
      <c r="J22" s="62" t="str">
        <f>IFERROR(IF(DB_Customers!J16&lt;&gt;"",DB_Customers!J16,""),"")</f>
        <v/>
      </c>
      <c r="K22" s="61" t="str">
        <f>IFERROR(IF(DB_Customers!E16&lt;&gt;"",DB_Customers!E16,""),"")</f>
        <v/>
      </c>
      <c r="L22" s="61" t="str">
        <f>IFERROR(IF(DB_Customers!F16&lt;&gt;"",DB_Customers!F16,""),"")</f>
        <v/>
      </c>
      <c r="M22" s="61" t="str">
        <f>IFERROR(IF(DB_Customers!T16&lt;&gt;"",DB_Customers!T16,""),"")</f>
        <v/>
      </c>
      <c r="N22" s="65" t="str">
        <f>IFERROR(IF(DB_Customers!A16&lt;&gt;"",IF(DB_Customers!I16&gt;=10,"Active","Inactive"),""),"")</f>
        <v/>
      </c>
    </row>
    <row r="23" spans="1:14" ht="18" customHeight="1" x14ac:dyDescent="0.25">
      <c r="A23" s="66" t="str">
        <f>IF(DB_Customers!A17&lt;&gt;"",14,"")</f>
        <v/>
      </c>
      <c r="B23" s="67" t="str">
        <f>IFERROR(IF(DB_Customers!A17&lt;&gt;"",DB_Customers!A17,""),"")</f>
        <v/>
      </c>
      <c r="C23" s="68" t="str">
        <f>IFERROR(IF(DB_Customers!D17&lt;&gt;"",DB_Customers!D17,""),"")</f>
        <v/>
      </c>
      <c r="D23" s="69" t="str">
        <f>IFERROR(IF(DB_Customers!Q17&lt;&gt;"",DB_Customers!Q17,""),"")</f>
        <v/>
      </c>
      <c r="E23" s="68" t="str">
        <f>IFERROR(IF(DB_Customers!R17&lt;&gt;"",DB_Customers!R17,""),"")</f>
        <v/>
      </c>
      <c r="F23" s="68" t="str">
        <f>IFERROR(IF(DB_Customers!S17&lt;&gt;"",DB_Customers!S17,""),"")</f>
        <v/>
      </c>
      <c r="G23" s="68" t="str">
        <f>IFERROR(IF(DB_Customers!G17&lt;&gt;"",DB_Customers!G17,""),"")</f>
        <v/>
      </c>
      <c r="H23" s="70" t="str">
        <f>IFERROR(IF(DB_Customers!H17&lt;&gt;"",DB_Customers!H17,""),"")</f>
        <v/>
      </c>
      <c r="I23" s="71" t="str">
        <f>IFERROR(IF(DB_Customers!I17&lt;&gt;"",DB_Customers!I17,""),"")</f>
        <v/>
      </c>
      <c r="J23" s="69" t="str">
        <f>IFERROR(IF(DB_Customers!J17&lt;&gt;"",DB_Customers!J17,""),"")</f>
        <v/>
      </c>
      <c r="K23" s="68" t="str">
        <f>IFERROR(IF(DB_Customers!E17&lt;&gt;"",DB_Customers!E17,""),"")</f>
        <v/>
      </c>
      <c r="L23" s="68" t="str">
        <f>IFERROR(IF(DB_Customers!F17&lt;&gt;"",DB_Customers!F17,""),"")</f>
        <v/>
      </c>
      <c r="M23" s="68" t="str">
        <f>IFERROR(IF(DB_Customers!T17&lt;&gt;"",DB_Customers!T17,""),"")</f>
        <v/>
      </c>
      <c r="N23" s="72" t="str">
        <f>IFERROR(IF(DB_Customers!A17&lt;&gt;"",IF(DB_Customers!I17&gt;=10,"Active","Inactive"),""),"")</f>
        <v/>
      </c>
    </row>
    <row r="24" spans="1:14" ht="18" customHeight="1" x14ac:dyDescent="0.25">
      <c r="A24" s="59" t="str">
        <f>IF(DB_Customers!A18&lt;&gt;"",15,"")</f>
        <v/>
      </c>
      <c r="B24" s="60" t="str">
        <f>IFERROR(IF(DB_Customers!A18&lt;&gt;"",DB_Customers!A18,""),"")</f>
        <v/>
      </c>
      <c r="C24" s="61" t="str">
        <f>IFERROR(IF(DB_Customers!D18&lt;&gt;"",DB_Customers!D18,""),"")</f>
        <v/>
      </c>
      <c r="D24" s="62" t="str">
        <f>IFERROR(IF(DB_Customers!Q18&lt;&gt;"",DB_Customers!Q18,""),"")</f>
        <v/>
      </c>
      <c r="E24" s="61" t="str">
        <f>IFERROR(IF(DB_Customers!R18&lt;&gt;"",DB_Customers!R18,""),"")</f>
        <v/>
      </c>
      <c r="F24" s="61" t="str">
        <f>IFERROR(IF(DB_Customers!S18&lt;&gt;"",DB_Customers!S18,""),"")</f>
        <v/>
      </c>
      <c r="G24" s="61" t="str">
        <f>IFERROR(IF(DB_Customers!G18&lt;&gt;"",DB_Customers!G18,""),"")</f>
        <v/>
      </c>
      <c r="H24" s="63" t="str">
        <f>IFERROR(IF(DB_Customers!H18&lt;&gt;"",DB_Customers!H18,""),"")</f>
        <v/>
      </c>
      <c r="I24" s="64" t="str">
        <f>IFERROR(IF(DB_Customers!I18&lt;&gt;"",DB_Customers!I18,""),"")</f>
        <v/>
      </c>
      <c r="J24" s="62" t="str">
        <f>IFERROR(IF(DB_Customers!J18&lt;&gt;"",DB_Customers!J18,""),"")</f>
        <v/>
      </c>
      <c r="K24" s="61" t="str">
        <f>IFERROR(IF(DB_Customers!E18&lt;&gt;"",DB_Customers!E18,""),"")</f>
        <v/>
      </c>
      <c r="L24" s="61" t="str">
        <f>IFERROR(IF(DB_Customers!F18&lt;&gt;"",DB_Customers!F18,""),"")</f>
        <v/>
      </c>
      <c r="M24" s="61" t="str">
        <f>IFERROR(IF(DB_Customers!T18&lt;&gt;"",DB_Customers!T18,""),"")</f>
        <v/>
      </c>
      <c r="N24" s="65" t="str">
        <f>IFERROR(IF(DB_Customers!A18&lt;&gt;"",IF(DB_Customers!I18&gt;=10,"Active","Inactive"),""),"")</f>
        <v/>
      </c>
    </row>
    <row r="25" spans="1:14" ht="18" customHeight="1" x14ac:dyDescent="0.25">
      <c r="A25" s="66" t="str">
        <f>IF(DB_Customers!A19&lt;&gt;"",16,"")</f>
        <v/>
      </c>
      <c r="B25" s="67" t="str">
        <f>IFERROR(IF(DB_Customers!A19&lt;&gt;"",DB_Customers!A19,""),"")</f>
        <v/>
      </c>
      <c r="C25" s="68" t="str">
        <f>IFERROR(IF(DB_Customers!D19&lt;&gt;"",DB_Customers!D19,""),"")</f>
        <v/>
      </c>
      <c r="D25" s="69" t="str">
        <f>IFERROR(IF(DB_Customers!Q19&lt;&gt;"",DB_Customers!Q19,""),"")</f>
        <v/>
      </c>
      <c r="E25" s="68" t="str">
        <f>IFERROR(IF(DB_Customers!R19&lt;&gt;"",DB_Customers!R19,""),"")</f>
        <v/>
      </c>
      <c r="F25" s="68" t="str">
        <f>IFERROR(IF(DB_Customers!S19&lt;&gt;"",DB_Customers!S19,""),"")</f>
        <v/>
      </c>
      <c r="G25" s="68" t="str">
        <f>IFERROR(IF(DB_Customers!G19&lt;&gt;"",DB_Customers!G19,""),"")</f>
        <v/>
      </c>
      <c r="H25" s="70" t="str">
        <f>IFERROR(IF(DB_Customers!H19&lt;&gt;"",DB_Customers!H19,""),"")</f>
        <v/>
      </c>
      <c r="I25" s="71" t="str">
        <f>IFERROR(IF(DB_Customers!I19&lt;&gt;"",DB_Customers!I19,""),"")</f>
        <v/>
      </c>
      <c r="J25" s="69" t="str">
        <f>IFERROR(IF(DB_Customers!J19&lt;&gt;"",DB_Customers!J19,""),"")</f>
        <v/>
      </c>
      <c r="K25" s="68" t="str">
        <f>IFERROR(IF(DB_Customers!E19&lt;&gt;"",DB_Customers!E19,""),"")</f>
        <v/>
      </c>
      <c r="L25" s="68" t="str">
        <f>IFERROR(IF(DB_Customers!F19&lt;&gt;"",DB_Customers!F19,""),"")</f>
        <v/>
      </c>
      <c r="M25" s="68" t="str">
        <f>IFERROR(IF(DB_Customers!T19&lt;&gt;"",DB_Customers!T19,""),"")</f>
        <v/>
      </c>
      <c r="N25" s="72" t="str">
        <f>IFERROR(IF(DB_Customers!A19&lt;&gt;"",IF(DB_Customers!I19&gt;=10,"Active","Inactive"),""),"")</f>
        <v/>
      </c>
    </row>
    <row r="26" spans="1:14" ht="18" customHeight="1" x14ac:dyDescent="0.25">
      <c r="A26" s="59" t="str">
        <f>IF(DB_Customers!A20&lt;&gt;"",17,"")</f>
        <v/>
      </c>
      <c r="B26" s="60" t="str">
        <f>IFERROR(IF(DB_Customers!A20&lt;&gt;"",DB_Customers!A20,""),"")</f>
        <v/>
      </c>
      <c r="C26" s="61" t="str">
        <f>IFERROR(IF(DB_Customers!D20&lt;&gt;"",DB_Customers!D20,""),"")</f>
        <v/>
      </c>
      <c r="D26" s="62" t="str">
        <f>IFERROR(IF(DB_Customers!Q20&lt;&gt;"",DB_Customers!Q20,""),"")</f>
        <v/>
      </c>
      <c r="E26" s="61" t="str">
        <f>IFERROR(IF(DB_Customers!R20&lt;&gt;"",DB_Customers!R20,""),"")</f>
        <v/>
      </c>
      <c r="F26" s="61" t="str">
        <f>IFERROR(IF(DB_Customers!S20&lt;&gt;"",DB_Customers!S20,""),"")</f>
        <v/>
      </c>
      <c r="G26" s="61" t="str">
        <f>IFERROR(IF(DB_Customers!G20&lt;&gt;"",DB_Customers!G20,""),"")</f>
        <v/>
      </c>
      <c r="H26" s="63" t="str">
        <f>IFERROR(IF(DB_Customers!H20&lt;&gt;"",DB_Customers!H20,""),"")</f>
        <v/>
      </c>
      <c r="I26" s="64" t="str">
        <f>IFERROR(IF(DB_Customers!I20&lt;&gt;"",DB_Customers!I20,""),"")</f>
        <v/>
      </c>
      <c r="J26" s="62" t="str">
        <f>IFERROR(IF(DB_Customers!J20&lt;&gt;"",DB_Customers!J20,""),"")</f>
        <v/>
      </c>
      <c r="K26" s="61" t="str">
        <f>IFERROR(IF(DB_Customers!E20&lt;&gt;"",DB_Customers!E20,""),"")</f>
        <v/>
      </c>
      <c r="L26" s="61" t="str">
        <f>IFERROR(IF(DB_Customers!F20&lt;&gt;"",DB_Customers!F20,""),"")</f>
        <v/>
      </c>
      <c r="M26" s="61" t="str">
        <f>IFERROR(IF(DB_Customers!T20&lt;&gt;"",DB_Customers!T20,""),"")</f>
        <v/>
      </c>
      <c r="N26" s="65" t="str">
        <f>IFERROR(IF(DB_Customers!A20&lt;&gt;"",IF(DB_Customers!I20&gt;=10,"Active","Inactive"),""),"")</f>
        <v/>
      </c>
    </row>
    <row r="27" spans="1:14" ht="18" customHeight="1" x14ac:dyDescent="0.25">
      <c r="A27" s="66" t="str">
        <f>IF(DB_Customers!A21&lt;&gt;"",18,"")</f>
        <v/>
      </c>
      <c r="B27" s="67" t="str">
        <f>IFERROR(IF(DB_Customers!A21&lt;&gt;"",DB_Customers!A21,""),"")</f>
        <v/>
      </c>
      <c r="C27" s="68" t="str">
        <f>IFERROR(IF(DB_Customers!D21&lt;&gt;"",DB_Customers!D21,""),"")</f>
        <v/>
      </c>
      <c r="D27" s="69" t="str">
        <f>IFERROR(IF(DB_Customers!Q21&lt;&gt;"",DB_Customers!Q21,""),"")</f>
        <v/>
      </c>
      <c r="E27" s="68" t="str">
        <f>IFERROR(IF(DB_Customers!R21&lt;&gt;"",DB_Customers!R21,""),"")</f>
        <v/>
      </c>
      <c r="F27" s="68" t="str">
        <f>IFERROR(IF(DB_Customers!S21&lt;&gt;"",DB_Customers!S21,""),"")</f>
        <v/>
      </c>
      <c r="G27" s="68" t="str">
        <f>IFERROR(IF(DB_Customers!G21&lt;&gt;"",DB_Customers!G21,""),"")</f>
        <v/>
      </c>
      <c r="H27" s="70" t="str">
        <f>IFERROR(IF(DB_Customers!H21&lt;&gt;"",DB_Customers!H21,""),"")</f>
        <v/>
      </c>
      <c r="I27" s="71" t="str">
        <f>IFERROR(IF(DB_Customers!I21&lt;&gt;"",DB_Customers!I21,""),"")</f>
        <v/>
      </c>
      <c r="J27" s="69" t="str">
        <f>IFERROR(IF(DB_Customers!J21&lt;&gt;"",DB_Customers!J21,""),"")</f>
        <v/>
      </c>
      <c r="K27" s="68" t="str">
        <f>IFERROR(IF(DB_Customers!E21&lt;&gt;"",DB_Customers!E21,""),"")</f>
        <v/>
      </c>
      <c r="L27" s="68" t="str">
        <f>IFERROR(IF(DB_Customers!F21&lt;&gt;"",DB_Customers!F21,""),"")</f>
        <v/>
      </c>
      <c r="M27" s="68" t="str">
        <f>IFERROR(IF(DB_Customers!T21&lt;&gt;"",DB_Customers!T21,""),"")</f>
        <v/>
      </c>
      <c r="N27" s="72" t="str">
        <f>IFERROR(IF(DB_Customers!A21&lt;&gt;"",IF(DB_Customers!I21&gt;=10,"Active","Inactive"),""),"")</f>
        <v/>
      </c>
    </row>
    <row r="28" spans="1:14" ht="18" customHeight="1" x14ac:dyDescent="0.25">
      <c r="A28" s="59" t="str">
        <f>IF(DB_Customers!A22&lt;&gt;"",19,"")</f>
        <v/>
      </c>
      <c r="B28" s="60" t="str">
        <f>IFERROR(IF(DB_Customers!A22&lt;&gt;"",DB_Customers!A22,""),"")</f>
        <v/>
      </c>
      <c r="C28" s="61" t="str">
        <f>IFERROR(IF(DB_Customers!D22&lt;&gt;"",DB_Customers!D22,""),"")</f>
        <v/>
      </c>
      <c r="D28" s="62" t="str">
        <f>IFERROR(IF(DB_Customers!Q22&lt;&gt;"",DB_Customers!Q22,""),"")</f>
        <v/>
      </c>
      <c r="E28" s="61" t="str">
        <f>IFERROR(IF(DB_Customers!R22&lt;&gt;"",DB_Customers!R22,""),"")</f>
        <v/>
      </c>
      <c r="F28" s="61" t="str">
        <f>IFERROR(IF(DB_Customers!S22&lt;&gt;"",DB_Customers!S22,""),"")</f>
        <v/>
      </c>
      <c r="G28" s="61" t="str">
        <f>IFERROR(IF(DB_Customers!G22&lt;&gt;"",DB_Customers!G22,""),"")</f>
        <v/>
      </c>
      <c r="H28" s="63" t="str">
        <f>IFERROR(IF(DB_Customers!H22&lt;&gt;"",DB_Customers!H22,""),"")</f>
        <v/>
      </c>
      <c r="I28" s="64" t="str">
        <f>IFERROR(IF(DB_Customers!I22&lt;&gt;"",DB_Customers!I22,""),"")</f>
        <v/>
      </c>
      <c r="J28" s="62" t="str">
        <f>IFERROR(IF(DB_Customers!J22&lt;&gt;"",DB_Customers!J22,""),"")</f>
        <v/>
      </c>
      <c r="K28" s="61" t="str">
        <f>IFERROR(IF(DB_Customers!E22&lt;&gt;"",DB_Customers!E22,""),"")</f>
        <v/>
      </c>
      <c r="L28" s="61" t="str">
        <f>IFERROR(IF(DB_Customers!F22&lt;&gt;"",DB_Customers!F22,""),"")</f>
        <v/>
      </c>
      <c r="M28" s="61" t="str">
        <f>IFERROR(IF(DB_Customers!T22&lt;&gt;"",DB_Customers!T22,""),"")</f>
        <v/>
      </c>
      <c r="N28" s="65" t="str">
        <f>IFERROR(IF(DB_Customers!A22&lt;&gt;"",IF(DB_Customers!I22&gt;=10,"Active","Inactive"),""),"")</f>
        <v/>
      </c>
    </row>
    <row r="29" spans="1:14" ht="18" customHeight="1" x14ac:dyDescent="0.25">
      <c r="A29" s="66" t="str">
        <f>IF(DB_Customers!A23&lt;&gt;"",20,"")</f>
        <v/>
      </c>
      <c r="B29" s="67" t="str">
        <f>IFERROR(IF(DB_Customers!A23&lt;&gt;"",DB_Customers!A23,""),"")</f>
        <v/>
      </c>
      <c r="C29" s="68" t="str">
        <f>IFERROR(IF(DB_Customers!D23&lt;&gt;"",DB_Customers!D23,""),"")</f>
        <v/>
      </c>
      <c r="D29" s="69" t="str">
        <f>IFERROR(IF(DB_Customers!Q23&lt;&gt;"",DB_Customers!Q23,""),"")</f>
        <v/>
      </c>
      <c r="E29" s="68" t="str">
        <f>IFERROR(IF(DB_Customers!R23&lt;&gt;"",DB_Customers!R23,""),"")</f>
        <v/>
      </c>
      <c r="F29" s="68" t="str">
        <f>IFERROR(IF(DB_Customers!S23&lt;&gt;"",DB_Customers!S23,""),"")</f>
        <v/>
      </c>
      <c r="G29" s="68" t="str">
        <f>IFERROR(IF(DB_Customers!G23&lt;&gt;"",DB_Customers!G23,""),"")</f>
        <v/>
      </c>
      <c r="H29" s="70" t="str">
        <f>IFERROR(IF(DB_Customers!H23&lt;&gt;"",DB_Customers!H23,""),"")</f>
        <v/>
      </c>
      <c r="I29" s="71" t="str">
        <f>IFERROR(IF(DB_Customers!I23&lt;&gt;"",DB_Customers!I23,""),"")</f>
        <v/>
      </c>
      <c r="J29" s="69" t="str">
        <f>IFERROR(IF(DB_Customers!J23&lt;&gt;"",DB_Customers!J23,""),"")</f>
        <v/>
      </c>
      <c r="K29" s="68" t="str">
        <f>IFERROR(IF(DB_Customers!E23&lt;&gt;"",DB_Customers!E23,""),"")</f>
        <v/>
      </c>
      <c r="L29" s="68" t="str">
        <f>IFERROR(IF(DB_Customers!F23&lt;&gt;"",DB_Customers!F23,""),"")</f>
        <v/>
      </c>
      <c r="M29" s="68" t="str">
        <f>IFERROR(IF(DB_Customers!T23&lt;&gt;"",DB_Customers!T23,""),"")</f>
        <v/>
      </c>
      <c r="N29" s="72" t="str">
        <f>IFERROR(IF(DB_Customers!A23&lt;&gt;"",IF(DB_Customers!I23&gt;=10,"Active","Inactive"),""),"")</f>
        <v/>
      </c>
    </row>
    <row r="30" spans="1:14" ht="18" customHeight="1" x14ac:dyDescent="0.25">
      <c r="A30" s="59" t="str">
        <f>IF(DB_Customers!A24&lt;&gt;"",21,"")</f>
        <v/>
      </c>
      <c r="B30" s="60" t="str">
        <f>IFERROR(IF(DB_Customers!A24&lt;&gt;"",DB_Customers!A24,""),"")</f>
        <v/>
      </c>
      <c r="C30" s="61" t="str">
        <f>IFERROR(IF(DB_Customers!D24&lt;&gt;"",DB_Customers!D24,""),"")</f>
        <v/>
      </c>
      <c r="D30" s="62" t="str">
        <f>IFERROR(IF(DB_Customers!Q24&lt;&gt;"",DB_Customers!Q24,""),"")</f>
        <v/>
      </c>
      <c r="E30" s="61" t="str">
        <f>IFERROR(IF(DB_Customers!R24&lt;&gt;"",DB_Customers!R24,""),"")</f>
        <v/>
      </c>
      <c r="F30" s="61" t="str">
        <f>IFERROR(IF(DB_Customers!S24&lt;&gt;"",DB_Customers!S24,""),"")</f>
        <v/>
      </c>
      <c r="G30" s="61" t="str">
        <f>IFERROR(IF(DB_Customers!G24&lt;&gt;"",DB_Customers!G24,""),"")</f>
        <v/>
      </c>
      <c r="H30" s="63" t="str">
        <f>IFERROR(IF(DB_Customers!H24&lt;&gt;"",DB_Customers!H24,""),"")</f>
        <v/>
      </c>
      <c r="I30" s="64" t="str">
        <f>IFERROR(IF(DB_Customers!I24&lt;&gt;"",DB_Customers!I24,""),"")</f>
        <v/>
      </c>
      <c r="J30" s="62" t="str">
        <f>IFERROR(IF(DB_Customers!J24&lt;&gt;"",DB_Customers!J24,""),"")</f>
        <v/>
      </c>
      <c r="K30" s="61" t="str">
        <f>IFERROR(IF(DB_Customers!E24&lt;&gt;"",DB_Customers!E24,""),"")</f>
        <v/>
      </c>
      <c r="L30" s="61" t="str">
        <f>IFERROR(IF(DB_Customers!F24&lt;&gt;"",DB_Customers!F24,""),"")</f>
        <v/>
      </c>
      <c r="M30" s="61" t="str">
        <f>IFERROR(IF(DB_Customers!T24&lt;&gt;"",DB_Customers!T24,""),"")</f>
        <v/>
      </c>
      <c r="N30" s="65" t="str">
        <f>IFERROR(IF(DB_Customers!A24&lt;&gt;"",IF(DB_Customers!I24&gt;=10,"Active","Inactive"),""),"")</f>
        <v/>
      </c>
    </row>
    <row r="31" spans="1:14" ht="18" customHeight="1" x14ac:dyDescent="0.25">
      <c r="A31" s="66" t="str">
        <f>IF(DB_Customers!A25&lt;&gt;"",22,"")</f>
        <v/>
      </c>
      <c r="B31" s="67" t="str">
        <f>IFERROR(IF(DB_Customers!A25&lt;&gt;"",DB_Customers!A25,""),"")</f>
        <v/>
      </c>
      <c r="C31" s="68" t="str">
        <f>IFERROR(IF(DB_Customers!D25&lt;&gt;"",DB_Customers!D25,""),"")</f>
        <v/>
      </c>
      <c r="D31" s="69" t="str">
        <f>IFERROR(IF(DB_Customers!Q25&lt;&gt;"",DB_Customers!Q25,""),"")</f>
        <v/>
      </c>
      <c r="E31" s="68" t="str">
        <f>IFERROR(IF(DB_Customers!R25&lt;&gt;"",DB_Customers!R25,""),"")</f>
        <v/>
      </c>
      <c r="F31" s="68" t="str">
        <f>IFERROR(IF(DB_Customers!S25&lt;&gt;"",DB_Customers!S25,""),"")</f>
        <v/>
      </c>
      <c r="G31" s="68" t="str">
        <f>IFERROR(IF(DB_Customers!G25&lt;&gt;"",DB_Customers!G25,""),"")</f>
        <v/>
      </c>
      <c r="H31" s="70" t="str">
        <f>IFERROR(IF(DB_Customers!H25&lt;&gt;"",DB_Customers!H25,""),"")</f>
        <v/>
      </c>
      <c r="I31" s="71" t="str">
        <f>IFERROR(IF(DB_Customers!I25&lt;&gt;"",DB_Customers!I25,""),"")</f>
        <v/>
      </c>
      <c r="J31" s="69" t="str">
        <f>IFERROR(IF(DB_Customers!J25&lt;&gt;"",DB_Customers!J25,""),"")</f>
        <v/>
      </c>
      <c r="K31" s="68" t="str">
        <f>IFERROR(IF(DB_Customers!E25&lt;&gt;"",DB_Customers!E25,""),"")</f>
        <v/>
      </c>
      <c r="L31" s="68" t="str">
        <f>IFERROR(IF(DB_Customers!F25&lt;&gt;"",DB_Customers!F25,""),"")</f>
        <v/>
      </c>
      <c r="M31" s="68" t="str">
        <f>IFERROR(IF(DB_Customers!T25&lt;&gt;"",DB_Customers!T25,""),"")</f>
        <v/>
      </c>
      <c r="N31" s="72" t="str">
        <f>IFERROR(IF(DB_Customers!A25&lt;&gt;"",IF(DB_Customers!I25&gt;=10,"Active","Inactive"),""),"")</f>
        <v/>
      </c>
    </row>
    <row r="32" spans="1:14" ht="18" customHeight="1" x14ac:dyDescent="0.25">
      <c r="A32" s="59" t="str">
        <f>IF(DB_Customers!A26&lt;&gt;"",23,"")</f>
        <v/>
      </c>
      <c r="B32" s="60" t="str">
        <f>IFERROR(IF(DB_Customers!A26&lt;&gt;"",DB_Customers!A26,""),"")</f>
        <v/>
      </c>
      <c r="C32" s="61" t="str">
        <f>IFERROR(IF(DB_Customers!D26&lt;&gt;"",DB_Customers!D26,""),"")</f>
        <v/>
      </c>
      <c r="D32" s="62" t="str">
        <f>IFERROR(IF(DB_Customers!Q26&lt;&gt;"",DB_Customers!Q26,""),"")</f>
        <v/>
      </c>
      <c r="E32" s="61" t="str">
        <f>IFERROR(IF(DB_Customers!R26&lt;&gt;"",DB_Customers!R26,""),"")</f>
        <v/>
      </c>
      <c r="F32" s="61" t="str">
        <f>IFERROR(IF(DB_Customers!S26&lt;&gt;"",DB_Customers!S26,""),"")</f>
        <v/>
      </c>
      <c r="G32" s="61" t="str">
        <f>IFERROR(IF(DB_Customers!G26&lt;&gt;"",DB_Customers!G26,""),"")</f>
        <v/>
      </c>
      <c r="H32" s="63" t="str">
        <f>IFERROR(IF(DB_Customers!H26&lt;&gt;"",DB_Customers!H26,""),"")</f>
        <v/>
      </c>
      <c r="I32" s="64" t="str">
        <f>IFERROR(IF(DB_Customers!I26&lt;&gt;"",DB_Customers!I26,""),"")</f>
        <v/>
      </c>
      <c r="J32" s="62" t="str">
        <f>IFERROR(IF(DB_Customers!J26&lt;&gt;"",DB_Customers!J26,""),"")</f>
        <v/>
      </c>
      <c r="K32" s="61" t="str">
        <f>IFERROR(IF(DB_Customers!E26&lt;&gt;"",DB_Customers!E26,""),"")</f>
        <v/>
      </c>
      <c r="L32" s="61" t="str">
        <f>IFERROR(IF(DB_Customers!F26&lt;&gt;"",DB_Customers!F26,""),"")</f>
        <v/>
      </c>
      <c r="M32" s="61" t="str">
        <f>IFERROR(IF(DB_Customers!T26&lt;&gt;"",DB_Customers!T26,""),"")</f>
        <v/>
      </c>
      <c r="N32" s="65" t="str">
        <f>IFERROR(IF(DB_Customers!A26&lt;&gt;"",IF(DB_Customers!I26&gt;=10,"Active","Inactive"),""),"")</f>
        <v/>
      </c>
    </row>
    <row r="33" spans="1:14" ht="18" customHeight="1" x14ac:dyDescent="0.25">
      <c r="A33" s="66" t="str">
        <f>IF(DB_Customers!A27&lt;&gt;"",24,"")</f>
        <v/>
      </c>
      <c r="B33" s="67" t="str">
        <f>IFERROR(IF(DB_Customers!A27&lt;&gt;"",DB_Customers!A27,""),"")</f>
        <v/>
      </c>
      <c r="C33" s="68" t="str">
        <f>IFERROR(IF(DB_Customers!D27&lt;&gt;"",DB_Customers!D27,""),"")</f>
        <v/>
      </c>
      <c r="D33" s="69" t="str">
        <f>IFERROR(IF(DB_Customers!Q27&lt;&gt;"",DB_Customers!Q27,""),"")</f>
        <v/>
      </c>
      <c r="E33" s="68" t="str">
        <f>IFERROR(IF(DB_Customers!R27&lt;&gt;"",DB_Customers!R27,""),"")</f>
        <v/>
      </c>
      <c r="F33" s="68" t="str">
        <f>IFERROR(IF(DB_Customers!S27&lt;&gt;"",DB_Customers!S27,""),"")</f>
        <v/>
      </c>
      <c r="G33" s="68" t="str">
        <f>IFERROR(IF(DB_Customers!G27&lt;&gt;"",DB_Customers!G27,""),"")</f>
        <v/>
      </c>
      <c r="H33" s="70" t="str">
        <f>IFERROR(IF(DB_Customers!H27&lt;&gt;"",DB_Customers!H27,""),"")</f>
        <v/>
      </c>
      <c r="I33" s="71" t="str">
        <f>IFERROR(IF(DB_Customers!I27&lt;&gt;"",DB_Customers!I27,""),"")</f>
        <v/>
      </c>
      <c r="J33" s="69" t="str">
        <f>IFERROR(IF(DB_Customers!J27&lt;&gt;"",DB_Customers!J27,""),"")</f>
        <v/>
      </c>
      <c r="K33" s="68" t="str">
        <f>IFERROR(IF(DB_Customers!E27&lt;&gt;"",DB_Customers!E27,""),"")</f>
        <v/>
      </c>
      <c r="L33" s="68" t="str">
        <f>IFERROR(IF(DB_Customers!F27&lt;&gt;"",DB_Customers!F27,""),"")</f>
        <v/>
      </c>
      <c r="M33" s="68" t="str">
        <f>IFERROR(IF(DB_Customers!T27&lt;&gt;"",DB_Customers!T27,""),"")</f>
        <v/>
      </c>
      <c r="N33" s="72" t="str">
        <f>IFERROR(IF(DB_Customers!A27&lt;&gt;"",IF(DB_Customers!I27&gt;=10,"Active","Inactive"),""),"")</f>
        <v/>
      </c>
    </row>
    <row r="34" spans="1:14" ht="18" customHeight="1" x14ac:dyDescent="0.25">
      <c r="A34" s="59" t="str">
        <f>IF(DB_Customers!A28&lt;&gt;"",25,"")</f>
        <v/>
      </c>
      <c r="B34" s="60" t="str">
        <f>IFERROR(IF(DB_Customers!A28&lt;&gt;"",DB_Customers!A28,""),"")</f>
        <v/>
      </c>
      <c r="C34" s="61" t="str">
        <f>IFERROR(IF(DB_Customers!D28&lt;&gt;"",DB_Customers!D28,""),"")</f>
        <v/>
      </c>
      <c r="D34" s="62" t="str">
        <f>IFERROR(IF(DB_Customers!Q28&lt;&gt;"",DB_Customers!Q28,""),"")</f>
        <v/>
      </c>
      <c r="E34" s="61" t="str">
        <f>IFERROR(IF(DB_Customers!R28&lt;&gt;"",DB_Customers!R28,""),"")</f>
        <v/>
      </c>
      <c r="F34" s="61" t="str">
        <f>IFERROR(IF(DB_Customers!S28&lt;&gt;"",DB_Customers!S28,""),"")</f>
        <v/>
      </c>
      <c r="G34" s="61" t="str">
        <f>IFERROR(IF(DB_Customers!G28&lt;&gt;"",DB_Customers!G28,""),"")</f>
        <v/>
      </c>
      <c r="H34" s="63" t="str">
        <f>IFERROR(IF(DB_Customers!H28&lt;&gt;"",DB_Customers!H28,""),"")</f>
        <v/>
      </c>
      <c r="I34" s="64" t="str">
        <f>IFERROR(IF(DB_Customers!I28&lt;&gt;"",DB_Customers!I28,""),"")</f>
        <v/>
      </c>
      <c r="J34" s="62" t="str">
        <f>IFERROR(IF(DB_Customers!J28&lt;&gt;"",DB_Customers!J28,""),"")</f>
        <v/>
      </c>
      <c r="K34" s="61" t="str">
        <f>IFERROR(IF(DB_Customers!E28&lt;&gt;"",DB_Customers!E28,""),"")</f>
        <v/>
      </c>
      <c r="L34" s="61" t="str">
        <f>IFERROR(IF(DB_Customers!F28&lt;&gt;"",DB_Customers!F28,""),"")</f>
        <v/>
      </c>
      <c r="M34" s="61" t="str">
        <f>IFERROR(IF(DB_Customers!T28&lt;&gt;"",DB_Customers!T28,""),"")</f>
        <v/>
      </c>
      <c r="N34" s="65" t="str">
        <f>IFERROR(IF(DB_Customers!A28&lt;&gt;"",IF(DB_Customers!I28&gt;=10,"Active","Inactive"),""),"")</f>
        <v/>
      </c>
    </row>
    <row r="35" spans="1:14" ht="18" customHeight="1" x14ac:dyDescent="0.25">
      <c r="A35" s="66" t="str">
        <f>IF(DB_Customers!A29&lt;&gt;"",26,"")</f>
        <v/>
      </c>
      <c r="B35" s="67" t="str">
        <f>IFERROR(IF(DB_Customers!A29&lt;&gt;"",DB_Customers!A29,""),"")</f>
        <v/>
      </c>
      <c r="C35" s="68" t="str">
        <f>IFERROR(IF(DB_Customers!D29&lt;&gt;"",DB_Customers!D29,""),"")</f>
        <v/>
      </c>
      <c r="D35" s="69" t="str">
        <f>IFERROR(IF(DB_Customers!Q29&lt;&gt;"",DB_Customers!Q29,""),"")</f>
        <v/>
      </c>
      <c r="E35" s="68" t="str">
        <f>IFERROR(IF(DB_Customers!R29&lt;&gt;"",DB_Customers!R29,""),"")</f>
        <v/>
      </c>
      <c r="F35" s="68" t="str">
        <f>IFERROR(IF(DB_Customers!S29&lt;&gt;"",DB_Customers!S29,""),"")</f>
        <v/>
      </c>
      <c r="G35" s="68" t="str">
        <f>IFERROR(IF(DB_Customers!G29&lt;&gt;"",DB_Customers!G29,""),"")</f>
        <v/>
      </c>
      <c r="H35" s="70" t="str">
        <f>IFERROR(IF(DB_Customers!H29&lt;&gt;"",DB_Customers!H29,""),"")</f>
        <v/>
      </c>
      <c r="I35" s="71" t="str">
        <f>IFERROR(IF(DB_Customers!I29&lt;&gt;"",DB_Customers!I29,""),"")</f>
        <v/>
      </c>
      <c r="J35" s="69" t="str">
        <f>IFERROR(IF(DB_Customers!J29&lt;&gt;"",DB_Customers!J29,""),"")</f>
        <v/>
      </c>
      <c r="K35" s="68" t="str">
        <f>IFERROR(IF(DB_Customers!E29&lt;&gt;"",DB_Customers!E29,""),"")</f>
        <v/>
      </c>
      <c r="L35" s="68" t="str">
        <f>IFERROR(IF(DB_Customers!F29&lt;&gt;"",DB_Customers!F29,""),"")</f>
        <v/>
      </c>
      <c r="M35" s="68" t="str">
        <f>IFERROR(IF(DB_Customers!T29&lt;&gt;"",DB_Customers!T29,""),"")</f>
        <v/>
      </c>
      <c r="N35" s="72" t="str">
        <f>IFERROR(IF(DB_Customers!A29&lt;&gt;"",IF(DB_Customers!I29&gt;=10,"Active","Inactive"),""),"")</f>
        <v/>
      </c>
    </row>
    <row r="36" spans="1:14" ht="18" customHeight="1" x14ac:dyDescent="0.25">
      <c r="A36" s="59" t="str">
        <f>IF(DB_Customers!A30&lt;&gt;"",27,"")</f>
        <v/>
      </c>
      <c r="B36" s="60" t="str">
        <f>IFERROR(IF(DB_Customers!A30&lt;&gt;"",DB_Customers!A30,""),"")</f>
        <v/>
      </c>
      <c r="C36" s="61" t="str">
        <f>IFERROR(IF(DB_Customers!D30&lt;&gt;"",DB_Customers!D30,""),"")</f>
        <v/>
      </c>
      <c r="D36" s="62" t="str">
        <f>IFERROR(IF(DB_Customers!Q30&lt;&gt;"",DB_Customers!Q30,""),"")</f>
        <v/>
      </c>
      <c r="E36" s="61" t="str">
        <f>IFERROR(IF(DB_Customers!R30&lt;&gt;"",DB_Customers!R30,""),"")</f>
        <v/>
      </c>
      <c r="F36" s="61" t="str">
        <f>IFERROR(IF(DB_Customers!S30&lt;&gt;"",DB_Customers!S30,""),"")</f>
        <v/>
      </c>
      <c r="G36" s="61" t="str">
        <f>IFERROR(IF(DB_Customers!G30&lt;&gt;"",DB_Customers!G30,""),"")</f>
        <v/>
      </c>
      <c r="H36" s="63" t="str">
        <f>IFERROR(IF(DB_Customers!H30&lt;&gt;"",DB_Customers!H30,""),"")</f>
        <v/>
      </c>
      <c r="I36" s="64" t="str">
        <f>IFERROR(IF(DB_Customers!I30&lt;&gt;"",DB_Customers!I30,""),"")</f>
        <v/>
      </c>
      <c r="J36" s="62" t="str">
        <f>IFERROR(IF(DB_Customers!J30&lt;&gt;"",DB_Customers!J30,""),"")</f>
        <v/>
      </c>
      <c r="K36" s="61" t="str">
        <f>IFERROR(IF(DB_Customers!E30&lt;&gt;"",DB_Customers!E30,""),"")</f>
        <v/>
      </c>
      <c r="L36" s="61" t="str">
        <f>IFERROR(IF(DB_Customers!F30&lt;&gt;"",DB_Customers!F30,""),"")</f>
        <v/>
      </c>
      <c r="M36" s="61" t="str">
        <f>IFERROR(IF(DB_Customers!T30&lt;&gt;"",DB_Customers!T30,""),"")</f>
        <v/>
      </c>
      <c r="N36" s="65" t="str">
        <f>IFERROR(IF(DB_Customers!A30&lt;&gt;"",IF(DB_Customers!I30&gt;=10,"Active","Inactive"),""),"")</f>
        <v/>
      </c>
    </row>
    <row r="37" spans="1:14" ht="18" customHeight="1" x14ac:dyDescent="0.25">
      <c r="A37" s="66" t="str">
        <f>IF(DB_Customers!A31&lt;&gt;"",28,"")</f>
        <v/>
      </c>
      <c r="B37" s="67" t="str">
        <f>IFERROR(IF(DB_Customers!A31&lt;&gt;"",DB_Customers!A31,""),"")</f>
        <v/>
      </c>
      <c r="C37" s="68" t="str">
        <f>IFERROR(IF(DB_Customers!D31&lt;&gt;"",DB_Customers!D31,""),"")</f>
        <v/>
      </c>
      <c r="D37" s="69" t="str">
        <f>IFERROR(IF(DB_Customers!Q31&lt;&gt;"",DB_Customers!Q31,""),"")</f>
        <v/>
      </c>
      <c r="E37" s="68" t="str">
        <f>IFERROR(IF(DB_Customers!R31&lt;&gt;"",DB_Customers!R31,""),"")</f>
        <v/>
      </c>
      <c r="F37" s="68" t="str">
        <f>IFERROR(IF(DB_Customers!S31&lt;&gt;"",DB_Customers!S31,""),"")</f>
        <v/>
      </c>
      <c r="G37" s="68" t="str">
        <f>IFERROR(IF(DB_Customers!G31&lt;&gt;"",DB_Customers!G31,""),"")</f>
        <v/>
      </c>
      <c r="H37" s="70" t="str">
        <f>IFERROR(IF(DB_Customers!H31&lt;&gt;"",DB_Customers!H31,""),"")</f>
        <v/>
      </c>
      <c r="I37" s="71" t="str">
        <f>IFERROR(IF(DB_Customers!I31&lt;&gt;"",DB_Customers!I31,""),"")</f>
        <v/>
      </c>
      <c r="J37" s="69" t="str">
        <f>IFERROR(IF(DB_Customers!J31&lt;&gt;"",DB_Customers!J31,""),"")</f>
        <v/>
      </c>
      <c r="K37" s="68" t="str">
        <f>IFERROR(IF(DB_Customers!E31&lt;&gt;"",DB_Customers!E31,""),"")</f>
        <v/>
      </c>
      <c r="L37" s="68" t="str">
        <f>IFERROR(IF(DB_Customers!F31&lt;&gt;"",DB_Customers!F31,""),"")</f>
        <v/>
      </c>
      <c r="M37" s="68" t="str">
        <f>IFERROR(IF(DB_Customers!T31&lt;&gt;"",DB_Customers!T31,""),"")</f>
        <v/>
      </c>
      <c r="N37" s="72" t="str">
        <f>IFERROR(IF(DB_Customers!A31&lt;&gt;"",IF(DB_Customers!I31&gt;=10,"Active","Inactive"),""),"")</f>
        <v/>
      </c>
    </row>
    <row r="38" spans="1:14" ht="18" customHeight="1" x14ac:dyDescent="0.25">
      <c r="A38" s="59" t="str">
        <f>IF(DB_Customers!A32&lt;&gt;"",29,"")</f>
        <v/>
      </c>
      <c r="B38" s="60" t="str">
        <f>IFERROR(IF(DB_Customers!A32&lt;&gt;"",DB_Customers!A32,""),"")</f>
        <v/>
      </c>
      <c r="C38" s="61" t="str">
        <f>IFERROR(IF(DB_Customers!D32&lt;&gt;"",DB_Customers!D32,""),"")</f>
        <v/>
      </c>
      <c r="D38" s="62" t="str">
        <f>IFERROR(IF(DB_Customers!Q32&lt;&gt;"",DB_Customers!Q32,""),"")</f>
        <v/>
      </c>
      <c r="E38" s="61" t="str">
        <f>IFERROR(IF(DB_Customers!R32&lt;&gt;"",DB_Customers!R32,""),"")</f>
        <v/>
      </c>
      <c r="F38" s="61" t="str">
        <f>IFERROR(IF(DB_Customers!S32&lt;&gt;"",DB_Customers!S32,""),"")</f>
        <v/>
      </c>
      <c r="G38" s="61" t="str">
        <f>IFERROR(IF(DB_Customers!G32&lt;&gt;"",DB_Customers!G32,""),"")</f>
        <v/>
      </c>
      <c r="H38" s="63" t="str">
        <f>IFERROR(IF(DB_Customers!H32&lt;&gt;"",DB_Customers!H32,""),"")</f>
        <v/>
      </c>
      <c r="I38" s="64" t="str">
        <f>IFERROR(IF(DB_Customers!I32&lt;&gt;"",DB_Customers!I32,""),"")</f>
        <v/>
      </c>
      <c r="J38" s="62" t="str">
        <f>IFERROR(IF(DB_Customers!J32&lt;&gt;"",DB_Customers!J32,""),"")</f>
        <v/>
      </c>
      <c r="K38" s="61" t="str">
        <f>IFERROR(IF(DB_Customers!E32&lt;&gt;"",DB_Customers!E32,""),"")</f>
        <v/>
      </c>
      <c r="L38" s="61" t="str">
        <f>IFERROR(IF(DB_Customers!F32&lt;&gt;"",DB_Customers!F32,""),"")</f>
        <v/>
      </c>
      <c r="M38" s="61" t="str">
        <f>IFERROR(IF(DB_Customers!T32&lt;&gt;"",DB_Customers!T32,""),"")</f>
        <v/>
      </c>
      <c r="N38" s="65" t="str">
        <f>IFERROR(IF(DB_Customers!A32&lt;&gt;"",IF(DB_Customers!I32&gt;=10,"Active","Inactive"),""),"")</f>
        <v/>
      </c>
    </row>
    <row r="39" spans="1:14" ht="18" customHeight="1" x14ac:dyDescent="0.25">
      <c r="A39" s="66" t="str">
        <f>IF(DB_Customers!A33&lt;&gt;"",30,"")</f>
        <v/>
      </c>
      <c r="B39" s="67" t="str">
        <f>IFERROR(IF(DB_Customers!A33&lt;&gt;"",DB_Customers!A33,""),"")</f>
        <v/>
      </c>
      <c r="C39" s="68" t="str">
        <f>IFERROR(IF(DB_Customers!D33&lt;&gt;"",DB_Customers!D33,""),"")</f>
        <v/>
      </c>
      <c r="D39" s="69" t="str">
        <f>IFERROR(IF(DB_Customers!Q33&lt;&gt;"",DB_Customers!Q33,""),"")</f>
        <v/>
      </c>
      <c r="E39" s="68" t="str">
        <f>IFERROR(IF(DB_Customers!R33&lt;&gt;"",DB_Customers!R33,""),"")</f>
        <v/>
      </c>
      <c r="F39" s="68" t="str">
        <f>IFERROR(IF(DB_Customers!S33&lt;&gt;"",DB_Customers!S33,""),"")</f>
        <v/>
      </c>
      <c r="G39" s="68" t="str">
        <f>IFERROR(IF(DB_Customers!G33&lt;&gt;"",DB_Customers!G33,""),"")</f>
        <v/>
      </c>
      <c r="H39" s="70" t="str">
        <f>IFERROR(IF(DB_Customers!H33&lt;&gt;"",DB_Customers!H33,""),"")</f>
        <v/>
      </c>
      <c r="I39" s="71" t="str">
        <f>IFERROR(IF(DB_Customers!I33&lt;&gt;"",DB_Customers!I33,""),"")</f>
        <v/>
      </c>
      <c r="J39" s="69" t="str">
        <f>IFERROR(IF(DB_Customers!J33&lt;&gt;"",DB_Customers!J33,""),"")</f>
        <v/>
      </c>
      <c r="K39" s="68" t="str">
        <f>IFERROR(IF(DB_Customers!E33&lt;&gt;"",DB_Customers!E33,""),"")</f>
        <v/>
      </c>
      <c r="L39" s="68" t="str">
        <f>IFERROR(IF(DB_Customers!F33&lt;&gt;"",DB_Customers!F33,""),"")</f>
        <v/>
      </c>
      <c r="M39" s="68" t="str">
        <f>IFERROR(IF(DB_Customers!T33&lt;&gt;"",DB_Customers!T33,""),"")</f>
        <v/>
      </c>
      <c r="N39" s="72" t="str">
        <f>IFERROR(IF(DB_Customers!A33&lt;&gt;"",IF(DB_Customers!I33&gt;=10,"Active","Inactive"),""),"")</f>
        <v/>
      </c>
    </row>
    <row r="40" spans="1:14" ht="18" customHeight="1" x14ac:dyDescent="0.25">
      <c r="A40" s="59" t="str">
        <f>IF(DB_Customers!A34&lt;&gt;"",31,"")</f>
        <v/>
      </c>
      <c r="B40" s="60" t="str">
        <f>IFERROR(IF(DB_Customers!A34&lt;&gt;"",DB_Customers!A34,""),"")</f>
        <v/>
      </c>
      <c r="C40" s="61" t="str">
        <f>IFERROR(IF(DB_Customers!D34&lt;&gt;"",DB_Customers!D34,""),"")</f>
        <v/>
      </c>
      <c r="D40" s="62" t="str">
        <f>IFERROR(IF(DB_Customers!Q34&lt;&gt;"",DB_Customers!Q34,""),"")</f>
        <v/>
      </c>
      <c r="E40" s="61" t="str">
        <f>IFERROR(IF(DB_Customers!R34&lt;&gt;"",DB_Customers!R34,""),"")</f>
        <v/>
      </c>
      <c r="F40" s="61" t="str">
        <f>IFERROR(IF(DB_Customers!S34&lt;&gt;"",DB_Customers!S34,""),"")</f>
        <v/>
      </c>
      <c r="G40" s="61" t="str">
        <f>IFERROR(IF(DB_Customers!G34&lt;&gt;"",DB_Customers!G34,""),"")</f>
        <v/>
      </c>
      <c r="H40" s="63" t="str">
        <f>IFERROR(IF(DB_Customers!H34&lt;&gt;"",DB_Customers!H34,""),"")</f>
        <v/>
      </c>
      <c r="I40" s="64" t="str">
        <f>IFERROR(IF(DB_Customers!I34&lt;&gt;"",DB_Customers!I34,""),"")</f>
        <v/>
      </c>
      <c r="J40" s="62" t="str">
        <f>IFERROR(IF(DB_Customers!J34&lt;&gt;"",DB_Customers!J34,""),"")</f>
        <v/>
      </c>
      <c r="K40" s="61" t="str">
        <f>IFERROR(IF(DB_Customers!E34&lt;&gt;"",DB_Customers!E34,""),"")</f>
        <v/>
      </c>
      <c r="L40" s="61" t="str">
        <f>IFERROR(IF(DB_Customers!F34&lt;&gt;"",DB_Customers!F34,""),"")</f>
        <v/>
      </c>
      <c r="M40" s="61" t="str">
        <f>IFERROR(IF(DB_Customers!T34&lt;&gt;"",DB_Customers!T34,""),"")</f>
        <v/>
      </c>
      <c r="N40" s="65" t="str">
        <f>IFERROR(IF(DB_Customers!A34&lt;&gt;"",IF(DB_Customers!I34&gt;=10,"Active","Inactive"),""),"")</f>
        <v/>
      </c>
    </row>
    <row r="41" spans="1:14" ht="18" customHeight="1" x14ac:dyDescent="0.25">
      <c r="A41" s="66" t="str">
        <f>IF(DB_Customers!A35&lt;&gt;"",32,"")</f>
        <v/>
      </c>
      <c r="B41" s="67" t="str">
        <f>IFERROR(IF(DB_Customers!A35&lt;&gt;"",DB_Customers!A35,""),"")</f>
        <v/>
      </c>
      <c r="C41" s="68" t="str">
        <f>IFERROR(IF(DB_Customers!D35&lt;&gt;"",DB_Customers!D35,""),"")</f>
        <v/>
      </c>
      <c r="D41" s="69" t="str">
        <f>IFERROR(IF(DB_Customers!Q35&lt;&gt;"",DB_Customers!Q35,""),"")</f>
        <v/>
      </c>
      <c r="E41" s="68" t="str">
        <f>IFERROR(IF(DB_Customers!R35&lt;&gt;"",DB_Customers!R35,""),"")</f>
        <v/>
      </c>
      <c r="F41" s="68" t="str">
        <f>IFERROR(IF(DB_Customers!S35&lt;&gt;"",DB_Customers!S35,""),"")</f>
        <v/>
      </c>
      <c r="G41" s="68" t="str">
        <f>IFERROR(IF(DB_Customers!G35&lt;&gt;"",DB_Customers!G35,""),"")</f>
        <v/>
      </c>
      <c r="H41" s="70" t="str">
        <f>IFERROR(IF(DB_Customers!H35&lt;&gt;"",DB_Customers!H35,""),"")</f>
        <v/>
      </c>
      <c r="I41" s="71" t="str">
        <f>IFERROR(IF(DB_Customers!I35&lt;&gt;"",DB_Customers!I35,""),"")</f>
        <v/>
      </c>
      <c r="J41" s="69" t="str">
        <f>IFERROR(IF(DB_Customers!J35&lt;&gt;"",DB_Customers!J35,""),"")</f>
        <v/>
      </c>
      <c r="K41" s="68" t="str">
        <f>IFERROR(IF(DB_Customers!E35&lt;&gt;"",DB_Customers!E35,""),"")</f>
        <v/>
      </c>
      <c r="L41" s="68" t="str">
        <f>IFERROR(IF(DB_Customers!F35&lt;&gt;"",DB_Customers!F35,""),"")</f>
        <v/>
      </c>
      <c r="M41" s="68" t="str">
        <f>IFERROR(IF(DB_Customers!T35&lt;&gt;"",DB_Customers!T35,""),"")</f>
        <v/>
      </c>
      <c r="N41" s="72" t="str">
        <f>IFERROR(IF(DB_Customers!A35&lt;&gt;"",IF(DB_Customers!I35&gt;=10,"Active","Inactive"),""),"")</f>
        <v/>
      </c>
    </row>
    <row r="42" spans="1:14" ht="18" customHeight="1" x14ac:dyDescent="0.25">
      <c r="A42" s="59" t="str">
        <f>IF(DB_Customers!A36&lt;&gt;"",33,"")</f>
        <v/>
      </c>
      <c r="B42" s="60" t="str">
        <f>IFERROR(IF(DB_Customers!A36&lt;&gt;"",DB_Customers!A36,""),"")</f>
        <v/>
      </c>
      <c r="C42" s="61" t="str">
        <f>IFERROR(IF(DB_Customers!D36&lt;&gt;"",DB_Customers!D36,""),"")</f>
        <v/>
      </c>
      <c r="D42" s="62" t="str">
        <f>IFERROR(IF(DB_Customers!Q36&lt;&gt;"",DB_Customers!Q36,""),"")</f>
        <v/>
      </c>
      <c r="E42" s="61" t="str">
        <f>IFERROR(IF(DB_Customers!R36&lt;&gt;"",DB_Customers!R36,""),"")</f>
        <v/>
      </c>
      <c r="F42" s="61" t="str">
        <f>IFERROR(IF(DB_Customers!S36&lt;&gt;"",DB_Customers!S36,""),"")</f>
        <v/>
      </c>
      <c r="G42" s="61" t="str">
        <f>IFERROR(IF(DB_Customers!G36&lt;&gt;"",DB_Customers!G36,""),"")</f>
        <v/>
      </c>
      <c r="H42" s="63" t="str">
        <f>IFERROR(IF(DB_Customers!H36&lt;&gt;"",DB_Customers!H36,""),"")</f>
        <v/>
      </c>
      <c r="I42" s="64" t="str">
        <f>IFERROR(IF(DB_Customers!I36&lt;&gt;"",DB_Customers!I36,""),"")</f>
        <v/>
      </c>
      <c r="J42" s="62" t="str">
        <f>IFERROR(IF(DB_Customers!J36&lt;&gt;"",DB_Customers!J36,""),"")</f>
        <v/>
      </c>
      <c r="K42" s="61" t="str">
        <f>IFERROR(IF(DB_Customers!E36&lt;&gt;"",DB_Customers!E36,""),"")</f>
        <v/>
      </c>
      <c r="L42" s="61" t="str">
        <f>IFERROR(IF(DB_Customers!F36&lt;&gt;"",DB_Customers!F36,""),"")</f>
        <v/>
      </c>
      <c r="M42" s="61" t="str">
        <f>IFERROR(IF(DB_Customers!T36&lt;&gt;"",DB_Customers!T36,""),"")</f>
        <v/>
      </c>
      <c r="N42" s="65" t="str">
        <f>IFERROR(IF(DB_Customers!A36&lt;&gt;"",IF(DB_Customers!I36&gt;=10,"Active","Inactive"),""),"")</f>
        <v/>
      </c>
    </row>
    <row r="43" spans="1:14" ht="18" customHeight="1" x14ac:dyDescent="0.25">
      <c r="A43" s="66" t="str">
        <f>IF(DB_Customers!A37&lt;&gt;"",34,"")</f>
        <v/>
      </c>
      <c r="B43" s="67" t="str">
        <f>IFERROR(IF(DB_Customers!A37&lt;&gt;"",DB_Customers!A37,""),"")</f>
        <v/>
      </c>
      <c r="C43" s="68" t="str">
        <f>IFERROR(IF(DB_Customers!D37&lt;&gt;"",DB_Customers!D37,""),"")</f>
        <v/>
      </c>
      <c r="D43" s="69" t="str">
        <f>IFERROR(IF(DB_Customers!Q37&lt;&gt;"",DB_Customers!Q37,""),"")</f>
        <v/>
      </c>
      <c r="E43" s="68" t="str">
        <f>IFERROR(IF(DB_Customers!R37&lt;&gt;"",DB_Customers!R37,""),"")</f>
        <v/>
      </c>
      <c r="F43" s="68" t="str">
        <f>IFERROR(IF(DB_Customers!S37&lt;&gt;"",DB_Customers!S37,""),"")</f>
        <v/>
      </c>
      <c r="G43" s="68" t="str">
        <f>IFERROR(IF(DB_Customers!G37&lt;&gt;"",DB_Customers!G37,""),"")</f>
        <v/>
      </c>
      <c r="H43" s="70" t="str">
        <f>IFERROR(IF(DB_Customers!H37&lt;&gt;"",DB_Customers!H37,""),"")</f>
        <v/>
      </c>
      <c r="I43" s="71" t="str">
        <f>IFERROR(IF(DB_Customers!I37&lt;&gt;"",DB_Customers!I37,""),"")</f>
        <v/>
      </c>
      <c r="J43" s="69" t="str">
        <f>IFERROR(IF(DB_Customers!J37&lt;&gt;"",DB_Customers!J37,""),"")</f>
        <v/>
      </c>
      <c r="K43" s="68" t="str">
        <f>IFERROR(IF(DB_Customers!E37&lt;&gt;"",DB_Customers!E37,""),"")</f>
        <v/>
      </c>
      <c r="L43" s="68" t="str">
        <f>IFERROR(IF(DB_Customers!F37&lt;&gt;"",DB_Customers!F37,""),"")</f>
        <v/>
      </c>
      <c r="M43" s="68" t="str">
        <f>IFERROR(IF(DB_Customers!T37&lt;&gt;"",DB_Customers!T37,""),"")</f>
        <v/>
      </c>
      <c r="N43" s="72" t="str">
        <f>IFERROR(IF(DB_Customers!A37&lt;&gt;"",IF(DB_Customers!I37&gt;=10,"Active","Inactive"),""),"")</f>
        <v/>
      </c>
    </row>
    <row r="44" spans="1:14" ht="18" customHeight="1" x14ac:dyDescent="0.25">
      <c r="A44" s="59" t="str">
        <f>IF(DB_Customers!A38&lt;&gt;"",35,"")</f>
        <v/>
      </c>
      <c r="B44" s="60" t="str">
        <f>IFERROR(IF(DB_Customers!A38&lt;&gt;"",DB_Customers!A38,""),"")</f>
        <v/>
      </c>
      <c r="C44" s="61" t="str">
        <f>IFERROR(IF(DB_Customers!D38&lt;&gt;"",DB_Customers!D38,""),"")</f>
        <v/>
      </c>
      <c r="D44" s="62" t="str">
        <f>IFERROR(IF(DB_Customers!Q38&lt;&gt;"",DB_Customers!Q38,""),"")</f>
        <v/>
      </c>
      <c r="E44" s="61" t="str">
        <f>IFERROR(IF(DB_Customers!R38&lt;&gt;"",DB_Customers!R38,""),"")</f>
        <v/>
      </c>
      <c r="F44" s="61" t="str">
        <f>IFERROR(IF(DB_Customers!S38&lt;&gt;"",DB_Customers!S38,""),"")</f>
        <v/>
      </c>
      <c r="G44" s="61" t="str">
        <f>IFERROR(IF(DB_Customers!G38&lt;&gt;"",DB_Customers!G38,""),"")</f>
        <v/>
      </c>
      <c r="H44" s="63" t="str">
        <f>IFERROR(IF(DB_Customers!H38&lt;&gt;"",DB_Customers!H38,""),"")</f>
        <v/>
      </c>
      <c r="I44" s="64" t="str">
        <f>IFERROR(IF(DB_Customers!I38&lt;&gt;"",DB_Customers!I38,""),"")</f>
        <v/>
      </c>
      <c r="J44" s="62" t="str">
        <f>IFERROR(IF(DB_Customers!J38&lt;&gt;"",DB_Customers!J38,""),"")</f>
        <v/>
      </c>
      <c r="K44" s="61" t="str">
        <f>IFERROR(IF(DB_Customers!E38&lt;&gt;"",DB_Customers!E38,""),"")</f>
        <v/>
      </c>
      <c r="L44" s="61" t="str">
        <f>IFERROR(IF(DB_Customers!F38&lt;&gt;"",DB_Customers!F38,""),"")</f>
        <v/>
      </c>
      <c r="M44" s="61" t="str">
        <f>IFERROR(IF(DB_Customers!T38&lt;&gt;"",DB_Customers!T38,""),"")</f>
        <v/>
      </c>
      <c r="N44" s="65" t="str">
        <f>IFERROR(IF(DB_Customers!A38&lt;&gt;"",IF(DB_Customers!I38&gt;=10,"Active","Inactive"),""),"")</f>
        <v/>
      </c>
    </row>
    <row r="45" spans="1:14" ht="18" customHeight="1" x14ac:dyDescent="0.25">
      <c r="A45" s="66" t="str">
        <f>IF(DB_Customers!A39&lt;&gt;"",36,"")</f>
        <v/>
      </c>
      <c r="B45" s="67" t="str">
        <f>IFERROR(IF(DB_Customers!A39&lt;&gt;"",DB_Customers!A39,""),"")</f>
        <v/>
      </c>
      <c r="C45" s="68" t="str">
        <f>IFERROR(IF(DB_Customers!D39&lt;&gt;"",DB_Customers!D39,""),"")</f>
        <v/>
      </c>
      <c r="D45" s="69" t="str">
        <f>IFERROR(IF(DB_Customers!Q39&lt;&gt;"",DB_Customers!Q39,""),"")</f>
        <v/>
      </c>
      <c r="E45" s="68" t="str">
        <f>IFERROR(IF(DB_Customers!R39&lt;&gt;"",DB_Customers!R39,""),"")</f>
        <v/>
      </c>
      <c r="F45" s="68" t="str">
        <f>IFERROR(IF(DB_Customers!S39&lt;&gt;"",DB_Customers!S39,""),"")</f>
        <v/>
      </c>
      <c r="G45" s="68" t="str">
        <f>IFERROR(IF(DB_Customers!G39&lt;&gt;"",DB_Customers!G39,""),"")</f>
        <v/>
      </c>
      <c r="H45" s="70" t="str">
        <f>IFERROR(IF(DB_Customers!H39&lt;&gt;"",DB_Customers!H39,""),"")</f>
        <v/>
      </c>
      <c r="I45" s="71" t="str">
        <f>IFERROR(IF(DB_Customers!I39&lt;&gt;"",DB_Customers!I39,""),"")</f>
        <v/>
      </c>
      <c r="J45" s="69" t="str">
        <f>IFERROR(IF(DB_Customers!J39&lt;&gt;"",DB_Customers!J39,""),"")</f>
        <v/>
      </c>
      <c r="K45" s="68" t="str">
        <f>IFERROR(IF(DB_Customers!E39&lt;&gt;"",DB_Customers!E39,""),"")</f>
        <v/>
      </c>
      <c r="L45" s="68" t="str">
        <f>IFERROR(IF(DB_Customers!F39&lt;&gt;"",DB_Customers!F39,""),"")</f>
        <v/>
      </c>
      <c r="M45" s="68" t="str">
        <f>IFERROR(IF(DB_Customers!T39&lt;&gt;"",DB_Customers!T39,""),"")</f>
        <v/>
      </c>
      <c r="N45" s="72" t="str">
        <f>IFERROR(IF(DB_Customers!A39&lt;&gt;"",IF(DB_Customers!I39&gt;=10,"Active","Inactive"),""),"")</f>
        <v/>
      </c>
    </row>
    <row r="46" spans="1:14" ht="18" customHeight="1" x14ac:dyDescent="0.25">
      <c r="A46" s="59" t="str">
        <f>IF(DB_Customers!A40&lt;&gt;"",37,"")</f>
        <v/>
      </c>
      <c r="B46" s="60" t="str">
        <f>IFERROR(IF(DB_Customers!A40&lt;&gt;"",DB_Customers!A40,""),"")</f>
        <v/>
      </c>
      <c r="C46" s="61" t="str">
        <f>IFERROR(IF(DB_Customers!D40&lt;&gt;"",DB_Customers!D40,""),"")</f>
        <v/>
      </c>
      <c r="D46" s="62" t="str">
        <f>IFERROR(IF(DB_Customers!Q40&lt;&gt;"",DB_Customers!Q40,""),"")</f>
        <v/>
      </c>
      <c r="E46" s="61" t="str">
        <f>IFERROR(IF(DB_Customers!R40&lt;&gt;"",DB_Customers!R40,""),"")</f>
        <v/>
      </c>
      <c r="F46" s="61" t="str">
        <f>IFERROR(IF(DB_Customers!S40&lt;&gt;"",DB_Customers!S40,""),"")</f>
        <v/>
      </c>
      <c r="G46" s="61" t="str">
        <f>IFERROR(IF(DB_Customers!G40&lt;&gt;"",DB_Customers!G40,""),"")</f>
        <v/>
      </c>
      <c r="H46" s="63" t="str">
        <f>IFERROR(IF(DB_Customers!H40&lt;&gt;"",DB_Customers!H40,""),"")</f>
        <v/>
      </c>
      <c r="I46" s="64" t="str">
        <f>IFERROR(IF(DB_Customers!I40&lt;&gt;"",DB_Customers!I40,""),"")</f>
        <v/>
      </c>
      <c r="J46" s="62" t="str">
        <f>IFERROR(IF(DB_Customers!J40&lt;&gt;"",DB_Customers!J40,""),"")</f>
        <v/>
      </c>
      <c r="K46" s="61" t="str">
        <f>IFERROR(IF(DB_Customers!E40&lt;&gt;"",DB_Customers!E40,""),"")</f>
        <v/>
      </c>
      <c r="L46" s="61" t="str">
        <f>IFERROR(IF(DB_Customers!F40&lt;&gt;"",DB_Customers!F40,""),"")</f>
        <v/>
      </c>
      <c r="M46" s="61" t="str">
        <f>IFERROR(IF(DB_Customers!T40&lt;&gt;"",DB_Customers!T40,""),"")</f>
        <v/>
      </c>
      <c r="N46" s="65" t="str">
        <f>IFERROR(IF(DB_Customers!A40&lt;&gt;"",IF(DB_Customers!I40&gt;=10,"Active","Inactive"),""),"")</f>
        <v/>
      </c>
    </row>
    <row r="47" spans="1:14" ht="18" customHeight="1" x14ac:dyDescent="0.25">
      <c r="A47" s="66" t="str">
        <f>IF(DB_Customers!A41&lt;&gt;"",38,"")</f>
        <v/>
      </c>
      <c r="B47" s="67" t="str">
        <f>IFERROR(IF(DB_Customers!A41&lt;&gt;"",DB_Customers!A41,""),"")</f>
        <v/>
      </c>
      <c r="C47" s="68" t="str">
        <f>IFERROR(IF(DB_Customers!D41&lt;&gt;"",DB_Customers!D41,""),"")</f>
        <v/>
      </c>
      <c r="D47" s="69" t="str">
        <f>IFERROR(IF(DB_Customers!Q41&lt;&gt;"",DB_Customers!Q41,""),"")</f>
        <v/>
      </c>
      <c r="E47" s="68" t="str">
        <f>IFERROR(IF(DB_Customers!R41&lt;&gt;"",DB_Customers!R41,""),"")</f>
        <v/>
      </c>
      <c r="F47" s="68" t="str">
        <f>IFERROR(IF(DB_Customers!S41&lt;&gt;"",DB_Customers!S41,""),"")</f>
        <v/>
      </c>
      <c r="G47" s="68" t="str">
        <f>IFERROR(IF(DB_Customers!G41&lt;&gt;"",DB_Customers!G41,""),"")</f>
        <v/>
      </c>
      <c r="H47" s="70" t="str">
        <f>IFERROR(IF(DB_Customers!H41&lt;&gt;"",DB_Customers!H41,""),"")</f>
        <v/>
      </c>
      <c r="I47" s="71" t="str">
        <f>IFERROR(IF(DB_Customers!I41&lt;&gt;"",DB_Customers!I41,""),"")</f>
        <v/>
      </c>
      <c r="J47" s="69" t="str">
        <f>IFERROR(IF(DB_Customers!J41&lt;&gt;"",DB_Customers!J41,""),"")</f>
        <v/>
      </c>
      <c r="K47" s="68" t="str">
        <f>IFERROR(IF(DB_Customers!E41&lt;&gt;"",DB_Customers!E41,""),"")</f>
        <v/>
      </c>
      <c r="L47" s="68" t="str">
        <f>IFERROR(IF(DB_Customers!F41&lt;&gt;"",DB_Customers!F41,""),"")</f>
        <v/>
      </c>
      <c r="M47" s="68" t="str">
        <f>IFERROR(IF(DB_Customers!T41&lt;&gt;"",DB_Customers!T41,""),"")</f>
        <v/>
      </c>
      <c r="N47" s="72" t="str">
        <f>IFERROR(IF(DB_Customers!A41&lt;&gt;"",IF(DB_Customers!I41&gt;=10,"Active","Inactive"),""),"")</f>
        <v/>
      </c>
    </row>
    <row r="48" spans="1:14" ht="18" customHeight="1" x14ac:dyDescent="0.25">
      <c r="A48" s="59" t="str">
        <f>IF(DB_Customers!A42&lt;&gt;"",39,"")</f>
        <v/>
      </c>
      <c r="B48" s="60" t="str">
        <f>IFERROR(IF(DB_Customers!A42&lt;&gt;"",DB_Customers!A42,""),"")</f>
        <v/>
      </c>
      <c r="C48" s="61" t="str">
        <f>IFERROR(IF(DB_Customers!D42&lt;&gt;"",DB_Customers!D42,""),"")</f>
        <v/>
      </c>
      <c r="D48" s="62" t="str">
        <f>IFERROR(IF(DB_Customers!Q42&lt;&gt;"",DB_Customers!Q42,""),"")</f>
        <v/>
      </c>
      <c r="E48" s="61" t="str">
        <f>IFERROR(IF(DB_Customers!R42&lt;&gt;"",DB_Customers!R42,""),"")</f>
        <v/>
      </c>
      <c r="F48" s="61" t="str">
        <f>IFERROR(IF(DB_Customers!S42&lt;&gt;"",DB_Customers!S42,""),"")</f>
        <v/>
      </c>
      <c r="G48" s="61" t="str">
        <f>IFERROR(IF(DB_Customers!G42&lt;&gt;"",DB_Customers!G42,""),"")</f>
        <v/>
      </c>
      <c r="H48" s="63" t="str">
        <f>IFERROR(IF(DB_Customers!H42&lt;&gt;"",DB_Customers!H42,""),"")</f>
        <v/>
      </c>
      <c r="I48" s="64" t="str">
        <f>IFERROR(IF(DB_Customers!I42&lt;&gt;"",DB_Customers!I42,""),"")</f>
        <v/>
      </c>
      <c r="J48" s="62" t="str">
        <f>IFERROR(IF(DB_Customers!J42&lt;&gt;"",DB_Customers!J42,""),"")</f>
        <v/>
      </c>
      <c r="K48" s="61" t="str">
        <f>IFERROR(IF(DB_Customers!E42&lt;&gt;"",DB_Customers!E42,""),"")</f>
        <v/>
      </c>
      <c r="L48" s="61" t="str">
        <f>IFERROR(IF(DB_Customers!F42&lt;&gt;"",DB_Customers!F42,""),"")</f>
        <v/>
      </c>
      <c r="M48" s="61" t="str">
        <f>IFERROR(IF(DB_Customers!T42&lt;&gt;"",DB_Customers!T42,""),"")</f>
        <v/>
      </c>
      <c r="N48" s="65" t="str">
        <f>IFERROR(IF(DB_Customers!A42&lt;&gt;"",IF(DB_Customers!I42&gt;=10,"Active","Inactive"),""),"")</f>
        <v/>
      </c>
    </row>
    <row r="49" spans="1:14" ht="18" customHeight="1" x14ac:dyDescent="0.25">
      <c r="A49" s="66" t="str">
        <f>IF(DB_Customers!A43&lt;&gt;"",40,"")</f>
        <v/>
      </c>
      <c r="B49" s="67" t="str">
        <f>IFERROR(IF(DB_Customers!A43&lt;&gt;"",DB_Customers!A43,""),"")</f>
        <v/>
      </c>
      <c r="C49" s="68" t="str">
        <f>IFERROR(IF(DB_Customers!D43&lt;&gt;"",DB_Customers!D43,""),"")</f>
        <v/>
      </c>
      <c r="D49" s="69" t="str">
        <f>IFERROR(IF(DB_Customers!Q43&lt;&gt;"",DB_Customers!Q43,""),"")</f>
        <v/>
      </c>
      <c r="E49" s="68" t="str">
        <f>IFERROR(IF(DB_Customers!R43&lt;&gt;"",DB_Customers!R43,""),"")</f>
        <v/>
      </c>
      <c r="F49" s="68" t="str">
        <f>IFERROR(IF(DB_Customers!S43&lt;&gt;"",DB_Customers!S43,""),"")</f>
        <v/>
      </c>
      <c r="G49" s="68" t="str">
        <f>IFERROR(IF(DB_Customers!G43&lt;&gt;"",DB_Customers!G43,""),"")</f>
        <v/>
      </c>
      <c r="H49" s="70" t="str">
        <f>IFERROR(IF(DB_Customers!H43&lt;&gt;"",DB_Customers!H43,""),"")</f>
        <v/>
      </c>
      <c r="I49" s="71" t="str">
        <f>IFERROR(IF(DB_Customers!I43&lt;&gt;"",DB_Customers!I43,""),"")</f>
        <v/>
      </c>
      <c r="J49" s="69" t="str">
        <f>IFERROR(IF(DB_Customers!J43&lt;&gt;"",DB_Customers!J43,""),"")</f>
        <v/>
      </c>
      <c r="K49" s="68" t="str">
        <f>IFERROR(IF(DB_Customers!E43&lt;&gt;"",DB_Customers!E43,""),"")</f>
        <v/>
      </c>
      <c r="L49" s="68" t="str">
        <f>IFERROR(IF(DB_Customers!F43&lt;&gt;"",DB_Customers!F43,""),"")</f>
        <v/>
      </c>
      <c r="M49" s="68" t="str">
        <f>IFERROR(IF(DB_Customers!T43&lt;&gt;"",DB_Customers!T43,""),"")</f>
        <v/>
      </c>
      <c r="N49" s="72" t="str">
        <f>IFERROR(IF(DB_Customers!A43&lt;&gt;"",IF(DB_Customers!I43&gt;=10,"Active","Inactive"),""),"")</f>
        <v/>
      </c>
    </row>
    <row r="50" spans="1:14" ht="18" customHeight="1" x14ac:dyDescent="0.25">
      <c r="A50" s="59" t="str">
        <f>IF(DB_Customers!A44&lt;&gt;"",41,"")</f>
        <v/>
      </c>
      <c r="B50" s="60" t="str">
        <f>IFERROR(IF(DB_Customers!A44&lt;&gt;"",DB_Customers!A44,""),"")</f>
        <v/>
      </c>
      <c r="C50" s="61" t="str">
        <f>IFERROR(IF(DB_Customers!D44&lt;&gt;"",DB_Customers!D44,""),"")</f>
        <v/>
      </c>
      <c r="D50" s="62" t="str">
        <f>IFERROR(IF(DB_Customers!Q44&lt;&gt;"",DB_Customers!Q44,""),"")</f>
        <v/>
      </c>
      <c r="E50" s="61" t="str">
        <f>IFERROR(IF(DB_Customers!R44&lt;&gt;"",DB_Customers!R44,""),"")</f>
        <v/>
      </c>
      <c r="F50" s="61" t="str">
        <f>IFERROR(IF(DB_Customers!S44&lt;&gt;"",DB_Customers!S44,""),"")</f>
        <v/>
      </c>
      <c r="G50" s="61" t="str">
        <f>IFERROR(IF(DB_Customers!G44&lt;&gt;"",DB_Customers!G44,""),"")</f>
        <v/>
      </c>
      <c r="H50" s="63" t="str">
        <f>IFERROR(IF(DB_Customers!H44&lt;&gt;"",DB_Customers!H44,""),"")</f>
        <v/>
      </c>
      <c r="I50" s="64" t="str">
        <f>IFERROR(IF(DB_Customers!I44&lt;&gt;"",DB_Customers!I44,""),"")</f>
        <v/>
      </c>
      <c r="J50" s="62" t="str">
        <f>IFERROR(IF(DB_Customers!J44&lt;&gt;"",DB_Customers!J44,""),"")</f>
        <v/>
      </c>
      <c r="K50" s="61" t="str">
        <f>IFERROR(IF(DB_Customers!E44&lt;&gt;"",DB_Customers!E44,""),"")</f>
        <v/>
      </c>
      <c r="L50" s="61" t="str">
        <f>IFERROR(IF(DB_Customers!F44&lt;&gt;"",DB_Customers!F44,""),"")</f>
        <v/>
      </c>
      <c r="M50" s="61" t="str">
        <f>IFERROR(IF(DB_Customers!T44&lt;&gt;"",DB_Customers!T44,""),"")</f>
        <v/>
      </c>
      <c r="N50" s="65" t="str">
        <f>IFERROR(IF(DB_Customers!A44&lt;&gt;"",IF(DB_Customers!I44&gt;=10,"Active","Inactive"),""),"")</f>
        <v/>
      </c>
    </row>
    <row r="51" spans="1:14" ht="18" customHeight="1" x14ac:dyDescent="0.25">
      <c r="A51" s="66" t="str">
        <f>IF(DB_Customers!A45&lt;&gt;"",42,"")</f>
        <v/>
      </c>
      <c r="B51" s="67" t="str">
        <f>IFERROR(IF(DB_Customers!A45&lt;&gt;"",DB_Customers!A45,""),"")</f>
        <v/>
      </c>
      <c r="C51" s="68" t="str">
        <f>IFERROR(IF(DB_Customers!D45&lt;&gt;"",DB_Customers!D45,""),"")</f>
        <v/>
      </c>
      <c r="D51" s="69" t="str">
        <f>IFERROR(IF(DB_Customers!Q45&lt;&gt;"",DB_Customers!Q45,""),"")</f>
        <v/>
      </c>
      <c r="E51" s="68" t="str">
        <f>IFERROR(IF(DB_Customers!R45&lt;&gt;"",DB_Customers!R45,""),"")</f>
        <v/>
      </c>
      <c r="F51" s="68" t="str">
        <f>IFERROR(IF(DB_Customers!S45&lt;&gt;"",DB_Customers!S45,""),"")</f>
        <v/>
      </c>
      <c r="G51" s="68" t="str">
        <f>IFERROR(IF(DB_Customers!G45&lt;&gt;"",DB_Customers!G45,""),"")</f>
        <v/>
      </c>
      <c r="H51" s="70" t="str">
        <f>IFERROR(IF(DB_Customers!H45&lt;&gt;"",DB_Customers!H45,""),"")</f>
        <v/>
      </c>
      <c r="I51" s="71" t="str">
        <f>IFERROR(IF(DB_Customers!I45&lt;&gt;"",DB_Customers!I45,""),"")</f>
        <v/>
      </c>
      <c r="J51" s="69" t="str">
        <f>IFERROR(IF(DB_Customers!J45&lt;&gt;"",DB_Customers!J45,""),"")</f>
        <v/>
      </c>
      <c r="K51" s="68" t="str">
        <f>IFERROR(IF(DB_Customers!E45&lt;&gt;"",DB_Customers!E45,""),"")</f>
        <v/>
      </c>
      <c r="L51" s="68" t="str">
        <f>IFERROR(IF(DB_Customers!F45&lt;&gt;"",DB_Customers!F45,""),"")</f>
        <v/>
      </c>
      <c r="M51" s="68" t="str">
        <f>IFERROR(IF(DB_Customers!T45&lt;&gt;"",DB_Customers!T45,""),"")</f>
        <v/>
      </c>
      <c r="N51" s="72" t="str">
        <f>IFERROR(IF(DB_Customers!A45&lt;&gt;"",IF(DB_Customers!I45&gt;=10,"Active","Inactive"),""),"")</f>
        <v/>
      </c>
    </row>
    <row r="52" spans="1:14" ht="18" customHeight="1" x14ac:dyDescent="0.25">
      <c r="A52" s="59" t="str">
        <f>IF(DB_Customers!A46&lt;&gt;"",43,"")</f>
        <v/>
      </c>
      <c r="B52" s="60" t="str">
        <f>IFERROR(IF(DB_Customers!A46&lt;&gt;"",DB_Customers!A46,""),"")</f>
        <v/>
      </c>
      <c r="C52" s="61" t="str">
        <f>IFERROR(IF(DB_Customers!D46&lt;&gt;"",DB_Customers!D46,""),"")</f>
        <v/>
      </c>
      <c r="D52" s="62" t="str">
        <f>IFERROR(IF(DB_Customers!Q46&lt;&gt;"",DB_Customers!Q46,""),"")</f>
        <v/>
      </c>
      <c r="E52" s="61" t="str">
        <f>IFERROR(IF(DB_Customers!R46&lt;&gt;"",DB_Customers!R46,""),"")</f>
        <v/>
      </c>
      <c r="F52" s="61" t="str">
        <f>IFERROR(IF(DB_Customers!S46&lt;&gt;"",DB_Customers!S46,""),"")</f>
        <v/>
      </c>
      <c r="G52" s="61" t="str">
        <f>IFERROR(IF(DB_Customers!G46&lt;&gt;"",DB_Customers!G46,""),"")</f>
        <v/>
      </c>
      <c r="H52" s="63" t="str">
        <f>IFERROR(IF(DB_Customers!H46&lt;&gt;"",DB_Customers!H46,""),"")</f>
        <v/>
      </c>
      <c r="I52" s="64" t="str">
        <f>IFERROR(IF(DB_Customers!I46&lt;&gt;"",DB_Customers!I46,""),"")</f>
        <v/>
      </c>
      <c r="J52" s="62" t="str">
        <f>IFERROR(IF(DB_Customers!J46&lt;&gt;"",DB_Customers!J46,""),"")</f>
        <v/>
      </c>
      <c r="K52" s="61" t="str">
        <f>IFERROR(IF(DB_Customers!E46&lt;&gt;"",DB_Customers!E46,""),"")</f>
        <v/>
      </c>
      <c r="L52" s="61" t="str">
        <f>IFERROR(IF(DB_Customers!F46&lt;&gt;"",DB_Customers!F46,""),"")</f>
        <v/>
      </c>
      <c r="M52" s="61" t="str">
        <f>IFERROR(IF(DB_Customers!T46&lt;&gt;"",DB_Customers!T46,""),"")</f>
        <v/>
      </c>
      <c r="N52" s="65" t="str">
        <f>IFERROR(IF(DB_Customers!A46&lt;&gt;"",IF(DB_Customers!I46&gt;=10,"Active","Inactive"),""),"")</f>
        <v/>
      </c>
    </row>
    <row r="53" spans="1:14" ht="18" customHeight="1" x14ac:dyDescent="0.25">
      <c r="A53" s="66" t="str">
        <f>IF(DB_Customers!A47&lt;&gt;"",44,"")</f>
        <v/>
      </c>
      <c r="B53" s="67" t="str">
        <f>IFERROR(IF(DB_Customers!A47&lt;&gt;"",DB_Customers!A47,""),"")</f>
        <v/>
      </c>
      <c r="C53" s="68" t="str">
        <f>IFERROR(IF(DB_Customers!D47&lt;&gt;"",DB_Customers!D47,""),"")</f>
        <v/>
      </c>
      <c r="D53" s="69" t="str">
        <f>IFERROR(IF(DB_Customers!Q47&lt;&gt;"",DB_Customers!Q47,""),"")</f>
        <v/>
      </c>
      <c r="E53" s="68" t="str">
        <f>IFERROR(IF(DB_Customers!R47&lt;&gt;"",DB_Customers!R47,""),"")</f>
        <v/>
      </c>
      <c r="F53" s="68" t="str">
        <f>IFERROR(IF(DB_Customers!S47&lt;&gt;"",DB_Customers!S47,""),"")</f>
        <v/>
      </c>
      <c r="G53" s="68" t="str">
        <f>IFERROR(IF(DB_Customers!G47&lt;&gt;"",DB_Customers!G47,""),"")</f>
        <v/>
      </c>
      <c r="H53" s="70" t="str">
        <f>IFERROR(IF(DB_Customers!H47&lt;&gt;"",DB_Customers!H47,""),"")</f>
        <v/>
      </c>
      <c r="I53" s="71" t="str">
        <f>IFERROR(IF(DB_Customers!I47&lt;&gt;"",DB_Customers!I47,""),"")</f>
        <v/>
      </c>
      <c r="J53" s="69" t="str">
        <f>IFERROR(IF(DB_Customers!J47&lt;&gt;"",DB_Customers!J47,""),"")</f>
        <v/>
      </c>
      <c r="K53" s="68" t="str">
        <f>IFERROR(IF(DB_Customers!E47&lt;&gt;"",DB_Customers!E47,""),"")</f>
        <v/>
      </c>
      <c r="L53" s="68" t="str">
        <f>IFERROR(IF(DB_Customers!F47&lt;&gt;"",DB_Customers!F47,""),"")</f>
        <v/>
      </c>
      <c r="M53" s="68" t="str">
        <f>IFERROR(IF(DB_Customers!T47&lt;&gt;"",DB_Customers!T47,""),"")</f>
        <v/>
      </c>
      <c r="N53" s="72" t="str">
        <f>IFERROR(IF(DB_Customers!A47&lt;&gt;"",IF(DB_Customers!I47&gt;=10,"Active","Inactive"),""),"")</f>
        <v/>
      </c>
    </row>
    <row r="54" spans="1:14" ht="18" customHeight="1" x14ac:dyDescent="0.25">
      <c r="A54" s="59" t="str">
        <f>IF(DB_Customers!A48&lt;&gt;"",45,"")</f>
        <v/>
      </c>
      <c r="B54" s="60" t="str">
        <f>IFERROR(IF(DB_Customers!A48&lt;&gt;"",DB_Customers!A48,""),"")</f>
        <v/>
      </c>
      <c r="C54" s="61" t="str">
        <f>IFERROR(IF(DB_Customers!D48&lt;&gt;"",DB_Customers!D48,""),"")</f>
        <v/>
      </c>
      <c r="D54" s="62" t="str">
        <f>IFERROR(IF(DB_Customers!Q48&lt;&gt;"",DB_Customers!Q48,""),"")</f>
        <v/>
      </c>
      <c r="E54" s="61" t="str">
        <f>IFERROR(IF(DB_Customers!R48&lt;&gt;"",DB_Customers!R48,""),"")</f>
        <v/>
      </c>
      <c r="F54" s="61" t="str">
        <f>IFERROR(IF(DB_Customers!S48&lt;&gt;"",DB_Customers!S48,""),"")</f>
        <v/>
      </c>
      <c r="G54" s="61" t="str">
        <f>IFERROR(IF(DB_Customers!G48&lt;&gt;"",DB_Customers!G48,""),"")</f>
        <v/>
      </c>
      <c r="H54" s="63" t="str">
        <f>IFERROR(IF(DB_Customers!H48&lt;&gt;"",DB_Customers!H48,""),"")</f>
        <v/>
      </c>
      <c r="I54" s="64" t="str">
        <f>IFERROR(IF(DB_Customers!I48&lt;&gt;"",DB_Customers!I48,""),"")</f>
        <v/>
      </c>
      <c r="J54" s="62" t="str">
        <f>IFERROR(IF(DB_Customers!J48&lt;&gt;"",DB_Customers!J48,""),"")</f>
        <v/>
      </c>
      <c r="K54" s="61" t="str">
        <f>IFERROR(IF(DB_Customers!E48&lt;&gt;"",DB_Customers!E48,""),"")</f>
        <v/>
      </c>
      <c r="L54" s="61" t="str">
        <f>IFERROR(IF(DB_Customers!F48&lt;&gt;"",DB_Customers!F48,""),"")</f>
        <v/>
      </c>
      <c r="M54" s="61" t="str">
        <f>IFERROR(IF(DB_Customers!T48&lt;&gt;"",DB_Customers!T48,""),"")</f>
        <v/>
      </c>
      <c r="N54" s="65" t="str">
        <f>IFERROR(IF(DB_Customers!A48&lt;&gt;"",IF(DB_Customers!I48&gt;=10,"Active","Inactive"),""),"")</f>
        <v/>
      </c>
    </row>
    <row r="55" spans="1:14" ht="18" customHeight="1" x14ac:dyDescent="0.25">
      <c r="A55" s="66" t="str">
        <f>IF(DB_Customers!A49&lt;&gt;"",46,"")</f>
        <v/>
      </c>
      <c r="B55" s="67" t="str">
        <f>IFERROR(IF(DB_Customers!A49&lt;&gt;"",DB_Customers!A49,""),"")</f>
        <v/>
      </c>
      <c r="C55" s="68" t="str">
        <f>IFERROR(IF(DB_Customers!D49&lt;&gt;"",DB_Customers!D49,""),"")</f>
        <v/>
      </c>
      <c r="D55" s="69" t="str">
        <f>IFERROR(IF(DB_Customers!Q49&lt;&gt;"",DB_Customers!Q49,""),"")</f>
        <v/>
      </c>
      <c r="E55" s="68" t="str">
        <f>IFERROR(IF(DB_Customers!R49&lt;&gt;"",DB_Customers!R49,""),"")</f>
        <v/>
      </c>
      <c r="F55" s="68" t="str">
        <f>IFERROR(IF(DB_Customers!S49&lt;&gt;"",DB_Customers!S49,""),"")</f>
        <v/>
      </c>
      <c r="G55" s="68" t="str">
        <f>IFERROR(IF(DB_Customers!G49&lt;&gt;"",DB_Customers!G49,""),"")</f>
        <v/>
      </c>
      <c r="H55" s="70" t="str">
        <f>IFERROR(IF(DB_Customers!H49&lt;&gt;"",DB_Customers!H49,""),"")</f>
        <v/>
      </c>
      <c r="I55" s="71" t="str">
        <f>IFERROR(IF(DB_Customers!I49&lt;&gt;"",DB_Customers!I49,""),"")</f>
        <v/>
      </c>
      <c r="J55" s="69" t="str">
        <f>IFERROR(IF(DB_Customers!J49&lt;&gt;"",DB_Customers!J49,""),"")</f>
        <v/>
      </c>
      <c r="K55" s="68" t="str">
        <f>IFERROR(IF(DB_Customers!E49&lt;&gt;"",DB_Customers!E49,""),"")</f>
        <v/>
      </c>
      <c r="L55" s="68" t="str">
        <f>IFERROR(IF(DB_Customers!F49&lt;&gt;"",DB_Customers!F49,""),"")</f>
        <v/>
      </c>
      <c r="M55" s="68" t="str">
        <f>IFERROR(IF(DB_Customers!T49&lt;&gt;"",DB_Customers!T49,""),"")</f>
        <v/>
      </c>
      <c r="N55" s="72" t="str">
        <f>IFERROR(IF(DB_Customers!A49&lt;&gt;"",IF(DB_Customers!I49&gt;=10,"Active","Inactive"),""),"")</f>
        <v/>
      </c>
    </row>
    <row r="56" spans="1:14" ht="18" customHeight="1" x14ac:dyDescent="0.25">
      <c r="A56" s="59" t="str">
        <f>IF(DB_Customers!A50&lt;&gt;"",47,"")</f>
        <v/>
      </c>
      <c r="B56" s="60" t="str">
        <f>IFERROR(IF(DB_Customers!A50&lt;&gt;"",DB_Customers!A50,""),"")</f>
        <v/>
      </c>
      <c r="C56" s="61" t="str">
        <f>IFERROR(IF(DB_Customers!D50&lt;&gt;"",DB_Customers!D50,""),"")</f>
        <v/>
      </c>
      <c r="D56" s="62" t="str">
        <f>IFERROR(IF(DB_Customers!Q50&lt;&gt;"",DB_Customers!Q50,""),"")</f>
        <v/>
      </c>
      <c r="E56" s="61" t="str">
        <f>IFERROR(IF(DB_Customers!R50&lt;&gt;"",DB_Customers!R50,""),"")</f>
        <v/>
      </c>
      <c r="F56" s="61" t="str">
        <f>IFERROR(IF(DB_Customers!S50&lt;&gt;"",DB_Customers!S50,""),"")</f>
        <v/>
      </c>
      <c r="G56" s="61" t="str">
        <f>IFERROR(IF(DB_Customers!G50&lt;&gt;"",DB_Customers!G50,""),"")</f>
        <v/>
      </c>
      <c r="H56" s="63" t="str">
        <f>IFERROR(IF(DB_Customers!H50&lt;&gt;"",DB_Customers!H50,""),"")</f>
        <v/>
      </c>
      <c r="I56" s="64" t="str">
        <f>IFERROR(IF(DB_Customers!I50&lt;&gt;"",DB_Customers!I50,""),"")</f>
        <v/>
      </c>
      <c r="J56" s="62" t="str">
        <f>IFERROR(IF(DB_Customers!J50&lt;&gt;"",DB_Customers!J50,""),"")</f>
        <v/>
      </c>
      <c r="K56" s="61" t="str">
        <f>IFERROR(IF(DB_Customers!E50&lt;&gt;"",DB_Customers!E50,""),"")</f>
        <v/>
      </c>
      <c r="L56" s="61" t="str">
        <f>IFERROR(IF(DB_Customers!F50&lt;&gt;"",DB_Customers!F50,""),"")</f>
        <v/>
      </c>
      <c r="M56" s="61" t="str">
        <f>IFERROR(IF(DB_Customers!T50&lt;&gt;"",DB_Customers!T50,""),"")</f>
        <v/>
      </c>
      <c r="N56" s="65" t="str">
        <f>IFERROR(IF(DB_Customers!A50&lt;&gt;"",IF(DB_Customers!I50&gt;=10,"Active","Inactive"),""),"")</f>
        <v/>
      </c>
    </row>
    <row r="57" spans="1:14" ht="18" customHeight="1" x14ac:dyDescent="0.25">
      <c r="A57" s="66" t="str">
        <f>IF(DB_Customers!A51&lt;&gt;"",48,"")</f>
        <v/>
      </c>
      <c r="B57" s="67" t="str">
        <f>IFERROR(IF(DB_Customers!A51&lt;&gt;"",DB_Customers!A51,""),"")</f>
        <v/>
      </c>
      <c r="C57" s="68" t="str">
        <f>IFERROR(IF(DB_Customers!D51&lt;&gt;"",DB_Customers!D51,""),"")</f>
        <v/>
      </c>
      <c r="D57" s="69" t="str">
        <f>IFERROR(IF(DB_Customers!Q51&lt;&gt;"",DB_Customers!Q51,""),"")</f>
        <v/>
      </c>
      <c r="E57" s="68" t="str">
        <f>IFERROR(IF(DB_Customers!R51&lt;&gt;"",DB_Customers!R51,""),"")</f>
        <v/>
      </c>
      <c r="F57" s="68" t="str">
        <f>IFERROR(IF(DB_Customers!S51&lt;&gt;"",DB_Customers!S51,""),"")</f>
        <v/>
      </c>
      <c r="G57" s="68" t="str">
        <f>IFERROR(IF(DB_Customers!G51&lt;&gt;"",DB_Customers!G51,""),"")</f>
        <v/>
      </c>
      <c r="H57" s="70" t="str">
        <f>IFERROR(IF(DB_Customers!H51&lt;&gt;"",DB_Customers!H51,""),"")</f>
        <v/>
      </c>
      <c r="I57" s="71" t="str">
        <f>IFERROR(IF(DB_Customers!I51&lt;&gt;"",DB_Customers!I51,""),"")</f>
        <v/>
      </c>
      <c r="J57" s="69" t="str">
        <f>IFERROR(IF(DB_Customers!J51&lt;&gt;"",DB_Customers!J51,""),"")</f>
        <v/>
      </c>
      <c r="K57" s="68" t="str">
        <f>IFERROR(IF(DB_Customers!E51&lt;&gt;"",DB_Customers!E51,""),"")</f>
        <v/>
      </c>
      <c r="L57" s="68" t="str">
        <f>IFERROR(IF(DB_Customers!F51&lt;&gt;"",DB_Customers!F51,""),"")</f>
        <v/>
      </c>
      <c r="M57" s="68" t="str">
        <f>IFERROR(IF(DB_Customers!T51&lt;&gt;"",DB_Customers!T51,""),"")</f>
        <v/>
      </c>
      <c r="N57" s="72" t="str">
        <f>IFERROR(IF(DB_Customers!A51&lt;&gt;"",IF(DB_Customers!I51&gt;=10,"Active","Inactive"),""),"")</f>
        <v/>
      </c>
    </row>
    <row r="58" spans="1:14" ht="18" customHeight="1" x14ac:dyDescent="0.25">
      <c r="A58" s="59" t="str">
        <f>IF(DB_Customers!A52&lt;&gt;"",49,"")</f>
        <v/>
      </c>
      <c r="B58" s="60" t="str">
        <f>IFERROR(IF(DB_Customers!A52&lt;&gt;"",DB_Customers!A52,""),"")</f>
        <v/>
      </c>
      <c r="C58" s="61" t="str">
        <f>IFERROR(IF(DB_Customers!D52&lt;&gt;"",DB_Customers!D52,""),"")</f>
        <v/>
      </c>
      <c r="D58" s="62" t="str">
        <f>IFERROR(IF(DB_Customers!Q52&lt;&gt;"",DB_Customers!Q52,""),"")</f>
        <v/>
      </c>
      <c r="E58" s="61" t="str">
        <f>IFERROR(IF(DB_Customers!R52&lt;&gt;"",DB_Customers!R52,""),"")</f>
        <v/>
      </c>
      <c r="F58" s="61" t="str">
        <f>IFERROR(IF(DB_Customers!S52&lt;&gt;"",DB_Customers!S52,""),"")</f>
        <v/>
      </c>
      <c r="G58" s="61" t="str">
        <f>IFERROR(IF(DB_Customers!G52&lt;&gt;"",DB_Customers!G52,""),"")</f>
        <v/>
      </c>
      <c r="H58" s="63" t="str">
        <f>IFERROR(IF(DB_Customers!H52&lt;&gt;"",DB_Customers!H52,""),"")</f>
        <v/>
      </c>
      <c r="I58" s="64" t="str">
        <f>IFERROR(IF(DB_Customers!I52&lt;&gt;"",DB_Customers!I52,""),"")</f>
        <v/>
      </c>
      <c r="J58" s="62" t="str">
        <f>IFERROR(IF(DB_Customers!J52&lt;&gt;"",DB_Customers!J52,""),"")</f>
        <v/>
      </c>
      <c r="K58" s="61" t="str">
        <f>IFERROR(IF(DB_Customers!E52&lt;&gt;"",DB_Customers!E52,""),"")</f>
        <v/>
      </c>
      <c r="L58" s="61" t="str">
        <f>IFERROR(IF(DB_Customers!F52&lt;&gt;"",DB_Customers!F52,""),"")</f>
        <v/>
      </c>
      <c r="M58" s="61" t="str">
        <f>IFERROR(IF(DB_Customers!T52&lt;&gt;"",DB_Customers!T52,""),"")</f>
        <v/>
      </c>
      <c r="N58" s="65" t="str">
        <f>IFERROR(IF(DB_Customers!A52&lt;&gt;"",IF(DB_Customers!I52&gt;=10,"Active","Inactive"),""),"")</f>
        <v/>
      </c>
    </row>
    <row r="59" spans="1:14" ht="18" customHeight="1" x14ac:dyDescent="0.25">
      <c r="A59" s="66" t="str">
        <f>IF(DB_Customers!A53&lt;&gt;"",50,"")</f>
        <v/>
      </c>
      <c r="B59" s="67" t="str">
        <f>IFERROR(IF(DB_Customers!A53&lt;&gt;"",DB_Customers!A53,""),"")</f>
        <v/>
      </c>
      <c r="C59" s="68" t="str">
        <f>IFERROR(IF(DB_Customers!D53&lt;&gt;"",DB_Customers!D53,""),"")</f>
        <v/>
      </c>
      <c r="D59" s="69" t="str">
        <f>IFERROR(IF(DB_Customers!Q53&lt;&gt;"",DB_Customers!Q53,""),"")</f>
        <v/>
      </c>
      <c r="E59" s="68" t="str">
        <f>IFERROR(IF(DB_Customers!R53&lt;&gt;"",DB_Customers!R53,""),"")</f>
        <v/>
      </c>
      <c r="F59" s="68" t="str">
        <f>IFERROR(IF(DB_Customers!S53&lt;&gt;"",DB_Customers!S53,""),"")</f>
        <v/>
      </c>
      <c r="G59" s="68" t="str">
        <f>IFERROR(IF(DB_Customers!G53&lt;&gt;"",DB_Customers!G53,""),"")</f>
        <v/>
      </c>
      <c r="H59" s="70" t="str">
        <f>IFERROR(IF(DB_Customers!H53&lt;&gt;"",DB_Customers!H53,""),"")</f>
        <v/>
      </c>
      <c r="I59" s="71" t="str">
        <f>IFERROR(IF(DB_Customers!I53&lt;&gt;"",DB_Customers!I53,""),"")</f>
        <v/>
      </c>
      <c r="J59" s="69" t="str">
        <f>IFERROR(IF(DB_Customers!J53&lt;&gt;"",DB_Customers!J53,""),"")</f>
        <v/>
      </c>
      <c r="K59" s="68" t="str">
        <f>IFERROR(IF(DB_Customers!E53&lt;&gt;"",DB_Customers!E53,""),"")</f>
        <v/>
      </c>
      <c r="L59" s="68" t="str">
        <f>IFERROR(IF(DB_Customers!F53&lt;&gt;"",DB_Customers!F53,""),"")</f>
        <v/>
      </c>
      <c r="M59" s="68" t="str">
        <f>IFERROR(IF(DB_Customers!T53&lt;&gt;"",DB_Customers!T53,""),"")</f>
        <v/>
      </c>
      <c r="N59" s="72" t="str">
        <f>IFERROR(IF(DB_Customers!A53&lt;&gt;"",IF(DB_Customers!I53&gt;=10,"Active","Inactive"),""),"")</f>
        <v/>
      </c>
    </row>
    <row r="60" spans="1:14" ht="18" customHeight="1" x14ac:dyDescent="0.25">
      <c r="A60" s="59" t="str">
        <f>IF(DB_Customers!A54&lt;&gt;"",51,"")</f>
        <v/>
      </c>
      <c r="B60" s="60" t="str">
        <f>IFERROR(IF(DB_Customers!A54&lt;&gt;"",DB_Customers!A54,""),"")</f>
        <v/>
      </c>
      <c r="C60" s="61" t="str">
        <f>IFERROR(IF(DB_Customers!D54&lt;&gt;"",DB_Customers!D54,""),"")</f>
        <v/>
      </c>
      <c r="D60" s="62" t="str">
        <f>IFERROR(IF(DB_Customers!Q54&lt;&gt;"",DB_Customers!Q54,""),"")</f>
        <v/>
      </c>
      <c r="E60" s="61" t="str">
        <f>IFERROR(IF(DB_Customers!R54&lt;&gt;"",DB_Customers!R54,""),"")</f>
        <v/>
      </c>
      <c r="F60" s="61" t="str">
        <f>IFERROR(IF(DB_Customers!S54&lt;&gt;"",DB_Customers!S54,""),"")</f>
        <v/>
      </c>
      <c r="G60" s="61" t="str">
        <f>IFERROR(IF(DB_Customers!G54&lt;&gt;"",DB_Customers!G54,""),"")</f>
        <v/>
      </c>
      <c r="H60" s="63" t="str">
        <f>IFERROR(IF(DB_Customers!H54&lt;&gt;"",DB_Customers!H54,""),"")</f>
        <v/>
      </c>
      <c r="I60" s="64" t="str">
        <f>IFERROR(IF(DB_Customers!I54&lt;&gt;"",DB_Customers!I54,""),"")</f>
        <v/>
      </c>
      <c r="J60" s="62" t="str">
        <f>IFERROR(IF(DB_Customers!J54&lt;&gt;"",DB_Customers!J54,""),"")</f>
        <v/>
      </c>
      <c r="K60" s="61" t="str">
        <f>IFERROR(IF(DB_Customers!E54&lt;&gt;"",DB_Customers!E54,""),"")</f>
        <v/>
      </c>
      <c r="L60" s="61" t="str">
        <f>IFERROR(IF(DB_Customers!F54&lt;&gt;"",DB_Customers!F54,""),"")</f>
        <v/>
      </c>
      <c r="M60" s="61" t="str">
        <f>IFERROR(IF(DB_Customers!T54&lt;&gt;"",DB_Customers!T54,""),"")</f>
        <v/>
      </c>
      <c r="N60" s="65" t="str">
        <f>IFERROR(IF(DB_Customers!A54&lt;&gt;"",IF(DB_Customers!I54&gt;=10,"Active","Inactive"),""),"")</f>
        <v/>
      </c>
    </row>
    <row r="61" spans="1:14" ht="18" customHeight="1" x14ac:dyDescent="0.25">
      <c r="A61" s="66" t="str">
        <f>IF(DB_Customers!A55&lt;&gt;"",52,"")</f>
        <v/>
      </c>
      <c r="B61" s="67" t="str">
        <f>IFERROR(IF(DB_Customers!A55&lt;&gt;"",DB_Customers!A55,""),"")</f>
        <v/>
      </c>
      <c r="C61" s="68" t="str">
        <f>IFERROR(IF(DB_Customers!D55&lt;&gt;"",DB_Customers!D55,""),"")</f>
        <v/>
      </c>
      <c r="D61" s="69" t="str">
        <f>IFERROR(IF(DB_Customers!Q55&lt;&gt;"",DB_Customers!Q55,""),"")</f>
        <v/>
      </c>
      <c r="E61" s="68" t="str">
        <f>IFERROR(IF(DB_Customers!R55&lt;&gt;"",DB_Customers!R55,""),"")</f>
        <v/>
      </c>
      <c r="F61" s="68" t="str">
        <f>IFERROR(IF(DB_Customers!S55&lt;&gt;"",DB_Customers!S55,""),"")</f>
        <v/>
      </c>
      <c r="G61" s="68" t="str">
        <f>IFERROR(IF(DB_Customers!G55&lt;&gt;"",DB_Customers!G55,""),"")</f>
        <v/>
      </c>
      <c r="H61" s="70" t="str">
        <f>IFERROR(IF(DB_Customers!H55&lt;&gt;"",DB_Customers!H55,""),"")</f>
        <v/>
      </c>
      <c r="I61" s="71" t="str">
        <f>IFERROR(IF(DB_Customers!I55&lt;&gt;"",DB_Customers!I55,""),"")</f>
        <v/>
      </c>
      <c r="J61" s="69" t="str">
        <f>IFERROR(IF(DB_Customers!J55&lt;&gt;"",DB_Customers!J55,""),"")</f>
        <v/>
      </c>
      <c r="K61" s="68" t="str">
        <f>IFERROR(IF(DB_Customers!E55&lt;&gt;"",DB_Customers!E55,""),"")</f>
        <v/>
      </c>
      <c r="L61" s="68" t="str">
        <f>IFERROR(IF(DB_Customers!F55&lt;&gt;"",DB_Customers!F55,""),"")</f>
        <v/>
      </c>
      <c r="M61" s="68" t="str">
        <f>IFERROR(IF(DB_Customers!T55&lt;&gt;"",DB_Customers!T55,""),"")</f>
        <v/>
      </c>
      <c r="N61" s="72" t="str">
        <f>IFERROR(IF(DB_Customers!A55&lt;&gt;"",IF(DB_Customers!I55&gt;=10,"Active","Inactive"),""),"")</f>
        <v/>
      </c>
    </row>
    <row r="62" spans="1:14" ht="18" customHeight="1" x14ac:dyDescent="0.25">
      <c r="A62" s="59" t="str">
        <f>IF(DB_Customers!A56&lt;&gt;"",53,"")</f>
        <v/>
      </c>
      <c r="B62" s="60" t="str">
        <f>IFERROR(IF(DB_Customers!A56&lt;&gt;"",DB_Customers!A56,""),"")</f>
        <v/>
      </c>
      <c r="C62" s="61" t="str">
        <f>IFERROR(IF(DB_Customers!D56&lt;&gt;"",DB_Customers!D56,""),"")</f>
        <v/>
      </c>
      <c r="D62" s="62" t="str">
        <f>IFERROR(IF(DB_Customers!Q56&lt;&gt;"",DB_Customers!Q56,""),"")</f>
        <v/>
      </c>
      <c r="E62" s="61" t="str">
        <f>IFERROR(IF(DB_Customers!R56&lt;&gt;"",DB_Customers!R56,""),"")</f>
        <v/>
      </c>
      <c r="F62" s="61" t="str">
        <f>IFERROR(IF(DB_Customers!S56&lt;&gt;"",DB_Customers!S56,""),"")</f>
        <v/>
      </c>
      <c r="G62" s="61" t="str">
        <f>IFERROR(IF(DB_Customers!G56&lt;&gt;"",DB_Customers!G56,""),"")</f>
        <v/>
      </c>
      <c r="H62" s="63" t="str">
        <f>IFERROR(IF(DB_Customers!H56&lt;&gt;"",DB_Customers!H56,""),"")</f>
        <v/>
      </c>
      <c r="I62" s="64" t="str">
        <f>IFERROR(IF(DB_Customers!I56&lt;&gt;"",DB_Customers!I56,""),"")</f>
        <v/>
      </c>
      <c r="J62" s="62" t="str">
        <f>IFERROR(IF(DB_Customers!J56&lt;&gt;"",DB_Customers!J56,""),"")</f>
        <v/>
      </c>
      <c r="K62" s="61" t="str">
        <f>IFERROR(IF(DB_Customers!E56&lt;&gt;"",DB_Customers!E56,""),"")</f>
        <v/>
      </c>
      <c r="L62" s="61" t="str">
        <f>IFERROR(IF(DB_Customers!F56&lt;&gt;"",DB_Customers!F56,""),"")</f>
        <v/>
      </c>
      <c r="M62" s="61" t="str">
        <f>IFERROR(IF(DB_Customers!T56&lt;&gt;"",DB_Customers!T56,""),"")</f>
        <v/>
      </c>
      <c r="N62" s="65" t="str">
        <f>IFERROR(IF(DB_Customers!A56&lt;&gt;"",IF(DB_Customers!I56&gt;=10,"Active","Inactive"),""),"")</f>
        <v/>
      </c>
    </row>
    <row r="63" spans="1:14" ht="18" customHeight="1" x14ac:dyDescent="0.25">
      <c r="A63" s="66" t="str">
        <f>IF(DB_Customers!A57&lt;&gt;"",54,"")</f>
        <v/>
      </c>
      <c r="B63" s="67" t="str">
        <f>IFERROR(IF(DB_Customers!A57&lt;&gt;"",DB_Customers!A57,""),"")</f>
        <v/>
      </c>
      <c r="C63" s="68" t="str">
        <f>IFERROR(IF(DB_Customers!D57&lt;&gt;"",DB_Customers!D57,""),"")</f>
        <v/>
      </c>
      <c r="D63" s="69" t="str">
        <f>IFERROR(IF(DB_Customers!Q57&lt;&gt;"",DB_Customers!Q57,""),"")</f>
        <v/>
      </c>
      <c r="E63" s="68" t="str">
        <f>IFERROR(IF(DB_Customers!R57&lt;&gt;"",DB_Customers!R57,""),"")</f>
        <v/>
      </c>
      <c r="F63" s="68" t="str">
        <f>IFERROR(IF(DB_Customers!S57&lt;&gt;"",DB_Customers!S57,""),"")</f>
        <v/>
      </c>
      <c r="G63" s="68" t="str">
        <f>IFERROR(IF(DB_Customers!G57&lt;&gt;"",DB_Customers!G57,""),"")</f>
        <v/>
      </c>
      <c r="H63" s="70" t="str">
        <f>IFERROR(IF(DB_Customers!H57&lt;&gt;"",DB_Customers!H57,""),"")</f>
        <v/>
      </c>
      <c r="I63" s="71" t="str">
        <f>IFERROR(IF(DB_Customers!I57&lt;&gt;"",DB_Customers!I57,""),"")</f>
        <v/>
      </c>
      <c r="J63" s="69" t="str">
        <f>IFERROR(IF(DB_Customers!J57&lt;&gt;"",DB_Customers!J57,""),"")</f>
        <v/>
      </c>
      <c r="K63" s="68" t="str">
        <f>IFERROR(IF(DB_Customers!E57&lt;&gt;"",DB_Customers!E57,""),"")</f>
        <v/>
      </c>
      <c r="L63" s="68" t="str">
        <f>IFERROR(IF(DB_Customers!F57&lt;&gt;"",DB_Customers!F57,""),"")</f>
        <v/>
      </c>
      <c r="M63" s="68" t="str">
        <f>IFERROR(IF(DB_Customers!T57&lt;&gt;"",DB_Customers!T57,""),"")</f>
        <v/>
      </c>
      <c r="N63" s="72" t="str">
        <f>IFERROR(IF(DB_Customers!A57&lt;&gt;"",IF(DB_Customers!I57&gt;=10,"Active","Inactive"),""),"")</f>
        <v/>
      </c>
    </row>
    <row r="64" spans="1:14" ht="18" customHeight="1" x14ac:dyDescent="0.25">
      <c r="A64" s="59" t="str">
        <f>IF(DB_Customers!A58&lt;&gt;"",55,"")</f>
        <v/>
      </c>
      <c r="B64" s="60" t="str">
        <f>IFERROR(IF(DB_Customers!A58&lt;&gt;"",DB_Customers!A58,""),"")</f>
        <v/>
      </c>
      <c r="C64" s="61" t="str">
        <f>IFERROR(IF(DB_Customers!D58&lt;&gt;"",DB_Customers!D58,""),"")</f>
        <v/>
      </c>
      <c r="D64" s="62" t="str">
        <f>IFERROR(IF(DB_Customers!Q58&lt;&gt;"",DB_Customers!Q58,""),"")</f>
        <v/>
      </c>
      <c r="E64" s="61" t="str">
        <f>IFERROR(IF(DB_Customers!R58&lt;&gt;"",DB_Customers!R58,""),"")</f>
        <v/>
      </c>
      <c r="F64" s="61" t="str">
        <f>IFERROR(IF(DB_Customers!S58&lt;&gt;"",DB_Customers!S58,""),"")</f>
        <v/>
      </c>
      <c r="G64" s="61" t="str">
        <f>IFERROR(IF(DB_Customers!G58&lt;&gt;"",DB_Customers!G58,""),"")</f>
        <v/>
      </c>
      <c r="H64" s="63" t="str">
        <f>IFERROR(IF(DB_Customers!H58&lt;&gt;"",DB_Customers!H58,""),"")</f>
        <v/>
      </c>
      <c r="I64" s="64" t="str">
        <f>IFERROR(IF(DB_Customers!I58&lt;&gt;"",DB_Customers!I58,""),"")</f>
        <v/>
      </c>
      <c r="J64" s="62" t="str">
        <f>IFERROR(IF(DB_Customers!J58&lt;&gt;"",DB_Customers!J58,""),"")</f>
        <v/>
      </c>
      <c r="K64" s="61" t="str">
        <f>IFERROR(IF(DB_Customers!E58&lt;&gt;"",DB_Customers!E58,""),"")</f>
        <v/>
      </c>
      <c r="L64" s="61" t="str">
        <f>IFERROR(IF(DB_Customers!F58&lt;&gt;"",DB_Customers!F58,""),"")</f>
        <v/>
      </c>
      <c r="M64" s="61" t="str">
        <f>IFERROR(IF(DB_Customers!T58&lt;&gt;"",DB_Customers!T58,""),"")</f>
        <v/>
      </c>
      <c r="N64" s="65" t="str">
        <f>IFERROR(IF(DB_Customers!A58&lt;&gt;"",IF(DB_Customers!I58&gt;=10,"Active","Inactive"),""),"")</f>
        <v/>
      </c>
    </row>
    <row r="65" spans="1:14" ht="18" customHeight="1" x14ac:dyDescent="0.25">
      <c r="A65" s="66" t="str">
        <f>IF(DB_Customers!A59&lt;&gt;"",56,"")</f>
        <v/>
      </c>
      <c r="B65" s="67" t="str">
        <f>IFERROR(IF(DB_Customers!A59&lt;&gt;"",DB_Customers!A59,""),"")</f>
        <v/>
      </c>
      <c r="C65" s="68" t="str">
        <f>IFERROR(IF(DB_Customers!D59&lt;&gt;"",DB_Customers!D59,""),"")</f>
        <v/>
      </c>
      <c r="D65" s="69" t="str">
        <f>IFERROR(IF(DB_Customers!Q59&lt;&gt;"",DB_Customers!Q59,""),"")</f>
        <v/>
      </c>
      <c r="E65" s="68" t="str">
        <f>IFERROR(IF(DB_Customers!R59&lt;&gt;"",DB_Customers!R59,""),"")</f>
        <v/>
      </c>
      <c r="F65" s="68" t="str">
        <f>IFERROR(IF(DB_Customers!S59&lt;&gt;"",DB_Customers!S59,""),"")</f>
        <v/>
      </c>
      <c r="G65" s="68" t="str">
        <f>IFERROR(IF(DB_Customers!G59&lt;&gt;"",DB_Customers!G59,""),"")</f>
        <v/>
      </c>
      <c r="H65" s="70" t="str">
        <f>IFERROR(IF(DB_Customers!H59&lt;&gt;"",DB_Customers!H59,""),"")</f>
        <v/>
      </c>
      <c r="I65" s="71" t="str">
        <f>IFERROR(IF(DB_Customers!I59&lt;&gt;"",DB_Customers!I59,""),"")</f>
        <v/>
      </c>
      <c r="J65" s="69" t="str">
        <f>IFERROR(IF(DB_Customers!J59&lt;&gt;"",DB_Customers!J59,""),"")</f>
        <v/>
      </c>
      <c r="K65" s="68" t="str">
        <f>IFERROR(IF(DB_Customers!E59&lt;&gt;"",DB_Customers!E59,""),"")</f>
        <v/>
      </c>
      <c r="L65" s="68" t="str">
        <f>IFERROR(IF(DB_Customers!F59&lt;&gt;"",DB_Customers!F59,""),"")</f>
        <v/>
      </c>
      <c r="M65" s="68" t="str">
        <f>IFERROR(IF(DB_Customers!T59&lt;&gt;"",DB_Customers!T59,""),"")</f>
        <v/>
      </c>
      <c r="N65" s="72" t="str">
        <f>IFERROR(IF(DB_Customers!A59&lt;&gt;"",IF(DB_Customers!I59&gt;=10,"Active","Inactive"),""),"")</f>
        <v/>
      </c>
    </row>
    <row r="66" spans="1:14" ht="18" customHeight="1" x14ac:dyDescent="0.25">
      <c r="A66" s="59" t="str">
        <f>IF(DB_Customers!A60&lt;&gt;"",57,"")</f>
        <v/>
      </c>
      <c r="B66" s="60" t="str">
        <f>IFERROR(IF(DB_Customers!A60&lt;&gt;"",DB_Customers!A60,""),"")</f>
        <v/>
      </c>
      <c r="C66" s="61" t="str">
        <f>IFERROR(IF(DB_Customers!D60&lt;&gt;"",DB_Customers!D60,""),"")</f>
        <v/>
      </c>
      <c r="D66" s="62" t="str">
        <f>IFERROR(IF(DB_Customers!Q60&lt;&gt;"",DB_Customers!Q60,""),"")</f>
        <v/>
      </c>
      <c r="E66" s="61" t="str">
        <f>IFERROR(IF(DB_Customers!R60&lt;&gt;"",DB_Customers!R60,""),"")</f>
        <v/>
      </c>
      <c r="F66" s="61" t="str">
        <f>IFERROR(IF(DB_Customers!S60&lt;&gt;"",DB_Customers!S60,""),"")</f>
        <v/>
      </c>
      <c r="G66" s="61" t="str">
        <f>IFERROR(IF(DB_Customers!G60&lt;&gt;"",DB_Customers!G60,""),"")</f>
        <v/>
      </c>
      <c r="H66" s="63" t="str">
        <f>IFERROR(IF(DB_Customers!H60&lt;&gt;"",DB_Customers!H60,""),"")</f>
        <v/>
      </c>
      <c r="I66" s="64" t="str">
        <f>IFERROR(IF(DB_Customers!I60&lt;&gt;"",DB_Customers!I60,""),"")</f>
        <v/>
      </c>
      <c r="J66" s="62" t="str">
        <f>IFERROR(IF(DB_Customers!J60&lt;&gt;"",DB_Customers!J60,""),"")</f>
        <v/>
      </c>
      <c r="K66" s="61" t="str">
        <f>IFERROR(IF(DB_Customers!E60&lt;&gt;"",DB_Customers!E60,""),"")</f>
        <v/>
      </c>
      <c r="L66" s="61" t="str">
        <f>IFERROR(IF(DB_Customers!F60&lt;&gt;"",DB_Customers!F60,""),"")</f>
        <v/>
      </c>
      <c r="M66" s="61" t="str">
        <f>IFERROR(IF(DB_Customers!T60&lt;&gt;"",DB_Customers!T60,""),"")</f>
        <v/>
      </c>
      <c r="N66" s="65" t="str">
        <f>IFERROR(IF(DB_Customers!A60&lt;&gt;"",IF(DB_Customers!I60&gt;=10,"Active","Inactive"),""),"")</f>
        <v/>
      </c>
    </row>
    <row r="67" spans="1:14" ht="18" customHeight="1" x14ac:dyDescent="0.25">
      <c r="A67" s="66" t="str">
        <f>IF(DB_Customers!A61&lt;&gt;"",58,"")</f>
        <v/>
      </c>
      <c r="B67" s="67" t="str">
        <f>IFERROR(IF(DB_Customers!A61&lt;&gt;"",DB_Customers!A61,""),"")</f>
        <v/>
      </c>
      <c r="C67" s="68" t="str">
        <f>IFERROR(IF(DB_Customers!D61&lt;&gt;"",DB_Customers!D61,""),"")</f>
        <v/>
      </c>
      <c r="D67" s="69" t="str">
        <f>IFERROR(IF(DB_Customers!Q61&lt;&gt;"",DB_Customers!Q61,""),"")</f>
        <v/>
      </c>
      <c r="E67" s="68" t="str">
        <f>IFERROR(IF(DB_Customers!R61&lt;&gt;"",DB_Customers!R61,""),"")</f>
        <v/>
      </c>
      <c r="F67" s="68" t="str">
        <f>IFERROR(IF(DB_Customers!S61&lt;&gt;"",DB_Customers!S61,""),"")</f>
        <v/>
      </c>
      <c r="G67" s="68" t="str">
        <f>IFERROR(IF(DB_Customers!G61&lt;&gt;"",DB_Customers!G61,""),"")</f>
        <v/>
      </c>
      <c r="H67" s="70" t="str">
        <f>IFERROR(IF(DB_Customers!H61&lt;&gt;"",DB_Customers!H61,""),"")</f>
        <v/>
      </c>
      <c r="I67" s="71" t="str">
        <f>IFERROR(IF(DB_Customers!I61&lt;&gt;"",DB_Customers!I61,""),"")</f>
        <v/>
      </c>
      <c r="J67" s="69" t="str">
        <f>IFERROR(IF(DB_Customers!J61&lt;&gt;"",DB_Customers!J61,""),"")</f>
        <v/>
      </c>
      <c r="K67" s="68" t="str">
        <f>IFERROR(IF(DB_Customers!E61&lt;&gt;"",DB_Customers!E61,""),"")</f>
        <v/>
      </c>
      <c r="L67" s="68" t="str">
        <f>IFERROR(IF(DB_Customers!F61&lt;&gt;"",DB_Customers!F61,""),"")</f>
        <v/>
      </c>
      <c r="M67" s="68" t="str">
        <f>IFERROR(IF(DB_Customers!T61&lt;&gt;"",DB_Customers!T61,""),"")</f>
        <v/>
      </c>
      <c r="N67" s="72" t="str">
        <f>IFERROR(IF(DB_Customers!A61&lt;&gt;"",IF(DB_Customers!I61&gt;=10,"Active","Inactive"),""),"")</f>
        <v/>
      </c>
    </row>
    <row r="68" spans="1:14" ht="18" customHeight="1" x14ac:dyDescent="0.25">
      <c r="A68" s="59" t="str">
        <f>IF(DB_Customers!A62&lt;&gt;"",59,"")</f>
        <v/>
      </c>
      <c r="B68" s="60" t="str">
        <f>IFERROR(IF(DB_Customers!A62&lt;&gt;"",DB_Customers!A62,""),"")</f>
        <v/>
      </c>
      <c r="C68" s="61" t="str">
        <f>IFERROR(IF(DB_Customers!D62&lt;&gt;"",DB_Customers!D62,""),"")</f>
        <v/>
      </c>
      <c r="D68" s="62" t="str">
        <f>IFERROR(IF(DB_Customers!Q62&lt;&gt;"",DB_Customers!Q62,""),"")</f>
        <v/>
      </c>
      <c r="E68" s="61" t="str">
        <f>IFERROR(IF(DB_Customers!R62&lt;&gt;"",DB_Customers!R62,""),"")</f>
        <v/>
      </c>
      <c r="F68" s="61" t="str">
        <f>IFERROR(IF(DB_Customers!S62&lt;&gt;"",DB_Customers!S62,""),"")</f>
        <v/>
      </c>
      <c r="G68" s="61" t="str">
        <f>IFERROR(IF(DB_Customers!G62&lt;&gt;"",DB_Customers!G62,""),"")</f>
        <v/>
      </c>
      <c r="H68" s="63" t="str">
        <f>IFERROR(IF(DB_Customers!H62&lt;&gt;"",DB_Customers!H62,""),"")</f>
        <v/>
      </c>
      <c r="I68" s="64" t="str">
        <f>IFERROR(IF(DB_Customers!I62&lt;&gt;"",DB_Customers!I62,""),"")</f>
        <v/>
      </c>
      <c r="J68" s="62" t="str">
        <f>IFERROR(IF(DB_Customers!J62&lt;&gt;"",DB_Customers!J62,""),"")</f>
        <v/>
      </c>
      <c r="K68" s="61" t="str">
        <f>IFERROR(IF(DB_Customers!E62&lt;&gt;"",DB_Customers!E62,""),"")</f>
        <v/>
      </c>
      <c r="L68" s="61" t="str">
        <f>IFERROR(IF(DB_Customers!F62&lt;&gt;"",DB_Customers!F62,""),"")</f>
        <v/>
      </c>
      <c r="M68" s="61" t="str">
        <f>IFERROR(IF(DB_Customers!T62&lt;&gt;"",DB_Customers!T62,""),"")</f>
        <v/>
      </c>
      <c r="N68" s="65" t="str">
        <f>IFERROR(IF(DB_Customers!A62&lt;&gt;"",IF(DB_Customers!I62&gt;=10,"Active","Inactive"),""),"")</f>
        <v/>
      </c>
    </row>
    <row r="69" spans="1:14" ht="18" customHeight="1" x14ac:dyDescent="0.25">
      <c r="A69" s="66" t="str">
        <f>IF(DB_Customers!A63&lt;&gt;"",60,"")</f>
        <v/>
      </c>
      <c r="B69" s="67" t="str">
        <f>IFERROR(IF(DB_Customers!A63&lt;&gt;"",DB_Customers!A63,""),"")</f>
        <v/>
      </c>
      <c r="C69" s="68" t="str">
        <f>IFERROR(IF(DB_Customers!D63&lt;&gt;"",DB_Customers!D63,""),"")</f>
        <v/>
      </c>
      <c r="D69" s="69" t="str">
        <f>IFERROR(IF(DB_Customers!Q63&lt;&gt;"",DB_Customers!Q63,""),"")</f>
        <v/>
      </c>
      <c r="E69" s="68" t="str">
        <f>IFERROR(IF(DB_Customers!R63&lt;&gt;"",DB_Customers!R63,""),"")</f>
        <v/>
      </c>
      <c r="F69" s="68" t="str">
        <f>IFERROR(IF(DB_Customers!S63&lt;&gt;"",DB_Customers!S63,""),"")</f>
        <v/>
      </c>
      <c r="G69" s="68" t="str">
        <f>IFERROR(IF(DB_Customers!G63&lt;&gt;"",DB_Customers!G63,""),"")</f>
        <v/>
      </c>
      <c r="H69" s="70" t="str">
        <f>IFERROR(IF(DB_Customers!H63&lt;&gt;"",DB_Customers!H63,""),"")</f>
        <v/>
      </c>
      <c r="I69" s="71" t="str">
        <f>IFERROR(IF(DB_Customers!I63&lt;&gt;"",DB_Customers!I63,""),"")</f>
        <v/>
      </c>
      <c r="J69" s="69" t="str">
        <f>IFERROR(IF(DB_Customers!J63&lt;&gt;"",DB_Customers!J63,""),"")</f>
        <v/>
      </c>
      <c r="K69" s="68" t="str">
        <f>IFERROR(IF(DB_Customers!E63&lt;&gt;"",DB_Customers!E63,""),"")</f>
        <v/>
      </c>
      <c r="L69" s="68" t="str">
        <f>IFERROR(IF(DB_Customers!F63&lt;&gt;"",DB_Customers!F63,""),"")</f>
        <v/>
      </c>
      <c r="M69" s="68" t="str">
        <f>IFERROR(IF(DB_Customers!T63&lt;&gt;"",DB_Customers!T63,""),"")</f>
        <v/>
      </c>
      <c r="N69" s="72" t="str">
        <f>IFERROR(IF(DB_Customers!A63&lt;&gt;"",IF(DB_Customers!I63&gt;=10,"Active","Inactive"),""),"")</f>
        <v/>
      </c>
    </row>
    <row r="70" spans="1:14" ht="18" customHeight="1" x14ac:dyDescent="0.25">
      <c r="A70" s="59" t="str">
        <f>IF(DB_Customers!A64&lt;&gt;"",61,"")</f>
        <v/>
      </c>
      <c r="B70" s="60" t="str">
        <f>IFERROR(IF(DB_Customers!A64&lt;&gt;"",DB_Customers!A64,""),"")</f>
        <v/>
      </c>
      <c r="C70" s="61" t="str">
        <f>IFERROR(IF(DB_Customers!D64&lt;&gt;"",DB_Customers!D64,""),"")</f>
        <v/>
      </c>
      <c r="D70" s="62" t="str">
        <f>IFERROR(IF(DB_Customers!Q64&lt;&gt;"",DB_Customers!Q64,""),"")</f>
        <v/>
      </c>
      <c r="E70" s="61" t="str">
        <f>IFERROR(IF(DB_Customers!R64&lt;&gt;"",DB_Customers!R64,""),"")</f>
        <v/>
      </c>
      <c r="F70" s="61" t="str">
        <f>IFERROR(IF(DB_Customers!S64&lt;&gt;"",DB_Customers!S64,""),"")</f>
        <v/>
      </c>
      <c r="G70" s="61" t="str">
        <f>IFERROR(IF(DB_Customers!G64&lt;&gt;"",DB_Customers!G64,""),"")</f>
        <v/>
      </c>
      <c r="H70" s="63" t="str">
        <f>IFERROR(IF(DB_Customers!H64&lt;&gt;"",DB_Customers!H64,""),"")</f>
        <v/>
      </c>
      <c r="I70" s="64" t="str">
        <f>IFERROR(IF(DB_Customers!I64&lt;&gt;"",DB_Customers!I64,""),"")</f>
        <v/>
      </c>
      <c r="J70" s="62" t="str">
        <f>IFERROR(IF(DB_Customers!J64&lt;&gt;"",DB_Customers!J64,""),"")</f>
        <v/>
      </c>
      <c r="K70" s="61" t="str">
        <f>IFERROR(IF(DB_Customers!E64&lt;&gt;"",DB_Customers!E64,""),"")</f>
        <v/>
      </c>
      <c r="L70" s="61" t="str">
        <f>IFERROR(IF(DB_Customers!F64&lt;&gt;"",DB_Customers!F64,""),"")</f>
        <v/>
      </c>
      <c r="M70" s="61" t="str">
        <f>IFERROR(IF(DB_Customers!T64&lt;&gt;"",DB_Customers!T64,""),"")</f>
        <v/>
      </c>
      <c r="N70" s="65" t="str">
        <f>IFERROR(IF(DB_Customers!A64&lt;&gt;"",IF(DB_Customers!I64&gt;=10,"Active","Inactive"),""),"")</f>
        <v/>
      </c>
    </row>
    <row r="71" spans="1:14" ht="18" customHeight="1" x14ac:dyDescent="0.25">
      <c r="A71" s="66" t="str">
        <f>IF(DB_Customers!A65&lt;&gt;"",62,"")</f>
        <v/>
      </c>
      <c r="B71" s="67" t="str">
        <f>IFERROR(IF(DB_Customers!A65&lt;&gt;"",DB_Customers!A65,""),"")</f>
        <v/>
      </c>
      <c r="C71" s="68" t="str">
        <f>IFERROR(IF(DB_Customers!D65&lt;&gt;"",DB_Customers!D65,""),"")</f>
        <v/>
      </c>
      <c r="D71" s="69" t="str">
        <f>IFERROR(IF(DB_Customers!Q65&lt;&gt;"",DB_Customers!Q65,""),"")</f>
        <v/>
      </c>
      <c r="E71" s="68" t="str">
        <f>IFERROR(IF(DB_Customers!R65&lt;&gt;"",DB_Customers!R65,""),"")</f>
        <v/>
      </c>
      <c r="F71" s="68" t="str">
        <f>IFERROR(IF(DB_Customers!S65&lt;&gt;"",DB_Customers!S65,""),"")</f>
        <v/>
      </c>
      <c r="G71" s="68" t="str">
        <f>IFERROR(IF(DB_Customers!G65&lt;&gt;"",DB_Customers!G65,""),"")</f>
        <v/>
      </c>
      <c r="H71" s="70" t="str">
        <f>IFERROR(IF(DB_Customers!H65&lt;&gt;"",DB_Customers!H65,""),"")</f>
        <v/>
      </c>
      <c r="I71" s="71" t="str">
        <f>IFERROR(IF(DB_Customers!I65&lt;&gt;"",DB_Customers!I65,""),"")</f>
        <v/>
      </c>
      <c r="J71" s="69" t="str">
        <f>IFERROR(IF(DB_Customers!J65&lt;&gt;"",DB_Customers!J65,""),"")</f>
        <v/>
      </c>
      <c r="K71" s="68" t="str">
        <f>IFERROR(IF(DB_Customers!E65&lt;&gt;"",DB_Customers!E65,""),"")</f>
        <v/>
      </c>
      <c r="L71" s="68" t="str">
        <f>IFERROR(IF(DB_Customers!F65&lt;&gt;"",DB_Customers!F65,""),"")</f>
        <v/>
      </c>
      <c r="M71" s="68" t="str">
        <f>IFERROR(IF(DB_Customers!T65&lt;&gt;"",DB_Customers!T65,""),"")</f>
        <v/>
      </c>
      <c r="N71" s="72" t="str">
        <f>IFERROR(IF(DB_Customers!A65&lt;&gt;"",IF(DB_Customers!I65&gt;=10,"Active","Inactive"),""),"")</f>
        <v/>
      </c>
    </row>
    <row r="72" spans="1:14" ht="18" customHeight="1" x14ac:dyDescent="0.25">
      <c r="A72" s="59" t="str">
        <f>IF(DB_Customers!A66&lt;&gt;"",63,"")</f>
        <v/>
      </c>
      <c r="B72" s="60" t="str">
        <f>IFERROR(IF(DB_Customers!A66&lt;&gt;"",DB_Customers!A66,""),"")</f>
        <v/>
      </c>
      <c r="C72" s="61" t="str">
        <f>IFERROR(IF(DB_Customers!D66&lt;&gt;"",DB_Customers!D66,""),"")</f>
        <v/>
      </c>
      <c r="D72" s="62" t="str">
        <f>IFERROR(IF(DB_Customers!Q66&lt;&gt;"",DB_Customers!Q66,""),"")</f>
        <v/>
      </c>
      <c r="E72" s="61" t="str">
        <f>IFERROR(IF(DB_Customers!R66&lt;&gt;"",DB_Customers!R66,""),"")</f>
        <v/>
      </c>
      <c r="F72" s="61" t="str">
        <f>IFERROR(IF(DB_Customers!S66&lt;&gt;"",DB_Customers!S66,""),"")</f>
        <v/>
      </c>
      <c r="G72" s="61" t="str">
        <f>IFERROR(IF(DB_Customers!G66&lt;&gt;"",DB_Customers!G66,""),"")</f>
        <v/>
      </c>
      <c r="H72" s="63" t="str">
        <f>IFERROR(IF(DB_Customers!H66&lt;&gt;"",DB_Customers!H66,""),"")</f>
        <v/>
      </c>
      <c r="I72" s="64" t="str">
        <f>IFERROR(IF(DB_Customers!I66&lt;&gt;"",DB_Customers!I66,""),"")</f>
        <v/>
      </c>
      <c r="J72" s="62" t="str">
        <f>IFERROR(IF(DB_Customers!J66&lt;&gt;"",DB_Customers!J66,""),"")</f>
        <v/>
      </c>
      <c r="K72" s="61" t="str">
        <f>IFERROR(IF(DB_Customers!E66&lt;&gt;"",DB_Customers!E66,""),"")</f>
        <v/>
      </c>
      <c r="L72" s="61" t="str">
        <f>IFERROR(IF(DB_Customers!F66&lt;&gt;"",DB_Customers!F66,""),"")</f>
        <v/>
      </c>
      <c r="M72" s="61" t="str">
        <f>IFERROR(IF(DB_Customers!T66&lt;&gt;"",DB_Customers!T66,""),"")</f>
        <v/>
      </c>
      <c r="N72" s="65" t="str">
        <f>IFERROR(IF(DB_Customers!A66&lt;&gt;"",IF(DB_Customers!I66&gt;=10,"Active","Inactive"),""),"")</f>
        <v/>
      </c>
    </row>
    <row r="73" spans="1:14" ht="18" customHeight="1" x14ac:dyDescent="0.25">
      <c r="A73" s="66" t="str">
        <f>IF(DB_Customers!A67&lt;&gt;"",64,"")</f>
        <v/>
      </c>
      <c r="B73" s="67" t="str">
        <f>IFERROR(IF(DB_Customers!A67&lt;&gt;"",DB_Customers!A67,""),"")</f>
        <v/>
      </c>
      <c r="C73" s="68" t="str">
        <f>IFERROR(IF(DB_Customers!D67&lt;&gt;"",DB_Customers!D67,""),"")</f>
        <v/>
      </c>
      <c r="D73" s="69" t="str">
        <f>IFERROR(IF(DB_Customers!Q67&lt;&gt;"",DB_Customers!Q67,""),"")</f>
        <v/>
      </c>
      <c r="E73" s="68" t="str">
        <f>IFERROR(IF(DB_Customers!R67&lt;&gt;"",DB_Customers!R67,""),"")</f>
        <v/>
      </c>
      <c r="F73" s="68" t="str">
        <f>IFERROR(IF(DB_Customers!S67&lt;&gt;"",DB_Customers!S67,""),"")</f>
        <v/>
      </c>
      <c r="G73" s="68" t="str">
        <f>IFERROR(IF(DB_Customers!G67&lt;&gt;"",DB_Customers!G67,""),"")</f>
        <v/>
      </c>
      <c r="H73" s="70" t="str">
        <f>IFERROR(IF(DB_Customers!H67&lt;&gt;"",DB_Customers!H67,""),"")</f>
        <v/>
      </c>
      <c r="I73" s="71" t="str">
        <f>IFERROR(IF(DB_Customers!I67&lt;&gt;"",DB_Customers!I67,""),"")</f>
        <v/>
      </c>
      <c r="J73" s="69" t="str">
        <f>IFERROR(IF(DB_Customers!J67&lt;&gt;"",DB_Customers!J67,""),"")</f>
        <v/>
      </c>
      <c r="K73" s="68" t="str">
        <f>IFERROR(IF(DB_Customers!E67&lt;&gt;"",DB_Customers!E67,""),"")</f>
        <v/>
      </c>
      <c r="L73" s="68" t="str">
        <f>IFERROR(IF(DB_Customers!F67&lt;&gt;"",DB_Customers!F67,""),"")</f>
        <v/>
      </c>
      <c r="M73" s="68" t="str">
        <f>IFERROR(IF(DB_Customers!T67&lt;&gt;"",DB_Customers!T67,""),"")</f>
        <v/>
      </c>
      <c r="N73" s="72" t="str">
        <f>IFERROR(IF(DB_Customers!A67&lt;&gt;"",IF(DB_Customers!I67&gt;=10,"Active","Inactive"),""),"")</f>
        <v/>
      </c>
    </row>
    <row r="74" spans="1:14" ht="18" customHeight="1" x14ac:dyDescent="0.25">
      <c r="A74" s="59" t="str">
        <f>IF(DB_Customers!A68&lt;&gt;"",65,"")</f>
        <v/>
      </c>
      <c r="B74" s="60" t="str">
        <f>IFERROR(IF(DB_Customers!A68&lt;&gt;"",DB_Customers!A68,""),"")</f>
        <v/>
      </c>
      <c r="C74" s="61" t="str">
        <f>IFERROR(IF(DB_Customers!D68&lt;&gt;"",DB_Customers!D68,""),"")</f>
        <v/>
      </c>
      <c r="D74" s="62" t="str">
        <f>IFERROR(IF(DB_Customers!Q68&lt;&gt;"",DB_Customers!Q68,""),"")</f>
        <v/>
      </c>
      <c r="E74" s="61" t="str">
        <f>IFERROR(IF(DB_Customers!R68&lt;&gt;"",DB_Customers!R68,""),"")</f>
        <v/>
      </c>
      <c r="F74" s="61" t="str">
        <f>IFERROR(IF(DB_Customers!S68&lt;&gt;"",DB_Customers!S68,""),"")</f>
        <v/>
      </c>
      <c r="G74" s="61" t="str">
        <f>IFERROR(IF(DB_Customers!G68&lt;&gt;"",DB_Customers!G68,""),"")</f>
        <v/>
      </c>
      <c r="H74" s="63" t="str">
        <f>IFERROR(IF(DB_Customers!H68&lt;&gt;"",DB_Customers!H68,""),"")</f>
        <v/>
      </c>
      <c r="I74" s="64" t="str">
        <f>IFERROR(IF(DB_Customers!I68&lt;&gt;"",DB_Customers!I68,""),"")</f>
        <v/>
      </c>
      <c r="J74" s="62" t="str">
        <f>IFERROR(IF(DB_Customers!J68&lt;&gt;"",DB_Customers!J68,""),"")</f>
        <v/>
      </c>
      <c r="K74" s="61" t="str">
        <f>IFERROR(IF(DB_Customers!E68&lt;&gt;"",DB_Customers!E68,""),"")</f>
        <v/>
      </c>
      <c r="L74" s="61" t="str">
        <f>IFERROR(IF(DB_Customers!F68&lt;&gt;"",DB_Customers!F68,""),"")</f>
        <v/>
      </c>
      <c r="M74" s="61" t="str">
        <f>IFERROR(IF(DB_Customers!T68&lt;&gt;"",DB_Customers!T68,""),"")</f>
        <v/>
      </c>
      <c r="N74" s="65" t="str">
        <f>IFERROR(IF(DB_Customers!A68&lt;&gt;"",IF(DB_Customers!I68&gt;=10,"Active","Inactive"),""),"")</f>
        <v/>
      </c>
    </row>
    <row r="75" spans="1:14" ht="18" customHeight="1" x14ac:dyDescent="0.25">
      <c r="A75" s="66" t="str">
        <f>IF(DB_Customers!A69&lt;&gt;"",66,"")</f>
        <v/>
      </c>
      <c r="B75" s="67" t="str">
        <f>IFERROR(IF(DB_Customers!A69&lt;&gt;"",DB_Customers!A69,""),"")</f>
        <v/>
      </c>
      <c r="C75" s="68" t="str">
        <f>IFERROR(IF(DB_Customers!D69&lt;&gt;"",DB_Customers!D69,""),"")</f>
        <v/>
      </c>
      <c r="D75" s="69" t="str">
        <f>IFERROR(IF(DB_Customers!Q69&lt;&gt;"",DB_Customers!Q69,""),"")</f>
        <v/>
      </c>
      <c r="E75" s="68" t="str">
        <f>IFERROR(IF(DB_Customers!R69&lt;&gt;"",DB_Customers!R69,""),"")</f>
        <v/>
      </c>
      <c r="F75" s="68" t="str">
        <f>IFERROR(IF(DB_Customers!S69&lt;&gt;"",DB_Customers!S69,""),"")</f>
        <v/>
      </c>
      <c r="G75" s="68" t="str">
        <f>IFERROR(IF(DB_Customers!G69&lt;&gt;"",DB_Customers!G69,""),"")</f>
        <v/>
      </c>
      <c r="H75" s="70" t="str">
        <f>IFERROR(IF(DB_Customers!H69&lt;&gt;"",DB_Customers!H69,""),"")</f>
        <v/>
      </c>
      <c r="I75" s="71" t="str">
        <f>IFERROR(IF(DB_Customers!I69&lt;&gt;"",DB_Customers!I69,""),"")</f>
        <v/>
      </c>
      <c r="J75" s="69" t="str">
        <f>IFERROR(IF(DB_Customers!J69&lt;&gt;"",DB_Customers!J69,""),"")</f>
        <v/>
      </c>
      <c r="K75" s="68" t="str">
        <f>IFERROR(IF(DB_Customers!E69&lt;&gt;"",DB_Customers!E69,""),"")</f>
        <v/>
      </c>
      <c r="L75" s="68" t="str">
        <f>IFERROR(IF(DB_Customers!F69&lt;&gt;"",DB_Customers!F69,""),"")</f>
        <v/>
      </c>
      <c r="M75" s="68" t="str">
        <f>IFERROR(IF(DB_Customers!T69&lt;&gt;"",DB_Customers!T69,""),"")</f>
        <v/>
      </c>
      <c r="N75" s="72" t="str">
        <f>IFERROR(IF(DB_Customers!A69&lt;&gt;"",IF(DB_Customers!I69&gt;=10,"Active","Inactive"),""),"")</f>
        <v/>
      </c>
    </row>
    <row r="76" spans="1:14" ht="18" customHeight="1" x14ac:dyDescent="0.25">
      <c r="A76" s="59" t="str">
        <f>IF(DB_Customers!A70&lt;&gt;"",67,"")</f>
        <v/>
      </c>
      <c r="B76" s="60" t="str">
        <f>IFERROR(IF(DB_Customers!A70&lt;&gt;"",DB_Customers!A70,""),"")</f>
        <v/>
      </c>
      <c r="C76" s="61" t="str">
        <f>IFERROR(IF(DB_Customers!D70&lt;&gt;"",DB_Customers!D70,""),"")</f>
        <v/>
      </c>
      <c r="D76" s="62" t="str">
        <f>IFERROR(IF(DB_Customers!Q70&lt;&gt;"",DB_Customers!Q70,""),"")</f>
        <v/>
      </c>
      <c r="E76" s="61" t="str">
        <f>IFERROR(IF(DB_Customers!R70&lt;&gt;"",DB_Customers!R70,""),"")</f>
        <v/>
      </c>
      <c r="F76" s="61" t="str">
        <f>IFERROR(IF(DB_Customers!S70&lt;&gt;"",DB_Customers!S70,""),"")</f>
        <v/>
      </c>
      <c r="G76" s="61" t="str">
        <f>IFERROR(IF(DB_Customers!G70&lt;&gt;"",DB_Customers!G70,""),"")</f>
        <v/>
      </c>
      <c r="H76" s="63" t="str">
        <f>IFERROR(IF(DB_Customers!H70&lt;&gt;"",DB_Customers!H70,""),"")</f>
        <v/>
      </c>
      <c r="I76" s="64" t="str">
        <f>IFERROR(IF(DB_Customers!I70&lt;&gt;"",DB_Customers!I70,""),"")</f>
        <v/>
      </c>
      <c r="J76" s="62" t="str">
        <f>IFERROR(IF(DB_Customers!J70&lt;&gt;"",DB_Customers!J70,""),"")</f>
        <v/>
      </c>
      <c r="K76" s="61" t="str">
        <f>IFERROR(IF(DB_Customers!E70&lt;&gt;"",DB_Customers!E70,""),"")</f>
        <v/>
      </c>
      <c r="L76" s="61" t="str">
        <f>IFERROR(IF(DB_Customers!F70&lt;&gt;"",DB_Customers!F70,""),"")</f>
        <v/>
      </c>
      <c r="M76" s="61" t="str">
        <f>IFERROR(IF(DB_Customers!T70&lt;&gt;"",DB_Customers!T70,""),"")</f>
        <v/>
      </c>
      <c r="N76" s="65" t="str">
        <f>IFERROR(IF(DB_Customers!A70&lt;&gt;"",IF(DB_Customers!I70&gt;=10,"Active","Inactive"),""),"")</f>
        <v/>
      </c>
    </row>
    <row r="77" spans="1:14" ht="18" customHeight="1" x14ac:dyDescent="0.25">
      <c r="A77" s="66" t="str">
        <f>IF(DB_Customers!A71&lt;&gt;"",68,"")</f>
        <v/>
      </c>
      <c r="B77" s="67" t="str">
        <f>IFERROR(IF(DB_Customers!A71&lt;&gt;"",DB_Customers!A71,""),"")</f>
        <v/>
      </c>
      <c r="C77" s="68" t="str">
        <f>IFERROR(IF(DB_Customers!D71&lt;&gt;"",DB_Customers!D71,""),"")</f>
        <v/>
      </c>
      <c r="D77" s="69" t="str">
        <f>IFERROR(IF(DB_Customers!Q71&lt;&gt;"",DB_Customers!Q71,""),"")</f>
        <v/>
      </c>
      <c r="E77" s="68" t="str">
        <f>IFERROR(IF(DB_Customers!R71&lt;&gt;"",DB_Customers!R71,""),"")</f>
        <v/>
      </c>
      <c r="F77" s="68" t="str">
        <f>IFERROR(IF(DB_Customers!S71&lt;&gt;"",DB_Customers!S71,""),"")</f>
        <v/>
      </c>
      <c r="G77" s="68" t="str">
        <f>IFERROR(IF(DB_Customers!G71&lt;&gt;"",DB_Customers!G71,""),"")</f>
        <v/>
      </c>
      <c r="H77" s="70" t="str">
        <f>IFERROR(IF(DB_Customers!H71&lt;&gt;"",DB_Customers!H71,""),"")</f>
        <v/>
      </c>
      <c r="I77" s="71" t="str">
        <f>IFERROR(IF(DB_Customers!I71&lt;&gt;"",DB_Customers!I71,""),"")</f>
        <v/>
      </c>
      <c r="J77" s="69" t="str">
        <f>IFERROR(IF(DB_Customers!J71&lt;&gt;"",DB_Customers!J71,""),"")</f>
        <v/>
      </c>
      <c r="K77" s="68" t="str">
        <f>IFERROR(IF(DB_Customers!E71&lt;&gt;"",DB_Customers!E71,""),"")</f>
        <v/>
      </c>
      <c r="L77" s="68" t="str">
        <f>IFERROR(IF(DB_Customers!F71&lt;&gt;"",DB_Customers!F71,""),"")</f>
        <v/>
      </c>
      <c r="M77" s="68" t="str">
        <f>IFERROR(IF(DB_Customers!T71&lt;&gt;"",DB_Customers!T71,""),"")</f>
        <v/>
      </c>
      <c r="N77" s="72" t="str">
        <f>IFERROR(IF(DB_Customers!A71&lt;&gt;"",IF(DB_Customers!I71&gt;=10,"Active","Inactive"),""),"")</f>
        <v/>
      </c>
    </row>
    <row r="78" spans="1:14" ht="18" customHeight="1" x14ac:dyDescent="0.25">
      <c r="A78" s="59" t="str">
        <f>IF(DB_Customers!A72&lt;&gt;"",69,"")</f>
        <v/>
      </c>
      <c r="B78" s="60" t="str">
        <f>IFERROR(IF(DB_Customers!A72&lt;&gt;"",DB_Customers!A72,""),"")</f>
        <v/>
      </c>
      <c r="C78" s="61" t="str">
        <f>IFERROR(IF(DB_Customers!D72&lt;&gt;"",DB_Customers!D72,""),"")</f>
        <v/>
      </c>
      <c r="D78" s="62" t="str">
        <f>IFERROR(IF(DB_Customers!Q72&lt;&gt;"",DB_Customers!Q72,""),"")</f>
        <v/>
      </c>
      <c r="E78" s="61" t="str">
        <f>IFERROR(IF(DB_Customers!R72&lt;&gt;"",DB_Customers!R72,""),"")</f>
        <v/>
      </c>
      <c r="F78" s="61" t="str">
        <f>IFERROR(IF(DB_Customers!S72&lt;&gt;"",DB_Customers!S72,""),"")</f>
        <v/>
      </c>
      <c r="G78" s="61" t="str">
        <f>IFERROR(IF(DB_Customers!G72&lt;&gt;"",DB_Customers!G72,""),"")</f>
        <v/>
      </c>
      <c r="H78" s="63" t="str">
        <f>IFERROR(IF(DB_Customers!H72&lt;&gt;"",DB_Customers!H72,""),"")</f>
        <v/>
      </c>
      <c r="I78" s="64" t="str">
        <f>IFERROR(IF(DB_Customers!I72&lt;&gt;"",DB_Customers!I72,""),"")</f>
        <v/>
      </c>
      <c r="J78" s="62" t="str">
        <f>IFERROR(IF(DB_Customers!J72&lt;&gt;"",DB_Customers!J72,""),"")</f>
        <v/>
      </c>
      <c r="K78" s="61" t="str">
        <f>IFERROR(IF(DB_Customers!E72&lt;&gt;"",DB_Customers!E72,""),"")</f>
        <v/>
      </c>
      <c r="L78" s="61" t="str">
        <f>IFERROR(IF(DB_Customers!F72&lt;&gt;"",DB_Customers!F72,""),"")</f>
        <v/>
      </c>
      <c r="M78" s="61" t="str">
        <f>IFERROR(IF(DB_Customers!T72&lt;&gt;"",DB_Customers!T72,""),"")</f>
        <v/>
      </c>
      <c r="N78" s="65" t="str">
        <f>IFERROR(IF(DB_Customers!A72&lt;&gt;"",IF(DB_Customers!I72&gt;=10,"Active","Inactive"),""),"")</f>
        <v/>
      </c>
    </row>
    <row r="79" spans="1:14" ht="18" customHeight="1" x14ac:dyDescent="0.25">
      <c r="A79" s="66" t="str">
        <f>IF(DB_Customers!A73&lt;&gt;"",70,"")</f>
        <v/>
      </c>
      <c r="B79" s="67" t="str">
        <f>IFERROR(IF(DB_Customers!A73&lt;&gt;"",DB_Customers!A73,""),"")</f>
        <v/>
      </c>
      <c r="C79" s="68" t="str">
        <f>IFERROR(IF(DB_Customers!D73&lt;&gt;"",DB_Customers!D73,""),"")</f>
        <v/>
      </c>
      <c r="D79" s="69" t="str">
        <f>IFERROR(IF(DB_Customers!Q73&lt;&gt;"",DB_Customers!Q73,""),"")</f>
        <v/>
      </c>
      <c r="E79" s="68" t="str">
        <f>IFERROR(IF(DB_Customers!R73&lt;&gt;"",DB_Customers!R73,""),"")</f>
        <v/>
      </c>
      <c r="F79" s="68" t="str">
        <f>IFERROR(IF(DB_Customers!S73&lt;&gt;"",DB_Customers!S73,""),"")</f>
        <v/>
      </c>
      <c r="G79" s="68" t="str">
        <f>IFERROR(IF(DB_Customers!G73&lt;&gt;"",DB_Customers!G73,""),"")</f>
        <v/>
      </c>
      <c r="H79" s="70" t="str">
        <f>IFERROR(IF(DB_Customers!H73&lt;&gt;"",DB_Customers!H73,""),"")</f>
        <v/>
      </c>
      <c r="I79" s="71" t="str">
        <f>IFERROR(IF(DB_Customers!I73&lt;&gt;"",DB_Customers!I73,""),"")</f>
        <v/>
      </c>
      <c r="J79" s="69" t="str">
        <f>IFERROR(IF(DB_Customers!J73&lt;&gt;"",DB_Customers!J73,""),"")</f>
        <v/>
      </c>
      <c r="K79" s="68" t="str">
        <f>IFERROR(IF(DB_Customers!E73&lt;&gt;"",DB_Customers!E73,""),"")</f>
        <v/>
      </c>
      <c r="L79" s="68" t="str">
        <f>IFERROR(IF(DB_Customers!F73&lt;&gt;"",DB_Customers!F73,""),"")</f>
        <v/>
      </c>
      <c r="M79" s="68" t="str">
        <f>IFERROR(IF(DB_Customers!T73&lt;&gt;"",DB_Customers!T73,""),"")</f>
        <v/>
      </c>
      <c r="N79" s="72" t="str">
        <f>IFERROR(IF(DB_Customers!A73&lt;&gt;"",IF(DB_Customers!I73&gt;=10,"Active","Inactive"),""),"")</f>
        <v/>
      </c>
    </row>
    <row r="80" spans="1:14" ht="18" customHeight="1" x14ac:dyDescent="0.25">
      <c r="A80" s="59" t="str">
        <f>IF(DB_Customers!A74&lt;&gt;"",71,"")</f>
        <v/>
      </c>
      <c r="B80" s="60" t="str">
        <f>IFERROR(IF(DB_Customers!A74&lt;&gt;"",DB_Customers!A74,""),"")</f>
        <v/>
      </c>
      <c r="C80" s="61" t="str">
        <f>IFERROR(IF(DB_Customers!D74&lt;&gt;"",DB_Customers!D74,""),"")</f>
        <v/>
      </c>
      <c r="D80" s="62" t="str">
        <f>IFERROR(IF(DB_Customers!Q74&lt;&gt;"",DB_Customers!Q74,""),"")</f>
        <v/>
      </c>
      <c r="E80" s="61" t="str">
        <f>IFERROR(IF(DB_Customers!R74&lt;&gt;"",DB_Customers!R74,""),"")</f>
        <v/>
      </c>
      <c r="F80" s="61" t="str">
        <f>IFERROR(IF(DB_Customers!S74&lt;&gt;"",DB_Customers!S74,""),"")</f>
        <v/>
      </c>
      <c r="G80" s="61" t="str">
        <f>IFERROR(IF(DB_Customers!G74&lt;&gt;"",DB_Customers!G74,""),"")</f>
        <v/>
      </c>
      <c r="H80" s="63" t="str">
        <f>IFERROR(IF(DB_Customers!H74&lt;&gt;"",DB_Customers!H74,""),"")</f>
        <v/>
      </c>
      <c r="I80" s="64" t="str">
        <f>IFERROR(IF(DB_Customers!I74&lt;&gt;"",DB_Customers!I74,""),"")</f>
        <v/>
      </c>
      <c r="J80" s="62" t="str">
        <f>IFERROR(IF(DB_Customers!J74&lt;&gt;"",DB_Customers!J74,""),"")</f>
        <v/>
      </c>
      <c r="K80" s="61" t="str">
        <f>IFERROR(IF(DB_Customers!E74&lt;&gt;"",DB_Customers!E74,""),"")</f>
        <v/>
      </c>
      <c r="L80" s="61" t="str">
        <f>IFERROR(IF(DB_Customers!F74&lt;&gt;"",DB_Customers!F74,""),"")</f>
        <v/>
      </c>
      <c r="M80" s="61" t="str">
        <f>IFERROR(IF(DB_Customers!T74&lt;&gt;"",DB_Customers!T74,""),"")</f>
        <v/>
      </c>
      <c r="N80" s="65" t="str">
        <f>IFERROR(IF(DB_Customers!A74&lt;&gt;"",IF(DB_Customers!I74&gt;=10,"Active","Inactive"),""),"")</f>
        <v/>
      </c>
    </row>
    <row r="81" spans="1:14" ht="18" customHeight="1" x14ac:dyDescent="0.25">
      <c r="A81" s="66" t="str">
        <f>IF(DB_Customers!A75&lt;&gt;"",72,"")</f>
        <v/>
      </c>
      <c r="B81" s="67" t="str">
        <f>IFERROR(IF(DB_Customers!A75&lt;&gt;"",DB_Customers!A75,""),"")</f>
        <v/>
      </c>
      <c r="C81" s="68" t="str">
        <f>IFERROR(IF(DB_Customers!D75&lt;&gt;"",DB_Customers!D75,""),"")</f>
        <v/>
      </c>
      <c r="D81" s="69" t="str">
        <f>IFERROR(IF(DB_Customers!Q75&lt;&gt;"",DB_Customers!Q75,""),"")</f>
        <v/>
      </c>
      <c r="E81" s="68" t="str">
        <f>IFERROR(IF(DB_Customers!R75&lt;&gt;"",DB_Customers!R75,""),"")</f>
        <v/>
      </c>
      <c r="F81" s="68" t="str">
        <f>IFERROR(IF(DB_Customers!S75&lt;&gt;"",DB_Customers!S75,""),"")</f>
        <v/>
      </c>
      <c r="G81" s="68" t="str">
        <f>IFERROR(IF(DB_Customers!G75&lt;&gt;"",DB_Customers!G75,""),"")</f>
        <v/>
      </c>
      <c r="H81" s="70" t="str">
        <f>IFERROR(IF(DB_Customers!H75&lt;&gt;"",DB_Customers!H75,""),"")</f>
        <v/>
      </c>
      <c r="I81" s="71" t="str">
        <f>IFERROR(IF(DB_Customers!I75&lt;&gt;"",DB_Customers!I75,""),"")</f>
        <v/>
      </c>
      <c r="J81" s="69" t="str">
        <f>IFERROR(IF(DB_Customers!J75&lt;&gt;"",DB_Customers!J75,""),"")</f>
        <v/>
      </c>
      <c r="K81" s="68" t="str">
        <f>IFERROR(IF(DB_Customers!E75&lt;&gt;"",DB_Customers!E75,""),"")</f>
        <v/>
      </c>
      <c r="L81" s="68" t="str">
        <f>IFERROR(IF(DB_Customers!F75&lt;&gt;"",DB_Customers!F75,""),"")</f>
        <v/>
      </c>
      <c r="M81" s="68" t="str">
        <f>IFERROR(IF(DB_Customers!T75&lt;&gt;"",DB_Customers!T75,""),"")</f>
        <v/>
      </c>
      <c r="N81" s="72" t="str">
        <f>IFERROR(IF(DB_Customers!A75&lt;&gt;"",IF(DB_Customers!I75&gt;=10,"Active","Inactive"),""),"")</f>
        <v/>
      </c>
    </row>
    <row r="82" spans="1:14" ht="18" customHeight="1" x14ac:dyDescent="0.25">
      <c r="A82" s="59" t="str">
        <f>IF(DB_Customers!A76&lt;&gt;"",73,"")</f>
        <v/>
      </c>
      <c r="B82" s="60" t="str">
        <f>IFERROR(IF(DB_Customers!A76&lt;&gt;"",DB_Customers!A76,""),"")</f>
        <v/>
      </c>
      <c r="C82" s="61" t="str">
        <f>IFERROR(IF(DB_Customers!D76&lt;&gt;"",DB_Customers!D76,""),"")</f>
        <v/>
      </c>
      <c r="D82" s="62" t="str">
        <f>IFERROR(IF(DB_Customers!Q76&lt;&gt;"",DB_Customers!Q76,""),"")</f>
        <v/>
      </c>
      <c r="E82" s="61" t="str">
        <f>IFERROR(IF(DB_Customers!R76&lt;&gt;"",DB_Customers!R76,""),"")</f>
        <v/>
      </c>
      <c r="F82" s="61" t="str">
        <f>IFERROR(IF(DB_Customers!S76&lt;&gt;"",DB_Customers!S76,""),"")</f>
        <v/>
      </c>
      <c r="G82" s="61" t="str">
        <f>IFERROR(IF(DB_Customers!G76&lt;&gt;"",DB_Customers!G76,""),"")</f>
        <v/>
      </c>
      <c r="H82" s="63" t="str">
        <f>IFERROR(IF(DB_Customers!H76&lt;&gt;"",DB_Customers!H76,""),"")</f>
        <v/>
      </c>
      <c r="I82" s="64" t="str">
        <f>IFERROR(IF(DB_Customers!I76&lt;&gt;"",DB_Customers!I76,""),"")</f>
        <v/>
      </c>
      <c r="J82" s="62" t="str">
        <f>IFERROR(IF(DB_Customers!J76&lt;&gt;"",DB_Customers!J76,""),"")</f>
        <v/>
      </c>
      <c r="K82" s="61" t="str">
        <f>IFERROR(IF(DB_Customers!E76&lt;&gt;"",DB_Customers!E76,""),"")</f>
        <v/>
      </c>
      <c r="L82" s="61" t="str">
        <f>IFERROR(IF(DB_Customers!F76&lt;&gt;"",DB_Customers!F76,""),"")</f>
        <v/>
      </c>
      <c r="M82" s="61" t="str">
        <f>IFERROR(IF(DB_Customers!T76&lt;&gt;"",DB_Customers!T76,""),"")</f>
        <v/>
      </c>
      <c r="N82" s="65" t="str">
        <f>IFERROR(IF(DB_Customers!A76&lt;&gt;"",IF(DB_Customers!I76&gt;=10,"Active","Inactive"),""),"")</f>
        <v/>
      </c>
    </row>
    <row r="83" spans="1:14" ht="18" customHeight="1" x14ac:dyDescent="0.25">
      <c r="A83" s="66" t="str">
        <f>IF(DB_Customers!A77&lt;&gt;"",74,"")</f>
        <v/>
      </c>
      <c r="B83" s="67" t="str">
        <f>IFERROR(IF(DB_Customers!A77&lt;&gt;"",DB_Customers!A77,""),"")</f>
        <v/>
      </c>
      <c r="C83" s="68" t="str">
        <f>IFERROR(IF(DB_Customers!D77&lt;&gt;"",DB_Customers!D77,""),"")</f>
        <v/>
      </c>
      <c r="D83" s="69" t="str">
        <f>IFERROR(IF(DB_Customers!Q77&lt;&gt;"",DB_Customers!Q77,""),"")</f>
        <v/>
      </c>
      <c r="E83" s="68" t="str">
        <f>IFERROR(IF(DB_Customers!R77&lt;&gt;"",DB_Customers!R77,""),"")</f>
        <v/>
      </c>
      <c r="F83" s="68" t="str">
        <f>IFERROR(IF(DB_Customers!S77&lt;&gt;"",DB_Customers!S77,""),"")</f>
        <v/>
      </c>
      <c r="G83" s="68" t="str">
        <f>IFERROR(IF(DB_Customers!G77&lt;&gt;"",DB_Customers!G77,""),"")</f>
        <v/>
      </c>
      <c r="H83" s="70" t="str">
        <f>IFERROR(IF(DB_Customers!H77&lt;&gt;"",DB_Customers!H77,""),"")</f>
        <v/>
      </c>
      <c r="I83" s="71" t="str">
        <f>IFERROR(IF(DB_Customers!I77&lt;&gt;"",DB_Customers!I77,""),"")</f>
        <v/>
      </c>
      <c r="J83" s="69" t="str">
        <f>IFERROR(IF(DB_Customers!J77&lt;&gt;"",DB_Customers!J77,""),"")</f>
        <v/>
      </c>
      <c r="K83" s="68" t="str">
        <f>IFERROR(IF(DB_Customers!E77&lt;&gt;"",DB_Customers!E77,""),"")</f>
        <v/>
      </c>
      <c r="L83" s="68" t="str">
        <f>IFERROR(IF(DB_Customers!F77&lt;&gt;"",DB_Customers!F77,""),"")</f>
        <v/>
      </c>
      <c r="M83" s="68" t="str">
        <f>IFERROR(IF(DB_Customers!T77&lt;&gt;"",DB_Customers!T77,""),"")</f>
        <v/>
      </c>
      <c r="N83" s="72" t="str">
        <f>IFERROR(IF(DB_Customers!A77&lt;&gt;"",IF(DB_Customers!I77&gt;=10,"Active","Inactive"),""),"")</f>
        <v/>
      </c>
    </row>
    <row r="84" spans="1:14" ht="18" customHeight="1" x14ac:dyDescent="0.25">
      <c r="A84" s="59" t="str">
        <f>IF(DB_Customers!A78&lt;&gt;"",75,"")</f>
        <v/>
      </c>
      <c r="B84" s="60" t="str">
        <f>IFERROR(IF(DB_Customers!A78&lt;&gt;"",DB_Customers!A78,""),"")</f>
        <v/>
      </c>
      <c r="C84" s="61" t="str">
        <f>IFERROR(IF(DB_Customers!D78&lt;&gt;"",DB_Customers!D78,""),"")</f>
        <v/>
      </c>
      <c r="D84" s="62" t="str">
        <f>IFERROR(IF(DB_Customers!Q78&lt;&gt;"",DB_Customers!Q78,""),"")</f>
        <v/>
      </c>
      <c r="E84" s="61" t="str">
        <f>IFERROR(IF(DB_Customers!R78&lt;&gt;"",DB_Customers!R78,""),"")</f>
        <v/>
      </c>
      <c r="F84" s="61" t="str">
        <f>IFERROR(IF(DB_Customers!S78&lt;&gt;"",DB_Customers!S78,""),"")</f>
        <v/>
      </c>
      <c r="G84" s="61" t="str">
        <f>IFERROR(IF(DB_Customers!G78&lt;&gt;"",DB_Customers!G78,""),"")</f>
        <v/>
      </c>
      <c r="H84" s="63" t="str">
        <f>IFERROR(IF(DB_Customers!H78&lt;&gt;"",DB_Customers!H78,""),"")</f>
        <v/>
      </c>
      <c r="I84" s="64" t="str">
        <f>IFERROR(IF(DB_Customers!I78&lt;&gt;"",DB_Customers!I78,""),"")</f>
        <v/>
      </c>
      <c r="J84" s="62" t="str">
        <f>IFERROR(IF(DB_Customers!J78&lt;&gt;"",DB_Customers!J78,""),"")</f>
        <v/>
      </c>
      <c r="K84" s="61" t="str">
        <f>IFERROR(IF(DB_Customers!E78&lt;&gt;"",DB_Customers!E78,""),"")</f>
        <v/>
      </c>
      <c r="L84" s="61" t="str">
        <f>IFERROR(IF(DB_Customers!F78&lt;&gt;"",DB_Customers!F78,""),"")</f>
        <v/>
      </c>
      <c r="M84" s="61" t="str">
        <f>IFERROR(IF(DB_Customers!T78&lt;&gt;"",DB_Customers!T78,""),"")</f>
        <v/>
      </c>
      <c r="N84" s="65" t="str">
        <f>IFERROR(IF(DB_Customers!A78&lt;&gt;"",IF(DB_Customers!I78&gt;=10,"Active","Inactive"),""),"")</f>
        <v/>
      </c>
    </row>
    <row r="85" spans="1:14" ht="18" customHeight="1" x14ac:dyDescent="0.25">
      <c r="A85" s="66" t="str">
        <f>IF(DB_Customers!A79&lt;&gt;"",76,"")</f>
        <v/>
      </c>
      <c r="B85" s="67" t="str">
        <f>IFERROR(IF(DB_Customers!A79&lt;&gt;"",DB_Customers!A79,""),"")</f>
        <v/>
      </c>
      <c r="C85" s="68" t="str">
        <f>IFERROR(IF(DB_Customers!D79&lt;&gt;"",DB_Customers!D79,""),"")</f>
        <v/>
      </c>
      <c r="D85" s="69" t="str">
        <f>IFERROR(IF(DB_Customers!Q79&lt;&gt;"",DB_Customers!Q79,""),"")</f>
        <v/>
      </c>
      <c r="E85" s="68" t="str">
        <f>IFERROR(IF(DB_Customers!R79&lt;&gt;"",DB_Customers!R79,""),"")</f>
        <v/>
      </c>
      <c r="F85" s="68" t="str">
        <f>IFERROR(IF(DB_Customers!S79&lt;&gt;"",DB_Customers!S79,""),"")</f>
        <v/>
      </c>
      <c r="G85" s="68" t="str">
        <f>IFERROR(IF(DB_Customers!G79&lt;&gt;"",DB_Customers!G79,""),"")</f>
        <v/>
      </c>
      <c r="H85" s="70" t="str">
        <f>IFERROR(IF(DB_Customers!H79&lt;&gt;"",DB_Customers!H79,""),"")</f>
        <v/>
      </c>
      <c r="I85" s="71" t="str">
        <f>IFERROR(IF(DB_Customers!I79&lt;&gt;"",DB_Customers!I79,""),"")</f>
        <v/>
      </c>
      <c r="J85" s="69" t="str">
        <f>IFERROR(IF(DB_Customers!J79&lt;&gt;"",DB_Customers!J79,""),"")</f>
        <v/>
      </c>
      <c r="K85" s="68" t="str">
        <f>IFERROR(IF(DB_Customers!E79&lt;&gt;"",DB_Customers!E79,""),"")</f>
        <v/>
      </c>
      <c r="L85" s="68" t="str">
        <f>IFERROR(IF(DB_Customers!F79&lt;&gt;"",DB_Customers!F79,""),"")</f>
        <v/>
      </c>
      <c r="M85" s="68" t="str">
        <f>IFERROR(IF(DB_Customers!T79&lt;&gt;"",DB_Customers!T79,""),"")</f>
        <v/>
      </c>
      <c r="N85" s="72" t="str">
        <f>IFERROR(IF(DB_Customers!A79&lt;&gt;"",IF(DB_Customers!I79&gt;=10,"Active","Inactive"),""),"")</f>
        <v/>
      </c>
    </row>
    <row r="86" spans="1:14" ht="18" customHeight="1" x14ac:dyDescent="0.25">
      <c r="A86" s="59" t="str">
        <f>IF(DB_Customers!A80&lt;&gt;"",77,"")</f>
        <v/>
      </c>
      <c r="B86" s="60" t="str">
        <f>IFERROR(IF(DB_Customers!A80&lt;&gt;"",DB_Customers!A80,""),"")</f>
        <v/>
      </c>
      <c r="C86" s="61" t="str">
        <f>IFERROR(IF(DB_Customers!D80&lt;&gt;"",DB_Customers!D80,""),"")</f>
        <v/>
      </c>
      <c r="D86" s="62" t="str">
        <f>IFERROR(IF(DB_Customers!Q80&lt;&gt;"",DB_Customers!Q80,""),"")</f>
        <v/>
      </c>
      <c r="E86" s="61" t="str">
        <f>IFERROR(IF(DB_Customers!R80&lt;&gt;"",DB_Customers!R80,""),"")</f>
        <v/>
      </c>
      <c r="F86" s="61" t="str">
        <f>IFERROR(IF(DB_Customers!S80&lt;&gt;"",DB_Customers!S80,""),"")</f>
        <v/>
      </c>
      <c r="G86" s="61" t="str">
        <f>IFERROR(IF(DB_Customers!G80&lt;&gt;"",DB_Customers!G80,""),"")</f>
        <v/>
      </c>
      <c r="H86" s="63" t="str">
        <f>IFERROR(IF(DB_Customers!H80&lt;&gt;"",DB_Customers!H80,""),"")</f>
        <v/>
      </c>
      <c r="I86" s="64" t="str">
        <f>IFERROR(IF(DB_Customers!I80&lt;&gt;"",DB_Customers!I80,""),"")</f>
        <v/>
      </c>
      <c r="J86" s="62" t="str">
        <f>IFERROR(IF(DB_Customers!J80&lt;&gt;"",DB_Customers!J80,""),"")</f>
        <v/>
      </c>
      <c r="K86" s="61" t="str">
        <f>IFERROR(IF(DB_Customers!E80&lt;&gt;"",DB_Customers!E80,""),"")</f>
        <v/>
      </c>
      <c r="L86" s="61" t="str">
        <f>IFERROR(IF(DB_Customers!F80&lt;&gt;"",DB_Customers!F80,""),"")</f>
        <v/>
      </c>
      <c r="M86" s="61" t="str">
        <f>IFERROR(IF(DB_Customers!T80&lt;&gt;"",DB_Customers!T80,""),"")</f>
        <v/>
      </c>
      <c r="N86" s="65" t="str">
        <f>IFERROR(IF(DB_Customers!A80&lt;&gt;"",IF(DB_Customers!I80&gt;=10,"Active","Inactive"),""),"")</f>
        <v/>
      </c>
    </row>
    <row r="87" spans="1:14" ht="18" customHeight="1" x14ac:dyDescent="0.25">
      <c r="A87" s="66" t="str">
        <f>IF(DB_Customers!A81&lt;&gt;"",78,"")</f>
        <v/>
      </c>
      <c r="B87" s="67" t="str">
        <f>IFERROR(IF(DB_Customers!A81&lt;&gt;"",DB_Customers!A81,""),"")</f>
        <v/>
      </c>
      <c r="C87" s="68" t="str">
        <f>IFERROR(IF(DB_Customers!D81&lt;&gt;"",DB_Customers!D81,""),"")</f>
        <v/>
      </c>
      <c r="D87" s="69" t="str">
        <f>IFERROR(IF(DB_Customers!Q81&lt;&gt;"",DB_Customers!Q81,""),"")</f>
        <v/>
      </c>
      <c r="E87" s="68" t="str">
        <f>IFERROR(IF(DB_Customers!R81&lt;&gt;"",DB_Customers!R81,""),"")</f>
        <v/>
      </c>
      <c r="F87" s="68" t="str">
        <f>IFERROR(IF(DB_Customers!S81&lt;&gt;"",DB_Customers!S81,""),"")</f>
        <v/>
      </c>
      <c r="G87" s="68" t="str">
        <f>IFERROR(IF(DB_Customers!G81&lt;&gt;"",DB_Customers!G81,""),"")</f>
        <v/>
      </c>
      <c r="H87" s="70" t="str">
        <f>IFERROR(IF(DB_Customers!H81&lt;&gt;"",DB_Customers!H81,""),"")</f>
        <v/>
      </c>
      <c r="I87" s="71" t="str">
        <f>IFERROR(IF(DB_Customers!I81&lt;&gt;"",DB_Customers!I81,""),"")</f>
        <v/>
      </c>
      <c r="J87" s="69" t="str">
        <f>IFERROR(IF(DB_Customers!J81&lt;&gt;"",DB_Customers!J81,""),"")</f>
        <v/>
      </c>
      <c r="K87" s="68" t="str">
        <f>IFERROR(IF(DB_Customers!E81&lt;&gt;"",DB_Customers!E81,""),"")</f>
        <v/>
      </c>
      <c r="L87" s="68" t="str">
        <f>IFERROR(IF(DB_Customers!F81&lt;&gt;"",DB_Customers!F81,""),"")</f>
        <v/>
      </c>
      <c r="M87" s="68" t="str">
        <f>IFERROR(IF(DB_Customers!T81&lt;&gt;"",DB_Customers!T81,""),"")</f>
        <v/>
      </c>
      <c r="N87" s="72" t="str">
        <f>IFERROR(IF(DB_Customers!A81&lt;&gt;"",IF(DB_Customers!I81&gt;=10,"Active","Inactive"),""),"")</f>
        <v/>
      </c>
    </row>
    <row r="88" spans="1:14" ht="18" customHeight="1" x14ac:dyDescent="0.25">
      <c r="A88" s="59" t="str">
        <f>IF(DB_Customers!A82&lt;&gt;"",79,"")</f>
        <v/>
      </c>
      <c r="B88" s="60" t="str">
        <f>IFERROR(IF(DB_Customers!A82&lt;&gt;"",DB_Customers!A82,""),"")</f>
        <v/>
      </c>
      <c r="C88" s="61" t="str">
        <f>IFERROR(IF(DB_Customers!D82&lt;&gt;"",DB_Customers!D82,""),"")</f>
        <v/>
      </c>
      <c r="D88" s="62" t="str">
        <f>IFERROR(IF(DB_Customers!Q82&lt;&gt;"",DB_Customers!Q82,""),"")</f>
        <v/>
      </c>
      <c r="E88" s="61" t="str">
        <f>IFERROR(IF(DB_Customers!R82&lt;&gt;"",DB_Customers!R82,""),"")</f>
        <v/>
      </c>
      <c r="F88" s="61" t="str">
        <f>IFERROR(IF(DB_Customers!S82&lt;&gt;"",DB_Customers!S82,""),"")</f>
        <v/>
      </c>
      <c r="G88" s="61" t="str">
        <f>IFERROR(IF(DB_Customers!G82&lt;&gt;"",DB_Customers!G82,""),"")</f>
        <v/>
      </c>
      <c r="H88" s="63" t="str">
        <f>IFERROR(IF(DB_Customers!H82&lt;&gt;"",DB_Customers!H82,""),"")</f>
        <v/>
      </c>
      <c r="I88" s="64" t="str">
        <f>IFERROR(IF(DB_Customers!I82&lt;&gt;"",DB_Customers!I82,""),"")</f>
        <v/>
      </c>
      <c r="J88" s="62" t="str">
        <f>IFERROR(IF(DB_Customers!J82&lt;&gt;"",DB_Customers!J82,""),"")</f>
        <v/>
      </c>
      <c r="K88" s="61" t="str">
        <f>IFERROR(IF(DB_Customers!E82&lt;&gt;"",DB_Customers!E82,""),"")</f>
        <v/>
      </c>
      <c r="L88" s="61" t="str">
        <f>IFERROR(IF(DB_Customers!F82&lt;&gt;"",DB_Customers!F82,""),"")</f>
        <v/>
      </c>
      <c r="M88" s="61" t="str">
        <f>IFERROR(IF(DB_Customers!T82&lt;&gt;"",DB_Customers!T82,""),"")</f>
        <v/>
      </c>
      <c r="N88" s="65" t="str">
        <f>IFERROR(IF(DB_Customers!A82&lt;&gt;"",IF(DB_Customers!I82&gt;=10,"Active","Inactive"),""),"")</f>
        <v/>
      </c>
    </row>
    <row r="89" spans="1:14" ht="18" customHeight="1" x14ac:dyDescent="0.25">
      <c r="A89" s="66" t="str">
        <f>IF(DB_Customers!A83&lt;&gt;"",80,"")</f>
        <v/>
      </c>
      <c r="B89" s="67" t="str">
        <f>IFERROR(IF(DB_Customers!A83&lt;&gt;"",DB_Customers!A83,""),"")</f>
        <v/>
      </c>
      <c r="C89" s="68" t="str">
        <f>IFERROR(IF(DB_Customers!D83&lt;&gt;"",DB_Customers!D83,""),"")</f>
        <v/>
      </c>
      <c r="D89" s="69" t="str">
        <f>IFERROR(IF(DB_Customers!Q83&lt;&gt;"",DB_Customers!Q83,""),"")</f>
        <v/>
      </c>
      <c r="E89" s="68" t="str">
        <f>IFERROR(IF(DB_Customers!R83&lt;&gt;"",DB_Customers!R83,""),"")</f>
        <v/>
      </c>
      <c r="F89" s="68" t="str">
        <f>IFERROR(IF(DB_Customers!S83&lt;&gt;"",DB_Customers!S83,""),"")</f>
        <v/>
      </c>
      <c r="G89" s="68" t="str">
        <f>IFERROR(IF(DB_Customers!G83&lt;&gt;"",DB_Customers!G83,""),"")</f>
        <v/>
      </c>
      <c r="H89" s="70" t="str">
        <f>IFERROR(IF(DB_Customers!H83&lt;&gt;"",DB_Customers!H83,""),"")</f>
        <v/>
      </c>
      <c r="I89" s="71" t="str">
        <f>IFERROR(IF(DB_Customers!I83&lt;&gt;"",DB_Customers!I83,""),"")</f>
        <v/>
      </c>
      <c r="J89" s="69" t="str">
        <f>IFERROR(IF(DB_Customers!J83&lt;&gt;"",DB_Customers!J83,""),"")</f>
        <v/>
      </c>
      <c r="K89" s="68" t="str">
        <f>IFERROR(IF(DB_Customers!E83&lt;&gt;"",DB_Customers!E83,""),"")</f>
        <v/>
      </c>
      <c r="L89" s="68" t="str">
        <f>IFERROR(IF(DB_Customers!F83&lt;&gt;"",DB_Customers!F83,""),"")</f>
        <v/>
      </c>
      <c r="M89" s="68" t="str">
        <f>IFERROR(IF(DB_Customers!T83&lt;&gt;"",DB_Customers!T83,""),"")</f>
        <v/>
      </c>
      <c r="N89" s="72" t="str">
        <f>IFERROR(IF(DB_Customers!A83&lt;&gt;"",IF(DB_Customers!I83&gt;=10,"Active","Inactive"),""),"")</f>
        <v/>
      </c>
    </row>
    <row r="90" spans="1:14" ht="18" customHeight="1" x14ac:dyDescent="0.25">
      <c r="A90" s="59" t="str">
        <f>IF(DB_Customers!A84&lt;&gt;"",81,"")</f>
        <v/>
      </c>
      <c r="B90" s="60" t="str">
        <f>IFERROR(IF(DB_Customers!A84&lt;&gt;"",DB_Customers!A84,""),"")</f>
        <v/>
      </c>
      <c r="C90" s="61" t="str">
        <f>IFERROR(IF(DB_Customers!D84&lt;&gt;"",DB_Customers!D84,""),"")</f>
        <v/>
      </c>
      <c r="D90" s="62" t="str">
        <f>IFERROR(IF(DB_Customers!Q84&lt;&gt;"",DB_Customers!Q84,""),"")</f>
        <v/>
      </c>
      <c r="E90" s="61" t="str">
        <f>IFERROR(IF(DB_Customers!R84&lt;&gt;"",DB_Customers!R84,""),"")</f>
        <v/>
      </c>
      <c r="F90" s="61" t="str">
        <f>IFERROR(IF(DB_Customers!S84&lt;&gt;"",DB_Customers!S84,""),"")</f>
        <v/>
      </c>
      <c r="G90" s="61" t="str">
        <f>IFERROR(IF(DB_Customers!G84&lt;&gt;"",DB_Customers!G84,""),"")</f>
        <v/>
      </c>
      <c r="H90" s="63" t="str">
        <f>IFERROR(IF(DB_Customers!H84&lt;&gt;"",DB_Customers!H84,""),"")</f>
        <v/>
      </c>
      <c r="I90" s="64" t="str">
        <f>IFERROR(IF(DB_Customers!I84&lt;&gt;"",DB_Customers!I84,""),"")</f>
        <v/>
      </c>
      <c r="J90" s="62" t="str">
        <f>IFERROR(IF(DB_Customers!J84&lt;&gt;"",DB_Customers!J84,""),"")</f>
        <v/>
      </c>
      <c r="K90" s="61" t="str">
        <f>IFERROR(IF(DB_Customers!E84&lt;&gt;"",DB_Customers!E84,""),"")</f>
        <v/>
      </c>
      <c r="L90" s="61" t="str">
        <f>IFERROR(IF(DB_Customers!F84&lt;&gt;"",DB_Customers!F84,""),"")</f>
        <v/>
      </c>
      <c r="M90" s="61" t="str">
        <f>IFERROR(IF(DB_Customers!T84&lt;&gt;"",DB_Customers!T84,""),"")</f>
        <v/>
      </c>
      <c r="N90" s="65" t="str">
        <f>IFERROR(IF(DB_Customers!A84&lt;&gt;"",IF(DB_Customers!I84&gt;=10,"Active","Inactive"),""),"")</f>
        <v/>
      </c>
    </row>
    <row r="91" spans="1:14" ht="18" customHeight="1" x14ac:dyDescent="0.25">
      <c r="A91" s="66" t="str">
        <f>IF(DB_Customers!A85&lt;&gt;"",82,"")</f>
        <v/>
      </c>
      <c r="B91" s="67" t="str">
        <f>IFERROR(IF(DB_Customers!A85&lt;&gt;"",DB_Customers!A85,""),"")</f>
        <v/>
      </c>
      <c r="C91" s="68" t="str">
        <f>IFERROR(IF(DB_Customers!D85&lt;&gt;"",DB_Customers!D85,""),"")</f>
        <v/>
      </c>
      <c r="D91" s="69" t="str">
        <f>IFERROR(IF(DB_Customers!Q85&lt;&gt;"",DB_Customers!Q85,""),"")</f>
        <v/>
      </c>
      <c r="E91" s="68" t="str">
        <f>IFERROR(IF(DB_Customers!R85&lt;&gt;"",DB_Customers!R85,""),"")</f>
        <v/>
      </c>
      <c r="F91" s="68" t="str">
        <f>IFERROR(IF(DB_Customers!S85&lt;&gt;"",DB_Customers!S85,""),"")</f>
        <v/>
      </c>
      <c r="G91" s="68" t="str">
        <f>IFERROR(IF(DB_Customers!G85&lt;&gt;"",DB_Customers!G85,""),"")</f>
        <v/>
      </c>
      <c r="H91" s="70" t="str">
        <f>IFERROR(IF(DB_Customers!H85&lt;&gt;"",DB_Customers!H85,""),"")</f>
        <v/>
      </c>
      <c r="I91" s="71" t="str">
        <f>IFERROR(IF(DB_Customers!I85&lt;&gt;"",DB_Customers!I85,""),"")</f>
        <v/>
      </c>
      <c r="J91" s="69" t="str">
        <f>IFERROR(IF(DB_Customers!J85&lt;&gt;"",DB_Customers!J85,""),"")</f>
        <v/>
      </c>
      <c r="K91" s="68" t="str">
        <f>IFERROR(IF(DB_Customers!E85&lt;&gt;"",DB_Customers!E85,""),"")</f>
        <v/>
      </c>
      <c r="L91" s="68" t="str">
        <f>IFERROR(IF(DB_Customers!F85&lt;&gt;"",DB_Customers!F85,""),"")</f>
        <v/>
      </c>
      <c r="M91" s="68" t="str">
        <f>IFERROR(IF(DB_Customers!T85&lt;&gt;"",DB_Customers!T85,""),"")</f>
        <v/>
      </c>
      <c r="N91" s="72" t="str">
        <f>IFERROR(IF(DB_Customers!A85&lt;&gt;"",IF(DB_Customers!I85&gt;=10,"Active","Inactive"),""),"")</f>
        <v/>
      </c>
    </row>
    <row r="92" spans="1:14" ht="18" customHeight="1" x14ac:dyDescent="0.25">
      <c r="A92" s="59" t="str">
        <f>IF(DB_Customers!A86&lt;&gt;"",83,"")</f>
        <v/>
      </c>
      <c r="B92" s="60" t="str">
        <f>IFERROR(IF(DB_Customers!A86&lt;&gt;"",DB_Customers!A86,""),"")</f>
        <v/>
      </c>
      <c r="C92" s="61" t="str">
        <f>IFERROR(IF(DB_Customers!D86&lt;&gt;"",DB_Customers!D86,""),"")</f>
        <v/>
      </c>
      <c r="D92" s="62" t="str">
        <f>IFERROR(IF(DB_Customers!Q86&lt;&gt;"",DB_Customers!Q86,""),"")</f>
        <v/>
      </c>
      <c r="E92" s="61" t="str">
        <f>IFERROR(IF(DB_Customers!R86&lt;&gt;"",DB_Customers!R86,""),"")</f>
        <v/>
      </c>
      <c r="F92" s="61" t="str">
        <f>IFERROR(IF(DB_Customers!S86&lt;&gt;"",DB_Customers!S86,""),"")</f>
        <v/>
      </c>
      <c r="G92" s="61" t="str">
        <f>IFERROR(IF(DB_Customers!G86&lt;&gt;"",DB_Customers!G86,""),"")</f>
        <v/>
      </c>
      <c r="H92" s="63" t="str">
        <f>IFERROR(IF(DB_Customers!H86&lt;&gt;"",DB_Customers!H86,""),"")</f>
        <v/>
      </c>
      <c r="I92" s="64" t="str">
        <f>IFERROR(IF(DB_Customers!I86&lt;&gt;"",DB_Customers!I86,""),"")</f>
        <v/>
      </c>
      <c r="J92" s="62" t="str">
        <f>IFERROR(IF(DB_Customers!J86&lt;&gt;"",DB_Customers!J86,""),"")</f>
        <v/>
      </c>
      <c r="K92" s="61" t="str">
        <f>IFERROR(IF(DB_Customers!E86&lt;&gt;"",DB_Customers!E86,""),"")</f>
        <v/>
      </c>
      <c r="L92" s="61" t="str">
        <f>IFERROR(IF(DB_Customers!F86&lt;&gt;"",DB_Customers!F86,""),"")</f>
        <v/>
      </c>
      <c r="M92" s="61" t="str">
        <f>IFERROR(IF(DB_Customers!T86&lt;&gt;"",DB_Customers!T86,""),"")</f>
        <v/>
      </c>
      <c r="N92" s="65" t="str">
        <f>IFERROR(IF(DB_Customers!A86&lt;&gt;"",IF(DB_Customers!I86&gt;=10,"Active","Inactive"),""),"")</f>
        <v/>
      </c>
    </row>
    <row r="93" spans="1:14" ht="18" customHeight="1" x14ac:dyDescent="0.25">
      <c r="A93" s="66" t="str">
        <f>IF(DB_Customers!A87&lt;&gt;"",84,"")</f>
        <v/>
      </c>
      <c r="B93" s="67" t="str">
        <f>IFERROR(IF(DB_Customers!A87&lt;&gt;"",DB_Customers!A87,""),"")</f>
        <v/>
      </c>
      <c r="C93" s="68" t="str">
        <f>IFERROR(IF(DB_Customers!D87&lt;&gt;"",DB_Customers!D87,""),"")</f>
        <v/>
      </c>
      <c r="D93" s="69" t="str">
        <f>IFERROR(IF(DB_Customers!Q87&lt;&gt;"",DB_Customers!Q87,""),"")</f>
        <v/>
      </c>
      <c r="E93" s="68" t="str">
        <f>IFERROR(IF(DB_Customers!R87&lt;&gt;"",DB_Customers!R87,""),"")</f>
        <v/>
      </c>
      <c r="F93" s="68" t="str">
        <f>IFERROR(IF(DB_Customers!S87&lt;&gt;"",DB_Customers!S87,""),"")</f>
        <v/>
      </c>
      <c r="G93" s="68" t="str">
        <f>IFERROR(IF(DB_Customers!G87&lt;&gt;"",DB_Customers!G87,""),"")</f>
        <v/>
      </c>
      <c r="H93" s="70" t="str">
        <f>IFERROR(IF(DB_Customers!H87&lt;&gt;"",DB_Customers!H87,""),"")</f>
        <v/>
      </c>
      <c r="I93" s="71" t="str">
        <f>IFERROR(IF(DB_Customers!I87&lt;&gt;"",DB_Customers!I87,""),"")</f>
        <v/>
      </c>
      <c r="J93" s="69" t="str">
        <f>IFERROR(IF(DB_Customers!J87&lt;&gt;"",DB_Customers!J87,""),"")</f>
        <v/>
      </c>
      <c r="K93" s="68" t="str">
        <f>IFERROR(IF(DB_Customers!E87&lt;&gt;"",DB_Customers!E87,""),"")</f>
        <v/>
      </c>
      <c r="L93" s="68" t="str">
        <f>IFERROR(IF(DB_Customers!F87&lt;&gt;"",DB_Customers!F87,""),"")</f>
        <v/>
      </c>
      <c r="M93" s="68" t="str">
        <f>IFERROR(IF(DB_Customers!T87&lt;&gt;"",DB_Customers!T87,""),"")</f>
        <v/>
      </c>
      <c r="N93" s="72" t="str">
        <f>IFERROR(IF(DB_Customers!A87&lt;&gt;"",IF(DB_Customers!I87&gt;=10,"Active","Inactive"),""),"")</f>
        <v/>
      </c>
    </row>
    <row r="94" spans="1:14" ht="18" customHeight="1" x14ac:dyDescent="0.25">
      <c r="A94" s="59" t="str">
        <f>IF(DB_Customers!A88&lt;&gt;"",85,"")</f>
        <v/>
      </c>
      <c r="B94" s="60" t="str">
        <f>IFERROR(IF(DB_Customers!A88&lt;&gt;"",DB_Customers!A88,""),"")</f>
        <v/>
      </c>
      <c r="C94" s="61" t="str">
        <f>IFERROR(IF(DB_Customers!D88&lt;&gt;"",DB_Customers!D88,""),"")</f>
        <v/>
      </c>
      <c r="D94" s="62" t="str">
        <f>IFERROR(IF(DB_Customers!Q88&lt;&gt;"",DB_Customers!Q88,""),"")</f>
        <v/>
      </c>
      <c r="E94" s="61" t="str">
        <f>IFERROR(IF(DB_Customers!R88&lt;&gt;"",DB_Customers!R88,""),"")</f>
        <v/>
      </c>
      <c r="F94" s="61" t="str">
        <f>IFERROR(IF(DB_Customers!S88&lt;&gt;"",DB_Customers!S88,""),"")</f>
        <v/>
      </c>
      <c r="G94" s="61" t="str">
        <f>IFERROR(IF(DB_Customers!G88&lt;&gt;"",DB_Customers!G88,""),"")</f>
        <v/>
      </c>
      <c r="H94" s="63" t="str">
        <f>IFERROR(IF(DB_Customers!H88&lt;&gt;"",DB_Customers!H88,""),"")</f>
        <v/>
      </c>
      <c r="I94" s="64" t="str">
        <f>IFERROR(IF(DB_Customers!I88&lt;&gt;"",DB_Customers!I88,""),"")</f>
        <v/>
      </c>
      <c r="J94" s="62" t="str">
        <f>IFERROR(IF(DB_Customers!J88&lt;&gt;"",DB_Customers!J88,""),"")</f>
        <v/>
      </c>
      <c r="K94" s="61" t="str">
        <f>IFERROR(IF(DB_Customers!E88&lt;&gt;"",DB_Customers!E88,""),"")</f>
        <v/>
      </c>
      <c r="L94" s="61" t="str">
        <f>IFERROR(IF(DB_Customers!F88&lt;&gt;"",DB_Customers!F88,""),"")</f>
        <v/>
      </c>
      <c r="M94" s="61" t="str">
        <f>IFERROR(IF(DB_Customers!T88&lt;&gt;"",DB_Customers!T88,""),"")</f>
        <v/>
      </c>
      <c r="N94" s="65" t="str">
        <f>IFERROR(IF(DB_Customers!A88&lt;&gt;"",IF(DB_Customers!I88&gt;=10,"Active","Inactive"),""),"")</f>
        <v/>
      </c>
    </row>
    <row r="95" spans="1:14" ht="18" customHeight="1" x14ac:dyDescent="0.25">
      <c r="A95" s="66" t="str">
        <f>IF(DB_Customers!A89&lt;&gt;"",86,"")</f>
        <v/>
      </c>
      <c r="B95" s="67" t="str">
        <f>IFERROR(IF(DB_Customers!A89&lt;&gt;"",DB_Customers!A89,""),"")</f>
        <v/>
      </c>
      <c r="C95" s="68" t="str">
        <f>IFERROR(IF(DB_Customers!D89&lt;&gt;"",DB_Customers!D89,""),"")</f>
        <v/>
      </c>
      <c r="D95" s="69" t="str">
        <f>IFERROR(IF(DB_Customers!Q89&lt;&gt;"",DB_Customers!Q89,""),"")</f>
        <v/>
      </c>
      <c r="E95" s="68" t="str">
        <f>IFERROR(IF(DB_Customers!R89&lt;&gt;"",DB_Customers!R89,""),"")</f>
        <v/>
      </c>
      <c r="F95" s="68" t="str">
        <f>IFERROR(IF(DB_Customers!S89&lt;&gt;"",DB_Customers!S89,""),"")</f>
        <v/>
      </c>
      <c r="G95" s="68" t="str">
        <f>IFERROR(IF(DB_Customers!G89&lt;&gt;"",DB_Customers!G89,""),"")</f>
        <v/>
      </c>
      <c r="H95" s="70" t="str">
        <f>IFERROR(IF(DB_Customers!H89&lt;&gt;"",DB_Customers!H89,""),"")</f>
        <v/>
      </c>
      <c r="I95" s="71" t="str">
        <f>IFERROR(IF(DB_Customers!I89&lt;&gt;"",DB_Customers!I89,""),"")</f>
        <v/>
      </c>
      <c r="J95" s="69" t="str">
        <f>IFERROR(IF(DB_Customers!J89&lt;&gt;"",DB_Customers!J89,""),"")</f>
        <v/>
      </c>
      <c r="K95" s="68" t="str">
        <f>IFERROR(IF(DB_Customers!E89&lt;&gt;"",DB_Customers!E89,""),"")</f>
        <v/>
      </c>
      <c r="L95" s="68" t="str">
        <f>IFERROR(IF(DB_Customers!F89&lt;&gt;"",DB_Customers!F89,""),"")</f>
        <v/>
      </c>
      <c r="M95" s="68" t="str">
        <f>IFERROR(IF(DB_Customers!T89&lt;&gt;"",DB_Customers!T89,""),"")</f>
        <v/>
      </c>
      <c r="N95" s="72" t="str">
        <f>IFERROR(IF(DB_Customers!A89&lt;&gt;"",IF(DB_Customers!I89&gt;=10,"Active","Inactive"),""),"")</f>
        <v/>
      </c>
    </row>
    <row r="96" spans="1:14" ht="18" customHeight="1" x14ac:dyDescent="0.25">
      <c r="A96" s="59" t="str">
        <f>IF(DB_Customers!A90&lt;&gt;"",87,"")</f>
        <v/>
      </c>
      <c r="B96" s="60" t="str">
        <f>IFERROR(IF(DB_Customers!A90&lt;&gt;"",DB_Customers!A90,""),"")</f>
        <v/>
      </c>
      <c r="C96" s="61" t="str">
        <f>IFERROR(IF(DB_Customers!D90&lt;&gt;"",DB_Customers!D90,""),"")</f>
        <v/>
      </c>
      <c r="D96" s="62" t="str">
        <f>IFERROR(IF(DB_Customers!Q90&lt;&gt;"",DB_Customers!Q90,""),"")</f>
        <v/>
      </c>
      <c r="E96" s="61" t="str">
        <f>IFERROR(IF(DB_Customers!R90&lt;&gt;"",DB_Customers!R90,""),"")</f>
        <v/>
      </c>
      <c r="F96" s="61" t="str">
        <f>IFERROR(IF(DB_Customers!S90&lt;&gt;"",DB_Customers!S90,""),"")</f>
        <v/>
      </c>
      <c r="G96" s="61" t="str">
        <f>IFERROR(IF(DB_Customers!G90&lt;&gt;"",DB_Customers!G90,""),"")</f>
        <v/>
      </c>
      <c r="H96" s="63" t="str">
        <f>IFERROR(IF(DB_Customers!H90&lt;&gt;"",DB_Customers!H90,""),"")</f>
        <v/>
      </c>
      <c r="I96" s="64" t="str">
        <f>IFERROR(IF(DB_Customers!I90&lt;&gt;"",DB_Customers!I90,""),"")</f>
        <v/>
      </c>
      <c r="J96" s="62" t="str">
        <f>IFERROR(IF(DB_Customers!J90&lt;&gt;"",DB_Customers!J90,""),"")</f>
        <v/>
      </c>
      <c r="K96" s="61" t="str">
        <f>IFERROR(IF(DB_Customers!E90&lt;&gt;"",DB_Customers!E90,""),"")</f>
        <v/>
      </c>
      <c r="L96" s="61" t="str">
        <f>IFERROR(IF(DB_Customers!F90&lt;&gt;"",DB_Customers!F90,""),"")</f>
        <v/>
      </c>
      <c r="M96" s="61" t="str">
        <f>IFERROR(IF(DB_Customers!T90&lt;&gt;"",DB_Customers!T90,""),"")</f>
        <v/>
      </c>
      <c r="N96" s="65" t="str">
        <f>IFERROR(IF(DB_Customers!A90&lt;&gt;"",IF(DB_Customers!I90&gt;=10,"Active","Inactive"),""),"")</f>
        <v/>
      </c>
    </row>
    <row r="97" spans="1:14" ht="18" customHeight="1" x14ac:dyDescent="0.25">
      <c r="A97" s="66" t="str">
        <f>IF(DB_Customers!A91&lt;&gt;"",88,"")</f>
        <v/>
      </c>
      <c r="B97" s="67" t="str">
        <f>IFERROR(IF(DB_Customers!A91&lt;&gt;"",DB_Customers!A91,""),"")</f>
        <v/>
      </c>
      <c r="C97" s="68" t="str">
        <f>IFERROR(IF(DB_Customers!D91&lt;&gt;"",DB_Customers!D91,""),"")</f>
        <v/>
      </c>
      <c r="D97" s="69" t="str">
        <f>IFERROR(IF(DB_Customers!Q91&lt;&gt;"",DB_Customers!Q91,""),"")</f>
        <v/>
      </c>
      <c r="E97" s="68" t="str">
        <f>IFERROR(IF(DB_Customers!R91&lt;&gt;"",DB_Customers!R91,""),"")</f>
        <v/>
      </c>
      <c r="F97" s="68" t="str">
        <f>IFERROR(IF(DB_Customers!S91&lt;&gt;"",DB_Customers!S91,""),"")</f>
        <v/>
      </c>
      <c r="G97" s="68" t="str">
        <f>IFERROR(IF(DB_Customers!G91&lt;&gt;"",DB_Customers!G91,""),"")</f>
        <v/>
      </c>
      <c r="H97" s="70" t="str">
        <f>IFERROR(IF(DB_Customers!H91&lt;&gt;"",DB_Customers!H91,""),"")</f>
        <v/>
      </c>
      <c r="I97" s="71" t="str">
        <f>IFERROR(IF(DB_Customers!I91&lt;&gt;"",DB_Customers!I91,""),"")</f>
        <v/>
      </c>
      <c r="J97" s="69" t="str">
        <f>IFERROR(IF(DB_Customers!J91&lt;&gt;"",DB_Customers!J91,""),"")</f>
        <v/>
      </c>
      <c r="K97" s="68" t="str">
        <f>IFERROR(IF(DB_Customers!E91&lt;&gt;"",DB_Customers!E91,""),"")</f>
        <v/>
      </c>
      <c r="L97" s="68" t="str">
        <f>IFERROR(IF(DB_Customers!F91&lt;&gt;"",DB_Customers!F91,""),"")</f>
        <v/>
      </c>
      <c r="M97" s="68" t="str">
        <f>IFERROR(IF(DB_Customers!T91&lt;&gt;"",DB_Customers!T91,""),"")</f>
        <v/>
      </c>
      <c r="N97" s="72" t="str">
        <f>IFERROR(IF(DB_Customers!A91&lt;&gt;"",IF(DB_Customers!I91&gt;=10,"Active","Inactive"),""),"")</f>
        <v/>
      </c>
    </row>
    <row r="98" spans="1:14" ht="18" customHeight="1" x14ac:dyDescent="0.25">
      <c r="A98" s="59" t="str">
        <f>IF(DB_Customers!A92&lt;&gt;"",89,"")</f>
        <v/>
      </c>
      <c r="B98" s="60" t="str">
        <f>IFERROR(IF(DB_Customers!A92&lt;&gt;"",DB_Customers!A92,""),"")</f>
        <v/>
      </c>
      <c r="C98" s="61" t="str">
        <f>IFERROR(IF(DB_Customers!D92&lt;&gt;"",DB_Customers!D92,""),"")</f>
        <v/>
      </c>
      <c r="D98" s="62" t="str">
        <f>IFERROR(IF(DB_Customers!Q92&lt;&gt;"",DB_Customers!Q92,""),"")</f>
        <v/>
      </c>
      <c r="E98" s="61" t="str">
        <f>IFERROR(IF(DB_Customers!R92&lt;&gt;"",DB_Customers!R92,""),"")</f>
        <v/>
      </c>
      <c r="F98" s="61" t="str">
        <f>IFERROR(IF(DB_Customers!S92&lt;&gt;"",DB_Customers!S92,""),"")</f>
        <v/>
      </c>
      <c r="G98" s="61" t="str">
        <f>IFERROR(IF(DB_Customers!G92&lt;&gt;"",DB_Customers!G92,""),"")</f>
        <v/>
      </c>
      <c r="H98" s="63" t="str">
        <f>IFERROR(IF(DB_Customers!H92&lt;&gt;"",DB_Customers!H92,""),"")</f>
        <v/>
      </c>
      <c r="I98" s="64" t="str">
        <f>IFERROR(IF(DB_Customers!I92&lt;&gt;"",DB_Customers!I92,""),"")</f>
        <v/>
      </c>
      <c r="J98" s="62" t="str">
        <f>IFERROR(IF(DB_Customers!J92&lt;&gt;"",DB_Customers!J92,""),"")</f>
        <v/>
      </c>
      <c r="K98" s="61" t="str">
        <f>IFERROR(IF(DB_Customers!E92&lt;&gt;"",DB_Customers!E92,""),"")</f>
        <v/>
      </c>
      <c r="L98" s="61" t="str">
        <f>IFERROR(IF(DB_Customers!F92&lt;&gt;"",DB_Customers!F92,""),"")</f>
        <v/>
      </c>
      <c r="M98" s="61" t="str">
        <f>IFERROR(IF(DB_Customers!T92&lt;&gt;"",DB_Customers!T92,""),"")</f>
        <v/>
      </c>
      <c r="N98" s="65" t="str">
        <f>IFERROR(IF(DB_Customers!A92&lt;&gt;"",IF(DB_Customers!I92&gt;=10,"Active","Inactive"),""),"")</f>
        <v/>
      </c>
    </row>
    <row r="99" spans="1:14" ht="18" customHeight="1" x14ac:dyDescent="0.25">
      <c r="A99" s="66" t="str">
        <f>IF(DB_Customers!A93&lt;&gt;"",90,"")</f>
        <v/>
      </c>
      <c r="B99" s="67" t="str">
        <f>IFERROR(IF(DB_Customers!A93&lt;&gt;"",DB_Customers!A93,""),"")</f>
        <v/>
      </c>
      <c r="C99" s="68" t="str">
        <f>IFERROR(IF(DB_Customers!D93&lt;&gt;"",DB_Customers!D93,""),"")</f>
        <v/>
      </c>
      <c r="D99" s="69" t="str">
        <f>IFERROR(IF(DB_Customers!Q93&lt;&gt;"",DB_Customers!Q93,""),"")</f>
        <v/>
      </c>
      <c r="E99" s="68" t="str">
        <f>IFERROR(IF(DB_Customers!R93&lt;&gt;"",DB_Customers!R93,""),"")</f>
        <v/>
      </c>
      <c r="F99" s="68" t="str">
        <f>IFERROR(IF(DB_Customers!S93&lt;&gt;"",DB_Customers!S93,""),"")</f>
        <v/>
      </c>
      <c r="G99" s="68" t="str">
        <f>IFERROR(IF(DB_Customers!G93&lt;&gt;"",DB_Customers!G93,""),"")</f>
        <v/>
      </c>
      <c r="H99" s="70" t="str">
        <f>IFERROR(IF(DB_Customers!H93&lt;&gt;"",DB_Customers!H93,""),"")</f>
        <v/>
      </c>
      <c r="I99" s="71" t="str">
        <f>IFERROR(IF(DB_Customers!I93&lt;&gt;"",DB_Customers!I93,""),"")</f>
        <v/>
      </c>
      <c r="J99" s="69" t="str">
        <f>IFERROR(IF(DB_Customers!J93&lt;&gt;"",DB_Customers!J93,""),"")</f>
        <v/>
      </c>
      <c r="K99" s="68" t="str">
        <f>IFERROR(IF(DB_Customers!E93&lt;&gt;"",DB_Customers!E93,""),"")</f>
        <v/>
      </c>
      <c r="L99" s="68" t="str">
        <f>IFERROR(IF(DB_Customers!F93&lt;&gt;"",DB_Customers!F93,""),"")</f>
        <v/>
      </c>
      <c r="M99" s="68" t="str">
        <f>IFERROR(IF(DB_Customers!T93&lt;&gt;"",DB_Customers!T93,""),"")</f>
        <v/>
      </c>
      <c r="N99" s="72" t="str">
        <f>IFERROR(IF(DB_Customers!A93&lt;&gt;"",IF(DB_Customers!I93&gt;=10,"Active","Inactive"),""),"")</f>
        <v/>
      </c>
    </row>
    <row r="100" spans="1:14" ht="18" customHeight="1" x14ac:dyDescent="0.25">
      <c r="A100" s="59" t="str">
        <f>IF(DB_Customers!A94&lt;&gt;"",91,"")</f>
        <v/>
      </c>
      <c r="B100" s="60" t="str">
        <f>IFERROR(IF(DB_Customers!A94&lt;&gt;"",DB_Customers!A94,""),"")</f>
        <v/>
      </c>
      <c r="C100" s="61" t="str">
        <f>IFERROR(IF(DB_Customers!D94&lt;&gt;"",DB_Customers!D94,""),"")</f>
        <v/>
      </c>
      <c r="D100" s="62" t="str">
        <f>IFERROR(IF(DB_Customers!Q94&lt;&gt;"",DB_Customers!Q94,""),"")</f>
        <v/>
      </c>
      <c r="E100" s="61" t="str">
        <f>IFERROR(IF(DB_Customers!R94&lt;&gt;"",DB_Customers!R94,""),"")</f>
        <v/>
      </c>
      <c r="F100" s="61" t="str">
        <f>IFERROR(IF(DB_Customers!S94&lt;&gt;"",DB_Customers!S94,""),"")</f>
        <v/>
      </c>
      <c r="G100" s="61" t="str">
        <f>IFERROR(IF(DB_Customers!G94&lt;&gt;"",DB_Customers!G94,""),"")</f>
        <v/>
      </c>
      <c r="H100" s="63" t="str">
        <f>IFERROR(IF(DB_Customers!H94&lt;&gt;"",DB_Customers!H94,""),"")</f>
        <v/>
      </c>
      <c r="I100" s="64" t="str">
        <f>IFERROR(IF(DB_Customers!I94&lt;&gt;"",DB_Customers!I94,""),"")</f>
        <v/>
      </c>
      <c r="J100" s="62" t="str">
        <f>IFERROR(IF(DB_Customers!J94&lt;&gt;"",DB_Customers!J94,""),"")</f>
        <v/>
      </c>
      <c r="K100" s="61" t="str">
        <f>IFERROR(IF(DB_Customers!E94&lt;&gt;"",DB_Customers!E94,""),"")</f>
        <v/>
      </c>
      <c r="L100" s="61" t="str">
        <f>IFERROR(IF(DB_Customers!F94&lt;&gt;"",DB_Customers!F94,""),"")</f>
        <v/>
      </c>
      <c r="M100" s="61" t="str">
        <f>IFERROR(IF(DB_Customers!T94&lt;&gt;"",DB_Customers!T94,""),"")</f>
        <v/>
      </c>
      <c r="N100" s="65" t="str">
        <f>IFERROR(IF(DB_Customers!A94&lt;&gt;"",IF(DB_Customers!I94&gt;=10,"Active","Inactive"),""),"")</f>
        <v/>
      </c>
    </row>
    <row r="101" spans="1:14" ht="18" customHeight="1" x14ac:dyDescent="0.25">
      <c r="A101" s="66" t="str">
        <f>IF(DB_Customers!A95&lt;&gt;"",92,"")</f>
        <v/>
      </c>
      <c r="B101" s="67" t="str">
        <f>IFERROR(IF(DB_Customers!A95&lt;&gt;"",DB_Customers!A95,""),"")</f>
        <v/>
      </c>
      <c r="C101" s="68" t="str">
        <f>IFERROR(IF(DB_Customers!D95&lt;&gt;"",DB_Customers!D95,""),"")</f>
        <v/>
      </c>
      <c r="D101" s="69" t="str">
        <f>IFERROR(IF(DB_Customers!Q95&lt;&gt;"",DB_Customers!Q95,""),"")</f>
        <v/>
      </c>
      <c r="E101" s="68" t="str">
        <f>IFERROR(IF(DB_Customers!R95&lt;&gt;"",DB_Customers!R95,""),"")</f>
        <v/>
      </c>
      <c r="F101" s="68" t="str">
        <f>IFERROR(IF(DB_Customers!S95&lt;&gt;"",DB_Customers!S95,""),"")</f>
        <v/>
      </c>
      <c r="G101" s="68" t="str">
        <f>IFERROR(IF(DB_Customers!G95&lt;&gt;"",DB_Customers!G95,""),"")</f>
        <v/>
      </c>
      <c r="H101" s="70" t="str">
        <f>IFERROR(IF(DB_Customers!H95&lt;&gt;"",DB_Customers!H95,""),"")</f>
        <v/>
      </c>
      <c r="I101" s="71" t="str">
        <f>IFERROR(IF(DB_Customers!I95&lt;&gt;"",DB_Customers!I95,""),"")</f>
        <v/>
      </c>
      <c r="J101" s="69" t="str">
        <f>IFERROR(IF(DB_Customers!J95&lt;&gt;"",DB_Customers!J95,""),"")</f>
        <v/>
      </c>
      <c r="K101" s="68" t="str">
        <f>IFERROR(IF(DB_Customers!E95&lt;&gt;"",DB_Customers!E95,""),"")</f>
        <v/>
      </c>
      <c r="L101" s="68" t="str">
        <f>IFERROR(IF(DB_Customers!F95&lt;&gt;"",DB_Customers!F95,""),"")</f>
        <v/>
      </c>
      <c r="M101" s="68" t="str">
        <f>IFERROR(IF(DB_Customers!T95&lt;&gt;"",DB_Customers!T95,""),"")</f>
        <v/>
      </c>
      <c r="N101" s="72" t="str">
        <f>IFERROR(IF(DB_Customers!A95&lt;&gt;"",IF(DB_Customers!I95&gt;=10,"Active","Inactive"),""),"")</f>
        <v/>
      </c>
    </row>
    <row r="102" spans="1:14" ht="18" customHeight="1" x14ac:dyDescent="0.25">
      <c r="A102" s="59" t="str">
        <f>IF(DB_Customers!A96&lt;&gt;"",93,"")</f>
        <v/>
      </c>
      <c r="B102" s="60" t="str">
        <f>IFERROR(IF(DB_Customers!A96&lt;&gt;"",DB_Customers!A96,""),"")</f>
        <v/>
      </c>
      <c r="C102" s="61" t="str">
        <f>IFERROR(IF(DB_Customers!D96&lt;&gt;"",DB_Customers!D96,""),"")</f>
        <v/>
      </c>
      <c r="D102" s="62" t="str">
        <f>IFERROR(IF(DB_Customers!Q96&lt;&gt;"",DB_Customers!Q96,""),"")</f>
        <v/>
      </c>
      <c r="E102" s="61" t="str">
        <f>IFERROR(IF(DB_Customers!R96&lt;&gt;"",DB_Customers!R96,""),"")</f>
        <v/>
      </c>
      <c r="F102" s="61" t="str">
        <f>IFERROR(IF(DB_Customers!S96&lt;&gt;"",DB_Customers!S96,""),"")</f>
        <v/>
      </c>
      <c r="G102" s="61" t="str">
        <f>IFERROR(IF(DB_Customers!G96&lt;&gt;"",DB_Customers!G96,""),"")</f>
        <v/>
      </c>
      <c r="H102" s="63" t="str">
        <f>IFERROR(IF(DB_Customers!H96&lt;&gt;"",DB_Customers!H96,""),"")</f>
        <v/>
      </c>
      <c r="I102" s="64" t="str">
        <f>IFERROR(IF(DB_Customers!I96&lt;&gt;"",DB_Customers!I96,""),"")</f>
        <v/>
      </c>
      <c r="J102" s="62" t="str">
        <f>IFERROR(IF(DB_Customers!J96&lt;&gt;"",DB_Customers!J96,""),"")</f>
        <v/>
      </c>
      <c r="K102" s="61" t="str">
        <f>IFERROR(IF(DB_Customers!E96&lt;&gt;"",DB_Customers!E96,""),"")</f>
        <v/>
      </c>
      <c r="L102" s="61" t="str">
        <f>IFERROR(IF(DB_Customers!F96&lt;&gt;"",DB_Customers!F96,""),"")</f>
        <v/>
      </c>
      <c r="M102" s="61" t="str">
        <f>IFERROR(IF(DB_Customers!T96&lt;&gt;"",DB_Customers!T96,""),"")</f>
        <v/>
      </c>
      <c r="N102" s="65" t="str">
        <f>IFERROR(IF(DB_Customers!A96&lt;&gt;"",IF(DB_Customers!I96&gt;=10,"Active","Inactive"),""),"")</f>
        <v/>
      </c>
    </row>
    <row r="103" spans="1:14" ht="18" customHeight="1" x14ac:dyDescent="0.25">
      <c r="A103" s="66" t="str">
        <f>IF(DB_Customers!A97&lt;&gt;"",94,"")</f>
        <v/>
      </c>
      <c r="B103" s="67" t="str">
        <f>IFERROR(IF(DB_Customers!A97&lt;&gt;"",DB_Customers!A97,""),"")</f>
        <v/>
      </c>
      <c r="C103" s="68" t="str">
        <f>IFERROR(IF(DB_Customers!D97&lt;&gt;"",DB_Customers!D97,""),"")</f>
        <v/>
      </c>
      <c r="D103" s="69" t="str">
        <f>IFERROR(IF(DB_Customers!Q97&lt;&gt;"",DB_Customers!Q97,""),"")</f>
        <v/>
      </c>
      <c r="E103" s="68" t="str">
        <f>IFERROR(IF(DB_Customers!R97&lt;&gt;"",DB_Customers!R97,""),"")</f>
        <v/>
      </c>
      <c r="F103" s="68" t="str">
        <f>IFERROR(IF(DB_Customers!S97&lt;&gt;"",DB_Customers!S97,""),"")</f>
        <v/>
      </c>
      <c r="G103" s="68" t="str">
        <f>IFERROR(IF(DB_Customers!G97&lt;&gt;"",DB_Customers!G97,""),"")</f>
        <v/>
      </c>
      <c r="H103" s="70" t="str">
        <f>IFERROR(IF(DB_Customers!H97&lt;&gt;"",DB_Customers!H97,""),"")</f>
        <v/>
      </c>
      <c r="I103" s="71" t="str">
        <f>IFERROR(IF(DB_Customers!I97&lt;&gt;"",DB_Customers!I97,""),"")</f>
        <v/>
      </c>
      <c r="J103" s="69" t="str">
        <f>IFERROR(IF(DB_Customers!J97&lt;&gt;"",DB_Customers!J97,""),"")</f>
        <v/>
      </c>
      <c r="K103" s="68" t="str">
        <f>IFERROR(IF(DB_Customers!E97&lt;&gt;"",DB_Customers!E97,""),"")</f>
        <v/>
      </c>
      <c r="L103" s="68" t="str">
        <f>IFERROR(IF(DB_Customers!F97&lt;&gt;"",DB_Customers!F97,""),"")</f>
        <v/>
      </c>
      <c r="M103" s="68" t="str">
        <f>IFERROR(IF(DB_Customers!T97&lt;&gt;"",DB_Customers!T97,""),"")</f>
        <v/>
      </c>
      <c r="N103" s="72" t="str">
        <f>IFERROR(IF(DB_Customers!A97&lt;&gt;"",IF(DB_Customers!I97&gt;=10,"Active","Inactive"),""),"")</f>
        <v/>
      </c>
    </row>
    <row r="104" spans="1:14" ht="18" customHeight="1" x14ac:dyDescent="0.25">
      <c r="A104" s="59" t="str">
        <f>IF(DB_Customers!A98&lt;&gt;"",95,"")</f>
        <v/>
      </c>
      <c r="B104" s="60" t="str">
        <f>IFERROR(IF(DB_Customers!A98&lt;&gt;"",DB_Customers!A98,""),"")</f>
        <v/>
      </c>
      <c r="C104" s="61" t="str">
        <f>IFERROR(IF(DB_Customers!D98&lt;&gt;"",DB_Customers!D98,""),"")</f>
        <v/>
      </c>
      <c r="D104" s="62" t="str">
        <f>IFERROR(IF(DB_Customers!Q98&lt;&gt;"",DB_Customers!Q98,""),"")</f>
        <v/>
      </c>
      <c r="E104" s="61" t="str">
        <f>IFERROR(IF(DB_Customers!R98&lt;&gt;"",DB_Customers!R98,""),"")</f>
        <v/>
      </c>
      <c r="F104" s="61" t="str">
        <f>IFERROR(IF(DB_Customers!S98&lt;&gt;"",DB_Customers!S98,""),"")</f>
        <v/>
      </c>
      <c r="G104" s="61" t="str">
        <f>IFERROR(IF(DB_Customers!G98&lt;&gt;"",DB_Customers!G98,""),"")</f>
        <v/>
      </c>
      <c r="H104" s="63" t="str">
        <f>IFERROR(IF(DB_Customers!H98&lt;&gt;"",DB_Customers!H98,""),"")</f>
        <v/>
      </c>
      <c r="I104" s="64" t="str">
        <f>IFERROR(IF(DB_Customers!I98&lt;&gt;"",DB_Customers!I98,""),"")</f>
        <v/>
      </c>
      <c r="J104" s="62" t="str">
        <f>IFERROR(IF(DB_Customers!J98&lt;&gt;"",DB_Customers!J98,""),"")</f>
        <v/>
      </c>
      <c r="K104" s="61" t="str">
        <f>IFERROR(IF(DB_Customers!E98&lt;&gt;"",DB_Customers!E98,""),"")</f>
        <v/>
      </c>
      <c r="L104" s="61" t="str">
        <f>IFERROR(IF(DB_Customers!F98&lt;&gt;"",DB_Customers!F98,""),"")</f>
        <v/>
      </c>
      <c r="M104" s="61" t="str">
        <f>IFERROR(IF(DB_Customers!T98&lt;&gt;"",DB_Customers!T98,""),"")</f>
        <v/>
      </c>
      <c r="N104" s="65" t="str">
        <f>IFERROR(IF(DB_Customers!A98&lt;&gt;"",IF(DB_Customers!I98&gt;=10,"Active","Inactive"),""),"")</f>
        <v/>
      </c>
    </row>
    <row r="105" spans="1:14" ht="18" customHeight="1" x14ac:dyDescent="0.25">
      <c r="A105" s="66" t="str">
        <f>IF(DB_Customers!A99&lt;&gt;"",96,"")</f>
        <v/>
      </c>
      <c r="B105" s="67" t="str">
        <f>IFERROR(IF(DB_Customers!A99&lt;&gt;"",DB_Customers!A99,""),"")</f>
        <v/>
      </c>
      <c r="C105" s="68" t="str">
        <f>IFERROR(IF(DB_Customers!D99&lt;&gt;"",DB_Customers!D99,""),"")</f>
        <v/>
      </c>
      <c r="D105" s="69" t="str">
        <f>IFERROR(IF(DB_Customers!Q99&lt;&gt;"",DB_Customers!Q99,""),"")</f>
        <v/>
      </c>
      <c r="E105" s="68" t="str">
        <f>IFERROR(IF(DB_Customers!R99&lt;&gt;"",DB_Customers!R99,""),"")</f>
        <v/>
      </c>
      <c r="F105" s="68" t="str">
        <f>IFERROR(IF(DB_Customers!S99&lt;&gt;"",DB_Customers!S99,""),"")</f>
        <v/>
      </c>
      <c r="G105" s="68" t="str">
        <f>IFERROR(IF(DB_Customers!G99&lt;&gt;"",DB_Customers!G99,""),"")</f>
        <v/>
      </c>
      <c r="H105" s="70" t="str">
        <f>IFERROR(IF(DB_Customers!H99&lt;&gt;"",DB_Customers!H99,""),"")</f>
        <v/>
      </c>
      <c r="I105" s="71" t="str">
        <f>IFERROR(IF(DB_Customers!I99&lt;&gt;"",DB_Customers!I99,""),"")</f>
        <v/>
      </c>
      <c r="J105" s="69" t="str">
        <f>IFERROR(IF(DB_Customers!J99&lt;&gt;"",DB_Customers!J99,""),"")</f>
        <v/>
      </c>
      <c r="K105" s="68" t="str">
        <f>IFERROR(IF(DB_Customers!E99&lt;&gt;"",DB_Customers!E99,""),"")</f>
        <v/>
      </c>
      <c r="L105" s="68" t="str">
        <f>IFERROR(IF(DB_Customers!F99&lt;&gt;"",DB_Customers!F99,""),"")</f>
        <v/>
      </c>
      <c r="M105" s="68" t="str">
        <f>IFERROR(IF(DB_Customers!T99&lt;&gt;"",DB_Customers!T99,""),"")</f>
        <v/>
      </c>
      <c r="N105" s="72" t="str">
        <f>IFERROR(IF(DB_Customers!A99&lt;&gt;"",IF(DB_Customers!I99&gt;=10,"Active","Inactive"),""),"")</f>
        <v/>
      </c>
    </row>
    <row r="106" spans="1:14" ht="18" customHeight="1" x14ac:dyDescent="0.25">
      <c r="A106" s="59" t="str">
        <f>IF(DB_Customers!A100&lt;&gt;"",97,"")</f>
        <v/>
      </c>
      <c r="B106" s="60" t="str">
        <f>IFERROR(IF(DB_Customers!A100&lt;&gt;"",DB_Customers!A100,""),"")</f>
        <v/>
      </c>
      <c r="C106" s="61" t="str">
        <f>IFERROR(IF(DB_Customers!D100&lt;&gt;"",DB_Customers!D100,""),"")</f>
        <v/>
      </c>
      <c r="D106" s="62" t="str">
        <f>IFERROR(IF(DB_Customers!Q100&lt;&gt;"",DB_Customers!Q100,""),"")</f>
        <v/>
      </c>
      <c r="E106" s="61" t="str">
        <f>IFERROR(IF(DB_Customers!R100&lt;&gt;"",DB_Customers!R100,""),"")</f>
        <v/>
      </c>
      <c r="F106" s="61" t="str">
        <f>IFERROR(IF(DB_Customers!S100&lt;&gt;"",DB_Customers!S100,""),"")</f>
        <v/>
      </c>
      <c r="G106" s="61" t="str">
        <f>IFERROR(IF(DB_Customers!G100&lt;&gt;"",DB_Customers!G100,""),"")</f>
        <v/>
      </c>
      <c r="H106" s="63" t="str">
        <f>IFERROR(IF(DB_Customers!H100&lt;&gt;"",DB_Customers!H100,""),"")</f>
        <v/>
      </c>
      <c r="I106" s="64" t="str">
        <f>IFERROR(IF(DB_Customers!I100&lt;&gt;"",DB_Customers!I100,""),"")</f>
        <v/>
      </c>
      <c r="J106" s="62" t="str">
        <f>IFERROR(IF(DB_Customers!J100&lt;&gt;"",DB_Customers!J100,""),"")</f>
        <v/>
      </c>
      <c r="K106" s="61" t="str">
        <f>IFERROR(IF(DB_Customers!E100&lt;&gt;"",DB_Customers!E100,""),"")</f>
        <v/>
      </c>
      <c r="L106" s="61" t="str">
        <f>IFERROR(IF(DB_Customers!F100&lt;&gt;"",DB_Customers!F100,""),"")</f>
        <v/>
      </c>
      <c r="M106" s="61" t="str">
        <f>IFERROR(IF(DB_Customers!T100&lt;&gt;"",DB_Customers!T100,""),"")</f>
        <v/>
      </c>
      <c r="N106" s="65" t="str">
        <f>IFERROR(IF(DB_Customers!A100&lt;&gt;"",IF(DB_Customers!I100&gt;=10,"Active","Inactive"),""),"")</f>
        <v/>
      </c>
    </row>
    <row r="107" spans="1:14" ht="18" customHeight="1" x14ac:dyDescent="0.25">
      <c r="A107" s="66" t="str">
        <f>IF(DB_Customers!A101&lt;&gt;"",98,"")</f>
        <v/>
      </c>
      <c r="B107" s="67" t="str">
        <f>IFERROR(IF(DB_Customers!A101&lt;&gt;"",DB_Customers!A101,""),"")</f>
        <v/>
      </c>
      <c r="C107" s="68" t="str">
        <f>IFERROR(IF(DB_Customers!D101&lt;&gt;"",DB_Customers!D101,""),"")</f>
        <v/>
      </c>
      <c r="D107" s="69" t="str">
        <f>IFERROR(IF(DB_Customers!Q101&lt;&gt;"",DB_Customers!Q101,""),"")</f>
        <v/>
      </c>
      <c r="E107" s="68" t="str">
        <f>IFERROR(IF(DB_Customers!R101&lt;&gt;"",DB_Customers!R101,""),"")</f>
        <v/>
      </c>
      <c r="F107" s="68" t="str">
        <f>IFERROR(IF(DB_Customers!S101&lt;&gt;"",DB_Customers!S101,""),"")</f>
        <v/>
      </c>
      <c r="G107" s="68" t="str">
        <f>IFERROR(IF(DB_Customers!G101&lt;&gt;"",DB_Customers!G101,""),"")</f>
        <v/>
      </c>
      <c r="H107" s="70" t="str">
        <f>IFERROR(IF(DB_Customers!H101&lt;&gt;"",DB_Customers!H101,""),"")</f>
        <v/>
      </c>
      <c r="I107" s="71" t="str">
        <f>IFERROR(IF(DB_Customers!I101&lt;&gt;"",DB_Customers!I101,""),"")</f>
        <v/>
      </c>
      <c r="J107" s="69" t="str">
        <f>IFERROR(IF(DB_Customers!J101&lt;&gt;"",DB_Customers!J101,""),"")</f>
        <v/>
      </c>
      <c r="K107" s="68" t="str">
        <f>IFERROR(IF(DB_Customers!E101&lt;&gt;"",DB_Customers!E101,""),"")</f>
        <v/>
      </c>
      <c r="L107" s="68" t="str">
        <f>IFERROR(IF(DB_Customers!F101&lt;&gt;"",DB_Customers!F101,""),"")</f>
        <v/>
      </c>
      <c r="M107" s="68" t="str">
        <f>IFERROR(IF(DB_Customers!T101&lt;&gt;"",DB_Customers!T101,""),"")</f>
        <v/>
      </c>
      <c r="N107" s="72" t="str">
        <f>IFERROR(IF(DB_Customers!A101&lt;&gt;"",IF(DB_Customers!I101&gt;=10,"Active","Inactive"),""),"")</f>
        <v/>
      </c>
    </row>
    <row r="108" spans="1:14" ht="18" customHeight="1" x14ac:dyDescent="0.25">
      <c r="A108" s="59" t="str">
        <f>IF(DB_Customers!A102&lt;&gt;"",99,"")</f>
        <v/>
      </c>
      <c r="B108" s="60" t="str">
        <f>IFERROR(IF(DB_Customers!A102&lt;&gt;"",DB_Customers!A102,""),"")</f>
        <v/>
      </c>
      <c r="C108" s="61" t="str">
        <f>IFERROR(IF(DB_Customers!D102&lt;&gt;"",DB_Customers!D102,""),"")</f>
        <v/>
      </c>
      <c r="D108" s="62" t="str">
        <f>IFERROR(IF(DB_Customers!Q102&lt;&gt;"",DB_Customers!Q102,""),"")</f>
        <v/>
      </c>
      <c r="E108" s="61" t="str">
        <f>IFERROR(IF(DB_Customers!R102&lt;&gt;"",DB_Customers!R102,""),"")</f>
        <v/>
      </c>
      <c r="F108" s="61" t="str">
        <f>IFERROR(IF(DB_Customers!S102&lt;&gt;"",DB_Customers!S102,""),"")</f>
        <v/>
      </c>
      <c r="G108" s="61" t="str">
        <f>IFERROR(IF(DB_Customers!G102&lt;&gt;"",DB_Customers!G102,""),"")</f>
        <v/>
      </c>
      <c r="H108" s="63" t="str">
        <f>IFERROR(IF(DB_Customers!H102&lt;&gt;"",DB_Customers!H102,""),"")</f>
        <v/>
      </c>
      <c r="I108" s="64" t="str">
        <f>IFERROR(IF(DB_Customers!I102&lt;&gt;"",DB_Customers!I102,""),"")</f>
        <v/>
      </c>
      <c r="J108" s="62" t="str">
        <f>IFERROR(IF(DB_Customers!J102&lt;&gt;"",DB_Customers!J102,""),"")</f>
        <v/>
      </c>
      <c r="K108" s="61" t="str">
        <f>IFERROR(IF(DB_Customers!E102&lt;&gt;"",DB_Customers!E102,""),"")</f>
        <v/>
      </c>
      <c r="L108" s="61" t="str">
        <f>IFERROR(IF(DB_Customers!F102&lt;&gt;"",DB_Customers!F102,""),"")</f>
        <v/>
      </c>
      <c r="M108" s="61" t="str">
        <f>IFERROR(IF(DB_Customers!T102&lt;&gt;"",DB_Customers!T102,""),"")</f>
        <v/>
      </c>
      <c r="N108" s="65" t="str">
        <f>IFERROR(IF(DB_Customers!A102&lt;&gt;"",IF(DB_Customers!I102&gt;=10,"Active","Inactive"),""),"")</f>
        <v/>
      </c>
    </row>
    <row r="109" spans="1:14" ht="18" customHeight="1" x14ac:dyDescent="0.25">
      <c r="A109" s="66" t="str">
        <f>IF(DB_Customers!A103&lt;&gt;"",100,"")</f>
        <v/>
      </c>
      <c r="B109" s="67" t="str">
        <f>IFERROR(IF(DB_Customers!A103&lt;&gt;"",DB_Customers!A103,""),"")</f>
        <v/>
      </c>
      <c r="C109" s="68" t="str">
        <f>IFERROR(IF(DB_Customers!D103&lt;&gt;"",DB_Customers!D103,""),"")</f>
        <v/>
      </c>
      <c r="D109" s="69" t="str">
        <f>IFERROR(IF(DB_Customers!Q103&lt;&gt;"",DB_Customers!Q103,""),"")</f>
        <v/>
      </c>
      <c r="E109" s="68" t="str">
        <f>IFERROR(IF(DB_Customers!R103&lt;&gt;"",DB_Customers!R103,""),"")</f>
        <v/>
      </c>
      <c r="F109" s="68" t="str">
        <f>IFERROR(IF(DB_Customers!S103&lt;&gt;"",DB_Customers!S103,""),"")</f>
        <v/>
      </c>
      <c r="G109" s="68" t="str">
        <f>IFERROR(IF(DB_Customers!G103&lt;&gt;"",DB_Customers!G103,""),"")</f>
        <v/>
      </c>
      <c r="H109" s="70" t="str">
        <f>IFERROR(IF(DB_Customers!H103&lt;&gt;"",DB_Customers!H103,""),"")</f>
        <v/>
      </c>
      <c r="I109" s="71" t="str">
        <f>IFERROR(IF(DB_Customers!I103&lt;&gt;"",DB_Customers!I103,""),"")</f>
        <v/>
      </c>
      <c r="J109" s="69" t="str">
        <f>IFERROR(IF(DB_Customers!J103&lt;&gt;"",DB_Customers!J103,""),"")</f>
        <v/>
      </c>
      <c r="K109" s="68" t="str">
        <f>IFERROR(IF(DB_Customers!E103&lt;&gt;"",DB_Customers!E103,""),"")</f>
        <v/>
      </c>
      <c r="L109" s="68" t="str">
        <f>IFERROR(IF(DB_Customers!F103&lt;&gt;"",DB_Customers!F103,""),"")</f>
        <v/>
      </c>
      <c r="M109" s="68" t="str">
        <f>IFERROR(IF(DB_Customers!T103&lt;&gt;"",DB_Customers!T103,""),"")</f>
        <v/>
      </c>
      <c r="N109" s="72" t="str">
        <f>IFERROR(IF(DB_Customers!A103&lt;&gt;"",IF(DB_Customers!I103&gt;=10,"Active","Inactive"),""),"")</f>
        <v/>
      </c>
    </row>
    <row r="110" spans="1:14" ht="18" customHeight="1" x14ac:dyDescent="0.25">
      <c r="A110" s="59" t="str">
        <f>IF(DB_Customers!A104&lt;&gt;"",101,"")</f>
        <v/>
      </c>
      <c r="B110" s="60" t="str">
        <f>IFERROR(IF(DB_Customers!A104&lt;&gt;"",DB_Customers!A104,""),"")</f>
        <v/>
      </c>
      <c r="C110" s="61" t="str">
        <f>IFERROR(IF(DB_Customers!D104&lt;&gt;"",DB_Customers!D104,""),"")</f>
        <v/>
      </c>
      <c r="D110" s="62" t="str">
        <f>IFERROR(IF(DB_Customers!Q104&lt;&gt;"",DB_Customers!Q104,""),"")</f>
        <v/>
      </c>
      <c r="E110" s="61" t="str">
        <f>IFERROR(IF(DB_Customers!R104&lt;&gt;"",DB_Customers!R104,""),"")</f>
        <v/>
      </c>
      <c r="F110" s="61" t="str">
        <f>IFERROR(IF(DB_Customers!S104&lt;&gt;"",DB_Customers!S104,""),"")</f>
        <v/>
      </c>
      <c r="G110" s="61" t="str">
        <f>IFERROR(IF(DB_Customers!G104&lt;&gt;"",DB_Customers!G104,""),"")</f>
        <v/>
      </c>
      <c r="H110" s="63" t="str">
        <f>IFERROR(IF(DB_Customers!H104&lt;&gt;"",DB_Customers!H104,""),"")</f>
        <v/>
      </c>
      <c r="I110" s="64" t="str">
        <f>IFERROR(IF(DB_Customers!I104&lt;&gt;"",DB_Customers!I104,""),"")</f>
        <v/>
      </c>
      <c r="J110" s="62" t="str">
        <f>IFERROR(IF(DB_Customers!J104&lt;&gt;"",DB_Customers!J104,""),"")</f>
        <v/>
      </c>
      <c r="K110" s="61" t="str">
        <f>IFERROR(IF(DB_Customers!E104&lt;&gt;"",DB_Customers!E104,""),"")</f>
        <v/>
      </c>
      <c r="L110" s="61" t="str">
        <f>IFERROR(IF(DB_Customers!F104&lt;&gt;"",DB_Customers!F104,""),"")</f>
        <v/>
      </c>
      <c r="M110" s="61" t="str">
        <f>IFERROR(IF(DB_Customers!T104&lt;&gt;"",DB_Customers!T104,""),"")</f>
        <v/>
      </c>
      <c r="N110" s="65" t="str">
        <f>IFERROR(IF(DB_Customers!A104&lt;&gt;"",IF(DB_Customers!I104&gt;=10,"Active","Inactive"),""),"")</f>
        <v/>
      </c>
    </row>
    <row r="111" spans="1:14" ht="18" customHeight="1" x14ac:dyDescent="0.25">
      <c r="A111" s="66" t="str">
        <f>IF(DB_Customers!A105&lt;&gt;"",102,"")</f>
        <v/>
      </c>
      <c r="B111" s="67" t="str">
        <f>IFERROR(IF(DB_Customers!A105&lt;&gt;"",DB_Customers!A105,""),"")</f>
        <v/>
      </c>
      <c r="C111" s="68" t="str">
        <f>IFERROR(IF(DB_Customers!D105&lt;&gt;"",DB_Customers!D105,""),"")</f>
        <v/>
      </c>
      <c r="D111" s="69" t="str">
        <f>IFERROR(IF(DB_Customers!Q105&lt;&gt;"",DB_Customers!Q105,""),"")</f>
        <v/>
      </c>
      <c r="E111" s="68" t="str">
        <f>IFERROR(IF(DB_Customers!R105&lt;&gt;"",DB_Customers!R105,""),"")</f>
        <v/>
      </c>
      <c r="F111" s="68" t="str">
        <f>IFERROR(IF(DB_Customers!S105&lt;&gt;"",DB_Customers!S105,""),"")</f>
        <v/>
      </c>
      <c r="G111" s="68" t="str">
        <f>IFERROR(IF(DB_Customers!G105&lt;&gt;"",DB_Customers!G105,""),"")</f>
        <v/>
      </c>
      <c r="H111" s="70" t="str">
        <f>IFERROR(IF(DB_Customers!H105&lt;&gt;"",DB_Customers!H105,""),"")</f>
        <v/>
      </c>
      <c r="I111" s="71" t="str">
        <f>IFERROR(IF(DB_Customers!I105&lt;&gt;"",DB_Customers!I105,""),"")</f>
        <v/>
      </c>
      <c r="J111" s="69" t="str">
        <f>IFERROR(IF(DB_Customers!J105&lt;&gt;"",DB_Customers!J105,""),"")</f>
        <v/>
      </c>
      <c r="K111" s="68" t="str">
        <f>IFERROR(IF(DB_Customers!E105&lt;&gt;"",DB_Customers!E105,""),"")</f>
        <v/>
      </c>
      <c r="L111" s="68" t="str">
        <f>IFERROR(IF(DB_Customers!F105&lt;&gt;"",DB_Customers!F105,""),"")</f>
        <v/>
      </c>
      <c r="M111" s="68" t="str">
        <f>IFERROR(IF(DB_Customers!T105&lt;&gt;"",DB_Customers!T105,""),"")</f>
        <v/>
      </c>
      <c r="N111" s="72" t="str">
        <f>IFERROR(IF(DB_Customers!A105&lt;&gt;"",IF(DB_Customers!I105&gt;=10,"Active","Inactive"),""),"")</f>
        <v/>
      </c>
    </row>
    <row r="112" spans="1:14" ht="18" customHeight="1" x14ac:dyDescent="0.25">
      <c r="A112" s="59" t="str">
        <f>IF(DB_Customers!A106&lt;&gt;"",103,"")</f>
        <v/>
      </c>
      <c r="B112" s="60" t="str">
        <f>IFERROR(IF(DB_Customers!A106&lt;&gt;"",DB_Customers!A106,""),"")</f>
        <v/>
      </c>
      <c r="C112" s="61" t="str">
        <f>IFERROR(IF(DB_Customers!D106&lt;&gt;"",DB_Customers!D106,""),"")</f>
        <v/>
      </c>
      <c r="D112" s="62" t="str">
        <f>IFERROR(IF(DB_Customers!Q106&lt;&gt;"",DB_Customers!Q106,""),"")</f>
        <v/>
      </c>
      <c r="E112" s="61" t="str">
        <f>IFERROR(IF(DB_Customers!R106&lt;&gt;"",DB_Customers!R106,""),"")</f>
        <v/>
      </c>
      <c r="F112" s="61" t="str">
        <f>IFERROR(IF(DB_Customers!S106&lt;&gt;"",DB_Customers!S106,""),"")</f>
        <v/>
      </c>
      <c r="G112" s="61" t="str">
        <f>IFERROR(IF(DB_Customers!G106&lt;&gt;"",DB_Customers!G106,""),"")</f>
        <v/>
      </c>
      <c r="H112" s="63" t="str">
        <f>IFERROR(IF(DB_Customers!H106&lt;&gt;"",DB_Customers!H106,""),"")</f>
        <v/>
      </c>
      <c r="I112" s="64" t="str">
        <f>IFERROR(IF(DB_Customers!I106&lt;&gt;"",DB_Customers!I106,""),"")</f>
        <v/>
      </c>
      <c r="J112" s="62" t="str">
        <f>IFERROR(IF(DB_Customers!J106&lt;&gt;"",DB_Customers!J106,""),"")</f>
        <v/>
      </c>
      <c r="K112" s="61" t="str">
        <f>IFERROR(IF(DB_Customers!E106&lt;&gt;"",DB_Customers!E106,""),"")</f>
        <v/>
      </c>
      <c r="L112" s="61" t="str">
        <f>IFERROR(IF(DB_Customers!F106&lt;&gt;"",DB_Customers!F106,""),"")</f>
        <v/>
      </c>
      <c r="M112" s="61" t="str">
        <f>IFERROR(IF(DB_Customers!T106&lt;&gt;"",DB_Customers!T106,""),"")</f>
        <v/>
      </c>
      <c r="N112" s="65" t="str">
        <f>IFERROR(IF(DB_Customers!A106&lt;&gt;"",IF(DB_Customers!I106&gt;=10,"Active","Inactive"),""),"")</f>
        <v/>
      </c>
    </row>
    <row r="113" spans="1:14" ht="18" customHeight="1" x14ac:dyDescent="0.25">
      <c r="A113" s="66" t="str">
        <f>IF(DB_Customers!A107&lt;&gt;"",104,"")</f>
        <v/>
      </c>
      <c r="B113" s="67" t="str">
        <f>IFERROR(IF(DB_Customers!A107&lt;&gt;"",DB_Customers!A107,""),"")</f>
        <v/>
      </c>
      <c r="C113" s="68" t="str">
        <f>IFERROR(IF(DB_Customers!D107&lt;&gt;"",DB_Customers!D107,""),"")</f>
        <v/>
      </c>
      <c r="D113" s="69" t="str">
        <f>IFERROR(IF(DB_Customers!Q107&lt;&gt;"",DB_Customers!Q107,""),"")</f>
        <v/>
      </c>
      <c r="E113" s="68" t="str">
        <f>IFERROR(IF(DB_Customers!R107&lt;&gt;"",DB_Customers!R107,""),"")</f>
        <v/>
      </c>
      <c r="F113" s="68" t="str">
        <f>IFERROR(IF(DB_Customers!S107&lt;&gt;"",DB_Customers!S107,""),"")</f>
        <v/>
      </c>
      <c r="G113" s="68" t="str">
        <f>IFERROR(IF(DB_Customers!G107&lt;&gt;"",DB_Customers!G107,""),"")</f>
        <v/>
      </c>
      <c r="H113" s="70" t="str">
        <f>IFERROR(IF(DB_Customers!H107&lt;&gt;"",DB_Customers!H107,""),"")</f>
        <v/>
      </c>
      <c r="I113" s="71" t="str">
        <f>IFERROR(IF(DB_Customers!I107&lt;&gt;"",DB_Customers!I107,""),"")</f>
        <v/>
      </c>
      <c r="J113" s="69" t="str">
        <f>IFERROR(IF(DB_Customers!J107&lt;&gt;"",DB_Customers!J107,""),"")</f>
        <v/>
      </c>
      <c r="K113" s="68" t="str">
        <f>IFERROR(IF(DB_Customers!E107&lt;&gt;"",DB_Customers!E107,""),"")</f>
        <v/>
      </c>
      <c r="L113" s="68" t="str">
        <f>IFERROR(IF(DB_Customers!F107&lt;&gt;"",DB_Customers!F107,""),"")</f>
        <v/>
      </c>
      <c r="M113" s="68" t="str">
        <f>IFERROR(IF(DB_Customers!T107&lt;&gt;"",DB_Customers!T107,""),"")</f>
        <v/>
      </c>
      <c r="N113" s="72" t="str">
        <f>IFERROR(IF(DB_Customers!A107&lt;&gt;"",IF(DB_Customers!I107&gt;=10,"Active","Inactive"),""),"")</f>
        <v/>
      </c>
    </row>
    <row r="114" spans="1:14" ht="18" customHeight="1" x14ac:dyDescent="0.25">
      <c r="A114" s="59" t="str">
        <f>IF(DB_Customers!A108&lt;&gt;"",105,"")</f>
        <v/>
      </c>
      <c r="B114" s="60" t="str">
        <f>IFERROR(IF(DB_Customers!A108&lt;&gt;"",DB_Customers!A108,""),"")</f>
        <v/>
      </c>
      <c r="C114" s="61" t="str">
        <f>IFERROR(IF(DB_Customers!D108&lt;&gt;"",DB_Customers!D108,""),"")</f>
        <v/>
      </c>
      <c r="D114" s="62" t="str">
        <f>IFERROR(IF(DB_Customers!Q108&lt;&gt;"",DB_Customers!Q108,""),"")</f>
        <v/>
      </c>
      <c r="E114" s="61" t="str">
        <f>IFERROR(IF(DB_Customers!R108&lt;&gt;"",DB_Customers!R108,""),"")</f>
        <v/>
      </c>
      <c r="F114" s="61" t="str">
        <f>IFERROR(IF(DB_Customers!S108&lt;&gt;"",DB_Customers!S108,""),"")</f>
        <v/>
      </c>
      <c r="G114" s="61" t="str">
        <f>IFERROR(IF(DB_Customers!G108&lt;&gt;"",DB_Customers!G108,""),"")</f>
        <v/>
      </c>
      <c r="H114" s="63" t="str">
        <f>IFERROR(IF(DB_Customers!H108&lt;&gt;"",DB_Customers!H108,""),"")</f>
        <v/>
      </c>
      <c r="I114" s="64" t="str">
        <f>IFERROR(IF(DB_Customers!I108&lt;&gt;"",DB_Customers!I108,""),"")</f>
        <v/>
      </c>
      <c r="J114" s="62" t="str">
        <f>IFERROR(IF(DB_Customers!J108&lt;&gt;"",DB_Customers!J108,""),"")</f>
        <v/>
      </c>
      <c r="K114" s="61" t="str">
        <f>IFERROR(IF(DB_Customers!E108&lt;&gt;"",DB_Customers!E108,""),"")</f>
        <v/>
      </c>
      <c r="L114" s="61" t="str">
        <f>IFERROR(IF(DB_Customers!F108&lt;&gt;"",DB_Customers!F108,""),"")</f>
        <v/>
      </c>
      <c r="M114" s="61" t="str">
        <f>IFERROR(IF(DB_Customers!T108&lt;&gt;"",DB_Customers!T108,""),"")</f>
        <v/>
      </c>
      <c r="N114" s="65" t="str">
        <f>IFERROR(IF(DB_Customers!A108&lt;&gt;"",IF(DB_Customers!I108&gt;=10,"Active","Inactive"),""),"")</f>
        <v/>
      </c>
    </row>
    <row r="115" spans="1:14" ht="18" customHeight="1" x14ac:dyDescent="0.25">
      <c r="A115" s="66" t="str">
        <f>IF(DB_Customers!A109&lt;&gt;"",106,"")</f>
        <v/>
      </c>
      <c r="B115" s="67" t="str">
        <f>IFERROR(IF(DB_Customers!A109&lt;&gt;"",DB_Customers!A109,""),"")</f>
        <v/>
      </c>
      <c r="C115" s="68" t="str">
        <f>IFERROR(IF(DB_Customers!D109&lt;&gt;"",DB_Customers!D109,""),"")</f>
        <v/>
      </c>
      <c r="D115" s="69" t="str">
        <f>IFERROR(IF(DB_Customers!Q109&lt;&gt;"",DB_Customers!Q109,""),"")</f>
        <v/>
      </c>
      <c r="E115" s="68" t="str">
        <f>IFERROR(IF(DB_Customers!R109&lt;&gt;"",DB_Customers!R109,""),"")</f>
        <v/>
      </c>
      <c r="F115" s="68" t="str">
        <f>IFERROR(IF(DB_Customers!S109&lt;&gt;"",DB_Customers!S109,""),"")</f>
        <v/>
      </c>
      <c r="G115" s="68" t="str">
        <f>IFERROR(IF(DB_Customers!G109&lt;&gt;"",DB_Customers!G109,""),"")</f>
        <v/>
      </c>
      <c r="H115" s="70" t="str">
        <f>IFERROR(IF(DB_Customers!H109&lt;&gt;"",DB_Customers!H109,""),"")</f>
        <v/>
      </c>
      <c r="I115" s="71" t="str">
        <f>IFERROR(IF(DB_Customers!I109&lt;&gt;"",DB_Customers!I109,""),"")</f>
        <v/>
      </c>
      <c r="J115" s="69" t="str">
        <f>IFERROR(IF(DB_Customers!J109&lt;&gt;"",DB_Customers!J109,""),"")</f>
        <v/>
      </c>
      <c r="K115" s="68" t="str">
        <f>IFERROR(IF(DB_Customers!E109&lt;&gt;"",DB_Customers!E109,""),"")</f>
        <v/>
      </c>
      <c r="L115" s="68" t="str">
        <f>IFERROR(IF(DB_Customers!F109&lt;&gt;"",DB_Customers!F109,""),"")</f>
        <v/>
      </c>
      <c r="M115" s="68" t="str">
        <f>IFERROR(IF(DB_Customers!T109&lt;&gt;"",DB_Customers!T109,""),"")</f>
        <v/>
      </c>
      <c r="N115" s="72" t="str">
        <f>IFERROR(IF(DB_Customers!A109&lt;&gt;"",IF(DB_Customers!I109&gt;=10,"Active","Inactive"),""),"")</f>
        <v/>
      </c>
    </row>
    <row r="116" spans="1:14" ht="18" customHeight="1" x14ac:dyDescent="0.25">
      <c r="A116" s="59" t="str">
        <f>IF(DB_Customers!A110&lt;&gt;"",107,"")</f>
        <v/>
      </c>
      <c r="B116" s="60" t="str">
        <f>IFERROR(IF(DB_Customers!A110&lt;&gt;"",DB_Customers!A110,""),"")</f>
        <v/>
      </c>
      <c r="C116" s="61" t="str">
        <f>IFERROR(IF(DB_Customers!D110&lt;&gt;"",DB_Customers!D110,""),"")</f>
        <v/>
      </c>
      <c r="D116" s="62" t="str">
        <f>IFERROR(IF(DB_Customers!Q110&lt;&gt;"",DB_Customers!Q110,""),"")</f>
        <v/>
      </c>
      <c r="E116" s="61" t="str">
        <f>IFERROR(IF(DB_Customers!R110&lt;&gt;"",DB_Customers!R110,""),"")</f>
        <v/>
      </c>
      <c r="F116" s="61" t="str">
        <f>IFERROR(IF(DB_Customers!S110&lt;&gt;"",DB_Customers!S110,""),"")</f>
        <v/>
      </c>
      <c r="G116" s="61" t="str">
        <f>IFERROR(IF(DB_Customers!G110&lt;&gt;"",DB_Customers!G110,""),"")</f>
        <v/>
      </c>
      <c r="H116" s="63" t="str">
        <f>IFERROR(IF(DB_Customers!H110&lt;&gt;"",DB_Customers!H110,""),"")</f>
        <v/>
      </c>
      <c r="I116" s="64" t="str">
        <f>IFERROR(IF(DB_Customers!I110&lt;&gt;"",DB_Customers!I110,""),"")</f>
        <v/>
      </c>
      <c r="J116" s="62" t="str">
        <f>IFERROR(IF(DB_Customers!J110&lt;&gt;"",DB_Customers!J110,""),"")</f>
        <v/>
      </c>
      <c r="K116" s="61" t="str">
        <f>IFERROR(IF(DB_Customers!E110&lt;&gt;"",DB_Customers!E110,""),"")</f>
        <v/>
      </c>
      <c r="L116" s="61" t="str">
        <f>IFERROR(IF(DB_Customers!F110&lt;&gt;"",DB_Customers!F110,""),"")</f>
        <v/>
      </c>
      <c r="M116" s="61" t="str">
        <f>IFERROR(IF(DB_Customers!T110&lt;&gt;"",DB_Customers!T110,""),"")</f>
        <v/>
      </c>
      <c r="N116" s="65" t="str">
        <f>IFERROR(IF(DB_Customers!A110&lt;&gt;"",IF(DB_Customers!I110&gt;=10,"Active","Inactive"),""),"")</f>
        <v/>
      </c>
    </row>
    <row r="117" spans="1:14" ht="18" customHeight="1" x14ac:dyDescent="0.25">
      <c r="A117" s="66" t="str">
        <f>IF(DB_Customers!A111&lt;&gt;"",108,"")</f>
        <v/>
      </c>
      <c r="B117" s="67" t="str">
        <f>IFERROR(IF(DB_Customers!A111&lt;&gt;"",DB_Customers!A111,""),"")</f>
        <v/>
      </c>
      <c r="C117" s="68" t="str">
        <f>IFERROR(IF(DB_Customers!D111&lt;&gt;"",DB_Customers!D111,""),"")</f>
        <v/>
      </c>
      <c r="D117" s="69" t="str">
        <f>IFERROR(IF(DB_Customers!Q111&lt;&gt;"",DB_Customers!Q111,""),"")</f>
        <v/>
      </c>
      <c r="E117" s="68" t="str">
        <f>IFERROR(IF(DB_Customers!R111&lt;&gt;"",DB_Customers!R111,""),"")</f>
        <v/>
      </c>
      <c r="F117" s="68" t="str">
        <f>IFERROR(IF(DB_Customers!S111&lt;&gt;"",DB_Customers!S111,""),"")</f>
        <v/>
      </c>
      <c r="G117" s="68" t="str">
        <f>IFERROR(IF(DB_Customers!G111&lt;&gt;"",DB_Customers!G111,""),"")</f>
        <v/>
      </c>
      <c r="H117" s="70" t="str">
        <f>IFERROR(IF(DB_Customers!H111&lt;&gt;"",DB_Customers!H111,""),"")</f>
        <v/>
      </c>
      <c r="I117" s="71" t="str">
        <f>IFERROR(IF(DB_Customers!I111&lt;&gt;"",DB_Customers!I111,""),"")</f>
        <v/>
      </c>
      <c r="J117" s="69" t="str">
        <f>IFERROR(IF(DB_Customers!J111&lt;&gt;"",DB_Customers!J111,""),"")</f>
        <v/>
      </c>
      <c r="K117" s="68" t="str">
        <f>IFERROR(IF(DB_Customers!E111&lt;&gt;"",DB_Customers!E111,""),"")</f>
        <v/>
      </c>
      <c r="L117" s="68" t="str">
        <f>IFERROR(IF(DB_Customers!F111&lt;&gt;"",DB_Customers!F111,""),"")</f>
        <v/>
      </c>
      <c r="M117" s="68" t="str">
        <f>IFERROR(IF(DB_Customers!T111&lt;&gt;"",DB_Customers!T111,""),"")</f>
        <v/>
      </c>
      <c r="N117" s="72" t="str">
        <f>IFERROR(IF(DB_Customers!A111&lt;&gt;"",IF(DB_Customers!I111&gt;=10,"Active","Inactive"),""),"")</f>
        <v/>
      </c>
    </row>
    <row r="118" spans="1:14" ht="18" customHeight="1" x14ac:dyDescent="0.25">
      <c r="A118" s="59" t="str">
        <f>IF(DB_Customers!A112&lt;&gt;"",109,"")</f>
        <v/>
      </c>
      <c r="B118" s="60" t="str">
        <f>IFERROR(IF(DB_Customers!A112&lt;&gt;"",DB_Customers!A112,""),"")</f>
        <v/>
      </c>
      <c r="C118" s="61" t="str">
        <f>IFERROR(IF(DB_Customers!D112&lt;&gt;"",DB_Customers!D112,""),"")</f>
        <v/>
      </c>
      <c r="D118" s="62" t="str">
        <f>IFERROR(IF(DB_Customers!Q112&lt;&gt;"",DB_Customers!Q112,""),"")</f>
        <v/>
      </c>
      <c r="E118" s="61" t="str">
        <f>IFERROR(IF(DB_Customers!R112&lt;&gt;"",DB_Customers!R112,""),"")</f>
        <v/>
      </c>
      <c r="F118" s="61" t="str">
        <f>IFERROR(IF(DB_Customers!S112&lt;&gt;"",DB_Customers!S112,""),"")</f>
        <v/>
      </c>
      <c r="G118" s="61" t="str">
        <f>IFERROR(IF(DB_Customers!G112&lt;&gt;"",DB_Customers!G112,""),"")</f>
        <v/>
      </c>
      <c r="H118" s="63" t="str">
        <f>IFERROR(IF(DB_Customers!H112&lt;&gt;"",DB_Customers!H112,""),"")</f>
        <v/>
      </c>
      <c r="I118" s="64" t="str">
        <f>IFERROR(IF(DB_Customers!I112&lt;&gt;"",DB_Customers!I112,""),"")</f>
        <v/>
      </c>
      <c r="J118" s="62" t="str">
        <f>IFERROR(IF(DB_Customers!J112&lt;&gt;"",DB_Customers!J112,""),"")</f>
        <v/>
      </c>
      <c r="K118" s="61" t="str">
        <f>IFERROR(IF(DB_Customers!E112&lt;&gt;"",DB_Customers!E112,""),"")</f>
        <v/>
      </c>
      <c r="L118" s="61" t="str">
        <f>IFERROR(IF(DB_Customers!F112&lt;&gt;"",DB_Customers!F112,""),"")</f>
        <v/>
      </c>
      <c r="M118" s="61" t="str">
        <f>IFERROR(IF(DB_Customers!T112&lt;&gt;"",DB_Customers!T112,""),"")</f>
        <v/>
      </c>
      <c r="N118" s="65" t="str">
        <f>IFERROR(IF(DB_Customers!A112&lt;&gt;"",IF(DB_Customers!I112&gt;=10,"Active","Inactive"),""),"")</f>
        <v/>
      </c>
    </row>
    <row r="119" spans="1:14" ht="18" customHeight="1" x14ac:dyDescent="0.25">
      <c r="A119" s="66" t="str">
        <f>IF(DB_Customers!A113&lt;&gt;"",110,"")</f>
        <v/>
      </c>
      <c r="B119" s="67" t="str">
        <f>IFERROR(IF(DB_Customers!A113&lt;&gt;"",DB_Customers!A113,""),"")</f>
        <v/>
      </c>
      <c r="C119" s="68" t="str">
        <f>IFERROR(IF(DB_Customers!D113&lt;&gt;"",DB_Customers!D113,""),"")</f>
        <v/>
      </c>
      <c r="D119" s="69" t="str">
        <f>IFERROR(IF(DB_Customers!Q113&lt;&gt;"",DB_Customers!Q113,""),"")</f>
        <v/>
      </c>
      <c r="E119" s="68" t="str">
        <f>IFERROR(IF(DB_Customers!R113&lt;&gt;"",DB_Customers!R113,""),"")</f>
        <v/>
      </c>
      <c r="F119" s="68" t="str">
        <f>IFERROR(IF(DB_Customers!S113&lt;&gt;"",DB_Customers!S113,""),"")</f>
        <v/>
      </c>
      <c r="G119" s="68" t="str">
        <f>IFERROR(IF(DB_Customers!G113&lt;&gt;"",DB_Customers!G113,""),"")</f>
        <v/>
      </c>
      <c r="H119" s="70" t="str">
        <f>IFERROR(IF(DB_Customers!H113&lt;&gt;"",DB_Customers!H113,""),"")</f>
        <v/>
      </c>
      <c r="I119" s="71" t="str">
        <f>IFERROR(IF(DB_Customers!I113&lt;&gt;"",DB_Customers!I113,""),"")</f>
        <v/>
      </c>
      <c r="J119" s="69" t="str">
        <f>IFERROR(IF(DB_Customers!J113&lt;&gt;"",DB_Customers!J113,""),"")</f>
        <v/>
      </c>
      <c r="K119" s="68" t="str">
        <f>IFERROR(IF(DB_Customers!E113&lt;&gt;"",DB_Customers!E113,""),"")</f>
        <v/>
      </c>
      <c r="L119" s="68" t="str">
        <f>IFERROR(IF(DB_Customers!F113&lt;&gt;"",DB_Customers!F113,""),"")</f>
        <v/>
      </c>
      <c r="M119" s="68" t="str">
        <f>IFERROR(IF(DB_Customers!T113&lt;&gt;"",DB_Customers!T113,""),"")</f>
        <v/>
      </c>
      <c r="N119" s="72" t="str">
        <f>IFERROR(IF(DB_Customers!A113&lt;&gt;"",IF(DB_Customers!I113&gt;=10,"Active","Inactive"),""),"")</f>
        <v/>
      </c>
    </row>
    <row r="120" spans="1:14" ht="18" customHeight="1" x14ac:dyDescent="0.25">
      <c r="A120" s="59" t="str">
        <f>IF(DB_Customers!A114&lt;&gt;"",111,"")</f>
        <v/>
      </c>
      <c r="B120" s="60" t="str">
        <f>IFERROR(IF(DB_Customers!A114&lt;&gt;"",DB_Customers!A114,""),"")</f>
        <v/>
      </c>
      <c r="C120" s="61" t="str">
        <f>IFERROR(IF(DB_Customers!D114&lt;&gt;"",DB_Customers!D114,""),"")</f>
        <v/>
      </c>
      <c r="D120" s="62" t="str">
        <f>IFERROR(IF(DB_Customers!Q114&lt;&gt;"",DB_Customers!Q114,""),"")</f>
        <v/>
      </c>
      <c r="E120" s="61" t="str">
        <f>IFERROR(IF(DB_Customers!R114&lt;&gt;"",DB_Customers!R114,""),"")</f>
        <v/>
      </c>
      <c r="F120" s="61" t="str">
        <f>IFERROR(IF(DB_Customers!S114&lt;&gt;"",DB_Customers!S114,""),"")</f>
        <v/>
      </c>
      <c r="G120" s="61" t="str">
        <f>IFERROR(IF(DB_Customers!G114&lt;&gt;"",DB_Customers!G114,""),"")</f>
        <v/>
      </c>
      <c r="H120" s="63" t="str">
        <f>IFERROR(IF(DB_Customers!H114&lt;&gt;"",DB_Customers!H114,""),"")</f>
        <v/>
      </c>
      <c r="I120" s="64" t="str">
        <f>IFERROR(IF(DB_Customers!I114&lt;&gt;"",DB_Customers!I114,""),"")</f>
        <v/>
      </c>
      <c r="J120" s="62" t="str">
        <f>IFERROR(IF(DB_Customers!J114&lt;&gt;"",DB_Customers!J114,""),"")</f>
        <v/>
      </c>
      <c r="K120" s="61" t="str">
        <f>IFERROR(IF(DB_Customers!E114&lt;&gt;"",DB_Customers!E114,""),"")</f>
        <v/>
      </c>
      <c r="L120" s="61" t="str">
        <f>IFERROR(IF(DB_Customers!F114&lt;&gt;"",DB_Customers!F114,""),"")</f>
        <v/>
      </c>
      <c r="M120" s="61" t="str">
        <f>IFERROR(IF(DB_Customers!T114&lt;&gt;"",DB_Customers!T114,""),"")</f>
        <v/>
      </c>
      <c r="N120" s="65" t="str">
        <f>IFERROR(IF(DB_Customers!A114&lt;&gt;"",IF(DB_Customers!I114&gt;=10,"Active","Inactive"),""),"")</f>
        <v/>
      </c>
    </row>
    <row r="121" spans="1:14" ht="18" customHeight="1" x14ac:dyDescent="0.25">
      <c r="A121" s="66" t="str">
        <f>IF(DB_Customers!A115&lt;&gt;"",112,"")</f>
        <v/>
      </c>
      <c r="B121" s="67" t="str">
        <f>IFERROR(IF(DB_Customers!A115&lt;&gt;"",DB_Customers!A115,""),"")</f>
        <v/>
      </c>
      <c r="C121" s="68" t="str">
        <f>IFERROR(IF(DB_Customers!D115&lt;&gt;"",DB_Customers!D115,""),"")</f>
        <v/>
      </c>
      <c r="D121" s="69" t="str">
        <f>IFERROR(IF(DB_Customers!Q115&lt;&gt;"",DB_Customers!Q115,""),"")</f>
        <v/>
      </c>
      <c r="E121" s="68" t="str">
        <f>IFERROR(IF(DB_Customers!R115&lt;&gt;"",DB_Customers!R115,""),"")</f>
        <v/>
      </c>
      <c r="F121" s="68" t="str">
        <f>IFERROR(IF(DB_Customers!S115&lt;&gt;"",DB_Customers!S115,""),"")</f>
        <v/>
      </c>
      <c r="G121" s="68" t="str">
        <f>IFERROR(IF(DB_Customers!G115&lt;&gt;"",DB_Customers!G115,""),"")</f>
        <v/>
      </c>
      <c r="H121" s="70" t="str">
        <f>IFERROR(IF(DB_Customers!H115&lt;&gt;"",DB_Customers!H115,""),"")</f>
        <v/>
      </c>
      <c r="I121" s="71" t="str">
        <f>IFERROR(IF(DB_Customers!I115&lt;&gt;"",DB_Customers!I115,""),"")</f>
        <v/>
      </c>
      <c r="J121" s="69" t="str">
        <f>IFERROR(IF(DB_Customers!J115&lt;&gt;"",DB_Customers!J115,""),"")</f>
        <v/>
      </c>
      <c r="K121" s="68" t="str">
        <f>IFERROR(IF(DB_Customers!E115&lt;&gt;"",DB_Customers!E115,""),"")</f>
        <v/>
      </c>
      <c r="L121" s="68" t="str">
        <f>IFERROR(IF(DB_Customers!F115&lt;&gt;"",DB_Customers!F115,""),"")</f>
        <v/>
      </c>
      <c r="M121" s="68" t="str">
        <f>IFERROR(IF(DB_Customers!T115&lt;&gt;"",DB_Customers!T115,""),"")</f>
        <v/>
      </c>
      <c r="N121" s="72" t="str">
        <f>IFERROR(IF(DB_Customers!A115&lt;&gt;"",IF(DB_Customers!I115&gt;=10,"Active","Inactive"),""),"")</f>
        <v/>
      </c>
    </row>
    <row r="122" spans="1:14" ht="18" customHeight="1" x14ac:dyDescent="0.25">
      <c r="A122" s="59" t="str">
        <f>IF(DB_Customers!A116&lt;&gt;"",113,"")</f>
        <v/>
      </c>
      <c r="B122" s="60" t="str">
        <f>IFERROR(IF(DB_Customers!A116&lt;&gt;"",DB_Customers!A116,""),"")</f>
        <v/>
      </c>
      <c r="C122" s="61" t="str">
        <f>IFERROR(IF(DB_Customers!D116&lt;&gt;"",DB_Customers!D116,""),"")</f>
        <v/>
      </c>
      <c r="D122" s="62" t="str">
        <f>IFERROR(IF(DB_Customers!Q116&lt;&gt;"",DB_Customers!Q116,""),"")</f>
        <v/>
      </c>
      <c r="E122" s="61" t="str">
        <f>IFERROR(IF(DB_Customers!R116&lt;&gt;"",DB_Customers!R116,""),"")</f>
        <v/>
      </c>
      <c r="F122" s="61" t="str">
        <f>IFERROR(IF(DB_Customers!S116&lt;&gt;"",DB_Customers!S116,""),"")</f>
        <v/>
      </c>
      <c r="G122" s="61" t="str">
        <f>IFERROR(IF(DB_Customers!G116&lt;&gt;"",DB_Customers!G116,""),"")</f>
        <v/>
      </c>
      <c r="H122" s="63" t="str">
        <f>IFERROR(IF(DB_Customers!H116&lt;&gt;"",DB_Customers!H116,""),"")</f>
        <v/>
      </c>
      <c r="I122" s="64" t="str">
        <f>IFERROR(IF(DB_Customers!I116&lt;&gt;"",DB_Customers!I116,""),"")</f>
        <v/>
      </c>
      <c r="J122" s="62" t="str">
        <f>IFERROR(IF(DB_Customers!J116&lt;&gt;"",DB_Customers!J116,""),"")</f>
        <v/>
      </c>
      <c r="K122" s="61" t="str">
        <f>IFERROR(IF(DB_Customers!E116&lt;&gt;"",DB_Customers!E116,""),"")</f>
        <v/>
      </c>
      <c r="L122" s="61" t="str">
        <f>IFERROR(IF(DB_Customers!F116&lt;&gt;"",DB_Customers!F116,""),"")</f>
        <v/>
      </c>
      <c r="M122" s="61" t="str">
        <f>IFERROR(IF(DB_Customers!T116&lt;&gt;"",DB_Customers!T116,""),"")</f>
        <v/>
      </c>
      <c r="N122" s="65" t="str">
        <f>IFERROR(IF(DB_Customers!A116&lt;&gt;"",IF(DB_Customers!I116&gt;=10,"Active","Inactive"),""),"")</f>
        <v/>
      </c>
    </row>
    <row r="123" spans="1:14" ht="18" customHeight="1" x14ac:dyDescent="0.25">
      <c r="A123" s="66" t="str">
        <f>IF(DB_Customers!A117&lt;&gt;"",114,"")</f>
        <v/>
      </c>
      <c r="B123" s="67" t="str">
        <f>IFERROR(IF(DB_Customers!A117&lt;&gt;"",DB_Customers!A117,""),"")</f>
        <v/>
      </c>
      <c r="C123" s="68" t="str">
        <f>IFERROR(IF(DB_Customers!D117&lt;&gt;"",DB_Customers!D117,""),"")</f>
        <v/>
      </c>
      <c r="D123" s="69" t="str">
        <f>IFERROR(IF(DB_Customers!Q117&lt;&gt;"",DB_Customers!Q117,""),"")</f>
        <v/>
      </c>
      <c r="E123" s="68" t="str">
        <f>IFERROR(IF(DB_Customers!R117&lt;&gt;"",DB_Customers!R117,""),"")</f>
        <v/>
      </c>
      <c r="F123" s="68" t="str">
        <f>IFERROR(IF(DB_Customers!S117&lt;&gt;"",DB_Customers!S117,""),"")</f>
        <v/>
      </c>
      <c r="G123" s="68" t="str">
        <f>IFERROR(IF(DB_Customers!G117&lt;&gt;"",DB_Customers!G117,""),"")</f>
        <v/>
      </c>
      <c r="H123" s="70" t="str">
        <f>IFERROR(IF(DB_Customers!H117&lt;&gt;"",DB_Customers!H117,""),"")</f>
        <v/>
      </c>
      <c r="I123" s="71" t="str">
        <f>IFERROR(IF(DB_Customers!I117&lt;&gt;"",DB_Customers!I117,""),"")</f>
        <v/>
      </c>
      <c r="J123" s="69" t="str">
        <f>IFERROR(IF(DB_Customers!J117&lt;&gt;"",DB_Customers!J117,""),"")</f>
        <v/>
      </c>
      <c r="K123" s="68" t="str">
        <f>IFERROR(IF(DB_Customers!E117&lt;&gt;"",DB_Customers!E117,""),"")</f>
        <v/>
      </c>
      <c r="L123" s="68" t="str">
        <f>IFERROR(IF(DB_Customers!F117&lt;&gt;"",DB_Customers!F117,""),"")</f>
        <v/>
      </c>
      <c r="M123" s="68" t="str">
        <f>IFERROR(IF(DB_Customers!T117&lt;&gt;"",DB_Customers!T117,""),"")</f>
        <v/>
      </c>
      <c r="N123" s="72" t="str">
        <f>IFERROR(IF(DB_Customers!A117&lt;&gt;"",IF(DB_Customers!I117&gt;=10,"Active","Inactive"),""),"")</f>
        <v/>
      </c>
    </row>
    <row r="124" spans="1:14" ht="18" customHeight="1" x14ac:dyDescent="0.25">
      <c r="A124" s="59" t="str">
        <f>IF(DB_Customers!A118&lt;&gt;"",115,"")</f>
        <v/>
      </c>
      <c r="B124" s="60" t="str">
        <f>IFERROR(IF(DB_Customers!A118&lt;&gt;"",DB_Customers!A118,""),"")</f>
        <v/>
      </c>
      <c r="C124" s="61" t="str">
        <f>IFERROR(IF(DB_Customers!D118&lt;&gt;"",DB_Customers!D118,""),"")</f>
        <v/>
      </c>
      <c r="D124" s="62" t="str">
        <f>IFERROR(IF(DB_Customers!Q118&lt;&gt;"",DB_Customers!Q118,""),"")</f>
        <v/>
      </c>
      <c r="E124" s="61" t="str">
        <f>IFERROR(IF(DB_Customers!R118&lt;&gt;"",DB_Customers!R118,""),"")</f>
        <v/>
      </c>
      <c r="F124" s="61" t="str">
        <f>IFERROR(IF(DB_Customers!S118&lt;&gt;"",DB_Customers!S118,""),"")</f>
        <v/>
      </c>
      <c r="G124" s="61" t="str">
        <f>IFERROR(IF(DB_Customers!G118&lt;&gt;"",DB_Customers!G118,""),"")</f>
        <v/>
      </c>
      <c r="H124" s="63" t="str">
        <f>IFERROR(IF(DB_Customers!H118&lt;&gt;"",DB_Customers!H118,""),"")</f>
        <v/>
      </c>
      <c r="I124" s="64" t="str">
        <f>IFERROR(IF(DB_Customers!I118&lt;&gt;"",DB_Customers!I118,""),"")</f>
        <v/>
      </c>
      <c r="J124" s="62" t="str">
        <f>IFERROR(IF(DB_Customers!J118&lt;&gt;"",DB_Customers!J118,""),"")</f>
        <v/>
      </c>
      <c r="K124" s="61" t="str">
        <f>IFERROR(IF(DB_Customers!E118&lt;&gt;"",DB_Customers!E118,""),"")</f>
        <v/>
      </c>
      <c r="L124" s="61" t="str">
        <f>IFERROR(IF(DB_Customers!F118&lt;&gt;"",DB_Customers!F118,""),"")</f>
        <v/>
      </c>
      <c r="M124" s="61" t="str">
        <f>IFERROR(IF(DB_Customers!T118&lt;&gt;"",DB_Customers!T118,""),"")</f>
        <v/>
      </c>
      <c r="N124" s="65" t="str">
        <f>IFERROR(IF(DB_Customers!A118&lt;&gt;"",IF(DB_Customers!I118&gt;=10,"Active","Inactive"),""),"")</f>
        <v/>
      </c>
    </row>
    <row r="125" spans="1:14" ht="18" customHeight="1" x14ac:dyDescent="0.25">
      <c r="A125" s="66" t="str">
        <f>IF(DB_Customers!A119&lt;&gt;"",116,"")</f>
        <v/>
      </c>
      <c r="B125" s="67" t="str">
        <f>IFERROR(IF(DB_Customers!A119&lt;&gt;"",DB_Customers!A119,""),"")</f>
        <v/>
      </c>
      <c r="C125" s="68" t="str">
        <f>IFERROR(IF(DB_Customers!D119&lt;&gt;"",DB_Customers!D119,""),"")</f>
        <v/>
      </c>
      <c r="D125" s="69" t="str">
        <f>IFERROR(IF(DB_Customers!Q119&lt;&gt;"",DB_Customers!Q119,""),"")</f>
        <v/>
      </c>
      <c r="E125" s="68" t="str">
        <f>IFERROR(IF(DB_Customers!R119&lt;&gt;"",DB_Customers!R119,""),"")</f>
        <v/>
      </c>
      <c r="F125" s="68" t="str">
        <f>IFERROR(IF(DB_Customers!S119&lt;&gt;"",DB_Customers!S119,""),"")</f>
        <v/>
      </c>
      <c r="G125" s="68" t="str">
        <f>IFERROR(IF(DB_Customers!G119&lt;&gt;"",DB_Customers!G119,""),"")</f>
        <v/>
      </c>
      <c r="H125" s="70" t="str">
        <f>IFERROR(IF(DB_Customers!H119&lt;&gt;"",DB_Customers!H119,""),"")</f>
        <v/>
      </c>
      <c r="I125" s="71" t="str">
        <f>IFERROR(IF(DB_Customers!I119&lt;&gt;"",DB_Customers!I119,""),"")</f>
        <v/>
      </c>
      <c r="J125" s="69" t="str">
        <f>IFERROR(IF(DB_Customers!J119&lt;&gt;"",DB_Customers!J119,""),"")</f>
        <v/>
      </c>
      <c r="K125" s="68" t="str">
        <f>IFERROR(IF(DB_Customers!E119&lt;&gt;"",DB_Customers!E119,""),"")</f>
        <v/>
      </c>
      <c r="L125" s="68" t="str">
        <f>IFERROR(IF(DB_Customers!F119&lt;&gt;"",DB_Customers!F119,""),"")</f>
        <v/>
      </c>
      <c r="M125" s="68" t="str">
        <f>IFERROR(IF(DB_Customers!T119&lt;&gt;"",DB_Customers!T119,""),"")</f>
        <v/>
      </c>
      <c r="N125" s="72" t="str">
        <f>IFERROR(IF(DB_Customers!A119&lt;&gt;"",IF(DB_Customers!I119&gt;=10,"Active","Inactive"),""),"")</f>
        <v/>
      </c>
    </row>
    <row r="126" spans="1:14" ht="18" customHeight="1" x14ac:dyDescent="0.25">
      <c r="A126" s="59" t="str">
        <f>IF(DB_Customers!A120&lt;&gt;"",117,"")</f>
        <v/>
      </c>
      <c r="B126" s="60" t="str">
        <f>IFERROR(IF(DB_Customers!A120&lt;&gt;"",DB_Customers!A120,""),"")</f>
        <v/>
      </c>
      <c r="C126" s="61" t="str">
        <f>IFERROR(IF(DB_Customers!D120&lt;&gt;"",DB_Customers!D120,""),"")</f>
        <v/>
      </c>
      <c r="D126" s="62" t="str">
        <f>IFERROR(IF(DB_Customers!Q120&lt;&gt;"",DB_Customers!Q120,""),"")</f>
        <v/>
      </c>
      <c r="E126" s="61" t="str">
        <f>IFERROR(IF(DB_Customers!R120&lt;&gt;"",DB_Customers!R120,""),"")</f>
        <v/>
      </c>
      <c r="F126" s="61" t="str">
        <f>IFERROR(IF(DB_Customers!S120&lt;&gt;"",DB_Customers!S120,""),"")</f>
        <v/>
      </c>
      <c r="G126" s="61" t="str">
        <f>IFERROR(IF(DB_Customers!G120&lt;&gt;"",DB_Customers!G120,""),"")</f>
        <v/>
      </c>
      <c r="H126" s="63" t="str">
        <f>IFERROR(IF(DB_Customers!H120&lt;&gt;"",DB_Customers!H120,""),"")</f>
        <v/>
      </c>
      <c r="I126" s="64" t="str">
        <f>IFERROR(IF(DB_Customers!I120&lt;&gt;"",DB_Customers!I120,""),"")</f>
        <v/>
      </c>
      <c r="J126" s="62" t="str">
        <f>IFERROR(IF(DB_Customers!J120&lt;&gt;"",DB_Customers!J120,""),"")</f>
        <v/>
      </c>
      <c r="K126" s="61" t="str">
        <f>IFERROR(IF(DB_Customers!E120&lt;&gt;"",DB_Customers!E120,""),"")</f>
        <v/>
      </c>
      <c r="L126" s="61" t="str">
        <f>IFERROR(IF(DB_Customers!F120&lt;&gt;"",DB_Customers!F120,""),"")</f>
        <v/>
      </c>
      <c r="M126" s="61" t="str">
        <f>IFERROR(IF(DB_Customers!T120&lt;&gt;"",DB_Customers!T120,""),"")</f>
        <v/>
      </c>
      <c r="N126" s="65" t="str">
        <f>IFERROR(IF(DB_Customers!A120&lt;&gt;"",IF(DB_Customers!I120&gt;=10,"Active","Inactive"),""),"")</f>
        <v/>
      </c>
    </row>
    <row r="127" spans="1:14" ht="18" customHeight="1" x14ac:dyDescent="0.25">
      <c r="A127" s="66" t="str">
        <f>IF(DB_Customers!A121&lt;&gt;"",118,"")</f>
        <v/>
      </c>
      <c r="B127" s="67" t="str">
        <f>IFERROR(IF(DB_Customers!A121&lt;&gt;"",DB_Customers!A121,""),"")</f>
        <v/>
      </c>
      <c r="C127" s="68" t="str">
        <f>IFERROR(IF(DB_Customers!D121&lt;&gt;"",DB_Customers!D121,""),"")</f>
        <v/>
      </c>
      <c r="D127" s="69" t="str">
        <f>IFERROR(IF(DB_Customers!Q121&lt;&gt;"",DB_Customers!Q121,""),"")</f>
        <v/>
      </c>
      <c r="E127" s="68" t="str">
        <f>IFERROR(IF(DB_Customers!R121&lt;&gt;"",DB_Customers!R121,""),"")</f>
        <v/>
      </c>
      <c r="F127" s="68" t="str">
        <f>IFERROR(IF(DB_Customers!S121&lt;&gt;"",DB_Customers!S121,""),"")</f>
        <v/>
      </c>
      <c r="G127" s="68" t="str">
        <f>IFERROR(IF(DB_Customers!G121&lt;&gt;"",DB_Customers!G121,""),"")</f>
        <v/>
      </c>
      <c r="H127" s="70" t="str">
        <f>IFERROR(IF(DB_Customers!H121&lt;&gt;"",DB_Customers!H121,""),"")</f>
        <v/>
      </c>
      <c r="I127" s="71" t="str">
        <f>IFERROR(IF(DB_Customers!I121&lt;&gt;"",DB_Customers!I121,""),"")</f>
        <v/>
      </c>
      <c r="J127" s="69" t="str">
        <f>IFERROR(IF(DB_Customers!J121&lt;&gt;"",DB_Customers!J121,""),"")</f>
        <v/>
      </c>
      <c r="K127" s="68" t="str">
        <f>IFERROR(IF(DB_Customers!E121&lt;&gt;"",DB_Customers!E121,""),"")</f>
        <v/>
      </c>
      <c r="L127" s="68" t="str">
        <f>IFERROR(IF(DB_Customers!F121&lt;&gt;"",DB_Customers!F121,""),"")</f>
        <v/>
      </c>
      <c r="M127" s="68" t="str">
        <f>IFERROR(IF(DB_Customers!T121&lt;&gt;"",DB_Customers!T121,""),"")</f>
        <v/>
      </c>
      <c r="N127" s="72" t="str">
        <f>IFERROR(IF(DB_Customers!A121&lt;&gt;"",IF(DB_Customers!I121&gt;=10,"Active","Inactive"),""),"")</f>
        <v/>
      </c>
    </row>
    <row r="128" spans="1:14" ht="18" customHeight="1" x14ac:dyDescent="0.25">
      <c r="A128" s="59" t="str">
        <f>IF(DB_Customers!A122&lt;&gt;"",119,"")</f>
        <v/>
      </c>
      <c r="B128" s="60" t="str">
        <f>IFERROR(IF(DB_Customers!A122&lt;&gt;"",DB_Customers!A122,""),"")</f>
        <v/>
      </c>
      <c r="C128" s="61" t="str">
        <f>IFERROR(IF(DB_Customers!D122&lt;&gt;"",DB_Customers!D122,""),"")</f>
        <v/>
      </c>
      <c r="D128" s="62" t="str">
        <f>IFERROR(IF(DB_Customers!Q122&lt;&gt;"",DB_Customers!Q122,""),"")</f>
        <v/>
      </c>
      <c r="E128" s="61" t="str">
        <f>IFERROR(IF(DB_Customers!R122&lt;&gt;"",DB_Customers!R122,""),"")</f>
        <v/>
      </c>
      <c r="F128" s="61" t="str">
        <f>IFERROR(IF(DB_Customers!S122&lt;&gt;"",DB_Customers!S122,""),"")</f>
        <v/>
      </c>
      <c r="G128" s="61" t="str">
        <f>IFERROR(IF(DB_Customers!G122&lt;&gt;"",DB_Customers!G122,""),"")</f>
        <v/>
      </c>
      <c r="H128" s="63" t="str">
        <f>IFERROR(IF(DB_Customers!H122&lt;&gt;"",DB_Customers!H122,""),"")</f>
        <v/>
      </c>
      <c r="I128" s="64" t="str">
        <f>IFERROR(IF(DB_Customers!I122&lt;&gt;"",DB_Customers!I122,""),"")</f>
        <v/>
      </c>
      <c r="J128" s="62" t="str">
        <f>IFERROR(IF(DB_Customers!J122&lt;&gt;"",DB_Customers!J122,""),"")</f>
        <v/>
      </c>
      <c r="K128" s="61" t="str">
        <f>IFERROR(IF(DB_Customers!E122&lt;&gt;"",DB_Customers!E122,""),"")</f>
        <v/>
      </c>
      <c r="L128" s="61" t="str">
        <f>IFERROR(IF(DB_Customers!F122&lt;&gt;"",DB_Customers!F122,""),"")</f>
        <v/>
      </c>
      <c r="M128" s="61" t="str">
        <f>IFERROR(IF(DB_Customers!T122&lt;&gt;"",DB_Customers!T122,""),"")</f>
        <v/>
      </c>
      <c r="N128" s="65" t="str">
        <f>IFERROR(IF(DB_Customers!A122&lt;&gt;"",IF(DB_Customers!I122&gt;=10,"Active","Inactive"),""),"")</f>
        <v/>
      </c>
    </row>
    <row r="129" spans="1:14" ht="18" customHeight="1" x14ac:dyDescent="0.25">
      <c r="A129" s="66" t="str">
        <f>IF(DB_Customers!A123&lt;&gt;"",120,"")</f>
        <v/>
      </c>
      <c r="B129" s="67" t="str">
        <f>IFERROR(IF(DB_Customers!A123&lt;&gt;"",DB_Customers!A123,""),"")</f>
        <v/>
      </c>
      <c r="C129" s="68" t="str">
        <f>IFERROR(IF(DB_Customers!D123&lt;&gt;"",DB_Customers!D123,""),"")</f>
        <v/>
      </c>
      <c r="D129" s="69" t="str">
        <f>IFERROR(IF(DB_Customers!Q123&lt;&gt;"",DB_Customers!Q123,""),"")</f>
        <v/>
      </c>
      <c r="E129" s="68" t="str">
        <f>IFERROR(IF(DB_Customers!R123&lt;&gt;"",DB_Customers!R123,""),"")</f>
        <v/>
      </c>
      <c r="F129" s="68" t="str">
        <f>IFERROR(IF(DB_Customers!S123&lt;&gt;"",DB_Customers!S123,""),"")</f>
        <v/>
      </c>
      <c r="G129" s="68" t="str">
        <f>IFERROR(IF(DB_Customers!G123&lt;&gt;"",DB_Customers!G123,""),"")</f>
        <v/>
      </c>
      <c r="H129" s="70" t="str">
        <f>IFERROR(IF(DB_Customers!H123&lt;&gt;"",DB_Customers!H123,""),"")</f>
        <v/>
      </c>
      <c r="I129" s="71" t="str">
        <f>IFERROR(IF(DB_Customers!I123&lt;&gt;"",DB_Customers!I123,""),"")</f>
        <v/>
      </c>
      <c r="J129" s="69" t="str">
        <f>IFERROR(IF(DB_Customers!J123&lt;&gt;"",DB_Customers!J123,""),"")</f>
        <v/>
      </c>
      <c r="K129" s="68" t="str">
        <f>IFERROR(IF(DB_Customers!E123&lt;&gt;"",DB_Customers!E123,""),"")</f>
        <v/>
      </c>
      <c r="L129" s="68" t="str">
        <f>IFERROR(IF(DB_Customers!F123&lt;&gt;"",DB_Customers!F123,""),"")</f>
        <v/>
      </c>
      <c r="M129" s="68" t="str">
        <f>IFERROR(IF(DB_Customers!T123&lt;&gt;"",DB_Customers!T123,""),"")</f>
        <v/>
      </c>
      <c r="N129" s="72" t="str">
        <f>IFERROR(IF(DB_Customers!A123&lt;&gt;"",IF(DB_Customers!I123&gt;=10,"Active","Inactive"),""),"")</f>
        <v/>
      </c>
    </row>
    <row r="130" spans="1:14" ht="18" customHeight="1" x14ac:dyDescent="0.25">
      <c r="A130" s="59" t="str">
        <f>IF(DB_Customers!A124&lt;&gt;"",121,"")</f>
        <v/>
      </c>
      <c r="B130" s="60" t="str">
        <f>IFERROR(IF(DB_Customers!A124&lt;&gt;"",DB_Customers!A124,""),"")</f>
        <v/>
      </c>
      <c r="C130" s="61" t="str">
        <f>IFERROR(IF(DB_Customers!D124&lt;&gt;"",DB_Customers!D124,""),"")</f>
        <v/>
      </c>
      <c r="D130" s="62" t="str">
        <f>IFERROR(IF(DB_Customers!Q124&lt;&gt;"",DB_Customers!Q124,""),"")</f>
        <v/>
      </c>
      <c r="E130" s="61" t="str">
        <f>IFERROR(IF(DB_Customers!R124&lt;&gt;"",DB_Customers!R124,""),"")</f>
        <v/>
      </c>
      <c r="F130" s="61" t="str">
        <f>IFERROR(IF(DB_Customers!S124&lt;&gt;"",DB_Customers!S124,""),"")</f>
        <v/>
      </c>
      <c r="G130" s="61" t="str">
        <f>IFERROR(IF(DB_Customers!G124&lt;&gt;"",DB_Customers!G124,""),"")</f>
        <v/>
      </c>
      <c r="H130" s="63" t="str">
        <f>IFERROR(IF(DB_Customers!H124&lt;&gt;"",DB_Customers!H124,""),"")</f>
        <v/>
      </c>
      <c r="I130" s="64" t="str">
        <f>IFERROR(IF(DB_Customers!I124&lt;&gt;"",DB_Customers!I124,""),"")</f>
        <v/>
      </c>
      <c r="J130" s="62" t="str">
        <f>IFERROR(IF(DB_Customers!J124&lt;&gt;"",DB_Customers!J124,""),"")</f>
        <v/>
      </c>
      <c r="K130" s="61" t="str">
        <f>IFERROR(IF(DB_Customers!E124&lt;&gt;"",DB_Customers!E124,""),"")</f>
        <v/>
      </c>
      <c r="L130" s="61" t="str">
        <f>IFERROR(IF(DB_Customers!F124&lt;&gt;"",DB_Customers!F124,""),"")</f>
        <v/>
      </c>
      <c r="M130" s="61" t="str">
        <f>IFERROR(IF(DB_Customers!T124&lt;&gt;"",DB_Customers!T124,""),"")</f>
        <v/>
      </c>
      <c r="N130" s="65" t="str">
        <f>IFERROR(IF(DB_Customers!A124&lt;&gt;"",IF(DB_Customers!I124&gt;=10,"Active","Inactive"),""),"")</f>
        <v/>
      </c>
    </row>
    <row r="131" spans="1:14" ht="18" customHeight="1" x14ac:dyDescent="0.25">
      <c r="A131" s="66" t="str">
        <f>IF(DB_Customers!A125&lt;&gt;"",122,"")</f>
        <v/>
      </c>
      <c r="B131" s="67" t="str">
        <f>IFERROR(IF(DB_Customers!A125&lt;&gt;"",DB_Customers!A125,""),"")</f>
        <v/>
      </c>
      <c r="C131" s="68" t="str">
        <f>IFERROR(IF(DB_Customers!D125&lt;&gt;"",DB_Customers!D125,""),"")</f>
        <v/>
      </c>
      <c r="D131" s="69" t="str">
        <f>IFERROR(IF(DB_Customers!Q125&lt;&gt;"",DB_Customers!Q125,""),"")</f>
        <v/>
      </c>
      <c r="E131" s="68" t="str">
        <f>IFERROR(IF(DB_Customers!R125&lt;&gt;"",DB_Customers!R125,""),"")</f>
        <v/>
      </c>
      <c r="F131" s="68" t="str">
        <f>IFERROR(IF(DB_Customers!S125&lt;&gt;"",DB_Customers!S125,""),"")</f>
        <v/>
      </c>
      <c r="G131" s="68" t="str">
        <f>IFERROR(IF(DB_Customers!G125&lt;&gt;"",DB_Customers!G125,""),"")</f>
        <v/>
      </c>
      <c r="H131" s="70" t="str">
        <f>IFERROR(IF(DB_Customers!H125&lt;&gt;"",DB_Customers!H125,""),"")</f>
        <v/>
      </c>
      <c r="I131" s="71" t="str">
        <f>IFERROR(IF(DB_Customers!I125&lt;&gt;"",DB_Customers!I125,""),"")</f>
        <v/>
      </c>
      <c r="J131" s="69" t="str">
        <f>IFERROR(IF(DB_Customers!J125&lt;&gt;"",DB_Customers!J125,""),"")</f>
        <v/>
      </c>
      <c r="K131" s="68" t="str">
        <f>IFERROR(IF(DB_Customers!E125&lt;&gt;"",DB_Customers!E125,""),"")</f>
        <v/>
      </c>
      <c r="L131" s="68" t="str">
        <f>IFERROR(IF(DB_Customers!F125&lt;&gt;"",DB_Customers!F125,""),"")</f>
        <v/>
      </c>
      <c r="M131" s="68" t="str">
        <f>IFERROR(IF(DB_Customers!T125&lt;&gt;"",DB_Customers!T125,""),"")</f>
        <v/>
      </c>
      <c r="N131" s="72" t="str">
        <f>IFERROR(IF(DB_Customers!A125&lt;&gt;"",IF(DB_Customers!I125&gt;=10,"Active","Inactive"),""),"")</f>
        <v/>
      </c>
    </row>
    <row r="132" spans="1:14" ht="18" customHeight="1" x14ac:dyDescent="0.25">
      <c r="A132" s="59" t="str">
        <f>IF(DB_Customers!A126&lt;&gt;"",123,"")</f>
        <v/>
      </c>
      <c r="B132" s="60" t="str">
        <f>IFERROR(IF(DB_Customers!A126&lt;&gt;"",DB_Customers!A126,""),"")</f>
        <v/>
      </c>
      <c r="C132" s="61" t="str">
        <f>IFERROR(IF(DB_Customers!D126&lt;&gt;"",DB_Customers!D126,""),"")</f>
        <v/>
      </c>
      <c r="D132" s="62" t="str">
        <f>IFERROR(IF(DB_Customers!Q126&lt;&gt;"",DB_Customers!Q126,""),"")</f>
        <v/>
      </c>
      <c r="E132" s="61" t="str">
        <f>IFERROR(IF(DB_Customers!R126&lt;&gt;"",DB_Customers!R126,""),"")</f>
        <v/>
      </c>
      <c r="F132" s="61" t="str">
        <f>IFERROR(IF(DB_Customers!S126&lt;&gt;"",DB_Customers!S126,""),"")</f>
        <v/>
      </c>
      <c r="G132" s="61" t="str">
        <f>IFERROR(IF(DB_Customers!G126&lt;&gt;"",DB_Customers!G126,""),"")</f>
        <v/>
      </c>
      <c r="H132" s="63" t="str">
        <f>IFERROR(IF(DB_Customers!H126&lt;&gt;"",DB_Customers!H126,""),"")</f>
        <v/>
      </c>
      <c r="I132" s="64" t="str">
        <f>IFERROR(IF(DB_Customers!I126&lt;&gt;"",DB_Customers!I126,""),"")</f>
        <v/>
      </c>
      <c r="J132" s="62" t="str">
        <f>IFERROR(IF(DB_Customers!J126&lt;&gt;"",DB_Customers!J126,""),"")</f>
        <v/>
      </c>
      <c r="K132" s="61" t="str">
        <f>IFERROR(IF(DB_Customers!E126&lt;&gt;"",DB_Customers!E126,""),"")</f>
        <v/>
      </c>
      <c r="L132" s="61" t="str">
        <f>IFERROR(IF(DB_Customers!F126&lt;&gt;"",DB_Customers!F126,""),"")</f>
        <v/>
      </c>
      <c r="M132" s="61" t="str">
        <f>IFERROR(IF(DB_Customers!T126&lt;&gt;"",DB_Customers!T126,""),"")</f>
        <v/>
      </c>
      <c r="N132" s="65" t="str">
        <f>IFERROR(IF(DB_Customers!A126&lt;&gt;"",IF(DB_Customers!I126&gt;=10,"Active","Inactive"),""),"")</f>
        <v/>
      </c>
    </row>
    <row r="133" spans="1:14" ht="18" customHeight="1" x14ac:dyDescent="0.25">
      <c r="A133" s="66" t="str">
        <f>IF(DB_Customers!A127&lt;&gt;"",124,"")</f>
        <v/>
      </c>
      <c r="B133" s="67" t="str">
        <f>IFERROR(IF(DB_Customers!A127&lt;&gt;"",DB_Customers!A127,""),"")</f>
        <v/>
      </c>
      <c r="C133" s="68" t="str">
        <f>IFERROR(IF(DB_Customers!D127&lt;&gt;"",DB_Customers!D127,""),"")</f>
        <v/>
      </c>
      <c r="D133" s="69" t="str">
        <f>IFERROR(IF(DB_Customers!Q127&lt;&gt;"",DB_Customers!Q127,""),"")</f>
        <v/>
      </c>
      <c r="E133" s="68" t="str">
        <f>IFERROR(IF(DB_Customers!R127&lt;&gt;"",DB_Customers!R127,""),"")</f>
        <v/>
      </c>
      <c r="F133" s="68" t="str">
        <f>IFERROR(IF(DB_Customers!S127&lt;&gt;"",DB_Customers!S127,""),"")</f>
        <v/>
      </c>
      <c r="G133" s="68" t="str">
        <f>IFERROR(IF(DB_Customers!G127&lt;&gt;"",DB_Customers!G127,""),"")</f>
        <v/>
      </c>
      <c r="H133" s="70" t="str">
        <f>IFERROR(IF(DB_Customers!H127&lt;&gt;"",DB_Customers!H127,""),"")</f>
        <v/>
      </c>
      <c r="I133" s="71" t="str">
        <f>IFERROR(IF(DB_Customers!I127&lt;&gt;"",DB_Customers!I127,""),"")</f>
        <v/>
      </c>
      <c r="J133" s="69" t="str">
        <f>IFERROR(IF(DB_Customers!J127&lt;&gt;"",DB_Customers!J127,""),"")</f>
        <v/>
      </c>
      <c r="K133" s="68" t="str">
        <f>IFERROR(IF(DB_Customers!E127&lt;&gt;"",DB_Customers!E127,""),"")</f>
        <v/>
      </c>
      <c r="L133" s="68" t="str">
        <f>IFERROR(IF(DB_Customers!F127&lt;&gt;"",DB_Customers!F127,""),"")</f>
        <v/>
      </c>
      <c r="M133" s="68" t="str">
        <f>IFERROR(IF(DB_Customers!T127&lt;&gt;"",DB_Customers!T127,""),"")</f>
        <v/>
      </c>
      <c r="N133" s="72" t="str">
        <f>IFERROR(IF(DB_Customers!A127&lt;&gt;"",IF(DB_Customers!I127&gt;=10,"Active","Inactive"),""),"")</f>
        <v/>
      </c>
    </row>
    <row r="134" spans="1:14" ht="18" customHeight="1" x14ac:dyDescent="0.25">
      <c r="A134" s="59" t="str">
        <f>IF(DB_Customers!A128&lt;&gt;"",125,"")</f>
        <v/>
      </c>
      <c r="B134" s="60" t="str">
        <f>IFERROR(IF(DB_Customers!A128&lt;&gt;"",DB_Customers!A128,""),"")</f>
        <v/>
      </c>
      <c r="C134" s="61" t="str">
        <f>IFERROR(IF(DB_Customers!D128&lt;&gt;"",DB_Customers!D128,""),"")</f>
        <v/>
      </c>
      <c r="D134" s="62" t="str">
        <f>IFERROR(IF(DB_Customers!Q128&lt;&gt;"",DB_Customers!Q128,""),"")</f>
        <v/>
      </c>
      <c r="E134" s="61" t="str">
        <f>IFERROR(IF(DB_Customers!R128&lt;&gt;"",DB_Customers!R128,""),"")</f>
        <v/>
      </c>
      <c r="F134" s="61" t="str">
        <f>IFERROR(IF(DB_Customers!S128&lt;&gt;"",DB_Customers!S128,""),"")</f>
        <v/>
      </c>
      <c r="G134" s="61" t="str">
        <f>IFERROR(IF(DB_Customers!G128&lt;&gt;"",DB_Customers!G128,""),"")</f>
        <v/>
      </c>
      <c r="H134" s="63" t="str">
        <f>IFERROR(IF(DB_Customers!H128&lt;&gt;"",DB_Customers!H128,""),"")</f>
        <v/>
      </c>
      <c r="I134" s="64" t="str">
        <f>IFERROR(IF(DB_Customers!I128&lt;&gt;"",DB_Customers!I128,""),"")</f>
        <v/>
      </c>
      <c r="J134" s="62" t="str">
        <f>IFERROR(IF(DB_Customers!J128&lt;&gt;"",DB_Customers!J128,""),"")</f>
        <v/>
      </c>
      <c r="K134" s="61" t="str">
        <f>IFERROR(IF(DB_Customers!E128&lt;&gt;"",DB_Customers!E128,""),"")</f>
        <v/>
      </c>
      <c r="L134" s="61" t="str">
        <f>IFERROR(IF(DB_Customers!F128&lt;&gt;"",DB_Customers!F128,""),"")</f>
        <v/>
      </c>
      <c r="M134" s="61" t="str">
        <f>IFERROR(IF(DB_Customers!T128&lt;&gt;"",DB_Customers!T128,""),"")</f>
        <v/>
      </c>
      <c r="N134" s="65" t="str">
        <f>IFERROR(IF(DB_Customers!A128&lt;&gt;"",IF(DB_Customers!I128&gt;=10,"Active","Inactive"),""),"")</f>
        <v/>
      </c>
    </row>
    <row r="135" spans="1:14" ht="18" customHeight="1" x14ac:dyDescent="0.25">
      <c r="A135" s="66" t="str">
        <f>IF(DB_Customers!A129&lt;&gt;"",126,"")</f>
        <v/>
      </c>
      <c r="B135" s="67" t="str">
        <f>IFERROR(IF(DB_Customers!A129&lt;&gt;"",DB_Customers!A129,""),"")</f>
        <v/>
      </c>
      <c r="C135" s="68" t="str">
        <f>IFERROR(IF(DB_Customers!D129&lt;&gt;"",DB_Customers!D129,""),"")</f>
        <v/>
      </c>
      <c r="D135" s="69" t="str">
        <f>IFERROR(IF(DB_Customers!Q129&lt;&gt;"",DB_Customers!Q129,""),"")</f>
        <v/>
      </c>
      <c r="E135" s="68" t="str">
        <f>IFERROR(IF(DB_Customers!R129&lt;&gt;"",DB_Customers!R129,""),"")</f>
        <v/>
      </c>
      <c r="F135" s="68" t="str">
        <f>IFERROR(IF(DB_Customers!S129&lt;&gt;"",DB_Customers!S129,""),"")</f>
        <v/>
      </c>
      <c r="G135" s="68" t="str">
        <f>IFERROR(IF(DB_Customers!G129&lt;&gt;"",DB_Customers!G129,""),"")</f>
        <v/>
      </c>
      <c r="H135" s="70" t="str">
        <f>IFERROR(IF(DB_Customers!H129&lt;&gt;"",DB_Customers!H129,""),"")</f>
        <v/>
      </c>
      <c r="I135" s="71" t="str">
        <f>IFERROR(IF(DB_Customers!I129&lt;&gt;"",DB_Customers!I129,""),"")</f>
        <v/>
      </c>
      <c r="J135" s="69" t="str">
        <f>IFERROR(IF(DB_Customers!J129&lt;&gt;"",DB_Customers!J129,""),"")</f>
        <v/>
      </c>
      <c r="K135" s="68" t="str">
        <f>IFERROR(IF(DB_Customers!E129&lt;&gt;"",DB_Customers!E129,""),"")</f>
        <v/>
      </c>
      <c r="L135" s="68" t="str">
        <f>IFERROR(IF(DB_Customers!F129&lt;&gt;"",DB_Customers!F129,""),"")</f>
        <v/>
      </c>
      <c r="M135" s="68" t="str">
        <f>IFERROR(IF(DB_Customers!T129&lt;&gt;"",DB_Customers!T129,""),"")</f>
        <v/>
      </c>
      <c r="N135" s="72" t="str">
        <f>IFERROR(IF(DB_Customers!A129&lt;&gt;"",IF(DB_Customers!I129&gt;=10,"Active","Inactive"),""),"")</f>
        <v/>
      </c>
    </row>
    <row r="136" spans="1:14" ht="18" customHeight="1" x14ac:dyDescent="0.25">
      <c r="A136" s="59" t="str">
        <f>IF(DB_Customers!A130&lt;&gt;"",127,"")</f>
        <v/>
      </c>
      <c r="B136" s="60" t="str">
        <f>IFERROR(IF(DB_Customers!A130&lt;&gt;"",DB_Customers!A130,""),"")</f>
        <v/>
      </c>
      <c r="C136" s="61" t="str">
        <f>IFERROR(IF(DB_Customers!D130&lt;&gt;"",DB_Customers!D130,""),"")</f>
        <v/>
      </c>
      <c r="D136" s="62" t="str">
        <f>IFERROR(IF(DB_Customers!Q130&lt;&gt;"",DB_Customers!Q130,""),"")</f>
        <v/>
      </c>
      <c r="E136" s="61" t="str">
        <f>IFERROR(IF(DB_Customers!R130&lt;&gt;"",DB_Customers!R130,""),"")</f>
        <v/>
      </c>
      <c r="F136" s="61" t="str">
        <f>IFERROR(IF(DB_Customers!S130&lt;&gt;"",DB_Customers!S130,""),"")</f>
        <v/>
      </c>
      <c r="G136" s="61" t="str">
        <f>IFERROR(IF(DB_Customers!G130&lt;&gt;"",DB_Customers!G130,""),"")</f>
        <v/>
      </c>
      <c r="H136" s="63" t="str">
        <f>IFERROR(IF(DB_Customers!H130&lt;&gt;"",DB_Customers!H130,""),"")</f>
        <v/>
      </c>
      <c r="I136" s="64" t="str">
        <f>IFERROR(IF(DB_Customers!I130&lt;&gt;"",DB_Customers!I130,""),"")</f>
        <v/>
      </c>
      <c r="J136" s="62" t="str">
        <f>IFERROR(IF(DB_Customers!J130&lt;&gt;"",DB_Customers!J130,""),"")</f>
        <v/>
      </c>
      <c r="K136" s="61" t="str">
        <f>IFERROR(IF(DB_Customers!E130&lt;&gt;"",DB_Customers!E130,""),"")</f>
        <v/>
      </c>
      <c r="L136" s="61" t="str">
        <f>IFERROR(IF(DB_Customers!F130&lt;&gt;"",DB_Customers!F130,""),"")</f>
        <v/>
      </c>
      <c r="M136" s="61" t="str">
        <f>IFERROR(IF(DB_Customers!T130&lt;&gt;"",DB_Customers!T130,""),"")</f>
        <v/>
      </c>
      <c r="N136" s="65" t="str">
        <f>IFERROR(IF(DB_Customers!A130&lt;&gt;"",IF(DB_Customers!I130&gt;=10,"Active","Inactive"),""),"")</f>
        <v/>
      </c>
    </row>
    <row r="137" spans="1:14" ht="18" customHeight="1" x14ac:dyDescent="0.25">
      <c r="A137" s="66" t="str">
        <f>IF(DB_Customers!A131&lt;&gt;"",128,"")</f>
        <v/>
      </c>
      <c r="B137" s="67" t="str">
        <f>IFERROR(IF(DB_Customers!A131&lt;&gt;"",DB_Customers!A131,""),"")</f>
        <v/>
      </c>
      <c r="C137" s="68" t="str">
        <f>IFERROR(IF(DB_Customers!D131&lt;&gt;"",DB_Customers!D131,""),"")</f>
        <v/>
      </c>
      <c r="D137" s="69" t="str">
        <f>IFERROR(IF(DB_Customers!Q131&lt;&gt;"",DB_Customers!Q131,""),"")</f>
        <v/>
      </c>
      <c r="E137" s="68" t="str">
        <f>IFERROR(IF(DB_Customers!R131&lt;&gt;"",DB_Customers!R131,""),"")</f>
        <v/>
      </c>
      <c r="F137" s="68" t="str">
        <f>IFERROR(IF(DB_Customers!S131&lt;&gt;"",DB_Customers!S131,""),"")</f>
        <v/>
      </c>
      <c r="G137" s="68" t="str">
        <f>IFERROR(IF(DB_Customers!G131&lt;&gt;"",DB_Customers!G131,""),"")</f>
        <v/>
      </c>
      <c r="H137" s="70" t="str">
        <f>IFERROR(IF(DB_Customers!H131&lt;&gt;"",DB_Customers!H131,""),"")</f>
        <v/>
      </c>
      <c r="I137" s="71" t="str">
        <f>IFERROR(IF(DB_Customers!I131&lt;&gt;"",DB_Customers!I131,""),"")</f>
        <v/>
      </c>
      <c r="J137" s="69" t="str">
        <f>IFERROR(IF(DB_Customers!J131&lt;&gt;"",DB_Customers!J131,""),"")</f>
        <v/>
      </c>
      <c r="K137" s="68" t="str">
        <f>IFERROR(IF(DB_Customers!E131&lt;&gt;"",DB_Customers!E131,""),"")</f>
        <v/>
      </c>
      <c r="L137" s="68" t="str">
        <f>IFERROR(IF(DB_Customers!F131&lt;&gt;"",DB_Customers!F131,""),"")</f>
        <v/>
      </c>
      <c r="M137" s="68" t="str">
        <f>IFERROR(IF(DB_Customers!T131&lt;&gt;"",DB_Customers!T131,""),"")</f>
        <v/>
      </c>
      <c r="N137" s="72" t="str">
        <f>IFERROR(IF(DB_Customers!A131&lt;&gt;"",IF(DB_Customers!I131&gt;=10,"Active","Inactive"),""),"")</f>
        <v/>
      </c>
    </row>
    <row r="138" spans="1:14" ht="18" customHeight="1" x14ac:dyDescent="0.25">
      <c r="A138" s="59" t="str">
        <f>IF(DB_Customers!A132&lt;&gt;"",129,"")</f>
        <v/>
      </c>
      <c r="B138" s="60" t="str">
        <f>IFERROR(IF(DB_Customers!A132&lt;&gt;"",DB_Customers!A132,""),"")</f>
        <v/>
      </c>
      <c r="C138" s="61" t="str">
        <f>IFERROR(IF(DB_Customers!D132&lt;&gt;"",DB_Customers!D132,""),"")</f>
        <v/>
      </c>
      <c r="D138" s="62" t="str">
        <f>IFERROR(IF(DB_Customers!Q132&lt;&gt;"",DB_Customers!Q132,""),"")</f>
        <v/>
      </c>
      <c r="E138" s="61" t="str">
        <f>IFERROR(IF(DB_Customers!R132&lt;&gt;"",DB_Customers!R132,""),"")</f>
        <v/>
      </c>
      <c r="F138" s="61" t="str">
        <f>IFERROR(IF(DB_Customers!S132&lt;&gt;"",DB_Customers!S132,""),"")</f>
        <v/>
      </c>
      <c r="G138" s="61" t="str">
        <f>IFERROR(IF(DB_Customers!G132&lt;&gt;"",DB_Customers!G132,""),"")</f>
        <v/>
      </c>
      <c r="H138" s="63" t="str">
        <f>IFERROR(IF(DB_Customers!H132&lt;&gt;"",DB_Customers!H132,""),"")</f>
        <v/>
      </c>
      <c r="I138" s="64" t="str">
        <f>IFERROR(IF(DB_Customers!I132&lt;&gt;"",DB_Customers!I132,""),"")</f>
        <v/>
      </c>
      <c r="J138" s="62" t="str">
        <f>IFERROR(IF(DB_Customers!J132&lt;&gt;"",DB_Customers!J132,""),"")</f>
        <v/>
      </c>
      <c r="K138" s="61" t="str">
        <f>IFERROR(IF(DB_Customers!E132&lt;&gt;"",DB_Customers!E132,""),"")</f>
        <v/>
      </c>
      <c r="L138" s="61" t="str">
        <f>IFERROR(IF(DB_Customers!F132&lt;&gt;"",DB_Customers!F132,""),"")</f>
        <v/>
      </c>
      <c r="M138" s="61" t="str">
        <f>IFERROR(IF(DB_Customers!T132&lt;&gt;"",DB_Customers!T132,""),"")</f>
        <v/>
      </c>
      <c r="N138" s="65" t="str">
        <f>IFERROR(IF(DB_Customers!A132&lt;&gt;"",IF(DB_Customers!I132&gt;=10,"Active","Inactive"),""),"")</f>
        <v/>
      </c>
    </row>
    <row r="139" spans="1:14" ht="18" customHeight="1" x14ac:dyDescent="0.25">
      <c r="A139" s="66" t="str">
        <f>IF(DB_Customers!A133&lt;&gt;"",130,"")</f>
        <v/>
      </c>
      <c r="B139" s="67" t="str">
        <f>IFERROR(IF(DB_Customers!A133&lt;&gt;"",DB_Customers!A133,""),"")</f>
        <v/>
      </c>
      <c r="C139" s="68" t="str">
        <f>IFERROR(IF(DB_Customers!D133&lt;&gt;"",DB_Customers!D133,""),"")</f>
        <v/>
      </c>
      <c r="D139" s="69" t="str">
        <f>IFERROR(IF(DB_Customers!Q133&lt;&gt;"",DB_Customers!Q133,""),"")</f>
        <v/>
      </c>
      <c r="E139" s="68" t="str">
        <f>IFERROR(IF(DB_Customers!R133&lt;&gt;"",DB_Customers!R133,""),"")</f>
        <v/>
      </c>
      <c r="F139" s="68" t="str">
        <f>IFERROR(IF(DB_Customers!S133&lt;&gt;"",DB_Customers!S133,""),"")</f>
        <v/>
      </c>
      <c r="G139" s="68" t="str">
        <f>IFERROR(IF(DB_Customers!G133&lt;&gt;"",DB_Customers!G133,""),"")</f>
        <v/>
      </c>
      <c r="H139" s="70" t="str">
        <f>IFERROR(IF(DB_Customers!H133&lt;&gt;"",DB_Customers!H133,""),"")</f>
        <v/>
      </c>
      <c r="I139" s="71" t="str">
        <f>IFERROR(IF(DB_Customers!I133&lt;&gt;"",DB_Customers!I133,""),"")</f>
        <v/>
      </c>
      <c r="J139" s="69" t="str">
        <f>IFERROR(IF(DB_Customers!J133&lt;&gt;"",DB_Customers!J133,""),"")</f>
        <v/>
      </c>
      <c r="K139" s="68" t="str">
        <f>IFERROR(IF(DB_Customers!E133&lt;&gt;"",DB_Customers!E133,""),"")</f>
        <v/>
      </c>
      <c r="L139" s="68" t="str">
        <f>IFERROR(IF(DB_Customers!F133&lt;&gt;"",DB_Customers!F133,""),"")</f>
        <v/>
      </c>
      <c r="M139" s="68" t="str">
        <f>IFERROR(IF(DB_Customers!T133&lt;&gt;"",DB_Customers!T133,""),"")</f>
        <v/>
      </c>
      <c r="N139" s="72" t="str">
        <f>IFERROR(IF(DB_Customers!A133&lt;&gt;"",IF(DB_Customers!I133&gt;=10,"Active","Inactive"),""),"")</f>
        <v/>
      </c>
    </row>
    <row r="140" spans="1:14" ht="18" customHeight="1" x14ac:dyDescent="0.25">
      <c r="A140" s="59" t="str">
        <f>IF(DB_Customers!A134&lt;&gt;"",131,"")</f>
        <v/>
      </c>
      <c r="B140" s="60" t="str">
        <f>IFERROR(IF(DB_Customers!A134&lt;&gt;"",DB_Customers!A134,""),"")</f>
        <v/>
      </c>
      <c r="C140" s="61" t="str">
        <f>IFERROR(IF(DB_Customers!D134&lt;&gt;"",DB_Customers!D134,""),"")</f>
        <v/>
      </c>
      <c r="D140" s="62" t="str">
        <f>IFERROR(IF(DB_Customers!Q134&lt;&gt;"",DB_Customers!Q134,""),"")</f>
        <v/>
      </c>
      <c r="E140" s="61" t="str">
        <f>IFERROR(IF(DB_Customers!R134&lt;&gt;"",DB_Customers!R134,""),"")</f>
        <v/>
      </c>
      <c r="F140" s="61" t="str">
        <f>IFERROR(IF(DB_Customers!S134&lt;&gt;"",DB_Customers!S134,""),"")</f>
        <v/>
      </c>
      <c r="G140" s="61" t="str">
        <f>IFERROR(IF(DB_Customers!G134&lt;&gt;"",DB_Customers!G134,""),"")</f>
        <v/>
      </c>
      <c r="H140" s="63" t="str">
        <f>IFERROR(IF(DB_Customers!H134&lt;&gt;"",DB_Customers!H134,""),"")</f>
        <v/>
      </c>
      <c r="I140" s="64" t="str">
        <f>IFERROR(IF(DB_Customers!I134&lt;&gt;"",DB_Customers!I134,""),"")</f>
        <v/>
      </c>
      <c r="J140" s="62" t="str">
        <f>IFERROR(IF(DB_Customers!J134&lt;&gt;"",DB_Customers!J134,""),"")</f>
        <v/>
      </c>
      <c r="K140" s="61" t="str">
        <f>IFERROR(IF(DB_Customers!E134&lt;&gt;"",DB_Customers!E134,""),"")</f>
        <v/>
      </c>
      <c r="L140" s="61" t="str">
        <f>IFERROR(IF(DB_Customers!F134&lt;&gt;"",DB_Customers!F134,""),"")</f>
        <v/>
      </c>
      <c r="M140" s="61" t="str">
        <f>IFERROR(IF(DB_Customers!T134&lt;&gt;"",DB_Customers!T134,""),"")</f>
        <v/>
      </c>
      <c r="N140" s="65" t="str">
        <f>IFERROR(IF(DB_Customers!A134&lt;&gt;"",IF(DB_Customers!I134&gt;=10,"Active","Inactive"),""),"")</f>
        <v/>
      </c>
    </row>
    <row r="141" spans="1:14" ht="18" customHeight="1" x14ac:dyDescent="0.25">
      <c r="A141" s="66" t="str">
        <f>IF(DB_Customers!A135&lt;&gt;"",132,"")</f>
        <v/>
      </c>
      <c r="B141" s="67" t="str">
        <f>IFERROR(IF(DB_Customers!A135&lt;&gt;"",DB_Customers!A135,""),"")</f>
        <v/>
      </c>
      <c r="C141" s="68" t="str">
        <f>IFERROR(IF(DB_Customers!D135&lt;&gt;"",DB_Customers!D135,""),"")</f>
        <v/>
      </c>
      <c r="D141" s="69" t="str">
        <f>IFERROR(IF(DB_Customers!Q135&lt;&gt;"",DB_Customers!Q135,""),"")</f>
        <v/>
      </c>
      <c r="E141" s="68" t="str">
        <f>IFERROR(IF(DB_Customers!R135&lt;&gt;"",DB_Customers!R135,""),"")</f>
        <v/>
      </c>
      <c r="F141" s="68" t="str">
        <f>IFERROR(IF(DB_Customers!S135&lt;&gt;"",DB_Customers!S135,""),"")</f>
        <v/>
      </c>
      <c r="G141" s="68" t="str">
        <f>IFERROR(IF(DB_Customers!G135&lt;&gt;"",DB_Customers!G135,""),"")</f>
        <v/>
      </c>
      <c r="H141" s="70" t="str">
        <f>IFERROR(IF(DB_Customers!H135&lt;&gt;"",DB_Customers!H135,""),"")</f>
        <v/>
      </c>
      <c r="I141" s="71" t="str">
        <f>IFERROR(IF(DB_Customers!I135&lt;&gt;"",DB_Customers!I135,""),"")</f>
        <v/>
      </c>
      <c r="J141" s="69" t="str">
        <f>IFERROR(IF(DB_Customers!J135&lt;&gt;"",DB_Customers!J135,""),"")</f>
        <v/>
      </c>
      <c r="K141" s="68" t="str">
        <f>IFERROR(IF(DB_Customers!E135&lt;&gt;"",DB_Customers!E135,""),"")</f>
        <v/>
      </c>
      <c r="L141" s="68" t="str">
        <f>IFERROR(IF(DB_Customers!F135&lt;&gt;"",DB_Customers!F135,""),"")</f>
        <v/>
      </c>
      <c r="M141" s="68" t="str">
        <f>IFERROR(IF(DB_Customers!T135&lt;&gt;"",DB_Customers!T135,""),"")</f>
        <v/>
      </c>
      <c r="N141" s="72" t="str">
        <f>IFERROR(IF(DB_Customers!A135&lt;&gt;"",IF(DB_Customers!I135&gt;=10,"Active","Inactive"),""),"")</f>
        <v/>
      </c>
    </row>
    <row r="142" spans="1:14" ht="18" customHeight="1" x14ac:dyDescent="0.25">
      <c r="A142" s="59" t="str">
        <f>IF(DB_Customers!A136&lt;&gt;"",133,"")</f>
        <v/>
      </c>
      <c r="B142" s="60" t="str">
        <f>IFERROR(IF(DB_Customers!A136&lt;&gt;"",DB_Customers!A136,""),"")</f>
        <v/>
      </c>
      <c r="C142" s="61" t="str">
        <f>IFERROR(IF(DB_Customers!D136&lt;&gt;"",DB_Customers!D136,""),"")</f>
        <v/>
      </c>
      <c r="D142" s="62" t="str">
        <f>IFERROR(IF(DB_Customers!Q136&lt;&gt;"",DB_Customers!Q136,""),"")</f>
        <v/>
      </c>
      <c r="E142" s="61" t="str">
        <f>IFERROR(IF(DB_Customers!R136&lt;&gt;"",DB_Customers!R136,""),"")</f>
        <v/>
      </c>
      <c r="F142" s="61" t="str">
        <f>IFERROR(IF(DB_Customers!S136&lt;&gt;"",DB_Customers!S136,""),"")</f>
        <v/>
      </c>
      <c r="G142" s="61" t="str">
        <f>IFERROR(IF(DB_Customers!G136&lt;&gt;"",DB_Customers!G136,""),"")</f>
        <v/>
      </c>
      <c r="H142" s="63" t="str">
        <f>IFERROR(IF(DB_Customers!H136&lt;&gt;"",DB_Customers!H136,""),"")</f>
        <v/>
      </c>
      <c r="I142" s="64" t="str">
        <f>IFERROR(IF(DB_Customers!I136&lt;&gt;"",DB_Customers!I136,""),"")</f>
        <v/>
      </c>
      <c r="J142" s="62" t="str">
        <f>IFERROR(IF(DB_Customers!J136&lt;&gt;"",DB_Customers!J136,""),"")</f>
        <v/>
      </c>
      <c r="K142" s="61" t="str">
        <f>IFERROR(IF(DB_Customers!E136&lt;&gt;"",DB_Customers!E136,""),"")</f>
        <v/>
      </c>
      <c r="L142" s="61" t="str">
        <f>IFERROR(IF(DB_Customers!F136&lt;&gt;"",DB_Customers!F136,""),"")</f>
        <v/>
      </c>
      <c r="M142" s="61" t="str">
        <f>IFERROR(IF(DB_Customers!T136&lt;&gt;"",DB_Customers!T136,""),"")</f>
        <v/>
      </c>
      <c r="N142" s="65" t="str">
        <f>IFERROR(IF(DB_Customers!A136&lt;&gt;"",IF(DB_Customers!I136&gt;=10,"Active","Inactive"),""),"")</f>
        <v/>
      </c>
    </row>
    <row r="143" spans="1:14" ht="18" customHeight="1" x14ac:dyDescent="0.25">
      <c r="A143" s="66" t="str">
        <f>IF(DB_Customers!A137&lt;&gt;"",134,"")</f>
        <v/>
      </c>
      <c r="B143" s="67" t="str">
        <f>IFERROR(IF(DB_Customers!A137&lt;&gt;"",DB_Customers!A137,""),"")</f>
        <v/>
      </c>
      <c r="C143" s="68" t="str">
        <f>IFERROR(IF(DB_Customers!D137&lt;&gt;"",DB_Customers!D137,""),"")</f>
        <v/>
      </c>
      <c r="D143" s="69" t="str">
        <f>IFERROR(IF(DB_Customers!Q137&lt;&gt;"",DB_Customers!Q137,""),"")</f>
        <v/>
      </c>
      <c r="E143" s="68" t="str">
        <f>IFERROR(IF(DB_Customers!R137&lt;&gt;"",DB_Customers!R137,""),"")</f>
        <v/>
      </c>
      <c r="F143" s="68" t="str">
        <f>IFERROR(IF(DB_Customers!S137&lt;&gt;"",DB_Customers!S137,""),"")</f>
        <v/>
      </c>
      <c r="G143" s="68" t="str">
        <f>IFERROR(IF(DB_Customers!G137&lt;&gt;"",DB_Customers!G137,""),"")</f>
        <v/>
      </c>
      <c r="H143" s="70" t="str">
        <f>IFERROR(IF(DB_Customers!H137&lt;&gt;"",DB_Customers!H137,""),"")</f>
        <v/>
      </c>
      <c r="I143" s="71" t="str">
        <f>IFERROR(IF(DB_Customers!I137&lt;&gt;"",DB_Customers!I137,""),"")</f>
        <v/>
      </c>
      <c r="J143" s="69" t="str">
        <f>IFERROR(IF(DB_Customers!J137&lt;&gt;"",DB_Customers!J137,""),"")</f>
        <v/>
      </c>
      <c r="K143" s="68" t="str">
        <f>IFERROR(IF(DB_Customers!E137&lt;&gt;"",DB_Customers!E137,""),"")</f>
        <v/>
      </c>
      <c r="L143" s="68" t="str">
        <f>IFERROR(IF(DB_Customers!F137&lt;&gt;"",DB_Customers!F137,""),"")</f>
        <v/>
      </c>
      <c r="M143" s="68" t="str">
        <f>IFERROR(IF(DB_Customers!T137&lt;&gt;"",DB_Customers!T137,""),"")</f>
        <v/>
      </c>
      <c r="N143" s="72" t="str">
        <f>IFERROR(IF(DB_Customers!A137&lt;&gt;"",IF(DB_Customers!I137&gt;=10,"Active","Inactive"),""),"")</f>
        <v/>
      </c>
    </row>
    <row r="144" spans="1:14" ht="18" customHeight="1" x14ac:dyDescent="0.25">
      <c r="A144" s="59" t="str">
        <f>IF(DB_Customers!A138&lt;&gt;"",135,"")</f>
        <v/>
      </c>
      <c r="B144" s="60" t="str">
        <f>IFERROR(IF(DB_Customers!A138&lt;&gt;"",DB_Customers!A138,""),"")</f>
        <v/>
      </c>
      <c r="C144" s="61" t="str">
        <f>IFERROR(IF(DB_Customers!D138&lt;&gt;"",DB_Customers!D138,""),"")</f>
        <v/>
      </c>
      <c r="D144" s="62" t="str">
        <f>IFERROR(IF(DB_Customers!Q138&lt;&gt;"",DB_Customers!Q138,""),"")</f>
        <v/>
      </c>
      <c r="E144" s="61" t="str">
        <f>IFERROR(IF(DB_Customers!R138&lt;&gt;"",DB_Customers!R138,""),"")</f>
        <v/>
      </c>
      <c r="F144" s="61" t="str">
        <f>IFERROR(IF(DB_Customers!S138&lt;&gt;"",DB_Customers!S138,""),"")</f>
        <v/>
      </c>
      <c r="G144" s="61" t="str">
        <f>IFERROR(IF(DB_Customers!G138&lt;&gt;"",DB_Customers!G138,""),"")</f>
        <v/>
      </c>
      <c r="H144" s="63" t="str">
        <f>IFERROR(IF(DB_Customers!H138&lt;&gt;"",DB_Customers!H138,""),"")</f>
        <v/>
      </c>
      <c r="I144" s="64" t="str">
        <f>IFERROR(IF(DB_Customers!I138&lt;&gt;"",DB_Customers!I138,""),"")</f>
        <v/>
      </c>
      <c r="J144" s="62" t="str">
        <f>IFERROR(IF(DB_Customers!J138&lt;&gt;"",DB_Customers!J138,""),"")</f>
        <v/>
      </c>
      <c r="K144" s="61" t="str">
        <f>IFERROR(IF(DB_Customers!E138&lt;&gt;"",DB_Customers!E138,""),"")</f>
        <v/>
      </c>
      <c r="L144" s="61" t="str">
        <f>IFERROR(IF(DB_Customers!F138&lt;&gt;"",DB_Customers!F138,""),"")</f>
        <v/>
      </c>
      <c r="M144" s="61" t="str">
        <f>IFERROR(IF(DB_Customers!T138&lt;&gt;"",DB_Customers!T138,""),"")</f>
        <v/>
      </c>
      <c r="N144" s="65" t="str">
        <f>IFERROR(IF(DB_Customers!A138&lt;&gt;"",IF(DB_Customers!I138&gt;=10,"Active","Inactive"),""),"")</f>
        <v/>
      </c>
    </row>
    <row r="145" spans="1:14" ht="18" customHeight="1" x14ac:dyDescent="0.25">
      <c r="A145" s="66" t="str">
        <f>IF(DB_Customers!A139&lt;&gt;"",136,"")</f>
        <v/>
      </c>
      <c r="B145" s="67" t="str">
        <f>IFERROR(IF(DB_Customers!A139&lt;&gt;"",DB_Customers!A139,""),"")</f>
        <v/>
      </c>
      <c r="C145" s="68" t="str">
        <f>IFERROR(IF(DB_Customers!D139&lt;&gt;"",DB_Customers!D139,""),"")</f>
        <v/>
      </c>
      <c r="D145" s="69" t="str">
        <f>IFERROR(IF(DB_Customers!Q139&lt;&gt;"",DB_Customers!Q139,""),"")</f>
        <v/>
      </c>
      <c r="E145" s="68" t="str">
        <f>IFERROR(IF(DB_Customers!R139&lt;&gt;"",DB_Customers!R139,""),"")</f>
        <v/>
      </c>
      <c r="F145" s="68" t="str">
        <f>IFERROR(IF(DB_Customers!S139&lt;&gt;"",DB_Customers!S139,""),"")</f>
        <v/>
      </c>
      <c r="G145" s="68" t="str">
        <f>IFERROR(IF(DB_Customers!G139&lt;&gt;"",DB_Customers!G139,""),"")</f>
        <v/>
      </c>
      <c r="H145" s="70" t="str">
        <f>IFERROR(IF(DB_Customers!H139&lt;&gt;"",DB_Customers!H139,""),"")</f>
        <v/>
      </c>
      <c r="I145" s="71" t="str">
        <f>IFERROR(IF(DB_Customers!I139&lt;&gt;"",DB_Customers!I139,""),"")</f>
        <v/>
      </c>
      <c r="J145" s="69" t="str">
        <f>IFERROR(IF(DB_Customers!J139&lt;&gt;"",DB_Customers!J139,""),"")</f>
        <v/>
      </c>
      <c r="K145" s="68" t="str">
        <f>IFERROR(IF(DB_Customers!E139&lt;&gt;"",DB_Customers!E139,""),"")</f>
        <v/>
      </c>
      <c r="L145" s="68" t="str">
        <f>IFERROR(IF(DB_Customers!F139&lt;&gt;"",DB_Customers!F139,""),"")</f>
        <v/>
      </c>
      <c r="M145" s="68" t="str">
        <f>IFERROR(IF(DB_Customers!T139&lt;&gt;"",DB_Customers!T139,""),"")</f>
        <v/>
      </c>
      <c r="N145" s="72" t="str">
        <f>IFERROR(IF(DB_Customers!A139&lt;&gt;"",IF(DB_Customers!I139&gt;=10,"Active","Inactive"),""),"")</f>
        <v/>
      </c>
    </row>
    <row r="146" spans="1:14" ht="18" customHeight="1" x14ac:dyDescent="0.25">
      <c r="A146" s="59" t="str">
        <f>IF(DB_Customers!A140&lt;&gt;"",137,"")</f>
        <v/>
      </c>
      <c r="B146" s="60" t="str">
        <f>IFERROR(IF(DB_Customers!A140&lt;&gt;"",DB_Customers!A140,""),"")</f>
        <v/>
      </c>
      <c r="C146" s="61" t="str">
        <f>IFERROR(IF(DB_Customers!D140&lt;&gt;"",DB_Customers!D140,""),"")</f>
        <v/>
      </c>
      <c r="D146" s="62" t="str">
        <f>IFERROR(IF(DB_Customers!Q140&lt;&gt;"",DB_Customers!Q140,""),"")</f>
        <v/>
      </c>
      <c r="E146" s="61" t="str">
        <f>IFERROR(IF(DB_Customers!R140&lt;&gt;"",DB_Customers!R140,""),"")</f>
        <v/>
      </c>
      <c r="F146" s="61" t="str">
        <f>IFERROR(IF(DB_Customers!S140&lt;&gt;"",DB_Customers!S140,""),"")</f>
        <v/>
      </c>
      <c r="G146" s="61" t="str">
        <f>IFERROR(IF(DB_Customers!G140&lt;&gt;"",DB_Customers!G140,""),"")</f>
        <v/>
      </c>
      <c r="H146" s="63" t="str">
        <f>IFERROR(IF(DB_Customers!H140&lt;&gt;"",DB_Customers!H140,""),"")</f>
        <v/>
      </c>
      <c r="I146" s="64" t="str">
        <f>IFERROR(IF(DB_Customers!I140&lt;&gt;"",DB_Customers!I140,""),"")</f>
        <v/>
      </c>
      <c r="J146" s="62" t="str">
        <f>IFERROR(IF(DB_Customers!J140&lt;&gt;"",DB_Customers!J140,""),"")</f>
        <v/>
      </c>
      <c r="K146" s="61" t="str">
        <f>IFERROR(IF(DB_Customers!E140&lt;&gt;"",DB_Customers!E140,""),"")</f>
        <v/>
      </c>
      <c r="L146" s="61" t="str">
        <f>IFERROR(IF(DB_Customers!F140&lt;&gt;"",DB_Customers!F140,""),"")</f>
        <v/>
      </c>
      <c r="M146" s="61" t="str">
        <f>IFERROR(IF(DB_Customers!T140&lt;&gt;"",DB_Customers!T140,""),"")</f>
        <v/>
      </c>
      <c r="N146" s="65" t="str">
        <f>IFERROR(IF(DB_Customers!A140&lt;&gt;"",IF(DB_Customers!I140&gt;=10,"Active","Inactive"),""),"")</f>
        <v/>
      </c>
    </row>
    <row r="147" spans="1:14" ht="18" customHeight="1" x14ac:dyDescent="0.25">
      <c r="A147" s="66" t="str">
        <f>IF(DB_Customers!A141&lt;&gt;"",138,"")</f>
        <v/>
      </c>
      <c r="B147" s="67" t="str">
        <f>IFERROR(IF(DB_Customers!A141&lt;&gt;"",DB_Customers!A141,""),"")</f>
        <v/>
      </c>
      <c r="C147" s="68" t="str">
        <f>IFERROR(IF(DB_Customers!D141&lt;&gt;"",DB_Customers!D141,""),"")</f>
        <v/>
      </c>
      <c r="D147" s="69" t="str">
        <f>IFERROR(IF(DB_Customers!Q141&lt;&gt;"",DB_Customers!Q141,""),"")</f>
        <v/>
      </c>
      <c r="E147" s="68" t="str">
        <f>IFERROR(IF(DB_Customers!R141&lt;&gt;"",DB_Customers!R141,""),"")</f>
        <v/>
      </c>
      <c r="F147" s="68" t="str">
        <f>IFERROR(IF(DB_Customers!S141&lt;&gt;"",DB_Customers!S141,""),"")</f>
        <v/>
      </c>
      <c r="G147" s="68" t="str">
        <f>IFERROR(IF(DB_Customers!G141&lt;&gt;"",DB_Customers!G141,""),"")</f>
        <v/>
      </c>
      <c r="H147" s="70" t="str">
        <f>IFERROR(IF(DB_Customers!H141&lt;&gt;"",DB_Customers!H141,""),"")</f>
        <v/>
      </c>
      <c r="I147" s="71" t="str">
        <f>IFERROR(IF(DB_Customers!I141&lt;&gt;"",DB_Customers!I141,""),"")</f>
        <v/>
      </c>
      <c r="J147" s="69" t="str">
        <f>IFERROR(IF(DB_Customers!J141&lt;&gt;"",DB_Customers!J141,""),"")</f>
        <v/>
      </c>
      <c r="K147" s="68" t="str">
        <f>IFERROR(IF(DB_Customers!E141&lt;&gt;"",DB_Customers!E141,""),"")</f>
        <v/>
      </c>
      <c r="L147" s="68" t="str">
        <f>IFERROR(IF(DB_Customers!F141&lt;&gt;"",DB_Customers!F141,""),"")</f>
        <v/>
      </c>
      <c r="M147" s="68" t="str">
        <f>IFERROR(IF(DB_Customers!T141&lt;&gt;"",DB_Customers!T141,""),"")</f>
        <v/>
      </c>
      <c r="N147" s="72" t="str">
        <f>IFERROR(IF(DB_Customers!A141&lt;&gt;"",IF(DB_Customers!I141&gt;=10,"Active","Inactive"),""),"")</f>
        <v/>
      </c>
    </row>
    <row r="148" spans="1:14" ht="18" customHeight="1" x14ac:dyDescent="0.25">
      <c r="A148" s="59" t="str">
        <f>IF(DB_Customers!A142&lt;&gt;"",139,"")</f>
        <v/>
      </c>
      <c r="B148" s="60" t="str">
        <f>IFERROR(IF(DB_Customers!A142&lt;&gt;"",DB_Customers!A142,""),"")</f>
        <v/>
      </c>
      <c r="C148" s="61" t="str">
        <f>IFERROR(IF(DB_Customers!D142&lt;&gt;"",DB_Customers!D142,""),"")</f>
        <v/>
      </c>
      <c r="D148" s="62" t="str">
        <f>IFERROR(IF(DB_Customers!Q142&lt;&gt;"",DB_Customers!Q142,""),"")</f>
        <v/>
      </c>
      <c r="E148" s="61" t="str">
        <f>IFERROR(IF(DB_Customers!R142&lt;&gt;"",DB_Customers!R142,""),"")</f>
        <v/>
      </c>
      <c r="F148" s="61" t="str">
        <f>IFERROR(IF(DB_Customers!S142&lt;&gt;"",DB_Customers!S142,""),"")</f>
        <v/>
      </c>
      <c r="G148" s="61" t="str">
        <f>IFERROR(IF(DB_Customers!G142&lt;&gt;"",DB_Customers!G142,""),"")</f>
        <v/>
      </c>
      <c r="H148" s="63" t="str">
        <f>IFERROR(IF(DB_Customers!H142&lt;&gt;"",DB_Customers!H142,""),"")</f>
        <v/>
      </c>
      <c r="I148" s="64" t="str">
        <f>IFERROR(IF(DB_Customers!I142&lt;&gt;"",DB_Customers!I142,""),"")</f>
        <v/>
      </c>
      <c r="J148" s="62" t="str">
        <f>IFERROR(IF(DB_Customers!J142&lt;&gt;"",DB_Customers!J142,""),"")</f>
        <v/>
      </c>
      <c r="K148" s="61" t="str">
        <f>IFERROR(IF(DB_Customers!E142&lt;&gt;"",DB_Customers!E142,""),"")</f>
        <v/>
      </c>
      <c r="L148" s="61" t="str">
        <f>IFERROR(IF(DB_Customers!F142&lt;&gt;"",DB_Customers!F142,""),"")</f>
        <v/>
      </c>
      <c r="M148" s="61" t="str">
        <f>IFERROR(IF(DB_Customers!T142&lt;&gt;"",DB_Customers!T142,""),"")</f>
        <v/>
      </c>
      <c r="N148" s="65" t="str">
        <f>IFERROR(IF(DB_Customers!A142&lt;&gt;"",IF(DB_Customers!I142&gt;=10,"Active","Inactive"),""),"")</f>
        <v/>
      </c>
    </row>
    <row r="149" spans="1:14" ht="18" customHeight="1" x14ac:dyDescent="0.25">
      <c r="A149" s="66" t="str">
        <f>IF(DB_Customers!A143&lt;&gt;"",140,"")</f>
        <v/>
      </c>
      <c r="B149" s="67" t="str">
        <f>IFERROR(IF(DB_Customers!A143&lt;&gt;"",DB_Customers!A143,""),"")</f>
        <v/>
      </c>
      <c r="C149" s="68" t="str">
        <f>IFERROR(IF(DB_Customers!D143&lt;&gt;"",DB_Customers!D143,""),"")</f>
        <v/>
      </c>
      <c r="D149" s="69" t="str">
        <f>IFERROR(IF(DB_Customers!Q143&lt;&gt;"",DB_Customers!Q143,""),"")</f>
        <v/>
      </c>
      <c r="E149" s="68" t="str">
        <f>IFERROR(IF(DB_Customers!R143&lt;&gt;"",DB_Customers!R143,""),"")</f>
        <v/>
      </c>
      <c r="F149" s="68" t="str">
        <f>IFERROR(IF(DB_Customers!S143&lt;&gt;"",DB_Customers!S143,""),"")</f>
        <v/>
      </c>
      <c r="G149" s="68" t="str">
        <f>IFERROR(IF(DB_Customers!G143&lt;&gt;"",DB_Customers!G143,""),"")</f>
        <v/>
      </c>
      <c r="H149" s="70" t="str">
        <f>IFERROR(IF(DB_Customers!H143&lt;&gt;"",DB_Customers!H143,""),"")</f>
        <v/>
      </c>
      <c r="I149" s="71" t="str">
        <f>IFERROR(IF(DB_Customers!I143&lt;&gt;"",DB_Customers!I143,""),"")</f>
        <v/>
      </c>
      <c r="J149" s="69" t="str">
        <f>IFERROR(IF(DB_Customers!J143&lt;&gt;"",DB_Customers!J143,""),"")</f>
        <v/>
      </c>
      <c r="K149" s="68" t="str">
        <f>IFERROR(IF(DB_Customers!E143&lt;&gt;"",DB_Customers!E143,""),"")</f>
        <v/>
      </c>
      <c r="L149" s="68" t="str">
        <f>IFERROR(IF(DB_Customers!F143&lt;&gt;"",DB_Customers!F143,""),"")</f>
        <v/>
      </c>
      <c r="M149" s="68" t="str">
        <f>IFERROR(IF(DB_Customers!T143&lt;&gt;"",DB_Customers!T143,""),"")</f>
        <v/>
      </c>
      <c r="N149" s="72" t="str">
        <f>IFERROR(IF(DB_Customers!A143&lt;&gt;"",IF(DB_Customers!I143&gt;=10,"Active","Inactive"),""),"")</f>
        <v/>
      </c>
    </row>
    <row r="150" spans="1:14" ht="18" customHeight="1" x14ac:dyDescent="0.25">
      <c r="A150" s="59" t="str">
        <f>IF(DB_Customers!A144&lt;&gt;"",141,"")</f>
        <v/>
      </c>
      <c r="B150" s="60" t="str">
        <f>IFERROR(IF(DB_Customers!A144&lt;&gt;"",DB_Customers!A144,""),"")</f>
        <v/>
      </c>
      <c r="C150" s="61" t="str">
        <f>IFERROR(IF(DB_Customers!D144&lt;&gt;"",DB_Customers!D144,""),"")</f>
        <v/>
      </c>
      <c r="D150" s="62" t="str">
        <f>IFERROR(IF(DB_Customers!Q144&lt;&gt;"",DB_Customers!Q144,""),"")</f>
        <v/>
      </c>
      <c r="E150" s="61" t="str">
        <f>IFERROR(IF(DB_Customers!R144&lt;&gt;"",DB_Customers!R144,""),"")</f>
        <v/>
      </c>
      <c r="F150" s="61" t="str">
        <f>IFERROR(IF(DB_Customers!S144&lt;&gt;"",DB_Customers!S144,""),"")</f>
        <v/>
      </c>
      <c r="G150" s="61" t="str">
        <f>IFERROR(IF(DB_Customers!G144&lt;&gt;"",DB_Customers!G144,""),"")</f>
        <v/>
      </c>
      <c r="H150" s="63" t="str">
        <f>IFERROR(IF(DB_Customers!H144&lt;&gt;"",DB_Customers!H144,""),"")</f>
        <v/>
      </c>
      <c r="I150" s="64" t="str">
        <f>IFERROR(IF(DB_Customers!I144&lt;&gt;"",DB_Customers!I144,""),"")</f>
        <v/>
      </c>
      <c r="J150" s="62" t="str">
        <f>IFERROR(IF(DB_Customers!J144&lt;&gt;"",DB_Customers!J144,""),"")</f>
        <v/>
      </c>
      <c r="K150" s="61" t="str">
        <f>IFERROR(IF(DB_Customers!E144&lt;&gt;"",DB_Customers!E144,""),"")</f>
        <v/>
      </c>
      <c r="L150" s="61" t="str">
        <f>IFERROR(IF(DB_Customers!F144&lt;&gt;"",DB_Customers!F144,""),"")</f>
        <v/>
      </c>
      <c r="M150" s="61" t="str">
        <f>IFERROR(IF(DB_Customers!T144&lt;&gt;"",DB_Customers!T144,""),"")</f>
        <v/>
      </c>
      <c r="N150" s="65" t="str">
        <f>IFERROR(IF(DB_Customers!A144&lt;&gt;"",IF(DB_Customers!I144&gt;=10,"Active","Inactive"),""),"")</f>
        <v/>
      </c>
    </row>
    <row r="151" spans="1:14" ht="18" customHeight="1" x14ac:dyDescent="0.25">
      <c r="A151" s="66" t="str">
        <f>IF(DB_Customers!A145&lt;&gt;"",142,"")</f>
        <v/>
      </c>
      <c r="B151" s="67" t="str">
        <f>IFERROR(IF(DB_Customers!A145&lt;&gt;"",DB_Customers!A145,""),"")</f>
        <v/>
      </c>
      <c r="C151" s="68" t="str">
        <f>IFERROR(IF(DB_Customers!D145&lt;&gt;"",DB_Customers!D145,""),"")</f>
        <v/>
      </c>
      <c r="D151" s="69" t="str">
        <f>IFERROR(IF(DB_Customers!Q145&lt;&gt;"",DB_Customers!Q145,""),"")</f>
        <v/>
      </c>
      <c r="E151" s="68" t="str">
        <f>IFERROR(IF(DB_Customers!R145&lt;&gt;"",DB_Customers!R145,""),"")</f>
        <v/>
      </c>
      <c r="F151" s="68" t="str">
        <f>IFERROR(IF(DB_Customers!S145&lt;&gt;"",DB_Customers!S145,""),"")</f>
        <v/>
      </c>
      <c r="G151" s="68" t="str">
        <f>IFERROR(IF(DB_Customers!G145&lt;&gt;"",DB_Customers!G145,""),"")</f>
        <v/>
      </c>
      <c r="H151" s="70" t="str">
        <f>IFERROR(IF(DB_Customers!H145&lt;&gt;"",DB_Customers!H145,""),"")</f>
        <v/>
      </c>
      <c r="I151" s="71" t="str">
        <f>IFERROR(IF(DB_Customers!I145&lt;&gt;"",DB_Customers!I145,""),"")</f>
        <v/>
      </c>
      <c r="J151" s="69" t="str">
        <f>IFERROR(IF(DB_Customers!J145&lt;&gt;"",DB_Customers!J145,""),"")</f>
        <v/>
      </c>
      <c r="K151" s="68" t="str">
        <f>IFERROR(IF(DB_Customers!E145&lt;&gt;"",DB_Customers!E145,""),"")</f>
        <v/>
      </c>
      <c r="L151" s="68" t="str">
        <f>IFERROR(IF(DB_Customers!F145&lt;&gt;"",DB_Customers!F145,""),"")</f>
        <v/>
      </c>
      <c r="M151" s="68" t="str">
        <f>IFERROR(IF(DB_Customers!T145&lt;&gt;"",DB_Customers!T145,""),"")</f>
        <v/>
      </c>
      <c r="N151" s="72" t="str">
        <f>IFERROR(IF(DB_Customers!A145&lt;&gt;"",IF(DB_Customers!I145&gt;=10,"Active","Inactive"),""),"")</f>
        <v/>
      </c>
    </row>
    <row r="152" spans="1:14" ht="18" customHeight="1" x14ac:dyDescent="0.25">
      <c r="A152" s="59" t="str">
        <f>IF(DB_Customers!A146&lt;&gt;"",143,"")</f>
        <v/>
      </c>
      <c r="B152" s="60" t="str">
        <f>IFERROR(IF(DB_Customers!A146&lt;&gt;"",DB_Customers!A146,""),"")</f>
        <v/>
      </c>
      <c r="C152" s="61" t="str">
        <f>IFERROR(IF(DB_Customers!D146&lt;&gt;"",DB_Customers!D146,""),"")</f>
        <v/>
      </c>
      <c r="D152" s="62" t="str">
        <f>IFERROR(IF(DB_Customers!Q146&lt;&gt;"",DB_Customers!Q146,""),"")</f>
        <v/>
      </c>
      <c r="E152" s="61" t="str">
        <f>IFERROR(IF(DB_Customers!R146&lt;&gt;"",DB_Customers!R146,""),"")</f>
        <v/>
      </c>
      <c r="F152" s="61" t="str">
        <f>IFERROR(IF(DB_Customers!S146&lt;&gt;"",DB_Customers!S146,""),"")</f>
        <v/>
      </c>
      <c r="G152" s="61" t="str">
        <f>IFERROR(IF(DB_Customers!G146&lt;&gt;"",DB_Customers!G146,""),"")</f>
        <v/>
      </c>
      <c r="H152" s="63" t="str">
        <f>IFERROR(IF(DB_Customers!H146&lt;&gt;"",DB_Customers!H146,""),"")</f>
        <v/>
      </c>
      <c r="I152" s="64" t="str">
        <f>IFERROR(IF(DB_Customers!I146&lt;&gt;"",DB_Customers!I146,""),"")</f>
        <v/>
      </c>
      <c r="J152" s="62" t="str">
        <f>IFERROR(IF(DB_Customers!J146&lt;&gt;"",DB_Customers!J146,""),"")</f>
        <v/>
      </c>
      <c r="K152" s="61" t="str">
        <f>IFERROR(IF(DB_Customers!E146&lt;&gt;"",DB_Customers!E146,""),"")</f>
        <v/>
      </c>
      <c r="L152" s="61" t="str">
        <f>IFERROR(IF(DB_Customers!F146&lt;&gt;"",DB_Customers!F146,""),"")</f>
        <v/>
      </c>
      <c r="M152" s="61" t="str">
        <f>IFERROR(IF(DB_Customers!T146&lt;&gt;"",DB_Customers!T146,""),"")</f>
        <v/>
      </c>
      <c r="N152" s="65" t="str">
        <f>IFERROR(IF(DB_Customers!A146&lt;&gt;"",IF(DB_Customers!I146&gt;=10,"Active","Inactive"),""),"")</f>
        <v/>
      </c>
    </row>
    <row r="153" spans="1:14" ht="18" customHeight="1" x14ac:dyDescent="0.25">
      <c r="A153" s="66" t="str">
        <f>IF(DB_Customers!A147&lt;&gt;"",144,"")</f>
        <v/>
      </c>
      <c r="B153" s="67" t="str">
        <f>IFERROR(IF(DB_Customers!A147&lt;&gt;"",DB_Customers!A147,""),"")</f>
        <v/>
      </c>
      <c r="C153" s="68" t="str">
        <f>IFERROR(IF(DB_Customers!D147&lt;&gt;"",DB_Customers!D147,""),"")</f>
        <v/>
      </c>
      <c r="D153" s="69" t="str">
        <f>IFERROR(IF(DB_Customers!Q147&lt;&gt;"",DB_Customers!Q147,""),"")</f>
        <v/>
      </c>
      <c r="E153" s="68" t="str">
        <f>IFERROR(IF(DB_Customers!R147&lt;&gt;"",DB_Customers!R147,""),"")</f>
        <v/>
      </c>
      <c r="F153" s="68" t="str">
        <f>IFERROR(IF(DB_Customers!S147&lt;&gt;"",DB_Customers!S147,""),"")</f>
        <v/>
      </c>
      <c r="G153" s="68" t="str">
        <f>IFERROR(IF(DB_Customers!G147&lt;&gt;"",DB_Customers!G147,""),"")</f>
        <v/>
      </c>
      <c r="H153" s="70" t="str">
        <f>IFERROR(IF(DB_Customers!H147&lt;&gt;"",DB_Customers!H147,""),"")</f>
        <v/>
      </c>
      <c r="I153" s="71" t="str">
        <f>IFERROR(IF(DB_Customers!I147&lt;&gt;"",DB_Customers!I147,""),"")</f>
        <v/>
      </c>
      <c r="J153" s="69" t="str">
        <f>IFERROR(IF(DB_Customers!J147&lt;&gt;"",DB_Customers!J147,""),"")</f>
        <v/>
      </c>
      <c r="K153" s="68" t="str">
        <f>IFERROR(IF(DB_Customers!E147&lt;&gt;"",DB_Customers!E147,""),"")</f>
        <v/>
      </c>
      <c r="L153" s="68" t="str">
        <f>IFERROR(IF(DB_Customers!F147&lt;&gt;"",DB_Customers!F147,""),"")</f>
        <v/>
      </c>
      <c r="M153" s="68" t="str">
        <f>IFERROR(IF(DB_Customers!T147&lt;&gt;"",DB_Customers!T147,""),"")</f>
        <v/>
      </c>
      <c r="N153" s="72" t="str">
        <f>IFERROR(IF(DB_Customers!A147&lt;&gt;"",IF(DB_Customers!I147&gt;=10,"Active","Inactive"),""),"")</f>
        <v/>
      </c>
    </row>
    <row r="154" spans="1:14" ht="18" customHeight="1" x14ac:dyDescent="0.25">
      <c r="A154" s="59" t="str">
        <f>IF(DB_Customers!A148&lt;&gt;"",145,"")</f>
        <v/>
      </c>
      <c r="B154" s="60" t="str">
        <f>IFERROR(IF(DB_Customers!A148&lt;&gt;"",DB_Customers!A148,""),"")</f>
        <v/>
      </c>
      <c r="C154" s="61" t="str">
        <f>IFERROR(IF(DB_Customers!D148&lt;&gt;"",DB_Customers!D148,""),"")</f>
        <v/>
      </c>
      <c r="D154" s="62" t="str">
        <f>IFERROR(IF(DB_Customers!Q148&lt;&gt;"",DB_Customers!Q148,""),"")</f>
        <v/>
      </c>
      <c r="E154" s="61" t="str">
        <f>IFERROR(IF(DB_Customers!R148&lt;&gt;"",DB_Customers!R148,""),"")</f>
        <v/>
      </c>
      <c r="F154" s="61" t="str">
        <f>IFERROR(IF(DB_Customers!S148&lt;&gt;"",DB_Customers!S148,""),"")</f>
        <v/>
      </c>
      <c r="G154" s="61" t="str">
        <f>IFERROR(IF(DB_Customers!G148&lt;&gt;"",DB_Customers!G148,""),"")</f>
        <v/>
      </c>
      <c r="H154" s="63" t="str">
        <f>IFERROR(IF(DB_Customers!H148&lt;&gt;"",DB_Customers!H148,""),"")</f>
        <v/>
      </c>
      <c r="I154" s="64" t="str">
        <f>IFERROR(IF(DB_Customers!I148&lt;&gt;"",DB_Customers!I148,""),"")</f>
        <v/>
      </c>
      <c r="J154" s="62" t="str">
        <f>IFERROR(IF(DB_Customers!J148&lt;&gt;"",DB_Customers!J148,""),"")</f>
        <v/>
      </c>
      <c r="K154" s="61" t="str">
        <f>IFERROR(IF(DB_Customers!E148&lt;&gt;"",DB_Customers!E148,""),"")</f>
        <v/>
      </c>
      <c r="L154" s="61" t="str">
        <f>IFERROR(IF(DB_Customers!F148&lt;&gt;"",DB_Customers!F148,""),"")</f>
        <v/>
      </c>
      <c r="M154" s="61" t="str">
        <f>IFERROR(IF(DB_Customers!T148&lt;&gt;"",DB_Customers!T148,""),"")</f>
        <v/>
      </c>
      <c r="N154" s="65" t="str">
        <f>IFERROR(IF(DB_Customers!A148&lt;&gt;"",IF(DB_Customers!I148&gt;=10,"Active","Inactive"),""),"")</f>
        <v/>
      </c>
    </row>
    <row r="155" spans="1:14" ht="18" customHeight="1" x14ac:dyDescent="0.25">
      <c r="A155" s="66" t="str">
        <f>IF(DB_Customers!A149&lt;&gt;"",146,"")</f>
        <v/>
      </c>
      <c r="B155" s="67" t="str">
        <f>IFERROR(IF(DB_Customers!A149&lt;&gt;"",DB_Customers!A149,""),"")</f>
        <v/>
      </c>
      <c r="C155" s="68" t="str">
        <f>IFERROR(IF(DB_Customers!D149&lt;&gt;"",DB_Customers!D149,""),"")</f>
        <v/>
      </c>
      <c r="D155" s="69" t="str">
        <f>IFERROR(IF(DB_Customers!Q149&lt;&gt;"",DB_Customers!Q149,""),"")</f>
        <v/>
      </c>
      <c r="E155" s="68" t="str">
        <f>IFERROR(IF(DB_Customers!R149&lt;&gt;"",DB_Customers!R149,""),"")</f>
        <v/>
      </c>
      <c r="F155" s="68" t="str">
        <f>IFERROR(IF(DB_Customers!S149&lt;&gt;"",DB_Customers!S149,""),"")</f>
        <v/>
      </c>
      <c r="G155" s="68" t="str">
        <f>IFERROR(IF(DB_Customers!G149&lt;&gt;"",DB_Customers!G149,""),"")</f>
        <v/>
      </c>
      <c r="H155" s="70" t="str">
        <f>IFERROR(IF(DB_Customers!H149&lt;&gt;"",DB_Customers!H149,""),"")</f>
        <v/>
      </c>
      <c r="I155" s="71" t="str">
        <f>IFERROR(IF(DB_Customers!I149&lt;&gt;"",DB_Customers!I149,""),"")</f>
        <v/>
      </c>
      <c r="J155" s="69" t="str">
        <f>IFERROR(IF(DB_Customers!J149&lt;&gt;"",DB_Customers!J149,""),"")</f>
        <v/>
      </c>
      <c r="K155" s="68" t="str">
        <f>IFERROR(IF(DB_Customers!E149&lt;&gt;"",DB_Customers!E149,""),"")</f>
        <v/>
      </c>
      <c r="L155" s="68" t="str">
        <f>IFERROR(IF(DB_Customers!F149&lt;&gt;"",DB_Customers!F149,""),"")</f>
        <v/>
      </c>
      <c r="M155" s="68" t="str">
        <f>IFERROR(IF(DB_Customers!T149&lt;&gt;"",DB_Customers!T149,""),"")</f>
        <v/>
      </c>
      <c r="N155" s="72" t="str">
        <f>IFERROR(IF(DB_Customers!A149&lt;&gt;"",IF(DB_Customers!I149&gt;=10,"Active","Inactive"),""),"")</f>
        <v/>
      </c>
    </row>
    <row r="156" spans="1:14" ht="18" customHeight="1" x14ac:dyDescent="0.25">
      <c r="A156" s="59" t="str">
        <f>IF(DB_Customers!A150&lt;&gt;"",147,"")</f>
        <v/>
      </c>
      <c r="B156" s="60" t="str">
        <f>IFERROR(IF(DB_Customers!A150&lt;&gt;"",DB_Customers!A150,""),"")</f>
        <v/>
      </c>
      <c r="C156" s="61" t="str">
        <f>IFERROR(IF(DB_Customers!D150&lt;&gt;"",DB_Customers!D150,""),"")</f>
        <v/>
      </c>
      <c r="D156" s="62" t="str">
        <f>IFERROR(IF(DB_Customers!Q150&lt;&gt;"",DB_Customers!Q150,""),"")</f>
        <v/>
      </c>
      <c r="E156" s="61" t="str">
        <f>IFERROR(IF(DB_Customers!R150&lt;&gt;"",DB_Customers!R150,""),"")</f>
        <v/>
      </c>
      <c r="F156" s="61" t="str">
        <f>IFERROR(IF(DB_Customers!S150&lt;&gt;"",DB_Customers!S150,""),"")</f>
        <v/>
      </c>
      <c r="G156" s="61" t="str">
        <f>IFERROR(IF(DB_Customers!G150&lt;&gt;"",DB_Customers!G150,""),"")</f>
        <v/>
      </c>
      <c r="H156" s="63" t="str">
        <f>IFERROR(IF(DB_Customers!H150&lt;&gt;"",DB_Customers!H150,""),"")</f>
        <v/>
      </c>
      <c r="I156" s="64" t="str">
        <f>IFERROR(IF(DB_Customers!I150&lt;&gt;"",DB_Customers!I150,""),"")</f>
        <v/>
      </c>
      <c r="J156" s="62" t="str">
        <f>IFERROR(IF(DB_Customers!J150&lt;&gt;"",DB_Customers!J150,""),"")</f>
        <v/>
      </c>
      <c r="K156" s="61" t="str">
        <f>IFERROR(IF(DB_Customers!E150&lt;&gt;"",DB_Customers!E150,""),"")</f>
        <v/>
      </c>
      <c r="L156" s="61" t="str">
        <f>IFERROR(IF(DB_Customers!F150&lt;&gt;"",DB_Customers!F150,""),"")</f>
        <v/>
      </c>
      <c r="M156" s="61" t="str">
        <f>IFERROR(IF(DB_Customers!T150&lt;&gt;"",DB_Customers!T150,""),"")</f>
        <v/>
      </c>
      <c r="N156" s="65" t="str">
        <f>IFERROR(IF(DB_Customers!A150&lt;&gt;"",IF(DB_Customers!I150&gt;=10,"Active","Inactive"),""),"")</f>
        <v/>
      </c>
    </row>
    <row r="157" spans="1:14" ht="18" customHeight="1" x14ac:dyDescent="0.25">
      <c r="A157" s="66" t="str">
        <f>IF(DB_Customers!A151&lt;&gt;"",148,"")</f>
        <v/>
      </c>
      <c r="B157" s="67" t="str">
        <f>IFERROR(IF(DB_Customers!A151&lt;&gt;"",DB_Customers!A151,""),"")</f>
        <v/>
      </c>
      <c r="C157" s="68" t="str">
        <f>IFERROR(IF(DB_Customers!D151&lt;&gt;"",DB_Customers!D151,""),"")</f>
        <v/>
      </c>
      <c r="D157" s="69" t="str">
        <f>IFERROR(IF(DB_Customers!Q151&lt;&gt;"",DB_Customers!Q151,""),"")</f>
        <v/>
      </c>
      <c r="E157" s="68" t="str">
        <f>IFERROR(IF(DB_Customers!R151&lt;&gt;"",DB_Customers!R151,""),"")</f>
        <v/>
      </c>
      <c r="F157" s="68" t="str">
        <f>IFERROR(IF(DB_Customers!S151&lt;&gt;"",DB_Customers!S151,""),"")</f>
        <v/>
      </c>
      <c r="G157" s="68" t="str">
        <f>IFERROR(IF(DB_Customers!G151&lt;&gt;"",DB_Customers!G151,""),"")</f>
        <v/>
      </c>
      <c r="H157" s="70" t="str">
        <f>IFERROR(IF(DB_Customers!H151&lt;&gt;"",DB_Customers!H151,""),"")</f>
        <v/>
      </c>
      <c r="I157" s="71" t="str">
        <f>IFERROR(IF(DB_Customers!I151&lt;&gt;"",DB_Customers!I151,""),"")</f>
        <v/>
      </c>
      <c r="J157" s="69" t="str">
        <f>IFERROR(IF(DB_Customers!J151&lt;&gt;"",DB_Customers!J151,""),"")</f>
        <v/>
      </c>
      <c r="K157" s="68" t="str">
        <f>IFERROR(IF(DB_Customers!E151&lt;&gt;"",DB_Customers!E151,""),"")</f>
        <v/>
      </c>
      <c r="L157" s="68" t="str">
        <f>IFERROR(IF(DB_Customers!F151&lt;&gt;"",DB_Customers!F151,""),"")</f>
        <v/>
      </c>
      <c r="M157" s="68" t="str">
        <f>IFERROR(IF(DB_Customers!T151&lt;&gt;"",DB_Customers!T151,""),"")</f>
        <v/>
      </c>
      <c r="N157" s="72" t="str">
        <f>IFERROR(IF(DB_Customers!A151&lt;&gt;"",IF(DB_Customers!I151&gt;=10,"Active","Inactive"),""),"")</f>
        <v/>
      </c>
    </row>
    <row r="158" spans="1:14" ht="18" customHeight="1" x14ac:dyDescent="0.25">
      <c r="A158" s="59" t="str">
        <f>IF(DB_Customers!A152&lt;&gt;"",149,"")</f>
        <v/>
      </c>
      <c r="B158" s="60" t="str">
        <f>IFERROR(IF(DB_Customers!A152&lt;&gt;"",DB_Customers!A152,""),"")</f>
        <v/>
      </c>
      <c r="C158" s="61" t="str">
        <f>IFERROR(IF(DB_Customers!D152&lt;&gt;"",DB_Customers!D152,""),"")</f>
        <v/>
      </c>
      <c r="D158" s="62" t="str">
        <f>IFERROR(IF(DB_Customers!Q152&lt;&gt;"",DB_Customers!Q152,""),"")</f>
        <v/>
      </c>
      <c r="E158" s="61" t="str">
        <f>IFERROR(IF(DB_Customers!R152&lt;&gt;"",DB_Customers!R152,""),"")</f>
        <v/>
      </c>
      <c r="F158" s="61" t="str">
        <f>IFERROR(IF(DB_Customers!S152&lt;&gt;"",DB_Customers!S152,""),"")</f>
        <v/>
      </c>
      <c r="G158" s="61" t="str">
        <f>IFERROR(IF(DB_Customers!G152&lt;&gt;"",DB_Customers!G152,""),"")</f>
        <v/>
      </c>
      <c r="H158" s="63" t="str">
        <f>IFERROR(IF(DB_Customers!H152&lt;&gt;"",DB_Customers!H152,""),"")</f>
        <v/>
      </c>
      <c r="I158" s="64" t="str">
        <f>IFERROR(IF(DB_Customers!I152&lt;&gt;"",DB_Customers!I152,""),"")</f>
        <v/>
      </c>
      <c r="J158" s="62" t="str">
        <f>IFERROR(IF(DB_Customers!J152&lt;&gt;"",DB_Customers!J152,""),"")</f>
        <v/>
      </c>
      <c r="K158" s="61" t="str">
        <f>IFERROR(IF(DB_Customers!E152&lt;&gt;"",DB_Customers!E152,""),"")</f>
        <v/>
      </c>
      <c r="L158" s="61" t="str">
        <f>IFERROR(IF(DB_Customers!F152&lt;&gt;"",DB_Customers!F152,""),"")</f>
        <v/>
      </c>
      <c r="M158" s="61" t="str">
        <f>IFERROR(IF(DB_Customers!T152&lt;&gt;"",DB_Customers!T152,""),"")</f>
        <v/>
      </c>
      <c r="N158" s="65" t="str">
        <f>IFERROR(IF(DB_Customers!A152&lt;&gt;"",IF(DB_Customers!I152&gt;=10,"Active","Inactive"),""),"")</f>
        <v/>
      </c>
    </row>
    <row r="159" spans="1:14" ht="18" customHeight="1" x14ac:dyDescent="0.25">
      <c r="A159" s="66" t="str">
        <f>IF(DB_Customers!A153&lt;&gt;"",150,"")</f>
        <v/>
      </c>
      <c r="B159" s="67" t="str">
        <f>IFERROR(IF(DB_Customers!A153&lt;&gt;"",DB_Customers!A153,""),"")</f>
        <v/>
      </c>
      <c r="C159" s="68" t="str">
        <f>IFERROR(IF(DB_Customers!D153&lt;&gt;"",DB_Customers!D153,""),"")</f>
        <v/>
      </c>
      <c r="D159" s="69" t="str">
        <f>IFERROR(IF(DB_Customers!Q153&lt;&gt;"",DB_Customers!Q153,""),"")</f>
        <v/>
      </c>
      <c r="E159" s="68" t="str">
        <f>IFERROR(IF(DB_Customers!R153&lt;&gt;"",DB_Customers!R153,""),"")</f>
        <v/>
      </c>
      <c r="F159" s="68" t="str">
        <f>IFERROR(IF(DB_Customers!S153&lt;&gt;"",DB_Customers!S153,""),"")</f>
        <v/>
      </c>
      <c r="G159" s="68" t="str">
        <f>IFERROR(IF(DB_Customers!G153&lt;&gt;"",DB_Customers!G153,""),"")</f>
        <v/>
      </c>
      <c r="H159" s="70" t="str">
        <f>IFERROR(IF(DB_Customers!H153&lt;&gt;"",DB_Customers!H153,""),"")</f>
        <v/>
      </c>
      <c r="I159" s="71" t="str">
        <f>IFERROR(IF(DB_Customers!I153&lt;&gt;"",DB_Customers!I153,""),"")</f>
        <v/>
      </c>
      <c r="J159" s="69" t="str">
        <f>IFERROR(IF(DB_Customers!J153&lt;&gt;"",DB_Customers!J153,""),"")</f>
        <v/>
      </c>
      <c r="K159" s="68" t="str">
        <f>IFERROR(IF(DB_Customers!E153&lt;&gt;"",DB_Customers!E153,""),"")</f>
        <v/>
      </c>
      <c r="L159" s="68" t="str">
        <f>IFERROR(IF(DB_Customers!F153&lt;&gt;"",DB_Customers!F153,""),"")</f>
        <v/>
      </c>
      <c r="M159" s="68" t="str">
        <f>IFERROR(IF(DB_Customers!T153&lt;&gt;"",DB_Customers!T153,""),"")</f>
        <v/>
      </c>
      <c r="N159" s="72" t="str">
        <f>IFERROR(IF(DB_Customers!A153&lt;&gt;"",IF(DB_Customers!I153&gt;=10,"Active","Inactive"),""),"")</f>
        <v/>
      </c>
    </row>
    <row r="160" spans="1:14" ht="18" customHeight="1" x14ac:dyDescent="0.25">
      <c r="A160" s="59" t="str">
        <f>IF(DB_Customers!A154&lt;&gt;"",151,"")</f>
        <v/>
      </c>
      <c r="B160" s="60" t="str">
        <f>IFERROR(IF(DB_Customers!A154&lt;&gt;"",DB_Customers!A154,""),"")</f>
        <v/>
      </c>
      <c r="C160" s="61" t="str">
        <f>IFERROR(IF(DB_Customers!D154&lt;&gt;"",DB_Customers!D154,""),"")</f>
        <v/>
      </c>
      <c r="D160" s="62" t="str">
        <f>IFERROR(IF(DB_Customers!Q154&lt;&gt;"",DB_Customers!Q154,""),"")</f>
        <v/>
      </c>
      <c r="E160" s="61" t="str">
        <f>IFERROR(IF(DB_Customers!R154&lt;&gt;"",DB_Customers!R154,""),"")</f>
        <v/>
      </c>
      <c r="F160" s="61" t="str">
        <f>IFERROR(IF(DB_Customers!S154&lt;&gt;"",DB_Customers!S154,""),"")</f>
        <v/>
      </c>
      <c r="G160" s="61" t="str">
        <f>IFERROR(IF(DB_Customers!G154&lt;&gt;"",DB_Customers!G154,""),"")</f>
        <v/>
      </c>
      <c r="H160" s="63" t="str">
        <f>IFERROR(IF(DB_Customers!H154&lt;&gt;"",DB_Customers!H154,""),"")</f>
        <v/>
      </c>
      <c r="I160" s="64" t="str">
        <f>IFERROR(IF(DB_Customers!I154&lt;&gt;"",DB_Customers!I154,""),"")</f>
        <v/>
      </c>
      <c r="J160" s="62" t="str">
        <f>IFERROR(IF(DB_Customers!J154&lt;&gt;"",DB_Customers!J154,""),"")</f>
        <v/>
      </c>
      <c r="K160" s="61" t="str">
        <f>IFERROR(IF(DB_Customers!E154&lt;&gt;"",DB_Customers!E154,""),"")</f>
        <v/>
      </c>
      <c r="L160" s="61" t="str">
        <f>IFERROR(IF(DB_Customers!F154&lt;&gt;"",DB_Customers!F154,""),"")</f>
        <v/>
      </c>
      <c r="M160" s="61" t="str">
        <f>IFERROR(IF(DB_Customers!T154&lt;&gt;"",DB_Customers!T154,""),"")</f>
        <v/>
      </c>
      <c r="N160" s="65" t="str">
        <f>IFERROR(IF(DB_Customers!A154&lt;&gt;"",IF(DB_Customers!I154&gt;=10,"Active","Inactive"),""),"")</f>
        <v/>
      </c>
    </row>
    <row r="161" spans="1:14" ht="18" customHeight="1" x14ac:dyDescent="0.25">
      <c r="A161" s="66" t="str">
        <f>IF(DB_Customers!A155&lt;&gt;"",152,"")</f>
        <v/>
      </c>
      <c r="B161" s="67" t="str">
        <f>IFERROR(IF(DB_Customers!A155&lt;&gt;"",DB_Customers!A155,""),"")</f>
        <v/>
      </c>
      <c r="C161" s="68" t="str">
        <f>IFERROR(IF(DB_Customers!D155&lt;&gt;"",DB_Customers!D155,""),"")</f>
        <v/>
      </c>
      <c r="D161" s="69" t="str">
        <f>IFERROR(IF(DB_Customers!Q155&lt;&gt;"",DB_Customers!Q155,""),"")</f>
        <v/>
      </c>
      <c r="E161" s="68" t="str">
        <f>IFERROR(IF(DB_Customers!R155&lt;&gt;"",DB_Customers!R155,""),"")</f>
        <v/>
      </c>
      <c r="F161" s="68" t="str">
        <f>IFERROR(IF(DB_Customers!S155&lt;&gt;"",DB_Customers!S155,""),"")</f>
        <v/>
      </c>
      <c r="G161" s="68" t="str">
        <f>IFERROR(IF(DB_Customers!G155&lt;&gt;"",DB_Customers!G155,""),"")</f>
        <v/>
      </c>
      <c r="H161" s="70" t="str">
        <f>IFERROR(IF(DB_Customers!H155&lt;&gt;"",DB_Customers!H155,""),"")</f>
        <v/>
      </c>
      <c r="I161" s="71" t="str">
        <f>IFERROR(IF(DB_Customers!I155&lt;&gt;"",DB_Customers!I155,""),"")</f>
        <v/>
      </c>
      <c r="J161" s="69" t="str">
        <f>IFERROR(IF(DB_Customers!J155&lt;&gt;"",DB_Customers!J155,""),"")</f>
        <v/>
      </c>
      <c r="K161" s="68" t="str">
        <f>IFERROR(IF(DB_Customers!E155&lt;&gt;"",DB_Customers!E155,""),"")</f>
        <v/>
      </c>
      <c r="L161" s="68" t="str">
        <f>IFERROR(IF(DB_Customers!F155&lt;&gt;"",DB_Customers!F155,""),"")</f>
        <v/>
      </c>
      <c r="M161" s="68" t="str">
        <f>IFERROR(IF(DB_Customers!T155&lt;&gt;"",DB_Customers!T155,""),"")</f>
        <v/>
      </c>
      <c r="N161" s="72" t="str">
        <f>IFERROR(IF(DB_Customers!A155&lt;&gt;"",IF(DB_Customers!I155&gt;=10,"Active","Inactive"),""),"")</f>
        <v/>
      </c>
    </row>
    <row r="162" spans="1:14" ht="18" customHeight="1" x14ac:dyDescent="0.25">
      <c r="A162" s="59" t="str">
        <f>IF(DB_Customers!A156&lt;&gt;"",153,"")</f>
        <v/>
      </c>
      <c r="B162" s="60" t="str">
        <f>IFERROR(IF(DB_Customers!A156&lt;&gt;"",DB_Customers!A156,""),"")</f>
        <v/>
      </c>
      <c r="C162" s="61" t="str">
        <f>IFERROR(IF(DB_Customers!D156&lt;&gt;"",DB_Customers!D156,""),"")</f>
        <v/>
      </c>
      <c r="D162" s="62" t="str">
        <f>IFERROR(IF(DB_Customers!Q156&lt;&gt;"",DB_Customers!Q156,""),"")</f>
        <v/>
      </c>
      <c r="E162" s="61" t="str">
        <f>IFERROR(IF(DB_Customers!R156&lt;&gt;"",DB_Customers!R156,""),"")</f>
        <v/>
      </c>
      <c r="F162" s="61" t="str">
        <f>IFERROR(IF(DB_Customers!S156&lt;&gt;"",DB_Customers!S156,""),"")</f>
        <v/>
      </c>
      <c r="G162" s="61" t="str">
        <f>IFERROR(IF(DB_Customers!G156&lt;&gt;"",DB_Customers!G156,""),"")</f>
        <v/>
      </c>
      <c r="H162" s="63" t="str">
        <f>IFERROR(IF(DB_Customers!H156&lt;&gt;"",DB_Customers!H156,""),"")</f>
        <v/>
      </c>
      <c r="I162" s="64" t="str">
        <f>IFERROR(IF(DB_Customers!I156&lt;&gt;"",DB_Customers!I156,""),"")</f>
        <v/>
      </c>
      <c r="J162" s="62" t="str">
        <f>IFERROR(IF(DB_Customers!J156&lt;&gt;"",DB_Customers!J156,""),"")</f>
        <v/>
      </c>
      <c r="K162" s="61" t="str">
        <f>IFERROR(IF(DB_Customers!E156&lt;&gt;"",DB_Customers!E156,""),"")</f>
        <v/>
      </c>
      <c r="L162" s="61" t="str">
        <f>IFERROR(IF(DB_Customers!F156&lt;&gt;"",DB_Customers!F156,""),"")</f>
        <v/>
      </c>
      <c r="M162" s="61" t="str">
        <f>IFERROR(IF(DB_Customers!T156&lt;&gt;"",DB_Customers!T156,""),"")</f>
        <v/>
      </c>
      <c r="N162" s="65" t="str">
        <f>IFERROR(IF(DB_Customers!A156&lt;&gt;"",IF(DB_Customers!I156&gt;=10,"Active","Inactive"),""),"")</f>
        <v/>
      </c>
    </row>
    <row r="163" spans="1:14" ht="18" customHeight="1" x14ac:dyDescent="0.25">
      <c r="A163" s="66" t="str">
        <f>IF(DB_Customers!A157&lt;&gt;"",154,"")</f>
        <v/>
      </c>
      <c r="B163" s="67" t="str">
        <f>IFERROR(IF(DB_Customers!A157&lt;&gt;"",DB_Customers!A157,""),"")</f>
        <v/>
      </c>
      <c r="C163" s="68" t="str">
        <f>IFERROR(IF(DB_Customers!D157&lt;&gt;"",DB_Customers!D157,""),"")</f>
        <v/>
      </c>
      <c r="D163" s="69" t="str">
        <f>IFERROR(IF(DB_Customers!Q157&lt;&gt;"",DB_Customers!Q157,""),"")</f>
        <v/>
      </c>
      <c r="E163" s="68" t="str">
        <f>IFERROR(IF(DB_Customers!R157&lt;&gt;"",DB_Customers!R157,""),"")</f>
        <v/>
      </c>
      <c r="F163" s="68" t="str">
        <f>IFERROR(IF(DB_Customers!S157&lt;&gt;"",DB_Customers!S157,""),"")</f>
        <v/>
      </c>
      <c r="G163" s="68" t="str">
        <f>IFERROR(IF(DB_Customers!G157&lt;&gt;"",DB_Customers!G157,""),"")</f>
        <v/>
      </c>
      <c r="H163" s="70" t="str">
        <f>IFERROR(IF(DB_Customers!H157&lt;&gt;"",DB_Customers!H157,""),"")</f>
        <v/>
      </c>
      <c r="I163" s="71" t="str">
        <f>IFERROR(IF(DB_Customers!I157&lt;&gt;"",DB_Customers!I157,""),"")</f>
        <v/>
      </c>
      <c r="J163" s="69" t="str">
        <f>IFERROR(IF(DB_Customers!J157&lt;&gt;"",DB_Customers!J157,""),"")</f>
        <v/>
      </c>
      <c r="K163" s="68" t="str">
        <f>IFERROR(IF(DB_Customers!E157&lt;&gt;"",DB_Customers!E157,""),"")</f>
        <v/>
      </c>
      <c r="L163" s="68" t="str">
        <f>IFERROR(IF(DB_Customers!F157&lt;&gt;"",DB_Customers!F157,""),"")</f>
        <v/>
      </c>
      <c r="M163" s="68" t="str">
        <f>IFERROR(IF(DB_Customers!T157&lt;&gt;"",DB_Customers!T157,""),"")</f>
        <v/>
      </c>
      <c r="N163" s="72" t="str">
        <f>IFERROR(IF(DB_Customers!A157&lt;&gt;"",IF(DB_Customers!I157&gt;=10,"Active","Inactive"),""),"")</f>
        <v/>
      </c>
    </row>
    <row r="164" spans="1:14" ht="18" customHeight="1" x14ac:dyDescent="0.25">
      <c r="A164" s="59" t="str">
        <f>IF(DB_Customers!A158&lt;&gt;"",155,"")</f>
        <v/>
      </c>
      <c r="B164" s="60" t="str">
        <f>IFERROR(IF(DB_Customers!A158&lt;&gt;"",DB_Customers!A158,""),"")</f>
        <v/>
      </c>
      <c r="C164" s="61" t="str">
        <f>IFERROR(IF(DB_Customers!D158&lt;&gt;"",DB_Customers!D158,""),"")</f>
        <v/>
      </c>
      <c r="D164" s="62" t="str">
        <f>IFERROR(IF(DB_Customers!Q158&lt;&gt;"",DB_Customers!Q158,""),"")</f>
        <v/>
      </c>
      <c r="E164" s="61" t="str">
        <f>IFERROR(IF(DB_Customers!R158&lt;&gt;"",DB_Customers!R158,""),"")</f>
        <v/>
      </c>
      <c r="F164" s="61" t="str">
        <f>IFERROR(IF(DB_Customers!S158&lt;&gt;"",DB_Customers!S158,""),"")</f>
        <v/>
      </c>
      <c r="G164" s="61" t="str">
        <f>IFERROR(IF(DB_Customers!G158&lt;&gt;"",DB_Customers!G158,""),"")</f>
        <v/>
      </c>
      <c r="H164" s="63" t="str">
        <f>IFERROR(IF(DB_Customers!H158&lt;&gt;"",DB_Customers!H158,""),"")</f>
        <v/>
      </c>
      <c r="I164" s="64" t="str">
        <f>IFERROR(IF(DB_Customers!I158&lt;&gt;"",DB_Customers!I158,""),"")</f>
        <v/>
      </c>
      <c r="J164" s="62" t="str">
        <f>IFERROR(IF(DB_Customers!J158&lt;&gt;"",DB_Customers!J158,""),"")</f>
        <v/>
      </c>
      <c r="K164" s="61" t="str">
        <f>IFERROR(IF(DB_Customers!E158&lt;&gt;"",DB_Customers!E158,""),"")</f>
        <v/>
      </c>
      <c r="L164" s="61" t="str">
        <f>IFERROR(IF(DB_Customers!F158&lt;&gt;"",DB_Customers!F158,""),"")</f>
        <v/>
      </c>
      <c r="M164" s="61" t="str">
        <f>IFERROR(IF(DB_Customers!T158&lt;&gt;"",DB_Customers!T158,""),"")</f>
        <v/>
      </c>
      <c r="N164" s="65" t="str">
        <f>IFERROR(IF(DB_Customers!A158&lt;&gt;"",IF(DB_Customers!I158&gt;=10,"Active","Inactive"),""),"")</f>
        <v/>
      </c>
    </row>
    <row r="165" spans="1:14" ht="18" customHeight="1" x14ac:dyDescent="0.25">
      <c r="A165" s="66" t="str">
        <f>IF(DB_Customers!A159&lt;&gt;"",156,"")</f>
        <v/>
      </c>
      <c r="B165" s="67" t="str">
        <f>IFERROR(IF(DB_Customers!A159&lt;&gt;"",DB_Customers!A159,""),"")</f>
        <v/>
      </c>
      <c r="C165" s="68" t="str">
        <f>IFERROR(IF(DB_Customers!D159&lt;&gt;"",DB_Customers!D159,""),"")</f>
        <v/>
      </c>
      <c r="D165" s="69" t="str">
        <f>IFERROR(IF(DB_Customers!Q159&lt;&gt;"",DB_Customers!Q159,""),"")</f>
        <v/>
      </c>
      <c r="E165" s="68" t="str">
        <f>IFERROR(IF(DB_Customers!R159&lt;&gt;"",DB_Customers!R159,""),"")</f>
        <v/>
      </c>
      <c r="F165" s="68" t="str">
        <f>IFERROR(IF(DB_Customers!S159&lt;&gt;"",DB_Customers!S159,""),"")</f>
        <v/>
      </c>
      <c r="G165" s="68" t="str">
        <f>IFERROR(IF(DB_Customers!G159&lt;&gt;"",DB_Customers!G159,""),"")</f>
        <v/>
      </c>
      <c r="H165" s="70" t="str">
        <f>IFERROR(IF(DB_Customers!H159&lt;&gt;"",DB_Customers!H159,""),"")</f>
        <v/>
      </c>
      <c r="I165" s="71" t="str">
        <f>IFERROR(IF(DB_Customers!I159&lt;&gt;"",DB_Customers!I159,""),"")</f>
        <v/>
      </c>
      <c r="J165" s="69" t="str">
        <f>IFERROR(IF(DB_Customers!J159&lt;&gt;"",DB_Customers!J159,""),"")</f>
        <v/>
      </c>
      <c r="K165" s="68" t="str">
        <f>IFERROR(IF(DB_Customers!E159&lt;&gt;"",DB_Customers!E159,""),"")</f>
        <v/>
      </c>
      <c r="L165" s="68" t="str">
        <f>IFERROR(IF(DB_Customers!F159&lt;&gt;"",DB_Customers!F159,""),"")</f>
        <v/>
      </c>
      <c r="M165" s="68" t="str">
        <f>IFERROR(IF(DB_Customers!T159&lt;&gt;"",DB_Customers!T159,""),"")</f>
        <v/>
      </c>
      <c r="N165" s="72" t="str">
        <f>IFERROR(IF(DB_Customers!A159&lt;&gt;"",IF(DB_Customers!I159&gt;=10,"Active","Inactive"),""),"")</f>
        <v/>
      </c>
    </row>
    <row r="166" spans="1:14" ht="18" customHeight="1" x14ac:dyDescent="0.25">
      <c r="A166" s="59" t="str">
        <f>IF(DB_Customers!A160&lt;&gt;"",157,"")</f>
        <v/>
      </c>
      <c r="B166" s="60" t="str">
        <f>IFERROR(IF(DB_Customers!A160&lt;&gt;"",DB_Customers!A160,""),"")</f>
        <v/>
      </c>
      <c r="C166" s="61" t="str">
        <f>IFERROR(IF(DB_Customers!D160&lt;&gt;"",DB_Customers!D160,""),"")</f>
        <v/>
      </c>
      <c r="D166" s="62" t="str">
        <f>IFERROR(IF(DB_Customers!Q160&lt;&gt;"",DB_Customers!Q160,""),"")</f>
        <v/>
      </c>
      <c r="E166" s="61" t="str">
        <f>IFERROR(IF(DB_Customers!R160&lt;&gt;"",DB_Customers!R160,""),"")</f>
        <v/>
      </c>
      <c r="F166" s="61" t="str">
        <f>IFERROR(IF(DB_Customers!S160&lt;&gt;"",DB_Customers!S160,""),"")</f>
        <v/>
      </c>
      <c r="G166" s="61" t="str">
        <f>IFERROR(IF(DB_Customers!G160&lt;&gt;"",DB_Customers!G160,""),"")</f>
        <v/>
      </c>
      <c r="H166" s="63" t="str">
        <f>IFERROR(IF(DB_Customers!H160&lt;&gt;"",DB_Customers!H160,""),"")</f>
        <v/>
      </c>
      <c r="I166" s="64" t="str">
        <f>IFERROR(IF(DB_Customers!I160&lt;&gt;"",DB_Customers!I160,""),"")</f>
        <v/>
      </c>
      <c r="J166" s="62" t="str">
        <f>IFERROR(IF(DB_Customers!J160&lt;&gt;"",DB_Customers!J160,""),"")</f>
        <v/>
      </c>
      <c r="K166" s="61" t="str">
        <f>IFERROR(IF(DB_Customers!E160&lt;&gt;"",DB_Customers!E160,""),"")</f>
        <v/>
      </c>
      <c r="L166" s="61" t="str">
        <f>IFERROR(IF(DB_Customers!F160&lt;&gt;"",DB_Customers!F160,""),"")</f>
        <v/>
      </c>
      <c r="M166" s="61" t="str">
        <f>IFERROR(IF(DB_Customers!T160&lt;&gt;"",DB_Customers!T160,""),"")</f>
        <v/>
      </c>
      <c r="N166" s="65" t="str">
        <f>IFERROR(IF(DB_Customers!A160&lt;&gt;"",IF(DB_Customers!I160&gt;=10,"Active","Inactive"),""),"")</f>
        <v/>
      </c>
    </row>
    <row r="167" spans="1:14" ht="18" customHeight="1" x14ac:dyDescent="0.25">
      <c r="A167" s="66" t="str">
        <f>IF(DB_Customers!A161&lt;&gt;"",158,"")</f>
        <v/>
      </c>
      <c r="B167" s="67" t="str">
        <f>IFERROR(IF(DB_Customers!A161&lt;&gt;"",DB_Customers!A161,""),"")</f>
        <v/>
      </c>
      <c r="C167" s="68" t="str">
        <f>IFERROR(IF(DB_Customers!D161&lt;&gt;"",DB_Customers!D161,""),"")</f>
        <v/>
      </c>
      <c r="D167" s="69" t="str">
        <f>IFERROR(IF(DB_Customers!Q161&lt;&gt;"",DB_Customers!Q161,""),"")</f>
        <v/>
      </c>
      <c r="E167" s="68" t="str">
        <f>IFERROR(IF(DB_Customers!R161&lt;&gt;"",DB_Customers!R161,""),"")</f>
        <v/>
      </c>
      <c r="F167" s="68" t="str">
        <f>IFERROR(IF(DB_Customers!S161&lt;&gt;"",DB_Customers!S161,""),"")</f>
        <v/>
      </c>
      <c r="G167" s="68" t="str">
        <f>IFERROR(IF(DB_Customers!G161&lt;&gt;"",DB_Customers!G161,""),"")</f>
        <v/>
      </c>
      <c r="H167" s="70" t="str">
        <f>IFERROR(IF(DB_Customers!H161&lt;&gt;"",DB_Customers!H161,""),"")</f>
        <v/>
      </c>
      <c r="I167" s="71" t="str">
        <f>IFERROR(IF(DB_Customers!I161&lt;&gt;"",DB_Customers!I161,""),"")</f>
        <v/>
      </c>
      <c r="J167" s="69" t="str">
        <f>IFERROR(IF(DB_Customers!J161&lt;&gt;"",DB_Customers!J161,""),"")</f>
        <v/>
      </c>
      <c r="K167" s="68" t="str">
        <f>IFERROR(IF(DB_Customers!E161&lt;&gt;"",DB_Customers!E161,""),"")</f>
        <v/>
      </c>
      <c r="L167" s="68" t="str">
        <f>IFERROR(IF(DB_Customers!F161&lt;&gt;"",DB_Customers!F161,""),"")</f>
        <v/>
      </c>
      <c r="M167" s="68" t="str">
        <f>IFERROR(IF(DB_Customers!T161&lt;&gt;"",DB_Customers!T161,""),"")</f>
        <v/>
      </c>
      <c r="N167" s="72" t="str">
        <f>IFERROR(IF(DB_Customers!A161&lt;&gt;"",IF(DB_Customers!I161&gt;=10,"Active","Inactive"),""),"")</f>
        <v/>
      </c>
    </row>
    <row r="168" spans="1:14" ht="18" customHeight="1" x14ac:dyDescent="0.25">
      <c r="A168" s="59" t="str">
        <f>IF(DB_Customers!A162&lt;&gt;"",159,"")</f>
        <v/>
      </c>
      <c r="B168" s="60" t="str">
        <f>IFERROR(IF(DB_Customers!A162&lt;&gt;"",DB_Customers!A162,""),"")</f>
        <v/>
      </c>
      <c r="C168" s="61" t="str">
        <f>IFERROR(IF(DB_Customers!D162&lt;&gt;"",DB_Customers!D162,""),"")</f>
        <v/>
      </c>
      <c r="D168" s="62" t="str">
        <f>IFERROR(IF(DB_Customers!Q162&lt;&gt;"",DB_Customers!Q162,""),"")</f>
        <v/>
      </c>
      <c r="E168" s="61" t="str">
        <f>IFERROR(IF(DB_Customers!R162&lt;&gt;"",DB_Customers!R162,""),"")</f>
        <v/>
      </c>
      <c r="F168" s="61" t="str">
        <f>IFERROR(IF(DB_Customers!S162&lt;&gt;"",DB_Customers!S162,""),"")</f>
        <v/>
      </c>
      <c r="G168" s="61" t="str">
        <f>IFERROR(IF(DB_Customers!G162&lt;&gt;"",DB_Customers!G162,""),"")</f>
        <v/>
      </c>
      <c r="H168" s="63" t="str">
        <f>IFERROR(IF(DB_Customers!H162&lt;&gt;"",DB_Customers!H162,""),"")</f>
        <v/>
      </c>
      <c r="I168" s="64" t="str">
        <f>IFERROR(IF(DB_Customers!I162&lt;&gt;"",DB_Customers!I162,""),"")</f>
        <v/>
      </c>
      <c r="J168" s="62" t="str">
        <f>IFERROR(IF(DB_Customers!J162&lt;&gt;"",DB_Customers!J162,""),"")</f>
        <v/>
      </c>
      <c r="K168" s="61" t="str">
        <f>IFERROR(IF(DB_Customers!E162&lt;&gt;"",DB_Customers!E162,""),"")</f>
        <v/>
      </c>
      <c r="L168" s="61" t="str">
        <f>IFERROR(IF(DB_Customers!F162&lt;&gt;"",DB_Customers!F162,""),"")</f>
        <v/>
      </c>
      <c r="M168" s="61" t="str">
        <f>IFERROR(IF(DB_Customers!T162&lt;&gt;"",DB_Customers!T162,""),"")</f>
        <v/>
      </c>
      <c r="N168" s="65" t="str">
        <f>IFERROR(IF(DB_Customers!A162&lt;&gt;"",IF(DB_Customers!I162&gt;=10,"Active","Inactive"),""),"")</f>
        <v/>
      </c>
    </row>
    <row r="169" spans="1:14" ht="18" customHeight="1" x14ac:dyDescent="0.25">
      <c r="A169" s="66" t="str">
        <f>IF(DB_Customers!A163&lt;&gt;"",160,"")</f>
        <v/>
      </c>
      <c r="B169" s="67" t="str">
        <f>IFERROR(IF(DB_Customers!A163&lt;&gt;"",DB_Customers!A163,""),"")</f>
        <v/>
      </c>
      <c r="C169" s="68" t="str">
        <f>IFERROR(IF(DB_Customers!D163&lt;&gt;"",DB_Customers!D163,""),"")</f>
        <v/>
      </c>
      <c r="D169" s="69" t="str">
        <f>IFERROR(IF(DB_Customers!Q163&lt;&gt;"",DB_Customers!Q163,""),"")</f>
        <v/>
      </c>
      <c r="E169" s="68" t="str">
        <f>IFERROR(IF(DB_Customers!R163&lt;&gt;"",DB_Customers!R163,""),"")</f>
        <v/>
      </c>
      <c r="F169" s="68" t="str">
        <f>IFERROR(IF(DB_Customers!S163&lt;&gt;"",DB_Customers!S163,""),"")</f>
        <v/>
      </c>
      <c r="G169" s="68" t="str">
        <f>IFERROR(IF(DB_Customers!G163&lt;&gt;"",DB_Customers!G163,""),"")</f>
        <v/>
      </c>
      <c r="H169" s="70" t="str">
        <f>IFERROR(IF(DB_Customers!H163&lt;&gt;"",DB_Customers!H163,""),"")</f>
        <v/>
      </c>
      <c r="I169" s="71" t="str">
        <f>IFERROR(IF(DB_Customers!I163&lt;&gt;"",DB_Customers!I163,""),"")</f>
        <v/>
      </c>
      <c r="J169" s="69" t="str">
        <f>IFERROR(IF(DB_Customers!J163&lt;&gt;"",DB_Customers!J163,""),"")</f>
        <v/>
      </c>
      <c r="K169" s="68" t="str">
        <f>IFERROR(IF(DB_Customers!E163&lt;&gt;"",DB_Customers!E163,""),"")</f>
        <v/>
      </c>
      <c r="L169" s="68" t="str">
        <f>IFERROR(IF(DB_Customers!F163&lt;&gt;"",DB_Customers!F163,""),"")</f>
        <v/>
      </c>
      <c r="M169" s="68" t="str">
        <f>IFERROR(IF(DB_Customers!T163&lt;&gt;"",DB_Customers!T163,""),"")</f>
        <v/>
      </c>
      <c r="N169" s="72" t="str">
        <f>IFERROR(IF(DB_Customers!A163&lt;&gt;"",IF(DB_Customers!I163&gt;=10,"Active","Inactive"),""),"")</f>
        <v/>
      </c>
    </row>
    <row r="170" spans="1:14" ht="18" customHeight="1" x14ac:dyDescent="0.25">
      <c r="A170" s="59" t="str">
        <f>IF(DB_Customers!A164&lt;&gt;"",161,"")</f>
        <v/>
      </c>
      <c r="B170" s="60" t="str">
        <f>IFERROR(IF(DB_Customers!A164&lt;&gt;"",DB_Customers!A164,""),"")</f>
        <v/>
      </c>
      <c r="C170" s="61" t="str">
        <f>IFERROR(IF(DB_Customers!D164&lt;&gt;"",DB_Customers!D164,""),"")</f>
        <v/>
      </c>
      <c r="D170" s="62" t="str">
        <f>IFERROR(IF(DB_Customers!Q164&lt;&gt;"",DB_Customers!Q164,""),"")</f>
        <v/>
      </c>
      <c r="E170" s="61" t="str">
        <f>IFERROR(IF(DB_Customers!R164&lt;&gt;"",DB_Customers!R164,""),"")</f>
        <v/>
      </c>
      <c r="F170" s="61" t="str">
        <f>IFERROR(IF(DB_Customers!S164&lt;&gt;"",DB_Customers!S164,""),"")</f>
        <v/>
      </c>
      <c r="G170" s="61" t="str">
        <f>IFERROR(IF(DB_Customers!G164&lt;&gt;"",DB_Customers!G164,""),"")</f>
        <v/>
      </c>
      <c r="H170" s="63" t="str">
        <f>IFERROR(IF(DB_Customers!H164&lt;&gt;"",DB_Customers!H164,""),"")</f>
        <v/>
      </c>
      <c r="I170" s="64" t="str">
        <f>IFERROR(IF(DB_Customers!I164&lt;&gt;"",DB_Customers!I164,""),"")</f>
        <v/>
      </c>
      <c r="J170" s="62" t="str">
        <f>IFERROR(IF(DB_Customers!J164&lt;&gt;"",DB_Customers!J164,""),"")</f>
        <v/>
      </c>
      <c r="K170" s="61" t="str">
        <f>IFERROR(IF(DB_Customers!E164&lt;&gt;"",DB_Customers!E164,""),"")</f>
        <v/>
      </c>
      <c r="L170" s="61" t="str">
        <f>IFERROR(IF(DB_Customers!F164&lt;&gt;"",DB_Customers!F164,""),"")</f>
        <v/>
      </c>
      <c r="M170" s="61" t="str">
        <f>IFERROR(IF(DB_Customers!T164&lt;&gt;"",DB_Customers!T164,""),"")</f>
        <v/>
      </c>
      <c r="N170" s="65" t="str">
        <f>IFERROR(IF(DB_Customers!A164&lt;&gt;"",IF(DB_Customers!I164&gt;=10,"Active","Inactive"),""),"")</f>
        <v/>
      </c>
    </row>
    <row r="171" spans="1:14" ht="18" customHeight="1" x14ac:dyDescent="0.25">
      <c r="A171" s="66" t="str">
        <f>IF(DB_Customers!A165&lt;&gt;"",162,"")</f>
        <v/>
      </c>
      <c r="B171" s="67" t="str">
        <f>IFERROR(IF(DB_Customers!A165&lt;&gt;"",DB_Customers!A165,""),"")</f>
        <v/>
      </c>
      <c r="C171" s="68" t="str">
        <f>IFERROR(IF(DB_Customers!D165&lt;&gt;"",DB_Customers!D165,""),"")</f>
        <v/>
      </c>
      <c r="D171" s="69" t="str">
        <f>IFERROR(IF(DB_Customers!Q165&lt;&gt;"",DB_Customers!Q165,""),"")</f>
        <v/>
      </c>
      <c r="E171" s="68" t="str">
        <f>IFERROR(IF(DB_Customers!R165&lt;&gt;"",DB_Customers!R165,""),"")</f>
        <v/>
      </c>
      <c r="F171" s="68" t="str">
        <f>IFERROR(IF(DB_Customers!S165&lt;&gt;"",DB_Customers!S165,""),"")</f>
        <v/>
      </c>
      <c r="G171" s="68" t="str">
        <f>IFERROR(IF(DB_Customers!G165&lt;&gt;"",DB_Customers!G165,""),"")</f>
        <v/>
      </c>
      <c r="H171" s="70" t="str">
        <f>IFERROR(IF(DB_Customers!H165&lt;&gt;"",DB_Customers!H165,""),"")</f>
        <v/>
      </c>
      <c r="I171" s="71" t="str">
        <f>IFERROR(IF(DB_Customers!I165&lt;&gt;"",DB_Customers!I165,""),"")</f>
        <v/>
      </c>
      <c r="J171" s="69" t="str">
        <f>IFERROR(IF(DB_Customers!J165&lt;&gt;"",DB_Customers!J165,""),"")</f>
        <v/>
      </c>
      <c r="K171" s="68" t="str">
        <f>IFERROR(IF(DB_Customers!E165&lt;&gt;"",DB_Customers!E165,""),"")</f>
        <v/>
      </c>
      <c r="L171" s="68" t="str">
        <f>IFERROR(IF(DB_Customers!F165&lt;&gt;"",DB_Customers!F165,""),"")</f>
        <v/>
      </c>
      <c r="M171" s="68" t="str">
        <f>IFERROR(IF(DB_Customers!T165&lt;&gt;"",DB_Customers!T165,""),"")</f>
        <v/>
      </c>
      <c r="N171" s="72" t="str">
        <f>IFERROR(IF(DB_Customers!A165&lt;&gt;"",IF(DB_Customers!I165&gt;=10,"Active","Inactive"),""),"")</f>
        <v/>
      </c>
    </row>
    <row r="172" spans="1:14" ht="18" customHeight="1" x14ac:dyDescent="0.25">
      <c r="A172" s="59" t="str">
        <f>IF(DB_Customers!A166&lt;&gt;"",163,"")</f>
        <v/>
      </c>
      <c r="B172" s="60" t="str">
        <f>IFERROR(IF(DB_Customers!A166&lt;&gt;"",DB_Customers!A166,""),"")</f>
        <v/>
      </c>
      <c r="C172" s="61" t="str">
        <f>IFERROR(IF(DB_Customers!D166&lt;&gt;"",DB_Customers!D166,""),"")</f>
        <v/>
      </c>
      <c r="D172" s="62" t="str">
        <f>IFERROR(IF(DB_Customers!Q166&lt;&gt;"",DB_Customers!Q166,""),"")</f>
        <v/>
      </c>
      <c r="E172" s="61" t="str">
        <f>IFERROR(IF(DB_Customers!R166&lt;&gt;"",DB_Customers!R166,""),"")</f>
        <v/>
      </c>
      <c r="F172" s="61" t="str">
        <f>IFERROR(IF(DB_Customers!S166&lt;&gt;"",DB_Customers!S166,""),"")</f>
        <v/>
      </c>
      <c r="G172" s="61" t="str">
        <f>IFERROR(IF(DB_Customers!G166&lt;&gt;"",DB_Customers!G166,""),"")</f>
        <v/>
      </c>
      <c r="H172" s="63" t="str">
        <f>IFERROR(IF(DB_Customers!H166&lt;&gt;"",DB_Customers!H166,""),"")</f>
        <v/>
      </c>
      <c r="I172" s="64" t="str">
        <f>IFERROR(IF(DB_Customers!I166&lt;&gt;"",DB_Customers!I166,""),"")</f>
        <v/>
      </c>
      <c r="J172" s="62" t="str">
        <f>IFERROR(IF(DB_Customers!J166&lt;&gt;"",DB_Customers!J166,""),"")</f>
        <v/>
      </c>
      <c r="K172" s="61" t="str">
        <f>IFERROR(IF(DB_Customers!E166&lt;&gt;"",DB_Customers!E166,""),"")</f>
        <v/>
      </c>
      <c r="L172" s="61" t="str">
        <f>IFERROR(IF(DB_Customers!F166&lt;&gt;"",DB_Customers!F166,""),"")</f>
        <v/>
      </c>
      <c r="M172" s="61" t="str">
        <f>IFERROR(IF(DB_Customers!T166&lt;&gt;"",DB_Customers!T166,""),"")</f>
        <v/>
      </c>
      <c r="N172" s="65" t="str">
        <f>IFERROR(IF(DB_Customers!A166&lt;&gt;"",IF(DB_Customers!I166&gt;=10,"Active","Inactive"),""),"")</f>
        <v/>
      </c>
    </row>
    <row r="173" spans="1:14" ht="18" customHeight="1" x14ac:dyDescent="0.25">
      <c r="A173" s="66" t="str">
        <f>IF(DB_Customers!A167&lt;&gt;"",164,"")</f>
        <v/>
      </c>
      <c r="B173" s="67" t="str">
        <f>IFERROR(IF(DB_Customers!A167&lt;&gt;"",DB_Customers!A167,""),"")</f>
        <v/>
      </c>
      <c r="C173" s="68" t="str">
        <f>IFERROR(IF(DB_Customers!D167&lt;&gt;"",DB_Customers!D167,""),"")</f>
        <v/>
      </c>
      <c r="D173" s="69" t="str">
        <f>IFERROR(IF(DB_Customers!Q167&lt;&gt;"",DB_Customers!Q167,""),"")</f>
        <v/>
      </c>
      <c r="E173" s="68" t="str">
        <f>IFERROR(IF(DB_Customers!R167&lt;&gt;"",DB_Customers!R167,""),"")</f>
        <v/>
      </c>
      <c r="F173" s="68" t="str">
        <f>IFERROR(IF(DB_Customers!S167&lt;&gt;"",DB_Customers!S167,""),"")</f>
        <v/>
      </c>
      <c r="G173" s="68" t="str">
        <f>IFERROR(IF(DB_Customers!G167&lt;&gt;"",DB_Customers!G167,""),"")</f>
        <v/>
      </c>
      <c r="H173" s="70" t="str">
        <f>IFERROR(IF(DB_Customers!H167&lt;&gt;"",DB_Customers!H167,""),"")</f>
        <v/>
      </c>
      <c r="I173" s="71" t="str">
        <f>IFERROR(IF(DB_Customers!I167&lt;&gt;"",DB_Customers!I167,""),"")</f>
        <v/>
      </c>
      <c r="J173" s="69" t="str">
        <f>IFERROR(IF(DB_Customers!J167&lt;&gt;"",DB_Customers!J167,""),"")</f>
        <v/>
      </c>
      <c r="K173" s="68" t="str">
        <f>IFERROR(IF(DB_Customers!E167&lt;&gt;"",DB_Customers!E167,""),"")</f>
        <v/>
      </c>
      <c r="L173" s="68" t="str">
        <f>IFERROR(IF(DB_Customers!F167&lt;&gt;"",DB_Customers!F167,""),"")</f>
        <v/>
      </c>
      <c r="M173" s="68" t="str">
        <f>IFERROR(IF(DB_Customers!T167&lt;&gt;"",DB_Customers!T167,""),"")</f>
        <v/>
      </c>
      <c r="N173" s="72" t="str">
        <f>IFERROR(IF(DB_Customers!A167&lt;&gt;"",IF(DB_Customers!I167&gt;=10,"Active","Inactive"),""),"")</f>
        <v/>
      </c>
    </row>
    <row r="174" spans="1:14" ht="18" customHeight="1" x14ac:dyDescent="0.25">
      <c r="A174" s="59" t="str">
        <f>IF(DB_Customers!A168&lt;&gt;"",165,"")</f>
        <v/>
      </c>
      <c r="B174" s="60" t="str">
        <f>IFERROR(IF(DB_Customers!A168&lt;&gt;"",DB_Customers!A168,""),"")</f>
        <v/>
      </c>
      <c r="C174" s="61" t="str">
        <f>IFERROR(IF(DB_Customers!D168&lt;&gt;"",DB_Customers!D168,""),"")</f>
        <v/>
      </c>
      <c r="D174" s="62" t="str">
        <f>IFERROR(IF(DB_Customers!Q168&lt;&gt;"",DB_Customers!Q168,""),"")</f>
        <v/>
      </c>
      <c r="E174" s="61" t="str">
        <f>IFERROR(IF(DB_Customers!R168&lt;&gt;"",DB_Customers!R168,""),"")</f>
        <v/>
      </c>
      <c r="F174" s="61" t="str">
        <f>IFERROR(IF(DB_Customers!S168&lt;&gt;"",DB_Customers!S168,""),"")</f>
        <v/>
      </c>
      <c r="G174" s="61" t="str">
        <f>IFERROR(IF(DB_Customers!G168&lt;&gt;"",DB_Customers!G168,""),"")</f>
        <v/>
      </c>
      <c r="H174" s="63" t="str">
        <f>IFERROR(IF(DB_Customers!H168&lt;&gt;"",DB_Customers!H168,""),"")</f>
        <v/>
      </c>
      <c r="I174" s="64" t="str">
        <f>IFERROR(IF(DB_Customers!I168&lt;&gt;"",DB_Customers!I168,""),"")</f>
        <v/>
      </c>
      <c r="J174" s="62" t="str">
        <f>IFERROR(IF(DB_Customers!J168&lt;&gt;"",DB_Customers!J168,""),"")</f>
        <v/>
      </c>
      <c r="K174" s="61" t="str">
        <f>IFERROR(IF(DB_Customers!E168&lt;&gt;"",DB_Customers!E168,""),"")</f>
        <v/>
      </c>
      <c r="L174" s="61" t="str">
        <f>IFERROR(IF(DB_Customers!F168&lt;&gt;"",DB_Customers!F168,""),"")</f>
        <v/>
      </c>
      <c r="M174" s="61" t="str">
        <f>IFERROR(IF(DB_Customers!T168&lt;&gt;"",DB_Customers!T168,""),"")</f>
        <v/>
      </c>
      <c r="N174" s="65" t="str">
        <f>IFERROR(IF(DB_Customers!A168&lt;&gt;"",IF(DB_Customers!I168&gt;=10,"Active","Inactive"),""),"")</f>
        <v/>
      </c>
    </row>
    <row r="175" spans="1:14" ht="18" customHeight="1" x14ac:dyDescent="0.25">
      <c r="A175" s="66" t="str">
        <f>IF(DB_Customers!A169&lt;&gt;"",166,"")</f>
        <v/>
      </c>
      <c r="B175" s="67" t="str">
        <f>IFERROR(IF(DB_Customers!A169&lt;&gt;"",DB_Customers!A169,""),"")</f>
        <v/>
      </c>
      <c r="C175" s="68" t="str">
        <f>IFERROR(IF(DB_Customers!D169&lt;&gt;"",DB_Customers!D169,""),"")</f>
        <v/>
      </c>
      <c r="D175" s="69" t="str">
        <f>IFERROR(IF(DB_Customers!Q169&lt;&gt;"",DB_Customers!Q169,""),"")</f>
        <v/>
      </c>
      <c r="E175" s="68" t="str">
        <f>IFERROR(IF(DB_Customers!R169&lt;&gt;"",DB_Customers!R169,""),"")</f>
        <v/>
      </c>
      <c r="F175" s="68" t="str">
        <f>IFERROR(IF(DB_Customers!S169&lt;&gt;"",DB_Customers!S169,""),"")</f>
        <v/>
      </c>
      <c r="G175" s="68" t="str">
        <f>IFERROR(IF(DB_Customers!G169&lt;&gt;"",DB_Customers!G169,""),"")</f>
        <v/>
      </c>
      <c r="H175" s="70" t="str">
        <f>IFERROR(IF(DB_Customers!H169&lt;&gt;"",DB_Customers!H169,""),"")</f>
        <v/>
      </c>
      <c r="I175" s="71" t="str">
        <f>IFERROR(IF(DB_Customers!I169&lt;&gt;"",DB_Customers!I169,""),"")</f>
        <v/>
      </c>
      <c r="J175" s="69" t="str">
        <f>IFERROR(IF(DB_Customers!J169&lt;&gt;"",DB_Customers!J169,""),"")</f>
        <v/>
      </c>
      <c r="K175" s="68" t="str">
        <f>IFERROR(IF(DB_Customers!E169&lt;&gt;"",DB_Customers!E169,""),"")</f>
        <v/>
      </c>
      <c r="L175" s="68" t="str">
        <f>IFERROR(IF(DB_Customers!F169&lt;&gt;"",DB_Customers!F169,""),"")</f>
        <v/>
      </c>
      <c r="M175" s="68" t="str">
        <f>IFERROR(IF(DB_Customers!T169&lt;&gt;"",DB_Customers!T169,""),"")</f>
        <v/>
      </c>
      <c r="N175" s="72" t="str">
        <f>IFERROR(IF(DB_Customers!A169&lt;&gt;"",IF(DB_Customers!I169&gt;=10,"Active","Inactive"),""),"")</f>
        <v/>
      </c>
    </row>
    <row r="176" spans="1:14" ht="18" customHeight="1" x14ac:dyDescent="0.25">
      <c r="A176" s="59" t="str">
        <f>IF(DB_Customers!A170&lt;&gt;"",167,"")</f>
        <v/>
      </c>
      <c r="B176" s="60" t="str">
        <f>IFERROR(IF(DB_Customers!A170&lt;&gt;"",DB_Customers!A170,""),"")</f>
        <v/>
      </c>
      <c r="C176" s="61" t="str">
        <f>IFERROR(IF(DB_Customers!D170&lt;&gt;"",DB_Customers!D170,""),"")</f>
        <v/>
      </c>
      <c r="D176" s="62" t="str">
        <f>IFERROR(IF(DB_Customers!Q170&lt;&gt;"",DB_Customers!Q170,""),"")</f>
        <v/>
      </c>
      <c r="E176" s="61" t="str">
        <f>IFERROR(IF(DB_Customers!R170&lt;&gt;"",DB_Customers!R170,""),"")</f>
        <v/>
      </c>
      <c r="F176" s="61" t="str">
        <f>IFERROR(IF(DB_Customers!S170&lt;&gt;"",DB_Customers!S170,""),"")</f>
        <v/>
      </c>
      <c r="G176" s="61" t="str">
        <f>IFERROR(IF(DB_Customers!G170&lt;&gt;"",DB_Customers!G170,""),"")</f>
        <v/>
      </c>
      <c r="H176" s="63" t="str">
        <f>IFERROR(IF(DB_Customers!H170&lt;&gt;"",DB_Customers!H170,""),"")</f>
        <v/>
      </c>
      <c r="I176" s="64" t="str">
        <f>IFERROR(IF(DB_Customers!I170&lt;&gt;"",DB_Customers!I170,""),"")</f>
        <v/>
      </c>
      <c r="J176" s="62" t="str">
        <f>IFERROR(IF(DB_Customers!J170&lt;&gt;"",DB_Customers!J170,""),"")</f>
        <v/>
      </c>
      <c r="K176" s="61" t="str">
        <f>IFERROR(IF(DB_Customers!E170&lt;&gt;"",DB_Customers!E170,""),"")</f>
        <v/>
      </c>
      <c r="L176" s="61" t="str">
        <f>IFERROR(IF(DB_Customers!F170&lt;&gt;"",DB_Customers!F170,""),"")</f>
        <v/>
      </c>
      <c r="M176" s="61" t="str">
        <f>IFERROR(IF(DB_Customers!T170&lt;&gt;"",DB_Customers!T170,""),"")</f>
        <v/>
      </c>
      <c r="N176" s="65" t="str">
        <f>IFERROR(IF(DB_Customers!A170&lt;&gt;"",IF(DB_Customers!I170&gt;=10,"Active","Inactive"),""),"")</f>
        <v/>
      </c>
    </row>
    <row r="177" spans="1:14" ht="18" customHeight="1" x14ac:dyDescent="0.25">
      <c r="A177" s="66" t="str">
        <f>IF(DB_Customers!A171&lt;&gt;"",168,"")</f>
        <v/>
      </c>
      <c r="B177" s="67" t="str">
        <f>IFERROR(IF(DB_Customers!A171&lt;&gt;"",DB_Customers!A171,""),"")</f>
        <v/>
      </c>
      <c r="C177" s="68" t="str">
        <f>IFERROR(IF(DB_Customers!D171&lt;&gt;"",DB_Customers!D171,""),"")</f>
        <v/>
      </c>
      <c r="D177" s="69" t="str">
        <f>IFERROR(IF(DB_Customers!Q171&lt;&gt;"",DB_Customers!Q171,""),"")</f>
        <v/>
      </c>
      <c r="E177" s="68" t="str">
        <f>IFERROR(IF(DB_Customers!R171&lt;&gt;"",DB_Customers!R171,""),"")</f>
        <v/>
      </c>
      <c r="F177" s="68" t="str">
        <f>IFERROR(IF(DB_Customers!S171&lt;&gt;"",DB_Customers!S171,""),"")</f>
        <v/>
      </c>
      <c r="G177" s="68" t="str">
        <f>IFERROR(IF(DB_Customers!G171&lt;&gt;"",DB_Customers!G171,""),"")</f>
        <v/>
      </c>
      <c r="H177" s="70" t="str">
        <f>IFERROR(IF(DB_Customers!H171&lt;&gt;"",DB_Customers!H171,""),"")</f>
        <v/>
      </c>
      <c r="I177" s="71" t="str">
        <f>IFERROR(IF(DB_Customers!I171&lt;&gt;"",DB_Customers!I171,""),"")</f>
        <v/>
      </c>
      <c r="J177" s="69" t="str">
        <f>IFERROR(IF(DB_Customers!J171&lt;&gt;"",DB_Customers!J171,""),"")</f>
        <v/>
      </c>
      <c r="K177" s="68" t="str">
        <f>IFERROR(IF(DB_Customers!E171&lt;&gt;"",DB_Customers!E171,""),"")</f>
        <v/>
      </c>
      <c r="L177" s="68" t="str">
        <f>IFERROR(IF(DB_Customers!F171&lt;&gt;"",DB_Customers!F171,""),"")</f>
        <v/>
      </c>
      <c r="M177" s="68" t="str">
        <f>IFERROR(IF(DB_Customers!T171&lt;&gt;"",DB_Customers!T171,""),"")</f>
        <v/>
      </c>
      <c r="N177" s="72" t="str">
        <f>IFERROR(IF(DB_Customers!A171&lt;&gt;"",IF(DB_Customers!I171&gt;=10,"Active","Inactive"),""),"")</f>
        <v/>
      </c>
    </row>
    <row r="178" spans="1:14" ht="18" customHeight="1" x14ac:dyDescent="0.25">
      <c r="A178" s="59" t="str">
        <f>IF(DB_Customers!A172&lt;&gt;"",169,"")</f>
        <v/>
      </c>
      <c r="B178" s="60" t="str">
        <f>IFERROR(IF(DB_Customers!A172&lt;&gt;"",DB_Customers!A172,""),"")</f>
        <v/>
      </c>
      <c r="C178" s="61" t="str">
        <f>IFERROR(IF(DB_Customers!D172&lt;&gt;"",DB_Customers!D172,""),"")</f>
        <v/>
      </c>
      <c r="D178" s="62" t="str">
        <f>IFERROR(IF(DB_Customers!Q172&lt;&gt;"",DB_Customers!Q172,""),"")</f>
        <v/>
      </c>
      <c r="E178" s="61" t="str">
        <f>IFERROR(IF(DB_Customers!R172&lt;&gt;"",DB_Customers!R172,""),"")</f>
        <v/>
      </c>
      <c r="F178" s="61" t="str">
        <f>IFERROR(IF(DB_Customers!S172&lt;&gt;"",DB_Customers!S172,""),"")</f>
        <v/>
      </c>
      <c r="G178" s="61" t="str">
        <f>IFERROR(IF(DB_Customers!G172&lt;&gt;"",DB_Customers!G172,""),"")</f>
        <v/>
      </c>
      <c r="H178" s="63" t="str">
        <f>IFERROR(IF(DB_Customers!H172&lt;&gt;"",DB_Customers!H172,""),"")</f>
        <v/>
      </c>
      <c r="I178" s="64" t="str">
        <f>IFERROR(IF(DB_Customers!I172&lt;&gt;"",DB_Customers!I172,""),"")</f>
        <v/>
      </c>
      <c r="J178" s="62" t="str">
        <f>IFERROR(IF(DB_Customers!J172&lt;&gt;"",DB_Customers!J172,""),"")</f>
        <v/>
      </c>
      <c r="K178" s="61" t="str">
        <f>IFERROR(IF(DB_Customers!E172&lt;&gt;"",DB_Customers!E172,""),"")</f>
        <v/>
      </c>
      <c r="L178" s="61" t="str">
        <f>IFERROR(IF(DB_Customers!F172&lt;&gt;"",DB_Customers!F172,""),"")</f>
        <v/>
      </c>
      <c r="M178" s="61" t="str">
        <f>IFERROR(IF(DB_Customers!T172&lt;&gt;"",DB_Customers!T172,""),"")</f>
        <v/>
      </c>
      <c r="N178" s="65" t="str">
        <f>IFERROR(IF(DB_Customers!A172&lt;&gt;"",IF(DB_Customers!I172&gt;=10,"Active","Inactive"),""),"")</f>
        <v/>
      </c>
    </row>
    <row r="179" spans="1:14" ht="18" customHeight="1" x14ac:dyDescent="0.25">
      <c r="A179" s="66" t="str">
        <f>IF(DB_Customers!A173&lt;&gt;"",170,"")</f>
        <v/>
      </c>
      <c r="B179" s="67" t="str">
        <f>IFERROR(IF(DB_Customers!A173&lt;&gt;"",DB_Customers!A173,""),"")</f>
        <v/>
      </c>
      <c r="C179" s="68" t="str">
        <f>IFERROR(IF(DB_Customers!D173&lt;&gt;"",DB_Customers!D173,""),"")</f>
        <v/>
      </c>
      <c r="D179" s="69" t="str">
        <f>IFERROR(IF(DB_Customers!Q173&lt;&gt;"",DB_Customers!Q173,""),"")</f>
        <v/>
      </c>
      <c r="E179" s="68" t="str">
        <f>IFERROR(IF(DB_Customers!R173&lt;&gt;"",DB_Customers!R173,""),"")</f>
        <v/>
      </c>
      <c r="F179" s="68" t="str">
        <f>IFERROR(IF(DB_Customers!S173&lt;&gt;"",DB_Customers!S173,""),"")</f>
        <v/>
      </c>
      <c r="G179" s="68" t="str">
        <f>IFERROR(IF(DB_Customers!G173&lt;&gt;"",DB_Customers!G173,""),"")</f>
        <v/>
      </c>
      <c r="H179" s="70" t="str">
        <f>IFERROR(IF(DB_Customers!H173&lt;&gt;"",DB_Customers!H173,""),"")</f>
        <v/>
      </c>
      <c r="I179" s="71" t="str">
        <f>IFERROR(IF(DB_Customers!I173&lt;&gt;"",DB_Customers!I173,""),"")</f>
        <v/>
      </c>
      <c r="J179" s="69" t="str">
        <f>IFERROR(IF(DB_Customers!J173&lt;&gt;"",DB_Customers!J173,""),"")</f>
        <v/>
      </c>
      <c r="K179" s="68" t="str">
        <f>IFERROR(IF(DB_Customers!E173&lt;&gt;"",DB_Customers!E173,""),"")</f>
        <v/>
      </c>
      <c r="L179" s="68" t="str">
        <f>IFERROR(IF(DB_Customers!F173&lt;&gt;"",DB_Customers!F173,""),"")</f>
        <v/>
      </c>
      <c r="M179" s="68" t="str">
        <f>IFERROR(IF(DB_Customers!T173&lt;&gt;"",DB_Customers!T173,""),"")</f>
        <v/>
      </c>
      <c r="N179" s="72" t="str">
        <f>IFERROR(IF(DB_Customers!A173&lt;&gt;"",IF(DB_Customers!I173&gt;=10,"Active","Inactive"),""),"")</f>
        <v/>
      </c>
    </row>
    <row r="180" spans="1:14" ht="18" customHeight="1" x14ac:dyDescent="0.25">
      <c r="A180" s="59" t="str">
        <f>IF(DB_Customers!A174&lt;&gt;"",171,"")</f>
        <v/>
      </c>
      <c r="B180" s="60" t="str">
        <f>IFERROR(IF(DB_Customers!A174&lt;&gt;"",DB_Customers!A174,""),"")</f>
        <v/>
      </c>
      <c r="C180" s="61" t="str">
        <f>IFERROR(IF(DB_Customers!D174&lt;&gt;"",DB_Customers!D174,""),"")</f>
        <v/>
      </c>
      <c r="D180" s="62" t="str">
        <f>IFERROR(IF(DB_Customers!Q174&lt;&gt;"",DB_Customers!Q174,""),"")</f>
        <v/>
      </c>
      <c r="E180" s="61" t="str">
        <f>IFERROR(IF(DB_Customers!R174&lt;&gt;"",DB_Customers!R174,""),"")</f>
        <v/>
      </c>
      <c r="F180" s="61" t="str">
        <f>IFERROR(IF(DB_Customers!S174&lt;&gt;"",DB_Customers!S174,""),"")</f>
        <v/>
      </c>
      <c r="G180" s="61" t="str">
        <f>IFERROR(IF(DB_Customers!G174&lt;&gt;"",DB_Customers!G174,""),"")</f>
        <v/>
      </c>
      <c r="H180" s="63" t="str">
        <f>IFERROR(IF(DB_Customers!H174&lt;&gt;"",DB_Customers!H174,""),"")</f>
        <v/>
      </c>
      <c r="I180" s="64" t="str">
        <f>IFERROR(IF(DB_Customers!I174&lt;&gt;"",DB_Customers!I174,""),"")</f>
        <v/>
      </c>
      <c r="J180" s="62" t="str">
        <f>IFERROR(IF(DB_Customers!J174&lt;&gt;"",DB_Customers!J174,""),"")</f>
        <v/>
      </c>
      <c r="K180" s="61" t="str">
        <f>IFERROR(IF(DB_Customers!E174&lt;&gt;"",DB_Customers!E174,""),"")</f>
        <v/>
      </c>
      <c r="L180" s="61" t="str">
        <f>IFERROR(IF(DB_Customers!F174&lt;&gt;"",DB_Customers!F174,""),"")</f>
        <v/>
      </c>
      <c r="M180" s="61" t="str">
        <f>IFERROR(IF(DB_Customers!T174&lt;&gt;"",DB_Customers!T174,""),"")</f>
        <v/>
      </c>
      <c r="N180" s="65" t="str">
        <f>IFERROR(IF(DB_Customers!A174&lt;&gt;"",IF(DB_Customers!I174&gt;=10,"Active","Inactive"),""),"")</f>
        <v/>
      </c>
    </row>
    <row r="181" spans="1:14" ht="18" customHeight="1" x14ac:dyDescent="0.25">
      <c r="A181" s="66" t="str">
        <f>IF(DB_Customers!A175&lt;&gt;"",172,"")</f>
        <v/>
      </c>
      <c r="B181" s="67" t="str">
        <f>IFERROR(IF(DB_Customers!A175&lt;&gt;"",DB_Customers!A175,""),"")</f>
        <v/>
      </c>
      <c r="C181" s="68" t="str">
        <f>IFERROR(IF(DB_Customers!D175&lt;&gt;"",DB_Customers!D175,""),"")</f>
        <v/>
      </c>
      <c r="D181" s="69" t="str">
        <f>IFERROR(IF(DB_Customers!Q175&lt;&gt;"",DB_Customers!Q175,""),"")</f>
        <v/>
      </c>
      <c r="E181" s="68" t="str">
        <f>IFERROR(IF(DB_Customers!R175&lt;&gt;"",DB_Customers!R175,""),"")</f>
        <v/>
      </c>
      <c r="F181" s="68" t="str">
        <f>IFERROR(IF(DB_Customers!S175&lt;&gt;"",DB_Customers!S175,""),"")</f>
        <v/>
      </c>
      <c r="G181" s="68" t="str">
        <f>IFERROR(IF(DB_Customers!G175&lt;&gt;"",DB_Customers!G175,""),"")</f>
        <v/>
      </c>
      <c r="H181" s="70" t="str">
        <f>IFERROR(IF(DB_Customers!H175&lt;&gt;"",DB_Customers!H175,""),"")</f>
        <v/>
      </c>
      <c r="I181" s="71" t="str">
        <f>IFERROR(IF(DB_Customers!I175&lt;&gt;"",DB_Customers!I175,""),"")</f>
        <v/>
      </c>
      <c r="J181" s="69" t="str">
        <f>IFERROR(IF(DB_Customers!J175&lt;&gt;"",DB_Customers!J175,""),"")</f>
        <v/>
      </c>
      <c r="K181" s="68" t="str">
        <f>IFERROR(IF(DB_Customers!E175&lt;&gt;"",DB_Customers!E175,""),"")</f>
        <v/>
      </c>
      <c r="L181" s="68" t="str">
        <f>IFERROR(IF(DB_Customers!F175&lt;&gt;"",DB_Customers!F175,""),"")</f>
        <v/>
      </c>
      <c r="M181" s="68" t="str">
        <f>IFERROR(IF(DB_Customers!T175&lt;&gt;"",DB_Customers!T175,""),"")</f>
        <v/>
      </c>
      <c r="N181" s="72" t="str">
        <f>IFERROR(IF(DB_Customers!A175&lt;&gt;"",IF(DB_Customers!I175&gt;=10,"Active","Inactive"),""),"")</f>
        <v/>
      </c>
    </row>
    <row r="182" spans="1:14" ht="18" customHeight="1" x14ac:dyDescent="0.25">
      <c r="A182" s="59" t="str">
        <f>IF(DB_Customers!A176&lt;&gt;"",173,"")</f>
        <v/>
      </c>
      <c r="B182" s="60" t="str">
        <f>IFERROR(IF(DB_Customers!A176&lt;&gt;"",DB_Customers!A176,""),"")</f>
        <v/>
      </c>
      <c r="C182" s="61" t="str">
        <f>IFERROR(IF(DB_Customers!D176&lt;&gt;"",DB_Customers!D176,""),"")</f>
        <v/>
      </c>
      <c r="D182" s="62" t="str">
        <f>IFERROR(IF(DB_Customers!Q176&lt;&gt;"",DB_Customers!Q176,""),"")</f>
        <v/>
      </c>
      <c r="E182" s="61" t="str">
        <f>IFERROR(IF(DB_Customers!R176&lt;&gt;"",DB_Customers!R176,""),"")</f>
        <v/>
      </c>
      <c r="F182" s="61" t="str">
        <f>IFERROR(IF(DB_Customers!S176&lt;&gt;"",DB_Customers!S176,""),"")</f>
        <v/>
      </c>
      <c r="G182" s="61" t="str">
        <f>IFERROR(IF(DB_Customers!G176&lt;&gt;"",DB_Customers!G176,""),"")</f>
        <v/>
      </c>
      <c r="H182" s="63" t="str">
        <f>IFERROR(IF(DB_Customers!H176&lt;&gt;"",DB_Customers!H176,""),"")</f>
        <v/>
      </c>
      <c r="I182" s="64" t="str">
        <f>IFERROR(IF(DB_Customers!I176&lt;&gt;"",DB_Customers!I176,""),"")</f>
        <v/>
      </c>
      <c r="J182" s="62" t="str">
        <f>IFERROR(IF(DB_Customers!J176&lt;&gt;"",DB_Customers!J176,""),"")</f>
        <v/>
      </c>
      <c r="K182" s="61" t="str">
        <f>IFERROR(IF(DB_Customers!E176&lt;&gt;"",DB_Customers!E176,""),"")</f>
        <v/>
      </c>
      <c r="L182" s="61" t="str">
        <f>IFERROR(IF(DB_Customers!F176&lt;&gt;"",DB_Customers!F176,""),"")</f>
        <v/>
      </c>
      <c r="M182" s="61" t="str">
        <f>IFERROR(IF(DB_Customers!T176&lt;&gt;"",DB_Customers!T176,""),"")</f>
        <v/>
      </c>
      <c r="N182" s="65" t="str">
        <f>IFERROR(IF(DB_Customers!A176&lt;&gt;"",IF(DB_Customers!I176&gt;=10,"Active","Inactive"),""),"")</f>
        <v/>
      </c>
    </row>
    <row r="183" spans="1:14" ht="18" customHeight="1" x14ac:dyDescent="0.25">
      <c r="A183" s="66" t="str">
        <f>IF(DB_Customers!A177&lt;&gt;"",174,"")</f>
        <v/>
      </c>
      <c r="B183" s="67" t="str">
        <f>IFERROR(IF(DB_Customers!A177&lt;&gt;"",DB_Customers!A177,""),"")</f>
        <v/>
      </c>
      <c r="C183" s="68" t="str">
        <f>IFERROR(IF(DB_Customers!D177&lt;&gt;"",DB_Customers!D177,""),"")</f>
        <v/>
      </c>
      <c r="D183" s="69" t="str">
        <f>IFERROR(IF(DB_Customers!Q177&lt;&gt;"",DB_Customers!Q177,""),"")</f>
        <v/>
      </c>
      <c r="E183" s="68" t="str">
        <f>IFERROR(IF(DB_Customers!R177&lt;&gt;"",DB_Customers!R177,""),"")</f>
        <v/>
      </c>
      <c r="F183" s="68" t="str">
        <f>IFERROR(IF(DB_Customers!S177&lt;&gt;"",DB_Customers!S177,""),"")</f>
        <v/>
      </c>
      <c r="G183" s="68" t="str">
        <f>IFERROR(IF(DB_Customers!G177&lt;&gt;"",DB_Customers!G177,""),"")</f>
        <v/>
      </c>
      <c r="H183" s="70" t="str">
        <f>IFERROR(IF(DB_Customers!H177&lt;&gt;"",DB_Customers!H177,""),"")</f>
        <v/>
      </c>
      <c r="I183" s="71" t="str">
        <f>IFERROR(IF(DB_Customers!I177&lt;&gt;"",DB_Customers!I177,""),"")</f>
        <v/>
      </c>
      <c r="J183" s="69" t="str">
        <f>IFERROR(IF(DB_Customers!J177&lt;&gt;"",DB_Customers!J177,""),"")</f>
        <v/>
      </c>
      <c r="K183" s="68" t="str">
        <f>IFERROR(IF(DB_Customers!E177&lt;&gt;"",DB_Customers!E177,""),"")</f>
        <v/>
      </c>
      <c r="L183" s="68" t="str">
        <f>IFERROR(IF(DB_Customers!F177&lt;&gt;"",DB_Customers!F177,""),"")</f>
        <v/>
      </c>
      <c r="M183" s="68" t="str">
        <f>IFERROR(IF(DB_Customers!T177&lt;&gt;"",DB_Customers!T177,""),"")</f>
        <v/>
      </c>
      <c r="N183" s="72" t="str">
        <f>IFERROR(IF(DB_Customers!A177&lt;&gt;"",IF(DB_Customers!I177&gt;=10,"Active","Inactive"),""),"")</f>
        <v/>
      </c>
    </row>
    <row r="184" spans="1:14" ht="18" customHeight="1" x14ac:dyDescent="0.25">
      <c r="A184" s="59" t="str">
        <f>IF(DB_Customers!A178&lt;&gt;"",175,"")</f>
        <v/>
      </c>
      <c r="B184" s="60" t="str">
        <f>IFERROR(IF(DB_Customers!A178&lt;&gt;"",DB_Customers!A178,""),"")</f>
        <v/>
      </c>
      <c r="C184" s="61" t="str">
        <f>IFERROR(IF(DB_Customers!D178&lt;&gt;"",DB_Customers!D178,""),"")</f>
        <v/>
      </c>
      <c r="D184" s="62" t="str">
        <f>IFERROR(IF(DB_Customers!Q178&lt;&gt;"",DB_Customers!Q178,""),"")</f>
        <v/>
      </c>
      <c r="E184" s="61" t="str">
        <f>IFERROR(IF(DB_Customers!R178&lt;&gt;"",DB_Customers!R178,""),"")</f>
        <v/>
      </c>
      <c r="F184" s="61" t="str">
        <f>IFERROR(IF(DB_Customers!S178&lt;&gt;"",DB_Customers!S178,""),"")</f>
        <v/>
      </c>
      <c r="G184" s="61" t="str">
        <f>IFERROR(IF(DB_Customers!G178&lt;&gt;"",DB_Customers!G178,""),"")</f>
        <v/>
      </c>
      <c r="H184" s="63" t="str">
        <f>IFERROR(IF(DB_Customers!H178&lt;&gt;"",DB_Customers!H178,""),"")</f>
        <v/>
      </c>
      <c r="I184" s="64" t="str">
        <f>IFERROR(IF(DB_Customers!I178&lt;&gt;"",DB_Customers!I178,""),"")</f>
        <v/>
      </c>
      <c r="J184" s="62" t="str">
        <f>IFERROR(IF(DB_Customers!J178&lt;&gt;"",DB_Customers!J178,""),"")</f>
        <v/>
      </c>
      <c r="K184" s="61" t="str">
        <f>IFERROR(IF(DB_Customers!E178&lt;&gt;"",DB_Customers!E178,""),"")</f>
        <v/>
      </c>
      <c r="L184" s="61" t="str">
        <f>IFERROR(IF(DB_Customers!F178&lt;&gt;"",DB_Customers!F178,""),"")</f>
        <v/>
      </c>
      <c r="M184" s="61" t="str">
        <f>IFERROR(IF(DB_Customers!T178&lt;&gt;"",DB_Customers!T178,""),"")</f>
        <v/>
      </c>
      <c r="N184" s="65" t="str">
        <f>IFERROR(IF(DB_Customers!A178&lt;&gt;"",IF(DB_Customers!I178&gt;=10,"Active","Inactive"),""),"")</f>
        <v/>
      </c>
    </row>
    <row r="185" spans="1:14" ht="18" customHeight="1" x14ac:dyDescent="0.25">
      <c r="A185" s="66" t="str">
        <f>IF(DB_Customers!A179&lt;&gt;"",176,"")</f>
        <v/>
      </c>
      <c r="B185" s="67" t="str">
        <f>IFERROR(IF(DB_Customers!A179&lt;&gt;"",DB_Customers!A179,""),"")</f>
        <v/>
      </c>
      <c r="C185" s="68" t="str">
        <f>IFERROR(IF(DB_Customers!D179&lt;&gt;"",DB_Customers!D179,""),"")</f>
        <v/>
      </c>
      <c r="D185" s="69" t="str">
        <f>IFERROR(IF(DB_Customers!Q179&lt;&gt;"",DB_Customers!Q179,""),"")</f>
        <v/>
      </c>
      <c r="E185" s="68" t="str">
        <f>IFERROR(IF(DB_Customers!R179&lt;&gt;"",DB_Customers!R179,""),"")</f>
        <v/>
      </c>
      <c r="F185" s="68" t="str">
        <f>IFERROR(IF(DB_Customers!S179&lt;&gt;"",DB_Customers!S179,""),"")</f>
        <v/>
      </c>
      <c r="G185" s="68" t="str">
        <f>IFERROR(IF(DB_Customers!G179&lt;&gt;"",DB_Customers!G179,""),"")</f>
        <v/>
      </c>
      <c r="H185" s="70" t="str">
        <f>IFERROR(IF(DB_Customers!H179&lt;&gt;"",DB_Customers!H179,""),"")</f>
        <v/>
      </c>
      <c r="I185" s="71" t="str">
        <f>IFERROR(IF(DB_Customers!I179&lt;&gt;"",DB_Customers!I179,""),"")</f>
        <v/>
      </c>
      <c r="J185" s="69" t="str">
        <f>IFERROR(IF(DB_Customers!J179&lt;&gt;"",DB_Customers!J179,""),"")</f>
        <v/>
      </c>
      <c r="K185" s="68" t="str">
        <f>IFERROR(IF(DB_Customers!E179&lt;&gt;"",DB_Customers!E179,""),"")</f>
        <v/>
      </c>
      <c r="L185" s="68" t="str">
        <f>IFERROR(IF(DB_Customers!F179&lt;&gt;"",DB_Customers!F179,""),"")</f>
        <v/>
      </c>
      <c r="M185" s="68" t="str">
        <f>IFERROR(IF(DB_Customers!T179&lt;&gt;"",DB_Customers!T179,""),"")</f>
        <v/>
      </c>
      <c r="N185" s="72" t="str">
        <f>IFERROR(IF(DB_Customers!A179&lt;&gt;"",IF(DB_Customers!I179&gt;=10,"Active","Inactive"),""),"")</f>
        <v/>
      </c>
    </row>
    <row r="186" spans="1:14" ht="18" customHeight="1" x14ac:dyDescent="0.25">
      <c r="A186" s="59" t="str">
        <f>IF(DB_Customers!A180&lt;&gt;"",177,"")</f>
        <v/>
      </c>
      <c r="B186" s="60" t="str">
        <f>IFERROR(IF(DB_Customers!A180&lt;&gt;"",DB_Customers!A180,""),"")</f>
        <v/>
      </c>
      <c r="C186" s="61" t="str">
        <f>IFERROR(IF(DB_Customers!D180&lt;&gt;"",DB_Customers!D180,""),"")</f>
        <v/>
      </c>
      <c r="D186" s="62" t="str">
        <f>IFERROR(IF(DB_Customers!Q180&lt;&gt;"",DB_Customers!Q180,""),"")</f>
        <v/>
      </c>
      <c r="E186" s="61" t="str">
        <f>IFERROR(IF(DB_Customers!R180&lt;&gt;"",DB_Customers!R180,""),"")</f>
        <v/>
      </c>
      <c r="F186" s="61" t="str">
        <f>IFERROR(IF(DB_Customers!S180&lt;&gt;"",DB_Customers!S180,""),"")</f>
        <v/>
      </c>
      <c r="G186" s="61" t="str">
        <f>IFERROR(IF(DB_Customers!G180&lt;&gt;"",DB_Customers!G180,""),"")</f>
        <v/>
      </c>
      <c r="H186" s="63" t="str">
        <f>IFERROR(IF(DB_Customers!H180&lt;&gt;"",DB_Customers!H180,""),"")</f>
        <v/>
      </c>
      <c r="I186" s="64" t="str">
        <f>IFERROR(IF(DB_Customers!I180&lt;&gt;"",DB_Customers!I180,""),"")</f>
        <v/>
      </c>
      <c r="J186" s="62" t="str">
        <f>IFERROR(IF(DB_Customers!J180&lt;&gt;"",DB_Customers!J180,""),"")</f>
        <v/>
      </c>
      <c r="K186" s="61" t="str">
        <f>IFERROR(IF(DB_Customers!E180&lt;&gt;"",DB_Customers!E180,""),"")</f>
        <v/>
      </c>
      <c r="L186" s="61" t="str">
        <f>IFERROR(IF(DB_Customers!F180&lt;&gt;"",DB_Customers!F180,""),"")</f>
        <v/>
      </c>
      <c r="M186" s="61" t="str">
        <f>IFERROR(IF(DB_Customers!T180&lt;&gt;"",DB_Customers!T180,""),"")</f>
        <v/>
      </c>
      <c r="N186" s="65" t="str">
        <f>IFERROR(IF(DB_Customers!A180&lt;&gt;"",IF(DB_Customers!I180&gt;=10,"Active","Inactive"),""),"")</f>
        <v/>
      </c>
    </row>
    <row r="187" spans="1:14" ht="18" customHeight="1" x14ac:dyDescent="0.25">
      <c r="A187" s="66" t="str">
        <f>IF(DB_Customers!A181&lt;&gt;"",178,"")</f>
        <v/>
      </c>
      <c r="B187" s="67" t="str">
        <f>IFERROR(IF(DB_Customers!A181&lt;&gt;"",DB_Customers!A181,""),"")</f>
        <v/>
      </c>
      <c r="C187" s="68" t="str">
        <f>IFERROR(IF(DB_Customers!D181&lt;&gt;"",DB_Customers!D181,""),"")</f>
        <v/>
      </c>
      <c r="D187" s="69" t="str">
        <f>IFERROR(IF(DB_Customers!Q181&lt;&gt;"",DB_Customers!Q181,""),"")</f>
        <v/>
      </c>
      <c r="E187" s="68" t="str">
        <f>IFERROR(IF(DB_Customers!R181&lt;&gt;"",DB_Customers!R181,""),"")</f>
        <v/>
      </c>
      <c r="F187" s="68" t="str">
        <f>IFERROR(IF(DB_Customers!S181&lt;&gt;"",DB_Customers!S181,""),"")</f>
        <v/>
      </c>
      <c r="G187" s="68" t="str">
        <f>IFERROR(IF(DB_Customers!G181&lt;&gt;"",DB_Customers!G181,""),"")</f>
        <v/>
      </c>
      <c r="H187" s="70" t="str">
        <f>IFERROR(IF(DB_Customers!H181&lt;&gt;"",DB_Customers!H181,""),"")</f>
        <v/>
      </c>
      <c r="I187" s="71" t="str">
        <f>IFERROR(IF(DB_Customers!I181&lt;&gt;"",DB_Customers!I181,""),"")</f>
        <v/>
      </c>
      <c r="J187" s="69" t="str">
        <f>IFERROR(IF(DB_Customers!J181&lt;&gt;"",DB_Customers!J181,""),"")</f>
        <v/>
      </c>
      <c r="K187" s="68" t="str">
        <f>IFERROR(IF(DB_Customers!E181&lt;&gt;"",DB_Customers!E181,""),"")</f>
        <v/>
      </c>
      <c r="L187" s="68" t="str">
        <f>IFERROR(IF(DB_Customers!F181&lt;&gt;"",DB_Customers!F181,""),"")</f>
        <v/>
      </c>
      <c r="M187" s="68" t="str">
        <f>IFERROR(IF(DB_Customers!T181&lt;&gt;"",DB_Customers!T181,""),"")</f>
        <v/>
      </c>
      <c r="N187" s="72" t="str">
        <f>IFERROR(IF(DB_Customers!A181&lt;&gt;"",IF(DB_Customers!I181&gt;=10,"Active","Inactive"),""),"")</f>
        <v/>
      </c>
    </row>
    <row r="188" spans="1:14" ht="18" customHeight="1" x14ac:dyDescent="0.25">
      <c r="A188" s="59" t="str">
        <f>IF(DB_Customers!A182&lt;&gt;"",179,"")</f>
        <v/>
      </c>
      <c r="B188" s="60" t="str">
        <f>IFERROR(IF(DB_Customers!A182&lt;&gt;"",DB_Customers!A182,""),"")</f>
        <v/>
      </c>
      <c r="C188" s="61" t="str">
        <f>IFERROR(IF(DB_Customers!D182&lt;&gt;"",DB_Customers!D182,""),"")</f>
        <v/>
      </c>
      <c r="D188" s="62" t="str">
        <f>IFERROR(IF(DB_Customers!Q182&lt;&gt;"",DB_Customers!Q182,""),"")</f>
        <v/>
      </c>
      <c r="E188" s="61" t="str">
        <f>IFERROR(IF(DB_Customers!R182&lt;&gt;"",DB_Customers!R182,""),"")</f>
        <v/>
      </c>
      <c r="F188" s="61" t="str">
        <f>IFERROR(IF(DB_Customers!S182&lt;&gt;"",DB_Customers!S182,""),"")</f>
        <v/>
      </c>
      <c r="G188" s="61" t="str">
        <f>IFERROR(IF(DB_Customers!G182&lt;&gt;"",DB_Customers!G182,""),"")</f>
        <v/>
      </c>
      <c r="H188" s="63" t="str">
        <f>IFERROR(IF(DB_Customers!H182&lt;&gt;"",DB_Customers!H182,""),"")</f>
        <v/>
      </c>
      <c r="I188" s="64" t="str">
        <f>IFERROR(IF(DB_Customers!I182&lt;&gt;"",DB_Customers!I182,""),"")</f>
        <v/>
      </c>
      <c r="J188" s="62" t="str">
        <f>IFERROR(IF(DB_Customers!J182&lt;&gt;"",DB_Customers!J182,""),"")</f>
        <v/>
      </c>
      <c r="K188" s="61" t="str">
        <f>IFERROR(IF(DB_Customers!E182&lt;&gt;"",DB_Customers!E182,""),"")</f>
        <v/>
      </c>
      <c r="L188" s="61" t="str">
        <f>IFERROR(IF(DB_Customers!F182&lt;&gt;"",DB_Customers!F182,""),"")</f>
        <v/>
      </c>
      <c r="M188" s="61" t="str">
        <f>IFERROR(IF(DB_Customers!T182&lt;&gt;"",DB_Customers!T182,""),"")</f>
        <v/>
      </c>
      <c r="N188" s="65" t="str">
        <f>IFERROR(IF(DB_Customers!A182&lt;&gt;"",IF(DB_Customers!I182&gt;=10,"Active","Inactive"),""),"")</f>
        <v/>
      </c>
    </row>
    <row r="189" spans="1:14" ht="18" customHeight="1" x14ac:dyDescent="0.25">
      <c r="A189" s="66" t="str">
        <f>IF(DB_Customers!A183&lt;&gt;"",180,"")</f>
        <v/>
      </c>
      <c r="B189" s="67" t="str">
        <f>IFERROR(IF(DB_Customers!A183&lt;&gt;"",DB_Customers!A183,""),"")</f>
        <v/>
      </c>
      <c r="C189" s="68" t="str">
        <f>IFERROR(IF(DB_Customers!D183&lt;&gt;"",DB_Customers!D183,""),"")</f>
        <v/>
      </c>
      <c r="D189" s="69" t="str">
        <f>IFERROR(IF(DB_Customers!Q183&lt;&gt;"",DB_Customers!Q183,""),"")</f>
        <v/>
      </c>
      <c r="E189" s="68" t="str">
        <f>IFERROR(IF(DB_Customers!R183&lt;&gt;"",DB_Customers!R183,""),"")</f>
        <v/>
      </c>
      <c r="F189" s="68" t="str">
        <f>IFERROR(IF(DB_Customers!S183&lt;&gt;"",DB_Customers!S183,""),"")</f>
        <v/>
      </c>
      <c r="G189" s="68" t="str">
        <f>IFERROR(IF(DB_Customers!G183&lt;&gt;"",DB_Customers!G183,""),"")</f>
        <v/>
      </c>
      <c r="H189" s="70" t="str">
        <f>IFERROR(IF(DB_Customers!H183&lt;&gt;"",DB_Customers!H183,""),"")</f>
        <v/>
      </c>
      <c r="I189" s="71" t="str">
        <f>IFERROR(IF(DB_Customers!I183&lt;&gt;"",DB_Customers!I183,""),"")</f>
        <v/>
      </c>
      <c r="J189" s="69" t="str">
        <f>IFERROR(IF(DB_Customers!J183&lt;&gt;"",DB_Customers!J183,""),"")</f>
        <v/>
      </c>
      <c r="K189" s="68" t="str">
        <f>IFERROR(IF(DB_Customers!E183&lt;&gt;"",DB_Customers!E183,""),"")</f>
        <v/>
      </c>
      <c r="L189" s="68" t="str">
        <f>IFERROR(IF(DB_Customers!F183&lt;&gt;"",DB_Customers!F183,""),"")</f>
        <v/>
      </c>
      <c r="M189" s="68" t="str">
        <f>IFERROR(IF(DB_Customers!T183&lt;&gt;"",DB_Customers!T183,""),"")</f>
        <v/>
      </c>
      <c r="N189" s="72" t="str">
        <f>IFERROR(IF(DB_Customers!A183&lt;&gt;"",IF(DB_Customers!I183&gt;=10,"Active","Inactive"),""),"")</f>
        <v/>
      </c>
    </row>
    <row r="190" spans="1:14" ht="18" customHeight="1" x14ac:dyDescent="0.25">
      <c r="A190" s="59" t="str">
        <f>IF(DB_Customers!A184&lt;&gt;"",181,"")</f>
        <v/>
      </c>
      <c r="B190" s="60" t="str">
        <f>IFERROR(IF(DB_Customers!A184&lt;&gt;"",DB_Customers!A184,""),"")</f>
        <v/>
      </c>
      <c r="C190" s="61" t="str">
        <f>IFERROR(IF(DB_Customers!D184&lt;&gt;"",DB_Customers!D184,""),"")</f>
        <v/>
      </c>
      <c r="D190" s="62" t="str">
        <f>IFERROR(IF(DB_Customers!Q184&lt;&gt;"",DB_Customers!Q184,""),"")</f>
        <v/>
      </c>
      <c r="E190" s="61" t="str">
        <f>IFERROR(IF(DB_Customers!R184&lt;&gt;"",DB_Customers!R184,""),"")</f>
        <v/>
      </c>
      <c r="F190" s="61" t="str">
        <f>IFERROR(IF(DB_Customers!S184&lt;&gt;"",DB_Customers!S184,""),"")</f>
        <v/>
      </c>
      <c r="G190" s="61" t="str">
        <f>IFERROR(IF(DB_Customers!G184&lt;&gt;"",DB_Customers!G184,""),"")</f>
        <v/>
      </c>
      <c r="H190" s="63" t="str">
        <f>IFERROR(IF(DB_Customers!H184&lt;&gt;"",DB_Customers!H184,""),"")</f>
        <v/>
      </c>
      <c r="I190" s="64" t="str">
        <f>IFERROR(IF(DB_Customers!I184&lt;&gt;"",DB_Customers!I184,""),"")</f>
        <v/>
      </c>
      <c r="J190" s="62" t="str">
        <f>IFERROR(IF(DB_Customers!J184&lt;&gt;"",DB_Customers!J184,""),"")</f>
        <v/>
      </c>
      <c r="K190" s="61" t="str">
        <f>IFERROR(IF(DB_Customers!E184&lt;&gt;"",DB_Customers!E184,""),"")</f>
        <v/>
      </c>
      <c r="L190" s="61" t="str">
        <f>IFERROR(IF(DB_Customers!F184&lt;&gt;"",DB_Customers!F184,""),"")</f>
        <v/>
      </c>
      <c r="M190" s="61" t="str">
        <f>IFERROR(IF(DB_Customers!T184&lt;&gt;"",DB_Customers!T184,""),"")</f>
        <v/>
      </c>
      <c r="N190" s="65" t="str">
        <f>IFERROR(IF(DB_Customers!A184&lt;&gt;"",IF(DB_Customers!I184&gt;=10,"Active","Inactive"),""),"")</f>
        <v/>
      </c>
    </row>
    <row r="191" spans="1:14" ht="18" customHeight="1" x14ac:dyDescent="0.25">
      <c r="A191" s="66" t="str">
        <f>IF(DB_Customers!A185&lt;&gt;"",182,"")</f>
        <v/>
      </c>
      <c r="B191" s="67" t="str">
        <f>IFERROR(IF(DB_Customers!A185&lt;&gt;"",DB_Customers!A185,""),"")</f>
        <v/>
      </c>
      <c r="C191" s="68" t="str">
        <f>IFERROR(IF(DB_Customers!D185&lt;&gt;"",DB_Customers!D185,""),"")</f>
        <v/>
      </c>
      <c r="D191" s="69" t="str">
        <f>IFERROR(IF(DB_Customers!Q185&lt;&gt;"",DB_Customers!Q185,""),"")</f>
        <v/>
      </c>
      <c r="E191" s="68" t="str">
        <f>IFERROR(IF(DB_Customers!R185&lt;&gt;"",DB_Customers!R185,""),"")</f>
        <v/>
      </c>
      <c r="F191" s="68" t="str">
        <f>IFERROR(IF(DB_Customers!S185&lt;&gt;"",DB_Customers!S185,""),"")</f>
        <v/>
      </c>
      <c r="G191" s="68" t="str">
        <f>IFERROR(IF(DB_Customers!G185&lt;&gt;"",DB_Customers!G185,""),"")</f>
        <v/>
      </c>
      <c r="H191" s="70" t="str">
        <f>IFERROR(IF(DB_Customers!H185&lt;&gt;"",DB_Customers!H185,""),"")</f>
        <v/>
      </c>
      <c r="I191" s="71" t="str">
        <f>IFERROR(IF(DB_Customers!I185&lt;&gt;"",DB_Customers!I185,""),"")</f>
        <v/>
      </c>
      <c r="J191" s="69" t="str">
        <f>IFERROR(IF(DB_Customers!J185&lt;&gt;"",DB_Customers!J185,""),"")</f>
        <v/>
      </c>
      <c r="K191" s="68" t="str">
        <f>IFERROR(IF(DB_Customers!E185&lt;&gt;"",DB_Customers!E185,""),"")</f>
        <v/>
      </c>
      <c r="L191" s="68" t="str">
        <f>IFERROR(IF(DB_Customers!F185&lt;&gt;"",DB_Customers!F185,""),"")</f>
        <v/>
      </c>
      <c r="M191" s="68" t="str">
        <f>IFERROR(IF(DB_Customers!T185&lt;&gt;"",DB_Customers!T185,""),"")</f>
        <v/>
      </c>
      <c r="N191" s="72" t="str">
        <f>IFERROR(IF(DB_Customers!A185&lt;&gt;"",IF(DB_Customers!I185&gt;=10,"Active","Inactive"),""),"")</f>
        <v/>
      </c>
    </row>
    <row r="192" spans="1:14" ht="18" customHeight="1" x14ac:dyDescent="0.25">
      <c r="A192" s="59" t="str">
        <f>IF(DB_Customers!A186&lt;&gt;"",183,"")</f>
        <v/>
      </c>
      <c r="B192" s="60" t="str">
        <f>IFERROR(IF(DB_Customers!A186&lt;&gt;"",DB_Customers!A186,""),"")</f>
        <v/>
      </c>
      <c r="C192" s="61" t="str">
        <f>IFERROR(IF(DB_Customers!D186&lt;&gt;"",DB_Customers!D186,""),"")</f>
        <v/>
      </c>
      <c r="D192" s="62" t="str">
        <f>IFERROR(IF(DB_Customers!Q186&lt;&gt;"",DB_Customers!Q186,""),"")</f>
        <v/>
      </c>
      <c r="E192" s="61" t="str">
        <f>IFERROR(IF(DB_Customers!R186&lt;&gt;"",DB_Customers!R186,""),"")</f>
        <v/>
      </c>
      <c r="F192" s="61" t="str">
        <f>IFERROR(IF(DB_Customers!S186&lt;&gt;"",DB_Customers!S186,""),"")</f>
        <v/>
      </c>
      <c r="G192" s="61" t="str">
        <f>IFERROR(IF(DB_Customers!G186&lt;&gt;"",DB_Customers!G186,""),"")</f>
        <v/>
      </c>
      <c r="H192" s="63" t="str">
        <f>IFERROR(IF(DB_Customers!H186&lt;&gt;"",DB_Customers!H186,""),"")</f>
        <v/>
      </c>
      <c r="I192" s="64" t="str">
        <f>IFERROR(IF(DB_Customers!I186&lt;&gt;"",DB_Customers!I186,""),"")</f>
        <v/>
      </c>
      <c r="J192" s="62" t="str">
        <f>IFERROR(IF(DB_Customers!J186&lt;&gt;"",DB_Customers!J186,""),"")</f>
        <v/>
      </c>
      <c r="K192" s="61" t="str">
        <f>IFERROR(IF(DB_Customers!E186&lt;&gt;"",DB_Customers!E186,""),"")</f>
        <v/>
      </c>
      <c r="L192" s="61" t="str">
        <f>IFERROR(IF(DB_Customers!F186&lt;&gt;"",DB_Customers!F186,""),"")</f>
        <v/>
      </c>
      <c r="M192" s="61" t="str">
        <f>IFERROR(IF(DB_Customers!T186&lt;&gt;"",DB_Customers!T186,""),"")</f>
        <v/>
      </c>
      <c r="N192" s="65" t="str">
        <f>IFERROR(IF(DB_Customers!A186&lt;&gt;"",IF(DB_Customers!I186&gt;=10,"Active","Inactive"),""),"")</f>
        <v/>
      </c>
    </row>
    <row r="193" spans="1:14" ht="18" customHeight="1" x14ac:dyDescent="0.25">
      <c r="A193" s="66" t="str">
        <f>IF(DB_Customers!A187&lt;&gt;"",184,"")</f>
        <v/>
      </c>
      <c r="B193" s="67" t="str">
        <f>IFERROR(IF(DB_Customers!A187&lt;&gt;"",DB_Customers!A187,""),"")</f>
        <v/>
      </c>
      <c r="C193" s="68" t="str">
        <f>IFERROR(IF(DB_Customers!D187&lt;&gt;"",DB_Customers!D187,""),"")</f>
        <v/>
      </c>
      <c r="D193" s="69" t="str">
        <f>IFERROR(IF(DB_Customers!Q187&lt;&gt;"",DB_Customers!Q187,""),"")</f>
        <v/>
      </c>
      <c r="E193" s="68" t="str">
        <f>IFERROR(IF(DB_Customers!R187&lt;&gt;"",DB_Customers!R187,""),"")</f>
        <v/>
      </c>
      <c r="F193" s="68" t="str">
        <f>IFERROR(IF(DB_Customers!S187&lt;&gt;"",DB_Customers!S187,""),"")</f>
        <v/>
      </c>
      <c r="G193" s="68" t="str">
        <f>IFERROR(IF(DB_Customers!G187&lt;&gt;"",DB_Customers!G187,""),"")</f>
        <v/>
      </c>
      <c r="H193" s="70" t="str">
        <f>IFERROR(IF(DB_Customers!H187&lt;&gt;"",DB_Customers!H187,""),"")</f>
        <v/>
      </c>
      <c r="I193" s="71" t="str">
        <f>IFERROR(IF(DB_Customers!I187&lt;&gt;"",DB_Customers!I187,""),"")</f>
        <v/>
      </c>
      <c r="J193" s="69" t="str">
        <f>IFERROR(IF(DB_Customers!J187&lt;&gt;"",DB_Customers!J187,""),"")</f>
        <v/>
      </c>
      <c r="K193" s="68" t="str">
        <f>IFERROR(IF(DB_Customers!E187&lt;&gt;"",DB_Customers!E187,""),"")</f>
        <v/>
      </c>
      <c r="L193" s="68" t="str">
        <f>IFERROR(IF(DB_Customers!F187&lt;&gt;"",DB_Customers!F187,""),"")</f>
        <v/>
      </c>
      <c r="M193" s="68" t="str">
        <f>IFERROR(IF(DB_Customers!T187&lt;&gt;"",DB_Customers!T187,""),"")</f>
        <v/>
      </c>
      <c r="N193" s="72" t="str">
        <f>IFERROR(IF(DB_Customers!A187&lt;&gt;"",IF(DB_Customers!I187&gt;=10,"Active","Inactive"),""),"")</f>
        <v/>
      </c>
    </row>
    <row r="194" spans="1:14" ht="18" customHeight="1" x14ac:dyDescent="0.25">
      <c r="A194" s="59" t="str">
        <f>IF(DB_Customers!A188&lt;&gt;"",185,"")</f>
        <v/>
      </c>
      <c r="B194" s="60" t="str">
        <f>IFERROR(IF(DB_Customers!A188&lt;&gt;"",DB_Customers!A188,""),"")</f>
        <v/>
      </c>
      <c r="C194" s="61" t="str">
        <f>IFERROR(IF(DB_Customers!D188&lt;&gt;"",DB_Customers!D188,""),"")</f>
        <v/>
      </c>
      <c r="D194" s="62" t="str">
        <f>IFERROR(IF(DB_Customers!Q188&lt;&gt;"",DB_Customers!Q188,""),"")</f>
        <v/>
      </c>
      <c r="E194" s="61" t="str">
        <f>IFERROR(IF(DB_Customers!R188&lt;&gt;"",DB_Customers!R188,""),"")</f>
        <v/>
      </c>
      <c r="F194" s="61" t="str">
        <f>IFERROR(IF(DB_Customers!S188&lt;&gt;"",DB_Customers!S188,""),"")</f>
        <v/>
      </c>
      <c r="G194" s="61" t="str">
        <f>IFERROR(IF(DB_Customers!G188&lt;&gt;"",DB_Customers!G188,""),"")</f>
        <v/>
      </c>
      <c r="H194" s="63" t="str">
        <f>IFERROR(IF(DB_Customers!H188&lt;&gt;"",DB_Customers!H188,""),"")</f>
        <v/>
      </c>
      <c r="I194" s="64" t="str">
        <f>IFERROR(IF(DB_Customers!I188&lt;&gt;"",DB_Customers!I188,""),"")</f>
        <v/>
      </c>
      <c r="J194" s="62" t="str">
        <f>IFERROR(IF(DB_Customers!J188&lt;&gt;"",DB_Customers!J188,""),"")</f>
        <v/>
      </c>
      <c r="K194" s="61" t="str">
        <f>IFERROR(IF(DB_Customers!E188&lt;&gt;"",DB_Customers!E188,""),"")</f>
        <v/>
      </c>
      <c r="L194" s="61" t="str">
        <f>IFERROR(IF(DB_Customers!F188&lt;&gt;"",DB_Customers!F188,""),"")</f>
        <v/>
      </c>
      <c r="M194" s="61" t="str">
        <f>IFERROR(IF(DB_Customers!T188&lt;&gt;"",DB_Customers!T188,""),"")</f>
        <v/>
      </c>
      <c r="N194" s="65" t="str">
        <f>IFERROR(IF(DB_Customers!A188&lt;&gt;"",IF(DB_Customers!I188&gt;=10,"Active","Inactive"),""),"")</f>
        <v/>
      </c>
    </row>
    <row r="195" spans="1:14" ht="18" customHeight="1" x14ac:dyDescent="0.25">
      <c r="A195" s="66" t="str">
        <f>IF(DB_Customers!A189&lt;&gt;"",186,"")</f>
        <v/>
      </c>
      <c r="B195" s="67" t="str">
        <f>IFERROR(IF(DB_Customers!A189&lt;&gt;"",DB_Customers!A189,""),"")</f>
        <v/>
      </c>
      <c r="C195" s="68" t="str">
        <f>IFERROR(IF(DB_Customers!D189&lt;&gt;"",DB_Customers!D189,""),"")</f>
        <v/>
      </c>
      <c r="D195" s="69" t="str">
        <f>IFERROR(IF(DB_Customers!Q189&lt;&gt;"",DB_Customers!Q189,""),"")</f>
        <v/>
      </c>
      <c r="E195" s="68" t="str">
        <f>IFERROR(IF(DB_Customers!R189&lt;&gt;"",DB_Customers!R189,""),"")</f>
        <v/>
      </c>
      <c r="F195" s="68" t="str">
        <f>IFERROR(IF(DB_Customers!S189&lt;&gt;"",DB_Customers!S189,""),"")</f>
        <v/>
      </c>
      <c r="G195" s="68" t="str">
        <f>IFERROR(IF(DB_Customers!G189&lt;&gt;"",DB_Customers!G189,""),"")</f>
        <v/>
      </c>
      <c r="H195" s="70" t="str">
        <f>IFERROR(IF(DB_Customers!H189&lt;&gt;"",DB_Customers!H189,""),"")</f>
        <v/>
      </c>
      <c r="I195" s="71" t="str">
        <f>IFERROR(IF(DB_Customers!I189&lt;&gt;"",DB_Customers!I189,""),"")</f>
        <v/>
      </c>
      <c r="J195" s="69" t="str">
        <f>IFERROR(IF(DB_Customers!J189&lt;&gt;"",DB_Customers!J189,""),"")</f>
        <v/>
      </c>
      <c r="K195" s="68" t="str">
        <f>IFERROR(IF(DB_Customers!E189&lt;&gt;"",DB_Customers!E189,""),"")</f>
        <v/>
      </c>
      <c r="L195" s="68" t="str">
        <f>IFERROR(IF(DB_Customers!F189&lt;&gt;"",DB_Customers!F189,""),"")</f>
        <v/>
      </c>
      <c r="M195" s="68" t="str">
        <f>IFERROR(IF(DB_Customers!T189&lt;&gt;"",DB_Customers!T189,""),"")</f>
        <v/>
      </c>
      <c r="N195" s="72" t="str">
        <f>IFERROR(IF(DB_Customers!A189&lt;&gt;"",IF(DB_Customers!I189&gt;=10,"Active","Inactive"),""),"")</f>
        <v/>
      </c>
    </row>
    <row r="196" spans="1:14" ht="18" customHeight="1" x14ac:dyDescent="0.25">
      <c r="A196" s="59" t="str">
        <f>IF(DB_Customers!A190&lt;&gt;"",187,"")</f>
        <v/>
      </c>
      <c r="B196" s="60" t="str">
        <f>IFERROR(IF(DB_Customers!A190&lt;&gt;"",DB_Customers!A190,""),"")</f>
        <v/>
      </c>
      <c r="C196" s="61" t="str">
        <f>IFERROR(IF(DB_Customers!D190&lt;&gt;"",DB_Customers!D190,""),"")</f>
        <v/>
      </c>
      <c r="D196" s="62" t="str">
        <f>IFERROR(IF(DB_Customers!Q190&lt;&gt;"",DB_Customers!Q190,""),"")</f>
        <v/>
      </c>
      <c r="E196" s="61" t="str">
        <f>IFERROR(IF(DB_Customers!R190&lt;&gt;"",DB_Customers!R190,""),"")</f>
        <v/>
      </c>
      <c r="F196" s="61" t="str">
        <f>IFERROR(IF(DB_Customers!S190&lt;&gt;"",DB_Customers!S190,""),"")</f>
        <v/>
      </c>
      <c r="G196" s="61" t="str">
        <f>IFERROR(IF(DB_Customers!G190&lt;&gt;"",DB_Customers!G190,""),"")</f>
        <v/>
      </c>
      <c r="H196" s="63" t="str">
        <f>IFERROR(IF(DB_Customers!H190&lt;&gt;"",DB_Customers!H190,""),"")</f>
        <v/>
      </c>
      <c r="I196" s="64" t="str">
        <f>IFERROR(IF(DB_Customers!I190&lt;&gt;"",DB_Customers!I190,""),"")</f>
        <v/>
      </c>
      <c r="J196" s="62" t="str">
        <f>IFERROR(IF(DB_Customers!J190&lt;&gt;"",DB_Customers!J190,""),"")</f>
        <v/>
      </c>
      <c r="K196" s="61" t="str">
        <f>IFERROR(IF(DB_Customers!E190&lt;&gt;"",DB_Customers!E190,""),"")</f>
        <v/>
      </c>
      <c r="L196" s="61" t="str">
        <f>IFERROR(IF(DB_Customers!F190&lt;&gt;"",DB_Customers!F190,""),"")</f>
        <v/>
      </c>
      <c r="M196" s="61" t="str">
        <f>IFERROR(IF(DB_Customers!T190&lt;&gt;"",DB_Customers!T190,""),"")</f>
        <v/>
      </c>
      <c r="N196" s="65" t="str">
        <f>IFERROR(IF(DB_Customers!A190&lt;&gt;"",IF(DB_Customers!I190&gt;=10,"Active","Inactive"),""),"")</f>
        <v/>
      </c>
    </row>
    <row r="197" spans="1:14" ht="18" customHeight="1" x14ac:dyDescent="0.25">
      <c r="A197" s="66" t="str">
        <f>IF(DB_Customers!A191&lt;&gt;"",188,"")</f>
        <v/>
      </c>
      <c r="B197" s="67" t="str">
        <f>IFERROR(IF(DB_Customers!A191&lt;&gt;"",DB_Customers!A191,""),"")</f>
        <v/>
      </c>
      <c r="C197" s="68" t="str">
        <f>IFERROR(IF(DB_Customers!D191&lt;&gt;"",DB_Customers!D191,""),"")</f>
        <v/>
      </c>
      <c r="D197" s="69" t="str">
        <f>IFERROR(IF(DB_Customers!Q191&lt;&gt;"",DB_Customers!Q191,""),"")</f>
        <v/>
      </c>
      <c r="E197" s="68" t="str">
        <f>IFERROR(IF(DB_Customers!R191&lt;&gt;"",DB_Customers!R191,""),"")</f>
        <v/>
      </c>
      <c r="F197" s="68" t="str">
        <f>IFERROR(IF(DB_Customers!S191&lt;&gt;"",DB_Customers!S191,""),"")</f>
        <v/>
      </c>
      <c r="G197" s="68" t="str">
        <f>IFERROR(IF(DB_Customers!G191&lt;&gt;"",DB_Customers!G191,""),"")</f>
        <v/>
      </c>
      <c r="H197" s="70" t="str">
        <f>IFERROR(IF(DB_Customers!H191&lt;&gt;"",DB_Customers!H191,""),"")</f>
        <v/>
      </c>
      <c r="I197" s="71" t="str">
        <f>IFERROR(IF(DB_Customers!I191&lt;&gt;"",DB_Customers!I191,""),"")</f>
        <v/>
      </c>
      <c r="J197" s="69" t="str">
        <f>IFERROR(IF(DB_Customers!J191&lt;&gt;"",DB_Customers!J191,""),"")</f>
        <v/>
      </c>
      <c r="K197" s="68" t="str">
        <f>IFERROR(IF(DB_Customers!E191&lt;&gt;"",DB_Customers!E191,""),"")</f>
        <v/>
      </c>
      <c r="L197" s="68" t="str">
        <f>IFERROR(IF(DB_Customers!F191&lt;&gt;"",DB_Customers!F191,""),"")</f>
        <v/>
      </c>
      <c r="M197" s="68" t="str">
        <f>IFERROR(IF(DB_Customers!T191&lt;&gt;"",DB_Customers!T191,""),"")</f>
        <v/>
      </c>
      <c r="N197" s="72" t="str">
        <f>IFERROR(IF(DB_Customers!A191&lt;&gt;"",IF(DB_Customers!I191&gt;=10,"Active","Inactive"),""),"")</f>
        <v/>
      </c>
    </row>
    <row r="198" spans="1:14" ht="18" customHeight="1" x14ac:dyDescent="0.25">
      <c r="A198" s="59" t="str">
        <f>IF(DB_Customers!A192&lt;&gt;"",189,"")</f>
        <v/>
      </c>
      <c r="B198" s="60" t="str">
        <f>IFERROR(IF(DB_Customers!A192&lt;&gt;"",DB_Customers!A192,""),"")</f>
        <v/>
      </c>
      <c r="C198" s="61" t="str">
        <f>IFERROR(IF(DB_Customers!D192&lt;&gt;"",DB_Customers!D192,""),"")</f>
        <v/>
      </c>
      <c r="D198" s="62" t="str">
        <f>IFERROR(IF(DB_Customers!Q192&lt;&gt;"",DB_Customers!Q192,""),"")</f>
        <v/>
      </c>
      <c r="E198" s="61" t="str">
        <f>IFERROR(IF(DB_Customers!R192&lt;&gt;"",DB_Customers!R192,""),"")</f>
        <v/>
      </c>
      <c r="F198" s="61" t="str">
        <f>IFERROR(IF(DB_Customers!S192&lt;&gt;"",DB_Customers!S192,""),"")</f>
        <v/>
      </c>
      <c r="G198" s="61" t="str">
        <f>IFERROR(IF(DB_Customers!G192&lt;&gt;"",DB_Customers!G192,""),"")</f>
        <v/>
      </c>
      <c r="H198" s="63" t="str">
        <f>IFERROR(IF(DB_Customers!H192&lt;&gt;"",DB_Customers!H192,""),"")</f>
        <v/>
      </c>
      <c r="I198" s="64" t="str">
        <f>IFERROR(IF(DB_Customers!I192&lt;&gt;"",DB_Customers!I192,""),"")</f>
        <v/>
      </c>
      <c r="J198" s="62" t="str">
        <f>IFERROR(IF(DB_Customers!J192&lt;&gt;"",DB_Customers!J192,""),"")</f>
        <v/>
      </c>
      <c r="K198" s="61" t="str">
        <f>IFERROR(IF(DB_Customers!E192&lt;&gt;"",DB_Customers!E192,""),"")</f>
        <v/>
      </c>
      <c r="L198" s="61" t="str">
        <f>IFERROR(IF(DB_Customers!F192&lt;&gt;"",DB_Customers!F192,""),"")</f>
        <v/>
      </c>
      <c r="M198" s="61" t="str">
        <f>IFERROR(IF(DB_Customers!T192&lt;&gt;"",DB_Customers!T192,""),"")</f>
        <v/>
      </c>
      <c r="N198" s="65" t="str">
        <f>IFERROR(IF(DB_Customers!A192&lt;&gt;"",IF(DB_Customers!I192&gt;=10,"Active","Inactive"),""),"")</f>
        <v/>
      </c>
    </row>
    <row r="199" spans="1:14" ht="18" customHeight="1" x14ac:dyDescent="0.25">
      <c r="A199" s="66" t="str">
        <f>IF(DB_Customers!A193&lt;&gt;"",190,"")</f>
        <v/>
      </c>
      <c r="B199" s="67" t="str">
        <f>IFERROR(IF(DB_Customers!A193&lt;&gt;"",DB_Customers!A193,""),"")</f>
        <v/>
      </c>
      <c r="C199" s="68" t="str">
        <f>IFERROR(IF(DB_Customers!D193&lt;&gt;"",DB_Customers!D193,""),"")</f>
        <v/>
      </c>
      <c r="D199" s="69" t="str">
        <f>IFERROR(IF(DB_Customers!Q193&lt;&gt;"",DB_Customers!Q193,""),"")</f>
        <v/>
      </c>
      <c r="E199" s="68" t="str">
        <f>IFERROR(IF(DB_Customers!R193&lt;&gt;"",DB_Customers!R193,""),"")</f>
        <v/>
      </c>
      <c r="F199" s="68" t="str">
        <f>IFERROR(IF(DB_Customers!S193&lt;&gt;"",DB_Customers!S193,""),"")</f>
        <v/>
      </c>
      <c r="G199" s="68" t="str">
        <f>IFERROR(IF(DB_Customers!G193&lt;&gt;"",DB_Customers!G193,""),"")</f>
        <v/>
      </c>
      <c r="H199" s="70" t="str">
        <f>IFERROR(IF(DB_Customers!H193&lt;&gt;"",DB_Customers!H193,""),"")</f>
        <v/>
      </c>
      <c r="I199" s="71" t="str">
        <f>IFERROR(IF(DB_Customers!I193&lt;&gt;"",DB_Customers!I193,""),"")</f>
        <v/>
      </c>
      <c r="J199" s="69" t="str">
        <f>IFERROR(IF(DB_Customers!J193&lt;&gt;"",DB_Customers!J193,""),"")</f>
        <v/>
      </c>
      <c r="K199" s="68" t="str">
        <f>IFERROR(IF(DB_Customers!E193&lt;&gt;"",DB_Customers!E193,""),"")</f>
        <v/>
      </c>
      <c r="L199" s="68" t="str">
        <f>IFERROR(IF(DB_Customers!F193&lt;&gt;"",DB_Customers!F193,""),"")</f>
        <v/>
      </c>
      <c r="M199" s="68" t="str">
        <f>IFERROR(IF(DB_Customers!T193&lt;&gt;"",DB_Customers!T193,""),"")</f>
        <v/>
      </c>
      <c r="N199" s="72" t="str">
        <f>IFERROR(IF(DB_Customers!A193&lt;&gt;"",IF(DB_Customers!I193&gt;=10,"Active","Inactive"),""),"")</f>
        <v/>
      </c>
    </row>
    <row r="200" spans="1:14" ht="18" customHeight="1" x14ac:dyDescent="0.25">
      <c r="A200" s="59" t="str">
        <f>IF(DB_Customers!A194&lt;&gt;"",191,"")</f>
        <v/>
      </c>
      <c r="B200" s="60" t="str">
        <f>IFERROR(IF(DB_Customers!A194&lt;&gt;"",DB_Customers!A194,""),"")</f>
        <v/>
      </c>
      <c r="C200" s="61" t="str">
        <f>IFERROR(IF(DB_Customers!D194&lt;&gt;"",DB_Customers!D194,""),"")</f>
        <v/>
      </c>
      <c r="D200" s="62" t="str">
        <f>IFERROR(IF(DB_Customers!Q194&lt;&gt;"",DB_Customers!Q194,""),"")</f>
        <v/>
      </c>
      <c r="E200" s="61" t="str">
        <f>IFERROR(IF(DB_Customers!R194&lt;&gt;"",DB_Customers!R194,""),"")</f>
        <v/>
      </c>
      <c r="F200" s="61" t="str">
        <f>IFERROR(IF(DB_Customers!S194&lt;&gt;"",DB_Customers!S194,""),"")</f>
        <v/>
      </c>
      <c r="G200" s="61" t="str">
        <f>IFERROR(IF(DB_Customers!G194&lt;&gt;"",DB_Customers!G194,""),"")</f>
        <v/>
      </c>
      <c r="H200" s="63" t="str">
        <f>IFERROR(IF(DB_Customers!H194&lt;&gt;"",DB_Customers!H194,""),"")</f>
        <v/>
      </c>
      <c r="I200" s="64" t="str">
        <f>IFERROR(IF(DB_Customers!I194&lt;&gt;"",DB_Customers!I194,""),"")</f>
        <v/>
      </c>
      <c r="J200" s="62" t="str">
        <f>IFERROR(IF(DB_Customers!J194&lt;&gt;"",DB_Customers!J194,""),"")</f>
        <v/>
      </c>
      <c r="K200" s="61" t="str">
        <f>IFERROR(IF(DB_Customers!E194&lt;&gt;"",DB_Customers!E194,""),"")</f>
        <v/>
      </c>
      <c r="L200" s="61" t="str">
        <f>IFERROR(IF(DB_Customers!F194&lt;&gt;"",DB_Customers!F194,""),"")</f>
        <v/>
      </c>
      <c r="M200" s="61" t="str">
        <f>IFERROR(IF(DB_Customers!T194&lt;&gt;"",DB_Customers!T194,""),"")</f>
        <v/>
      </c>
      <c r="N200" s="65" t="str">
        <f>IFERROR(IF(DB_Customers!A194&lt;&gt;"",IF(DB_Customers!I194&gt;=10,"Active","Inactive"),""),"")</f>
        <v/>
      </c>
    </row>
    <row r="201" spans="1:14" ht="18" customHeight="1" x14ac:dyDescent="0.25">
      <c r="A201" s="66" t="str">
        <f>IF(DB_Customers!A195&lt;&gt;"",192,"")</f>
        <v/>
      </c>
      <c r="B201" s="67" t="str">
        <f>IFERROR(IF(DB_Customers!A195&lt;&gt;"",DB_Customers!A195,""),"")</f>
        <v/>
      </c>
      <c r="C201" s="68" t="str">
        <f>IFERROR(IF(DB_Customers!D195&lt;&gt;"",DB_Customers!D195,""),"")</f>
        <v/>
      </c>
      <c r="D201" s="69" t="str">
        <f>IFERROR(IF(DB_Customers!Q195&lt;&gt;"",DB_Customers!Q195,""),"")</f>
        <v/>
      </c>
      <c r="E201" s="68" t="str">
        <f>IFERROR(IF(DB_Customers!R195&lt;&gt;"",DB_Customers!R195,""),"")</f>
        <v/>
      </c>
      <c r="F201" s="68" t="str">
        <f>IFERROR(IF(DB_Customers!S195&lt;&gt;"",DB_Customers!S195,""),"")</f>
        <v/>
      </c>
      <c r="G201" s="68" t="str">
        <f>IFERROR(IF(DB_Customers!G195&lt;&gt;"",DB_Customers!G195,""),"")</f>
        <v/>
      </c>
      <c r="H201" s="70" t="str">
        <f>IFERROR(IF(DB_Customers!H195&lt;&gt;"",DB_Customers!H195,""),"")</f>
        <v/>
      </c>
      <c r="I201" s="71" t="str">
        <f>IFERROR(IF(DB_Customers!I195&lt;&gt;"",DB_Customers!I195,""),"")</f>
        <v/>
      </c>
      <c r="J201" s="69" t="str">
        <f>IFERROR(IF(DB_Customers!J195&lt;&gt;"",DB_Customers!J195,""),"")</f>
        <v/>
      </c>
      <c r="K201" s="68" t="str">
        <f>IFERROR(IF(DB_Customers!E195&lt;&gt;"",DB_Customers!E195,""),"")</f>
        <v/>
      </c>
      <c r="L201" s="68" t="str">
        <f>IFERROR(IF(DB_Customers!F195&lt;&gt;"",DB_Customers!F195,""),"")</f>
        <v/>
      </c>
      <c r="M201" s="68" t="str">
        <f>IFERROR(IF(DB_Customers!T195&lt;&gt;"",DB_Customers!T195,""),"")</f>
        <v/>
      </c>
      <c r="N201" s="72" t="str">
        <f>IFERROR(IF(DB_Customers!A195&lt;&gt;"",IF(DB_Customers!I195&gt;=10,"Active","Inactive"),""),"")</f>
        <v/>
      </c>
    </row>
    <row r="202" spans="1:14" ht="18" customHeight="1" x14ac:dyDescent="0.25">
      <c r="A202" s="59" t="str">
        <f>IF(DB_Customers!A196&lt;&gt;"",193,"")</f>
        <v/>
      </c>
      <c r="B202" s="60" t="str">
        <f>IFERROR(IF(DB_Customers!A196&lt;&gt;"",DB_Customers!A196,""),"")</f>
        <v/>
      </c>
      <c r="C202" s="61" t="str">
        <f>IFERROR(IF(DB_Customers!D196&lt;&gt;"",DB_Customers!D196,""),"")</f>
        <v/>
      </c>
      <c r="D202" s="62" t="str">
        <f>IFERROR(IF(DB_Customers!Q196&lt;&gt;"",DB_Customers!Q196,""),"")</f>
        <v/>
      </c>
      <c r="E202" s="61" t="str">
        <f>IFERROR(IF(DB_Customers!R196&lt;&gt;"",DB_Customers!R196,""),"")</f>
        <v/>
      </c>
      <c r="F202" s="61" t="str">
        <f>IFERROR(IF(DB_Customers!S196&lt;&gt;"",DB_Customers!S196,""),"")</f>
        <v/>
      </c>
      <c r="G202" s="61" t="str">
        <f>IFERROR(IF(DB_Customers!G196&lt;&gt;"",DB_Customers!G196,""),"")</f>
        <v/>
      </c>
      <c r="H202" s="63" t="str">
        <f>IFERROR(IF(DB_Customers!H196&lt;&gt;"",DB_Customers!H196,""),"")</f>
        <v/>
      </c>
      <c r="I202" s="64" t="str">
        <f>IFERROR(IF(DB_Customers!I196&lt;&gt;"",DB_Customers!I196,""),"")</f>
        <v/>
      </c>
      <c r="J202" s="62" t="str">
        <f>IFERROR(IF(DB_Customers!J196&lt;&gt;"",DB_Customers!J196,""),"")</f>
        <v/>
      </c>
      <c r="K202" s="61" t="str">
        <f>IFERROR(IF(DB_Customers!E196&lt;&gt;"",DB_Customers!E196,""),"")</f>
        <v/>
      </c>
      <c r="L202" s="61" t="str">
        <f>IFERROR(IF(DB_Customers!F196&lt;&gt;"",DB_Customers!F196,""),"")</f>
        <v/>
      </c>
      <c r="M202" s="61" t="str">
        <f>IFERROR(IF(DB_Customers!T196&lt;&gt;"",DB_Customers!T196,""),"")</f>
        <v/>
      </c>
      <c r="N202" s="65" t="str">
        <f>IFERROR(IF(DB_Customers!A196&lt;&gt;"",IF(DB_Customers!I196&gt;=10,"Active","Inactive"),""),"")</f>
        <v/>
      </c>
    </row>
    <row r="203" spans="1:14" ht="18" customHeight="1" x14ac:dyDescent="0.25">
      <c r="A203" s="66" t="str">
        <f>IF(DB_Customers!A197&lt;&gt;"",194,"")</f>
        <v/>
      </c>
      <c r="B203" s="67" t="str">
        <f>IFERROR(IF(DB_Customers!A197&lt;&gt;"",DB_Customers!A197,""),"")</f>
        <v/>
      </c>
      <c r="C203" s="68" t="str">
        <f>IFERROR(IF(DB_Customers!D197&lt;&gt;"",DB_Customers!D197,""),"")</f>
        <v/>
      </c>
      <c r="D203" s="69" t="str">
        <f>IFERROR(IF(DB_Customers!Q197&lt;&gt;"",DB_Customers!Q197,""),"")</f>
        <v/>
      </c>
      <c r="E203" s="68" t="str">
        <f>IFERROR(IF(DB_Customers!R197&lt;&gt;"",DB_Customers!R197,""),"")</f>
        <v/>
      </c>
      <c r="F203" s="68" t="str">
        <f>IFERROR(IF(DB_Customers!S197&lt;&gt;"",DB_Customers!S197,""),"")</f>
        <v/>
      </c>
      <c r="G203" s="68" t="str">
        <f>IFERROR(IF(DB_Customers!G197&lt;&gt;"",DB_Customers!G197,""),"")</f>
        <v/>
      </c>
      <c r="H203" s="70" t="str">
        <f>IFERROR(IF(DB_Customers!H197&lt;&gt;"",DB_Customers!H197,""),"")</f>
        <v/>
      </c>
      <c r="I203" s="71" t="str">
        <f>IFERROR(IF(DB_Customers!I197&lt;&gt;"",DB_Customers!I197,""),"")</f>
        <v/>
      </c>
      <c r="J203" s="69" t="str">
        <f>IFERROR(IF(DB_Customers!J197&lt;&gt;"",DB_Customers!J197,""),"")</f>
        <v/>
      </c>
      <c r="K203" s="68" t="str">
        <f>IFERROR(IF(DB_Customers!E197&lt;&gt;"",DB_Customers!E197,""),"")</f>
        <v/>
      </c>
      <c r="L203" s="68" t="str">
        <f>IFERROR(IF(DB_Customers!F197&lt;&gt;"",DB_Customers!F197,""),"")</f>
        <v/>
      </c>
      <c r="M203" s="68" t="str">
        <f>IFERROR(IF(DB_Customers!T197&lt;&gt;"",DB_Customers!T197,""),"")</f>
        <v/>
      </c>
      <c r="N203" s="72" t="str">
        <f>IFERROR(IF(DB_Customers!A197&lt;&gt;"",IF(DB_Customers!I197&gt;=10,"Active","Inactive"),""),"")</f>
        <v/>
      </c>
    </row>
    <row r="204" spans="1:14" ht="18" customHeight="1" x14ac:dyDescent="0.25">
      <c r="A204" s="59" t="str">
        <f>IF(DB_Customers!A198&lt;&gt;"",195,"")</f>
        <v/>
      </c>
      <c r="B204" s="60" t="str">
        <f>IFERROR(IF(DB_Customers!A198&lt;&gt;"",DB_Customers!A198,""),"")</f>
        <v/>
      </c>
      <c r="C204" s="61" t="str">
        <f>IFERROR(IF(DB_Customers!D198&lt;&gt;"",DB_Customers!D198,""),"")</f>
        <v/>
      </c>
      <c r="D204" s="62" t="str">
        <f>IFERROR(IF(DB_Customers!Q198&lt;&gt;"",DB_Customers!Q198,""),"")</f>
        <v/>
      </c>
      <c r="E204" s="61" t="str">
        <f>IFERROR(IF(DB_Customers!R198&lt;&gt;"",DB_Customers!R198,""),"")</f>
        <v/>
      </c>
      <c r="F204" s="61" t="str">
        <f>IFERROR(IF(DB_Customers!S198&lt;&gt;"",DB_Customers!S198,""),"")</f>
        <v/>
      </c>
      <c r="G204" s="61" t="str">
        <f>IFERROR(IF(DB_Customers!G198&lt;&gt;"",DB_Customers!G198,""),"")</f>
        <v/>
      </c>
      <c r="H204" s="63" t="str">
        <f>IFERROR(IF(DB_Customers!H198&lt;&gt;"",DB_Customers!H198,""),"")</f>
        <v/>
      </c>
      <c r="I204" s="64" t="str">
        <f>IFERROR(IF(DB_Customers!I198&lt;&gt;"",DB_Customers!I198,""),"")</f>
        <v/>
      </c>
      <c r="J204" s="62" t="str">
        <f>IFERROR(IF(DB_Customers!J198&lt;&gt;"",DB_Customers!J198,""),"")</f>
        <v/>
      </c>
      <c r="K204" s="61" t="str">
        <f>IFERROR(IF(DB_Customers!E198&lt;&gt;"",DB_Customers!E198,""),"")</f>
        <v/>
      </c>
      <c r="L204" s="61" t="str">
        <f>IFERROR(IF(DB_Customers!F198&lt;&gt;"",DB_Customers!F198,""),"")</f>
        <v/>
      </c>
      <c r="M204" s="61" t="str">
        <f>IFERROR(IF(DB_Customers!T198&lt;&gt;"",DB_Customers!T198,""),"")</f>
        <v/>
      </c>
      <c r="N204" s="65" t="str">
        <f>IFERROR(IF(DB_Customers!A198&lt;&gt;"",IF(DB_Customers!I198&gt;=10,"Active","Inactive"),""),"")</f>
        <v/>
      </c>
    </row>
    <row r="205" spans="1:14" ht="18" customHeight="1" x14ac:dyDescent="0.25">
      <c r="A205" s="66" t="str">
        <f>IF(DB_Customers!A199&lt;&gt;"",196,"")</f>
        <v/>
      </c>
      <c r="B205" s="67" t="str">
        <f>IFERROR(IF(DB_Customers!A199&lt;&gt;"",DB_Customers!A199,""),"")</f>
        <v/>
      </c>
      <c r="C205" s="68" t="str">
        <f>IFERROR(IF(DB_Customers!D199&lt;&gt;"",DB_Customers!D199,""),"")</f>
        <v/>
      </c>
      <c r="D205" s="69" t="str">
        <f>IFERROR(IF(DB_Customers!Q199&lt;&gt;"",DB_Customers!Q199,""),"")</f>
        <v/>
      </c>
      <c r="E205" s="68" t="str">
        <f>IFERROR(IF(DB_Customers!R199&lt;&gt;"",DB_Customers!R199,""),"")</f>
        <v/>
      </c>
      <c r="F205" s="68" t="str">
        <f>IFERROR(IF(DB_Customers!S199&lt;&gt;"",DB_Customers!S199,""),"")</f>
        <v/>
      </c>
      <c r="G205" s="68" t="str">
        <f>IFERROR(IF(DB_Customers!G199&lt;&gt;"",DB_Customers!G199,""),"")</f>
        <v/>
      </c>
      <c r="H205" s="70" t="str">
        <f>IFERROR(IF(DB_Customers!H199&lt;&gt;"",DB_Customers!H199,""),"")</f>
        <v/>
      </c>
      <c r="I205" s="71" t="str">
        <f>IFERROR(IF(DB_Customers!I199&lt;&gt;"",DB_Customers!I199,""),"")</f>
        <v/>
      </c>
      <c r="J205" s="69" t="str">
        <f>IFERROR(IF(DB_Customers!J199&lt;&gt;"",DB_Customers!J199,""),"")</f>
        <v/>
      </c>
      <c r="K205" s="68" t="str">
        <f>IFERROR(IF(DB_Customers!E199&lt;&gt;"",DB_Customers!E199,""),"")</f>
        <v/>
      </c>
      <c r="L205" s="68" t="str">
        <f>IFERROR(IF(DB_Customers!F199&lt;&gt;"",DB_Customers!F199,""),"")</f>
        <v/>
      </c>
      <c r="M205" s="68" t="str">
        <f>IFERROR(IF(DB_Customers!T199&lt;&gt;"",DB_Customers!T199,""),"")</f>
        <v/>
      </c>
      <c r="N205" s="72" t="str">
        <f>IFERROR(IF(DB_Customers!A199&lt;&gt;"",IF(DB_Customers!I199&gt;=10,"Active","Inactive"),""),"")</f>
        <v/>
      </c>
    </row>
    <row r="206" spans="1:14" ht="18" customHeight="1" x14ac:dyDescent="0.25">
      <c r="A206" s="59" t="str">
        <f>IF(DB_Customers!A200&lt;&gt;"",197,"")</f>
        <v/>
      </c>
      <c r="B206" s="60" t="str">
        <f>IFERROR(IF(DB_Customers!A200&lt;&gt;"",DB_Customers!A200,""),"")</f>
        <v/>
      </c>
      <c r="C206" s="61" t="str">
        <f>IFERROR(IF(DB_Customers!D200&lt;&gt;"",DB_Customers!D200,""),"")</f>
        <v/>
      </c>
      <c r="D206" s="62" t="str">
        <f>IFERROR(IF(DB_Customers!Q200&lt;&gt;"",DB_Customers!Q200,""),"")</f>
        <v/>
      </c>
      <c r="E206" s="61" t="str">
        <f>IFERROR(IF(DB_Customers!R200&lt;&gt;"",DB_Customers!R200,""),"")</f>
        <v/>
      </c>
      <c r="F206" s="61" t="str">
        <f>IFERROR(IF(DB_Customers!S200&lt;&gt;"",DB_Customers!S200,""),"")</f>
        <v/>
      </c>
      <c r="G206" s="61" t="str">
        <f>IFERROR(IF(DB_Customers!G200&lt;&gt;"",DB_Customers!G200,""),"")</f>
        <v/>
      </c>
      <c r="H206" s="63" t="str">
        <f>IFERROR(IF(DB_Customers!H200&lt;&gt;"",DB_Customers!H200,""),"")</f>
        <v/>
      </c>
      <c r="I206" s="64" t="str">
        <f>IFERROR(IF(DB_Customers!I200&lt;&gt;"",DB_Customers!I200,""),"")</f>
        <v/>
      </c>
      <c r="J206" s="62" t="str">
        <f>IFERROR(IF(DB_Customers!J200&lt;&gt;"",DB_Customers!J200,""),"")</f>
        <v/>
      </c>
      <c r="K206" s="61" t="str">
        <f>IFERROR(IF(DB_Customers!E200&lt;&gt;"",DB_Customers!E200,""),"")</f>
        <v/>
      </c>
      <c r="L206" s="61" t="str">
        <f>IFERROR(IF(DB_Customers!F200&lt;&gt;"",DB_Customers!F200,""),"")</f>
        <v/>
      </c>
      <c r="M206" s="61" t="str">
        <f>IFERROR(IF(DB_Customers!T200&lt;&gt;"",DB_Customers!T200,""),"")</f>
        <v/>
      </c>
      <c r="N206" s="65" t="str">
        <f>IFERROR(IF(DB_Customers!A200&lt;&gt;"",IF(DB_Customers!I200&gt;=10,"Active","Inactive"),""),"")</f>
        <v/>
      </c>
    </row>
    <row r="207" spans="1:14" ht="18" customHeight="1" x14ac:dyDescent="0.25">
      <c r="A207" s="66" t="str">
        <f>IF(DB_Customers!A201&lt;&gt;"",198,"")</f>
        <v/>
      </c>
      <c r="B207" s="67" t="str">
        <f>IFERROR(IF(DB_Customers!A201&lt;&gt;"",DB_Customers!A201,""),"")</f>
        <v/>
      </c>
      <c r="C207" s="68" t="str">
        <f>IFERROR(IF(DB_Customers!D201&lt;&gt;"",DB_Customers!D201,""),"")</f>
        <v/>
      </c>
      <c r="D207" s="69" t="str">
        <f>IFERROR(IF(DB_Customers!Q201&lt;&gt;"",DB_Customers!Q201,""),"")</f>
        <v/>
      </c>
      <c r="E207" s="68" t="str">
        <f>IFERROR(IF(DB_Customers!R201&lt;&gt;"",DB_Customers!R201,""),"")</f>
        <v/>
      </c>
      <c r="F207" s="68" t="str">
        <f>IFERROR(IF(DB_Customers!S201&lt;&gt;"",DB_Customers!S201,""),"")</f>
        <v/>
      </c>
      <c r="G207" s="68" t="str">
        <f>IFERROR(IF(DB_Customers!G201&lt;&gt;"",DB_Customers!G201,""),"")</f>
        <v/>
      </c>
      <c r="H207" s="70" t="str">
        <f>IFERROR(IF(DB_Customers!H201&lt;&gt;"",DB_Customers!H201,""),"")</f>
        <v/>
      </c>
      <c r="I207" s="71" t="str">
        <f>IFERROR(IF(DB_Customers!I201&lt;&gt;"",DB_Customers!I201,""),"")</f>
        <v/>
      </c>
      <c r="J207" s="69" t="str">
        <f>IFERROR(IF(DB_Customers!J201&lt;&gt;"",DB_Customers!J201,""),"")</f>
        <v/>
      </c>
      <c r="K207" s="68" t="str">
        <f>IFERROR(IF(DB_Customers!E201&lt;&gt;"",DB_Customers!E201,""),"")</f>
        <v/>
      </c>
      <c r="L207" s="68" t="str">
        <f>IFERROR(IF(DB_Customers!F201&lt;&gt;"",DB_Customers!F201,""),"")</f>
        <v/>
      </c>
      <c r="M207" s="68" t="str">
        <f>IFERROR(IF(DB_Customers!T201&lt;&gt;"",DB_Customers!T201,""),"")</f>
        <v/>
      </c>
      <c r="N207" s="72" t="str">
        <f>IFERROR(IF(DB_Customers!A201&lt;&gt;"",IF(DB_Customers!I201&gt;=10,"Active","Inactive"),""),"")</f>
        <v/>
      </c>
    </row>
    <row r="208" spans="1:14" ht="18" customHeight="1" x14ac:dyDescent="0.25">
      <c r="A208" s="59" t="str">
        <f>IF(DB_Customers!A202&lt;&gt;"",199,"")</f>
        <v/>
      </c>
      <c r="B208" s="60" t="str">
        <f>IFERROR(IF(DB_Customers!A202&lt;&gt;"",DB_Customers!A202,""),"")</f>
        <v/>
      </c>
      <c r="C208" s="61" t="str">
        <f>IFERROR(IF(DB_Customers!D202&lt;&gt;"",DB_Customers!D202,""),"")</f>
        <v/>
      </c>
      <c r="D208" s="62" t="str">
        <f>IFERROR(IF(DB_Customers!Q202&lt;&gt;"",DB_Customers!Q202,""),"")</f>
        <v/>
      </c>
      <c r="E208" s="61" t="str">
        <f>IFERROR(IF(DB_Customers!R202&lt;&gt;"",DB_Customers!R202,""),"")</f>
        <v/>
      </c>
      <c r="F208" s="61" t="str">
        <f>IFERROR(IF(DB_Customers!S202&lt;&gt;"",DB_Customers!S202,""),"")</f>
        <v/>
      </c>
      <c r="G208" s="61" t="str">
        <f>IFERROR(IF(DB_Customers!G202&lt;&gt;"",DB_Customers!G202,""),"")</f>
        <v/>
      </c>
      <c r="H208" s="63" t="str">
        <f>IFERROR(IF(DB_Customers!H202&lt;&gt;"",DB_Customers!H202,""),"")</f>
        <v/>
      </c>
      <c r="I208" s="64" t="str">
        <f>IFERROR(IF(DB_Customers!I202&lt;&gt;"",DB_Customers!I202,""),"")</f>
        <v/>
      </c>
      <c r="J208" s="62" t="str">
        <f>IFERROR(IF(DB_Customers!J202&lt;&gt;"",DB_Customers!J202,""),"")</f>
        <v/>
      </c>
      <c r="K208" s="61" t="str">
        <f>IFERROR(IF(DB_Customers!E202&lt;&gt;"",DB_Customers!E202,""),"")</f>
        <v/>
      </c>
      <c r="L208" s="61" t="str">
        <f>IFERROR(IF(DB_Customers!F202&lt;&gt;"",DB_Customers!F202,""),"")</f>
        <v/>
      </c>
      <c r="M208" s="61" t="str">
        <f>IFERROR(IF(DB_Customers!T202&lt;&gt;"",DB_Customers!T202,""),"")</f>
        <v/>
      </c>
      <c r="N208" s="65" t="str">
        <f>IFERROR(IF(DB_Customers!A202&lt;&gt;"",IF(DB_Customers!I202&gt;=10,"Active","Inactive"),""),"")</f>
        <v/>
      </c>
    </row>
    <row r="209" spans="1:14" ht="18" customHeight="1" x14ac:dyDescent="0.25">
      <c r="A209" s="66" t="str">
        <f>IF(DB_Customers!A203&lt;&gt;"",200,"")</f>
        <v/>
      </c>
      <c r="B209" s="67" t="str">
        <f>IFERROR(IF(DB_Customers!A203&lt;&gt;"",DB_Customers!A203,""),"")</f>
        <v/>
      </c>
      <c r="C209" s="68" t="str">
        <f>IFERROR(IF(DB_Customers!D203&lt;&gt;"",DB_Customers!D203,""),"")</f>
        <v/>
      </c>
      <c r="D209" s="69" t="str">
        <f>IFERROR(IF(DB_Customers!Q203&lt;&gt;"",DB_Customers!Q203,""),"")</f>
        <v/>
      </c>
      <c r="E209" s="68" t="str">
        <f>IFERROR(IF(DB_Customers!R203&lt;&gt;"",DB_Customers!R203,""),"")</f>
        <v/>
      </c>
      <c r="F209" s="68" t="str">
        <f>IFERROR(IF(DB_Customers!S203&lt;&gt;"",DB_Customers!S203,""),"")</f>
        <v/>
      </c>
      <c r="G209" s="68" t="str">
        <f>IFERROR(IF(DB_Customers!G203&lt;&gt;"",DB_Customers!G203,""),"")</f>
        <v/>
      </c>
      <c r="H209" s="70" t="str">
        <f>IFERROR(IF(DB_Customers!H203&lt;&gt;"",DB_Customers!H203,""),"")</f>
        <v/>
      </c>
      <c r="I209" s="71" t="str">
        <f>IFERROR(IF(DB_Customers!I203&lt;&gt;"",DB_Customers!I203,""),"")</f>
        <v/>
      </c>
      <c r="J209" s="69" t="str">
        <f>IFERROR(IF(DB_Customers!J203&lt;&gt;"",DB_Customers!J203,""),"")</f>
        <v/>
      </c>
      <c r="K209" s="68" t="str">
        <f>IFERROR(IF(DB_Customers!E203&lt;&gt;"",DB_Customers!E203,""),"")</f>
        <v/>
      </c>
      <c r="L209" s="68" t="str">
        <f>IFERROR(IF(DB_Customers!F203&lt;&gt;"",DB_Customers!F203,""),"")</f>
        <v/>
      </c>
      <c r="M209" s="68" t="str">
        <f>IFERROR(IF(DB_Customers!T203&lt;&gt;"",DB_Customers!T203,""),"")</f>
        <v/>
      </c>
      <c r="N209" s="72" t="str">
        <f>IFERROR(IF(DB_Customers!A203&lt;&gt;"",IF(DB_Customers!I203&gt;=10,"Active","Inactive"),""),"")</f>
        <v/>
      </c>
    </row>
    <row r="210" spans="1:14" ht="18" customHeight="1" x14ac:dyDescent="0.25">
      <c r="A210" s="59" t="str">
        <f>IF(DB_Customers!A204&lt;&gt;"",201,"")</f>
        <v/>
      </c>
      <c r="B210" s="60" t="str">
        <f>IFERROR(IF(DB_Customers!A204&lt;&gt;"",DB_Customers!A204,""),"")</f>
        <v/>
      </c>
      <c r="C210" s="61" t="str">
        <f>IFERROR(IF(DB_Customers!D204&lt;&gt;"",DB_Customers!D204,""),"")</f>
        <v/>
      </c>
      <c r="D210" s="62" t="str">
        <f>IFERROR(IF(DB_Customers!Q204&lt;&gt;"",DB_Customers!Q204,""),"")</f>
        <v/>
      </c>
      <c r="E210" s="61" t="str">
        <f>IFERROR(IF(DB_Customers!R204&lt;&gt;"",DB_Customers!R204,""),"")</f>
        <v/>
      </c>
      <c r="F210" s="61" t="str">
        <f>IFERROR(IF(DB_Customers!S204&lt;&gt;"",DB_Customers!S204,""),"")</f>
        <v/>
      </c>
      <c r="G210" s="61" t="str">
        <f>IFERROR(IF(DB_Customers!G204&lt;&gt;"",DB_Customers!G204,""),"")</f>
        <v/>
      </c>
      <c r="H210" s="63" t="str">
        <f>IFERROR(IF(DB_Customers!H204&lt;&gt;"",DB_Customers!H204,""),"")</f>
        <v/>
      </c>
      <c r="I210" s="64" t="str">
        <f>IFERROR(IF(DB_Customers!I204&lt;&gt;"",DB_Customers!I204,""),"")</f>
        <v/>
      </c>
      <c r="J210" s="62" t="str">
        <f>IFERROR(IF(DB_Customers!J204&lt;&gt;"",DB_Customers!J204,""),"")</f>
        <v/>
      </c>
      <c r="K210" s="61" t="str">
        <f>IFERROR(IF(DB_Customers!E204&lt;&gt;"",DB_Customers!E204,""),"")</f>
        <v/>
      </c>
      <c r="L210" s="61" t="str">
        <f>IFERROR(IF(DB_Customers!F204&lt;&gt;"",DB_Customers!F204,""),"")</f>
        <v/>
      </c>
      <c r="M210" s="61" t="str">
        <f>IFERROR(IF(DB_Customers!T204&lt;&gt;"",DB_Customers!T204,""),"")</f>
        <v/>
      </c>
      <c r="N210" s="65" t="str">
        <f>IFERROR(IF(DB_Customers!A204&lt;&gt;"",IF(DB_Customers!I204&gt;=10,"Active","Inactive"),""),"")</f>
        <v/>
      </c>
    </row>
    <row r="211" spans="1:14" ht="18" customHeight="1" x14ac:dyDescent="0.25">
      <c r="A211" s="66" t="str">
        <f>IF(DB_Customers!A205&lt;&gt;"",202,"")</f>
        <v/>
      </c>
      <c r="B211" s="67" t="str">
        <f>IFERROR(IF(DB_Customers!A205&lt;&gt;"",DB_Customers!A205,""),"")</f>
        <v/>
      </c>
      <c r="C211" s="68" t="str">
        <f>IFERROR(IF(DB_Customers!D205&lt;&gt;"",DB_Customers!D205,""),"")</f>
        <v/>
      </c>
      <c r="D211" s="69" t="str">
        <f>IFERROR(IF(DB_Customers!Q205&lt;&gt;"",DB_Customers!Q205,""),"")</f>
        <v/>
      </c>
      <c r="E211" s="68" t="str">
        <f>IFERROR(IF(DB_Customers!R205&lt;&gt;"",DB_Customers!R205,""),"")</f>
        <v/>
      </c>
      <c r="F211" s="68" t="str">
        <f>IFERROR(IF(DB_Customers!S205&lt;&gt;"",DB_Customers!S205,""),"")</f>
        <v/>
      </c>
      <c r="G211" s="68" t="str">
        <f>IFERROR(IF(DB_Customers!G205&lt;&gt;"",DB_Customers!G205,""),"")</f>
        <v/>
      </c>
      <c r="H211" s="70" t="str">
        <f>IFERROR(IF(DB_Customers!H205&lt;&gt;"",DB_Customers!H205,""),"")</f>
        <v/>
      </c>
      <c r="I211" s="71" t="str">
        <f>IFERROR(IF(DB_Customers!I205&lt;&gt;"",DB_Customers!I205,""),"")</f>
        <v/>
      </c>
      <c r="J211" s="69" t="str">
        <f>IFERROR(IF(DB_Customers!J205&lt;&gt;"",DB_Customers!J205,""),"")</f>
        <v/>
      </c>
      <c r="K211" s="68" t="str">
        <f>IFERROR(IF(DB_Customers!E205&lt;&gt;"",DB_Customers!E205,""),"")</f>
        <v/>
      </c>
      <c r="L211" s="68" t="str">
        <f>IFERROR(IF(DB_Customers!F205&lt;&gt;"",DB_Customers!F205,""),"")</f>
        <v/>
      </c>
      <c r="M211" s="68" t="str">
        <f>IFERROR(IF(DB_Customers!T205&lt;&gt;"",DB_Customers!T205,""),"")</f>
        <v/>
      </c>
      <c r="N211" s="72" t="str">
        <f>IFERROR(IF(DB_Customers!A205&lt;&gt;"",IF(DB_Customers!I205&gt;=10,"Active","Inactive"),""),"")</f>
        <v/>
      </c>
    </row>
    <row r="212" spans="1:14" ht="18" customHeight="1" x14ac:dyDescent="0.25">
      <c r="A212" s="59" t="str">
        <f>IF(DB_Customers!A206&lt;&gt;"",203,"")</f>
        <v/>
      </c>
      <c r="B212" s="60" t="str">
        <f>IFERROR(IF(DB_Customers!A206&lt;&gt;"",DB_Customers!A206,""),"")</f>
        <v/>
      </c>
      <c r="C212" s="61" t="str">
        <f>IFERROR(IF(DB_Customers!D206&lt;&gt;"",DB_Customers!D206,""),"")</f>
        <v/>
      </c>
      <c r="D212" s="62" t="str">
        <f>IFERROR(IF(DB_Customers!Q206&lt;&gt;"",DB_Customers!Q206,""),"")</f>
        <v/>
      </c>
      <c r="E212" s="61" t="str">
        <f>IFERROR(IF(DB_Customers!R206&lt;&gt;"",DB_Customers!R206,""),"")</f>
        <v/>
      </c>
      <c r="F212" s="61" t="str">
        <f>IFERROR(IF(DB_Customers!S206&lt;&gt;"",DB_Customers!S206,""),"")</f>
        <v/>
      </c>
      <c r="G212" s="61" t="str">
        <f>IFERROR(IF(DB_Customers!G206&lt;&gt;"",DB_Customers!G206,""),"")</f>
        <v/>
      </c>
      <c r="H212" s="63" t="str">
        <f>IFERROR(IF(DB_Customers!H206&lt;&gt;"",DB_Customers!H206,""),"")</f>
        <v/>
      </c>
      <c r="I212" s="64" t="str">
        <f>IFERROR(IF(DB_Customers!I206&lt;&gt;"",DB_Customers!I206,""),"")</f>
        <v/>
      </c>
      <c r="J212" s="62" t="str">
        <f>IFERROR(IF(DB_Customers!J206&lt;&gt;"",DB_Customers!J206,""),"")</f>
        <v/>
      </c>
      <c r="K212" s="61" t="str">
        <f>IFERROR(IF(DB_Customers!E206&lt;&gt;"",DB_Customers!E206,""),"")</f>
        <v/>
      </c>
      <c r="L212" s="61" t="str">
        <f>IFERROR(IF(DB_Customers!F206&lt;&gt;"",DB_Customers!F206,""),"")</f>
        <v/>
      </c>
      <c r="M212" s="61" t="str">
        <f>IFERROR(IF(DB_Customers!T206&lt;&gt;"",DB_Customers!T206,""),"")</f>
        <v/>
      </c>
      <c r="N212" s="65" t="str">
        <f>IFERROR(IF(DB_Customers!A206&lt;&gt;"",IF(DB_Customers!I206&gt;=10,"Active","Inactive"),""),"")</f>
        <v/>
      </c>
    </row>
    <row r="213" spans="1:14" ht="18" customHeight="1" x14ac:dyDescent="0.25">
      <c r="A213" s="66" t="str">
        <f>IF(DB_Customers!A207&lt;&gt;"",204,"")</f>
        <v/>
      </c>
      <c r="B213" s="67" t="str">
        <f>IFERROR(IF(DB_Customers!A207&lt;&gt;"",DB_Customers!A207,""),"")</f>
        <v/>
      </c>
      <c r="C213" s="68" t="str">
        <f>IFERROR(IF(DB_Customers!D207&lt;&gt;"",DB_Customers!D207,""),"")</f>
        <v/>
      </c>
      <c r="D213" s="69" t="str">
        <f>IFERROR(IF(DB_Customers!Q207&lt;&gt;"",DB_Customers!Q207,""),"")</f>
        <v/>
      </c>
      <c r="E213" s="68" t="str">
        <f>IFERROR(IF(DB_Customers!R207&lt;&gt;"",DB_Customers!R207,""),"")</f>
        <v/>
      </c>
      <c r="F213" s="68" t="str">
        <f>IFERROR(IF(DB_Customers!S207&lt;&gt;"",DB_Customers!S207,""),"")</f>
        <v/>
      </c>
      <c r="G213" s="68" t="str">
        <f>IFERROR(IF(DB_Customers!G207&lt;&gt;"",DB_Customers!G207,""),"")</f>
        <v/>
      </c>
      <c r="H213" s="70" t="str">
        <f>IFERROR(IF(DB_Customers!H207&lt;&gt;"",DB_Customers!H207,""),"")</f>
        <v/>
      </c>
      <c r="I213" s="71" t="str">
        <f>IFERROR(IF(DB_Customers!I207&lt;&gt;"",DB_Customers!I207,""),"")</f>
        <v/>
      </c>
      <c r="J213" s="69" t="str">
        <f>IFERROR(IF(DB_Customers!J207&lt;&gt;"",DB_Customers!J207,""),"")</f>
        <v/>
      </c>
      <c r="K213" s="68" t="str">
        <f>IFERROR(IF(DB_Customers!E207&lt;&gt;"",DB_Customers!E207,""),"")</f>
        <v/>
      </c>
      <c r="L213" s="68" t="str">
        <f>IFERROR(IF(DB_Customers!F207&lt;&gt;"",DB_Customers!F207,""),"")</f>
        <v/>
      </c>
      <c r="M213" s="68" t="str">
        <f>IFERROR(IF(DB_Customers!T207&lt;&gt;"",DB_Customers!T207,""),"")</f>
        <v/>
      </c>
      <c r="N213" s="72" t="str">
        <f>IFERROR(IF(DB_Customers!A207&lt;&gt;"",IF(DB_Customers!I207&gt;=10,"Active","Inactive"),""),"")</f>
        <v/>
      </c>
    </row>
    <row r="214" spans="1:14" ht="18" customHeight="1" x14ac:dyDescent="0.25">
      <c r="A214" s="59" t="str">
        <f>IF(DB_Customers!A208&lt;&gt;"",205,"")</f>
        <v/>
      </c>
      <c r="B214" s="60" t="str">
        <f>IFERROR(IF(DB_Customers!A208&lt;&gt;"",DB_Customers!A208,""),"")</f>
        <v/>
      </c>
      <c r="C214" s="61" t="str">
        <f>IFERROR(IF(DB_Customers!D208&lt;&gt;"",DB_Customers!D208,""),"")</f>
        <v/>
      </c>
      <c r="D214" s="62" t="str">
        <f>IFERROR(IF(DB_Customers!Q208&lt;&gt;"",DB_Customers!Q208,""),"")</f>
        <v/>
      </c>
      <c r="E214" s="61" t="str">
        <f>IFERROR(IF(DB_Customers!R208&lt;&gt;"",DB_Customers!R208,""),"")</f>
        <v/>
      </c>
      <c r="F214" s="61" t="str">
        <f>IFERROR(IF(DB_Customers!S208&lt;&gt;"",DB_Customers!S208,""),"")</f>
        <v/>
      </c>
      <c r="G214" s="61" t="str">
        <f>IFERROR(IF(DB_Customers!G208&lt;&gt;"",DB_Customers!G208,""),"")</f>
        <v/>
      </c>
      <c r="H214" s="63" t="str">
        <f>IFERROR(IF(DB_Customers!H208&lt;&gt;"",DB_Customers!H208,""),"")</f>
        <v/>
      </c>
      <c r="I214" s="64" t="str">
        <f>IFERROR(IF(DB_Customers!I208&lt;&gt;"",DB_Customers!I208,""),"")</f>
        <v/>
      </c>
      <c r="J214" s="62" t="str">
        <f>IFERROR(IF(DB_Customers!J208&lt;&gt;"",DB_Customers!J208,""),"")</f>
        <v/>
      </c>
      <c r="K214" s="61" t="str">
        <f>IFERROR(IF(DB_Customers!E208&lt;&gt;"",DB_Customers!E208,""),"")</f>
        <v/>
      </c>
      <c r="L214" s="61" t="str">
        <f>IFERROR(IF(DB_Customers!F208&lt;&gt;"",DB_Customers!F208,""),"")</f>
        <v/>
      </c>
      <c r="M214" s="61" t="str">
        <f>IFERROR(IF(DB_Customers!T208&lt;&gt;"",DB_Customers!T208,""),"")</f>
        <v/>
      </c>
      <c r="N214" s="65" t="str">
        <f>IFERROR(IF(DB_Customers!A208&lt;&gt;"",IF(DB_Customers!I208&gt;=10,"Active","Inactive"),""),"")</f>
        <v/>
      </c>
    </row>
    <row r="215" spans="1:14" ht="18" customHeight="1" x14ac:dyDescent="0.25">
      <c r="A215" s="66" t="str">
        <f>IF(DB_Customers!A209&lt;&gt;"",206,"")</f>
        <v/>
      </c>
      <c r="B215" s="67" t="str">
        <f>IFERROR(IF(DB_Customers!A209&lt;&gt;"",DB_Customers!A209,""),"")</f>
        <v/>
      </c>
      <c r="C215" s="68" t="str">
        <f>IFERROR(IF(DB_Customers!D209&lt;&gt;"",DB_Customers!D209,""),"")</f>
        <v/>
      </c>
      <c r="D215" s="69" t="str">
        <f>IFERROR(IF(DB_Customers!Q209&lt;&gt;"",DB_Customers!Q209,""),"")</f>
        <v/>
      </c>
      <c r="E215" s="68" t="str">
        <f>IFERROR(IF(DB_Customers!R209&lt;&gt;"",DB_Customers!R209,""),"")</f>
        <v/>
      </c>
      <c r="F215" s="68" t="str">
        <f>IFERROR(IF(DB_Customers!S209&lt;&gt;"",DB_Customers!S209,""),"")</f>
        <v/>
      </c>
      <c r="G215" s="68" t="str">
        <f>IFERROR(IF(DB_Customers!G209&lt;&gt;"",DB_Customers!G209,""),"")</f>
        <v/>
      </c>
      <c r="H215" s="70" t="str">
        <f>IFERROR(IF(DB_Customers!H209&lt;&gt;"",DB_Customers!H209,""),"")</f>
        <v/>
      </c>
      <c r="I215" s="71" t="str">
        <f>IFERROR(IF(DB_Customers!I209&lt;&gt;"",DB_Customers!I209,""),"")</f>
        <v/>
      </c>
      <c r="J215" s="69" t="str">
        <f>IFERROR(IF(DB_Customers!J209&lt;&gt;"",DB_Customers!J209,""),"")</f>
        <v/>
      </c>
      <c r="K215" s="68" t="str">
        <f>IFERROR(IF(DB_Customers!E209&lt;&gt;"",DB_Customers!E209,""),"")</f>
        <v/>
      </c>
      <c r="L215" s="68" t="str">
        <f>IFERROR(IF(DB_Customers!F209&lt;&gt;"",DB_Customers!F209,""),"")</f>
        <v/>
      </c>
      <c r="M215" s="68" t="str">
        <f>IFERROR(IF(DB_Customers!T209&lt;&gt;"",DB_Customers!T209,""),"")</f>
        <v/>
      </c>
      <c r="N215" s="72" t="str">
        <f>IFERROR(IF(DB_Customers!A209&lt;&gt;"",IF(DB_Customers!I209&gt;=10,"Active","Inactive"),""),"")</f>
        <v/>
      </c>
    </row>
    <row r="216" spans="1:14" ht="18" customHeight="1" x14ac:dyDescent="0.25">
      <c r="A216" s="59" t="str">
        <f>IF(DB_Customers!A210&lt;&gt;"",207,"")</f>
        <v/>
      </c>
      <c r="B216" s="60" t="str">
        <f>IFERROR(IF(DB_Customers!A210&lt;&gt;"",DB_Customers!A210,""),"")</f>
        <v/>
      </c>
      <c r="C216" s="61" t="str">
        <f>IFERROR(IF(DB_Customers!D210&lt;&gt;"",DB_Customers!D210,""),"")</f>
        <v/>
      </c>
      <c r="D216" s="62" t="str">
        <f>IFERROR(IF(DB_Customers!Q210&lt;&gt;"",DB_Customers!Q210,""),"")</f>
        <v/>
      </c>
      <c r="E216" s="61" t="str">
        <f>IFERROR(IF(DB_Customers!R210&lt;&gt;"",DB_Customers!R210,""),"")</f>
        <v/>
      </c>
      <c r="F216" s="61" t="str">
        <f>IFERROR(IF(DB_Customers!S210&lt;&gt;"",DB_Customers!S210,""),"")</f>
        <v/>
      </c>
      <c r="G216" s="61" t="str">
        <f>IFERROR(IF(DB_Customers!G210&lt;&gt;"",DB_Customers!G210,""),"")</f>
        <v/>
      </c>
      <c r="H216" s="63" t="str">
        <f>IFERROR(IF(DB_Customers!H210&lt;&gt;"",DB_Customers!H210,""),"")</f>
        <v/>
      </c>
      <c r="I216" s="64" t="str">
        <f>IFERROR(IF(DB_Customers!I210&lt;&gt;"",DB_Customers!I210,""),"")</f>
        <v/>
      </c>
      <c r="J216" s="62" t="str">
        <f>IFERROR(IF(DB_Customers!J210&lt;&gt;"",DB_Customers!J210,""),"")</f>
        <v/>
      </c>
      <c r="K216" s="61" t="str">
        <f>IFERROR(IF(DB_Customers!E210&lt;&gt;"",DB_Customers!E210,""),"")</f>
        <v/>
      </c>
      <c r="L216" s="61" t="str">
        <f>IFERROR(IF(DB_Customers!F210&lt;&gt;"",DB_Customers!F210,""),"")</f>
        <v/>
      </c>
      <c r="M216" s="61" t="str">
        <f>IFERROR(IF(DB_Customers!T210&lt;&gt;"",DB_Customers!T210,""),"")</f>
        <v/>
      </c>
      <c r="N216" s="65" t="str">
        <f>IFERROR(IF(DB_Customers!A210&lt;&gt;"",IF(DB_Customers!I210&gt;=10,"Active","Inactive"),""),"")</f>
        <v/>
      </c>
    </row>
    <row r="217" spans="1:14" ht="18" customHeight="1" x14ac:dyDescent="0.25">
      <c r="A217" s="66" t="str">
        <f>IF(DB_Customers!A211&lt;&gt;"",208,"")</f>
        <v/>
      </c>
      <c r="B217" s="67" t="str">
        <f>IFERROR(IF(DB_Customers!A211&lt;&gt;"",DB_Customers!A211,""),"")</f>
        <v/>
      </c>
      <c r="C217" s="68" t="str">
        <f>IFERROR(IF(DB_Customers!D211&lt;&gt;"",DB_Customers!D211,""),"")</f>
        <v/>
      </c>
      <c r="D217" s="69" t="str">
        <f>IFERROR(IF(DB_Customers!Q211&lt;&gt;"",DB_Customers!Q211,""),"")</f>
        <v/>
      </c>
      <c r="E217" s="68" t="str">
        <f>IFERROR(IF(DB_Customers!R211&lt;&gt;"",DB_Customers!R211,""),"")</f>
        <v/>
      </c>
      <c r="F217" s="68" t="str">
        <f>IFERROR(IF(DB_Customers!S211&lt;&gt;"",DB_Customers!S211,""),"")</f>
        <v/>
      </c>
      <c r="G217" s="68" t="str">
        <f>IFERROR(IF(DB_Customers!G211&lt;&gt;"",DB_Customers!G211,""),"")</f>
        <v/>
      </c>
      <c r="H217" s="70" t="str">
        <f>IFERROR(IF(DB_Customers!H211&lt;&gt;"",DB_Customers!H211,""),"")</f>
        <v/>
      </c>
      <c r="I217" s="71" t="str">
        <f>IFERROR(IF(DB_Customers!I211&lt;&gt;"",DB_Customers!I211,""),"")</f>
        <v/>
      </c>
      <c r="J217" s="69" t="str">
        <f>IFERROR(IF(DB_Customers!J211&lt;&gt;"",DB_Customers!J211,""),"")</f>
        <v/>
      </c>
      <c r="K217" s="68" t="str">
        <f>IFERROR(IF(DB_Customers!E211&lt;&gt;"",DB_Customers!E211,""),"")</f>
        <v/>
      </c>
      <c r="L217" s="68" t="str">
        <f>IFERROR(IF(DB_Customers!F211&lt;&gt;"",DB_Customers!F211,""),"")</f>
        <v/>
      </c>
      <c r="M217" s="68" t="str">
        <f>IFERROR(IF(DB_Customers!T211&lt;&gt;"",DB_Customers!T211,""),"")</f>
        <v/>
      </c>
      <c r="N217" s="72" t="str">
        <f>IFERROR(IF(DB_Customers!A211&lt;&gt;"",IF(DB_Customers!I211&gt;=10,"Active","Inactive"),""),"")</f>
        <v/>
      </c>
    </row>
    <row r="218" spans="1:14" ht="18" customHeight="1" x14ac:dyDescent="0.25">
      <c r="A218" s="59" t="str">
        <f>IF(DB_Customers!A212&lt;&gt;"",209,"")</f>
        <v/>
      </c>
      <c r="B218" s="60" t="str">
        <f>IFERROR(IF(DB_Customers!A212&lt;&gt;"",DB_Customers!A212,""),"")</f>
        <v/>
      </c>
      <c r="C218" s="61" t="str">
        <f>IFERROR(IF(DB_Customers!D212&lt;&gt;"",DB_Customers!D212,""),"")</f>
        <v/>
      </c>
      <c r="D218" s="62" t="str">
        <f>IFERROR(IF(DB_Customers!Q212&lt;&gt;"",DB_Customers!Q212,""),"")</f>
        <v/>
      </c>
      <c r="E218" s="61" t="str">
        <f>IFERROR(IF(DB_Customers!R212&lt;&gt;"",DB_Customers!R212,""),"")</f>
        <v/>
      </c>
      <c r="F218" s="61" t="str">
        <f>IFERROR(IF(DB_Customers!S212&lt;&gt;"",DB_Customers!S212,""),"")</f>
        <v/>
      </c>
      <c r="G218" s="61" t="str">
        <f>IFERROR(IF(DB_Customers!G212&lt;&gt;"",DB_Customers!G212,""),"")</f>
        <v/>
      </c>
      <c r="H218" s="63" t="str">
        <f>IFERROR(IF(DB_Customers!H212&lt;&gt;"",DB_Customers!H212,""),"")</f>
        <v/>
      </c>
      <c r="I218" s="64" t="str">
        <f>IFERROR(IF(DB_Customers!I212&lt;&gt;"",DB_Customers!I212,""),"")</f>
        <v/>
      </c>
      <c r="J218" s="62" t="str">
        <f>IFERROR(IF(DB_Customers!J212&lt;&gt;"",DB_Customers!J212,""),"")</f>
        <v/>
      </c>
      <c r="K218" s="61" t="str">
        <f>IFERROR(IF(DB_Customers!E212&lt;&gt;"",DB_Customers!E212,""),"")</f>
        <v/>
      </c>
      <c r="L218" s="61" t="str">
        <f>IFERROR(IF(DB_Customers!F212&lt;&gt;"",DB_Customers!F212,""),"")</f>
        <v/>
      </c>
      <c r="M218" s="61" t="str">
        <f>IFERROR(IF(DB_Customers!T212&lt;&gt;"",DB_Customers!T212,""),"")</f>
        <v/>
      </c>
      <c r="N218" s="65" t="str">
        <f>IFERROR(IF(DB_Customers!A212&lt;&gt;"",IF(DB_Customers!I212&gt;=10,"Active","Inactive"),""),"")</f>
        <v/>
      </c>
    </row>
    <row r="219" spans="1:14" ht="18" customHeight="1" x14ac:dyDescent="0.25">
      <c r="A219" s="66" t="str">
        <f>IF(DB_Customers!A213&lt;&gt;"",210,"")</f>
        <v/>
      </c>
      <c r="B219" s="67" t="str">
        <f>IFERROR(IF(DB_Customers!A213&lt;&gt;"",DB_Customers!A213,""),"")</f>
        <v/>
      </c>
      <c r="C219" s="68" t="str">
        <f>IFERROR(IF(DB_Customers!D213&lt;&gt;"",DB_Customers!D213,""),"")</f>
        <v/>
      </c>
      <c r="D219" s="69" t="str">
        <f>IFERROR(IF(DB_Customers!Q213&lt;&gt;"",DB_Customers!Q213,""),"")</f>
        <v/>
      </c>
      <c r="E219" s="68" t="str">
        <f>IFERROR(IF(DB_Customers!R213&lt;&gt;"",DB_Customers!R213,""),"")</f>
        <v/>
      </c>
      <c r="F219" s="68" t="str">
        <f>IFERROR(IF(DB_Customers!S213&lt;&gt;"",DB_Customers!S213,""),"")</f>
        <v/>
      </c>
      <c r="G219" s="68" t="str">
        <f>IFERROR(IF(DB_Customers!G213&lt;&gt;"",DB_Customers!G213,""),"")</f>
        <v/>
      </c>
      <c r="H219" s="70" t="str">
        <f>IFERROR(IF(DB_Customers!H213&lt;&gt;"",DB_Customers!H213,""),"")</f>
        <v/>
      </c>
      <c r="I219" s="71" t="str">
        <f>IFERROR(IF(DB_Customers!I213&lt;&gt;"",DB_Customers!I213,""),"")</f>
        <v/>
      </c>
      <c r="J219" s="69" t="str">
        <f>IFERROR(IF(DB_Customers!J213&lt;&gt;"",DB_Customers!J213,""),"")</f>
        <v/>
      </c>
      <c r="K219" s="68" t="str">
        <f>IFERROR(IF(DB_Customers!E213&lt;&gt;"",DB_Customers!E213,""),"")</f>
        <v/>
      </c>
      <c r="L219" s="68" t="str">
        <f>IFERROR(IF(DB_Customers!F213&lt;&gt;"",DB_Customers!F213,""),"")</f>
        <v/>
      </c>
      <c r="M219" s="68" t="str">
        <f>IFERROR(IF(DB_Customers!T213&lt;&gt;"",DB_Customers!T213,""),"")</f>
        <v/>
      </c>
      <c r="N219" s="72" t="str">
        <f>IFERROR(IF(DB_Customers!A213&lt;&gt;"",IF(DB_Customers!I213&gt;=10,"Active","Inactive"),""),"")</f>
        <v/>
      </c>
    </row>
    <row r="220" spans="1:14" ht="18" customHeight="1" x14ac:dyDescent="0.25">
      <c r="A220" s="59" t="str">
        <f>IF(DB_Customers!A214&lt;&gt;"",211,"")</f>
        <v/>
      </c>
      <c r="B220" s="60" t="str">
        <f>IFERROR(IF(DB_Customers!A214&lt;&gt;"",DB_Customers!A214,""),"")</f>
        <v/>
      </c>
      <c r="C220" s="61" t="str">
        <f>IFERROR(IF(DB_Customers!D214&lt;&gt;"",DB_Customers!D214,""),"")</f>
        <v/>
      </c>
      <c r="D220" s="62" t="str">
        <f>IFERROR(IF(DB_Customers!Q214&lt;&gt;"",DB_Customers!Q214,""),"")</f>
        <v/>
      </c>
      <c r="E220" s="61" t="str">
        <f>IFERROR(IF(DB_Customers!R214&lt;&gt;"",DB_Customers!R214,""),"")</f>
        <v/>
      </c>
      <c r="F220" s="61" t="str">
        <f>IFERROR(IF(DB_Customers!S214&lt;&gt;"",DB_Customers!S214,""),"")</f>
        <v/>
      </c>
      <c r="G220" s="61" t="str">
        <f>IFERROR(IF(DB_Customers!G214&lt;&gt;"",DB_Customers!G214,""),"")</f>
        <v/>
      </c>
      <c r="H220" s="63" t="str">
        <f>IFERROR(IF(DB_Customers!H214&lt;&gt;"",DB_Customers!H214,""),"")</f>
        <v/>
      </c>
      <c r="I220" s="64" t="str">
        <f>IFERROR(IF(DB_Customers!I214&lt;&gt;"",DB_Customers!I214,""),"")</f>
        <v/>
      </c>
      <c r="J220" s="62" t="str">
        <f>IFERROR(IF(DB_Customers!J214&lt;&gt;"",DB_Customers!J214,""),"")</f>
        <v/>
      </c>
      <c r="K220" s="61" t="str">
        <f>IFERROR(IF(DB_Customers!E214&lt;&gt;"",DB_Customers!E214,""),"")</f>
        <v/>
      </c>
      <c r="L220" s="61" t="str">
        <f>IFERROR(IF(DB_Customers!F214&lt;&gt;"",DB_Customers!F214,""),"")</f>
        <v/>
      </c>
      <c r="M220" s="61" t="str">
        <f>IFERROR(IF(DB_Customers!T214&lt;&gt;"",DB_Customers!T214,""),"")</f>
        <v/>
      </c>
      <c r="N220" s="65" t="str">
        <f>IFERROR(IF(DB_Customers!A214&lt;&gt;"",IF(DB_Customers!I214&gt;=10,"Active","Inactive"),""),"")</f>
        <v/>
      </c>
    </row>
    <row r="221" spans="1:14" ht="18" customHeight="1" x14ac:dyDescent="0.25">
      <c r="A221" s="66" t="str">
        <f>IF(DB_Customers!A215&lt;&gt;"",212,"")</f>
        <v/>
      </c>
      <c r="B221" s="67" t="str">
        <f>IFERROR(IF(DB_Customers!A215&lt;&gt;"",DB_Customers!A215,""),"")</f>
        <v/>
      </c>
      <c r="C221" s="68" t="str">
        <f>IFERROR(IF(DB_Customers!D215&lt;&gt;"",DB_Customers!D215,""),"")</f>
        <v/>
      </c>
      <c r="D221" s="69" t="str">
        <f>IFERROR(IF(DB_Customers!Q215&lt;&gt;"",DB_Customers!Q215,""),"")</f>
        <v/>
      </c>
      <c r="E221" s="68" t="str">
        <f>IFERROR(IF(DB_Customers!R215&lt;&gt;"",DB_Customers!R215,""),"")</f>
        <v/>
      </c>
      <c r="F221" s="68" t="str">
        <f>IFERROR(IF(DB_Customers!S215&lt;&gt;"",DB_Customers!S215,""),"")</f>
        <v/>
      </c>
      <c r="G221" s="68" t="str">
        <f>IFERROR(IF(DB_Customers!G215&lt;&gt;"",DB_Customers!G215,""),"")</f>
        <v/>
      </c>
      <c r="H221" s="70" t="str">
        <f>IFERROR(IF(DB_Customers!H215&lt;&gt;"",DB_Customers!H215,""),"")</f>
        <v/>
      </c>
      <c r="I221" s="71" t="str">
        <f>IFERROR(IF(DB_Customers!I215&lt;&gt;"",DB_Customers!I215,""),"")</f>
        <v/>
      </c>
      <c r="J221" s="69" t="str">
        <f>IFERROR(IF(DB_Customers!J215&lt;&gt;"",DB_Customers!J215,""),"")</f>
        <v/>
      </c>
      <c r="K221" s="68" t="str">
        <f>IFERROR(IF(DB_Customers!E215&lt;&gt;"",DB_Customers!E215,""),"")</f>
        <v/>
      </c>
      <c r="L221" s="68" t="str">
        <f>IFERROR(IF(DB_Customers!F215&lt;&gt;"",DB_Customers!F215,""),"")</f>
        <v/>
      </c>
      <c r="M221" s="68" t="str">
        <f>IFERROR(IF(DB_Customers!T215&lt;&gt;"",DB_Customers!T215,""),"")</f>
        <v/>
      </c>
      <c r="N221" s="72" t="str">
        <f>IFERROR(IF(DB_Customers!A215&lt;&gt;"",IF(DB_Customers!I215&gt;=10,"Active","Inactive"),""),"")</f>
        <v/>
      </c>
    </row>
    <row r="222" spans="1:14" ht="18" customHeight="1" x14ac:dyDescent="0.25">
      <c r="A222" s="59" t="str">
        <f>IF(DB_Customers!A216&lt;&gt;"",213,"")</f>
        <v/>
      </c>
      <c r="B222" s="60" t="str">
        <f>IFERROR(IF(DB_Customers!A216&lt;&gt;"",DB_Customers!A216,""),"")</f>
        <v/>
      </c>
      <c r="C222" s="61" t="str">
        <f>IFERROR(IF(DB_Customers!D216&lt;&gt;"",DB_Customers!D216,""),"")</f>
        <v/>
      </c>
      <c r="D222" s="62" t="str">
        <f>IFERROR(IF(DB_Customers!Q216&lt;&gt;"",DB_Customers!Q216,""),"")</f>
        <v/>
      </c>
      <c r="E222" s="61" t="str">
        <f>IFERROR(IF(DB_Customers!R216&lt;&gt;"",DB_Customers!R216,""),"")</f>
        <v/>
      </c>
      <c r="F222" s="61" t="str">
        <f>IFERROR(IF(DB_Customers!S216&lt;&gt;"",DB_Customers!S216,""),"")</f>
        <v/>
      </c>
      <c r="G222" s="61" t="str">
        <f>IFERROR(IF(DB_Customers!G216&lt;&gt;"",DB_Customers!G216,""),"")</f>
        <v/>
      </c>
      <c r="H222" s="63" t="str">
        <f>IFERROR(IF(DB_Customers!H216&lt;&gt;"",DB_Customers!H216,""),"")</f>
        <v/>
      </c>
      <c r="I222" s="64" t="str">
        <f>IFERROR(IF(DB_Customers!I216&lt;&gt;"",DB_Customers!I216,""),"")</f>
        <v/>
      </c>
      <c r="J222" s="62" t="str">
        <f>IFERROR(IF(DB_Customers!J216&lt;&gt;"",DB_Customers!J216,""),"")</f>
        <v/>
      </c>
      <c r="K222" s="61" t="str">
        <f>IFERROR(IF(DB_Customers!E216&lt;&gt;"",DB_Customers!E216,""),"")</f>
        <v/>
      </c>
      <c r="L222" s="61" t="str">
        <f>IFERROR(IF(DB_Customers!F216&lt;&gt;"",DB_Customers!F216,""),"")</f>
        <v/>
      </c>
      <c r="M222" s="61" t="str">
        <f>IFERROR(IF(DB_Customers!T216&lt;&gt;"",DB_Customers!T216,""),"")</f>
        <v/>
      </c>
      <c r="N222" s="65" t="str">
        <f>IFERROR(IF(DB_Customers!A216&lt;&gt;"",IF(DB_Customers!I216&gt;=10,"Active","Inactive"),""),"")</f>
        <v/>
      </c>
    </row>
    <row r="223" spans="1:14" ht="18" customHeight="1" x14ac:dyDescent="0.25">
      <c r="A223" s="66" t="str">
        <f>IF(DB_Customers!A217&lt;&gt;"",214,"")</f>
        <v/>
      </c>
      <c r="B223" s="67" t="str">
        <f>IFERROR(IF(DB_Customers!A217&lt;&gt;"",DB_Customers!A217,""),"")</f>
        <v/>
      </c>
      <c r="C223" s="68" t="str">
        <f>IFERROR(IF(DB_Customers!D217&lt;&gt;"",DB_Customers!D217,""),"")</f>
        <v/>
      </c>
      <c r="D223" s="69" t="str">
        <f>IFERROR(IF(DB_Customers!Q217&lt;&gt;"",DB_Customers!Q217,""),"")</f>
        <v/>
      </c>
      <c r="E223" s="68" t="str">
        <f>IFERROR(IF(DB_Customers!R217&lt;&gt;"",DB_Customers!R217,""),"")</f>
        <v/>
      </c>
      <c r="F223" s="68" t="str">
        <f>IFERROR(IF(DB_Customers!S217&lt;&gt;"",DB_Customers!S217,""),"")</f>
        <v/>
      </c>
      <c r="G223" s="68" t="str">
        <f>IFERROR(IF(DB_Customers!G217&lt;&gt;"",DB_Customers!G217,""),"")</f>
        <v/>
      </c>
      <c r="H223" s="70" t="str">
        <f>IFERROR(IF(DB_Customers!H217&lt;&gt;"",DB_Customers!H217,""),"")</f>
        <v/>
      </c>
      <c r="I223" s="71" t="str">
        <f>IFERROR(IF(DB_Customers!I217&lt;&gt;"",DB_Customers!I217,""),"")</f>
        <v/>
      </c>
      <c r="J223" s="69" t="str">
        <f>IFERROR(IF(DB_Customers!J217&lt;&gt;"",DB_Customers!J217,""),"")</f>
        <v/>
      </c>
      <c r="K223" s="68" t="str">
        <f>IFERROR(IF(DB_Customers!E217&lt;&gt;"",DB_Customers!E217,""),"")</f>
        <v/>
      </c>
      <c r="L223" s="68" t="str">
        <f>IFERROR(IF(DB_Customers!F217&lt;&gt;"",DB_Customers!F217,""),"")</f>
        <v/>
      </c>
      <c r="M223" s="68" t="str">
        <f>IFERROR(IF(DB_Customers!T217&lt;&gt;"",DB_Customers!T217,""),"")</f>
        <v/>
      </c>
      <c r="N223" s="72" t="str">
        <f>IFERROR(IF(DB_Customers!A217&lt;&gt;"",IF(DB_Customers!I217&gt;=10,"Active","Inactive"),""),"")</f>
        <v/>
      </c>
    </row>
    <row r="224" spans="1:14" ht="18" customHeight="1" x14ac:dyDescent="0.25">
      <c r="A224" s="59" t="str">
        <f>IF(DB_Customers!A218&lt;&gt;"",215,"")</f>
        <v/>
      </c>
      <c r="B224" s="60" t="str">
        <f>IFERROR(IF(DB_Customers!A218&lt;&gt;"",DB_Customers!A218,""),"")</f>
        <v/>
      </c>
      <c r="C224" s="61" t="str">
        <f>IFERROR(IF(DB_Customers!D218&lt;&gt;"",DB_Customers!D218,""),"")</f>
        <v/>
      </c>
      <c r="D224" s="62" t="str">
        <f>IFERROR(IF(DB_Customers!Q218&lt;&gt;"",DB_Customers!Q218,""),"")</f>
        <v/>
      </c>
      <c r="E224" s="61" t="str">
        <f>IFERROR(IF(DB_Customers!R218&lt;&gt;"",DB_Customers!R218,""),"")</f>
        <v/>
      </c>
      <c r="F224" s="61" t="str">
        <f>IFERROR(IF(DB_Customers!S218&lt;&gt;"",DB_Customers!S218,""),"")</f>
        <v/>
      </c>
      <c r="G224" s="61" t="str">
        <f>IFERROR(IF(DB_Customers!G218&lt;&gt;"",DB_Customers!G218,""),"")</f>
        <v/>
      </c>
      <c r="H224" s="63" t="str">
        <f>IFERROR(IF(DB_Customers!H218&lt;&gt;"",DB_Customers!H218,""),"")</f>
        <v/>
      </c>
      <c r="I224" s="64" t="str">
        <f>IFERROR(IF(DB_Customers!I218&lt;&gt;"",DB_Customers!I218,""),"")</f>
        <v/>
      </c>
      <c r="J224" s="62" t="str">
        <f>IFERROR(IF(DB_Customers!J218&lt;&gt;"",DB_Customers!J218,""),"")</f>
        <v/>
      </c>
      <c r="K224" s="61" t="str">
        <f>IFERROR(IF(DB_Customers!E218&lt;&gt;"",DB_Customers!E218,""),"")</f>
        <v/>
      </c>
      <c r="L224" s="61" t="str">
        <f>IFERROR(IF(DB_Customers!F218&lt;&gt;"",DB_Customers!F218,""),"")</f>
        <v/>
      </c>
      <c r="M224" s="61" t="str">
        <f>IFERROR(IF(DB_Customers!T218&lt;&gt;"",DB_Customers!T218,""),"")</f>
        <v/>
      </c>
      <c r="N224" s="65" t="str">
        <f>IFERROR(IF(DB_Customers!A218&lt;&gt;"",IF(DB_Customers!I218&gt;=10,"Active","Inactive"),""),"")</f>
        <v/>
      </c>
    </row>
    <row r="225" spans="1:14" ht="18" customHeight="1" x14ac:dyDescent="0.25">
      <c r="A225" s="66" t="str">
        <f>IF(DB_Customers!A219&lt;&gt;"",216,"")</f>
        <v/>
      </c>
      <c r="B225" s="67" t="str">
        <f>IFERROR(IF(DB_Customers!A219&lt;&gt;"",DB_Customers!A219,""),"")</f>
        <v/>
      </c>
      <c r="C225" s="68" t="str">
        <f>IFERROR(IF(DB_Customers!D219&lt;&gt;"",DB_Customers!D219,""),"")</f>
        <v/>
      </c>
      <c r="D225" s="69" t="str">
        <f>IFERROR(IF(DB_Customers!Q219&lt;&gt;"",DB_Customers!Q219,""),"")</f>
        <v/>
      </c>
      <c r="E225" s="68" t="str">
        <f>IFERROR(IF(DB_Customers!R219&lt;&gt;"",DB_Customers!R219,""),"")</f>
        <v/>
      </c>
      <c r="F225" s="68" t="str">
        <f>IFERROR(IF(DB_Customers!S219&lt;&gt;"",DB_Customers!S219,""),"")</f>
        <v/>
      </c>
      <c r="G225" s="68" t="str">
        <f>IFERROR(IF(DB_Customers!G219&lt;&gt;"",DB_Customers!G219,""),"")</f>
        <v/>
      </c>
      <c r="H225" s="70" t="str">
        <f>IFERROR(IF(DB_Customers!H219&lt;&gt;"",DB_Customers!H219,""),"")</f>
        <v/>
      </c>
      <c r="I225" s="71" t="str">
        <f>IFERROR(IF(DB_Customers!I219&lt;&gt;"",DB_Customers!I219,""),"")</f>
        <v/>
      </c>
      <c r="J225" s="69" t="str">
        <f>IFERROR(IF(DB_Customers!J219&lt;&gt;"",DB_Customers!J219,""),"")</f>
        <v/>
      </c>
      <c r="K225" s="68" t="str">
        <f>IFERROR(IF(DB_Customers!E219&lt;&gt;"",DB_Customers!E219,""),"")</f>
        <v/>
      </c>
      <c r="L225" s="68" t="str">
        <f>IFERROR(IF(DB_Customers!F219&lt;&gt;"",DB_Customers!F219,""),"")</f>
        <v/>
      </c>
      <c r="M225" s="68" t="str">
        <f>IFERROR(IF(DB_Customers!T219&lt;&gt;"",DB_Customers!T219,""),"")</f>
        <v/>
      </c>
      <c r="N225" s="72" t="str">
        <f>IFERROR(IF(DB_Customers!A219&lt;&gt;"",IF(DB_Customers!I219&gt;=10,"Active","Inactive"),""),"")</f>
        <v/>
      </c>
    </row>
    <row r="226" spans="1:14" ht="18" customHeight="1" x14ac:dyDescent="0.25">
      <c r="A226" s="59" t="str">
        <f>IF(DB_Customers!A220&lt;&gt;"",217,"")</f>
        <v/>
      </c>
      <c r="B226" s="60" t="str">
        <f>IFERROR(IF(DB_Customers!A220&lt;&gt;"",DB_Customers!A220,""),"")</f>
        <v/>
      </c>
      <c r="C226" s="61" t="str">
        <f>IFERROR(IF(DB_Customers!D220&lt;&gt;"",DB_Customers!D220,""),"")</f>
        <v/>
      </c>
      <c r="D226" s="62" t="str">
        <f>IFERROR(IF(DB_Customers!Q220&lt;&gt;"",DB_Customers!Q220,""),"")</f>
        <v/>
      </c>
      <c r="E226" s="61" t="str">
        <f>IFERROR(IF(DB_Customers!R220&lt;&gt;"",DB_Customers!R220,""),"")</f>
        <v/>
      </c>
      <c r="F226" s="61" t="str">
        <f>IFERROR(IF(DB_Customers!S220&lt;&gt;"",DB_Customers!S220,""),"")</f>
        <v/>
      </c>
      <c r="G226" s="61" t="str">
        <f>IFERROR(IF(DB_Customers!G220&lt;&gt;"",DB_Customers!G220,""),"")</f>
        <v/>
      </c>
      <c r="H226" s="63" t="str">
        <f>IFERROR(IF(DB_Customers!H220&lt;&gt;"",DB_Customers!H220,""),"")</f>
        <v/>
      </c>
      <c r="I226" s="64" t="str">
        <f>IFERROR(IF(DB_Customers!I220&lt;&gt;"",DB_Customers!I220,""),"")</f>
        <v/>
      </c>
      <c r="J226" s="62" t="str">
        <f>IFERROR(IF(DB_Customers!J220&lt;&gt;"",DB_Customers!J220,""),"")</f>
        <v/>
      </c>
      <c r="K226" s="61" t="str">
        <f>IFERROR(IF(DB_Customers!E220&lt;&gt;"",DB_Customers!E220,""),"")</f>
        <v/>
      </c>
      <c r="L226" s="61" t="str">
        <f>IFERROR(IF(DB_Customers!F220&lt;&gt;"",DB_Customers!F220,""),"")</f>
        <v/>
      </c>
      <c r="M226" s="61" t="str">
        <f>IFERROR(IF(DB_Customers!T220&lt;&gt;"",DB_Customers!T220,""),"")</f>
        <v/>
      </c>
      <c r="N226" s="65" t="str">
        <f>IFERROR(IF(DB_Customers!A220&lt;&gt;"",IF(DB_Customers!I220&gt;=10,"Active","Inactive"),""),"")</f>
        <v/>
      </c>
    </row>
    <row r="227" spans="1:14" ht="18" customHeight="1" x14ac:dyDescent="0.25">
      <c r="A227" s="66" t="str">
        <f>IF(DB_Customers!A221&lt;&gt;"",218,"")</f>
        <v/>
      </c>
      <c r="B227" s="67" t="str">
        <f>IFERROR(IF(DB_Customers!A221&lt;&gt;"",DB_Customers!A221,""),"")</f>
        <v/>
      </c>
      <c r="C227" s="68" t="str">
        <f>IFERROR(IF(DB_Customers!D221&lt;&gt;"",DB_Customers!D221,""),"")</f>
        <v/>
      </c>
      <c r="D227" s="69" t="str">
        <f>IFERROR(IF(DB_Customers!Q221&lt;&gt;"",DB_Customers!Q221,""),"")</f>
        <v/>
      </c>
      <c r="E227" s="68" t="str">
        <f>IFERROR(IF(DB_Customers!R221&lt;&gt;"",DB_Customers!R221,""),"")</f>
        <v/>
      </c>
      <c r="F227" s="68" t="str">
        <f>IFERROR(IF(DB_Customers!S221&lt;&gt;"",DB_Customers!S221,""),"")</f>
        <v/>
      </c>
      <c r="G227" s="68" t="str">
        <f>IFERROR(IF(DB_Customers!G221&lt;&gt;"",DB_Customers!G221,""),"")</f>
        <v/>
      </c>
      <c r="H227" s="70" t="str">
        <f>IFERROR(IF(DB_Customers!H221&lt;&gt;"",DB_Customers!H221,""),"")</f>
        <v/>
      </c>
      <c r="I227" s="71" t="str">
        <f>IFERROR(IF(DB_Customers!I221&lt;&gt;"",DB_Customers!I221,""),"")</f>
        <v/>
      </c>
      <c r="J227" s="69" t="str">
        <f>IFERROR(IF(DB_Customers!J221&lt;&gt;"",DB_Customers!J221,""),"")</f>
        <v/>
      </c>
      <c r="K227" s="68" t="str">
        <f>IFERROR(IF(DB_Customers!E221&lt;&gt;"",DB_Customers!E221,""),"")</f>
        <v/>
      </c>
      <c r="L227" s="68" t="str">
        <f>IFERROR(IF(DB_Customers!F221&lt;&gt;"",DB_Customers!F221,""),"")</f>
        <v/>
      </c>
      <c r="M227" s="68" t="str">
        <f>IFERROR(IF(DB_Customers!T221&lt;&gt;"",DB_Customers!T221,""),"")</f>
        <v/>
      </c>
      <c r="N227" s="72" t="str">
        <f>IFERROR(IF(DB_Customers!A221&lt;&gt;"",IF(DB_Customers!I221&gt;=10,"Active","Inactive"),""),"")</f>
        <v/>
      </c>
    </row>
    <row r="228" spans="1:14" ht="18" customHeight="1" x14ac:dyDescent="0.25">
      <c r="A228" s="59" t="str">
        <f>IF(DB_Customers!A222&lt;&gt;"",219,"")</f>
        <v/>
      </c>
      <c r="B228" s="60" t="str">
        <f>IFERROR(IF(DB_Customers!A222&lt;&gt;"",DB_Customers!A222,""),"")</f>
        <v/>
      </c>
      <c r="C228" s="61" t="str">
        <f>IFERROR(IF(DB_Customers!D222&lt;&gt;"",DB_Customers!D222,""),"")</f>
        <v/>
      </c>
      <c r="D228" s="62" t="str">
        <f>IFERROR(IF(DB_Customers!Q222&lt;&gt;"",DB_Customers!Q222,""),"")</f>
        <v/>
      </c>
      <c r="E228" s="61" t="str">
        <f>IFERROR(IF(DB_Customers!R222&lt;&gt;"",DB_Customers!R222,""),"")</f>
        <v/>
      </c>
      <c r="F228" s="61" t="str">
        <f>IFERROR(IF(DB_Customers!S222&lt;&gt;"",DB_Customers!S222,""),"")</f>
        <v/>
      </c>
      <c r="G228" s="61" t="str">
        <f>IFERROR(IF(DB_Customers!G222&lt;&gt;"",DB_Customers!G222,""),"")</f>
        <v/>
      </c>
      <c r="H228" s="63" t="str">
        <f>IFERROR(IF(DB_Customers!H222&lt;&gt;"",DB_Customers!H222,""),"")</f>
        <v/>
      </c>
      <c r="I228" s="64" t="str">
        <f>IFERROR(IF(DB_Customers!I222&lt;&gt;"",DB_Customers!I222,""),"")</f>
        <v/>
      </c>
      <c r="J228" s="62" t="str">
        <f>IFERROR(IF(DB_Customers!J222&lt;&gt;"",DB_Customers!J222,""),"")</f>
        <v/>
      </c>
      <c r="K228" s="61" t="str">
        <f>IFERROR(IF(DB_Customers!E222&lt;&gt;"",DB_Customers!E222,""),"")</f>
        <v/>
      </c>
      <c r="L228" s="61" t="str">
        <f>IFERROR(IF(DB_Customers!F222&lt;&gt;"",DB_Customers!F222,""),"")</f>
        <v/>
      </c>
      <c r="M228" s="61" t="str">
        <f>IFERROR(IF(DB_Customers!T222&lt;&gt;"",DB_Customers!T222,""),"")</f>
        <v/>
      </c>
      <c r="N228" s="65" t="str">
        <f>IFERROR(IF(DB_Customers!A222&lt;&gt;"",IF(DB_Customers!I222&gt;=10,"Active","Inactive"),""),"")</f>
        <v/>
      </c>
    </row>
    <row r="229" spans="1:14" ht="18" customHeight="1" x14ac:dyDescent="0.25">
      <c r="A229" s="66" t="str">
        <f>IF(DB_Customers!A223&lt;&gt;"",220,"")</f>
        <v/>
      </c>
      <c r="B229" s="67" t="str">
        <f>IFERROR(IF(DB_Customers!A223&lt;&gt;"",DB_Customers!A223,""),"")</f>
        <v/>
      </c>
      <c r="C229" s="68" t="str">
        <f>IFERROR(IF(DB_Customers!D223&lt;&gt;"",DB_Customers!D223,""),"")</f>
        <v/>
      </c>
      <c r="D229" s="69" t="str">
        <f>IFERROR(IF(DB_Customers!Q223&lt;&gt;"",DB_Customers!Q223,""),"")</f>
        <v/>
      </c>
      <c r="E229" s="68" t="str">
        <f>IFERROR(IF(DB_Customers!R223&lt;&gt;"",DB_Customers!R223,""),"")</f>
        <v/>
      </c>
      <c r="F229" s="68" t="str">
        <f>IFERROR(IF(DB_Customers!S223&lt;&gt;"",DB_Customers!S223,""),"")</f>
        <v/>
      </c>
      <c r="G229" s="68" t="str">
        <f>IFERROR(IF(DB_Customers!G223&lt;&gt;"",DB_Customers!G223,""),"")</f>
        <v/>
      </c>
      <c r="H229" s="70" t="str">
        <f>IFERROR(IF(DB_Customers!H223&lt;&gt;"",DB_Customers!H223,""),"")</f>
        <v/>
      </c>
      <c r="I229" s="71" t="str">
        <f>IFERROR(IF(DB_Customers!I223&lt;&gt;"",DB_Customers!I223,""),"")</f>
        <v/>
      </c>
      <c r="J229" s="69" t="str">
        <f>IFERROR(IF(DB_Customers!J223&lt;&gt;"",DB_Customers!J223,""),"")</f>
        <v/>
      </c>
      <c r="K229" s="68" t="str">
        <f>IFERROR(IF(DB_Customers!E223&lt;&gt;"",DB_Customers!E223,""),"")</f>
        <v/>
      </c>
      <c r="L229" s="68" t="str">
        <f>IFERROR(IF(DB_Customers!F223&lt;&gt;"",DB_Customers!F223,""),"")</f>
        <v/>
      </c>
      <c r="M229" s="68" t="str">
        <f>IFERROR(IF(DB_Customers!T223&lt;&gt;"",DB_Customers!T223,""),"")</f>
        <v/>
      </c>
      <c r="N229" s="72" t="str">
        <f>IFERROR(IF(DB_Customers!A223&lt;&gt;"",IF(DB_Customers!I223&gt;=10,"Active","Inactive"),""),"")</f>
        <v/>
      </c>
    </row>
    <row r="230" spans="1:14" ht="18" customHeight="1" x14ac:dyDescent="0.25">
      <c r="A230" s="59" t="str">
        <f>IF(DB_Customers!A224&lt;&gt;"",221,"")</f>
        <v/>
      </c>
      <c r="B230" s="60" t="str">
        <f>IFERROR(IF(DB_Customers!A224&lt;&gt;"",DB_Customers!A224,""),"")</f>
        <v/>
      </c>
      <c r="C230" s="61" t="str">
        <f>IFERROR(IF(DB_Customers!D224&lt;&gt;"",DB_Customers!D224,""),"")</f>
        <v/>
      </c>
      <c r="D230" s="62" t="str">
        <f>IFERROR(IF(DB_Customers!Q224&lt;&gt;"",DB_Customers!Q224,""),"")</f>
        <v/>
      </c>
      <c r="E230" s="61" t="str">
        <f>IFERROR(IF(DB_Customers!R224&lt;&gt;"",DB_Customers!R224,""),"")</f>
        <v/>
      </c>
      <c r="F230" s="61" t="str">
        <f>IFERROR(IF(DB_Customers!S224&lt;&gt;"",DB_Customers!S224,""),"")</f>
        <v/>
      </c>
      <c r="G230" s="61" t="str">
        <f>IFERROR(IF(DB_Customers!G224&lt;&gt;"",DB_Customers!G224,""),"")</f>
        <v/>
      </c>
      <c r="H230" s="63" t="str">
        <f>IFERROR(IF(DB_Customers!H224&lt;&gt;"",DB_Customers!H224,""),"")</f>
        <v/>
      </c>
      <c r="I230" s="64" t="str">
        <f>IFERROR(IF(DB_Customers!I224&lt;&gt;"",DB_Customers!I224,""),"")</f>
        <v/>
      </c>
      <c r="J230" s="62" t="str">
        <f>IFERROR(IF(DB_Customers!J224&lt;&gt;"",DB_Customers!J224,""),"")</f>
        <v/>
      </c>
      <c r="K230" s="61" t="str">
        <f>IFERROR(IF(DB_Customers!E224&lt;&gt;"",DB_Customers!E224,""),"")</f>
        <v/>
      </c>
      <c r="L230" s="61" t="str">
        <f>IFERROR(IF(DB_Customers!F224&lt;&gt;"",DB_Customers!F224,""),"")</f>
        <v/>
      </c>
      <c r="M230" s="61" t="str">
        <f>IFERROR(IF(DB_Customers!T224&lt;&gt;"",DB_Customers!T224,""),"")</f>
        <v/>
      </c>
      <c r="N230" s="65" t="str">
        <f>IFERROR(IF(DB_Customers!A224&lt;&gt;"",IF(DB_Customers!I224&gt;=10,"Active","Inactive"),""),"")</f>
        <v/>
      </c>
    </row>
    <row r="231" spans="1:14" ht="18" customHeight="1" x14ac:dyDescent="0.25">
      <c r="A231" s="66" t="str">
        <f>IF(DB_Customers!A225&lt;&gt;"",222,"")</f>
        <v/>
      </c>
      <c r="B231" s="67" t="str">
        <f>IFERROR(IF(DB_Customers!A225&lt;&gt;"",DB_Customers!A225,""),"")</f>
        <v/>
      </c>
      <c r="C231" s="68" t="str">
        <f>IFERROR(IF(DB_Customers!D225&lt;&gt;"",DB_Customers!D225,""),"")</f>
        <v/>
      </c>
      <c r="D231" s="69" t="str">
        <f>IFERROR(IF(DB_Customers!Q225&lt;&gt;"",DB_Customers!Q225,""),"")</f>
        <v/>
      </c>
      <c r="E231" s="68" t="str">
        <f>IFERROR(IF(DB_Customers!R225&lt;&gt;"",DB_Customers!R225,""),"")</f>
        <v/>
      </c>
      <c r="F231" s="68" t="str">
        <f>IFERROR(IF(DB_Customers!S225&lt;&gt;"",DB_Customers!S225,""),"")</f>
        <v/>
      </c>
      <c r="G231" s="68" t="str">
        <f>IFERROR(IF(DB_Customers!G225&lt;&gt;"",DB_Customers!G225,""),"")</f>
        <v/>
      </c>
      <c r="H231" s="70" t="str">
        <f>IFERROR(IF(DB_Customers!H225&lt;&gt;"",DB_Customers!H225,""),"")</f>
        <v/>
      </c>
      <c r="I231" s="71" t="str">
        <f>IFERROR(IF(DB_Customers!I225&lt;&gt;"",DB_Customers!I225,""),"")</f>
        <v/>
      </c>
      <c r="J231" s="69" t="str">
        <f>IFERROR(IF(DB_Customers!J225&lt;&gt;"",DB_Customers!J225,""),"")</f>
        <v/>
      </c>
      <c r="K231" s="68" t="str">
        <f>IFERROR(IF(DB_Customers!E225&lt;&gt;"",DB_Customers!E225,""),"")</f>
        <v/>
      </c>
      <c r="L231" s="68" t="str">
        <f>IFERROR(IF(DB_Customers!F225&lt;&gt;"",DB_Customers!F225,""),"")</f>
        <v/>
      </c>
      <c r="M231" s="68" t="str">
        <f>IFERROR(IF(DB_Customers!T225&lt;&gt;"",DB_Customers!T225,""),"")</f>
        <v/>
      </c>
      <c r="N231" s="72" t="str">
        <f>IFERROR(IF(DB_Customers!A225&lt;&gt;"",IF(DB_Customers!I225&gt;=10,"Active","Inactive"),""),"")</f>
        <v/>
      </c>
    </row>
    <row r="232" spans="1:14" ht="18" customHeight="1" x14ac:dyDescent="0.25">
      <c r="A232" s="59" t="str">
        <f>IF(DB_Customers!A226&lt;&gt;"",223,"")</f>
        <v/>
      </c>
      <c r="B232" s="60" t="str">
        <f>IFERROR(IF(DB_Customers!A226&lt;&gt;"",DB_Customers!A226,""),"")</f>
        <v/>
      </c>
      <c r="C232" s="61" t="str">
        <f>IFERROR(IF(DB_Customers!D226&lt;&gt;"",DB_Customers!D226,""),"")</f>
        <v/>
      </c>
      <c r="D232" s="62" t="str">
        <f>IFERROR(IF(DB_Customers!Q226&lt;&gt;"",DB_Customers!Q226,""),"")</f>
        <v/>
      </c>
      <c r="E232" s="61" t="str">
        <f>IFERROR(IF(DB_Customers!R226&lt;&gt;"",DB_Customers!R226,""),"")</f>
        <v/>
      </c>
      <c r="F232" s="61" t="str">
        <f>IFERROR(IF(DB_Customers!S226&lt;&gt;"",DB_Customers!S226,""),"")</f>
        <v/>
      </c>
      <c r="G232" s="61" t="str">
        <f>IFERROR(IF(DB_Customers!G226&lt;&gt;"",DB_Customers!G226,""),"")</f>
        <v/>
      </c>
      <c r="H232" s="63" t="str">
        <f>IFERROR(IF(DB_Customers!H226&lt;&gt;"",DB_Customers!H226,""),"")</f>
        <v/>
      </c>
      <c r="I232" s="64" t="str">
        <f>IFERROR(IF(DB_Customers!I226&lt;&gt;"",DB_Customers!I226,""),"")</f>
        <v/>
      </c>
      <c r="J232" s="62" t="str">
        <f>IFERROR(IF(DB_Customers!J226&lt;&gt;"",DB_Customers!J226,""),"")</f>
        <v/>
      </c>
      <c r="K232" s="61" t="str">
        <f>IFERROR(IF(DB_Customers!E226&lt;&gt;"",DB_Customers!E226,""),"")</f>
        <v/>
      </c>
      <c r="L232" s="61" t="str">
        <f>IFERROR(IF(DB_Customers!F226&lt;&gt;"",DB_Customers!F226,""),"")</f>
        <v/>
      </c>
      <c r="M232" s="61" t="str">
        <f>IFERROR(IF(DB_Customers!T226&lt;&gt;"",DB_Customers!T226,""),"")</f>
        <v/>
      </c>
      <c r="N232" s="65" t="str">
        <f>IFERROR(IF(DB_Customers!A226&lt;&gt;"",IF(DB_Customers!I226&gt;=10,"Active","Inactive"),""),"")</f>
        <v/>
      </c>
    </row>
    <row r="233" spans="1:14" ht="18" customHeight="1" x14ac:dyDescent="0.25">
      <c r="A233" s="66" t="str">
        <f>IF(DB_Customers!A227&lt;&gt;"",224,"")</f>
        <v/>
      </c>
      <c r="B233" s="67" t="str">
        <f>IFERROR(IF(DB_Customers!A227&lt;&gt;"",DB_Customers!A227,""),"")</f>
        <v/>
      </c>
      <c r="C233" s="68" t="str">
        <f>IFERROR(IF(DB_Customers!D227&lt;&gt;"",DB_Customers!D227,""),"")</f>
        <v/>
      </c>
      <c r="D233" s="69" t="str">
        <f>IFERROR(IF(DB_Customers!Q227&lt;&gt;"",DB_Customers!Q227,""),"")</f>
        <v/>
      </c>
      <c r="E233" s="68" t="str">
        <f>IFERROR(IF(DB_Customers!R227&lt;&gt;"",DB_Customers!R227,""),"")</f>
        <v/>
      </c>
      <c r="F233" s="68" t="str">
        <f>IFERROR(IF(DB_Customers!S227&lt;&gt;"",DB_Customers!S227,""),"")</f>
        <v/>
      </c>
      <c r="G233" s="68" t="str">
        <f>IFERROR(IF(DB_Customers!G227&lt;&gt;"",DB_Customers!G227,""),"")</f>
        <v/>
      </c>
      <c r="H233" s="70" t="str">
        <f>IFERROR(IF(DB_Customers!H227&lt;&gt;"",DB_Customers!H227,""),"")</f>
        <v/>
      </c>
      <c r="I233" s="71" t="str">
        <f>IFERROR(IF(DB_Customers!I227&lt;&gt;"",DB_Customers!I227,""),"")</f>
        <v/>
      </c>
      <c r="J233" s="69" t="str">
        <f>IFERROR(IF(DB_Customers!J227&lt;&gt;"",DB_Customers!J227,""),"")</f>
        <v/>
      </c>
      <c r="K233" s="68" t="str">
        <f>IFERROR(IF(DB_Customers!E227&lt;&gt;"",DB_Customers!E227,""),"")</f>
        <v/>
      </c>
      <c r="L233" s="68" t="str">
        <f>IFERROR(IF(DB_Customers!F227&lt;&gt;"",DB_Customers!F227,""),"")</f>
        <v/>
      </c>
      <c r="M233" s="68" t="str">
        <f>IFERROR(IF(DB_Customers!T227&lt;&gt;"",DB_Customers!T227,""),"")</f>
        <v/>
      </c>
      <c r="N233" s="72" t="str">
        <f>IFERROR(IF(DB_Customers!A227&lt;&gt;"",IF(DB_Customers!I227&gt;=10,"Active","Inactive"),""),"")</f>
        <v/>
      </c>
    </row>
    <row r="234" spans="1:14" ht="18" customHeight="1" x14ac:dyDescent="0.25">
      <c r="A234" s="59" t="str">
        <f>IF(DB_Customers!A228&lt;&gt;"",225,"")</f>
        <v/>
      </c>
      <c r="B234" s="60" t="str">
        <f>IFERROR(IF(DB_Customers!A228&lt;&gt;"",DB_Customers!A228,""),"")</f>
        <v/>
      </c>
      <c r="C234" s="61" t="str">
        <f>IFERROR(IF(DB_Customers!D228&lt;&gt;"",DB_Customers!D228,""),"")</f>
        <v/>
      </c>
      <c r="D234" s="62" t="str">
        <f>IFERROR(IF(DB_Customers!Q228&lt;&gt;"",DB_Customers!Q228,""),"")</f>
        <v/>
      </c>
      <c r="E234" s="61" t="str">
        <f>IFERROR(IF(DB_Customers!R228&lt;&gt;"",DB_Customers!R228,""),"")</f>
        <v/>
      </c>
      <c r="F234" s="61" t="str">
        <f>IFERROR(IF(DB_Customers!S228&lt;&gt;"",DB_Customers!S228,""),"")</f>
        <v/>
      </c>
      <c r="G234" s="61" t="str">
        <f>IFERROR(IF(DB_Customers!G228&lt;&gt;"",DB_Customers!G228,""),"")</f>
        <v/>
      </c>
      <c r="H234" s="63" t="str">
        <f>IFERROR(IF(DB_Customers!H228&lt;&gt;"",DB_Customers!H228,""),"")</f>
        <v/>
      </c>
      <c r="I234" s="64" t="str">
        <f>IFERROR(IF(DB_Customers!I228&lt;&gt;"",DB_Customers!I228,""),"")</f>
        <v/>
      </c>
      <c r="J234" s="62" t="str">
        <f>IFERROR(IF(DB_Customers!J228&lt;&gt;"",DB_Customers!J228,""),"")</f>
        <v/>
      </c>
      <c r="K234" s="61" t="str">
        <f>IFERROR(IF(DB_Customers!E228&lt;&gt;"",DB_Customers!E228,""),"")</f>
        <v/>
      </c>
      <c r="L234" s="61" t="str">
        <f>IFERROR(IF(DB_Customers!F228&lt;&gt;"",DB_Customers!F228,""),"")</f>
        <v/>
      </c>
      <c r="M234" s="61" t="str">
        <f>IFERROR(IF(DB_Customers!T228&lt;&gt;"",DB_Customers!T228,""),"")</f>
        <v/>
      </c>
      <c r="N234" s="65" t="str">
        <f>IFERROR(IF(DB_Customers!A228&lt;&gt;"",IF(DB_Customers!I228&gt;=10,"Active","Inactive"),""),"")</f>
        <v/>
      </c>
    </row>
    <row r="235" spans="1:14" ht="18" customHeight="1" x14ac:dyDescent="0.25">
      <c r="A235" s="66" t="str">
        <f>IF(DB_Customers!A229&lt;&gt;"",226,"")</f>
        <v/>
      </c>
      <c r="B235" s="67" t="str">
        <f>IFERROR(IF(DB_Customers!A229&lt;&gt;"",DB_Customers!A229,""),"")</f>
        <v/>
      </c>
      <c r="C235" s="68" t="str">
        <f>IFERROR(IF(DB_Customers!D229&lt;&gt;"",DB_Customers!D229,""),"")</f>
        <v/>
      </c>
      <c r="D235" s="69" t="str">
        <f>IFERROR(IF(DB_Customers!Q229&lt;&gt;"",DB_Customers!Q229,""),"")</f>
        <v/>
      </c>
      <c r="E235" s="68" t="str">
        <f>IFERROR(IF(DB_Customers!R229&lt;&gt;"",DB_Customers!R229,""),"")</f>
        <v/>
      </c>
      <c r="F235" s="68" t="str">
        <f>IFERROR(IF(DB_Customers!S229&lt;&gt;"",DB_Customers!S229,""),"")</f>
        <v/>
      </c>
      <c r="G235" s="68" t="str">
        <f>IFERROR(IF(DB_Customers!G229&lt;&gt;"",DB_Customers!G229,""),"")</f>
        <v/>
      </c>
      <c r="H235" s="70" t="str">
        <f>IFERROR(IF(DB_Customers!H229&lt;&gt;"",DB_Customers!H229,""),"")</f>
        <v/>
      </c>
      <c r="I235" s="71" t="str">
        <f>IFERROR(IF(DB_Customers!I229&lt;&gt;"",DB_Customers!I229,""),"")</f>
        <v/>
      </c>
      <c r="J235" s="69" t="str">
        <f>IFERROR(IF(DB_Customers!J229&lt;&gt;"",DB_Customers!J229,""),"")</f>
        <v/>
      </c>
      <c r="K235" s="68" t="str">
        <f>IFERROR(IF(DB_Customers!E229&lt;&gt;"",DB_Customers!E229,""),"")</f>
        <v/>
      </c>
      <c r="L235" s="68" t="str">
        <f>IFERROR(IF(DB_Customers!F229&lt;&gt;"",DB_Customers!F229,""),"")</f>
        <v/>
      </c>
      <c r="M235" s="68" t="str">
        <f>IFERROR(IF(DB_Customers!T229&lt;&gt;"",DB_Customers!T229,""),"")</f>
        <v/>
      </c>
      <c r="N235" s="72" t="str">
        <f>IFERROR(IF(DB_Customers!A229&lt;&gt;"",IF(DB_Customers!I229&gt;=10,"Active","Inactive"),""),"")</f>
        <v/>
      </c>
    </row>
    <row r="236" spans="1:14" ht="18" customHeight="1" x14ac:dyDescent="0.25">
      <c r="A236" s="59" t="str">
        <f>IF(DB_Customers!A230&lt;&gt;"",227,"")</f>
        <v/>
      </c>
      <c r="B236" s="60" t="str">
        <f>IFERROR(IF(DB_Customers!A230&lt;&gt;"",DB_Customers!A230,""),"")</f>
        <v/>
      </c>
      <c r="C236" s="61" t="str">
        <f>IFERROR(IF(DB_Customers!D230&lt;&gt;"",DB_Customers!D230,""),"")</f>
        <v/>
      </c>
      <c r="D236" s="62" t="str">
        <f>IFERROR(IF(DB_Customers!Q230&lt;&gt;"",DB_Customers!Q230,""),"")</f>
        <v/>
      </c>
      <c r="E236" s="61" t="str">
        <f>IFERROR(IF(DB_Customers!R230&lt;&gt;"",DB_Customers!R230,""),"")</f>
        <v/>
      </c>
      <c r="F236" s="61" t="str">
        <f>IFERROR(IF(DB_Customers!S230&lt;&gt;"",DB_Customers!S230,""),"")</f>
        <v/>
      </c>
      <c r="G236" s="61" t="str">
        <f>IFERROR(IF(DB_Customers!G230&lt;&gt;"",DB_Customers!G230,""),"")</f>
        <v/>
      </c>
      <c r="H236" s="63" t="str">
        <f>IFERROR(IF(DB_Customers!H230&lt;&gt;"",DB_Customers!H230,""),"")</f>
        <v/>
      </c>
      <c r="I236" s="64" t="str">
        <f>IFERROR(IF(DB_Customers!I230&lt;&gt;"",DB_Customers!I230,""),"")</f>
        <v/>
      </c>
      <c r="J236" s="62" t="str">
        <f>IFERROR(IF(DB_Customers!J230&lt;&gt;"",DB_Customers!J230,""),"")</f>
        <v/>
      </c>
      <c r="K236" s="61" t="str">
        <f>IFERROR(IF(DB_Customers!E230&lt;&gt;"",DB_Customers!E230,""),"")</f>
        <v/>
      </c>
      <c r="L236" s="61" t="str">
        <f>IFERROR(IF(DB_Customers!F230&lt;&gt;"",DB_Customers!F230,""),"")</f>
        <v/>
      </c>
      <c r="M236" s="61" t="str">
        <f>IFERROR(IF(DB_Customers!T230&lt;&gt;"",DB_Customers!T230,""),"")</f>
        <v/>
      </c>
      <c r="N236" s="65" t="str">
        <f>IFERROR(IF(DB_Customers!A230&lt;&gt;"",IF(DB_Customers!I230&gt;=10,"Active","Inactive"),""),"")</f>
        <v/>
      </c>
    </row>
    <row r="237" spans="1:14" ht="18" customHeight="1" x14ac:dyDescent="0.25">
      <c r="A237" s="66" t="str">
        <f>IF(DB_Customers!A231&lt;&gt;"",228,"")</f>
        <v/>
      </c>
      <c r="B237" s="67" t="str">
        <f>IFERROR(IF(DB_Customers!A231&lt;&gt;"",DB_Customers!A231,""),"")</f>
        <v/>
      </c>
      <c r="C237" s="68" t="str">
        <f>IFERROR(IF(DB_Customers!D231&lt;&gt;"",DB_Customers!D231,""),"")</f>
        <v/>
      </c>
      <c r="D237" s="69" t="str">
        <f>IFERROR(IF(DB_Customers!Q231&lt;&gt;"",DB_Customers!Q231,""),"")</f>
        <v/>
      </c>
      <c r="E237" s="68" t="str">
        <f>IFERROR(IF(DB_Customers!R231&lt;&gt;"",DB_Customers!R231,""),"")</f>
        <v/>
      </c>
      <c r="F237" s="68" t="str">
        <f>IFERROR(IF(DB_Customers!S231&lt;&gt;"",DB_Customers!S231,""),"")</f>
        <v/>
      </c>
      <c r="G237" s="68" t="str">
        <f>IFERROR(IF(DB_Customers!G231&lt;&gt;"",DB_Customers!G231,""),"")</f>
        <v/>
      </c>
      <c r="H237" s="70" t="str">
        <f>IFERROR(IF(DB_Customers!H231&lt;&gt;"",DB_Customers!H231,""),"")</f>
        <v/>
      </c>
      <c r="I237" s="71" t="str">
        <f>IFERROR(IF(DB_Customers!I231&lt;&gt;"",DB_Customers!I231,""),"")</f>
        <v/>
      </c>
      <c r="J237" s="69" t="str">
        <f>IFERROR(IF(DB_Customers!J231&lt;&gt;"",DB_Customers!J231,""),"")</f>
        <v/>
      </c>
      <c r="K237" s="68" t="str">
        <f>IFERROR(IF(DB_Customers!E231&lt;&gt;"",DB_Customers!E231,""),"")</f>
        <v/>
      </c>
      <c r="L237" s="68" t="str">
        <f>IFERROR(IF(DB_Customers!F231&lt;&gt;"",DB_Customers!F231,""),"")</f>
        <v/>
      </c>
      <c r="M237" s="68" t="str">
        <f>IFERROR(IF(DB_Customers!T231&lt;&gt;"",DB_Customers!T231,""),"")</f>
        <v/>
      </c>
      <c r="N237" s="72" t="str">
        <f>IFERROR(IF(DB_Customers!A231&lt;&gt;"",IF(DB_Customers!I231&gt;=10,"Active","Inactive"),""),"")</f>
        <v/>
      </c>
    </row>
    <row r="238" spans="1:14" ht="18" customHeight="1" x14ac:dyDescent="0.25">
      <c r="A238" s="59" t="str">
        <f>IF(DB_Customers!A232&lt;&gt;"",229,"")</f>
        <v/>
      </c>
      <c r="B238" s="60" t="str">
        <f>IFERROR(IF(DB_Customers!A232&lt;&gt;"",DB_Customers!A232,""),"")</f>
        <v/>
      </c>
      <c r="C238" s="61" t="str">
        <f>IFERROR(IF(DB_Customers!D232&lt;&gt;"",DB_Customers!D232,""),"")</f>
        <v/>
      </c>
      <c r="D238" s="62" t="str">
        <f>IFERROR(IF(DB_Customers!Q232&lt;&gt;"",DB_Customers!Q232,""),"")</f>
        <v/>
      </c>
      <c r="E238" s="61" t="str">
        <f>IFERROR(IF(DB_Customers!R232&lt;&gt;"",DB_Customers!R232,""),"")</f>
        <v/>
      </c>
      <c r="F238" s="61" t="str">
        <f>IFERROR(IF(DB_Customers!S232&lt;&gt;"",DB_Customers!S232,""),"")</f>
        <v/>
      </c>
      <c r="G238" s="61" t="str">
        <f>IFERROR(IF(DB_Customers!G232&lt;&gt;"",DB_Customers!G232,""),"")</f>
        <v/>
      </c>
      <c r="H238" s="63" t="str">
        <f>IFERROR(IF(DB_Customers!H232&lt;&gt;"",DB_Customers!H232,""),"")</f>
        <v/>
      </c>
      <c r="I238" s="64" t="str">
        <f>IFERROR(IF(DB_Customers!I232&lt;&gt;"",DB_Customers!I232,""),"")</f>
        <v/>
      </c>
      <c r="J238" s="62" t="str">
        <f>IFERROR(IF(DB_Customers!J232&lt;&gt;"",DB_Customers!J232,""),"")</f>
        <v/>
      </c>
      <c r="K238" s="61" t="str">
        <f>IFERROR(IF(DB_Customers!E232&lt;&gt;"",DB_Customers!E232,""),"")</f>
        <v/>
      </c>
      <c r="L238" s="61" t="str">
        <f>IFERROR(IF(DB_Customers!F232&lt;&gt;"",DB_Customers!F232,""),"")</f>
        <v/>
      </c>
      <c r="M238" s="61" t="str">
        <f>IFERROR(IF(DB_Customers!T232&lt;&gt;"",DB_Customers!T232,""),"")</f>
        <v/>
      </c>
      <c r="N238" s="65" t="str">
        <f>IFERROR(IF(DB_Customers!A232&lt;&gt;"",IF(DB_Customers!I232&gt;=10,"Active","Inactive"),""),"")</f>
        <v/>
      </c>
    </row>
    <row r="239" spans="1:14" ht="18" customHeight="1" x14ac:dyDescent="0.25">
      <c r="A239" s="66" t="str">
        <f>IF(DB_Customers!A233&lt;&gt;"",230,"")</f>
        <v/>
      </c>
      <c r="B239" s="67" t="str">
        <f>IFERROR(IF(DB_Customers!A233&lt;&gt;"",DB_Customers!A233,""),"")</f>
        <v/>
      </c>
      <c r="C239" s="68" t="str">
        <f>IFERROR(IF(DB_Customers!D233&lt;&gt;"",DB_Customers!D233,""),"")</f>
        <v/>
      </c>
      <c r="D239" s="69" t="str">
        <f>IFERROR(IF(DB_Customers!Q233&lt;&gt;"",DB_Customers!Q233,""),"")</f>
        <v/>
      </c>
      <c r="E239" s="68" t="str">
        <f>IFERROR(IF(DB_Customers!R233&lt;&gt;"",DB_Customers!R233,""),"")</f>
        <v/>
      </c>
      <c r="F239" s="68" t="str">
        <f>IFERROR(IF(DB_Customers!S233&lt;&gt;"",DB_Customers!S233,""),"")</f>
        <v/>
      </c>
      <c r="G239" s="68" t="str">
        <f>IFERROR(IF(DB_Customers!G233&lt;&gt;"",DB_Customers!G233,""),"")</f>
        <v/>
      </c>
      <c r="H239" s="70" t="str">
        <f>IFERROR(IF(DB_Customers!H233&lt;&gt;"",DB_Customers!H233,""),"")</f>
        <v/>
      </c>
      <c r="I239" s="71" t="str">
        <f>IFERROR(IF(DB_Customers!I233&lt;&gt;"",DB_Customers!I233,""),"")</f>
        <v/>
      </c>
      <c r="J239" s="69" t="str">
        <f>IFERROR(IF(DB_Customers!J233&lt;&gt;"",DB_Customers!J233,""),"")</f>
        <v/>
      </c>
      <c r="K239" s="68" t="str">
        <f>IFERROR(IF(DB_Customers!E233&lt;&gt;"",DB_Customers!E233,""),"")</f>
        <v/>
      </c>
      <c r="L239" s="68" t="str">
        <f>IFERROR(IF(DB_Customers!F233&lt;&gt;"",DB_Customers!F233,""),"")</f>
        <v/>
      </c>
      <c r="M239" s="68" t="str">
        <f>IFERROR(IF(DB_Customers!T233&lt;&gt;"",DB_Customers!T233,""),"")</f>
        <v/>
      </c>
      <c r="N239" s="72" t="str">
        <f>IFERROR(IF(DB_Customers!A233&lt;&gt;"",IF(DB_Customers!I233&gt;=10,"Active","Inactive"),""),"")</f>
        <v/>
      </c>
    </row>
    <row r="240" spans="1:14" ht="18" customHeight="1" x14ac:dyDescent="0.25">
      <c r="A240" s="59" t="str">
        <f>IF(DB_Customers!A234&lt;&gt;"",231,"")</f>
        <v/>
      </c>
      <c r="B240" s="60" t="str">
        <f>IFERROR(IF(DB_Customers!A234&lt;&gt;"",DB_Customers!A234,""),"")</f>
        <v/>
      </c>
      <c r="C240" s="61" t="str">
        <f>IFERROR(IF(DB_Customers!D234&lt;&gt;"",DB_Customers!D234,""),"")</f>
        <v/>
      </c>
      <c r="D240" s="62" t="str">
        <f>IFERROR(IF(DB_Customers!Q234&lt;&gt;"",DB_Customers!Q234,""),"")</f>
        <v/>
      </c>
      <c r="E240" s="61" t="str">
        <f>IFERROR(IF(DB_Customers!R234&lt;&gt;"",DB_Customers!R234,""),"")</f>
        <v/>
      </c>
      <c r="F240" s="61" t="str">
        <f>IFERROR(IF(DB_Customers!S234&lt;&gt;"",DB_Customers!S234,""),"")</f>
        <v/>
      </c>
      <c r="G240" s="61" t="str">
        <f>IFERROR(IF(DB_Customers!G234&lt;&gt;"",DB_Customers!G234,""),"")</f>
        <v/>
      </c>
      <c r="H240" s="63" t="str">
        <f>IFERROR(IF(DB_Customers!H234&lt;&gt;"",DB_Customers!H234,""),"")</f>
        <v/>
      </c>
      <c r="I240" s="64" t="str">
        <f>IFERROR(IF(DB_Customers!I234&lt;&gt;"",DB_Customers!I234,""),"")</f>
        <v/>
      </c>
      <c r="J240" s="62" t="str">
        <f>IFERROR(IF(DB_Customers!J234&lt;&gt;"",DB_Customers!J234,""),"")</f>
        <v/>
      </c>
      <c r="K240" s="61" t="str">
        <f>IFERROR(IF(DB_Customers!E234&lt;&gt;"",DB_Customers!E234,""),"")</f>
        <v/>
      </c>
      <c r="L240" s="61" t="str">
        <f>IFERROR(IF(DB_Customers!F234&lt;&gt;"",DB_Customers!F234,""),"")</f>
        <v/>
      </c>
      <c r="M240" s="61" t="str">
        <f>IFERROR(IF(DB_Customers!T234&lt;&gt;"",DB_Customers!T234,""),"")</f>
        <v/>
      </c>
      <c r="N240" s="65" t="str">
        <f>IFERROR(IF(DB_Customers!A234&lt;&gt;"",IF(DB_Customers!I234&gt;=10,"Active","Inactive"),""),"")</f>
        <v/>
      </c>
    </row>
    <row r="241" spans="1:14" ht="18" customHeight="1" x14ac:dyDescent="0.25">
      <c r="A241" s="66" t="str">
        <f>IF(DB_Customers!A235&lt;&gt;"",232,"")</f>
        <v/>
      </c>
      <c r="B241" s="67" t="str">
        <f>IFERROR(IF(DB_Customers!A235&lt;&gt;"",DB_Customers!A235,""),"")</f>
        <v/>
      </c>
      <c r="C241" s="68" t="str">
        <f>IFERROR(IF(DB_Customers!D235&lt;&gt;"",DB_Customers!D235,""),"")</f>
        <v/>
      </c>
      <c r="D241" s="69" t="str">
        <f>IFERROR(IF(DB_Customers!Q235&lt;&gt;"",DB_Customers!Q235,""),"")</f>
        <v/>
      </c>
      <c r="E241" s="68" t="str">
        <f>IFERROR(IF(DB_Customers!R235&lt;&gt;"",DB_Customers!R235,""),"")</f>
        <v/>
      </c>
      <c r="F241" s="68" t="str">
        <f>IFERROR(IF(DB_Customers!S235&lt;&gt;"",DB_Customers!S235,""),"")</f>
        <v/>
      </c>
      <c r="G241" s="68" t="str">
        <f>IFERROR(IF(DB_Customers!G235&lt;&gt;"",DB_Customers!G235,""),"")</f>
        <v/>
      </c>
      <c r="H241" s="70" t="str">
        <f>IFERROR(IF(DB_Customers!H235&lt;&gt;"",DB_Customers!H235,""),"")</f>
        <v/>
      </c>
      <c r="I241" s="71" t="str">
        <f>IFERROR(IF(DB_Customers!I235&lt;&gt;"",DB_Customers!I235,""),"")</f>
        <v/>
      </c>
      <c r="J241" s="69" t="str">
        <f>IFERROR(IF(DB_Customers!J235&lt;&gt;"",DB_Customers!J235,""),"")</f>
        <v/>
      </c>
      <c r="K241" s="68" t="str">
        <f>IFERROR(IF(DB_Customers!E235&lt;&gt;"",DB_Customers!E235,""),"")</f>
        <v/>
      </c>
      <c r="L241" s="68" t="str">
        <f>IFERROR(IF(DB_Customers!F235&lt;&gt;"",DB_Customers!F235,""),"")</f>
        <v/>
      </c>
      <c r="M241" s="68" t="str">
        <f>IFERROR(IF(DB_Customers!T235&lt;&gt;"",DB_Customers!T235,""),"")</f>
        <v/>
      </c>
      <c r="N241" s="72" t="str">
        <f>IFERROR(IF(DB_Customers!A235&lt;&gt;"",IF(DB_Customers!I235&gt;=10,"Active","Inactive"),""),"")</f>
        <v/>
      </c>
    </row>
    <row r="242" spans="1:14" ht="18" customHeight="1" x14ac:dyDescent="0.25">
      <c r="A242" s="59" t="str">
        <f>IF(DB_Customers!A236&lt;&gt;"",233,"")</f>
        <v/>
      </c>
      <c r="B242" s="60" t="str">
        <f>IFERROR(IF(DB_Customers!A236&lt;&gt;"",DB_Customers!A236,""),"")</f>
        <v/>
      </c>
      <c r="C242" s="61" t="str">
        <f>IFERROR(IF(DB_Customers!D236&lt;&gt;"",DB_Customers!D236,""),"")</f>
        <v/>
      </c>
      <c r="D242" s="62" t="str">
        <f>IFERROR(IF(DB_Customers!Q236&lt;&gt;"",DB_Customers!Q236,""),"")</f>
        <v/>
      </c>
      <c r="E242" s="61" t="str">
        <f>IFERROR(IF(DB_Customers!R236&lt;&gt;"",DB_Customers!R236,""),"")</f>
        <v/>
      </c>
      <c r="F242" s="61" t="str">
        <f>IFERROR(IF(DB_Customers!S236&lt;&gt;"",DB_Customers!S236,""),"")</f>
        <v/>
      </c>
      <c r="G242" s="61" t="str">
        <f>IFERROR(IF(DB_Customers!G236&lt;&gt;"",DB_Customers!G236,""),"")</f>
        <v/>
      </c>
      <c r="H242" s="63" t="str">
        <f>IFERROR(IF(DB_Customers!H236&lt;&gt;"",DB_Customers!H236,""),"")</f>
        <v/>
      </c>
      <c r="I242" s="64" t="str">
        <f>IFERROR(IF(DB_Customers!I236&lt;&gt;"",DB_Customers!I236,""),"")</f>
        <v/>
      </c>
      <c r="J242" s="62" t="str">
        <f>IFERROR(IF(DB_Customers!J236&lt;&gt;"",DB_Customers!J236,""),"")</f>
        <v/>
      </c>
      <c r="K242" s="61" t="str">
        <f>IFERROR(IF(DB_Customers!E236&lt;&gt;"",DB_Customers!E236,""),"")</f>
        <v/>
      </c>
      <c r="L242" s="61" t="str">
        <f>IFERROR(IF(DB_Customers!F236&lt;&gt;"",DB_Customers!F236,""),"")</f>
        <v/>
      </c>
      <c r="M242" s="61" t="str">
        <f>IFERROR(IF(DB_Customers!T236&lt;&gt;"",DB_Customers!T236,""),"")</f>
        <v/>
      </c>
      <c r="N242" s="65" t="str">
        <f>IFERROR(IF(DB_Customers!A236&lt;&gt;"",IF(DB_Customers!I236&gt;=10,"Active","Inactive"),""),"")</f>
        <v/>
      </c>
    </row>
    <row r="243" spans="1:14" ht="18" customHeight="1" x14ac:dyDescent="0.25">
      <c r="A243" s="66" t="str">
        <f>IF(DB_Customers!A237&lt;&gt;"",234,"")</f>
        <v/>
      </c>
      <c r="B243" s="67" t="str">
        <f>IFERROR(IF(DB_Customers!A237&lt;&gt;"",DB_Customers!A237,""),"")</f>
        <v/>
      </c>
      <c r="C243" s="68" t="str">
        <f>IFERROR(IF(DB_Customers!D237&lt;&gt;"",DB_Customers!D237,""),"")</f>
        <v/>
      </c>
      <c r="D243" s="69" t="str">
        <f>IFERROR(IF(DB_Customers!Q237&lt;&gt;"",DB_Customers!Q237,""),"")</f>
        <v/>
      </c>
      <c r="E243" s="68" t="str">
        <f>IFERROR(IF(DB_Customers!R237&lt;&gt;"",DB_Customers!R237,""),"")</f>
        <v/>
      </c>
      <c r="F243" s="68" t="str">
        <f>IFERROR(IF(DB_Customers!S237&lt;&gt;"",DB_Customers!S237,""),"")</f>
        <v/>
      </c>
      <c r="G243" s="68" t="str">
        <f>IFERROR(IF(DB_Customers!G237&lt;&gt;"",DB_Customers!G237,""),"")</f>
        <v/>
      </c>
      <c r="H243" s="70" t="str">
        <f>IFERROR(IF(DB_Customers!H237&lt;&gt;"",DB_Customers!H237,""),"")</f>
        <v/>
      </c>
      <c r="I243" s="71" t="str">
        <f>IFERROR(IF(DB_Customers!I237&lt;&gt;"",DB_Customers!I237,""),"")</f>
        <v/>
      </c>
      <c r="J243" s="69" t="str">
        <f>IFERROR(IF(DB_Customers!J237&lt;&gt;"",DB_Customers!J237,""),"")</f>
        <v/>
      </c>
      <c r="K243" s="68" t="str">
        <f>IFERROR(IF(DB_Customers!E237&lt;&gt;"",DB_Customers!E237,""),"")</f>
        <v/>
      </c>
      <c r="L243" s="68" t="str">
        <f>IFERROR(IF(DB_Customers!F237&lt;&gt;"",DB_Customers!F237,""),"")</f>
        <v/>
      </c>
      <c r="M243" s="68" t="str">
        <f>IFERROR(IF(DB_Customers!T237&lt;&gt;"",DB_Customers!T237,""),"")</f>
        <v/>
      </c>
      <c r="N243" s="72" t="str">
        <f>IFERROR(IF(DB_Customers!A237&lt;&gt;"",IF(DB_Customers!I237&gt;=10,"Active","Inactive"),""),"")</f>
        <v/>
      </c>
    </row>
    <row r="244" spans="1:14" ht="18" customHeight="1" x14ac:dyDescent="0.25">
      <c r="A244" s="59" t="str">
        <f>IF(DB_Customers!A238&lt;&gt;"",235,"")</f>
        <v/>
      </c>
      <c r="B244" s="60" t="str">
        <f>IFERROR(IF(DB_Customers!A238&lt;&gt;"",DB_Customers!A238,""),"")</f>
        <v/>
      </c>
      <c r="C244" s="61" t="str">
        <f>IFERROR(IF(DB_Customers!D238&lt;&gt;"",DB_Customers!D238,""),"")</f>
        <v/>
      </c>
      <c r="D244" s="62" t="str">
        <f>IFERROR(IF(DB_Customers!Q238&lt;&gt;"",DB_Customers!Q238,""),"")</f>
        <v/>
      </c>
      <c r="E244" s="61" t="str">
        <f>IFERROR(IF(DB_Customers!R238&lt;&gt;"",DB_Customers!R238,""),"")</f>
        <v/>
      </c>
      <c r="F244" s="61" t="str">
        <f>IFERROR(IF(DB_Customers!S238&lt;&gt;"",DB_Customers!S238,""),"")</f>
        <v/>
      </c>
      <c r="G244" s="61" t="str">
        <f>IFERROR(IF(DB_Customers!G238&lt;&gt;"",DB_Customers!G238,""),"")</f>
        <v/>
      </c>
      <c r="H244" s="63" t="str">
        <f>IFERROR(IF(DB_Customers!H238&lt;&gt;"",DB_Customers!H238,""),"")</f>
        <v/>
      </c>
      <c r="I244" s="64" t="str">
        <f>IFERROR(IF(DB_Customers!I238&lt;&gt;"",DB_Customers!I238,""),"")</f>
        <v/>
      </c>
      <c r="J244" s="62" t="str">
        <f>IFERROR(IF(DB_Customers!J238&lt;&gt;"",DB_Customers!J238,""),"")</f>
        <v/>
      </c>
      <c r="K244" s="61" t="str">
        <f>IFERROR(IF(DB_Customers!E238&lt;&gt;"",DB_Customers!E238,""),"")</f>
        <v/>
      </c>
      <c r="L244" s="61" t="str">
        <f>IFERROR(IF(DB_Customers!F238&lt;&gt;"",DB_Customers!F238,""),"")</f>
        <v/>
      </c>
      <c r="M244" s="61" t="str">
        <f>IFERROR(IF(DB_Customers!T238&lt;&gt;"",DB_Customers!T238,""),"")</f>
        <v/>
      </c>
      <c r="N244" s="65" t="str">
        <f>IFERROR(IF(DB_Customers!A238&lt;&gt;"",IF(DB_Customers!I238&gt;=10,"Active","Inactive"),""),"")</f>
        <v/>
      </c>
    </row>
    <row r="245" spans="1:14" ht="18" customHeight="1" x14ac:dyDescent="0.25">
      <c r="A245" s="66" t="str">
        <f>IF(DB_Customers!A239&lt;&gt;"",236,"")</f>
        <v/>
      </c>
      <c r="B245" s="67" t="str">
        <f>IFERROR(IF(DB_Customers!A239&lt;&gt;"",DB_Customers!A239,""),"")</f>
        <v/>
      </c>
      <c r="C245" s="68" t="str">
        <f>IFERROR(IF(DB_Customers!D239&lt;&gt;"",DB_Customers!D239,""),"")</f>
        <v/>
      </c>
      <c r="D245" s="69" t="str">
        <f>IFERROR(IF(DB_Customers!Q239&lt;&gt;"",DB_Customers!Q239,""),"")</f>
        <v/>
      </c>
      <c r="E245" s="68" t="str">
        <f>IFERROR(IF(DB_Customers!R239&lt;&gt;"",DB_Customers!R239,""),"")</f>
        <v/>
      </c>
      <c r="F245" s="68" t="str">
        <f>IFERROR(IF(DB_Customers!S239&lt;&gt;"",DB_Customers!S239,""),"")</f>
        <v/>
      </c>
      <c r="G245" s="68" t="str">
        <f>IFERROR(IF(DB_Customers!G239&lt;&gt;"",DB_Customers!G239,""),"")</f>
        <v/>
      </c>
      <c r="H245" s="70" t="str">
        <f>IFERROR(IF(DB_Customers!H239&lt;&gt;"",DB_Customers!H239,""),"")</f>
        <v/>
      </c>
      <c r="I245" s="71" t="str">
        <f>IFERROR(IF(DB_Customers!I239&lt;&gt;"",DB_Customers!I239,""),"")</f>
        <v/>
      </c>
      <c r="J245" s="69" t="str">
        <f>IFERROR(IF(DB_Customers!J239&lt;&gt;"",DB_Customers!J239,""),"")</f>
        <v/>
      </c>
      <c r="K245" s="68" t="str">
        <f>IFERROR(IF(DB_Customers!E239&lt;&gt;"",DB_Customers!E239,""),"")</f>
        <v/>
      </c>
      <c r="L245" s="68" t="str">
        <f>IFERROR(IF(DB_Customers!F239&lt;&gt;"",DB_Customers!F239,""),"")</f>
        <v/>
      </c>
      <c r="M245" s="68" t="str">
        <f>IFERROR(IF(DB_Customers!T239&lt;&gt;"",DB_Customers!T239,""),"")</f>
        <v/>
      </c>
      <c r="N245" s="72" t="str">
        <f>IFERROR(IF(DB_Customers!A239&lt;&gt;"",IF(DB_Customers!I239&gt;=10,"Active","Inactive"),""),"")</f>
        <v/>
      </c>
    </row>
    <row r="246" spans="1:14" ht="18" customHeight="1" x14ac:dyDescent="0.25">
      <c r="A246" s="59" t="str">
        <f>IF(DB_Customers!A240&lt;&gt;"",237,"")</f>
        <v/>
      </c>
      <c r="B246" s="60" t="str">
        <f>IFERROR(IF(DB_Customers!A240&lt;&gt;"",DB_Customers!A240,""),"")</f>
        <v/>
      </c>
      <c r="C246" s="61" t="str">
        <f>IFERROR(IF(DB_Customers!D240&lt;&gt;"",DB_Customers!D240,""),"")</f>
        <v/>
      </c>
      <c r="D246" s="62" t="str">
        <f>IFERROR(IF(DB_Customers!Q240&lt;&gt;"",DB_Customers!Q240,""),"")</f>
        <v/>
      </c>
      <c r="E246" s="61" t="str">
        <f>IFERROR(IF(DB_Customers!R240&lt;&gt;"",DB_Customers!R240,""),"")</f>
        <v/>
      </c>
      <c r="F246" s="61" t="str">
        <f>IFERROR(IF(DB_Customers!S240&lt;&gt;"",DB_Customers!S240,""),"")</f>
        <v/>
      </c>
      <c r="G246" s="61" t="str">
        <f>IFERROR(IF(DB_Customers!G240&lt;&gt;"",DB_Customers!G240,""),"")</f>
        <v/>
      </c>
      <c r="H246" s="63" t="str">
        <f>IFERROR(IF(DB_Customers!H240&lt;&gt;"",DB_Customers!H240,""),"")</f>
        <v/>
      </c>
      <c r="I246" s="64" t="str">
        <f>IFERROR(IF(DB_Customers!I240&lt;&gt;"",DB_Customers!I240,""),"")</f>
        <v/>
      </c>
      <c r="J246" s="62" t="str">
        <f>IFERROR(IF(DB_Customers!J240&lt;&gt;"",DB_Customers!J240,""),"")</f>
        <v/>
      </c>
      <c r="K246" s="61" t="str">
        <f>IFERROR(IF(DB_Customers!E240&lt;&gt;"",DB_Customers!E240,""),"")</f>
        <v/>
      </c>
      <c r="L246" s="61" t="str">
        <f>IFERROR(IF(DB_Customers!F240&lt;&gt;"",DB_Customers!F240,""),"")</f>
        <v/>
      </c>
      <c r="M246" s="61" t="str">
        <f>IFERROR(IF(DB_Customers!T240&lt;&gt;"",DB_Customers!T240,""),"")</f>
        <v/>
      </c>
      <c r="N246" s="65" t="str">
        <f>IFERROR(IF(DB_Customers!A240&lt;&gt;"",IF(DB_Customers!I240&gt;=10,"Active","Inactive"),""),"")</f>
        <v/>
      </c>
    </row>
    <row r="247" spans="1:14" ht="18" customHeight="1" x14ac:dyDescent="0.25">
      <c r="A247" s="66" t="str">
        <f>IF(DB_Customers!A241&lt;&gt;"",238,"")</f>
        <v/>
      </c>
      <c r="B247" s="67" t="str">
        <f>IFERROR(IF(DB_Customers!A241&lt;&gt;"",DB_Customers!A241,""),"")</f>
        <v/>
      </c>
      <c r="C247" s="68" t="str">
        <f>IFERROR(IF(DB_Customers!D241&lt;&gt;"",DB_Customers!D241,""),"")</f>
        <v/>
      </c>
      <c r="D247" s="69" t="str">
        <f>IFERROR(IF(DB_Customers!Q241&lt;&gt;"",DB_Customers!Q241,""),"")</f>
        <v/>
      </c>
      <c r="E247" s="68" t="str">
        <f>IFERROR(IF(DB_Customers!R241&lt;&gt;"",DB_Customers!R241,""),"")</f>
        <v/>
      </c>
      <c r="F247" s="68" t="str">
        <f>IFERROR(IF(DB_Customers!S241&lt;&gt;"",DB_Customers!S241,""),"")</f>
        <v/>
      </c>
      <c r="G247" s="68" t="str">
        <f>IFERROR(IF(DB_Customers!G241&lt;&gt;"",DB_Customers!G241,""),"")</f>
        <v/>
      </c>
      <c r="H247" s="70" t="str">
        <f>IFERROR(IF(DB_Customers!H241&lt;&gt;"",DB_Customers!H241,""),"")</f>
        <v/>
      </c>
      <c r="I247" s="71" t="str">
        <f>IFERROR(IF(DB_Customers!I241&lt;&gt;"",DB_Customers!I241,""),"")</f>
        <v/>
      </c>
      <c r="J247" s="69" t="str">
        <f>IFERROR(IF(DB_Customers!J241&lt;&gt;"",DB_Customers!J241,""),"")</f>
        <v/>
      </c>
      <c r="K247" s="68" t="str">
        <f>IFERROR(IF(DB_Customers!E241&lt;&gt;"",DB_Customers!E241,""),"")</f>
        <v/>
      </c>
      <c r="L247" s="68" t="str">
        <f>IFERROR(IF(DB_Customers!F241&lt;&gt;"",DB_Customers!F241,""),"")</f>
        <v/>
      </c>
      <c r="M247" s="68" t="str">
        <f>IFERROR(IF(DB_Customers!T241&lt;&gt;"",DB_Customers!T241,""),"")</f>
        <v/>
      </c>
      <c r="N247" s="72" t="str">
        <f>IFERROR(IF(DB_Customers!A241&lt;&gt;"",IF(DB_Customers!I241&gt;=10,"Active","Inactive"),""),"")</f>
        <v/>
      </c>
    </row>
    <row r="248" spans="1:14" ht="18" customHeight="1" x14ac:dyDescent="0.25">
      <c r="A248" s="59" t="str">
        <f>IF(DB_Customers!A242&lt;&gt;"",239,"")</f>
        <v/>
      </c>
      <c r="B248" s="60" t="str">
        <f>IFERROR(IF(DB_Customers!A242&lt;&gt;"",DB_Customers!A242,""),"")</f>
        <v/>
      </c>
      <c r="C248" s="61" t="str">
        <f>IFERROR(IF(DB_Customers!D242&lt;&gt;"",DB_Customers!D242,""),"")</f>
        <v/>
      </c>
      <c r="D248" s="62" t="str">
        <f>IFERROR(IF(DB_Customers!Q242&lt;&gt;"",DB_Customers!Q242,""),"")</f>
        <v/>
      </c>
      <c r="E248" s="61" t="str">
        <f>IFERROR(IF(DB_Customers!R242&lt;&gt;"",DB_Customers!R242,""),"")</f>
        <v/>
      </c>
      <c r="F248" s="61" t="str">
        <f>IFERROR(IF(DB_Customers!S242&lt;&gt;"",DB_Customers!S242,""),"")</f>
        <v/>
      </c>
      <c r="G248" s="61" t="str">
        <f>IFERROR(IF(DB_Customers!G242&lt;&gt;"",DB_Customers!G242,""),"")</f>
        <v/>
      </c>
      <c r="H248" s="63" t="str">
        <f>IFERROR(IF(DB_Customers!H242&lt;&gt;"",DB_Customers!H242,""),"")</f>
        <v/>
      </c>
      <c r="I248" s="64" t="str">
        <f>IFERROR(IF(DB_Customers!I242&lt;&gt;"",DB_Customers!I242,""),"")</f>
        <v/>
      </c>
      <c r="J248" s="62" t="str">
        <f>IFERROR(IF(DB_Customers!J242&lt;&gt;"",DB_Customers!J242,""),"")</f>
        <v/>
      </c>
      <c r="K248" s="61" t="str">
        <f>IFERROR(IF(DB_Customers!E242&lt;&gt;"",DB_Customers!E242,""),"")</f>
        <v/>
      </c>
      <c r="L248" s="61" t="str">
        <f>IFERROR(IF(DB_Customers!F242&lt;&gt;"",DB_Customers!F242,""),"")</f>
        <v/>
      </c>
      <c r="M248" s="61" t="str">
        <f>IFERROR(IF(DB_Customers!T242&lt;&gt;"",DB_Customers!T242,""),"")</f>
        <v/>
      </c>
      <c r="N248" s="65" t="str">
        <f>IFERROR(IF(DB_Customers!A242&lt;&gt;"",IF(DB_Customers!I242&gt;=10,"Active","Inactive"),""),"")</f>
        <v/>
      </c>
    </row>
    <row r="249" spans="1:14" ht="18" customHeight="1" x14ac:dyDescent="0.25">
      <c r="A249" s="66" t="str">
        <f>IF(DB_Customers!A243&lt;&gt;"",240,"")</f>
        <v/>
      </c>
      <c r="B249" s="67" t="str">
        <f>IFERROR(IF(DB_Customers!A243&lt;&gt;"",DB_Customers!A243,""),"")</f>
        <v/>
      </c>
      <c r="C249" s="68" t="str">
        <f>IFERROR(IF(DB_Customers!D243&lt;&gt;"",DB_Customers!D243,""),"")</f>
        <v/>
      </c>
      <c r="D249" s="69" t="str">
        <f>IFERROR(IF(DB_Customers!Q243&lt;&gt;"",DB_Customers!Q243,""),"")</f>
        <v/>
      </c>
      <c r="E249" s="68" t="str">
        <f>IFERROR(IF(DB_Customers!R243&lt;&gt;"",DB_Customers!R243,""),"")</f>
        <v/>
      </c>
      <c r="F249" s="68" t="str">
        <f>IFERROR(IF(DB_Customers!S243&lt;&gt;"",DB_Customers!S243,""),"")</f>
        <v/>
      </c>
      <c r="G249" s="68" t="str">
        <f>IFERROR(IF(DB_Customers!G243&lt;&gt;"",DB_Customers!G243,""),"")</f>
        <v/>
      </c>
      <c r="H249" s="70" t="str">
        <f>IFERROR(IF(DB_Customers!H243&lt;&gt;"",DB_Customers!H243,""),"")</f>
        <v/>
      </c>
      <c r="I249" s="71" t="str">
        <f>IFERROR(IF(DB_Customers!I243&lt;&gt;"",DB_Customers!I243,""),"")</f>
        <v/>
      </c>
      <c r="J249" s="69" t="str">
        <f>IFERROR(IF(DB_Customers!J243&lt;&gt;"",DB_Customers!J243,""),"")</f>
        <v/>
      </c>
      <c r="K249" s="68" t="str">
        <f>IFERROR(IF(DB_Customers!E243&lt;&gt;"",DB_Customers!E243,""),"")</f>
        <v/>
      </c>
      <c r="L249" s="68" t="str">
        <f>IFERROR(IF(DB_Customers!F243&lt;&gt;"",DB_Customers!F243,""),"")</f>
        <v/>
      </c>
      <c r="M249" s="68" t="str">
        <f>IFERROR(IF(DB_Customers!T243&lt;&gt;"",DB_Customers!T243,""),"")</f>
        <v/>
      </c>
      <c r="N249" s="72" t="str">
        <f>IFERROR(IF(DB_Customers!A243&lt;&gt;"",IF(DB_Customers!I243&gt;=10,"Active","Inactive"),""),"")</f>
        <v/>
      </c>
    </row>
    <row r="250" spans="1:14" ht="18" customHeight="1" x14ac:dyDescent="0.25">
      <c r="A250" s="59" t="str">
        <f>IF(DB_Customers!A244&lt;&gt;"",241,"")</f>
        <v/>
      </c>
      <c r="B250" s="60" t="str">
        <f>IFERROR(IF(DB_Customers!A244&lt;&gt;"",DB_Customers!A244,""),"")</f>
        <v/>
      </c>
      <c r="C250" s="61" t="str">
        <f>IFERROR(IF(DB_Customers!D244&lt;&gt;"",DB_Customers!D244,""),"")</f>
        <v/>
      </c>
      <c r="D250" s="62" t="str">
        <f>IFERROR(IF(DB_Customers!Q244&lt;&gt;"",DB_Customers!Q244,""),"")</f>
        <v/>
      </c>
      <c r="E250" s="61" t="str">
        <f>IFERROR(IF(DB_Customers!R244&lt;&gt;"",DB_Customers!R244,""),"")</f>
        <v/>
      </c>
      <c r="F250" s="61" t="str">
        <f>IFERROR(IF(DB_Customers!S244&lt;&gt;"",DB_Customers!S244,""),"")</f>
        <v/>
      </c>
      <c r="G250" s="61" t="str">
        <f>IFERROR(IF(DB_Customers!G244&lt;&gt;"",DB_Customers!G244,""),"")</f>
        <v/>
      </c>
      <c r="H250" s="63" t="str">
        <f>IFERROR(IF(DB_Customers!H244&lt;&gt;"",DB_Customers!H244,""),"")</f>
        <v/>
      </c>
      <c r="I250" s="64" t="str">
        <f>IFERROR(IF(DB_Customers!I244&lt;&gt;"",DB_Customers!I244,""),"")</f>
        <v/>
      </c>
      <c r="J250" s="62" t="str">
        <f>IFERROR(IF(DB_Customers!J244&lt;&gt;"",DB_Customers!J244,""),"")</f>
        <v/>
      </c>
      <c r="K250" s="61" t="str">
        <f>IFERROR(IF(DB_Customers!E244&lt;&gt;"",DB_Customers!E244,""),"")</f>
        <v/>
      </c>
      <c r="L250" s="61" t="str">
        <f>IFERROR(IF(DB_Customers!F244&lt;&gt;"",DB_Customers!F244,""),"")</f>
        <v/>
      </c>
      <c r="M250" s="61" t="str">
        <f>IFERROR(IF(DB_Customers!T244&lt;&gt;"",DB_Customers!T244,""),"")</f>
        <v/>
      </c>
      <c r="N250" s="65" t="str">
        <f>IFERROR(IF(DB_Customers!A244&lt;&gt;"",IF(DB_Customers!I244&gt;=10,"Active","Inactive"),""),"")</f>
        <v/>
      </c>
    </row>
    <row r="251" spans="1:14" ht="18" customHeight="1" x14ac:dyDescent="0.25">
      <c r="A251" s="66" t="str">
        <f>IF(DB_Customers!A245&lt;&gt;"",242,"")</f>
        <v/>
      </c>
      <c r="B251" s="67" t="str">
        <f>IFERROR(IF(DB_Customers!A245&lt;&gt;"",DB_Customers!A245,""),"")</f>
        <v/>
      </c>
      <c r="C251" s="68" t="str">
        <f>IFERROR(IF(DB_Customers!D245&lt;&gt;"",DB_Customers!D245,""),"")</f>
        <v/>
      </c>
      <c r="D251" s="69" t="str">
        <f>IFERROR(IF(DB_Customers!Q245&lt;&gt;"",DB_Customers!Q245,""),"")</f>
        <v/>
      </c>
      <c r="E251" s="68" t="str">
        <f>IFERROR(IF(DB_Customers!R245&lt;&gt;"",DB_Customers!R245,""),"")</f>
        <v/>
      </c>
      <c r="F251" s="68" t="str">
        <f>IFERROR(IF(DB_Customers!S245&lt;&gt;"",DB_Customers!S245,""),"")</f>
        <v/>
      </c>
      <c r="G251" s="68" t="str">
        <f>IFERROR(IF(DB_Customers!G245&lt;&gt;"",DB_Customers!G245,""),"")</f>
        <v/>
      </c>
      <c r="H251" s="70" t="str">
        <f>IFERROR(IF(DB_Customers!H245&lt;&gt;"",DB_Customers!H245,""),"")</f>
        <v/>
      </c>
      <c r="I251" s="71" t="str">
        <f>IFERROR(IF(DB_Customers!I245&lt;&gt;"",DB_Customers!I245,""),"")</f>
        <v/>
      </c>
      <c r="J251" s="69" t="str">
        <f>IFERROR(IF(DB_Customers!J245&lt;&gt;"",DB_Customers!J245,""),"")</f>
        <v/>
      </c>
      <c r="K251" s="68" t="str">
        <f>IFERROR(IF(DB_Customers!E245&lt;&gt;"",DB_Customers!E245,""),"")</f>
        <v/>
      </c>
      <c r="L251" s="68" t="str">
        <f>IFERROR(IF(DB_Customers!F245&lt;&gt;"",DB_Customers!F245,""),"")</f>
        <v/>
      </c>
      <c r="M251" s="68" t="str">
        <f>IFERROR(IF(DB_Customers!T245&lt;&gt;"",DB_Customers!T245,""),"")</f>
        <v/>
      </c>
      <c r="N251" s="72" t="str">
        <f>IFERROR(IF(DB_Customers!A245&lt;&gt;"",IF(DB_Customers!I245&gt;=10,"Active","Inactive"),""),"")</f>
        <v/>
      </c>
    </row>
    <row r="252" spans="1:14" ht="18" customHeight="1" x14ac:dyDescent="0.25">
      <c r="A252" s="59" t="str">
        <f>IF(DB_Customers!A246&lt;&gt;"",243,"")</f>
        <v/>
      </c>
      <c r="B252" s="60" t="str">
        <f>IFERROR(IF(DB_Customers!A246&lt;&gt;"",DB_Customers!A246,""),"")</f>
        <v/>
      </c>
      <c r="C252" s="61" t="str">
        <f>IFERROR(IF(DB_Customers!D246&lt;&gt;"",DB_Customers!D246,""),"")</f>
        <v/>
      </c>
      <c r="D252" s="62" t="str">
        <f>IFERROR(IF(DB_Customers!Q246&lt;&gt;"",DB_Customers!Q246,""),"")</f>
        <v/>
      </c>
      <c r="E252" s="61" t="str">
        <f>IFERROR(IF(DB_Customers!R246&lt;&gt;"",DB_Customers!R246,""),"")</f>
        <v/>
      </c>
      <c r="F252" s="61" t="str">
        <f>IFERROR(IF(DB_Customers!S246&lt;&gt;"",DB_Customers!S246,""),"")</f>
        <v/>
      </c>
      <c r="G252" s="61" t="str">
        <f>IFERROR(IF(DB_Customers!G246&lt;&gt;"",DB_Customers!G246,""),"")</f>
        <v/>
      </c>
      <c r="H252" s="63" t="str">
        <f>IFERROR(IF(DB_Customers!H246&lt;&gt;"",DB_Customers!H246,""),"")</f>
        <v/>
      </c>
      <c r="I252" s="64" t="str">
        <f>IFERROR(IF(DB_Customers!I246&lt;&gt;"",DB_Customers!I246,""),"")</f>
        <v/>
      </c>
      <c r="J252" s="62" t="str">
        <f>IFERROR(IF(DB_Customers!J246&lt;&gt;"",DB_Customers!J246,""),"")</f>
        <v/>
      </c>
      <c r="K252" s="61" t="str">
        <f>IFERROR(IF(DB_Customers!E246&lt;&gt;"",DB_Customers!E246,""),"")</f>
        <v/>
      </c>
      <c r="L252" s="61" t="str">
        <f>IFERROR(IF(DB_Customers!F246&lt;&gt;"",DB_Customers!F246,""),"")</f>
        <v/>
      </c>
      <c r="M252" s="61" t="str">
        <f>IFERROR(IF(DB_Customers!T246&lt;&gt;"",DB_Customers!T246,""),"")</f>
        <v/>
      </c>
      <c r="N252" s="65" t="str">
        <f>IFERROR(IF(DB_Customers!A246&lt;&gt;"",IF(DB_Customers!I246&gt;=10,"Active","Inactive"),""),"")</f>
        <v/>
      </c>
    </row>
    <row r="253" spans="1:14" ht="18" customHeight="1" x14ac:dyDescent="0.25">
      <c r="A253" s="66" t="str">
        <f>IF(DB_Customers!A247&lt;&gt;"",244,"")</f>
        <v/>
      </c>
      <c r="B253" s="67" t="str">
        <f>IFERROR(IF(DB_Customers!A247&lt;&gt;"",DB_Customers!A247,""),"")</f>
        <v/>
      </c>
      <c r="C253" s="68" t="str">
        <f>IFERROR(IF(DB_Customers!D247&lt;&gt;"",DB_Customers!D247,""),"")</f>
        <v/>
      </c>
      <c r="D253" s="69" t="str">
        <f>IFERROR(IF(DB_Customers!Q247&lt;&gt;"",DB_Customers!Q247,""),"")</f>
        <v/>
      </c>
      <c r="E253" s="68" t="str">
        <f>IFERROR(IF(DB_Customers!R247&lt;&gt;"",DB_Customers!R247,""),"")</f>
        <v/>
      </c>
      <c r="F253" s="68" t="str">
        <f>IFERROR(IF(DB_Customers!S247&lt;&gt;"",DB_Customers!S247,""),"")</f>
        <v/>
      </c>
      <c r="G253" s="68" t="str">
        <f>IFERROR(IF(DB_Customers!G247&lt;&gt;"",DB_Customers!G247,""),"")</f>
        <v/>
      </c>
      <c r="H253" s="70" t="str">
        <f>IFERROR(IF(DB_Customers!H247&lt;&gt;"",DB_Customers!H247,""),"")</f>
        <v/>
      </c>
      <c r="I253" s="71" t="str">
        <f>IFERROR(IF(DB_Customers!I247&lt;&gt;"",DB_Customers!I247,""),"")</f>
        <v/>
      </c>
      <c r="J253" s="69" t="str">
        <f>IFERROR(IF(DB_Customers!J247&lt;&gt;"",DB_Customers!J247,""),"")</f>
        <v/>
      </c>
      <c r="K253" s="68" t="str">
        <f>IFERROR(IF(DB_Customers!E247&lt;&gt;"",DB_Customers!E247,""),"")</f>
        <v/>
      </c>
      <c r="L253" s="68" t="str">
        <f>IFERROR(IF(DB_Customers!F247&lt;&gt;"",DB_Customers!F247,""),"")</f>
        <v/>
      </c>
      <c r="M253" s="68" t="str">
        <f>IFERROR(IF(DB_Customers!T247&lt;&gt;"",DB_Customers!T247,""),"")</f>
        <v/>
      </c>
      <c r="N253" s="72" t="str">
        <f>IFERROR(IF(DB_Customers!A247&lt;&gt;"",IF(DB_Customers!I247&gt;=10,"Active","Inactive"),""),"")</f>
        <v/>
      </c>
    </row>
    <row r="254" spans="1:14" ht="18" customHeight="1" x14ac:dyDescent="0.25">
      <c r="A254" s="59" t="str">
        <f>IF(DB_Customers!A248&lt;&gt;"",245,"")</f>
        <v/>
      </c>
      <c r="B254" s="60" t="str">
        <f>IFERROR(IF(DB_Customers!A248&lt;&gt;"",DB_Customers!A248,""),"")</f>
        <v/>
      </c>
      <c r="C254" s="61" t="str">
        <f>IFERROR(IF(DB_Customers!D248&lt;&gt;"",DB_Customers!D248,""),"")</f>
        <v/>
      </c>
      <c r="D254" s="62" t="str">
        <f>IFERROR(IF(DB_Customers!Q248&lt;&gt;"",DB_Customers!Q248,""),"")</f>
        <v/>
      </c>
      <c r="E254" s="61" t="str">
        <f>IFERROR(IF(DB_Customers!R248&lt;&gt;"",DB_Customers!R248,""),"")</f>
        <v/>
      </c>
      <c r="F254" s="61" t="str">
        <f>IFERROR(IF(DB_Customers!S248&lt;&gt;"",DB_Customers!S248,""),"")</f>
        <v/>
      </c>
      <c r="G254" s="61" t="str">
        <f>IFERROR(IF(DB_Customers!G248&lt;&gt;"",DB_Customers!G248,""),"")</f>
        <v/>
      </c>
      <c r="H254" s="63" t="str">
        <f>IFERROR(IF(DB_Customers!H248&lt;&gt;"",DB_Customers!H248,""),"")</f>
        <v/>
      </c>
      <c r="I254" s="64" t="str">
        <f>IFERROR(IF(DB_Customers!I248&lt;&gt;"",DB_Customers!I248,""),"")</f>
        <v/>
      </c>
      <c r="J254" s="62" t="str">
        <f>IFERROR(IF(DB_Customers!J248&lt;&gt;"",DB_Customers!J248,""),"")</f>
        <v/>
      </c>
      <c r="K254" s="61" t="str">
        <f>IFERROR(IF(DB_Customers!E248&lt;&gt;"",DB_Customers!E248,""),"")</f>
        <v/>
      </c>
      <c r="L254" s="61" t="str">
        <f>IFERROR(IF(DB_Customers!F248&lt;&gt;"",DB_Customers!F248,""),"")</f>
        <v/>
      </c>
      <c r="M254" s="61" t="str">
        <f>IFERROR(IF(DB_Customers!T248&lt;&gt;"",DB_Customers!T248,""),"")</f>
        <v/>
      </c>
      <c r="N254" s="65" t="str">
        <f>IFERROR(IF(DB_Customers!A248&lt;&gt;"",IF(DB_Customers!I248&gt;=10,"Active","Inactive"),""),"")</f>
        <v/>
      </c>
    </row>
    <row r="255" spans="1:14" ht="18" customHeight="1" x14ac:dyDescent="0.25">
      <c r="A255" s="66" t="str">
        <f>IF(DB_Customers!A249&lt;&gt;"",246,"")</f>
        <v/>
      </c>
      <c r="B255" s="67" t="str">
        <f>IFERROR(IF(DB_Customers!A249&lt;&gt;"",DB_Customers!A249,""),"")</f>
        <v/>
      </c>
      <c r="C255" s="68" t="str">
        <f>IFERROR(IF(DB_Customers!D249&lt;&gt;"",DB_Customers!D249,""),"")</f>
        <v/>
      </c>
      <c r="D255" s="69" t="str">
        <f>IFERROR(IF(DB_Customers!Q249&lt;&gt;"",DB_Customers!Q249,""),"")</f>
        <v/>
      </c>
      <c r="E255" s="68" t="str">
        <f>IFERROR(IF(DB_Customers!R249&lt;&gt;"",DB_Customers!R249,""),"")</f>
        <v/>
      </c>
      <c r="F255" s="68" t="str">
        <f>IFERROR(IF(DB_Customers!S249&lt;&gt;"",DB_Customers!S249,""),"")</f>
        <v/>
      </c>
      <c r="G255" s="68" t="str">
        <f>IFERROR(IF(DB_Customers!G249&lt;&gt;"",DB_Customers!G249,""),"")</f>
        <v/>
      </c>
      <c r="H255" s="70" t="str">
        <f>IFERROR(IF(DB_Customers!H249&lt;&gt;"",DB_Customers!H249,""),"")</f>
        <v/>
      </c>
      <c r="I255" s="71" t="str">
        <f>IFERROR(IF(DB_Customers!I249&lt;&gt;"",DB_Customers!I249,""),"")</f>
        <v/>
      </c>
      <c r="J255" s="69" t="str">
        <f>IFERROR(IF(DB_Customers!J249&lt;&gt;"",DB_Customers!J249,""),"")</f>
        <v/>
      </c>
      <c r="K255" s="68" t="str">
        <f>IFERROR(IF(DB_Customers!E249&lt;&gt;"",DB_Customers!E249,""),"")</f>
        <v/>
      </c>
      <c r="L255" s="68" t="str">
        <f>IFERROR(IF(DB_Customers!F249&lt;&gt;"",DB_Customers!F249,""),"")</f>
        <v/>
      </c>
      <c r="M255" s="68" t="str">
        <f>IFERROR(IF(DB_Customers!T249&lt;&gt;"",DB_Customers!T249,""),"")</f>
        <v/>
      </c>
      <c r="N255" s="72" t="str">
        <f>IFERROR(IF(DB_Customers!A249&lt;&gt;"",IF(DB_Customers!I249&gt;=10,"Active","Inactive"),""),"")</f>
        <v/>
      </c>
    </row>
    <row r="256" spans="1:14" ht="18" customHeight="1" x14ac:dyDescent="0.25">
      <c r="A256" s="59" t="str">
        <f>IF(DB_Customers!A250&lt;&gt;"",247,"")</f>
        <v/>
      </c>
      <c r="B256" s="60" t="str">
        <f>IFERROR(IF(DB_Customers!A250&lt;&gt;"",DB_Customers!A250,""),"")</f>
        <v/>
      </c>
      <c r="C256" s="61" t="str">
        <f>IFERROR(IF(DB_Customers!D250&lt;&gt;"",DB_Customers!D250,""),"")</f>
        <v/>
      </c>
      <c r="D256" s="62" t="str">
        <f>IFERROR(IF(DB_Customers!Q250&lt;&gt;"",DB_Customers!Q250,""),"")</f>
        <v/>
      </c>
      <c r="E256" s="61" t="str">
        <f>IFERROR(IF(DB_Customers!R250&lt;&gt;"",DB_Customers!R250,""),"")</f>
        <v/>
      </c>
      <c r="F256" s="61" t="str">
        <f>IFERROR(IF(DB_Customers!S250&lt;&gt;"",DB_Customers!S250,""),"")</f>
        <v/>
      </c>
      <c r="G256" s="61" t="str">
        <f>IFERROR(IF(DB_Customers!G250&lt;&gt;"",DB_Customers!G250,""),"")</f>
        <v/>
      </c>
      <c r="H256" s="63" t="str">
        <f>IFERROR(IF(DB_Customers!H250&lt;&gt;"",DB_Customers!H250,""),"")</f>
        <v/>
      </c>
      <c r="I256" s="64" t="str">
        <f>IFERROR(IF(DB_Customers!I250&lt;&gt;"",DB_Customers!I250,""),"")</f>
        <v/>
      </c>
      <c r="J256" s="62" t="str">
        <f>IFERROR(IF(DB_Customers!J250&lt;&gt;"",DB_Customers!J250,""),"")</f>
        <v/>
      </c>
      <c r="K256" s="61" t="str">
        <f>IFERROR(IF(DB_Customers!E250&lt;&gt;"",DB_Customers!E250,""),"")</f>
        <v/>
      </c>
      <c r="L256" s="61" t="str">
        <f>IFERROR(IF(DB_Customers!F250&lt;&gt;"",DB_Customers!F250,""),"")</f>
        <v/>
      </c>
      <c r="M256" s="61" t="str">
        <f>IFERROR(IF(DB_Customers!T250&lt;&gt;"",DB_Customers!T250,""),"")</f>
        <v/>
      </c>
      <c r="N256" s="65" t="str">
        <f>IFERROR(IF(DB_Customers!A250&lt;&gt;"",IF(DB_Customers!I250&gt;=10,"Active","Inactive"),""),"")</f>
        <v/>
      </c>
    </row>
    <row r="257" spans="1:14" ht="18" customHeight="1" x14ac:dyDescent="0.25">
      <c r="A257" s="66" t="str">
        <f>IF(DB_Customers!A251&lt;&gt;"",248,"")</f>
        <v/>
      </c>
      <c r="B257" s="67" t="str">
        <f>IFERROR(IF(DB_Customers!A251&lt;&gt;"",DB_Customers!A251,""),"")</f>
        <v/>
      </c>
      <c r="C257" s="68" t="str">
        <f>IFERROR(IF(DB_Customers!D251&lt;&gt;"",DB_Customers!D251,""),"")</f>
        <v/>
      </c>
      <c r="D257" s="69" t="str">
        <f>IFERROR(IF(DB_Customers!Q251&lt;&gt;"",DB_Customers!Q251,""),"")</f>
        <v/>
      </c>
      <c r="E257" s="68" t="str">
        <f>IFERROR(IF(DB_Customers!R251&lt;&gt;"",DB_Customers!R251,""),"")</f>
        <v/>
      </c>
      <c r="F257" s="68" t="str">
        <f>IFERROR(IF(DB_Customers!S251&lt;&gt;"",DB_Customers!S251,""),"")</f>
        <v/>
      </c>
      <c r="G257" s="68" t="str">
        <f>IFERROR(IF(DB_Customers!G251&lt;&gt;"",DB_Customers!G251,""),"")</f>
        <v/>
      </c>
      <c r="H257" s="70" t="str">
        <f>IFERROR(IF(DB_Customers!H251&lt;&gt;"",DB_Customers!H251,""),"")</f>
        <v/>
      </c>
      <c r="I257" s="71" t="str">
        <f>IFERROR(IF(DB_Customers!I251&lt;&gt;"",DB_Customers!I251,""),"")</f>
        <v/>
      </c>
      <c r="J257" s="69" t="str">
        <f>IFERROR(IF(DB_Customers!J251&lt;&gt;"",DB_Customers!J251,""),"")</f>
        <v/>
      </c>
      <c r="K257" s="68" t="str">
        <f>IFERROR(IF(DB_Customers!E251&lt;&gt;"",DB_Customers!E251,""),"")</f>
        <v/>
      </c>
      <c r="L257" s="68" t="str">
        <f>IFERROR(IF(DB_Customers!F251&lt;&gt;"",DB_Customers!F251,""),"")</f>
        <v/>
      </c>
      <c r="M257" s="68" t="str">
        <f>IFERROR(IF(DB_Customers!T251&lt;&gt;"",DB_Customers!T251,""),"")</f>
        <v/>
      </c>
      <c r="N257" s="72" t="str">
        <f>IFERROR(IF(DB_Customers!A251&lt;&gt;"",IF(DB_Customers!I251&gt;=10,"Active","Inactive"),""),"")</f>
        <v/>
      </c>
    </row>
    <row r="258" spans="1:14" ht="18" customHeight="1" x14ac:dyDescent="0.25">
      <c r="A258" s="59" t="str">
        <f>IF(DB_Customers!A252&lt;&gt;"",249,"")</f>
        <v/>
      </c>
      <c r="B258" s="60" t="str">
        <f>IFERROR(IF(DB_Customers!A252&lt;&gt;"",DB_Customers!A252,""),"")</f>
        <v/>
      </c>
      <c r="C258" s="61" t="str">
        <f>IFERROR(IF(DB_Customers!D252&lt;&gt;"",DB_Customers!D252,""),"")</f>
        <v/>
      </c>
      <c r="D258" s="62" t="str">
        <f>IFERROR(IF(DB_Customers!Q252&lt;&gt;"",DB_Customers!Q252,""),"")</f>
        <v/>
      </c>
      <c r="E258" s="61" t="str">
        <f>IFERROR(IF(DB_Customers!R252&lt;&gt;"",DB_Customers!R252,""),"")</f>
        <v/>
      </c>
      <c r="F258" s="61" t="str">
        <f>IFERROR(IF(DB_Customers!S252&lt;&gt;"",DB_Customers!S252,""),"")</f>
        <v/>
      </c>
      <c r="G258" s="61" t="str">
        <f>IFERROR(IF(DB_Customers!G252&lt;&gt;"",DB_Customers!G252,""),"")</f>
        <v/>
      </c>
      <c r="H258" s="63" t="str">
        <f>IFERROR(IF(DB_Customers!H252&lt;&gt;"",DB_Customers!H252,""),"")</f>
        <v/>
      </c>
      <c r="I258" s="64" t="str">
        <f>IFERROR(IF(DB_Customers!I252&lt;&gt;"",DB_Customers!I252,""),"")</f>
        <v/>
      </c>
      <c r="J258" s="62" t="str">
        <f>IFERROR(IF(DB_Customers!J252&lt;&gt;"",DB_Customers!J252,""),"")</f>
        <v/>
      </c>
      <c r="K258" s="61" t="str">
        <f>IFERROR(IF(DB_Customers!E252&lt;&gt;"",DB_Customers!E252,""),"")</f>
        <v/>
      </c>
      <c r="L258" s="61" t="str">
        <f>IFERROR(IF(DB_Customers!F252&lt;&gt;"",DB_Customers!F252,""),"")</f>
        <v/>
      </c>
      <c r="M258" s="61" t="str">
        <f>IFERROR(IF(DB_Customers!T252&lt;&gt;"",DB_Customers!T252,""),"")</f>
        <v/>
      </c>
      <c r="N258" s="65" t="str">
        <f>IFERROR(IF(DB_Customers!A252&lt;&gt;"",IF(DB_Customers!I252&gt;=10,"Active","Inactive"),""),"")</f>
        <v/>
      </c>
    </row>
    <row r="259" spans="1:14" ht="18" customHeight="1" x14ac:dyDescent="0.25">
      <c r="A259" s="66" t="str">
        <f>IF(DB_Customers!A253&lt;&gt;"",250,"")</f>
        <v/>
      </c>
      <c r="B259" s="67" t="str">
        <f>IFERROR(IF(DB_Customers!A253&lt;&gt;"",DB_Customers!A253,""),"")</f>
        <v/>
      </c>
      <c r="C259" s="68" t="str">
        <f>IFERROR(IF(DB_Customers!D253&lt;&gt;"",DB_Customers!D253,""),"")</f>
        <v/>
      </c>
      <c r="D259" s="69" t="str">
        <f>IFERROR(IF(DB_Customers!Q253&lt;&gt;"",DB_Customers!Q253,""),"")</f>
        <v/>
      </c>
      <c r="E259" s="68" t="str">
        <f>IFERROR(IF(DB_Customers!R253&lt;&gt;"",DB_Customers!R253,""),"")</f>
        <v/>
      </c>
      <c r="F259" s="68" t="str">
        <f>IFERROR(IF(DB_Customers!S253&lt;&gt;"",DB_Customers!S253,""),"")</f>
        <v/>
      </c>
      <c r="G259" s="68" t="str">
        <f>IFERROR(IF(DB_Customers!G253&lt;&gt;"",DB_Customers!G253,""),"")</f>
        <v/>
      </c>
      <c r="H259" s="70" t="str">
        <f>IFERROR(IF(DB_Customers!H253&lt;&gt;"",DB_Customers!H253,""),"")</f>
        <v/>
      </c>
      <c r="I259" s="71" t="str">
        <f>IFERROR(IF(DB_Customers!I253&lt;&gt;"",DB_Customers!I253,""),"")</f>
        <v/>
      </c>
      <c r="J259" s="69" t="str">
        <f>IFERROR(IF(DB_Customers!J253&lt;&gt;"",DB_Customers!J253,""),"")</f>
        <v/>
      </c>
      <c r="K259" s="68" t="str">
        <f>IFERROR(IF(DB_Customers!E253&lt;&gt;"",DB_Customers!E253,""),"")</f>
        <v/>
      </c>
      <c r="L259" s="68" t="str">
        <f>IFERROR(IF(DB_Customers!F253&lt;&gt;"",DB_Customers!F253,""),"")</f>
        <v/>
      </c>
      <c r="M259" s="68" t="str">
        <f>IFERROR(IF(DB_Customers!T253&lt;&gt;"",DB_Customers!T253,""),"")</f>
        <v/>
      </c>
      <c r="N259" s="72" t="str">
        <f>IFERROR(IF(DB_Customers!A253&lt;&gt;"",IF(DB_Customers!I253&gt;=10,"Active","Inactive"),""),"")</f>
        <v/>
      </c>
    </row>
    <row r="260" spans="1:14" ht="18" customHeight="1" x14ac:dyDescent="0.25">
      <c r="A260" s="59" t="str">
        <f>IF(DB_Customers!A254&lt;&gt;"",251,"")</f>
        <v/>
      </c>
      <c r="B260" s="60" t="str">
        <f>IFERROR(IF(DB_Customers!A254&lt;&gt;"",DB_Customers!A254,""),"")</f>
        <v/>
      </c>
      <c r="C260" s="61" t="str">
        <f>IFERROR(IF(DB_Customers!D254&lt;&gt;"",DB_Customers!D254,""),"")</f>
        <v/>
      </c>
      <c r="D260" s="62" t="str">
        <f>IFERROR(IF(DB_Customers!Q254&lt;&gt;"",DB_Customers!Q254,""),"")</f>
        <v/>
      </c>
      <c r="E260" s="61" t="str">
        <f>IFERROR(IF(DB_Customers!R254&lt;&gt;"",DB_Customers!R254,""),"")</f>
        <v/>
      </c>
      <c r="F260" s="61" t="str">
        <f>IFERROR(IF(DB_Customers!S254&lt;&gt;"",DB_Customers!S254,""),"")</f>
        <v/>
      </c>
      <c r="G260" s="61" t="str">
        <f>IFERROR(IF(DB_Customers!G254&lt;&gt;"",DB_Customers!G254,""),"")</f>
        <v/>
      </c>
      <c r="H260" s="63" t="str">
        <f>IFERROR(IF(DB_Customers!H254&lt;&gt;"",DB_Customers!H254,""),"")</f>
        <v/>
      </c>
      <c r="I260" s="64" t="str">
        <f>IFERROR(IF(DB_Customers!I254&lt;&gt;"",DB_Customers!I254,""),"")</f>
        <v/>
      </c>
      <c r="J260" s="62" t="str">
        <f>IFERROR(IF(DB_Customers!J254&lt;&gt;"",DB_Customers!J254,""),"")</f>
        <v/>
      </c>
      <c r="K260" s="61" t="str">
        <f>IFERROR(IF(DB_Customers!E254&lt;&gt;"",DB_Customers!E254,""),"")</f>
        <v/>
      </c>
      <c r="L260" s="61" t="str">
        <f>IFERROR(IF(DB_Customers!F254&lt;&gt;"",DB_Customers!F254,""),"")</f>
        <v/>
      </c>
      <c r="M260" s="61" t="str">
        <f>IFERROR(IF(DB_Customers!T254&lt;&gt;"",DB_Customers!T254,""),"")</f>
        <v/>
      </c>
      <c r="N260" s="65" t="str">
        <f>IFERROR(IF(DB_Customers!A254&lt;&gt;"",IF(DB_Customers!I254&gt;=10,"Active","Inactive"),""),"")</f>
        <v/>
      </c>
    </row>
    <row r="261" spans="1:14" ht="18" customHeight="1" x14ac:dyDescent="0.25">
      <c r="A261" s="66" t="str">
        <f>IF(DB_Customers!A255&lt;&gt;"",252,"")</f>
        <v/>
      </c>
      <c r="B261" s="67" t="str">
        <f>IFERROR(IF(DB_Customers!A255&lt;&gt;"",DB_Customers!A255,""),"")</f>
        <v/>
      </c>
      <c r="C261" s="68" t="str">
        <f>IFERROR(IF(DB_Customers!D255&lt;&gt;"",DB_Customers!D255,""),"")</f>
        <v/>
      </c>
      <c r="D261" s="69" t="str">
        <f>IFERROR(IF(DB_Customers!Q255&lt;&gt;"",DB_Customers!Q255,""),"")</f>
        <v/>
      </c>
      <c r="E261" s="68" t="str">
        <f>IFERROR(IF(DB_Customers!R255&lt;&gt;"",DB_Customers!R255,""),"")</f>
        <v/>
      </c>
      <c r="F261" s="68" t="str">
        <f>IFERROR(IF(DB_Customers!S255&lt;&gt;"",DB_Customers!S255,""),"")</f>
        <v/>
      </c>
      <c r="G261" s="68" t="str">
        <f>IFERROR(IF(DB_Customers!G255&lt;&gt;"",DB_Customers!G255,""),"")</f>
        <v/>
      </c>
      <c r="H261" s="70" t="str">
        <f>IFERROR(IF(DB_Customers!H255&lt;&gt;"",DB_Customers!H255,""),"")</f>
        <v/>
      </c>
      <c r="I261" s="71" t="str">
        <f>IFERROR(IF(DB_Customers!I255&lt;&gt;"",DB_Customers!I255,""),"")</f>
        <v/>
      </c>
      <c r="J261" s="69" t="str">
        <f>IFERROR(IF(DB_Customers!J255&lt;&gt;"",DB_Customers!J255,""),"")</f>
        <v/>
      </c>
      <c r="K261" s="68" t="str">
        <f>IFERROR(IF(DB_Customers!E255&lt;&gt;"",DB_Customers!E255,""),"")</f>
        <v/>
      </c>
      <c r="L261" s="68" t="str">
        <f>IFERROR(IF(DB_Customers!F255&lt;&gt;"",DB_Customers!F255,""),"")</f>
        <v/>
      </c>
      <c r="M261" s="68" t="str">
        <f>IFERROR(IF(DB_Customers!T255&lt;&gt;"",DB_Customers!T255,""),"")</f>
        <v/>
      </c>
      <c r="N261" s="72" t="str">
        <f>IFERROR(IF(DB_Customers!A255&lt;&gt;"",IF(DB_Customers!I255&gt;=10,"Active","Inactive"),""),"")</f>
        <v/>
      </c>
    </row>
    <row r="262" spans="1:14" ht="18" customHeight="1" x14ac:dyDescent="0.25">
      <c r="A262" s="59" t="str">
        <f>IF(DB_Customers!A256&lt;&gt;"",253,"")</f>
        <v/>
      </c>
      <c r="B262" s="60" t="str">
        <f>IFERROR(IF(DB_Customers!A256&lt;&gt;"",DB_Customers!A256,""),"")</f>
        <v/>
      </c>
      <c r="C262" s="61" t="str">
        <f>IFERROR(IF(DB_Customers!D256&lt;&gt;"",DB_Customers!D256,""),"")</f>
        <v/>
      </c>
      <c r="D262" s="62" t="str">
        <f>IFERROR(IF(DB_Customers!Q256&lt;&gt;"",DB_Customers!Q256,""),"")</f>
        <v/>
      </c>
      <c r="E262" s="61" t="str">
        <f>IFERROR(IF(DB_Customers!R256&lt;&gt;"",DB_Customers!R256,""),"")</f>
        <v/>
      </c>
      <c r="F262" s="61" t="str">
        <f>IFERROR(IF(DB_Customers!S256&lt;&gt;"",DB_Customers!S256,""),"")</f>
        <v/>
      </c>
      <c r="G262" s="61" t="str">
        <f>IFERROR(IF(DB_Customers!G256&lt;&gt;"",DB_Customers!G256,""),"")</f>
        <v/>
      </c>
      <c r="H262" s="63" t="str">
        <f>IFERROR(IF(DB_Customers!H256&lt;&gt;"",DB_Customers!H256,""),"")</f>
        <v/>
      </c>
      <c r="I262" s="64" t="str">
        <f>IFERROR(IF(DB_Customers!I256&lt;&gt;"",DB_Customers!I256,""),"")</f>
        <v/>
      </c>
      <c r="J262" s="62" t="str">
        <f>IFERROR(IF(DB_Customers!J256&lt;&gt;"",DB_Customers!J256,""),"")</f>
        <v/>
      </c>
      <c r="K262" s="61" t="str">
        <f>IFERROR(IF(DB_Customers!E256&lt;&gt;"",DB_Customers!E256,""),"")</f>
        <v/>
      </c>
      <c r="L262" s="61" t="str">
        <f>IFERROR(IF(DB_Customers!F256&lt;&gt;"",DB_Customers!F256,""),"")</f>
        <v/>
      </c>
      <c r="M262" s="61" t="str">
        <f>IFERROR(IF(DB_Customers!T256&lt;&gt;"",DB_Customers!T256,""),"")</f>
        <v/>
      </c>
      <c r="N262" s="65" t="str">
        <f>IFERROR(IF(DB_Customers!A256&lt;&gt;"",IF(DB_Customers!I256&gt;=10,"Active","Inactive"),""),"")</f>
        <v/>
      </c>
    </row>
    <row r="263" spans="1:14" ht="18" customHeight="1" x14ac:dyDescent="0.25">
      <c r="A263" s="66" t="str">
        <f>IF(DB_Customers!A257&lt;&gt;"",254,"")</f>
        <v/>
      </c>
      <c r="B263" s="67" t="str">
        <f>IFERROR(IF(DB_Customers!A257&lt;&gt;"",DB_Customers!A257,""),"")</f>
        <v/>
      </c>
      <c r="C263" s="68" t="str">
        <f>IFERROR(IF(DB_Customers!D257&lt;&gt;"",DB_Customers!D257,""),"")</f>
        <v/>
      </c>
      <c r="D263" s="69" t="str">
        <f>IFERROR(IF(DB_Customers!Q257&lt;&gt;"",DB_Customers!Q257,""),"")</f>
        <v/>
      </c>
      <c r="E263" s="68" t="str">
        <f>IFERROR(IF(DB_Customers!R257&lt;&gt;"",DB_Customers!R257,""),"")</f>
        <v/>
      </c>
      <c r="F263" s="68" t="str">
        <f>IFERROR(IF(DB_Customers!S257&lt;&gt;"",DB_Customers!S257,""),"")</f>
        <v/>
      </c>
      <c r="G263" s="68" t="str">
        <f>IFERROR(IF(DB_Customers!G257&lt;&gt;"",DB_Customers!G257,""),"")</f>
        <v/>
      </c>
      <c r="H263" s="70" t="str">
        <f>IFERROR(IF(DB_Customers!H257&lt;&gt;"",DB_Customers!H257,""),"")</f>
        <v/>
      </c>
      <c r="I263" s="71" t="str">
        <f>IFERROR(IF(DB_Customers!I257&lt;&gt;"",DB_Customers!I257,""),"")</f>
        <v/>
      </c>
      <c r="J263" s="69" t="str">
        <f>IFERROR(IF(DB_Customers!J257&lt;&gt;"",DB_Customers!J257,""),"")</f>
        <v/>
      </c>
      <c r="K263" s="68" t="str">
        <f>IFERROR(IF(DB_Customers!E257&lt;&gt;"",DB_Customers!E257,""),"")</f>
        <v/>
      </c>
      <c r="L263" s="68" t="str">
        <f>IFERROR(IF(DB_Customers!F257&lt;&gt;"",DB_Customers!F257,""),"")</f>
        <v/>
      </c>
      <c r="M263" s="68" t="str">
        <f>IFERROR(IF(DB_Customers!T257&lt;&gt;"",DB_Customers!T257,""),"")</f>
        <v/>
      </c>
      <c r="N263" s="72" t="str">
        <f>IFERROR(IF(DB_Customers!A257&lt;&gt;"",IF(DB_Customers!I257&gt;=10,"Active","Inactive"),""),"")</f>
        <v/>
      </c>
    </row>
    <row r="264" spans="1:14" ht="18" customHeight="1" x14ac:dyDescent="0.25">
      <c r="A264" s="59" t="str">
        <f>IF(DB_Customers!A258&lt;&gt;"",255,"")</f>
        <v/>
      </c>
      <c r="B264" s="60" t="str">
        <f>IFERROR(IF(DB_Customers!A258&lt;&gt;"",DB_Customers!A258,""),"")</f>
        <v/>
      </c>
      <c r="C264" s="61" t="str">
        <f>IFERROR(IF(DB_Customers!D258&lt;&gt;"",DB_Customers!D258,""),"")</f>
        <v/>
      </c>
      <c r="D264" s="62" t="str">
        <f>IFERROR(IF(DB_Customers!Q258&lt;&gt;"",DB_Customers!Q258,""),"")</f>
        <v/>
      </c>
      <c r="E264" s="61" t="str">
        <f>IFERROR(IF(DB_Customers!R258&lt;&gt;"",DB_Customers!R258,""),"")</f>
        <v/>
      </c>
      <c r="F264" s="61" t="str">
        <f>IFERROR(IF(DB_Customers!S258&lt;&gt;"",DB_Customers!S258,""),"")</f>
        <v/>
      </c>
      <c r="G264" s="61" t="str">
        <f>IFERROR(IF(DB_Customers!G258&lt;&gt;"",DB_Customers!G258,""),"")</f>
        <v/>
      </c>
      <c r="H264" s="63" t="str">
        <f>IFERROR(IF(DB_Customers!H258&lt;&gt;"",DB_Customers!H258,""),"")</f>
        <v/>
      </c>
      <c r="I264" s="64" t="str">
        <f>IFERROR(IF(DB_Customers!I258&lt;&gt;"",DB_Customers!I258,""),"")</f>
        <v/>
      </c>
      <c r="J264" s="62" t="str">
        <f>IFERROR(IF(DB_Customers!J258&lt;&gt;"",DB_Customers!J258,""),"")</f>
        <v/>
      </c>
      <c r="K264" s="61" t="str">
        <f>IFERROR(IF(DB_Customers!E258&lt;&gt;"",DB_Customers!E258,""),"")</f>
        <v/>
      </c>
      <c r="L264" s="61" t="str">
        <f>IFERROR(IF(DB_Customers!F258&lt;&gt;"",DB_Customers!F258,""),"")</f>
        <v/>
      </c>
      <c r="M264" s="61" t="str">
        <f>IFERROR(IF(DB_Customers!T258&lt;&gt;"",DB_Customers!T258,""),"")</f>
        <v/>
      </c>
      <c r="N264" s="65" t="str">
        <f>IFERROR(IF(DB_Customers!A258&lt;&gt;"",IF(DB_Customers!I258&gt;=10,"Active","Inactive"),""),"")</f>
        <v/>
      </c>
    </row>
    <row r="265" spans="1:14" ht="18" customHeight="1" x14ac:dyDescent="0.25">
      <c r="A265" s="66" t="str">
        <f>IF(DB_Customers!A259&lt;&gt;"",256,"")</f>
        <v/>
      </c>
      <c r="B265" s="67" t="str">
        <f>IFERROR(IF(DB_Customers!A259&lt;&gt;"",DB_Customers!A259,""),"")</f>
        <v/>
      </c>
      <c r="C265" s="68" t="str">
        <f>IFERROR(IF(DB_Customers!D259&lt;&gt;"",DB_Customers!D259,""),"")</f>
        <v/>
      </c>
      <c r="D265" s="69" t="str">
        <f>IFERROR(IF(DB_Customers!Q259&lt;&gt;"",DB_Customers!Q259,""),"")</f>
        <v/>
      </c>
      <c r="E265" s="68" t="str">
        <f>IFERROR(IF(DB_Customers!R259&lt;&gt;"",DB_Customers!R259,""),"")</f>
        <v/>
      </c>
      <c r="F265" s="68" t="str">
        <f>IFERROR(IF(DB_Customers!S259&lt;&gt;"",DB_Customers!S259,""),"")</f>
        <v/>
      </c>
      <c r="G265" s="68" t="str">
        <f>IFERROR(IF(DB_Customers!G259&lt;&gt;"",DB_Customers!G259,""),"")</f>
        <v/>
      </c>
      <c r="H265" s="70" t="str">
        <f>IFERROR(IF(DB_Customers!H259&lt;&gt;"",DB_Customers!H259,""),"")</f>
        <v/>
      </c>
      <c r="I265" s="71" t="str">
        <f>IFERROR(IF(DB_Customers!I259&lt;&gt;"",DB_Customers!I259,""),"")</f>
        <v/>
      </c>
      <c r="J265" s="69" t="str">
        <f>IFERROR(IF(DB_Customers!J259&lt;&gt;"",DB_Customers!J259,""),"")</f>
        <v/>
      </c>
      <c r="K265" s="68" t="str">
        <f>IFERROR(IF(DB_Customers!E259&lt;&gt;"",DB_Customers!E259,""),"")</f>
        <v/>
      </c>
      <c r="L265" s="68" t="str">
        <f>IFERROR(IF(DB_Customers!F259&lt;&gt;"",DB_Customers!F259,""),"")</f>
        <v/>
      </c>
      <c r="M265" s="68" t="str">
        <f>IFERROR(IF(DB_Customers!T259&lt;&gt;"",DB_Customers!T259,""),"")</f>
        <v/>
      </c>
      <c r="N265" s="72" t="str">
        <f>IFERROR(IF(DB_Customers!A259&lt;&gt;"",IF(DB_Customers!I259&gt;=10,"Active","Inactive"),""),"")</f>
        <v/>
      </c>
    </row>
    <row r="266" spans="1:14" ht="18" customHeight="1" x14ac:dyDescent="0.25">
      <c r="A266" s="59" t="str">
        <f>IF(DB_Customers!A260&lt;&gt;"",257,"")</f>
        <v/>
      </c>
      <c r="B266" s="60" t="str">
        <f>IFERROR(IF(DB_Customers!A260&lt;&gt;"",DB_Customers!A260,""),"")</f>
        <v/>
      </c>
      <c r="C266" s="61" t="str">
        <f>IFERROR(IF(DB_Customers!D260&lt;&gt;"",DB_Customers!D260,""),"")</f>
        <v/>
      </c>
      <c r="D266" s="62" t="str">
        <f>IFERROR(IF(DB_Customers!Q260&lt;&gt;"",DB_Customers!Q260,""),"")</f>
        <v/>
      </c>
      <c r="E266" s="61" t="str">
        <f>IFERROR(IF(DB_Customers!R260&lt;&gt;"",DB_Customers!R260,""),"")</f>
        <v/>
      </c>
      <c r="F266" s="61" t="str">
        <f>IFERROR(IF(DB_Customers!S260&lt;&gt;"",DB_Customers!S260,""),"")</f>
        <v/>
      </c>
      <c r="G266" s="61" t="str">
        <f>IFERROR(IF(DB_Customers!G260&lt;&gt;"",DB_Customers!G260,""),"")</f>
        <v/>
      </c>
      <c r="H266" s="63" t="str">
        <f>IFERROR(IF(DB_Customers!H260&lt;&gt;"",DB_Customers!H260,""),"")</f>
        <v/>
      </c>
      <c r="I266" s="64" t="str">
        <f>IFERROR(IF(DB_Customers!I260&lt;&gt;"",DB_Customers!I260,""),"")</f>
        <v/>
      </c>
      <c r="J266" s="62" t="str">
        <f>IFERROR(IF(DB_Customers!J260&lt;&gt;"",DB_Customers!J260,""),"")</f>
        <v/>
      </c>
      <c r="K266" s="61" t="str">
        <f>IFERROR(IF(DB_Customers!E260&lt;&gt;"",DB_Customers!E260,""),"")</f>
        <v/>
      </c>
      <c r="L266" s="61" t="str">
        <f>IFERROR(IF(DB_Customers!F260&lt;&gt;"",DB_Customers!F260,""),"")</f>
        <v/>
      </c>
      <c r="M266" s="61" t="str">
        <f>IFERROR(IF(DB_Customers!T260&lt;&gt;"",DB_Customers!T260,""),"")</f>
        <v/>
      </c>
      <c r="N266" s="65" t="str">
        <f>IFERROR(IF(DB_Customers!A260&lt;&gt;"",IF(DB_Customers!I260&gt;=10,"Active","Inactive"),""),"")</f>
        <v/>
      </c>
    </row>
    <row r="267" spans="1:14" ht="18" customHeight="1" x14ac:dyDescent="0.25">
      <c r="A267" s="66" t="str">
        <f>IF(DB_Customers!A261&lt;&gt;"",258,"")</f>
        <v/>
      </c>
      <c r="B267" s="67" t="str">
        <f>IFERROR(IF(DB_Customers!A261&lt;&gt;"",DB_Customers!A261,""),"")</f>
        <v/>
      </c>
      <c r="C267" s="68" t="str">
        <f>IFERROR(IF(DB_Customers!D261&lt;&gt;"",DB_Customers!D261,""),"")</f>
        <v/>
      </c>
      <c r="D267" s="69" t="str">
        <f>IFERROR(IF(DB_Customers!Q261&lt;&gt;"",DB_Customers!Q261,""),"")</f>
        <v/>
      </c>
      <c r="E267" s="68" t="str">
        <f>IFERROR(IF(DB_Customers!R261&lt;&gt;"",DB_Customers!R261,""),"")</f>
        <v/>
      </c>
      <c r="F267" s="68" t="str">
        <f>IFERROR(IF(DB_Customers!S261&lt;&gt;"",DB_Customers!S261,""),"")</f>
        <v/>
      </c>
      <c r="G267" s="68" t="str">
        <f>IFERROR(IF(DB_Customers!G261&lt;&gt;"",DB_Customers!G261,""),"")</f>
        <v/>
      </c>
      <c r="H267" s="70" t="str">
        <f>IFERROR(IF(DB_Customers!H261&lt;&gt;"",DB_Customers!H261,""),"")</f>
        <v/>
      </c>
      <c r="I267" s="71" t="str">
        <f>IFERROR(IF(DB_Customers!I261&lt;&gt;"",DB_Customers!I261,""),"")</f>
        <v/>
      </c>
      <c r="J267" s="69" t="str">
        <f>IFERROR(IF(DB_Customers!J261&lt;&gt;"",DB_Customers!J261,""),"")</f>
        <v/>
      </c>
      <c r="K267" s="68" t="str">
        <f>IFERROR(IF(DB_Customers!E261&lt;&gt;"",DB_Customers!E261,""),"")</f>
        <v/>
      </c>
      <c r="L267" s="68" t="str">
        <f>IFERROR(IF(DB_Customers!F261&lt;&gt;"",DB_Customers!F261,""),"")</f>
        <v/>
      </c>
      <c r="M267" s="68" t="str">
        <f>IFERROR(IF(DB_Customers!T261&lt;&gt;"",DB_Customers!T261,""),"")</f>
        <v/>
      </c>
      <c r="N267" s="72" t="str">
        <f>IFERROR(IF(DB_Customers!A261&lt;&gt;"",IF(DB_Customers!I261&gt;=10,"Active","Inactive"),""),"")</f>
        <v/>
      </c>
    </row>
    <row r="268" spans="1:14" ht="18" customHeight="1" x14ac:dyDescent="0.25">
      <c r="A268" s="59" t="str">
        <f>IF(DB_Customers!A262&lt;&gt;"",259,"")</f>
        <v/>
      </c>
      <c r="B268" s="60" t="str">
        <f>IFERROR(IF(DB_Customers!A262&lt;&gt;"",DB_Customers!A262,""),"")</f>
        <v/>
      </c>
      <c r="C268" s="61" t="str">
        <f>IFERROR(IF(DB_Customers!D262&lt;&gt;"",DB_Customers!D262,""),"")</f>
        <v/>
      </c>
      <c r="D268" s="62" t="str">
        <f>IFERROR(IF(DB_Customers!Q262&lt;&gt;"",DB_Customers!Q262,""),"")</f>
        <v/>
      </c>
      <c r="E268" s="61" t="str">
        <f>IFERROR(IF(DB_Customers!R262&lt;&gt;"",DB_Customers!R262,""),"")</f>
        <v/>
      </c>
      <c r="F268" s="61" t="str">
        <f>IFERROR(IF(DB_Customers!S262&lt;&gt;"",DB_Customers!S262,""),"")</f>
        <v/>
      </c>
      <c r="G268" s="61" t="str">
        <f>IFERROR(IF(DB_Customers!G262&lt;&gt;"",DB_Customers!G262,""),"")</f>
        <v/>
      </c>
      <c r="H268" s="63" t="str">
        <f>IFERROR(IF(DB_Customers!H262&lt;&gt;"",DB_Customers!H262,""),"")</f>
        <v/>
      </c>
      <c r="I268" s="64" t="str">
        <f>IFERROR(IF(DB_Customers!I262&lt;&gt;"",DB_Customers!I262,""),"")</f>
        <v/>
      </c>
      <c r="J268" s="62" t="str">
        <f>IFERROR(IF(DB_Customers!J262&lt;&gt;"",DB_Customers!J262,""),"")</f>
        <v/>
      </c>
      <c r="K268" s="61" t="str">
        <f>IFERROR(IF(DB_Customers!E262&lt;&gt;"",DB_Customers!E262,""),"")</f>
        <v/>
      </c>
      <c r="L268" s="61" t="str">
        <f>IFERROR(IF(DB_Customers!F262&lt;&gt;"",DB_Customers!F262,""),"")</f>
        <v/>
      </c>
      <c r="M268" s="61" t="str">
        <f>IFERROR(IF(DB_Customers!T262&lt;&gt;"",DB_Customers!T262,""),"")</f>
        <v/>
      </c>
      <c r="N268" s="65" t="str">
        <f>IFERROR(IF(DB_Customers!A262&lt;&gt;"",IF(DB_Customers!I262&gt;=10,"Active","Inactive"),""),"")</f>
        <v/>
      </c>
    </row>
    <row r="269" spans="1:14" ht="18" customHeight="1" x14ac:dyDescent="0.25">
      <c r="A269" s="66" t="str">
        <f>IF(DB_Customers!A263&lt;&gt;"",260,"")</f>
        <v/>
      </c>
      <c r="B269" s="67" t="str">
        <f>IFERROR(IF(DB_Customers!A263&lt;&gt;"",DB_Customers!A263,""),"")</f>
        <v/>
      </c>
      <c r="C269" s="68" t="str">
        <f>IFERROR(IF(DB_Customers!D263&lt;&gt;"",DB_Customers!D263,""),"")</f>
        <v/>
      </c>
      <c r="D269" s="69" t="str">
        <f>IFERROR(IF(DB_Customers!Q263&lt;&gt;"",DB_Customers!Q263,""),"")</f>
        <v/>
      </c>
      <c r="E269" s="68" t="str">
        <f>IFERROR(IF(DB_Customers!R263&lt;&gt;"",DB_Customers!R263,""),"")</f>
        <v/>
      </c>
      <c r="F269" s="68" t="str">
        <f>IFERROR(IF(DB_Customers!S263&lt;&gt;"",DB_Customers!S263,""),"")</f>
        <v/>
      </c>
      <c r="G269" s="68" t="str">
        <f>IFERROR(IF(DB_Customers!G263&lt;&gt;"",DB_Customers!G263,""),"")</f>
        <v/>
      </c>
      <c r="H269" s="70" t="str">
        <f>IFERROR(IF(DB_Customers!H263&lt;&gt;"",DB_Customers!H263,""),"")</f>
        <v/>
      </c>
      <c r="I269" s="71" t="str">
        <f>IFERROR(IF(DB_Customers!I263&lt;&gt;"",DB_Customers!I263,""),"")</f>
        <v/>
      </c>
      <c r="J269" s="69" t="str">
        <f>IFERROR(IF(DB_Customers!J263&lt;&gt;"",DB_Customers!J263,""),"")</f>
        <v/>
      </c>
      <c r="K269" s="68" t="str">
        <f>IFERROR(IF(DB_Customers!E263&lt;&gt;"",DB_Customers!E263,""),"")</f>
        <v/>
      </c>
      <c r="L269" s="68" t="str">
        <f>IFERROR(IF(DB_Customers!F263&lt;&gt;"",DB_Customers!F263,""),"")</f>
        <v/>
      </c>
      <c r="M269" s="68" t="str">
        <f>IFERROR(IF(DB_Customers!T263&lt;&gt;"",DB_Customers!T263,""),"")</f>
        <v/>
      </c>
      <c r="N269" s="72" t="str">
        <f>IFERROR(IF(DB_Customers!A263&lt;&gt;"",IF(DB_Customers!I263&gt;=10,"Active","Inactive"),""),"")</f>
        <v/>
      </c>
    </row>
    <row r="270" spans="1:14" ht="18" customHeight="1" x14ac:dyDescent="0.25">
      <c r="A270" s="59" t="str">
        <f>IF(DB_Customers!A264&lt;&gt;"",261,"")</f>
        <v/>
      </c>
      <c r="B270" s="60" t="str">
        <f>IFERROR(IF(DB_Customers!A264&lt;&gt;"",DB_Customers!A264,""),"")</f>
        <v/>
      </c>
      <c r="C270" s="61" t="str">
        <f>IFERROR(IF(DB_Customers!D264&lt;&gt;"",DB_Customers!D264,""),"")</f>
        <v/>
      </c>
      <c r="D270" s="62" t="str">
        <f>IFERROR(IF(DB_Customers!Q264&lt;&gt;"",DB_Customers!Q264,""),"")</f>
        <v/>
      </c>
      <c r="E270" s="61" t="str">
        <f>IFERROR(IF(DB_Customers!R264&lt;&gt;"",DB_Customers!R264,""),"")</f>
        <v/>
      </c>
      <c r="F270" s="61" t="str">
        <f>IFERROR(IF(DB_Customers!S264&lt;&gt;"",DB_Customers!S264,""),"")</f>
        <v/>
      </c>
      <c r="G270" s="61" t="str">
        <f>IFERROR(IF(DB_Customers!G264&lt;&gt;"",DB_Customers!G264,""),"")</f>
        <v/>
      </c>
      <c r="H270" s="63" t="str">
        <f>IFERROR(IF(DB_Customers!H264&lt;&gt;"",DB_Customers!H264,""),"")</f>
        <v/>
      </c>
      <c r="I270" s="64" t="str">
        <f>IFERROR(IF(DB_Customers!I264&lt;&gt;"",DB_Customers!I264,""),"")</f>
        <v/>
      </c>
      <c r="J270" s="62" t="str">
        <f>IFERROR(IF(DB_Customers!J264&lt;&gt;"",DB_Customers!J264,""),"")</f>
        <v/>
      </c>
      <c r="K270" s="61" t="str">
        <f>IFERROR(IF(DB_Customers!E264&lt;&gt;"",DB_Customers!E264,""),"")</f>
        <v/>
      </c>
      <c r="L270" s="61" t="str">
        <f>IFERROR(IF(DB_Customers!F264&lt;&gt;"",DB_Customers!F264,""),"")</f>
        <v/>
      </c>
      <c r="M270" s="61" t="str">
        <f>IFERROR(IF(DB_Customers!T264&lt;&gt;"",DB_Customers!T264,""),"")</f>
        <v/>
      </c>
      <c r="N270" s="65" t="str">
        <f>IFERROR(IF(DB_Customers!A264&lt;&gt;"",IF(DB_Customers!I264&gt;=10,"Active","Inactive"),""),"")</f>
        <v/>
      </c>
    </row>
    <row r="271" spans="1:14" ht="18" customHeight="1" x14ac:dyDescent="0.25">
      <c r="A271" s="66" t="str">
        <f>IF(DB_Customers!A265&lt;&gt;"",262,"")</f>
        <v/>
      </c>
      <c r="B271" s="67" t="str">
        <f>IFERROR(IF(DB_Customers!A265&lt;&gt;"",DB_Customers!A265,""),"")</f>
        <v/>
      </c>
      <c r="C271" s="68" t="str">
        <f>IFERROR(IF(DB_Customers!D265&lt;&gt;"",DB_Customers!D265,""),"")</f>
        <v/>
      </c>
      <c r="D271" s="69" t="str">
        <f>IFERROR(IF(DB_Customers!Q265&lt;&gt;"",DB_Customers!Q265,""),"")</f>
        <v/>
      </c>
      <c r="E271" s="68" t="str">
        <f>IFERROR(IF(DB_Customers!R265&lt;&gt;"",DB_Customers!R265,""),"")</f>
        <v/>
      </c>
      <c r="F271" s="68" t="str">
        <f>IFERROR(IF(DB_Customers!S265&lt;&gt;"",DB_Customers!S265,""),"")</f>
        <v/>
      </c>
      <c r="G271" s="68" t="str">
        <f>IFERROR(IF(DB_Customers!G265&lt;&gt;"",DB_Customers!G265,""),"")</f>
        <v/>
      </c>
      <c r="H271" s="70" t="str">
        <f>IFERROR(IF(DB_Customers!H265&lt;&gt;"",DB_Customers!H265,""),"")</f>
        <v/>
      </c>
      <c r="I271" s="71" t="str">
        <f>IFERROR(IF(DB_Customers!I265&lt;&gt;"",DB_Customers!I265,""),"")</f>
        <v/>
      </c>
      <c r="J271" s="69" t="str">
        <f>IFERROR(IF(DB_Customers!J265&lt;&gt;"",DB_Customers!J265,""),"")</f>
        <v/>
      </c>
      <c r="K271" s="68" t="str">
        <f>IFERROR(IF(DB_Customers!E265&lt;&gt;"",DB_Customers!E265,""),"")</f>
        <v/>
      </c>
      <c r="L271" s="68" t="str">
        <f>IFERROR(IF(DB_Customers!F265&lt;&gt;"",DB_Customers!F265,""),"")</f>
        <v/>
      </c>
      <c r="M271" s="68" t="str">
        <f>IFERROR(IF(DB_Customers!T265&lt;&gt;"",DB_Customers!T265,""),"")</f>
        <v/>
      </c>
      <c r="N271" s="72" t="str">
        <f>IFERROR(IF(DB_Customers!A265&lt;&gt;"",IF(DB_Customers!I265&gt;=10,"Active","Inactive"),""),"")</f>
        <v/>
      </c>
    </row>
    <row r="272" spans="1:14" ht="18" customHeight="1" x14ac:dyDescent="0.25">
      <c r="A272" s="59" t="str">
        <f>IF(DB_Customers!A266&lt;&gt;"",263,"")</f>
        <v/>
      </c>
      <c r="B272" s="60" t="str">
        <f>IFERROR(IF(DB_Customers!A266&lt;&gt;"",DB_Customers!A266,""),"")</f>
        <v/>
      </c>
      <c r="C272" s="61" t="str">
        <f>IFERROR(IF(DB_Customers!D266&lt;&gt;"",DB_Customers!D266,""),"")</f>
        <v/>
      </c>
      <c r="D272" s="62" t="str">
        <f>IFERROR(IF(DB_Customers!Q266&lt;&gt;"",DB_Customers!Q266,""),"")</f>
        <v/>
      </c>
      <c r="E272" s="61" t="str">
        <f>IFERROR(IF(DB_Customers!R266&lt;&gt;"",DB_Customers!R266,""),"")</f>
        <v/>
      </c>
      <c r="F272" s="61" t="str">
        <f>IFERROR(IF(DB_Customers!S266&lt;&gt;"",DB_Customers!S266,""),"")</f>
        <v/>
      </c>
      <c r="G272" s="61" t="str">
        <f>IFERROR(IF(DB_Customers!G266&lt;&gt;"",DB_Customers!G266,""),"")</f>
        <v/>
      </c>
      <c r="H272" s="63" t="str">
        <f>IFERROR(IF(DB_Customers!H266&lt;&gt;"",DB_Customers!H266,""),"")</f>
        <v/>
      </c>
      <c r="I272" s="64" t="str">
        <f>IFERROR(IF(DB_Customers!I266&lt;&gt;"",DB_Customers!I266,""),"")</f>
        <v/>
      </c>
      <c r="J272" s="62" t="str">
        <f>IFERROR(IF(DB_Customers!J266&lt;&gt;"",DB_Customers!J266,""),"")</f>
        <v/>
      </c>
      <c r="K272" s="61" t="str">
        <f>IFERROR(IF(DB_Customers!E266&lt;&gt;"",DB_Customers!E266,""),"")</f>
        <v/>
      </c>
      <c r="L272" s="61" t="str">
        <f>IFERROR(IF(DB_Customers!F266&lt;&gt;"",DB_Customers!F266,""),"")</f>
        <v/>
      </c>
      <c r="M272" s="61" t="str">
        <f>IFERROR(IF(DB_Customers!T266&lt;&gt;"",DB_Customers!T266,""),"")</f>
        <v/>
      </c>
      <c r="N272" s="65" t="str">
        <f>IFERROR(IF(DB_Customers!A266&lt;&gt;"",IF(DB_Customers!I266&gt;=10,"Active","Inactive"),""),"")</f>
        <v/>
      </c>
    </row>
    <row r="273" spans="1:14" ht="18" customHeight="1" x14ac:dyDescent="0.25">
      <c r="A273" s="66" t="str">
        <f>IF(DB_Customers!A267&lt;&gt;"",264,"")</f>
        <v/>
      </c>
      <c r="B273" s="67" t="str">
        <f>IFERROR(IF(DB_Customers!A267&lt;&gt;"",DB_Customers!A267,""),"")</f>
        <v/>
      </c>
      <c r="C273" s="68" t="str">
        <f>IFERROR(IF(DB_Customers!D267&lt;&gt;"",DB_Customers!D267,""),"")</f>
        <v/>
      </c>
      <c r="D273" s="69" t="str">
        <f>IFERROR(IF(DB_Customers!Q267&lt;&gt;"",DB_Customers!Q267,""),"")</f>
        <v/>
      </c>
      <c r="E273" s="68" t="str">
        <f>IFERROR(IF(DB_Customers!R267&lt;&gt;"",DB_Customers!R267,""),"")</f>
        <v/>
      </c>
      <c r="F273" s="68" t="str">
        <f>IFERROR(IF(DB_Customers!S267&lt;&gt;"",DB_Customers!S267,""),"")</f>
        <v/>
      </c>
      <c r="G273" s="68" t="str">
        <f>IFERROR(IF(DB_Customers!G267&lt;&gt;"",DB_Customers!G267,""),"")</f>
        <v/>
      </c>
      <c r="H273" s="70" t="str">
        <f>IFERROR(IF(DB_Customers!H267&lt;&gt;"",DB_Customers!H267,""),"")</f>
        <v/>
      </c>
      <c r="I273" s="71" t="str">
        <f>IFERROR(IF(DB_Customers!I267&lt;&gt;"",DB_Customers!I267,""),"")</f>
        <v/>
      </c>
      <c r="J273" s="69" t="str">
        <f>IFERROR(IF(DB_Customers!J267&lt;&gt;"",DB_Customers!J267,""),"")</f>
        <v/>
      </c>
      <c r="K273" s="68" t="str">
        <f>IFERROR(IF(DB_Customers!E267&lt;&gt;"",DB_Customers!E267,""),"")</f>
        <v/>
      </c>
      <c r="L273" s="68" t="str">
        <f>IFERROR(IF(DB_Customers!F267&lt;&gt;"",DB_Customers!F267,""),"")</f>
        <v/>
      </c>
      <c r="M273" s="68" t="str">
        <f>IFERROR(IF(DB_Customers!T267&lt;&gt;"",DB_Customers!T267,""),"")</f>
        <v/>
      </c>
      <c r="N273" s="72" t="str">
        <f>IFERROR(IF(DB_Customers!A267&lt;&gt;"",IF(DB_Customers!I267&gt;=10,"Active","Inactive"),""),"")</f>
        <v/>
      </c>
    </row>
    <row r="274" spans="1:14" ht="18" customHeight="1" x14ac:dyDescent="0.25">
      <c r="A274" s="59" t="str">
        <f>IF(DB_Customers!A268&lt;&gt;"",265,"")</f>
        <v/>
      </c>
      <c r="B274" s="60" t="str">
        <f>IFERROR(IF(DB_Customers!A268&lt;&gt;"",DB_Customers!A268,""),"")</f>
        <v/>
      </c>
      <c r="C274" s="61" t="str">
        <f>IFERROR(IF(DB_Customers!D268&lt;&gt;"",DB_Customers!D268,""),"")</f>
        <v/>
      </c>
      <c r="D274" s="62" t="str">
        <f>IFERROR(IF(DB_Customers!Q268&lt;&gt;"",DB_Customers!Q268,""),"")</f>
        <v/>
      </c>
      <c r="E274" s="61" t="str">
        <f>IFERROR(IF(DB_Customers!R268&lt;&gt;"",DB_Customers!R268,""),"")</f>
        <v/>
      </c>
      <c r="F274" s="61" t="str">
        <f>IFERROR(IF(DB_Customers!S268&lt;&gt;"",DB_Customers!S268,""),"")</f>
        <v/>
      </c>
      <c r="G274" s="61" t="str">
        <f>IFERROR(IF(DB_Customers!G268&lt;&gt;"",DB_Customers!G268,""),"")</f>
        <v/>
      </c>
      <c r="H274" s="63" t="str">
        <f>IFERROR(IF(DB_Customers!H268&lt;&gt;"",DB_Customers!H268,""),"")</f>
        <v/>
      </c>
      <c r="I274" s="64" t="str">
        <f>IFERROR(IF(DB_Customers!I268&lt;&gt;"",DB_Customers!I268,""),"")</f>
        <v/>
      </c>
      <c r="J274" s="62" t="str">
        <f>IFERROR(IF(DB_Customers!J268&lt;&gt;"",DB_Customers!J268,""),"")</f>
        <v/>
      </c>
      <c r="K274" s="61" t="str">
        <f>IFERROR(IF(DB_Customers!E268&lt;&gt;"",DB_Customers!E268,""),"")</f>
        <v/>
      </c>
      <c r="L274" s="61" t="str">
        <f>IFERROR(IF(DB_Customers!F268&lt;&gt;"",DB_Customers!F268,""),"")</f>
        <v/>
      </c>
      <c r="M274" s="61" t="str">
        <f>IFERROR(IF(DB_Customers!T268&lt;&gt;"",DB_Customers!T268,""),"")</f>
        <v/>
      </c>
      <c r="N274" s="65" t="str">
        <f>IFERROR(IF(DB_Customers!A268&lt;&gt;"",IF(DB_Customers!I268&gt;=10,"Active","Inactive"),""),"")</f>
        <v/>
      </c>
    </row>
    <row r="275" spans="1:14" ht="18" customHeight="1" x14ac:dyDescent="0.25">
      <c r="A275" s="66" t="str">
        <f>IF(DB_Customers!A269&lt;&gt;"",266,"")</f>
        <v/>
      </c>
      <c r="B275" s="67" t="str">
        <f>IFERROR(IF(DB_Customers!A269&lt;&gt;"",DB_Customers!A269,""),"")</f>
        <v/>
      </c>
      <c r="C275" s="68" t="str">
        <f>IFERROR(IF(DB_Customers!D269&lt;&gt;"",DB_Customers!D269,""),"")</f>
        <v/>
      </c>
      <c r="D275" s="69" t="str">
        <f>IFERROR(IF(DB_Customers!Q269&lt;&gt;"",DB_Customers!Q269,""),"")</f>
        <v/>
      </c>
      <c r="E275" s="68" t="str">
        <f>IFERROR(IF(DB_Customers!R269&lt;&gt;"",DB_Customers!R269,""),"")</f>
        <v/>
      </c>
      <c r="F275" s="68" t="str">
        <f>IFERROR(IF(DB_Customers!S269&lt;&gt;"",DB_Customers!S269,""),"")</f>
        <v/>
      </c>
      <c r="G275" s="68" t="str">
        <f>IFERROR(IF(DB_Customers!G269&lt;&gt;"",DB_Customers!G269,""),"")</f>
        <v/>
      </c>
      <c r="H275" s="70" t="str">
        <f>IFERROR(IF(DB_Customers!H269&lt;&gt;"",DB_Customers!H269,""),"")</f>
        <v/>
      </c>
      <c r="I275" s="71" t="str">
        <f>IFERROR(IF(DB_Customers!I269&lt;&gt;"",DB_Customers!I269,""),"")</f>
        <v/>
      </c>
      <c r="J275" s="69" t="str">
        <f>IFERROR(IF(DB_Customers!J269&lt;&gt;"",DB_Customers!J269,""),"")</f>
        <v/>
      </c>
      <c r="K275" s="68" t="str">
        <f>IFERROR(IF(DB_Customers!E269&lt;&gt;"",DB_Customers!E269,""),"")</f>
        <v/>
      </c>
      <c r="L275" s="68" t="str">
        <f>IFERROR(IF(DB_Customers!F269&lt;&gt;"",DB_Customers!F269,""),"")</f>
        <v/>
      </c>
      <c r="M275" s="68" t="str">
        <f>IFERROR(IF(DB_Customers!T269&lt;&gt;"",DB_Customers!T269,""),"")</f>
        <v/>
      </c>
      <c r="N275" s="72" t="str">
        <f>IFERROR(IF(DB_Customers!A269&lt;&gt;"",IF(DB_Customers!I269&gt;=10,"Active","Inactive"),""),"")</f>
        <v/>
      </c>
    </row>
    <row r="276" spans="1:14" ht="18" customHeight="1" x14ac:dyDescent="0.25">
      <c r="A276" s="59" t="str">
        <f>IF(DB_Customers!A270&lt;&gt;"",267,"")</f>
        <v/>
      </c>
      <c r="B276" s="60" t="str">
        <f>IFERROR(IF(DB_Customers!A270&lt;&gt;"",DB_Customers!A270,""),"")</f>
        <v/>
      </c>
      <c r="C276" s="61" t="str">
        <f>IFERROR(IF(DB_Customers!D270&lt;&gt;"",DB_Customers!D270,""),"")</f>
        <v/>
      </c>
      <c r="D276" s="62" t="str">
        <f>IFERROR(IF(DB_Customers!Q270&lt;&gt;"",DB_Customers!Q270,""),"")</f>
        <v/>
      </c>
      <c r="E276" s="61" t="str">
        <f>IFERROR(IF(DB_Customers!R270&lt;&gt;"",DB_Customers!R270,""),"")</f>
        <v/>
      </c>
      <c r="F276" s="61" t="str">
        <f>IFERROR(IF(DB_Customers!S270&lt;&gt;"",DB_Customers!S270,""),"")</f>
        <v/>
      </c>
      <c r="G276" s="61" t="str">
        <f>IFERROR(IF(DB_Customers!G270&lt;&gt;"",DB_Customers!G270,""),"")</f>
        <v/>
      </c>
      <c r="H276" s="63" t="str">
        <f>IFERROR(IF(DB_Customers!H270&lt;&gt;"",DB_Customers!H270,""),"")</f>
        <v/>
      </c>
      <c r="I276" s="64" t="str">
        <f>IFERROR(IF(DB_Customers!I270&lt;&gt;"",DB_Customers!I270,""),"")</f>
        <v/>
      </c>
      <c r="J276" s="62" t="str">
        <f>IFERROR(IF(DB_Customers!J270&lt;&gt;"",DB_Customers!J270,""),"")</f>
        <v/>
      </c>
      <c r="K276" s="61" t="str">
        <f>IFERROR(IF(DB_Customers!E270&lt;&gt;"",DB_Customers!E270,""),"")</f>
        <v/>
      </c>
      <c r="L276" s="61" t="str">
        <f>IFERROR(IF(DB_Customers!F270&lt;&gt;"",DB_Customers!F270,""),"")</f>
        <v/>
      </c>
      <c r="M276" s="61" t="str">
        <f>IFERROR(IF(DB_Customers!T270&lt;&gt;"",DB_Customers!T270,""),"")</f>
        <v/>
      </c>
      <c r="N276" s="65" t="str">
        <f>IFERROR(IF(DB_Customers!A270&lt;&gt;"",IF(DB_Customers!I270&gt;=10,"Active","Inactive"),""),"")</f>
        <v/>
      </c>
    </row>
    <row r="277" spans="1:14" ht="18" customHeight="1" x14ac:dyDescent="0.25">
      <c r="A277" s="66" t="str">
        <f>IF(DB_Customers!A271&lt;&gt;"",268,"")</f>
        <v/>
      </c>
      <c r="B277" s="67" t="str">
        <f>IFERROR(IF(DB_Customers!A271&lt;&gt;"",DB_Customers!A271,""),"")</f>
        <v/>
      </c>
      <c r="C277" s="68" t="str">
        <f>IFERROR(IF(DB_Customers!D271&lt;&gt;"",DB_Customers!D271,""),"")</f>
        <v/>
      </c>
      <c r="D277" s="69" t="str">
        <f>IFERROR(IF(DB_Customers!Q271&lt;&gt;"",DB_Customers!Q271,""),"")</f>
        <v/>
      </c>
      <c r="E277" s="68" t="str">
        <f>IFERROR(IF(DB_Customers!R271&lt;&gt;"",DB_Customers!R271,""),"")</f>
        <v/>
      </c>
      <c r="F277" s="68" t="str">
        <f>IFERROR(IF(DB_Customers!S271&lt;&gt;"",DB_Customers!S271,""),"")</f>
        <v/>
      </c>
      <c r="G277" s="68" t="str">
        <f>IFERROR(IF(DB_Customers!G271&lt;&gt;"",DB_Customers!G271,""),"")</f>
        <v/>
      </c>
      <c r="H277" s="70" t="str">
        <f>IFERROR(IF(DB_Customers!H271&lt;&gt;"",DB_Customers!H271,""),"")</f>
        <v/>
      </c>
      <c r="I277" s="71" t="str">
        <f>IFERROR(IF(DB_Customers!I271&lt;&gt;"",DB_Customers!I271,""),"")</f>
        <v/>
      </c>
      <c r="J277" s="69" t="str">
        <f>IFERROR(IF(DB_Customers!J271&lt;&gt;"",DB_Customers!J271,""),"")</f>
        <v/>
      </c>
      <c r="K277" s="68" t="str">
        <f>IFERROR(IF(DB_Customers!E271&lt;&gt;"",DB_Customers!E271,""),"")</f>
        <v/>
      </c>
      <c r="L277" s="68" t="str">
        <f>IFERROR(IF(DB_Customers!F271&lt;&gt;"",DB_Customers!F271,""),"")</f>
        <v/>
      </c>
      <c r="M277" s="68" t="str">
        <f>IFERROR(IF(DB_Customers!T271&lt;&gt;"",DB_Customers!T271,""),"")</f>
        <v/>
      </c>
      <c r="N277" s="72" t="str">
        <f>IFERROR(IF(DB_Customers!A271&lt;&gt;"",IF(DB_Customers!I271&gt;=10,"Active","Inactive"),""),"")</f>
        <v/>
      </c>
    </row>
    <row r="278" spans="1:14" ht="18" customHeight="1" x14ac:dyDescent="0.25">
      <c r="A278" s="59" t="str">
        <f>IF(DB_Customers!A272&lt;&gt;"",269,"")</f>
        <v/>
      </c>
      <c r="B278" s="60" t="str">
        <f>IFERROR(IF(DB_Customers!A272&lt;&gt;"",DB_Customers!A272,""),"")</f>
        <v/>
      </c>
      <c r="C278" s="61" t="str">
        <f>IFERROR(IF(DB_Customers!D272&lt;&gt;"",DB_Customers!D272,""),"")</f>
        <v/>
      </c>
      <c r="D278" s="62" t="str">
        <f>IFERROR(IF(DB_Customers!Q272&lt;&gt;"",DB_Customers!Q272,""),"")</f>
        <v/>
      </c>
      <c r="E278" s="61" t="str">
        <f>IFERROR(IF(DB_Customers!R272&lt;&gt;"",DB_Customers!R272,""),"")</f>
        <v/>
      </c>
      <c r="F278" s="61" t="str">
        <f>IFERROR(IF(DB_Customers!S272&lt;&gt;"",DB_Customers!S272,""),"")</f>
        <v/>
      </c>
      <c r="G278" s="61" t="str">
        <f>IFERROR(IF(DB_Customers!G272&lt;&gt;"",DB_Customers!G272,""),"")</f>
        <v/>
      </c>
      <c r="H278" s="63" t="str">
        <f>IFERROR(IF(DB_Customers!H272&lt;&gt;"",DB_Customers!H272,""),"")</f>
        <v/>
      </c>
      <c r="I278" s="64" t="str">
        <f>IFERROR(IF(DB_Customers!I272&lt;&gt;"",DB_Customers!I272,""),"")</f>
        <v/>
      </c>
      <c r="J278" s="62" t="str">
        <f>IFERROR(IF(DB_Customers!J272&lt;&gt;"",DB_Customers!J272,""),"")</f>
        <v/>
      </c>
      <c r="K278" s="61" t="str">
        <f>IFERROR(IF(DB_Customers!E272&lt;&gt;"",DB_Customers!E272,""),"")</f>
        <v/>
      </c>
      <c r="L278" s="61" t="str">
        <f>IFERROR(IF(DB_Customers!F272&lt;&gt;"",DB_Customers!F272,""),"")</f>
        <v/>
      </c>
      <c r="M278" s="61" t="str">
        <f>IFERROR(IF(DB_Customers!T272&lt;&gt;"",DB_Customers!T272,""),"")</f>
        <v/>
      </c>
      <c r="N278" s="65" t="str">
        <f>IFERROR(IF(DB_Customers!A272&lt;&gt;"",IF(DB_Customers!I272&gt;=10,"Active","Inactive"),""),"")</f>
        <v/>
      </c>
    </row>
    <row r="279" spans="1:14" ht="18" customHeight="1" x14ac:dyDescent="0.25">
      <c r="A279" s="66" t="str">
        <f>IF(DB_Customers!A273&lt;&gt;"",270,"")</f>
        <v/>
      </c>
      <c r="B279" s="67" t="str">
        <f>IFERROR(IF(DB_Customers!A273&lt;&gt;"",DB_Customers!A273,""),"")</f>
        <v/>
      </c>
      <c r="C279" s="68" t="str">
        <f>IFERROR(IF(DB_Customers!D273&lt;&gt;"",DB_Customers!D273,""),"")</f>
        <v/>
      </c>
      <c r="D279" s="69" t="str">
        <f>IFERROR(IF(DB_Customers!Q273&lt;&gt;"",DB_Customers!Q273,""),"")</f>
        <v/>
      </c>
      <c r="E279" s="68" t="str">
        <f>IFERROR(IF(DB_Customers!R273&lt;&gt;"",DB_Customers!R273,""),"")</f>
        <v/>
      </c>
      <c r="F279" s="68" t="str">
        <f>IFERROR(IF(DB_Customers!S273&lt;&gt;"",DB_Customers!S273,""),"")</f>
        <v/>
      </c>
      <c r="G279" s="68" t="str">
        <f>IFERROR(IF(DB_Customers!G273&lt;&gt;"",DB_Customers!G273,""),"")</f>
        <v/>
      </c>
      <c r="H279" s="70" t="str">
        <f>IFERROR(IF(DB_Customers!H273&lt;&gt;"",DB_Customers!H273,""),"")</f>
        <v/>
      </c>
      <c r="I279" s="71" t="str">
        <f>IFERROR(IF(DB_Customers!I273&lt;&gt;"",DB_Customers!I273,""),"")</f>
        <v/>
      </c>
      <c r="J279" s="69" t="str">
        <f>IFERROR(IF(DB_Customers!J273&lt;&gt;"",DB_Customers!J273,""),"")</f>
        <v/>
      </c>
      <c r="K279" s="68" t="str">
        <f>IFERROR(IF(DB_Customers!E273&lt;&gt;"",DB_Customers!E273,""),"")</f>
        <v/>
      </c>
      <c r="L279" s="68" t="str">
        <f>IFERROR(IF(DB_Customers!F273&lt;&gt;"",DB_Customers!F273,""),"")</f>
        <v/>
      </c>
      <c r="M279" s="68" t="str">
        <f>IFERROR(IF(DB_Customers!T273&lt;&gt;"",DB_Customers!T273,""),"")</f>
        <v/>
      </c>
      <c r="N279" s="72" t="str">
        <f>IFERROR(IF(DB_Customers!A273&lt;&gt;"",IF(DB_Customers!I273&gt;=10,"Active","Inactive"),""),"")</f>
        <v/>
      </c>
    </row>
    <row r="280" spans="1:14" ht="18" customHeight="1" x14ac:dyDescent="0.25">
      <c r="A280" s="59" t="str">
        <f>IF(DB_Customers!A274&lt;&gt;"",271,"")</f>
        <v/>
      </c>
      <c r="B280" s="60" t="str">
        <f>IFERROR(IF(DB_Customers!A274&lt;&gt;"",DB_Customers!A274,""),"")</f>
        <v/>
      </c>
      <c r="C280" s="61" t="str">
        <f>IFERROR(IF(DB_Customers!D274&lt;&gt;"",DB_Customers!D274,""),"")</f>
        <v/>
      </c>
      <c r="D280" s="62" t="str">
        <f>IFERROR(IF(DB_Customers!Q274&lt;&gt;"",DB_Customers!Q274,""),"")</f>
        <v/>
      </c>
      <c r="E280" s="61" t="str">
        <f>IFERROR(IF(DB_Customers!R274&lt;&gt;"",DB_Customers!R274,""),"")</f>
        <v/>
      </c>
      <c r="F280" s="61" t="str">
        <f>IFERROR(IF(DB_Customers!S274&lt;&gt;"",DB_Customers!S274,""),"")</f>
        <v/>
      </c>
      <c r="G280" s="61" t="str">
        <f>IFERROR(IF(DB_Customers!G274&lt;&gt;"",DB_Customers!G274,""),"")</f>
        <v/>
      </c>
      <c r="H280" s="63" t="str">
        <f>IFERROR(IF(DB_Customers!H274&lt;&gt;"",DB_Customers!H274,""),"")</f>
        <v/>
      </c>
      <c r="I280" s="64" t="str">
        <f>IFERROR(IF(DB_Customers!I274&lt;&gt;"",DB_Customers!I274,""),"")</f>
        <v/>
      </c>
      <c r="J280" s="62" t="str">
        <f>IFERROR(IF(DB_Customers!J274&lt;&gt;"",DB_Customers!J274,""),"")</f>
        <v/>
      </c>
      <c r="K280" s="61" t="str">
        <f>IFERROR(IF(DB_Customers!E274&lt;&gt;"",DB_Customers!E274,""),"")</f>
        <v/>
      </c>
      <c r="L280" s="61" t="str">
        <f>IFERROR(IF(DB_Customers!F274&lt;&gt;"",DB_Customers!F274,""),"")</f>
        <v/>
      </c>
      <c r="M280" s="61" t="str">
        <f>IFERROR(IF(DB_Customers!T274&lt;&gt;"",DB_Customers!T274,""),"")</f>
        <v/>
      </c>
      <c r="N280" s="65" t="str">
        <f>IFERROR(IF(DB_Customers!A274&lt;&gt;"",IF(DB_Customers!I274&gt;=10,"Active","Inactive"),""),"")</f>
        <v/>
      </c>
    </row>
    <row r="281" spans="1:14" ht="18" customHeight="1" x14ac:dyDescent="0.25">
      <c r="A281" s="66" t="str">
        <f>IF(DB_Customers!A275&lt;&gt;"",272,"")</f>
        <v/>
      </c>
      <c r="B281" s="67" t="str">
        <f>IFERROR(IF(DB_Customers!A275&lt;&gt;"",DB_Customers!A275,""),"")</f>
        <v/>
      </c>
      <c r="C281" s="68" t="str">
        <f>IFERROR(IF(DB_Customers!D275&lt;&gt;"",DB_Customers!D275,""),"")</f>
        <v/>
      </c>
      <c r="D281" s="69" t="str">
        <f>IFERROR(IF(DB_Customers!Q275&lt;&gt;"",DB_Customers!Q275,""),"")</f>
        <v/>
      </c>
      <c r="E281" s="68" t="str">
        <f>IFERROR(IF(DB_Customers!R275&lt;&gt;"",DB_Customers!R275,""),"")</f>
        <v/>
      </c>
      <c r="F281" s="68" t="str">
        <f>IFERROR(IF(DB_Customers!S275&lt;&gt;"",DB_Customers!S275,""),"")</f>
        <v/>
      </c>
      <c r="G281" s="68" t="str">
        <f>IFERROR(IF(DB_Customers!G275&lt;&gt;"",DB_Customers!G275,""),"")</f>
        <v/>
      </c>
      <c r="H281" s="70" t="str">
        <f>IFERROR(IF(DB_Customers!H275&lt;&gt;"",DB_Customers!H275,""),"")</f>
        <v/>
      </c>
      <c r="I281" s="71" t="str">
        <f>IFERROR(IF(DB_Customers!I275&lt;&gt;"",DB_Customers!I275,""),"")</f>
        <v/>
      </c>
      <c r="J281" s="69" t="str">
        <f>IFERROR(IF(DB_Customers!J275&lt;&gt;"",DB_Customers!J275,""),"")</f>
        <v/>
      </c>
      <c r="K281" s="68" t="str">
        <f>IFERROR(IF(DB_Customers!E275&lt;&gt;"",DB_Customers!E275,""),"")</f>
        <v/>
      </c>
      <c r="L281" s="68" t="str">
        <f>IFERROR(IF(DB_Customers!F275&lt;&gt;"",DB_Customers!F275,""),"")</f>
        <v/>
      </c>
      <c r="M281" s="68" t="str">
        <f>IFERROR(IF(DB_Customers!T275&lt;&gt;"",DB_Customers!T275,""),"")</f>
        <v/>
      </c>
      <c r="N281" s="72" t="str">
        <f>IFERROR(IF(DB_Customers!A275&lt;&gt;"",IF(DB_Customers!I275&gt;=10,"Active","Inactive"),""),"")</f>
        <v/>
      </c>
    </row>
    <row r="282" spans="1:14" ht="18" customHeight="1" x14ac:dyDescent="0.25">
      <c r="A282" s="59" t="str">
        <f>IF(DB_Customers!A276&lt;&gt;"",273,"")</f>
        <v/>
      </c>
      <c r="B282" s="60" t="str">
        <f>IFERROR(IF(DB_Customers!A276&lt;&gt;"",DB_Customers!A276,""),"")</f>
        <v/>
      </c>
      <c r="C282" s="61" t="str">
        <f>IFERROR(IF(DB_Customers!D276&lt;&gt;"",DB_Customers!D276,""),"")</f>
        <v/>
      </c>
      <c r="D282" s="62" t="str">
        <f>IFERROR(IF(DB_Customers!Q276&lt;&gt;"",DB_Customers!Q276,""),"")</f>
        <v/>
      </c>
      <c r="E282" s="61" t="str">
        <f>IFERROR(IF(DB_Customers!R276&lt;&gt;"",DB_Customers!R276,""),"")</f>
        <v/>
      </c>
      <c r="F282" s="61" t="str">
        <f>IFERROR(IF(DB_Customers!S276&lt;&gt;"",DB_Customers!S276,""),"")</f>
        <v/>
      </c>
      <c r="G282" s="61" t="str">
        <f>IFERROR(IF(DB_Customers!G276&lt;&gt;"",DB_Customers!G276,""),"")</f>
        <v/>
      </c>
      <c r="H282" s="63" t="str">
        <f>IFERROR(IF(DB_Customers!H276&lt;&gt;"",DB_Customers!H276,""),"")</f>
        <v/>
      </c>
      <c r="I282" s="64" t="str">
        <f>IFERROR(IF(DB_Customers!I276&lt;&gt;"",DB_Customers!I276,""),"")</f>
        <v/>
      </c>
      <c r="J282" s="62" t="str">
        <f>IFERROR(IF(DB_Customers!J276&lt;&gt;"",DB_Customers!J276,""),"")</f>
        <v/>
      </c>
      <c r="K282" s="61" t="str">
        <f>IFERROR(IF(DB_Customers!E276&lt;&gt;"",DB_Customers!E276,""),"")</f>
        <v/>
      </c>
      <c r="L282" s="61" t="str">
        <f>IFERROR(IF(DB_Customers!F276&lt;&gt;"",DB_Customers!F276,""),"")</f>
        <v/>
      </c>
      <c r="M282" s="61" t="str">
        <f>IFERROR(IF(DB_Customers!T276&lt;&gt;"",DB_Customers!T276,""),"")</f>
        <v/>
      </c>
      <c r="N282" s="65" t="str">
        <f>IFERROR(IF(DB_Customers!A276&lt;&gt;"",IF(DB_Customers!I276&gt;=10,"Active","Inactive"),""),"")</f>
        <v/>
      </c>
    </row>
    <row r="283" spans="1:14" ht="18" customHeight="1" x14ac:dyDescent="0.25">
      <c r="A283" s="66" t="str">
        <f>IF(DB_Customers!A277&lt;&gt;"",274,"")</f>
        <v/>
      </c>
      <c r="B283" s="67" t="str">
        <f>IFERROR(IF(DB_Customers!A277&lt;&gt;"",DB_Customers!A277,""),"")</f>
        <v/>
      </c>
      <c r="C283" s="68" t="str">
        <f>IFERROR(IF(DB_Customers!D277&lt;&gt;"",DB_Customers!D277,""),"")</f>
        <v/>
      </c>
      <c r="D283" s="69" t="str">
        <f>IFERROR(IF(DB_Customers!Q277&lt;&gt;"",DB_Customers!Q277,""),"")</f>
        <v/>
      </c>
      <c r="E283" s="68" t="str">
        <f>IFERROR(IF(DB_Customers!R277&lt;&gt;"",DB_Customers!R277,""),"")</f>
        <v/>
      </c>
      <c r="F283" s="68" t="str">
        <f>IFERROR(IF(DB_Customers!S277&lt;&gt;"",DB_Customers!S277,""),"")</f>
        <v/>
      </c>
      <c r="G283" s="68" t="str">
        <f>IFERROR(IF(DB_Customers!G277&lt;&gt;"",DB_Customers!G277,""),"")</f>
        <v/>
      </c>
      <c r="H283" s="70" t="str">
        <f>IFERROR(IF(DB_Customers!H277&lt;&gt;"",DB_Customers!H277,""),"")</f>
        <v/>
      </c>
      <c r="I283" s="71" t="str">
        <f>IFERROR(IF(DB_Customers!I277&lt;&gt;"",DB_Customers!I277,""),"")</f>
        <v/>
      </c>
      <c r="J283" s="69" t="str">
        <f>IFERROR(IF(DB_Customers!J277&lt;&gt;"",DB_Customers!J277,""),"")</f>
        <v/>
      </c>
      <c r="K283" s="68" t="str">
        <f>IFERROR(IF(DB_Customers!E277&lt;&gt;"",DB_Customers!E277,""),"")</f>
        <v/>
      </c>
      <c r="L283" s="68" t="str">
        <f>IFERROR(IF(DB_Customers!F277&lt;&gt;"",DB_Customers!F277,""),"")</f>
        <v/>
      </c>
      <c r="M283" s="68" t="str">
        <f>IFERROR(IF(DB_Customers!T277&lt;&gt;"",DB_Customers!T277,""),"")</f>
        <v/>
      </c>
      <c r="N283" s="72" t="str">
        <f>IFERROR(IF(DB_Customers!A277&lt;&gt;"",IF(DB_Customers!I277&gt;=10,"Active","Inactive"),""),"")</f>
        <v/>
      </c>
    </row>
    <row r="284" spans="1:14" ht="18" customHeight="1" x14ac:dyDescent="0.25">
      <c r="A284" s="59" t="str">
        <f>IF(DB_Customers!A278&lt;&gt;"",275,"")</f>
        <v/>
      </c>
      <c r="B284" s="60" t="str">
        <f>IFERROR(IF(DB_Customers!A278&lt;&gt;"",DB_Customers!A278,""),"")</f>
        <v/>
      </c>
      <c r="C284" s="61" t="str">
        <f>IFERROR(IF(DB_Customers!D278&lt;&gt;"",DB_Customers!D278,""),"")</f>
        <v/>
      </c>
      <c r="D284" s="62" t="str">
        <f>IFERROR(IF(DB_Customers!Q278&lt;&gt;"",DB_Customers!Q278,""),"")</f>
        <v/>
      </c>
      <c r="E284" s="61" t="str">
        <f>IFERROR(IF(DB_Customers!R278&lt;&gt;"",DB_Customers!R278,""),"")</f>
        <v/>
      </c>
      <c r="F284" s="61" t="str">
        <f>IFERROR(IF(DB_Customers!S278&lt;&gt;"",DB_Customers!S278,""),"")</f>
        <v/>
      </c>
      <c r="G284" s="61" t="str">
        <f>IFERROR(IF(DB_Customers!G278&lt;&gt;"",DB_Customers!G278,""),"")</f>
        <v/>
      </c>
      <c r="H284" s="63" t="str">
        <f>IFERROR(IF(DB_Customers!H278&lt;&gt;"",DB_Customers!H278,""),"")</f>
        <v/>
      </c>
      <c r="I284" s="64" t="str">
        <f>IFERROR(IF(DB_Customers!I278&lt;&gt;"",DB_Customers!I278,""),"")</f>
        <v/>
      </c>
      <c r="J284" s="62" t="str">
        <f>IFERROR(IF(DB_Customers!J278&lt;&gt;"",DB_Customers!J278,""),"")</f>
        <v/>
      </c>
      <c r="K284" s="61" t="str">
        <f>IFERROR(IF(DB_Customers!E278&lt;&gt;"",DB_Customers!E278,""),"")</f>
        <v/>
      </c>
      <c r="L284" s="61" t="str">
        <f>IFERROR(IF(DB_Customers!F278&lt;&gt;"",DB_Customers!F278,""),"")</f>
        <v/>
      </c>
      <c r="M284" s="61" t="str">
        <f>IFERROR(IF(DB_Customers!T278&lt;&gt;"",DB_Customers!T278,""),"")</f>
        <v/>
      </c>
      <c r="N284" s="65" t="str">
        <f>IFERROR(IF(DB_Customers!A278&lt;&gt;"",IF(DB_Customers!I278&gt;=10,"Active","Inactive"),""),"")</f>
        <v/>
      </c>
    </row>
    <row r="285" spans="1:14" ht="18" customHeight="1" x14ac:dyDescent="0.25">
      <c r="A285" s="66" t="str">
        <f>IF(DB_Customers!A279&lt;&gt;"",276,"")</f>
        <v/>
      </c>
      <c r="B285" s="67" t="str">
        <f>IFERROR(IF(DB_Customers!A279&lt;&gt;"",DB_Customers!A279,""),"")</f>
        <v/>
      </c>
      <c r="C285" s="68" t="str">
        <f>IFERROR(IF(DB_Customers!D279&lt;&gt;"",DB_Customers!D279,""),"")</f>
        <v/>
      </c>
      <c r="D285" s="69" t="str">
        <f>IFERROR(IF(DB_Customers!Q279&lt;&gt;"",DB_Customers!Q279,""),"")</f>
        <v/>
      </c>
      <c r="E285" s="68" t="str">
        <f>IFERROR(IF(DB_Customers!R279&lt;&gt;"",DB_Customers!R279,""),"")</f>
        <v/>
      </c>
      <c r="F285" s="68" t="str">
        <f>IFERROR(IF(DB_Customers!S279&lt;&gt;"",DB_Customers!S279,""),"")</f>
        <v/>
      </c>
      <c r="G285" s="68" t="str">
        <f>IFERROR(IF(DB_Customers!G279&lt;&gt;"",DB_Customers!G279,""),"")</f>
        <v/>
      </c>
      <c r="H285" s="70" t="str">
        <f>IFERROR(IF(DB_Customers!H279&lt;&gt;"",DB_Customers!H279,""),"")</f>
        <v/>
      </c>
      <c r="I285" s="71" t="str">
        <f>IFERROR(IF(DB_Customers!I279&lt;&gt;"",DB_Customers!I279,""),"")</f>
        <v/>
      </c>
      <c r="J285" s="69" t="str">
        <f>IFERROR(IF(DB_Customers!J279&lt;&gt;"",DB_Customers!J279,""),"")</f>
        <v/>
      </c>
      <c r="K285" s="68" t="str">
        <f>IFERROR(IF(DB_Customers!E279&lt;&gt;"",DB_Customers!E279,""),"")</f>
        <v/>
      </c>
      <c r="L285" s="68" t="str">
        <f>IFERROR(IF(DB_Customers!F279&lt;&gt;"",DB_Customers!F279,""),"")</f>
        <v/>
      </c>
      <c r="M285" s="68" t="str">
        <f>IFERROR(IF(DB_Customers!T279&lt;&gt;"",DB_Customers!T279,""),"")</f>
        <v/>
      </c>
      <c r="N285" s="72" t="str">
        <f>IFERROR(IF(DB_Customers!A279&lt;&gt;"",IF(DB_Customers!I279&gt;=10,"Active","Inactive"),""),"")</f>
        <v/>
      </c>
    </row>
    <row r="286" spans="1:14" ht="18" customHeight="1" x14ac:dyDescent="0.25">
      <c r="A286" s="59" t="str">
        <f>IF(DB_Customers!A280&lt;&gt;"",277,"")</f>
        <v/>
      </c>
      <c r="B286" s="60" t="str">
        <f>IFERROR(IF(DB_Customers!A280&lt;&gt;"",DB_Customers!A280,""),"")</f>
        <v/>
      </c>
      <c r="C286" s="61" t="str">
        <f>IFERROR(IF(DB_Customers!D280&lt;&gt;"",DB_Customers!D280,""),"")</f>
        <v/>
      </c>
      <c r="D286" s="62" t="str">
        <f>IFERROR(IF(DB_Customers!Q280&lt;&gt;"",DB_Customers!Q280,""),"")</f>
        <v/>
      </c>
      <c r="E286" s="61" t="str">
        <f>IFERROR(IF(DB_Customers!R280&lt;&gt;"",DB_Customers!R280,""),"")</f>
        <v/>
      </c>
      <c r="F286" s="61" t="str">
        <f>IFERROR(IF(DB_Customers!S280&lt;&gt;"",DB_Customers!S280,""),"")</f>
        <v/>
      </c>
      <c r="G286" s="61" t="str">
        <f>IFERROR(IF(DB_Customers!G280&lt;&gt;"",DB_Customers!G280,""),"")</f>
        <v/>
      </c>
      <c r="H286" s="63" t="str">
        <f>IFERROR(IF(DB_Customers!H280&lt;&gt;"",DB_Customers!H280,""),"")</f>
        <v/>
      </c>
      <c r="I286" s="64" t="str">
        <f>IFERROR(IF(DB_Customers!I280&lt;&gt;"",DB_Customers!I280,""),"")</f>
        <v/>
      </c>
      <c r="J286" s="62" t="str">
        <f>IFERROR(IF(DB_Customers!J280&lt;&gt;"",DB_Customers!J280,""),"")</f>
        <v/>
      </c>
      <c r="K286" s="61" t="str">
        <f>IFERROR(IF(DB_Customers!E280&lt;&gt;"",DB_Customers!E280,""),"")</f>
        <v/>
      </c>
      <c r="L286" s="61" t="str">
        <f>IFERROR(IF(DB_Customers!F280&lt;&gt;"",DB_Customers!F280,""),"")</f>
        <v/>
      </c>
      <c r="M286" s="61" t="str">
        <f>IFERROR(IF(DB_Customers!T280&lt;&gt;"",DB_Customers!T280,""),"")</f>
        <v/>
      </c>
      <c r="N286" s="65" t="str">
        <f>IFERROR(IF(DB_Customers!A280&lt;&gt;"",IF(DB_Customers!I280&gt;=10,"Active","Inactive"),""),"")</f>
        <v/>
      </c>
    </row>
    <row r="287" spans="1:14" ht="18" customHeight="1" x14ac:dyDescent="0.25">
      <c r="A287" s="66" t="str">
        <f>IF(DB_Customers!A281&lt;&gt;"",278,"")</f>
        <v/>
      </c>
      <c r="B287" s="67" t="str">
        <f>IFERROR(IF(DB_Customers!A281&lt;&gt;"",DB_Customers!A281,""),"")</f>
        <v/>
      </c>
      <c r="C287" s="68" t="str">
        <f>IFERROR(IF(DB_Customers!D281&lt;&gt;"",DB_Customers!D281,""),"")</f>
        <v/>
      </c>
      <c r="D287" s="69" t="str">
        <f>IFERROR(IF(DB_Customers!Q281&lt;&gt;"",DB_Customers!Q281,""),"")</f>
        <v/>
      </c>
      <c r="E287" s="68" t="str">
        <f>IFERROR(IF(DB_Customers!R281&lt;&gt;"",DB_Customers!R281,""),"")</f>
        <v/>
      </c>
      <c r="F287" s="68" t="str">
        <f>IFERROR(IF(DB_Customers!S281&lt;&gt;"",DB_Customers!S281,""),"")</f>
        <v/>
      </c>
      <c r="G287" s="68" t="str">
        <f>IFERROR(IF(DB_Customers!G281&lt;&gt;"",DB_Customers!G281,""),"")</f>
        <v/>
      </c>
      <c r="H287" s="70" t="str">
        <f>IFERROR(IF(DB_Customers!H281&lt;&gt;"",DB_Customers!H281,""),"")</f>
        <v/>
      </c>
      <c r="I287" s="71" t="str">
        <f>IFERROR(IF(DB_Customers!I281&lt;&gt;"",DB_Customers!I281,""),"")</f>
        <v/>
      </c>
      <c r="J287" s="69" t="str">
        <f>IFERROR(IF(DB_Customers!J281&lt;&gt;"",DB_Customers!J281,""),"")</f>
        <v/>
      </c>
      <c r="K287" s="68" t="str">
        <f>IFERROR(IF(DB_Customers!E281&lt;&gt;"",DB_Customers!E281,""),"")</f>
        <v/>
      </c>
      <c r="L287" s="68" t="str">
        <f>IFERROR(IF(DB_Customers!F281&lt;&gt;"",DB_Customers!F281,""),"")</f>
        <v/>
      </c>
      <c r="M287" s="68" t="str">
        <f>IFERROR(IF(DB_Customers!T281&lt;&gt;"",DB_Customers!T281,""),"")</f>
        <v/>
      </c>
      <c r="N287" s="72" t="str">
        <f>IFERROR(IF(DB_Customers!A281&lt;&gt;"",IF(DB_Customers!I281&gt;=10,"Active","Inactive"),""),"")</f>
        <v/>
      </c>
    </row>
    <row r="288" spans="1:14" ht="18" customHeight="1" x14ac:dyDescent="0.25">
      <c r="A288" s="59" t="str">
        <f>IF(DB_Customers!A282&lt;&gt;"",279,"")</f>
        <v/>
      </c>
      <c r="B288" s="60" t="str">
        <f>IFERROR(IF(DB_Customers!A282&lt;&gt;"",DB_Customers!A282,""),"")</f>
        <v/>
      </c>
      <c r="C288" s="61" t="str">
        <f>IFERROR(IF(DB_Customers!D282&lt;&gt;"",DB_Customers!D282,""),"")</f>
        <v/>
      </c>
      <c r="D288" s="62" t="str">
        <f>IFERROR(IF(DB_Customers!Q282&lt;&gt;"",DB_Customers!Q282,""),"")</f>
        <v/>
      </c>
      <c r="E288" s="61" t="str">
        <f>IFERROR(IF(DB_Customers!R282&lt;&gt;"",DB_Customers!R282,""),"")</f>
        <v/>
      </c>
      <c r="F288" s="61" t="str">
        <f>IFERROR(IF(DB_Customers!S282&lt;&gt;"",DB_Customers!S282,""),"")</f>
        <v/>
      </c>
      <c r="G288" s="61" t="str">
        <f>IFERROR(IF(DB_Customers!G282&lt;&gt;"",DB_Customers!G282,""),"")</f>
        <v/>
      </c>
      <c r="H288" s="63" t="str">
        <f>IFERROR(IF(DB_Customers!H282&lt;&gt;"",DB_Customers!H282,""),"")</f>
        <v/>
      </c>
      <c r="I288" s="64" t="str">
        <f>IFERROR(IF(DB_Customers!I282&lt;&gt;"",DB_Customers!I282,""),"")</f>
        <v/>
      </c>
      <c r="J288" s="62" t="str">
        <f>IFERROR(IF(DB_Customers!J282&lt;&gt;"",DB_Customers!J282,""),"")</f>
        <v/>
      </c>
      <c r="K288" s="61" t="str">
        <f>IFERROR(IF(DB_Customers!E282&lt;&gt;"",DB_Customers!E282,""),"")</f>
        <v/>
      </c>
      <c r="L288" s="61" t="str">
        <f>IFERROR(IF(DB_Customers!F282&lt;&gt;"",DB_Customers!F282,""),"")</f>
        <v/>
      </c>
      <c r="M288" s="61" t="str">
        <f>IFERROR(IF(DB_Customers!T282&lt;&gt;"",DB_Customers!T282,""),"")</f>
        <v/>
      </c>
      <c r="N288" s="65" t="str">
        <f>IFERROR(IF(DB_Customers!A282&lt;&gt;"",IF(DB_Customers!I282&gt;=10,"Active","Inactive"),""),"")</f>
        <v/>
      </c>
    </row>
    <row r="289" spans="1:14" ht="18" customHeight="1" x14ac:dyDescent="0.25">
      <c r="A289" s="66" t="str">
        <f>IF(DB_Customers!A283&lt;&gt;"",280,"")</f>
        <v/>
      </c>
      <c r="B289" s="67" t="str">
        <f>IFERROR(IF(DB_Customers!A283&lt;&gt;"",DB_Customers!A283,""),"")</f>
        <v/>
      </c>
      <c r="C289" s="68" t="str">
        <f>IFERROR(IF(DB_Customers!D283&lt;&gt;"",DB_Customers!D283,""),"")</f>
        <v/>
      </c>
      <c r="D289" s="69" t="str">
        <f>IFERROR(IF(DB_Customers!Q283&lt;&gt;"",DB_Customers!Q283,""),"")</f>
        <v/>
      </c>
      <c r="E289" s="68" t="str">
        <f>IFERROR(IF(DB_Customers!R283&lt;&gt;"",DB_Customers!R283,""),"")</f>
        <v/>
      </c>
      <c r="F289" s="68" t="str">
        <f>IFERROR(IF(DB_Customers!S283&lt;&gt;"",DB_Customers!S283,""),"")</f>
        <v/>
      </c>
      <c r="G289" s="68" t="str">
        <f>IFERROR(IF(DB_Customers!G283&lt;&gt;"",DB_Customers!G283,""),"")</f>
        <v/>
      </c>
      <c r="H289" s="70" t="str">
        <f>IFERROR(IF(DB_Customers!H283&lt;&gt;"",DB_Customers!H283,""),"")</f>
        <v/>
      </c>
      <c r="I289" s="71" t="str">
        <f>IFERROR(IF(DB_Customers!I283&lt;&gt;"",DB_Customers!I283,""),"")</f>
        <v/>
      </c>
      <c r="J289" s="69" t="str">
        <f>IFERROR(IF(DB_Customers!J283&lt;&gt;"",DB_Customers!J283,""),"")</f>
        <v/>
      </c>
      <c r="K289" s="68" t="str">
        <f>IFERROR(IF(DB_Customers!E283&lt;&gt;"",DB_Customers!E283,""),"")</f>
        <v/>
      </c>
      <c r="L289" s="68" t="str">
        <f>IFERROR(IF(DB_Customers!F283&lt;&gt;"",DB_Customers!F283,""),"")</f>
        <v/>
      </c>
      <c r="M289" s="68" t="str">
        <f>IFERROR(IF(DB_Customers!T283&lt;&gt;"",DB_Customers!T283,""),"")</f>
        <v/>
      </c>
      <c r="N289" s="72" t="str">
        <f>IFERROR(IF(DB_Customers!A283&lt;&gt;"",IF(DB_Customers!I283&gt;=10,"Active","Inactive"),""),"")</f>
        <v/>
      </c>
    </row>
    <row r="290" spans="1:14" ht="18" customHeight="1" x14ac:dyDescent="0.25">
      <c r="A290" s="59" t="str">
        <f>IF(DB_Customers!A284&lt;&gt;"",281,"")</f>
        <v/>
      </c>
      <c r="B290" s="60" t="str">
        <f>IFERROR(IF(DB_Customers!A284&lt;&gt;"",DB_Customers!A284,""),"")</f>
        <v/>
      </c>
      <c r="C290" s="61" t="str">
        <f>IFERROR(IF(DB_Customers!D284&lt;&gt;"",DB_Customers!D284,""),"")</f>
        <v/>
      </c>
      <c r="D290" s="62" t="str">
        <f>IFERROR(IF(DB_Customers!Q284&lt;&gt;"",DB_Customers!Q284,""),"")</f>
        <v/>
      </c>
      <c r="E290" s="61" t="str">
        <f>IFERROR(IF(DB_Customers!R284&lt;&gt;"",DB_Customers!R284,""),"")</f>
        <v/>
      </c>
      <c r="F290" s="61" t="str">
        <f>IFERROR(IF(DB_Customers!S284&lt;&gt;"",DB_Customers!S284,""),"")</f>
        <v/>
      </c>
      <c r="G290" s="61" t="str">
        <f>IFERROR(IF(DB_Customers!G284&lt;&gt;"",DB_Customers!G284,""),"")</f>
        <v/>
      </c>
      <c r="H290" s="63" t="str">
        <f>IFERROR(IF(DB_Customers!H284&lt;&gt;"",DB_Customers!H284,""),"")</f>
        <v/>
      </c>
      <c r="I290" s="64" t="str">
        <f>IFERROR(IF(DB_Customers!I284&lt;&gt;"",DB_Customers!I284,""),"")</f>
        <v/>
      </c>
      <c r="J290" s="62" t="str">
        <f>IFERROR(IF(DB_Customers!J284&lt;&gt;"",DB_Customers!J284,""),"")</f>
        <v/>
      </c>
      <c r="K290" s="61" t="str">
        <f>IFERROR(IF(DB_Customers!E284&lt;&gt;"",DB_Customers!E284,""),"")</f>
        <v/>
      </c>
      <c r="L290" s="61" t="str">
        <f>IFERROR(IF(DB_Customers!F284&lt;&gt;"",DB_Customers!F284,""),"")</f>
        <v/>
      </c>
      <c r="M290" s="61" t="str">
        <f>IFERROR(IF(DB_Customers!T284&lt;&gt;"",DB_Customers!T284,""),"")</f>
        <v/>
      </c>
      <c r="N290" s="65" t="str">
        <f>IFERROR(IF(DB_Customers!A284&lt;&gt;"",IF(DB_Customers!I284&gt;=10,"Active","Inactive"),""),"")</f>
        <v/>
      </c>
    </row>
    <row r="291" spans="1:14" ht="18" customHeight="1" x14ac:dyDescent="0.25">
      <c r="A291" s="66" t="str">
        <f>IF(DB_Customers!A285&lt;&gt;"",282,"")</f>
        <v/>
      </c>
      <c r="B291" s="67" t="str">
        <f>IFERROR(IF(DB_Customers!A285&lt;&gt;"",DB_Customers!A285,""),"")</f>
        <v/>
      </c>
      <c r="C291" s="68" t="str">
        <f>IFERROR(IF(DB_Customers!D285&lt;&gt;"",DB_Customers!D285,""),"")</f>
        <v/>
      </c>
      <c r="D291" s="69" t="str">
        <f>IFERROR(IF(DB_Customers!Q285&lt;&gt;"",DB_Customers!Q285,""),"")</f>
        <v/>
      </c>
      <c r="E291" s="68" t="str">
        <f>IFERROR(IF(DB_Customers!R285&lt;&gt;"",DB_Customers!R285,""),"")</f>
        <v/>
      </c>
      <c r="F291" s="68" t="str">
        <f>IFERROR(IF(DB_Customers!S285&lt;&gt;"",DB_Customers!S285,""),"")</f>
        <v/>
      </c>
      <c r="G291" s="68" t="str">
        <f>IFERROR(IF(DB_Customers!G285&lt;&gt;"",DB_Customers!G285,""),"")</f>
        <v/>
      </c>
      <c r="H291" s="70" t="str">
        <f>IFERROR(IF(DB_Customers!H285&lt;&gt;"",DB_Customers!H285,""),"")</f>
        <v/>
      </c>
      <c r="I291" s="71" t="str">
        <f>IFERROR(IF(DB_Customers!I285&lt;&gt;"",DB_Customers!I285,""),"")</f>
        <v/>
      </c>
      <c r="J291" s="69" t="str">
        <f>IFERROR(IF(DB_Customers!J285&lt;&gt;"",DB_Customers!J285,""),"")</f>
        <v/>
      </c>
      <c r="K291" s="68" t="str">
        <f>IFERROR(IF(DB_Customers!E285&lt;&gt;"",DB_Customers!E285,""),"")</f>
        <v/>
      </c>
      <c r="L291" s="68" t="str">
        <f>IFERROR(IF(DB_Customers!F285&lt;&gt;"",DB_Customers!F285,""),"")</f>
        <v/>
      </c>
      <c r="M291" s="68" t="str">
        <f>IFERROR(IF(DB_Customers!T285&lt;&gt;"",DB_Customers!T285,""),"")</f>
        <v/>
      </c>
      <c r="N291" s="72" t="str">
        <f>IFERROR(IF(DB_Customers!A285&lt;&gt;"",IF(DB_Customers!I285&gt;=10,"Active","Inactive"),""),"")</f>
        <v/>
      </c>
    </row>
    <row r="292" spans="1:14" ht="18" customHeight="1" x14ac:dyDescent="0.25">
      <c r="A292" s="59" t="str">
        <f>IF(DB_Customers!A286&lt;&gt;"",283,"")</f>
        <v/>
      </c>
      <c r="B292" s="60" t="str">
        <f>IFERROR(IF(DB_Customers!A286&lt;&gt;"",DB_Customers!A286,""),"")</f>
        <v/>
      </c>
      <c r="C292" s="61" t="str">
        <f>IFERROR(IF(DB_Customers!D286&lt;&gt;"",DB_Customers!D286,""),"")</f>
        <v/>
      </c>
      <c r="D292" s="62" t="str">
        <f>IFERROR(IF(DB_Customers!Q286&lt;&gt;"",DB_Customers!Q286,""),"")</f>
        <v/>
      </c>
      <c r="E292" s="61" t="str">
        <f>IFERROR(IF(DB_Customers!R286&lt;&gt;"",DB_Customers!R286,""),"")</f>
        <v/>
      </c>
      <c r="F292" s="61" t="str">
        <f>IFERROR(IF(DB_Customers!S286&lt;&gt;"",DB_Customers!S286,""),"")</f>
        <v/>
      </c>
      <c r="G292" s="61" t="str">
        <f>IFERROR(IF(DB_Customers!G286&lt;&gt;"",DB_Customers!G286,""),"")</f>
        <v/>
      </c>
      <c r="H292" s="63" t="str">
        <f>IFERROR(IF(DB_Customers!H286&lt;&gt;"",DB_Customers!H286,""),"")</f>
        <v/>
      </c>
      <c r="I292" s="64" t="str">
        <f>IFERROR(IF(DB_Customers!I286&lt;&gt;"",DB_Customers!I286,""),"")</f>
        <v/>
      </c>
      <c r="J292" s="62" t="str">
        <f>IFERROR(IF(DB_Customers!J286&lt;&gt;"",DB_Customers!J286,""),"")</f>
        <v/>
      </c>
      <c r="K292" s="61" t="str">
        <f>IFERROR(IF(DB_Customers!E286&lt;&gt;"",DB_Customers!E286,""),"")</f>
        <v/>
      </c>
      <c r="L292" s="61" t="str">
        <f>IFERROR(IF(DB_Customers!F286&lt;&gt;"",DB_Customers!F286,""),"")</f>
        <v/>
      </c>
      <c r="M292" s="61" t="str">
        <f>IFERROR(IF(DB_Customers!T286&lt;&gt;"",DB_Customers!T286,""),"")</f>
        <v/>
      </c>
      <c r="N292" s="65" t="str">
        <f>IFERROR(IF(DB_Customers!A286&lt;&gt;"",IF(DB_Customers!I286&gt;=10,"Active","Inactive"),""),"")</f>
        <v/>
      </c>
    </row>
    <row r="293" spans="1:14" ht="18" customHeight="1" x14ac:dyDescent="0.25">
      <c r="A293" s="66" t="str">
        <f>IF(DB_Customers!A287&lt;&gt;"",284,"")</f>
        <v/>
      </c>
      <c r="B293" s="67" t="str">
        <f>IFERROR(IF(DB_Customers!A287&lt;&gt;"",DB_Customers!A287,""),"")</f>
        <v/>
      </c>
      <c r="C293" s="68" t="str">
        <f>IFERROR(IF(DB_Customers!D287&lt;&gt;"",DB_Customers!D287,""),"")</f>
        <v/>
      </c>
      <c r="D293" s="69" t="str">
        <f>IFERROR(IF(DB_Customers!Q287&lt;&gt;"",DB_Customers!Q287,""),"")</f>
        <v/>
      </c>
      <c r="E293" s="68" t="str">
        <f>IFERROR(IF(DB_Customers!R287&lt;&gt;"",DB_Customers!R287,""),"")</f>
        <v/>
      </c>
      <c r="F293" s="68" t="str">
        <f>IFERROR(IF(DB_Customers!S287&lt;&gt;"",DB_Customers!S287,""),"")</f>
        <v/>
      </c>
      <c r="G293" s="68" t="str">
        <f>IFERROR(IF(DB_Customers!G287&lt;&gt;"",DB_Customers!G287,""),"")</f>
        <v/>
      </c>
      <c r="H293" s="70" t="str">
        <f>IFERROR(IF(DB_Customers!H287&lt;&gt;"",DB_Customers!H287,""),"")</f>
        <v/>
      </c>
      <c r="I293" s="71" t="str">
        <f>IFERROR(IF(DB_Customers!I287&lt;&gt;"",DB_Customers!I287,""),"")</f>
        <v/>
      </c>
      <c r="J293" s="69" t="str">
        <f>IFERROR(IF(DB_Customers!J287&lt;&gt;"",DB_Customers!J287,""),"")</f>
        <v/>
      </c>
      <c r="K293" s="68" t="str">
        <f>IFERROR(IF(DB_Customers!E287&lt;&gt;"",DB_Customers!E287,""),"")</f>
        <v/>
      </c>
      <c r="L293" s="68" t="str">
        <f>IFERROR(IF(DB_Customers!F287&lt;&gt;"",DB_Customers!F287,""),"")</f>
        <v/>
      </c>
      <c r="M293" s="68" t="str">
        <f>IFERROR(IF(DB_Customers!T287&lt;&gt;"",DB_Customers!T287,""),"")</f>
        <v/>
      </c>
      <c r="N293" s="72" t="str">
        <f>IFERROR(IF(DB_Customers!A287&lt;&gt;"",IF(DB_Customers!I287&gt;=10,"Active","Inactive"),""),"")</f>
        <v/>
      </c>
    </row>
    <row r="294" spans="1:14" ht="18" customHeight="1" x14ac:dyDescent="0.25">
      <c r="A294" s="59" t="str">
        <f>IF(DB_Customers!A288&lt;&gt;"",285,"")</f>
        <v/>
      </c>
      <c r="B294" s="60" t="str">
        <f>IFERROR(IF(DB_Customers!A288&lt;&gt;"",DB_Customers!A288,""),"")</f>
        <v/>
      </c>
      <c r="C294" s="61" t="str">
        <f>IFERROR(IF(DB_Customers!D288&lt;&gt;"",DB_Customers!D288,""),"")</f>
        <v/>
      </c>
      <c r="D294" s="62" t="str">
        <f>IFERROR(IF(DB_Customers!Q288&lt;&gt;"",DB_Customers!Q288,""),"")</f>
        <v/>
      </c>
      <c r="E294" s="61" t="str">
        <f>IFERROR(IF(DB_Customers!R288&lt;&gt;"",DB_Customers!R288,""),"")</f>
        <v/>
      </c>
      <c r="F294" s="61" t="str">
        <f>IFERROR(IF(DB_Customers!S288&lt;&gt;"",DB_Customers!S288,""),"")</f>
        <v/>
      </c>
      <c r="G294" s="61" t="str">
        <f>IFERROR(IF(DB_Customers!G288&lt;&gt;"",DB_Customers!G288,""),"")</f>
        <v/>
      </c>
      <c r="H294" s="63" t="str">
        <f>IFERROR(IF(DB_Customers!H288&lt;&gt;"",DB_Customers!H288,""),"")</f>
        <v/>
      </c>
      <c r="I294" s="64" t="str">
        <f>IFERROR(IF(DB_Customers!I288&lt;&gt;"",DB_Customers!I288,""),"")</f>
        <v/>
      </c>
      <c r="J294" s="62" t="str">
        <f>IFERROR(IF(DB_Customers!J288&lt;&gt;"",DB_Customers!J288,""),"")</f>
        <v/>
      </c>
      <c r="K294" s="61" t="str">
        <f>IFERROR(IF(DB_Customers!E288&lt;&gt;"",DB_Customers!E288,""),"")</f>
        <v/>
      </c>
      <c r="L294" s="61" t="str">
        <f>IFERROR(IF(DB_Customers!F288&lt;&gt;"",DB_Customers!F288,""),"")</f>
        <v/>
      </c>
      <c r="M294" s="61" t="str">
        <f>IFERROR(IF(DB_Customers!T288&lt;&gt;"",DB_Customers!T288,""),"")</f>
        <v/>
      </c>
      <c r="N294" s="65" t="str">
        <f>IFERROR(IF(DB_Customers!A288&lt;&gt;"",IF(DB_Customers!I288&gt;=10,"Active","Inactive"),""),"")</f>
        <v/>
      </c>
    </row>
    <row r="295" spans="1:14" ht="18" customHeight="1" x14ac:dyDescent="0.25">
      <c r="A295" s="66" t="str">
        <f>IF(DB_Customers!A289&lt;&gt;"",286,"")</f>
        <v/>
      </c>
      <c r="B295" s="67" t="str">
        <f>IFERROR(IF(DB_Customers!A289&lt;&gt;"",DB_Customers!A289,""),"")</f>
        <v/>
      </c>
      <c r="C295" s="68" t="str">
        <f>IFERROR(IF(DB_Customers!D289&lt;&gt;"",DB_Customers!D289,""),"")</f>
        <v/>
      </c>
      <c r="D295" s="69" t="str">
        <f>IFERROR(IF(DB_Customers!Q289&lt;&gt;"",DB_Customers!Q289,""),"")</f>
        <v/>
      </c>
      <c r="E295" s="68" t="str">
        <f>IFERROR(IF(DB_Customers!R289&lt;&gt;"",DB_Customers!R289,""),"")</f>
        <v/>
      </c>
      <c r="F295" s="68" t="str">
        <f>IFERROR(IF(DB_Customers!S289&lt;&gt;"",DB_Customers!S289,""),"")</f>
        <v/>
      </c>
      <c r="G295" s="68" t="str">
        <f>IFERROR(IF(DB_Customers!G289&lt;&gt;"",DB_Customers!G289,""),"")</f>
        <v/>
      </c>
      <c r="H295" s="70" t="str">
        <f>IFERROR(IF(DB_Customers!H289&lt;&gt;"",DB_Customers!H289,""),"")</f>
        <v/>
      </c>
      <c r="I295" s="71" t="str">
        <f>IFERROR(IF(DB_Customers!I289&lt;&gt;"",DB_Customers!I289,""),"")</f>
        <v/>
      </c>
      <c r="J295" s="69" t="str">
        <f>IFERROR(IF(DB_Customers!J289&lt;&gt;"",DB_Customers!J289,""),"")</f>
        <v/>
      </c>
      <c r="K295" s="68" t="str">
        <f>IFERROR(IF(DB_Customers!E289&lt;&gt;"",DB_Customers!E289,""),"")</f>
        <v/>
      </c>
      <c r="L295" s="68" t="str">
        <f>IFERROR(IF(DB_Customers!F289&lt;&gt;"",DB_Customers!F289,""),"")</f>
        <v/>
      </c>
      <c r="M295" s="68" t="str">
        <f>IFERROR(IF(DB_Customers!T289&lt;&gt;"",DB_Customers!T289,""),"")</f>
        <v/>
      </c>
      <c r="N295" s="72" t="str">
        <f>IFERROR(IF(DB_Customers!A289&lt;&gt;"",IF(DB_Customers!I289&gt;=10,"Active","Inactive"),""),"")</f>
        <v/>
      </c>
    </row>
    <row r="296" spans="1:14" ht="18" customHeight="1" x14ac:dyDescent="0.25">
      <c r="A296" s="59" t="str">
        <f>IF(DB_Customers!A290&lt;&gt;"",287,"")</f>
        <v/>
      </c>
      <c r="B296" s="60" t="str">
        <f>IFERROR(IF(DB_Customers!A290&lt;&gt;"",DB_Customers!A290,""),"")</f>
        <v/>
      </c>
      <c r="C296" s="61" t="str">
        <f>IFERROR(IF(DB_Customers!D290&lt;&gt;"",DB_Customers!D290,""),"")</f>
        <v/>
      </c>
      <c r="D296" s="62" t="str">
        <f>IFERROR(IF(DB_Customers!Q290&lt;&gt;"",DB_Customers!Q290,""),"")</f>
        <v/>
      </c>
      <c r="E296" s="61" t="str">
        <f>IFERROR(IF(DB_Customers!R290&lt;&gt;"",DB_Customers!R290,""),"")</f>
        <v/>
      </c>
      <c r="F296" s="61" t="str">
        <f>IFERROR(IF(DB_Customers!S290&lt;&gt;"",DB_Customers!S290,""),"")</f>
        <v/>
      </c>
      <c r="G296" s="61" t="str">
        <f>IFERROR(IF(DB_Customers!G290&lt;&gt;"",DB_Customers!G290,""),"")</f>
        <v/>
      </c>
      <c r="H296" s="63" t="str">
        <f>IFERROR(IF(DB_Customers!H290&lt;&gt;"",DB_Customers!H290,""),"")</f>
        <v/>
      </c>
      <c r="I296" s="64" t="str">
        <f>IFERROR(IF(DB_Customers!I290&lt;&gt;"",DB_Customers!I290,""),"")</f>
        <v/>
      </c>
      <c r="J296" s="62" t="str">
        <f>IFERROR(IF(DB_Customers!J290&lt;&gt;"",DB_Customers!J290,""),"")</f>
        <v/>
      </c>
      <c r="K296" s="61" t="str">
        <f>IFERROR(IF(DB_Customers!E290&lt;&gt;"",DB_Customers!E290,""),"")</f>
        <v/>
      </c>
      <c r="L296" s="61" t="str">
        <f>IFERROR(IF(DB_Customers!F290&lt;&gt;"",DB_Customers!F290,""),"")</f>
        <v/>
      </c>
      <c r="M296" s="61" t="str">
        <f>IFERROR(IF(DB_Customers!T290&lt;&gt;"",DB_Customers!T290,""),"")</f>
        <v/>
      </c>
      <c r="N296" s="65" t="str">
        <f>IFERROR(IF(DB_Customers!A290&lt;&gt;"",IF(DB_Customers!I290&gt;=10,"Active","Inactive"),""),"")</f>
        <v/>
      </c>
    </row>
    <row r="297" spans="1:14" ht="18" customHeight="1" x14ac:dyDescent="0.25">
      <c r="A297" s="66" t="str">
        <f>IF(DB_Customers!A291&lt;&gt;"",288,"")</f>
        <v/>
      </c>
      <c r="B297" s="67" t="str">
        <f>IFERROR(IF(DB_Customers!A291&lt;&gt;"",DB_Customers!A291,""),"")</f>
        <v/>
      </c>
      <c r="C297" s="68" t="str">
        <f>IFERROR(IF(DB_Customers!D291&lt;&gt;"",DB_Customers!D291,""),"")</f>
        <v/>
      </c>
      <c r="D297" s="69" t="str">
        <f>IFERROR(IF(DB_Customers!Q291&lt;&gt;"",DB_Customers!Q291,""),"")</f>
        <v/>
      </c>
      <c r="E297" s="68" t="str">
        <f>IFERROR(IF(DB_Customers!R291&lt;&gt;"",DB_Customers!R291,""),"")</f>
        <v/>
      </c>
      <c r="F297" s="68" t="str">
        <f>IFERROR(IF(DB_Customers!S291&lt;&gt;"",DB_Customers!S291,""),"")</f>
        <v/>
      </c>
      <c r="G297" s="68" t="str">
        <f>IFERROR(IF(DB_Customers!G291&lt;&gt;"",DB_Customers!G291,""),"")</f>
        <v/>
      </c>
      <c r="H297" s="70" t="str">
        <f>IFERROR(IF(DB_Customers!H291&lt;&gt;"",DB_Customers!H291,""),"")</f>
        <v/>
      </c>
      <c r="I297" s="71" t="str">
        <f>IFERROR(IF(DB_Customers!I291&lt;&gt;"",DB_Customers!I291,""),"")</f>
        <v/>
      </c>
      <c r="J297" s="69" t="str">
        <f>IFERROR(IF(DB_Customers!J291&lt;&gt;"",DB_Customers!J291,""),"")</f>
        <v/>
      </c>
      <c r="K297" s="68" t="str">
        <f>IFERROR(IF(DB_Customers!E291&lt;&gt;"",DB_Customers!E291,""),"")</f>
        <v/>
      </c>
      <c r="L297" s="68" t="str">
        <f>IFERROR(IF(DB_Customers!F291&lt;&gt;"",DB_Customers!F291,""),"")</f>
        <v/>
      </c>
      <c r="M297" s="68" t="str">
        <f>IFERROR(IF(DB_Customers!T291&lt;&gt;"",DB_Customers!T291,""),"")</f>
        <v/>
      </c>
      <c r="N297" s="72" t="str">
        <f>IFERROR(IF(DB_Customers!A291&lt;&gt;"",IF(DB_Customers!I291&gt;=10,"Active","Inactive"),""),"")</f>
        <v/>
      </c>
    </row>
    <row r="298" spans="1:14" ht="18" customHeight="1" x14ac:dyDescent="0.25">
      <c r="A298" s="59" t="str">
        <f>IF(DB_Customers!A292&lt;&gt;"",289,"")</f>
        <v/>
      </c>
      <c r="B298" s="60" t="str">
        <f>IFERROR(IF(DB_Customers!A292&lt;&gt;"",DB_Customers!A292,""),"")</f>
        <v/>
      </c>
      <c r="C298" s="61" t="str">
        <f>IFERROR(IF(DB_Customers!D292&lt;&gt;"",DB_Customers!D292,""),"")</f>
        <v/>
      </c>
      <c r="D298" s="62" t="str">
        <f>IFERROR(IF(DB_Customers!Q292&lt;&gt;"",DB_Customers!Q292,""),"")</f>
        <v/>
      </c>
      <c r="E298" s="61" t="str">
        <f>IFERROR(IF(DB_Customers!R292&lt;&gt;"",DB_Customers!R292,""),"")</f>
        <v/>
      </c>
      <c r="F298" s="61" t="str">
        <f>IFERROR(IF(DB_Customers!S292&lt;&gt;"",DB_Customers!S292,""),"")</f>
        <v/>
      </c>
      <c r="G298" s="61" t="str">
        <f>IFERROR(IF(DB_Customers!G292&lt;&gt;"",DB_Customers!G292,""),"")</f>
        <v/>
      </c>
      <c r="H298" s="63" t="str">
        <f>IFERROR(IF(DB_Customers!H292&lt;&gt;"",DB_Customers!H292,""),"")</f>
        <v/>
      </c>
      <c r="I298" s="64" t="str">
        <f>IFERROR(IF(DB_Customers!I292&lt;&gt;"",DB_Customers!I292,""),"")</f>
        <v/>
      </c>
      <c r="J298" s="62" t="str">
        <f>IFERROR(IF(DB_Customers!J292&lt;&gt;"",DB_Customers!J292,""),"")</f>
        <v/>
      </c>
      <c r="K298" s="61" t="str">
        <f>IFERROR(IF(DB_Customers!E292&lt;&gt;"",DB_Customers!E292,""),"")</f>
        <v/>
      </c>
      <c r="L298" s="61" t="str">
        <f>IFERROR(IF(DB_Customers!F292&lt;&gt;"",DB_Customers!F292,""),"")</f>
        <v/>
      </c>
      <c r="M298" s="61" t="str">
        <f>IFERROR(IF(DB_Customers!T292&lt;&gt;"",DB_Customers!T292,""),"")</f>
        <v/>
      </c>
      <c r="N298" s="65" t="str">
        <f>IFERROR(IF(DB_Customers!A292&lt;&gt;"",IF(DB_Customers!I292&gt;=10,"Active","Inactive"),""),"")</f>
        <v/>
      </c>
    </row>
    <row r="299" spans="1:14" ht="18" customHeight="1" x14ac:dyDescent="0.25">
      <c r="A299" s="66" t="str">
        <f>IF(DB_Customers!A293&lt;&gt;"",290,"")</f>
        <v/>
      </c>
      <c r="B299" s="67" t="str">
        <f>IFERROR(IF(DB_Customers!A293&lt;&gt;"",DB_Customers!A293,""),"")</f>
        <v/>
      </c>
      <c r="C299" s="68" t="str">
        <f>IFERROR(IF(DB_Customers!D293&lt;&gt;"",DB_Customers!D293,""),"")</f>
        <v/>
      </c>
      <c r="D299" s="69" t="str">
        <f>IFERROR(IF(DB_Customers!Q293&lt;&gt;"",DB_Customers!Q293,""),"")</f>
        <v/>
      </c>
      <c r="E299" s="68" t="str">
        <f>IFERROR(IF(DB_Customers!R293&lt;&gt;"",DB_Customers!R293,""),"")</f>
        <v/>
      </c>
      <c r="F299" s="68" t="str">
        <f>IFERROR(IF(DB_Customers!S293&lt;&gt;"",DB_Customers!S293,""),"")</f>
        <v/>
      </c>
      <c r="G299" s="68" t="str">
        <f>IFERROR(IF(DB_Customers!G293&lt;&gt;"",DB_Customers!G293,""),"")</f>
        <v/>
      </c>
      <c r="H299" s="70" t="str">
        <f>IFERROR(IF(DB_Customers!H293&lt;&gt;"",DB_Customers!H293,""),"")</f>
        <v/>
      </c>
      <c r="I299" s="71" t="str">
        <f>IFERROR(IF(DB_Customers!I293&lt;&gt;"",DB_Customers!I293,""),"")</f>
        <v/>
      </c>
      <c r="J299" s="69" t="str">
        <f>IFERROR(IF(DB_Customers!J293&lt;&gt;"",DB_Customers!J293,""),"")</f>
        <v/>
      </c>
      <c r="K299" s="68" t="str">
        <f>IFERROR(IF(DB_Customers!E293&lt;&gt;"",DB_Customers!E293,""),"")</f>
        <v/>
      </c>
      <c r="L299" s="68" t="str">
        <f>IFERROR(IF(DB_Customers!F293&lt;&gt;"",DB_Customers!F293,""),"")</f>
        <v/>
      </c>
      <c r="M299" s="68" t="str">
        <f>IFERROR(IF(DB_Customers!T293&lt;&gt;"",DB_Customers!T293,""),"")</f>
        <v/>
      </c>
      <c r="N299" s="72" t="str">
        <f>IFERROR(IF(DB_Customers!A293&lt;&gt;"",IF(DB_Customers!I293&gt;=10,"Active","Inactive"),""),"")</f>
        <v/>
      </c>
    </row>
    <row r="300" spans="1:14" ht="18" customHeight="1" x14ac:dyDescent="0.25">
      <c r="A300" s="59" t="str">
        <f>IF(DB_Customers!A294&lt;&gt;"",291,"")</f>
        <v/>
      </c>
      <c r="B300" s="60" t="str">
        <f>IFERROR(IF(DB_Customers!A294&lt;&gt;"",DB_Customers!A294,""),"")</f>
        <v/>
      </c>
      <c r="C300" s="61" t="str">
        <f>IFERROR(IF(DB_Customers!D294&lt;&gt;"",DB_Customers!D294,""),"")</f>
        <v/>
      </c>
      <c r="D300" s="62" t="str">
        <f>IFERROR(IF(DB_Customers!Q294&lt;&gt;"",DB_Customers!Q294,""),"")</f>
        <v/>
      </c>
      <c r="E300" s="61" t="str">
        <f>IFERROR(IF(DB_Customers!R294&lt;&gt;"",DB_Customers!R294,""),"")</f>
        <v/>
      </c>
      <c r="F300" s="61" t="str">
        <f>IFERROR(IF(DB_Customers!S294&lt;&gt;"",DB_Customers!S294,""),"")</f>
        <v/>
      </c>
      <c r="G300" s="61" t="str">
        <f>IFERROR(IF(DB_Customers!G294&lt;&gt;"",DB_Customers!G294,""),"")</f>
        <v/>
      </c>
      <c r="H300" s="63" t="str">
        <f>IFERROR(IF(DB_Customers!H294&lt;&gt;"",DB_Customers!H294,""),"")</f>
        <v/>
      </c>
      <c r="I300" s="64" t="str">
        <f>IFERROR(IF(DB_Customers!I294&lt;&gt;"",DB_Customers!I294,""),"")</f>
        <v/>
      </c>
      <c r="J300" s="62" t="str">
        <f>IFERROR(IF(DB_Customers!J294&lt;&gt;"",DB_Customers!J294,""),"")</f>
        <v/>
      </c>
      <c r="K300" s="61" t="str">
        <f>IFERROR(IF(DB_Customers!E294&lt;&gt;"",DB_Customers!E294,""),"")</f>
        <v/>
      </c>
      <c r="L300" s="61" t="str">
        <f>IFERROR(IF(DB_Customers!F294&lt;&gt;"",DB_Customers!F294,""),"")</f>
        <v/>
      </c>
      <c r="M300" s="61" t="str">
        <f>IFERROR(IF(DB_Customers!T294&lt;&gt;"",DB_Customers!T294,""),"")</f>
        <v/>
      </c>
      <c r="N300" s="65" t="str">
        <f>IFERROR(IF(DB_Customers!A294&lt;&gt;"",IF(DB_Customers!I294&gt;=10,"Active","Inactive"),""),"")</f>
        <v/>
      </c>
    </row>
    <row r="301" spans="1:14" ht="18" customHeight="1" x14ac:dyDescent="0.25">
      <c r="A301" s="66" t="str">
        <f>IF(DB_Customers!A295&lt;&gt;"",292,"")</f>
        <v/>
      </c>
      <c r="B301" s="67" t="str">
        <f>IFERROR(IF(DB_Customers!A295&lt;&gt;"",DB_Customers!A295,""),"")</f>
        <v/>
      </c>
      <c r="C301" s="68" t="str">
        <f>IFERROR(IF(DB_Customers!D295&lt;&gt;"",DB_Customers!D295,""),"")</f>
        <v/>
      </c>
      <c r="D301" s="69" t="str">
        <f>IFERROR(IF(DB_Customers!Q295&lt;&gt;"",DB_Customers!Q295,""),"")</f>
        <v/>
      </c>
      <c r="E301" s="68" t="str">
        <f>IFERROR(IF(DB_Customers!R295&lt;&gt;"",DB_Customers!R295,""),"")</f>
        <v/>
      </c>
      <c r="F301" s="68" t="str">
        <f>IFERROR(IF(DB_Customers!S295&lt;&gt;"",DB_Customers!S295,""),"")</f>
        <v/>
      </c>
      <c r="G301" s="68" t="str">
        <f>IFERROR(IF(DB_Customers!G295&lt;&gt;"",DB_Customers!G295,""),"")</f>
        <v/>
      </c>
      <c r="H301" s="70" t="str">
        <f>IFERROR(IF(DB_Customers!H295&lt;&gt;"",DB_Customers!H295,""),"")</f>
        <v/>
      </c>
      <c r="I301" s="71" t="str">
        <f>IFERROR(IF(DB_Customers!I295&lt;&gt;"",DB_Customers!I295,""),"")</f>
        <v/>
      </c>
      <c r="J301" s="69" t="str">
        <f>IFERROR(IF(DB_Customers!J295&lt;&gt;"",DB_Customers!J295,""),"")</f>
        <v/>
      </c>
      <c r="K301" s="68" t="str">
        <f>IFERROR(IF(DB_Customers!E295&lt;&gt;"",DB_Customers!E295,""),"")</f>
        <v/>
      </c>
      <c r="L301" s="68" t="str">
        <f>IFERROR(IF(DB_Customers!F295&lt;&gt;"",DB_Customers!F295,""),"")</f>
        <v/>
      </c>
      <c r="M301" s="68" t="str">
        <f>IFERROR(IF(DB_Customers!T295&lt;&gt;"",DB_Customers!T295,""),"")</f>
        <v/>
      </c>
      <c r="N301" s="72" t="str">
        <f>IFERROR(IF(DB_Customers!A295&lt;&gt;"",IF(DB_Customers!I295&gt;=10,"Active","Inactive"),""),"")</f>
        <v/>
      </c>
    </row>
    <row r="302" spans="1:14" ht="18" customHeight="1" x14ac:dyDescent="0.25">
      <c r="A302" s="59" t="str">
        <f>IF(DB_Customers!A296&lt;&gt;"",293,"")</f>
        <v/>
      </c>
      <c r="B302" s="60" t="str">
        <f>IFERROR(IF(DB_Customers!A296&lt;&gt;"",DB_Customers!A296,""),"")</f>
        <v/>
      </c>
      <c r="C302" s="61" t="str">
        <f>IFERROR(IF(DB_Customers!D296&lt;&gt;"",DB_Customers!D296,""),"")</f>
        <v/>
      </c>
      <c r="D302" s="62" t="str">
        <f>IFERROR(IF(DB_Customers!Q296&lt;&gt;"",DB_Customers!Q296,""),"")</f>
        <v/>
      </c>
      <c r="E302" s="61" t="str">
        <f>IFERROR(IF(DB_Customers!R296&lt;&gt;"",DB_Customers!R296,""),"")</f>
        <v/>
      </c>
      <c r="F302" s="61" t="str">
        <f>IFERROR(IF(DB_Customers!S296&lt;&gt;"",DB_Customers!S296,""),"")</f>
        <v/>
      </c>
      <c r="G302" s="61" t="str">
        <f>IFERROR(IF(DB_Customers!G296&lt;&gt;"",DB_Customers!G296,""),"")</f>
        <v/>
      </c>
      <c r="H302" s="63" t="str">
        <f>IFERROR(IF(DB_Customers!H296&lt;&gt;"",DB_Customers!H296,""),"")</f>
        <v/>
      </c>
      <c r="I302" s="64" t="str">
        <f>IFERROR(IF(DB_Customers!I296&lt;&gt;"",DB_Customers!I296,""),"")</f>
        <v/>
      </c>
      <c r="J302" s="62" t="str">
        <f>IFERROR(IF(DB_Customers!J296&lt;&gt;"",DB_Customers!J296,""),"")</f>
        <v/>
      </c>
      <c r="K302" s="61" t="str">
        <f>IFERROR(IF(DB_Customers!E296&lt;&gt;"",DB_Customers!E296,""),"")</f>
        <v/>
      </c>
      <c r="L302" s="61" t="str">
        <f>IFERROR(IF(DB_Customers!F296&lt;&gt;"",DB_Customers!F296,""),"")</f>
        <v/>
      </c>
      <c r="M302" s="61" t="str">
        <f>IFERROR(IF(DB_Customers!T296&lt;&gt;"",DB_Customers!T296,""),"")</f>
        <v/>
      </c>
      <c r="N302" s="65" t="str">
        <f>IFERROR(IF(DB_Customers!A296&lt;&gt;"",IF(DB_Customers!I296&gt;=10,"Active","Inactive"),""),"")</f>
        <v/>
      </c>
    </row>
    <row r="303" spans="1:14" ht="18" customHeight="1" x14ac:dyDescent="0.25">
      <c r="A303" s="66" t="str">
        <f>IF(DB_Customers!A297&lt;&gt;"",294,"")</f>
        <v/>
      </c>
      <c r="B303" s="67" t="str">
        <f>IFERROR(IF(DB_Customers!A297&lt;&gt;"",DB_Customers!A297,""),"")</f>
        <v/>
      </c>
      <c r="C303" s="68" t="str">
        <f>IFERROR(IF(DB_Customers!D297&lt;&gt;"",DB_Customers!D297,""),"")</f>
        <v/>
      </c>
      <c r="D303" s="69" t="str">
        <f>IFERROR(IF(DB_Customers!Q297&lt;&gt;"",DB_Customers!Q297,""),"")</f>
        <v/>
      </c>
      <c r="E303" s="68" t="str">
        <f>IFERROR(IF(DB_Customers!R297&lt;&gt;"",DB_Customers!R297,""),"")</f>
        <v/>
      </c>
      <c r="F303" s="68" t="str">
        <f>IFERROR(IF(DB_Customers!S297&lt;&gt;"",DB_Customers!S297,""),"")</f>
        <v/>
      </c>
      <c r="G303" s="68" t="str">
        <f>IFERROR(IF(DB_Customers!G297&lt;&gt;"",DB_Customers!G297,""),"")</f>
        <v/>
      </c>
      <c r="H303" s="70" t="str">
        <f>IFERROR(IF(DB_Customers!H297&lt;&gt;"",DB_Customers!H297,""),"")</f>
        <v/>
      </c>
      <c r="I303" s="71" t="str">
        <f>IFERROR(IF(DB_Customers!I297&lt;&gt;"",DB_Customers!I297,""),"")</f>
        <v/>
      </c>
      <c r="J303" s="69" t="str">
        <f>IFERROR(IF(DB_Customers!J297&lt;&gt;"",DB_Customers!J297,""),"")</f>
        <v/>
      </c>
      <c r="K303" s="68" t="str">
        <f>IFERROR(IF(DB_Customers!E297&lt;&gt;"",DB_Customers!E297,""),"")</f>
        <v/>
      </c>
      <c r="L303" s="68" t="str">
        <f>IFERROR(IF(DB_Customers!F297&lt;&gt;"",DB_Customers!F297,""),"")</f>
        <v/>
      </c>
      <c r="M303" s="68" t="str">
        <f>IFERROR(IF(DB_Customers!T297&lt;&gt;"",DB_Customers!T297,""),"")</f>
        <v/>
      </c>
      <c r="N303" s="72" t="str">
        <f>IFERROR(IF(DB_Customers!A297&lt;&gt;"",IF(DB_Customers!I297&gt;=10,"Active","Inactive"),""),"")</f>
        <v/>
      </c>
    </row>
    <row r="304" spans="1:14" ht="18" customHeight="1" x14ac:dyDescent="0.25">
      <c r="A304" s="59" t="str">
        <f>IF(DB_Customers!A298&lt;&gt;"",295,"")</f>
        <v/>
      </c>
      <c r="B304" s="60" t="str">
        <f>IFERROR(IF(DB_Customers!A298&lt;&gt;"",DB_Customers!A298,""),"")</f>
        <v/>
      </c>
      <c r="C304" s="61" t="str">
        <f>IFERROR(IF(DB_Customers!D298&lt;&gt;"",DB_Customers!D298,""),"")</f>
        <v/>
      </c>
      <c r="D304" s="62" t="str">
        <f>IFERROR(IF(DB_Customers!Q298&lt;&gt;"",DB_Customers!Q298,""),"")</f>
        <v/>
      </c>
      <c r="E304" s="61" t="str">
        <f>IFERROR(IF(DB_Customers!R298&lt;&gt;"",DB_Customers!R298,""),"")</f>
        <v/>
      </c>
      <c r="F304" s="61" t="str">
        <f>IFERROR(IF(DB_Customers!S298&lt;&gt;"",DB_Customers!S298,""),"")</f>
        <v/>
      </c>
      <c r="G304" s="61" t="str">
        <f>IFERROR(IF(DB_Customers!G298&lt;&gt;"",DB_Customers!G298,""),"")</f>
        <v/>
      </c>
      <c r="H304" s="63" t="str">
        <f>IFERROR(IF(DB_Customers!H298&lt;&gt;"",DB_Customers!H298,""),"")</f>
        <v/>
      </c>
      <c r="I304" s="64" t="str">
        <f>IFERROR(IF(DB_Customers!I298&lt;&gt;"",DB_Customers!I298,""),"")</f>
        <v/>
      </c>
      <c r="J304" s="62" t="str">
        <f>IFERROR(IF(DB_Customers!J298&lt;&gt;"",DB_Customers!J298,""),"")</f>
        <v/>
      </c>
      <c r="K304" s="61" t="str">
        <f>IFERROR(IF(DB_Customers!E298&lt;&gt;"",DB_Customers!E298,""),"")</f>
        <v/>
      </c>
      <c r="L304" s="61" t="str">
        <f>IFERROR(IF(DB_Customers!F298&lt;&gt;"",DB_Customers!F298,""),"")</f>
        <v/>
      </c>
      <c r="M304" s="61" t="str">
        <f>IFERROR(IF(DB_Customers!T298&lt;&gt;"",DB_Customers!T298,""),"")</f>
        <v/>
      </c>
      <c r="N304" s="65" t="str">
        <f>IFERROR(IF(DB_Customers!A298&lt;&gt;"",IF(DB_Customers!I298&gt;=10,"Active","Inactive"),""),"")</f>
        <v/>
      </c>
    </row>
    <row r="305" spans="1:14" ht="18" customHeight="1" x14ac:dyDescent="0.25">
      <c r="A305" s="66" t="str">
        <f>IF(DB_Customers!A299&lt;&gt;"",296,"")</f>
        <v/>
      </c>
      <c r="B305" s="67" t="str">
        <f>IFERROR(IF(DB_Customers!A299&lt;&gt;"",DB_Customers!A299,""),"")</f>
        <v/>
      </c>
      <c r="C305" s="68" t="str">
        <f>IFERROR(IF(DB_Customers!D299&lt;&gt;"",DB_Customers!D299,""),"")</f>
        <v/>
      </c>
      <c r="D305" s="69" t="str">
        <f>IFERROR(IF(DB_Customers!Q299&lt;&gt;"",DB_Customers!Q299,""),"")</f>
        <v/>
      </c>
      <c r="E305" s="68" t="str">
        <f>IFERROR(IF(DB_Customers!R299&lt;&gt;"",DB_Customers!R299,""),"")</f>
        <v/>
      </c>
      <c r="F305" s="68" t="str">
        <f>IFERROR(IF(DB_Customers!S299&lt;&gt;"",DB_Customers!S299,""),"")</f>
        <v/>
      </c>
      <c r="G305" s="68" t="str">
        <f>IFERROR(IF(DB_Customers!G299&lt;&gt;"",DB_Customers!G299,""),"")</f>
        <v/>
      </c>
      <c r="H305" s="70" t="str">
        <f>IFERROR(IF(DB_Customers!H299&lt;&gt;"",DB_Customers!H299,""),"")</f>
        <v/>
      </c>
      <c r="I305" s="71" t="str">
        <f>IFERROR(IF(DB_Customers!I299&lt;&gt;"",DB_Customers!I299,""),"")</f>
        <v/>
      </c>
      <c r="J305" s="69" t="str">
        <f>IFERROR(IF(DB_Customers!J299&lt;&gt;"",DB_Customers!J299,""),"")</f>
        <v/>
      </c>
      <c r="K305" s="68" t="str">
        <f>IFERROR(IF(DB_Customers!E299&lt;&gt;"",DB_Customers!E299,""),"")</f>
        <v/>
      </c>
      <c r="L305" s="68" t="str">
        <f>IFERROR(IF(DB_Customers!F299&lt;&gt;"",DB_Customers!F299,""),"")</f>
        <v/>
      </c>
      <c r="M305" s="68" t="str">
        <f>IFERROR(IF(DB_Customers!T299&lt;&gt;"",DB_Customers!T299,""),"")</f>
        <v/>
      </c>
      <c r="N305" s="72" t="str">
        <f>IFERROR(IF(DB_Customers!A299&lt;&gt;"",IF(DB_Customers!I299&gt;=10,"Active","Inactive"),""),"")</f>
        <v/>
      </c>
    </row>
    <row r="306" spans="1:14" ht="18" customHeight="1" x14ac:dyDescent="0.25">
      <c r="A306" s="59" t="str">
        <f>IF(DB_Customers!A300&lt;&gt;"",297,"")</f>
        <v/>
      </c>
      <c r="B306" s="60" t="str">
        <f>IFERROR(IF(DB_Customers!A300&lt;&gt;"",DB_Customers!A300,""),"")</f>
        <v/>
      </c>
      <c r="C306" s="61" t="str">
        <f>IFERROR(IF(DB_Customers!D300&lt;&gt;"",DB_Customers!D300,""),"")</f>
        <v/>
      </c>
      <c r="D306" s="62" t="str">
        <f>IFERROR(IF(DB_Customers!Q300&lt;&gt;"",DB_Customers!Q300,""),"")</f>
        <v/>
      </c>
      <c r="E306" s="61" t="str">
        <f>IFERROR(IF(DB_Customers!R300&lt;&gt;"",DB_Customers!R300,""),"")</f>
        <v/>
      </c>
      <c r="F306" s="61" t="str">
        <f>IFERROR(IF(DB_Customers!S300&lt;&gt;"",DB_Customers!S300,""),"")</f>
        <v/>
      </c>
      <c r="G306" s="61" t="str">
        <f>IFERROR(IF(DB_Customers!G300&lt;&gt;"",DB_Customers!G300,""),"")</f>
        <v/>
      </c>
      <c r="H306" s="63" t="str">
        <f>IFERROR(IF(DB_Customers!H300&lt;&gt;"",DB_Customers!H300,""),"")</f>
        <v/>
      </c>
      <c r="I306" s="64" t="str">
        <f>IFERROR(IF(DB_Customers!I300&lt;&gt;"",DB_Customers!I300,""),"")</f>
        <v/>
      </c>
      <c r="J306" s="62" t="str">
        <f>IFERROR(IF(DB_Customers!J300&lt;&gt;"",DB_Customers!J300,""),"")</f>
        <v/>
      </c>
      <c r="K306" s="61" t="str">
        <f>IFERROR(IF(DB_Customers!E300&lt;&gt;"",DB_Customers!E300,""),"")</f>
        <v/>
      </c>
      <c r="L306" s="61" t="str">
        <f>IFERROR(IF(DB_Customers!F300&lt;&gt;"",DB_Customers!F300,""),"")</f>
        <v/>
      </c>
      <c r="M306" s="61" t="str">
        <f>IFERROR(IF(DB_Customers!T300&lt;&gt;"",DB_Customers!T300,""),"")</f>
        <v/>
      </c>
      <c r="N306" s="65" t="str">
        <f>IFERROR(IF(DB_Customers!A300&lt;&gt;"",IF(DB_Customers!I300&gt;=10,"Active","Inactive"),""),"")</f>
        <v/>
      </c>
    </row>
    <row r="307" spans="1:14" ht="18" customHeight="1" x14ac:dyDescent="0.25">
      <c r="A307" s="66" t="str">
        <f>IF(DB_Customers!A301&lt;&gt;"",298,"")</f>
        <v/>
      </c>
      <c r="B307" s="67" t="str">
        <f>IFERROR(IF(DB_Customers!A301&lt;&gt;"",DB_Customers!A301,""),"")</f>
        <v/>
      </c>
      <c r="C307" s="68" t="str">
        <f>IFERROR(IF(DB_Customers!D301&lt;&gt;"",DB_Customers!D301,""),"")</f>
        <v/>
      </c>
      <c r="D307" s="69" t="str">
        <f>IFERROR(IF(DB_Customers!Q301&lt;&gt;"",DB_Customers!Q301,""),"")</f>
        <v/>
      </c>
      <c r="E307" s="68" t="str">
        <f>IFERROR(IF(DB_Customers!R301&lt;&gt;"",DB_Customers!R301,""),"")</f>
        <v/>
      </c>
      <c r="F307" s="68" t="str">
        <f>IFERROR(IF(DB_Customers!S301&lt;&gt;"",DB_Customers!S301,""),"")</f>
        <v/>
      </c>
      <c r="G307" s="68" t="str">
        <f>IFERROR(IF(DB_Customers!G301&lt;&gt;"",DB_Customers!G301,""),"")</f>
        <v/>
      </c>
      <c r="H307" s="70" t="str">
        <f>IFERROR(IF(DB_Customers!H301&lt;&gt;"",DB_Customers!H301,""),"")</f>
        <v/>
      </c>
      <c r="I307" s="71" t="str">
        <f>IFERROR(IF(DB_Customers!I301&lt;&gt;"",DB_Customers!I301,""),"")</f>
        <v/>
      </c>
      <c r="J307" s="69" t="str">
        <f>IFERROR(IF(DB_Customers!J301&lt;&gt;"",DB_Customers!J301,""),"")</f>
        <v/>
      </c>
      <c r="K307" s="68" t="str">
        <f>IFERROR(IF(DB_Customers!E301&lt;&gt;"",DB_Customers!E301,""),"")</f>
        <v/>
      </c>
      <c r="L307" s="68" t="str">
        <f>IFERROR(IF(DB_Customers!F301&lt;&gt;"",DB_Customers!F301,""),"")</f>
        <v/>
      </c>
      <c r="M307" s="68" t="str">
        <f>IFERROR(IF(DB_Customers!T301&lt;&gt;"",DB_Customers!T301,""),"")</f>
        <v/>
      </c>
      <c r="N307" s="72" t="str">
        <f>IFERROR(IF(DB_Customers!A301&lt;&gt;"",IF(DB_Customers!I301&gt;=10,"Active","Inactive"),""),"")</f>
        <v/>
      </c>
    </row>
    <row r="308" spans="1:14" ht="18" customHeight="1" x14ac:dyDescent="0.25">
      <c r="A308" s="59" t="str">
        <f>IF(DB_Customers!A302&lt;&gt;"",299,"")</f>
        <v/>
      </c>
      <c r="B308" s="60" t="str">
        <f>IFERROR(IF(DB_Customers!A302&lt;&gt;"",DB_Customers!A302,""),"")</f>
        <v/>
      </c>
      <c r="C308" s="61" t="str">
        <f>IFERROR(IF(DB_Customers!D302&lt;&gt;"",DB_Customers!D302,""),"")</f>
        <v/>
      </c>
      <c r="D308" s="62" t="str">
        <f>IFERROR(IF(DB_Customers!Q302&lt;&gt;"",DB_Customers!Q302,""),"")</f>
        <v/>
      </c>
      <c r="E308" s="61" t="str">
        <f>IFERROR(IF(DB_Customers!R302&lt;&gt;"",DB_Customers!R302,""),"")</f>
        <v/>
      </c>
      <c r="F308" s="61" t="str">
        <f>IFERROR(IF(DB_Customers!S302&lt;&gt;"",DB_Customers!S302,""),"")</f>
        <v/>
      </c>
      <c r="G308" s="61" t="str">
        <f>IFERROR(IF(DB_Customers!G302&lt;&gt;"",DB_Customers!G302,""),"")</f>
        <v/>
      </c>
      <c r="H308" s="63" t="str">
        <f>IFERROR(IF(DB_Customers!H302&lt;&gt;"",DB_Customers!H302,""),"")</f>
        <v/>
      </c>
      <c r="I308" s="64" t="str">
        <f>IFERROR(IF(DB_Customers!I302&lt;&gt;"",DB_Customers!I302,""),"")</f>
        <v/>
      </c>
      <c r="J308" s="62" t="str">
        <f>IFERROR(IF(DB_Customers!J302&lt;&gt;"",DB_Customers!J302,""),"")</f>
        <v/>
      </c>
      <c r="K308" s="61" t="str">
        <f>IFERROR(IF(DB_Customers!E302&lt;&gt;"",DB_Customers!E302,""),"")</f>
        <v/>
      </c>
      <c r="L308" s="61" t="str">
        <f>IFERROR(IF(DB_Customers!F302&lt;&gt;"",DB_Customers!F302,""),"")</f>
        <v/>
      </c>
      <c r="M308" s="61" t="str">
        <f>IFERROR(IF(DB_Customers!T302&lt;&gt;"",DB_Customers!T302,""),"")</f>
        <v/>
      </c>
      <c r="N308" s="65" t="str">
        <f>IFERROR(IF(DB_Customers!A302&lt;&gt;"",IF(DB_Customers!I302&gt;=10,"Active","Inactive"),""),"")</f>
        <v/>
      </c>
    </row>
    <row r="309" spans="1:14" ht="18" customHeight="1" x14ac:dyDescent="0.25">
      <c r="A309" s="66" t="str">
        <f>IF(DB_Customers!A303&lt;&gt;"",300,"")</f>
        <v/>
      </c>
      <c r="B309" s="67" t="str">
        <f>IFERROR(IF(DB_Customers!A303&lt;&gt;"",DB_Customers!A303,""),"")</f>
        <v/>
      </c>
      <c r="C309" s="68" t="str">
        <f>IFERROR(IF(DB_Customers!D303&lt;&gt;"",DB_Customers!D303,""),"")</f>
        <v/>
      </c>
      <c r="D309" s="69" t="str">
        <f>IFERROR(IF(DB_Customers!Q303&lt;&gt;"",DB_Customers!Q303,""),"")</f>
        <v/>
      </c>
      <c r="E309" s="68" t="str">
        <f>IFERROR(IF(DB_Customers!R303&lt;&gt;"",DB_Customers!R303,""),"")</f>
        <v/>
      </c>
      <c r="F309" s="68" t="str">
        <f>IFERROR(IF(DB_Customers!S303&lt;&gt;"",DB_Customers!S303,""),"")</f>
        <v/>
      </c>
      <c r="G309" s="68" t="str">
        <f>IFERROR(IF(DB_Customers!G303&lt;&gt;"",DB_Customers!G303,""),"")</f>
        <v/>
      </c>
      <c r="H309" s="70" t="str">
        <f>IFERROR(IF(DB_Customers!H303&lt;&gt;"",DB_Customers!H303,""),"")</f>
        <v/>
      </c>
      <c r="I309" s="71" t="str">
        <f>IFERROR(IF(DB_Customers!I303&lt;&gt;"",DB_Customers!I303,""),"")</f>
        <v/>
      </c>
      <c r="J309" s="69" t="str">
        <f>IFERROR(IF(DB_Customers!J303&lt;&gt;"",DB_Customers!J303,""),"")</f>
        <v/>
      </c>
      <c r="K309" s="68" t="str">
        <f>IFERROR(IF(DB_Customers!E303&lt;&gt;"",DB_Customers!E303,""),"")</f>
        <v/>
      </c>
      <c r="L309" s="68" t="str">
        <f>IFERROR(IF(DB_Customers!F303&lt;&gt;"",DB_Customers!F303,""),"")</f>
        <v/>
      </c>
      <c r="M309" s="68" t="str">
        <f>IFERROR(IF(DB_Customers!T303&lt;&gt;"",DB_Customers!T303,""),"")</f>
        <v/>
      </c>
      <c r="N309" s="72" t="str">
        <f>IFERROR(IF(DB_Customers!A303&lt;&gt;"",IF(DB_Customers!I303&gt;=10,"Active","Inactive"),""),"")</f>
        <v/>
      </c>
    </row>
    <row r="310" spans="1:14" ht="18" customHeight="1" x14ac:dyDescent="0.25">
      <c r="A310" s="59" t="str">
        <f>IF(DB_Customers!A304&lt;&gt;"",301,"")</f>
        <v/>
      </c>
      <c r="B310" s="60" t="str">
        <f>IFERROR(IF(DB_Customers!A304&lt;&gt;"",DB_Customers!A304,""),"")</f>
        <v/>
      </c>
      <c r="C310" s="61" t="str">
        <f>IFERROR(IF(DB_Customers!D304&lt;&gt;"",DB_Customers!D304,""),"")</f>
        <v/>
      </c>
      <c r="D310" s="62" t="str">
        <f>IFERROR(IF(DB_Customers!Q304&lt;&gt;"",DB_Customers!Q304,""),"")</f>
        <v/>
      </c>
      <c r="E310" s="61" t="str">
        <f>IFERROR(IF(DB_Customers!R304&lt;&gt;"",DB_Customers!R304,""),"")</f>
        <v/>
      </c>
      <c r="F310" s="61" t="str">
        <f>IFERROR(IF(DB_Customers!S304&lt;&gt;"",DB_Customers!S304,""),"")</f>
        <v/>
      </c>
      <c r="G310" s="61" t="str">
        <f>IFERROR(IF(DB_Customers!G304&lt;&gt;"",DB_Customers!G304,""),"")</f>
        <v/>
      </c>
      <c r="H310" s="63" t="str">
        <f>IFERROR(IF(DB_Customers!H304&lt;&gt;"",DB_Customers!H304,""),"")</f>
        <v/>
      </c>
      <c r="I310" s="64" t="str">
        <f>IFERROR(IF(DB_Customers!I304&lt;&gt;"",DB_Customers!I304,""),"")</f>
        <v/>
      </c>
      <c r="J310" s="62" t="str">
        <f>IFERROR(IF(DB_Customers!J304&lt;&gt;"",DB_Customers!J304,""),"")</f>
        <v/>
      </c>
      <c r="K310" s="61" t="str">
        <f>IFERROR(IF(DB_Customers!E304&lt;&gt;"",DB_Customers!E304,""),"")</f>
        <v/>
      </c>
      <c r="L310" s="61" t="str">
        <f>IFERROR(IF(DB_Customers!F304&lt;&gt;"",DB_Customers!F304,""),"")</f>
        <v/>
      </c>
      <c r="M310" s="61" t="str">
        <f>IFERROR(IF(DB_Customers!T304&lt;&gt;"",DB_Customers!T304,""),"")</f>
        <v/>
      </c>
      <c r="N310" s="65" t="str">
        <f>IFERROR(IF(DB_Customers!A304&lt;&gt;"",IF(DB_Customers!I304&gt;=10,"Active","Inactive"),""),"")</f>
        <v/>
      </c>
    </row>
    <row r="311" spans="1:14" ht="18" customHeight="1" x14ac:dyDescent="0.25">
      <c r="A311" s="66" t="str">
        <f>IF(DB_Customers!A305&lt;&gt;"",302,"")</f>
        <v/>
      </c>
      <c r="B311" s="67" t="str">
        <f>IFERROR(IF(DB_Customers!A305&lt;&gt;"",DB_Customers!A305,""),"")</f>
        <v/>
      </c>
      <c r="C311" s="68" t="str">
        <f>IFERROR(IF(DB_Customers!D305&lt;&gt;"",DB_Customers!D305,""),"")</f>
        <v/>
      </c>
      <c r="D311" s="69" t="str">
        <f>IFERROR(IF(DB_Customers!Q305&lt;&gt;"",DB_Customers!Q305,""),"")</f>
        <v/>
      </c>
      <c r="E311" s="68" t="str">
        <f>IFERROR(IF(DB_Customers!R305&lt;&gt;"",DB_Customers!R305,""),"")</f>
        <v/>
      </c>
      <c r="F311" s="68" t="str">
        <f>IFERROR(IF(DB_Customers!S305&lt;&gt;"",DB_Customers!S305,""),"")</f>
        <v/>
      </c>
      <c r="G311" s="68" t="str">
        <f>IFERROR(IF(DB_Customers!G305&lt;&gt;"",DB_Customers!G305,""),"")</f>
        <v/>
      </c>
      <c r="H311" s="70" t="str">
        <f>IFERROR(IF(DB_Customers!H305&lt;&gt;"",DB_Customers!H305,""),"")</f>
        <v/>
      </c>
      <c r="I311" s="71" t="str">
        <f>IFERROR(IF(DB_Customers!I305&lt;&gt;"",DB_Customers!I305,""),"")</f>
        <v/>
      </c>
      <c r="J311" s="69" t="str">
        <f>IFERROR(IF(DB_Customers!J305&lt;&gt;"",DB_Customers!J305,""),"")</f>
        <v/>
      </c>
      <c r="K311" s="68" t="str">
        <f>IFERROR(IF(DB_Customers!E305&lt;&gt;"",DB_Customers!E305,""),"")</f>
        <v/>
      </c>
      <c r="L311" s="68" t="str">
        <f>IFERROR(IF(DB_Customers!F305&lt;&gt;"",DB_Customers!F305,""),"")</f>
        <v/>
      </c>
      <c r="M311" s="68" t="str">
        <f>IFERROR(IF(DB_Customers!T305&lt;&gt;"",DB_Customers!T305,""),"")</f>
        <v/>
      </c>
      <c r="N311" s="72" t="str">
        <f>IFERROR(IF(DB_Customers!A305&lt;&gt;"",IF(DB_Customers!I305&gt;=10,"Active","Inactive"),""),"")</f>
        <v/>
      </c>
    </row>
    <row r="312" spans="1:14" ht="18" customHeight="1" x14ac:dyDescent="0.25">
      <c r="A312" s="59" t="str">
        <f>IF(DB_Customers!A306&lt;&gt;"",303,"")</f>
        <v/>
      </c>
      <c r="B312" s="60" t="str">
        <f>IFERROR(IF(DB_Customers!A306&lt;&gt;"",DB_Customers!A306,""),"")</f>
        <v/>
      </c>
      <c r="C312" s="61" t="str">
        <f>IFERROR(IF(DB_Customers!D306&lt;&gt;"",DB_Customers!D306,""),"")</f>
        <v/>
      </c>
      <c r="D312" s="62" t="str">
        <f>IFERROR(IF(DB_Customers!Q306&lt;&gt;"",DB_Customers!Q306,""),"")</f>
        <v/>
      </c>
      <c r="E312" s="61" t="str">
        <f>IFERROR(IF(DB_Customers!R306&lt;&gt;"",DB_Customers!R306,""),"")</f>
        <v/>
      </c>
      <c r="F312" s="61" t="str">
        <f>IFERROR(IF(DB_Customers!S306&lt;&gt;"",DB_Customers!S306,""),"")</f>
        <v/>
      </c>
      <c r="G312" s="61" t="str">
        <f>IFERROR(IF(DB_Customers!G306&lt;&gt;"",DB_Customers!G306,""),"")</f>
        <v/>
      </c>
      <c r="H312" s="63" t="str">
        <f>IFERROR(IF(DB_Customers!H306&lt;&gt;"",DB_Customers!H306,""),"")</f>
        <v/>
      </c>
      <c r="I312" s="64" t="str">
        <f>IFERROR(IF(DB_Customers!I306&lt;&gt;"",DB_Customers!I306,""),"")</f>
        <v/>
      </c>
      <c r="J312" s="62" t="str">
        <f>IFERROR(IF(DB_Customers!J306&lt;&gt;"",DB_Customers!J306,""),"")</f>
        <v/>
      </c>
      <c r="K312" s="61" t="str">
        <f>IFERROR(IF(DB_Customers!E306&lt;&gt;"",DB_Customers!E306,""),"")</f>
        <v/>
      </c>
      <c r="L312" s="61" t="str">
        <f>IFERROR(IF(DB_Customers!F306&lt;&gt;"",DB_Customers!F306,""),"")</f>
        <v/>
      </c>
      <c r="M312" s="61" t="str">
        <f>IFERROR(IF(DB_Customers!T306&lt;&gt;"",DB_Customers!T306,""),"")</f>
        <v/>
      </c>
      <c r="N312" s="65" t="str">
        <f>IFERROR(IF(DB_Customers!A306&lt;&gt;"",IF(DB_Customers!I306&gt;=10,"Active","Inactive"),""),"")</f>
        <v/>
      </c>
    </row>
    <row r="313" spans="1:14" ht="18" customHeight="1" x14ac:dyDescent="0.25">
      <c r="A313" s="66" t="str">
        <f>IF(DB_Customers!A307&lt;&gt;"",304,"")</f>
        <v/>
      </c>
      <c r="B313" s="67" t="str">
        <f>IFERROR(IF(DB_Customers!A307&lt;&gt;"",DB_Customers!A307,""),"")</f>
        <v/>
      </c>
      <c r="C313" s="68" t="str">
        <f>IFERROR(IF(DB_Customers!D307&lt;&gt;"",DB_Customers!D307,""),"")</f>
        <v/>
      </c>
      <c r="D313" s="69" t="str">
        <f>IFERROR(IF(DB_Customers!Q307&lt;&gt;"",DB_Customers!Q307,""),"")</f>
        <v/>
      </c>
      <c r="E313" s="68" t="str">
        <f>IFERROR(IF(DB_Customers!R307&lt;&gt;"",DB_Customers!R307,""),"")</f>
        <v/>
      </c>
      <c r="F313" s="68" t="str">
        <f>IFERROR(IF(DB_Customers!S307&lt;&gt;"",DB_Customers!S307,""),"")</f>
        <v/>
      </c>
      <c r="G313" s="68" t="str">
        <f>IFERROR(IF(DB_Customers!G307&lt;&gt;"",DB_Customers!G307,""),"")</f>
        <v/>
      </c>
      <c r="H313" s="70" t="str">
        <f>IFERROR(IF(DB_Customers!H307&lt;&gt;"",DB_Customers!H307,""),"")</f>
        <v/>
      </c>
      <c r="I313" s="71" t="str">
        <f>IFERROR(IF(DB_Customers!I307&lt;&gt;"",DB_Customers!I307,""),"")</f>
        <v/>
      </c>
      <c r="J313" s="69" t="str">
        <f>IFERROR(IF(DB_Customers!J307&lt;&gt;"",DB_Customers!J307,""),"")</f>
        <v/>
      </c>
      <c r="K313" s="68" t="str">
        <f>IFERROR(IF(DB_Customers!E307&lt;&gt;"",DB_Customers!E307,""),"")</f>
        <v/>
      </c>
      <c r="L313" s="68" t="str">
        <f>IFERROR(IF(DB_Customers!F307&lt;&gt;"",DB_Customers!F307,""),"")</f>
        <v/>
      </c>
      <c r="M313" s="68" t="str">
        <f>IFERROR(IF(DB_Customers!T307&lt;&gt;"",DB_Customers!T307,""),"")</f>
        <v/>
      </c>
      <c r="N313" s="72" t="str">
        <f>IFERROR(IF(DB_Customers!A307&lt;&gt;"",IF(DB_Customers!I307&gt;=10,"Active","Inactive"),""),"")</f>
        <v/>
      </c>
    </row>
    <row r="314" spans="1:14" ht="18" customHeight="1" x14ac:dyDescent="0.25">
      <c r="A314" s="59" t="str">
        <f>IF(DB_Customers!A308&lt;&gt;"",305,"")</f>
        <v/>
      </c>
      <c r="B314" s="60" t="str">
        <f>IFERROR(IF(DB_Customers!A308&lt;&gt;"",DB_Customers!A308,""),"")</f>
        <v/>
      </c>
      <c r="C314" s="61" t="str">
        <f>IFERROR(IF(DB_Customers!D308&lt;&gt;"",DB_Customers!D308,""),"")</f>
        <v/>
      </c>
      <c r="D314" s="62" t="str">
        <f>IFERROR(IF(DB_Customers!Q308&lt;&gt;"",DB_Customers!Q308,""),"")</f>
        <v/>
      </c>
      <c r="E314" s="61" t="str">
        <f>IFERROR(IF(DB_Customers!R308&lt;&gt;"",DB_Customers!R308,""),"")</f>
        <v/>
      </c>
      <c r="F314" s="61" t="str">
        <f>IFERROR(IF(DB_Customers!S308&lt;&gt;"",DB_Customers!S308,""),"")</f>
        <v/>
      </c>
      <c r="G314" s="61" t="str">
        <f>IFERROR(IF(DB_Customers!G308&lt;&gt;"",DB_Customers!G308,""),"")</f>
        <v/>
      </c>
      <c r="H314" s="63" t="str">
        <f>IFERROR(IF(DB_Customers!H308&lt;&gt;"",DB_Customers!H308,""),"")</f>
        <v/>
      </c>
      <c r="I314" s="64" t="str">
        <f>IFERROR(IF(DB_Customers!I308&lt;&gt;"",DB_Customers!I308,""),"")</f>
        <v/>
      </c>
      <c r="J314" s="62" t="str">
        <f>IFERROR(IF(DB_Customers!J308&lt;&gt;"",DB_Customers!J308,""),"")</f>
        <v/>
      </c>
      <c r="K314" s="61" t="str">
        <f>IFERROR(IF(DB_Customers!E308&lt;&gt;"",DB_Customers!E308,""),"")</f>
        <v/>
      </c>
      <c r="L314" s="61" t="str">
        <f>IFERROR(IF(DB_Customers!F308&lt;&gt;"",DB_Customers!F308,""),"")</f>
        <v/>
      </c>
      <c r="M314" s="61" t="str">
        <f>IFERROR(IF(DB_Customers!T308&lt;&gt;"",DB_Customers!T308,""),"")</f>
        <v/>
      </c>
      <c r="N314" s="65" t="str">
        <f>IFERROR(IF(DB_Customers!A308&lt;&gt;"",IF(DB_Customers!I308&gt;=10,"Active","Inactive"),""),"")</f>
        <v/>
      </c>
    </row>
    <row r="315" spans="1:14" ht="18" customHeight="1" x14ac:dyDescent="0.25">
      <c r="A315" s="66" t="str">
        <f>IF(DB_Customers!A309&lt;&gt;"",306,"")</f>
        <v/>
      </c>
      <c r="B315" s="67" t="str">
        <f>IFERROR(IF(DB_Customers!A309&lt;&gt;"",DB_Customers!A309,""),"")</f>
        <v/>
      </c>
      <c r="C315" s="68" t="str">
        <f>IFERROR(IF(DB_Customers!D309&lt;&gt;"",DB_Customers!D309,""),"")</f>
        <v/>
      </c>
      <c r="D315" s="69" t="str">
        <f>IFERROR(IF(DB_Customers!Q309&lt;&gt;"",DB_Customers!Q309,""),"")</f>
        <v/>
      </c>
      <c r="E315" s="68" t="str">
        <f>IFERROR(IF(DB_Customers!R309&lt;&gt;"",DB_Customers!R309,""),"")</f>
        <v/>
      </c>
      <c r="F315" s="68" t="str">
        <f>IFERROR(IF(DB_Customers!S309&lt;&gt;"",DB_Customers!S309,""),"")</f>
        <v/>
      </c>
      <c r="G315" s="68" t="str">
        <f>IFERROR(IF(DB_Customers!G309&lt;&gt;"",DB_Customers!G309,""),"")</f>
        <v/>
      </c>
      <c r="H315" s="70" t="str">
        <f>IFERROR(IF(DB_Customers!H309&lt;&gt;"",DB_Customers!H309,""),"")</f>
        <v/>
      </c>
      <c r="I315" s="71" t="str">
        <f>IFERROR(IF(DB_Customers!I309&lt;&gt;"",DB_Customers!I309,""),"")</f>
        <v/>
      </c>
      <c r="J315" s="69" t="str">
        <f>IFERROR(IF(DB_Customers!J309&lt;&gt;"",DB_Customers!J309,""),"")</f>
        <v/>
      </c>
      <c r="K315" s="68" t="str">
        <f>IFERROR(IF(DB_Customers!E309&lt;&gt;"",DB_Customers!E309,""),"")</f>
        <v/>
      </c>
      <c r="L315" s="68" t="str">
        <f>IFERROR(IF(DB_Customers!F309&lt;&gt;"",DB_Customers!F309,""),"")</f>
        <v/>
      </c>
      <c r="M315" s="68" t="str">
        <f>IFERROR(IF(DB_Customers!T309&lt;&gt;"",DB_Customers!T309,""),"")</f>
        <v/>
      </c>
      <c r="N315" s="72" t="str">
        <f>IFERROR(IF(DB_Customers!A309&lt;&gt;"",IF(DB_Customers!I309&gt;=10,"Active","Inactive"),""),"")</f>
        <v/>
      </c>
    </row>
    <row r="316" spans="1:14" ht="18" customHeight="1" x14ac:dyDescent="0.25">
      <c r="A316" s="59" t="str">
        <f>IF(DB_Customers!A310&lt;&gt;"",307,"")</f>
        <v/>
      </c>
      <c r="B316" s="60" t="str">
        <f>IFERROR(IF(DB_Customers!A310&lt;&gt;"",DB_Customers!A310,""),"")</f>
        <v/>
      </c>
      <c r="C316" s="61" t="str">
        <f>IFERROR(IF(DB_Customers!D310&lt;&gt;"",DB_Customers!D310,""),"")</f>
        <v/>
      </c>
      <c r="D316" s="62" t="str">
        <f>IFERROR(IF(DB_Customers!Q310&lt;&gt;"",DB_Customers!Q310,""),"")</f>
        <v/>
      </c>
      <c r="E316" s="61" t="str">
        <f>IFERROR(IF(DB_Customers!R310&lt;&gt;"",DB_Customers!R310,""),"")</f>
        <v/>
      </c>
      <c r="F316" s="61" t="str">
        <f>IFERROR(IF(DB_Customers!S310&lt;&gt;"",DB_Customers!S310,""),"")</f>
        <v/>
      </c>
      <c r="G316" s="61" t="str">
        <f>IFERROR(IF(DB_Customers!G310&lt;&gt;"",DB_Customers!G310,""),"")</f>
        <v/>
      </c>
      <c r="H316" s="63" t="str">
        <f>IFERROR(IF(DB_Customers!H310&lt;&gt;"",DB_Customers!H310,""),"")</f>
        <v/>
      </c>
      <c r="I316" s="64" t="str">
        <f>IFERROR(IF(DB_Customers!I310&lt;&gt;"",DB_Customers!I310,""),"")</f>
        <v/>
      </c>
      <c r="J316" s="62" t="str">
        <f>IFERROR(IF(DB_Customers!J310&lt;&gt;"",DB_Customers!J310,""),"")</f>
        <v/>
      </c>
      <c r="K316" s="61" t="str">
        <f>IFERROR(IF(DB_Customers!E310&lt;&gt;"",DB_Customers!E310,""),"")</f>
        <v/>
      </c>
      <c r="L316" s="61" t="str">
        <f>IFERROR(IF(DB_Customers!F310&lt;&gt;"",DB_Customers!F310,""),"")</f>
        <v/>
      </c>
      <c r="M316" s="61" t="str">
        <f>IFERROR(IF(DB_Customers!T310&lt;&gt;"",DB_Customers!T310,""),"")</f>
        <v/>
      </c>
      <c r="N316" s="65" t="str">
        <f>IFERROR(IF(DB_Customers!A310&lt;&gt;"",IF(DB_Customers!I310&gt;=10,"Active","Inactive"),""),"")</f>
        <v/>
      </c>
    </row>
    <row r="317" spans="1:14" ht="18" customHeight="1" x14ac:dyDescent="0.25">
      <c r="A317" s="66" t="str">
        <f>IF(DB_Customers!A311&lt;&gt;"",308,"")</f>
        <v/>
      </c>
      <c r="B317" s="67" t="str">
        <f>IFERROR(IF(DB_Customers!A311&lt;&gt;"",DB_Customers!A311,""),"")</f>
        <v/>
      </c>
      <c r="C317" s="68" t="str">
        <f>IFERROR(IF(DB_Customers!D311&lt;&gt;"",DB_Customers!D311,""),"")</f>
        <v/>
      </c>
      <c r="D317" s="69" t="str">
        <f>IFERROR(IF(DB_Customers!Q311&lt;&gt;"",DB_Customers!Q311,""),"")</f>
        <v/>
      </c>
      <c r="E317" s="68" t="str">
        <f>IFERROR(IF(DB_Customers!R311&lt;&gt;"",DB_Customers!R311,""),"")</f>
        <v/>
      </c>
      <c r="F317" s="68" t="str">
        <f>IFERROR(IF(DB_Customers!S311&lt;&gt;"",DB_Customers!S311,""),"")</f>
        <v/>
      </c>
      <c r="G317" s="68" t="str">
        <f>IFERROR(IF(DB_Customers!G311&lt;&gt;"",DB_Customers!G311,""),"")</f>
        <v/>
      </c>
      <c r="H317" s="70" t="str">
        <f>IFERROR(IF(DB_Customers!H311&lt;&gt;"",DB_Customers!H311,""),"")</f>
        <v/>
      </c>
      <c r="I317" s="71" t="str">
        <f>IFERROR(IF(DB_Customers!I311&lt;&gt;"",DB_Customers!I311,""),"")</f>
        <v/>
      </c>
      <c r="J317" s="69" t="str">
        <f>IFERROR(IF(DB_Customers!J311&lt;&gt;"",DB_Customers!J311,""),"")</f>
        <v/>
      </c>
      <c r="K317" s="68" t="str">
        <f>IFERROR(IF(DB_Customers!E311&lt;&gt;"",DB_Customers!E311,""),"")</f>
        <v/>
      </c>
      <c r="L317" s="68" t="str">
        <f>IFERROR(IF(DB_Customers!F311&lt;&gt;"",DB_Customers!F311,""),"")</f>
        <v/>
      </c>
      <c r="M317" s="68" t="str">
        <f>IFERROR(IF(DB_Customers!T311&lt;&gt;"",DB_Customers!T311,""),"")</f>
        <v/>
      </c>
      <c r="N317" s="72" t="str">
        <f>IFERROR(IF(DB_Customers!A311&lt;&gt;"",IF(DB_Customers!I311&gt;=10,"Active","Inactive"),""),"")</f>
        <v/>
      </c>
    </row>
    <row r="318" spans="1:14" ht="18" customHeight="1" x14ac:dyDescent="0.25">
      <c r="A318" s="59" t="str">
        <f>IF(DB_Customers!A312&lt;&gt;"",309,"")</f>
        <v/>
      </c>
      <c r="B318" s="60" t="str">
        <f>IFERROR(IF(DB_Customers!A312&lt;&gt;"",DB_Customers!A312,""),"")</f>
        <v/>
      </c>
      <c r="C318" s="61" t="str">
        <f>IFERROR(IF(DB_Customers!D312&lt;&gt;"",DB_Customers!D312,""),"")</f>
        <v/>
      </c>
      <c r="D318" s="62" t="str">
        <f>IFERROR(IF(DB_Customers!Q312&lt;&gt;"",DB_Customers!Q312,""),"")</f>
        <v/>
      </c>
      <c r="E318" s="61" t="str">
        <f>IFERROR(IF(DB_Customers!R312&lt;&gt;"",DB_Customers!R312,""),"")</f>
        <v/>
      </c>
      <c r="F318" s="61" t="str">
        <f>IFERROR(IF(DB_Customers!S312&lt;&gt;"",DB_Customers!S312,""),"")</f>
        <v/>
      </c>
      <c r="G318" s="61" t="str">
        <f>IFERROR(IF(DB_Customers!G312&lt;&gt;"",DB_Customers!G312,""),"")</f>
        <v/>
      </c>
      <c r="H318" s="63" t="str">
        <f>IFERROR(IF(DB_Customers!H312&lt;&gt;"",DB_Customers!H312,""),"")</f>
        <v/>
      </c>
      <c r="I318" s="64" t="str">
        <f>IFERROR(IF(DB_Customers!I312&lt;&gt;"",DB_Customers!I312,""),"")</f>
        <v/>
      </c>
      <c r="J318" s="62" t="str">
        <f>IFERROR(IF(DB_Customers!J312&lt;&gt;"",DB_Customers!J312,""),"")</f>
        <v/>
      </c>
      <c r="K318" s="61" t="str">
        <f>IFERROR(IF(DB_Customers!E312&lt;&gt;"",DB_Customers!E312,""),"")</f>
        <v/>
      </c>
      <c r="L318" s="61" t="str">
        <f>IFERROR(IF(DB_Customers!F312&lt;&gt;"",DB_Customers!F312,""),"")</f>
        <v/>
      </c>
      <c r="M318" s="61" t="str">
        <f>IFERROR(IF(DB_Customers!T312&lt;&gt;"",DB_Customers!T312,""),"")</f>
        <v/>
      </c>
      <c r="N318" s="65" t="str">
        <f>IFERROR(IF(DB_Customers!A312&lt;&gt;"",IF(DB_Customers!I312&gt;=10,"Active","Inactive"),""),"")</f>
        <v/>
      </c>
    </row>
    <row r="319" spans="1:14" ht="18" customHeight="1" x14ac:dyDescent="0.25">
      <c r="A319" s="66" t="str">
        <f>IF(DB_Customers!A313&lt;&gt;"",310,"")</f>
        <v/>
      </c>
      <c r="B319" s="67" t="str">
        <f>IFERROR(IF(DB_Customers!A313&lt;&gt;"",DB_Customers!A313,""),"")</f>
        <v/>
      </c>
      <c r="C319" s="68" t="str">
        <f>IFERROR(IF(DB_Customers!D313&lt;&gt;"",DB_Customers!D313,""),"")</f>
        <v/>
      </c>
      <c r="D319" s="69" t="str">
        <f>IFERROR(IF(DB_Customers!Q313&lt;&gt;"",DB_Customers!Q313,""),"")</f>
        <v/>
      </c>
      <c r="E319" s="68" t="str">
        <f>IFERROR(IF(DB_Customers!R313&lt;&gt;"",DB_Customers!R313,""),"")</f>
        <v/>
      </c>
      <c r="F319" s="68" t="str">
        <f>IFERROR(IF(DB_Customers!S313&lt;&gt;"",DB_Customers!S313,""),"")</f>
        <v/>
      </c>
      <c r="G319" s="68" t="str">
        <f>IFERROR(IF(DB_Customers!G313&lt;&gt;"",DB_Customers!G313,""),"")</f>
        <v/>
      </c>
      <c r="H319" s="70" t="str">
        <f>IFERROR(IF(DB_Customers!H313&lt;&gt;"",DB_Customers!H313,""),"")</f>
        <v/>
      </c>
      <c r="I319" s="71" t="str">
        <f>IFERROR(IF(DB_Customers!I313&lt;&gt;"",DB_Customers!I313,""),"")</f>
        <v/>
      </c>
      <c r="J319" s="69" t="str">
        <f>IFERROR(IF(DB_Customers!J313&lt;&gt;"",DB_Customers!J313,""),"")</f>
        <v/>
      </c>
      <c r="K319" s="68" t="str">
        <f>IFERROR(IF(DB_Customers!E313&lt;&gt;"",DB_Customers!E313,""),"")</f>
        <v/>
      </c>
      <c r="L319" s="68" t="str">
        <f>IFERROR(IF(DB_Customers!F313&lt;&gt;"",DB_Customers!F313,""),"")</f>
        <v/>
      </c>
      <c r="M319" s="68" t="str">
        <f>IFERROR(IF(DB_Customers!T313&lt;&gt;"",DB_Customers!T313,""),"")</f>
        <v/>
      </c>
      <c r="N319" s="72" t="str">
        <f>IFERROR(IF(DB_Customers!A313&lt;&gt;"",IF(DB_Customers!I313&gt;=10,"Active","Inactive"),""),"")</f>
        <v/>
      </c>
    </row>
    <row r="320" spans="1:14" ht="18" customHeight="1" x14ac:dyDescent="0.25">
      <c r="A320" s="59" t="str">
        <f>IF(DB_Customers!A314&lt;&gt;"",311,"")</f>
        <v/>
      </c>
      <c r="B320" s="60" t="str">
        <f>IFERROR(IF(DB_Customers!A314&lt;&gt;"",DB_Customers!A314,""),"")</f>
        <v/>
      </c>
      <c r="C320" s="61" t="str">
        <f>IFERROR(IF(DB_Customers!D314&lt;&gt;"",DB_Customers!D314,""),"")</f>
        <v/>
      </c>
      <c r="D320" s="62" t="str">
        <f>IFERROR(IF(DB_Customers!Q314&lt;&gt;"",DB_Customers!Q314,""),"")</f>
        <v/>
      </c>
      <c r="E320" s="61" t="str">
        <f>IFERROR(IF(DB_Customers!R314&lt;&gt;"",DB_Customers!R314,""),"")</f>
        <v/>
      </c>
      <c r="F320" s="61" t="str">
        <f>IFERROR(IF(DB_Customers!S314&lt;&gt;"",DB_Customers!S314,""),"")</f>
        <v/>
      </c>
      <c r="G320" s="61" t="str">
        <f>IFERROR(IF(DB_Customers!G314&lt;&gt;"",DB_Customers!G314,""),"")</f>
        <v/>
      </c>
      <c r="H320" s="63" t="str">
        <f>IFERROR(IF(DB_Customers!H314&lt;&gt;"",DB_Customers!H314,""),"")</f>
        <v/>
      </c>
      <c r="I320" s="64" t="str">
        <f>IFERROR(IF(DB_Customers!I314&lt;&gt;"",DB_Customers!I314,""),"")</f>
        <v/>
      </c>
      <c r="J320" s="62" t="str">
        <f>IFERROR(IF(DB_Customers!J314&lt;&gt;"",DB_Customers!J314,""),"")</f>
        <v/>
      </c>
      <c r="K320" s="61" t="str">
        <f>IFERROR(IF(DB_Customers!E314&lt;&gt;"",DB_Customers!E314,""),"")</f>
        <v/>
      </c>
      <c r="L320" s="61" t="str">
        <f>IFERROR(IF(DB_Customers!F314&lt;&gt;"",DB_Customers!F314,""),"")</f>
        <v/>
      </c>
      <c r="M320" s="61" t="str">
        <f>IFERROR(IF(DB_Customers!T314&lt;&gt;"",DB_Customers!T314,""),"")</f>
        <v/>
      </c>
      <c r="N320" s="65" t="str">
        <f>IFERROR(IF(DB_Customers!A314&lt;&gt;"",IF(DB_Customers!I314&gt;=10,"Active","Inactive"),""),"")</f>
        <v/>
      </c>
    </row>
    <row r="321" spans="1:14" ht="18" customHeight="1" x14ac:dyDescent="0.25">
      <c r="A321" s="66" t="str">
        <f>IF(DB_Customers!A315&lt;&gt;"",312,"")</f>
        <v/>
      </c>
      <c r="B321" s="67" t="str">
        <f>IFERROR(IF(DB_Customers!A315&lt;&gt;"",DB_Customers!A315,""),"")</f>
        <v/>
      </c>
      <c r="C321" s="68" t="str">
        <f>IFERROR(IF(DB_Customers!D315&lt;&gt;"",DB_Customers!D315,""),"")</f>
        <v/>
      </c>
      <c r="D321" s="69" t="str">
        <f>IFERROR(IF(DB_Customers!Q315&lt;&gt;"",DB_Customers!Q315,""),"")</f>
        <v/>
      </c>
      <c r="E321" s="68" t="str">
        <f>IFERROR(IF(DB_Customers!R315&lt;&gt;"",DB_Customers!R315,""),"")</f>
        <v/>
      </c>
      <c r="F321" s="68" t="str">
        <f>IFERROR(IF(DB_Customers!S315&lt;&gt;"",DB_Customers!S315,""),"")</f>
        <v/>
      </c>
      <c r="G321" s="68" t="str">
        <f>IFERROR(IF(DB_Customers!G315&lt;&gt;"",DB_Customers!G315,""),"")</f>
        <v/>
      </c>
      <c r="H321" s="70" t="str">
        <f>IFERROR(IF(DB_Customers!H315&lt;&gt;"",DB_Customers!H315,""),"")</f>
        <v/>
      </c>
      <c r="I321" s="71" t="str">
        <f>IFERROR(IF(DB_Customers!I315&lt;&gt;"",DB_Customers!I315,""),"")</f>
        <v/>
      </c>
      <c r="J321" s="69" t="str">
        <f>IFERROR(IF(DB_Customers!J315&lt;&gt;"",DB_Customers!J315,""),"")</f>
        <v/>
      </c>
      <c r="K321" s="68" t="str">
        <f>IFERROR(IF(DB_Customers!E315&lt;&gt;"",DB_Customers!E315,""),"")</f>
        <v/>
      </c>
      <c r="L321" s="68" t="str">
        <f>IFERROR(IF(DB_Customers!F315&lt;&gt;"",DB_Customers!F315,""),"")</f>
        <v/>
      </c>
      <c r="M321" s="68" t="str">
        <f>IFERROR(IF(DB_Customers!T315&lt;&gt;"",DB_Customers!T315,""),"")</f>
        <v/>
      </c>
      <c r="N321" s="72" t="str">
        <f>IFERROR(IF(DB_Customers!A315&lt;&gt;"",IF(DB_Customers!I315&gt;=10,"Active","Inactive"),""),"")</f>
        <v/>
      </c>
    </row>
    <row r="322" spans="1:14" ht="18" customHeight="1" x14ac:dyDescent="0.25">
      <c r="A322" s="59" t="str">
        <f>IF(DB_Customers!A316&lt;&gt;"",313,"")</f>
        <v/>
      </c>
      <c r="B322" s="60" t="str">
        <f>IFERROR(IF(DB_Customers!A316&lt;&gt;"",DB_Customers!A316,""),"")</f>
        <v/>
      </c>
      <c r="C322" s="61" t="str">
        <f>IFERROR(IF(DB_Customers!D316&lt;&gt;"",DB_Customers!D316,""),"")</f>
        <v/>
      </c>
      <c r="D322" s="62" t="str">
        <f>IFERROR(IF(DB_Customers!Q316&lt;&gt;"",DB_Customers!Q316,""),"")</f>
        <v/>
      </c>
      <c r="E322" s="61" t="str">
        <f>IFERROR(IF(DB_Customers!R316&lt;&gt;"",DB_Customers!R316,""),"")</f>
        <v/>
      </c>
      <c r="F322" s="61" t="str">
        <f>IFERROR(IF(DB_Customers!S316&lt;&gt;"",DB_Customers!S316,""),"")</f>
        <v/>
      </c>
      <c r="G322" s="61" t="str">
        <f>IFERROR(IF(DB_Customers!G316&lt;&gt;"",DB_Customers!G316,""),"")</f>
        <v/>
      </c>
      <c r="H322" s="63" t="str">
        <f>IFERROR(IF(DB_Customers!H316&lt;&gt;"",DB_Customers!H316,""),"")</f>
        <v/>
      </c>
      <c r="I322" s="64" t="str">
        <f>IFERROR(IF(DB_Customers!I316&lt;&gt;"",DB_Customers!I316,""),"")</f>
        <v/>
      </c>
      <c r="J322" s="62" t="str">
        <f>IFERROR(IF(DB_Customers!J316&lt;&gt;"",DB_Customers!J316,""),"")</f>
        <v/>
      </c>
      <c r="K322" s="61" t="str">
        <f>IFERROR(IF(DB_Customers!E316&lt;&gt;"",DB_Customers!E316,""),"")</f>
        <v/>
      </c>
      <c r="L322" s="61" t="str">
        <f>IFERROR(IF(DB_Customers!F316&lt;&gt;"",DB_Customers!F316,""),"")</f>
        <v/>
      </c>
      <c r="M322" s="61" t="str">
        <f>IFERROR(IF(DB_Customers!T316&lt;&gt;"",DB_Customers!T316,""),"")</f>
        <v/>
      </c>
      <c r="N322" s="65" t="str">
        <f>IFERROR(IF(DB_Customers!A316&lt;&gt;"",IF(DB_Customers!I316&gt;=10,"Active","Inactive"),""),"")</f>
        <v/>
      </c>
    </row>
    <row r="323" spans="1:14" ht="18" customHeight="1" x14ac:dyDescent="0.25">
      <c r="A323" s="66" t="str">
        <f>IF(DB_Customers!A317&lt;&gt;"",314,"")</f>
        <v/>
      </c>
      <c r="B323" s="67" t="str">
        <f>IFERROR(IF(DB_Customers!A317&lt;&gt;"",DB_Customers!A317,""),"")</f>
        <v/>
      </c>
      <c r="C323" s="68" t="str">
        <f>IFERROR(IF(DB_Customers!D317&lt;&gt;"",DB_Customers!D317,""),"")</f>
        <v/>
      </c>
      <c r="D323" s="69" t="str">
        <f>IFERROR(IF(DB_Customers!Q317&lt;&gt;"",DB_Customers!Q317,""),"")</f>
        <v/>
      </c>
      <c r="E323" s="68" t="str">
        <f>IFERROR(IF(DB_Customers!R317&lt;&gt;"",DB_Customers!R317,""),"")</f>
        <v/>
      </c>
      <c r="F323" s="68" t="str">
        <f>IFERROR(IF(DB_Customers!S317&lt;&gt;"",DB_Customers!S317,""),"")</f>
        <v/>
      </c>
      <c r="G323" s="68" t="str">
        <f>IFERROR(IF(DB_Customers!G317&lt;&gt;"",DB_Customers!G317,""),"")</f>
        <v/>
      </c>
      <c r="H323" s="70" t="str">
        <f>IFERROR(IF(DB_Customers!H317&lt;&gt;"",DB_Customers!H317,""),"")</f>
        <v/>
      </c>
      <c r="I323" s="71" t="str">
        <f>IFERROR(IF(DB_Customers!I317&lt;&gt;"",DB_Customers!I317,""),"")</f>
        <v/>
      </c>
      <c r="J323" s="69" t="str">
        <f>IFERROR(IF(DB_Customers!J317&lt;&gt;"",DB_Customers!J317,""),"")</f>
        <v/>
      </c>
      <c r="K323" s="68" t="str">
        <f>IFERROR(IF(DB_Customers!E317&lt;&gt;"",DB_Customers!E317,""),"")</f>
        <v/>
      </c>
      <c r="L323" s="68" t="str">
        <f>IFERROR(IF(DB_Customers!F317&lt;&gt;"",DB_Customers!F317,""),"")</f>
        <v/>
      </c>
      <c r="M323" s="68" t="str">
        <f>IFERROR(IF(DB_Customers!T317&lt;&gt;"",DB_Customers!T317,""),"")</f>
        <v/>
      </c>
      <c r="N323" s="72" t="str">
        <f>IFERROR(IF(DB_Customers!A317&lt;&gt;"",IF(DB_Customers!I317&gt;=10,"Active","Inactive"),""),"")</f>
        <v/>
      </c>
    </row>
    <row r="324" spans="1:14" ht="18" customHeight="1" x14ac:dyDescent="0.25">
      <c r="A324" s="59" t="str">
        <f>IF(DB_Customers!A318&lt;&gt;"",315,"")</f>
        <v/>
      </c>
      <c r="B324" s="60" t="str">
        <f>IFERROR(IF(DB_Customers!A318&lt;&gt;"",DB_Customers!A318,""),"")</f>
        <v/>
      </c>
      <c r="C324" s="61" t="str">
        <f>IFERROR(IF(DB_Customers!D318&lt;&gt;"",DB_Customers!D318,""),"")</f>
        <v/>
      </c>
      <c r="D324" s="62" t="str">
        <f>IFERROR(IF(DB_Customers!Q318&lt;&gt;"",DB_Customers!Q318,""),"")</f>
        <v/>
      </c>
      <c r="E324" s="61" t="str">
        <f>IFERROR(IF(DB_Customers!R318&lt;&gt;"",DB_Customers!R318,""),"")</f>
        <v/>
      </c>
      <c r="F324" s="61" t="str">
        <f>IFERROR(IF(DB_Customers!S318&lt;&gt;"",DB_Customers!S318,""),"")</f>
        <v/>
      </c>
      <c r="G324" s="61" t="str">
        <f>IFERROR(IF(DB_Customers!G318&lt;&gt;"",DB_Customers!G318,""),"")</f>
        <v/>
      </c>
      <c r="H324" s="63" t="str">
        <f>IFERROR(IF(DB_Customers!H318&lt;&gt;"",DB_Customers!H318,""),"")</f>
        <v/>
      </c>
      <c r="I324" s="64" t="str">
        <f>IFERROR(IF(DB_Customers!I318&lt;&gt;"",DB_Customers!I318,""),"")</f>
        <v/>
      </c>
      <c r="J324" s="62" t="str">
        <f>IFERROR(IF(DB_Customers!J318&lt;&gt;"",DB_Customers!J318,""),"")</f>
        <v/>
      </c>
      <c r="K324" s="61" t="str">
        <f>IFERROR(IF(DB_Customers!E318&lt;&gt;"",DB_Customers!E318,""),"")</f>
        <v/>
      </c>
      <c r="L324" s="61" t="str">
        <f>IFERROR(IF(DB_Customers!F318&lt;&gt;"",DB_Customers!F318,""),"")</f>
        <v/>
      </c>
      <c r="M324" s="61" t="str">
        <f>IFERROR(IF(DB_Customers!T318&lt;&gt;"",DB_Customers!T318,""),"")</f>
        <v/>
      </c>
      <c r="N324" s="65" t="str">
        <f>IFERROR(IF(DB_Customers!A318&lt;&gt;"",IF(DB_Customers!I318&gt;=10,"Active","Inactive"),""),"")</f>
        <v/>
      </c>
    </row>
    <row r="325" spans="1:14" ht="18" customHeight="1" x14ac:dyDescent="0.25">
      <c r="A325" s="66" t="str">
        <f>IF(DB_Customers!A319&lt;&gt;"",316,"")</f>
        <v/>
      </c>
      <c r="B325" s="67" t="str">
        <f>IFERROR(IF(DB_Customers!A319&lt;&gt;"",DB_Customers!A319,""),"")</f>
        <v/>
      </c>
      <c r="C325" s="68" t="str">
        <f>IFERROR(IF(DB_Customers!D319&lt;&gt;"",DB_Customers!D319,""),"")</f>
        <v/>
      </c>
      <c r="D325" s="69" t="str">
        <f>IFERROR(IF(DB_Customers!Q319&lt;&gt;"",DB_Customers!Q319,""),"")</f>
        <v/>
      </c>
      <c r="E325" s="68" t="str">
        <f>IFERROR(IF(DB_Customers!R319&lt;&gt;"",DB_Customers!R319,""),"")</f>
        <v/>
      </c>
      <c r="F325" s="68" t="str">
        <f>IFERROR(IF(DB_Customers!S319&lt;&gt;"",DB_Customers!S319,""),"")</f>
        <v/>
      </c>
      <c r="G325" s="68" t="str">
        <f>IFERROR(IF(DB_Customers!G319&lt;&gt;"",DB_Customers!G319,""),"")</f>
        <v/>
      </c>
      <c r="H325" s="70" t="str">
        <f>IFERROR(IF(DB_Customers!H319&lt;&gt;"",DB_Customers!H319,""),"")</f>
        <v/>
      </c>
      <c r="I325" s="71" t="str">
        <f>IFERROR(IF(DB_Customers!I319&lt;&gt;"",DB_Customers!I319,""),"")</f>
        <v/>
      </c>
      <c r="J325" s="69" t="str">
        <f>IFERROR(IF(DB_Customers!J319&lt;&gt;"",DB_Customers!J319,""),"")</f>
        <v/>
      </c>
      <c r="K325" s="68" t="str">
        <f>IFERROR(IF(DB_Customers!E319&lt;&gt;"",DB_Customers!E319,""),"")</f>
        <v/>
      </c>
      <c r="L325" s="68" t="str">
        <f>IFERROR(IF(DB_Customers!F319&lt;&gt;"",DB_Customers!F319,""),"")</f>
        <v/>
      </c>
      <c r="M325" s="68" t="str">
        <f>IFERROR(IF(DB_Customers!T319&lt;&gt;"",DB_Customers!T319,""),"")</f>
        <v/>
      </c>
      <c r="N325" s="72" t="str">
        <f>IFERROR(IF(DB_Customers!A319&lt;&gt;"",IF(DB_Customers!I319&gt;=10,"Active","Inactive"),""),"")</f>
        <v/>
      </c>
    </row>
    <row r="326" spans="1:14" ht="18" customHeight="1" x14ac:dyDescent="0.25">
      <c r="A326" s="59" t="str">
        <f>IF(DB_Customers!A320&lt;&gt;"",317,"")</f>
        <v/>
      </c>
      <c r="B326" s="60" t="str">
        <f>IFERROR(IF(DB_Customers!A320&lt;&gt;"",DB_Customers!A320,""),"")</f>
        <v/>
      </c>
      <c r="C326" s="61" t="str">
        <f>IFERROR(IF(DB_Customers!D320&lt;&gt;"",DB_Customers!D320,""),"")</f>
        <v/>
      </c>
      <c r="D326" s="62" t="str">
        <f>IFERROR(IF(DB_Customers!Q320&lt;&gt;"",DB_Customers!Q320,""),"")</f>
        <v/>
      </c>
      <c r="E326" s="61" t="str">
        <f>IFERROR(IF(DB_Customers!R320&lt;&gt;"",DB_Customers!R320,""),"")</f>
        <v/>
      </c>
      <c r="F326" s="61" t="str">
        <f>IFERROR(IF(DB_Customers!S320&lt;&gt;"",DB_Customers!S320,""),"")</f>
        <v/>
      </c>
      <c r="G326" s="61" t="str">
        <f>IFERROR(IF(DB_Customers!G320&lt;&gt;"",DB_Customers!G320,""),"")</f>
        <v/>
      </c>
      <c r="H326" s="63" t="str">
        <f>IFERROR(IF(DB_Customers!H320&lt;&gt;"",DB_Customers!H320,""),"")</f>
        <v/>
      </c>
      <c r="I326" s="64" t="str">
        <f>IFERROR(IF(DB_Customers!I320&lt;&gt;"",DB_Customers!I320,""),"")</f>
        <v/>
      </c>
      <c r="J326" s="62" t="str">
        <f>IFERROR(IF(DB_Customers!J320&lt;&gt;"",DB_Customers!J320,""),"")</f>
        <v/>
      </c>
      <c r="K326" s="61" t="str">
        <f>IFERROR(IF(DB_Customers!E320&lt;&gt;"",DB_Customers!E320,""),"")</f>
        <v/>
      </c>
      <c r="L326" s="61" t="str">
        <f>IFERROR(IF(DB_Customers!F320&lt;&gt;"",DB_Customers!F320,""),"")</f>
        <v/>
      </c>
      <c r="M326" s="61" t="str">
        <f>IFERROR(IF(DB_Customers!T320&lt;&gt;"",DB_Customers!T320,""),"")</f>
        <v/>
      </c>
      <c r="N326" s="65" t="str">
        <f>IFERROR(IF(DB_Customers!A320&lt;&gt;"",IF(DB_Customers!I320&gt;=10,"Active","Inactive"),""),"")</f>
        <v/>
      </c>
    </row>
    <row r="327" spans="1:14" ht="18" customHeight="1" x14ac:dyDescent="0.25">
      <c r="A327" s="66" t="str">
        <f>IF(DB_Customers!A321&lt;&gt;"",318,"")</f>
        <v/>
      </c>
      <c r="B327" s="67" t="str">
        <f>IFERROR(IF(DB_Customers!A321&lt;&gt;"",DB_Customers!A321,""),"")</f>
        <v/>
      </c>
      <c r="C327" s="68" t="str">
        <f>IFERROR(IF(DB_Customers!D321&lt;&gt;"",DB_Customers!D321,""),"")</f>
        <v/>
      </c>
      <c r="D327" s="69" t="str">
        <f>IFERROR(IF(DB_Customers!Q321&lt;&gt;"",DB_Customers!Q321,""),"")</f>
        <v/>
      </c>
      <c r="E327" s="68" t="str">
        <f>IFERROR(IF(DB_Customers!R321&lt;&gt;"",DB_Customers!R321,""),"")</f>
        <v/>
      </c>
      <c r="F327" s="68" t="str">
        <f>IFERROR(IF(DB_Customers!S321&lt;&gt;"",DB_Customers!S321,""),"")</f>
        <v/>
      </c>
      <c r="G327" s="68" t="str">
        <f>IFERROR(IF(DB_Customers!G321&lt;&gt;"",DB_Customers!G321,""),"")</f>
        <v/>
      </c>
      <c r="H327" s="70" t="str">
        <f>IFERROR(IF(DB_Customers!H321&lt;&gt;"",DB_Customers!H321,""),"")</f>
        <v/>
      </c>
      <c r="I327" s="71" t="str">
        <f>IFERROR(IF(DB_Customers!I321&lt;&gt;"",DB_Customers!I321,""),"")</f>
        <v/>
      </c>
      <c r="J327" s="69" t="str">
        <f>IFERROR(IF(DB_Customers!J321&lt;&gt;"",DB_Customers!J321,""),"")</f>
        <v/>
      </c>
      <c r="K327" s="68" t="str">
        <f>IFERROR(IF(DB_Customers!E321&lt;&gt;"",DB_Customers!E321,""),"")</f>
        <v/>
      </c>
      <c r="L327" s="68" t="str">
        <f>IFERROR(IF(DB_Customers!F321&lt;&gt;"",DB_Customers!F321,""),"")</f>
        <v/>
      </c>
      <c r="M327" s="68" t="str">
        <f>IFERROR(IF(DB_Customers!T321&lt;&gt;"",DB_Customers!T321,""),"")</f>
        <v/>
      </c>
      <c r="N327" s="72" t="str">
        <f>IFERROR(IF(DB_Customers!A321&lt;&gt;"",IF(DB_Customers!I321&gt;=10,"Active","Inactive"),""),"")</f>
        <v/>
      </c>
    </row>
    <row r="328" spans="1:14" ht="18" customHeight="1" x14ac:dyDescent="0.25">
      <c r="A328" s="59" t="str">
        <f>IF(DB_Customers!A322&lt;&gt;"",319,"")</f>
        <v/>
      </c>
      <c r="B328" s="60" t="str">
        <f>IFERROR(IF(DB_Customers!A322&lt;&gt;"",DB_Customers!A322,""),"")</f>
        <v/>
      </c>
      <c r="C328" s="61" t="str">
        <f>IFERROR(IF(DB_Customers!D322&lt;&gt;"",DB_Customers!D322,""),"")</f>
        <v/>
      </c>
      <c r="D328" s="62" t="str">
        <f>IFERROR(IF(DB_Customers!Q322&lt;&gt;"",DB_Customers!Q322,""),"")</f>
        <v/>
      </c>
      <c r="E328" s="61" t="str">
        <f>IFERROR(IF(DB_Customers!R322&lt;&gt;"",DB_Customers!R322,""),"")</f>
        <v/>
      </c>
      <c r="F328" s="61" t="str">
        <f>IFERROR(IF(DB_Customers!S322&lt;&gt;"",DB_Customers!S322,""),"")</f>
        <v/>
      </c>
      <c r="G328" s="61" t="str">
        <f>IFERROR(IF(DB_Customers!G322&lt;&gt;"",DB_Customers!G322,""),"")</f>
        <v/>
      </c>
      <c r="H328" s="63" t="str">
        <f>IFERROR(IF(DB_Customers!H322&lt;&gt;"",DB_Customers!H322,""),"")</f>
        <v/>
      </c>
      <c r="I328" s="64" t="str">
        <f>IFERROR(IF(DB_Customers!I322&lt;&gt;"",DB_Customers!I322,""),"")</f>
        <v/>
      </c>
      <c r="J328" s="62" t="str">
        <f>IFERROR(IF(DB_Customers!J322&lt;&gt;"",DB_Customers!J322,""),"")</f>
        <v/>
      </c>
      <c r="K328" s="61" t="str">
        <f>IFERROR(IF(DB_Customers!E322&lt;&gt;"",DB_Customers!E322,""),"")</f>
        <v/>
      </c>
      <c r="L328" s="61" t="str">
        <f>IFERROR(IF(DB_Customers!F322&lt;&gt;"",DB_Customers!F322,""),"")</f>
        <v/>
      </c>
      <c r="M328" s="61" t="str">
        <f>IFERROR(IF(DB_Customers!T322&lt;&gt;"",DB_Customers!T322,""),"")</f>
        <v/>
      </c>
      <c r="N328" s="65" t="str">
        <f>IFERROR(IF(DB_Customers!A322&lt;&gt;"",IF(DB_Customers!I322&gt;=10,"Active","Inactive"),""),"")</f>
        <v/>
      </c>
    </row>
    <row r="329" spans="1:14" ht="18" customHeight="1" x14ac:dyDescent="0.25">
      <c r="A329" s="66" t="str">
        <f>IF(DB_Customers!A323&lt;&gt;"",320,"")</f>
        <v/>
      </c>
      <c r="B329" s="67" t="str">
        <f>IFERROR(IF(DB_Customers!A323&lt;&gt;"",DB_Customers!A323,""),"")</f>
        <v/>
      </c>
      <c r="C329" s="68" t="str">
        <f>IFERROR(IF(DB_Customers!D323&lt;&gt;"",DB_Customers!D323,""),"")</f>
        <v/>
      </c>
      <c r="D329" s="69" t="str">
        <f>IFERROR(IF(DB_Customers!Q323&lt;&gt;"",DB_Customers!Q323,""),"")</f>
        <v/>
      </c>
      <c r="E329" s="68" t="str">
        <f>IFERROR(IF(DB_Customers!R323&lt;&gt;"",DB_Customers!R323,""),"")</f>
        <v/>
      </c>
      <c r="F329" s="68" t="str">
        <f>IFERROR(IF(DB_Customers!S323&lt;&gt;"",DB_Customers!S323,""),"")</f>
        <v/>
      </c>
      <c r="G329" s="68" t="str">
        <f>IFERROR(IF(DB_Customers!G323&lt;&gt;"",DB_Customers!G323,""),"")</f>
        <v/>
      </c>
      <c r="H329" s="70" t="str">
        <f>IFERROR(IF(DB_Customers!H323&lt;&gt;"",DB_Customers!H323,""),"")</f>
        <v/>
      </c>
      <c r="I329" s="71" t="str">
        <f>IFERROR(IF(DB_Customers!I323&lt;&gt;"",DB_Customers!I323,""),"")</f>
        <v/>
      </c>
      <c r="J329" s="69" t="str">
        <f>IFERROR(IF(DB_Customers!J323&lt;&gt;"",DB_Customers!J323,""),"")</f>
        <v/>
      </c>
      <c r="K329" s="68" t="str">
        <f>IFERROR(IF(DB_Customers!E323&lt;&gt;"",DB_Customers!E323,""),"")</f>
        <v/>
      </c>
      <c r="L329" s="68" t="str">
        <f>IFERROR(IF(DB_Customers!F323&lt;&gt;"",DB_Customers!F323,""),"")</f>
        <v/>
      </c>
      <c r="M329" s="68" t="str">
        <f>IFERROR(IF(DB_Customers!T323&lt;&gt;"",DB_Customers!T323,""),"")</f>
        <v/>
      </c>
      <c r="N329" s="72" t="str">
        <f>IFERROR(IF(DB_Customers!A323&lt;&gt;"",IF(DB_Customers!I323&gt;=10,"Active","Inactive"),""),"")</f>
        <v/>
      </c>
    </row>
    <row r="330" spans="1:14" ht="18" customHeight="1" x14ac:dyDescent="0.25">
      <c r="A330" s="59" t="str">
        <f>IF(DB_Customers!A324&lt;&gt;"",321,"")</f>
        <v/>
      </c>
      <c r="B330" s="60" t="str">
        <f>IFERROR(IF(DB_Customers!A324&lt;&gt;"",DB_Customers!A324,""),"")</f>
        <v/>
      </c>
      <c r="C330" s="61" t="str">
        <f>IFERROR(IF(DB_Customers!D324&lt;&gt;"",DB_Customers!D324,""),"")</f>
        <v/>
      </c>
      <c r="D330" s="62" t="str">
        <f>IFERROR(IF(DB_Customers!Q324&lt;&gt;"",DB_Customers!Q324,""),"")</f>
        <v/>
      </c>
      <c r="E330" s="61" t="str">
        <f>IFERROR(IF(DB_Customers!R324&lt;&gt;"",DB_Customers!R324,""),"")</f>
        <v/>
      </c>
      <c r="F330" s="61" t="str">
        <f>IFERROR(IF(DB_Customers!S324&lt;&gt;"",DB_Customers!S324,""),"")</f>
        <v/>
      </c>
      <c r="G330" s="61" t="str">
        <f>IFERROR(IF(DB_Customers!G324&lt;&gt;"",DB_Customers!G324,""),"")</f>
        <v/>
      </c>
      <c r="H330" s="63" t="str">
        <f>IFERROR(IF(DB_Customers!H324&lt;&gt;"",DB_Customers!H324,""),"")</f>
        <v/>
      </c>
      <c r="I330" s="64" t="str">
        <f>IFERROR(IF(DB_Customers!I324&lt;&gt;"",DB_Customers!I324,""),"")</f>
        <v/>
      </c>
      <c r="J330" s="62" t="str">
        <f>IFERROR(IF(DB_Customers!J324&lt;&gt;"",DB_Customers!J324,""),"")</f>
        <v/>
      </c>
      <c r="K330" s="61" t="str">
        <f>IFERROR(IF(DB_Customers!E324&lt;&gt;"",DB_Customers!E324,""),"")</f>
        <v/>
      </c>
      <c r="L330" s="61" t="str">
        <f>IFERROR(IF(DB_Customers!F324&lt;&gt;"",DB_Customers!F324,""),"")</f>
        <v/>
      </c>
      <c r="M330" s="61" t="str">
        <f>IFERROR(IF(DB_Customers!T324&lt;&gt;"",DB_Customers!T324,""),"")</f>
        <v/>
      </c>
      <c r="N330" s="65" t="str">
        <f>IFERROR(IF(DB_Customers!A324&lt;&gt;"",IF(DB_Customers!I324&gt;=10,"Active","Inactive"),""),"")</f>
        <v/>
      </c>
    </row>
    <row r="331" spans="1:14" ht="18" customHeight="1" x14ac:dyDescent="0.25">
      <c r="A331" s="66" t="str">
        <f>IF(DB_Customers!A325&lt;&gt;"",322,"")</f>
        <v/>
      </c>
      <c r="B331" s="67" t="str">
        <f>IFERROR(IF(DB_Customers!A325&lt;&gt;"",DB_Customers!A325,""),"")</f>
        <v/>
      </c>
      <c r="C331" s="68" t="str">
        <f>IFERROR(IF(DB_Customers!D325&lt;&gt;"",DB_Customers!D325,""),"")</f>
        <v/>
      </c>
      <c r="D331" s="69" t="str">
        <f>IFERROR(IF(DB_Customers!Q325&lt;&gt;"",DB_Customers!Q325,""),"")</f>
        <v/>
      </c>
      <c r="E331" s="68" t="str">
        <f>IFERROR(IF(DB_Customers!R325&lt;&gt;"",DB_Customers!R325,""),"")</f>
        <v/>
      </c>
      <c r="F331" s="68" t="str">
        <f>IFERROR(IF(DB_Customers!S325&lt;&gt;"",DB_Customers!S325,""),"")</f>
        <v/>
      </c>
      <c r="G331" s="68" t="str">
        <f>IFERROR(IF(DB_Customers!G325&lt;&gt;"",DB_Customers!G325,""),"")</f>
        <v/>
      </c>
      <c r="H331" s="70" t="str">
        <f>IFERROR(IF(DB_Customers!H325&lt;&gt;"",DB_Customers!H325,""),"")</f>
        <v/>
      </c>
      <c r="I331" s="71" t="str">
        <f>IFERROR(IF(DB_Customers!I325&lt;&gt;"",DB_Customers!I325,""),"")</f>
        <v/>
      </c>
      <c r="J331" s="69" t="str">
        <f>IFERROR(IF(DB_Customers!J325&lt;&gt;"",DB_Customers!J325,""),"")</f>
        <v/>
      </c>
      <c r="K331" s="68" t="str">
        <f>IFERROR(IF(DB_Customers!E325&lt;&gt;"",DB_Customers!E325,""),"")</f>
        <v/>
      </c>
      <c r="L331" s="68" t="str">
        <f>IFERROR(IF(DB_Customers!F325&lt;&gt;"",DB_Customers!F325,""),"")</f>
        <v/>
      </c>
      <c r="M331" s="68" t="str">
        <f>IFERROR(IF(DB_Customers!T325&lt;&gt;"",DB_Customers!T325,""),"")</f>
        <v/>
      </c>
      <c r="N331" s="72" t="str">
        <f>IFERROR(IF(DB_Customers!A325&lt;&gt;"",IF(DB_Customers!I325&gt;=10,"Active","Inactive"),""),"")</f>
        <v/>
      </c>
    </row>
    <row r="332" spans="1:14" ht="18" customHeight="1" x14ac:dyDescent="0.25">
      <c r="A332" s="59" t="str">
        <f>IF(DB_Customers!A326&lt;&gt;"",323,"")</f>
        <v/>
      </c>
      <c r="B332" s="60" t="str">
        <f>IFERROR(IF(DB_Customers!A326&lt;&gt;"",DB_Customers!A326,""),"")</f>
        <v/>
      </c>
      <c r="C332" s="61" t="str">
        <f>IFERROR(IF(DB_Customers!D326&lt;&gt;"",DB_Customers!D326,""),"")</f>
        <v/>
      </c>
      <c r="D332" s="62" t="str">
        <f>IFERROR(IF(DB_Customers!Q326&lt;&gt;"",DB_Customers!Q326,""),"")</f>
        <v/>
      </c>
      <c r="E332" s="61" t="str">
        <f>IFERROR(IF(DB_Customers!R326&lt;&gt;"",DB_Customers!R326,""),"")</f>
        <v/>
      </c>
      <c r="F332" s="61" t="str">
        <f>IFERROR(IF(DB_Customers!S326&lt;&gt;"",DB_Customers!S326,""),"")</f>
        <v/>
      </c>
      <c r="G332" s="61" t="str">
        <f>IFERROR(IF(DB_Customers!G326&lt;&gt;"",DB_Customers!G326,""),"")</f>
        <v/>
      </c>
      <c r="H332" s="63" t="str">
        <f>IFERROR(IF(DB_Customers!H326&lt;&gt;"",DB_Customers!H326,""),"")</f>
        <v/>
      </c>
      <c r="I332" s="64" t="str">
        <f>IFERROR(IF(DB_Customers!I326&lt;&gt;"",DB_Customers!I326,""),"")</f>
        <v/>
      </c>
      <c r="J332" s="62" t="str">
        <f>IFERROR(IF(DB_Customers!J326&lt;&gt;"",DB_Customers!J326,""),"")</f>
        <v/>
      </c>
      <c r="K332" s="61" t="str">
        <f>IFERROR(IF(DB_Customers!E326&lt;&gt;"",DB_Customers!E326,""),"")</f>
        <v/>
      </c>
      <c r="L332" s="61" t="str">
        <f>IFERROR(IF(DB_Customers!F326&lt;&gt;"",DB_Customers!F326,""),"")</f>
        <v/>
      </c>
      <c r="M332" s="61" t="str">
        <f>IFERROR(IF(DB_Customers!T326&lt;&gt;"",DB_Customers!T326,""),"")</f>
        <v/>
      </c>
      <c r="N332" s="65" t="str">
        <f>IFERROR(IF(DB_Customers!A326&lt;&gt;"",IF(DB_Customers!I326&gt;=10,"Active","Inactive"),""),"")</f>
        <v/>
      </c>
    </row>
    <row r="333" spans="1:14" ht="18" customHeight="1" x14ac:dyDescent="0.25">
      <c r="A333" s="66" t="str">
        <f>IF(DB_Customers!A327&lt;&gt;"",324,"")</f>
        <v/>
      </c>
      <c r="B333" s="67" t="str">
        <f>IFERROR(IF(DB_Customers!A327&lt;&gt;"",DB_Customers!A327,""),"")</f>
        <v/>
      </c>
      <c r="C333" s="68" t="str">
        <f>IFERROR(IF(DB_Customers!D327&lt;&gt;"",DB_Customers!D327,""),"")</f>
        <v/>
      </c>
      <c r="D333" s="69" t="str">
        <f>IFERROR(IF(DB_Customers!Q327&lt;&gt;"",DB_Customers!Q327,""),"")</f>
        <v/>
      </c>
      <c r="E333" s="68" t="str">
        <f>IFERROR(IF(DB_Customers!R327&lt;&gt;"",DB_Customers!R327,""),"")</f>
        <v/>
      </c>
      <c r="F333" s="68" t="str">
        <f>IFERROR(IF(DB_Customers!S327&lt;&gt;"",DB_Customers!S327,""),"")</f>
        <v/>
      </c>
      <c r="G333" s="68" t="str">
        <f>IFERROR(IF(DB_Customers!G327&lt;&gt;"",DB_Customers!G327,""),"")</f>
        <v/>
      </c>
      <c r="H333" s="70" t="str">
        <f>IFERROR(IF(DB_Customers!H327&lt;&gt;"",DB_Customers!H327,""),"")</f>
        <v/>
      </c>
      <c r="I333" s="71" t="str">
        <f>IFERROR(IF(DB_Customers!I327&lt;&gt;"",DB_Customers!I327,""),"")</f>
        <v/>
      </c>
      <c r="J333" s="69" t="str">
        <f>IFERROR(IF(DB_Customers!J327&lt;&gt;"",DB_Customers!J327,""),"")</f>
        <v/>
      </c>
      <c r="K333" s="68" t="str">
        <f>IFERROR(IF(DB_Customers!E327&lt;&gt;"",DB_Customers!E327,""),"")</f>
        <v/>
      </c>
      <c r="L333" s="68" t="str">
        <f>IFERROR(IF(DB_Customers!F327&lt;&gt;"",DB_Customers!F327,""),"")</f>
        <v/>
      </c>
      <c r="M333" s="68" t="str">
        <f>IFERROR(IF(DB_Customers!T327&lt;&gt;"",DB_Customers!T327,""),"")</f>
        <v/>
      </c>
      <c r="N333" s="72" t="str">
        <f>IFERROR(IF(DB_Customers!A327&lt;&gt;"",IF(DB_Customers!I327&gt;=10,"Active","Inactive"),""),"")</f>
        <v/>
      </c>
    </row>
    <row r="334" spans="1:14" ht="18" customHeight="1" x14ac:dyDescent="0.25">
      <c r="A334" s="59" t="str">
        <f>IF(DB_Customers!A328&lt;&gt;"",325,"")</f>
        <v/>
      </c>
      <c r="B334" s="60" t="str">
        <f>IFERROR(IF(DB_Customers!A328&lt;&gt;"",DB_Customers!A328,""),"")</f>
        <v/>
      </c>
      <c r="C334" s="61" t="str">
        <f>IFERROR(IF(DB_Customers!D328&lt;&gt;"",DB_Customers!D328,""),"")</f>
        <v/>
      </c>
      <c r="D334" s="62" t="str">
        <f>IFERROR(IF(DB_Customers!Q328&lt;&gt;"",DB_Customers!Q328,""),"")</f>
        <v/>
      </c>
      <c r="E334" s="61" t="str">
        <f>IFERROR(IF(DB_Customers!R328&lt;&gt;"",DB_Customers!R328,""),"")</f>
        <v/>
      </c>
      <c r="F334" s="61" t="str">
        <f>IFERROR(IF(DB_Customers!S328&lt;&gt;"",DB_Customers!S328,""),"")</f>
        <v/>
      </c>
      <c r="G334" s="61" t="str">
        <f>IFERROR(IF(DB_Customers!G328&lt;&gt;"",DB_Customers!G328,""),"")</f>
        <v/>
      </c>
      <c r="H334" s="63" t="str">
        <f>IFERROR(IF(DB_Customers!H328&lt;&gt;"",DB_Customers!H328,""),"")</f>
        <v/>
      </c>
      <c r="I334" s="64" t="str">
        <f>IFERROR(IF(DB_Customers!I328&lt;&gt;"",DB_Customers!I328,""),"")</f>
        <v/>
      </c>
      <c r="J334" s="62" t="str">
        <f>IFERROR(IF(DB_Customers!J328&lt;&gt;"",DB_Customers!J328,""),"")</f>
        <v/>
      </c>
      <c r="K334" s="61" t="str">
        <f>IFERROR(IF(DB_Customers!E328&lt;&gt;"",DB_Customers!E328,""),"")</f>
        <v/>
      </c>
      <c r="L334" s="61" t="str">
        <f>IFERROR(IF(DB_Customers!F328&lt;&gt;"",DB_Customers!F328,""),"")</f>
        <v/>
      </c>
      <c r="M334" s="61" t="str">
        <f>IFERROR(IF(DB_Customers!T328&lt;&gt;"",DB_Customers!T328,""),"")</f>
        <v/>
      </c>
      <c r="N334" s="65" t="str">
        <f>IFERROR(IF(DB_Customers!A328&lt;&gt;"",IF(DB_Customers!I328&gt;=10,"Active","Inactive"),""),"")</f>
        <v/>
      </c>
    </row>
    <row r="335" spans="1:14" ht="18" customHeight="1" x14ac:dyDescent="0.25">
      <c r="A335" s="66" t="str">
        <f>IF(DB_Customers!A329&lt;&gt;"",326,"")</f>
        <v/>
      </c>
      <c r="B335" s="67" t="str">
        <f>IFERROR(IF(DB_Customers!A329&lt;&gt;"",DB_Customers!A329,""),"")</f>
        <v/>
      </c>
      <c r="C335" s="68" t="str">
        <f>IFERROR(IF(DB_Customers!D329&lt;&gt;"",DB_Customers!D329,""),"")</f>
        <v/>
      </c>
      <c r="D335" s="69" t="str">
        <f>IFERROR(IF(DB_Customers!Q329&lt;&gt;"",DB_Customers!Q329,""),"")</f>
        <v/>
      </c>
      <c r="E335" s="68" t="str">
        <f>IFERROR(IF(DB_Customers!R329&lt;&gt;"",DB_Customers!R329,""),"")</f>
        <v/>
      </c>
      <c r="F335" s="68" t="str">
        <f>IFERROR(IF(DB_Customers!S329&lt;&gt;"",DB_Customers!S329,""),"")</f>
        <v/>
      </c>
      <c r="G335" s="68" t="str">
        <f>IFERROR(IF(DB_Customers!G329&lt;&gt;"",DB_Customers!G329,""),"")</f>
        <v/>
      </c>
      <c r="H335" s="70" t="str">
        <f>IFERROR(IF(DB_Customers!H329&lt;&gt;"",DB_Customers!H329,""),"")</f>
        <v/>
      </c>
      <c r="I335" s="71" t="str">
        <f>IFERROR(IF(DB_Customers!I329&lt;&gt;"",DB_Customers!I329,""),"")</f>
        <v/>
      </c>
      <c r="J335" s="69" t="str">
        <f>IFERROR(IF(DB_Customers!J329&lt;&gt;"",DB_Customers!J329,""),"")</f>
        <v/>
      </c>
      <c r="K335" s="68" t="str">
        <f>IFERROR(IF(DB_Customers!E329&lt;&gt;"",DB_Customers!E329,""),"")</f>
        <v/>
      </c>
      <c r="L335" s="68" t="str">
        <f>IFERROR(IF(DB_Customers!F329&lt;&gt;"",DB_Customers!F329,""),"")</f>
        <v/>
      </c>
      <c r="M335" s="68" t="str">
        <f>IFERROR(IF(DB_Customers!T329&lt;&gt;"",DB_Customers!T329,""),"")</f>
        <v/>
      </c>
      <c r="N335" s="72" t="str">
        <f>IFERROR(IF(DB_Customers!A329&lt;&gt;"",IF(DB_Customers!I329&gt;=10,"Active","Inactive"),""),"")</f>
        <v/>
      </c>
    </row>
    <row r="336" spans="1:14" ht="18" customHeight="1" x14ac:dyDescent="0.25">
      <c r="A336" s="59" t="str">
        <f>IF(DB_Customers!A330&lt;&gt;"",327,"")</f>
        <v/>
      </c>
      <c r="B336" s="60" t="str">
        <f>IFERROR(IF(DB_Customers!A330&lt;&gt;"",DB_Customers!A330,""),"")</f>
        <v/>
      </c>
      <c r="C336" s="61" t="str">
        <f>IFERROR(IF(DB_Customers!D330&lt;&gt;"",DB_Customers!D330,""),"")</f>
        <v/>
      </c>
      <c r="D336" s="62" t="str">
        <f>IFERROR(IF(DB_Customers!Q330&lt;&gt;"",DB_Customers!Q330,""),"")</f>
        <v/>
      </c>
      <c r="E336" s="61" t="str">
        <f>IFERROR(IF(DB_Customers!R330&lt;&gt;"",DB_Customers!R330,""),"")</f>
        <v/>
      </c>
      <c r="F336" s="61" t="str">
        <f>IFERROR(IF(DB_Customers!S330&lt;&gt;"",DB_Customers!S330,""),"")</f>
        <v/>
      </c>
      <c r="G336" s="61" t="str">
        <f>IFERROR(IF(DB_Customers!G330&lt;&gt;"",DB_Customers!G330,""),"")</f>
        <v/>
      </c>
      <c r="H336" s="63" t="str">
        <f>IFERROR(IF(DB_Customers!H330&lt;&gt;"",DB_Customers!H330,""),"")</f>
        <v/>
      </c>
      <c r="I336" s="64" t="str">
        <f>IFERROR(IF(DB_Customers!I330&lt;&gt;"",DB_Customers!I330,""),"")</f>
        <v/>
      </c>
      <c r="J336" s="62" t="str">
        <f>IFERROR(IF(DB_Customers!J330&lt;&gt;"",DB_Customers!J330,""),"")</f>
        <v/>
      </c>
      <c r="K336" s="61" t="str">
        <f>IFERROR(IF(DB_Customers!E330&lt;&gt;"",DB_Customers!E330,""),"")</f>
        <v/>
      </c>
      <c r="L336" s="61" t="str">
        <f>IFERROR(IF(DB_Customers!F330&lt;&gt;"",DB_Customers!F330,""),"")</f>
        <v/>
      </c>
      <c r="M336" s="61" t="str">
        <f>IFERROR(IF(DB_Customers!T330&lt;&gt;"",DB_Customers!T330,""),"")</f>
        <v/>
      </c>
      <c r="N336" s="65" t="str">
        <f>IFERROR(IF(DB_Customers!A330&lt;&gt;"",IF(DB_Customers!I330&gt;=10,"Active","Inactive"),""),"")</f>
        <v/>
      </c>
    </row>
    <row r="337" spans="1:14" ht="18" customHeight="1" x14ac:dyDescent="0.25">
      <c r="A337" s="66" t="str">
        <f>IF(DB_Customers!A331&lt;&gt;"",328,"")</f>
        <v/>
      </c>
      <c r="B337" s="67" t="str">
        <f>IFERROR(IF(DB_Customers!A331&lt;&gt;"",DB_Customers!A331,""),"")</f>
        <v/>
      </c>
      <c r="C337" s="68" t="str">
        <f>IFERROR(IF(DB_Customers!D331&lt;&gt;"",DB_Customers!D331,""),"")</f>
        <v/>
      </c>
      <c r="D337" s="69" t="str">
        <f>IFERROR(IF(DB_Customers!Q331&lt;&gt;"",DB_Customers!Q331,""),"")</f>
        <v/>
      </c>
      <c r="E337" s="68" t="str">
        <f>IFERROR(IF(DB_Customers!R331&lt;&gt;"",DB_Customers!R331,""),"")</f>
        <v/>
      </c>
      <c r="F337" s="68" t="str">
        <f>IFERROR(IF(DB_Customers!S331&lt;&gt;"",DB_Customers!S331,""),"")</f>
        <v/>
      </c>
      <c r="G337" s="68" t="str">
        <f>IFERROR(IF(DB_Customers!G331&lt;&gt;"",DB_Customers!G331,""),"")</f>
        <v/>
      </c>
      <c r="H337" s="70" t="str">
        <f>IFERROR(IF(DB_Customers!H331&lt;&gt;"",DB_Customers!H331,""),"")</f>
        <v/>
      </c>
      <c r="I337" s="71" t="str">
        <f>IFERROR(IF(DB_Customers!I331&lt;&gt;"",DB_Customers!I331,""),"")</f>
        <v/>
      </c>
      <c r="J337" s="69" t="str">
        <f>IFERROR(IF(DB_Customers!J331&lt;&gt;"",DB_Customers!J331,""),"")</f>
        <v/>
      </c>
      <c r="K337" s="68" t="str">
        <f>IFERROR(IF(DB_Customers!E331&lt;&gt;"",DB_Customers!E331,""),"")</f>
        <v/>
      </c>
      <c r="L337" s="68" t="str">
        <f>IFERROR(IF(DB_Customers!F331&lt;&gt;"",DB_Customers!F331,""),"")</f>
        <v/>
      </c>
      <c r="M337" s="68" t="str">
        <f>IFERROR(IF(DB_Customers!T331&lt;&gt;"",DB_Customers!T331,""),"")</f>
        <v/>
      </c>
      <c r="N337" s="72" t="str">
        <f>IFERROR(IF(DB_Customers!A331&lt;&gt;"",IF(DB_Customers!I331&gt;=10,"Active","Inactive"),""),"")</f>
        <v/>
      </c>
    </row>
    <row r="338" spans="1:14" ht="18" customHeight="1" x14ac:dyDescent="0.25">
      <c r="A338" s="59" t="str">
        <f>IF(DB_Customers!A332&lt;&gt;"",329,"")</f>
        <v/>
      </c>
      <c r="B338" s="60" t="str">
        <f>IFERROR(IF(DB_Customers!A332&lt;&gt;"",DB_Customers!A332,""),"")</f>
        <v/>
      </c>
      <c r="C338" s="61" t="str">
        <f>IFERROR(IF(DB_Customers!D332&lt;&gt;"",DB_Customers!D332,""),"")</f>
        <v/>
      </c>
      <c r="D338" s="62" t="str">
        <f>IFERROR(IF(DB_Customers!Q332&lt;&gt;"",DB_Customers!Q332,""),"")</f>
        <v/>
      </c>
      <c r="E338" s="61" t="str">
        <f>IFERROR(IF(DB_Customers!R332&lt;&gt;"",DB_Customers!R332,""),"")</f>
        <v/>
      </c>
      <c r="F338" s="61" t="str">
        <f>IFERROR(IF(DB_Customers!S332&lt;&gt;"",DB_Customers!S332,""),"")</f>
        <v/>
      </c>
      <c r="G338" s="61" t="str">
        <f>IFERROR(IF(DB_Customers!G332&lt;&gt;"",DB_Customers!G332,""),"")</f>
        <v/>
      </c>
      <c r="H338" s="63" t="str">
        <f>IFERROR(IF(DB_Customers!H332&lt;&gt;"",DB_Customers!H332,""),"")</f>
        <v/>
      </c>
      <c r="I338" s="64" t="str">
        <f>IFERROR(IF(DB_Customers!I332&lt;&gt;"",DB_Customers!I332,""),"")</f>
        <v/>
      </c>
      <c r="J338" s="62" t="str">
        <f>IFERROR(IF(DB_Customers!J332&lt;&gt;"",DB_Customers!J332,""),"")</f>
        <v/>
      </c>
      <c r="K338" s="61" t="str">
        <f>IFERROR(IF(DB_Customers!E332&lt;&gt;"",DB_Customers!E332,""),"")</f>
        <v/>
      </c>
      <c r="L338" s="61" t="str">
        <f>IFERROR(IF(DB_Customers!F332&lt;&gt;"",DB_Customers!F332,""),"")</f>
        <v/>
      </c>
      <c r="M338" s="61" t="str">
        <f>IFERROR(IF(DB_Customers!T332&lt;&gt;"",DB_Customers!T332,""),"")</f>
        <v/>
      </c>
      <c r="N338" s="65" t="str">
        <f>IFERROR(IF(DB_Customers!A332&lt;&gt;"",IF(DB_Customers!I332&gt;=10,"Active","Inactive"),""),"")</f>
        <v/>
      </c>
    </row>
    <row r="339" spans="1:14" ht="18" customHeight="1" x14ac:dyDescent="0.25">
      <c r="A339" s="66" t="str">
        <f>IF(DB_Customers!A333&lt;&gt;"",330,"")</f>
        <v/>
      </c>
      <c r="B339" s="67" t="str">
        <f>IFERROR(IF(DB_Customers!A333&lt;&gt;"",DB_Customers!A333,""),"")</f>
        <v/>
      </c>
      <c r="C339" s="68" t="str">
        <f>IFERROR(IF(DB_Customers!D333&lt;&gt;"",DB_Customers!D333,""),"")</f>
        <v/>
      </c>
      <c r="D339" s="69" t="str">
        <f>IFERROR(IF(DB_Customers!Q333&lt;&gt;"",DB_Customers!Q333,""),"")</f>
        <v/>
      </c>
      <c r="E339" s="68" t="str">
        <f>IFERROR(IF(DB_Customers!R333&lt;&gt;"",DB_Customers!R333,""),"")</f>
        <v/>
      </c>
      <c r="F339" s="68" t="str">
        <f>IFERROR(IF(DB_Customers!S333&lt;&gt;"",DB_Customers!S333,""),"")</f>
        <v/>
      </c>
      <c r="G339" s="68" t="str">
        <f>IFERROR(IF(DB_Customers!G333&lt;&gt;"",DB_Customers!G333,""),"")</f>
        <v/>
      </c>
      <c r="H339" s="70" t="str">
        <f>IFERROR(IF(DB_Customers!H333&lt;&gt;"",DB_Customers!H333,""),"")</f>
        <v/>
      </c>
      <c r="I339" s="71" t="str">
        <f>IFERROR(IF(DB_Customers!I333&lt;&gt;"",DB_Customers!I333,""),"")</f>
        <v/>
      </c>
      <c r="J339" s="69" t="str">
        <f>IFERROR(IF(DB_Customers!J333&lt;&gt;"",DB_Customers!J333,""),"")</f>
        <v/>
      </c>
      <c r="K339" s="68" t="str">
        <f>IFERROR(IF(DB_Customers!E333&lt;&gt;"",DB_Customers!E333,""),"")</f>
        <v/>
      </c>
      <c r="L339" s="68" t="str">
        <f>IFERROR(IF(DB_Customers!F333&lt;&gt;"",DB_Customers!F333,""),"")</f>
        <v/>
      </c>
      <c r="M339" s="68" t="str">
        <f>IFERROR(IF(DB_Customers!T333&lt;&gt;"",DB_Customers!T333,""),"")</f>
        <v/>
      </c>
      <c r="N339" s="72" t="str">
        <f>IFERROR(IF(DB_Customers!A333&lt;&gt;"",IF(DB_Customers!I333&gt;=10,"Active","Inactive"),""),"")</f>
        <v/>
      </c>
    </row>
    <row r="340" spans="1:14" ht="18" customHeight="1" x14ac:dyDescent="0.25">
      <c r="A340" s="59" t="str">
        <f>IF(DB_Customers!A334&lt;&gt;"",331,"")</f>
        <v/>
      </c>
      <c r="B340" s="60" t="str">
        <f>IFERROR(IF(DB_Customers!A334&lt;&gt;"",DB_Customers!A334,""),"")</f>
        <v/>
      </c>
      <c r="C340" s="61" t="str">
        <f>IFERROR(IF(DB_Customers!D334&lt;&gt;"",DB_Customers!D334,""),"")</f>
        <v/>
      </c>
      <c r="D340" s="62" t="str">
        <f>IFERROR(IF(DB_Customers!Q334&lt;&gt;"",DB_Customers!Q334,""),"")</f>
        <v/>
      </c>
      <c r="E340" s="61" t="str">
        <f>IFERROR(IF(DB_Customers!R334&lt;&gt;"",DB_Customers!R334,""),"")</f>
        <v/>
      </c>
      <c r="F340" s="61" t="str">
        <f>IFERROR(IF(DB_Customers!S334&lt;&gt;"",DB_Customers!S334,""),"")</f>
        <v/>
      </c>
      <c r="G340" s="61" t="str">
        <f>IFERROR(IF(DB_Customers!G334&lt;&gt;"",DB_Customers!G334,""),"")</f>
        <v/>
      </c>
      <c r="H340" s="63" t="str">
        <f>IFERROR(IF(DB_Customers!H334&lt;&gt;"",DB_Customers!H334,""),"")</f>
        <v/>
      </c>
      <c r="I340" s="64" t="str">
        <f>IFERROR(IF(DB_Customers!I334&lt;&gt;"",DB_Customers!I334,""),"")</f>
        <v/>
      </c>
      <c r="J340" s="62" t="str">
        <f>IFERROR(IF(DB_Customers!J334&lt;&gt;"",DB_Customers!J334,""),"")</f>
        <v/>
      </c>
      <c r="K340" s="61" t="str">
        <f>IFERROR(IF(DB_Customers!E334&lt;&gt;"",DB_Customers!E334,""),"")</f>
        <v/>
      </c>
      <c r="L340" s="61" t="str">
        <f>IFERROR(IF(DB_Customers!F334&lt;&gt;"",DB_Customers!F334,""),"")</f>
        <v/>
      </c>
      <c r="M340" s="61" t="str">
        <f>IFERROR(IF(DB_Customers!T334&lt;&gt;"",DB_Customers!T334,""),"")</f>
        <v/>
      </c>
      <c r="N340" s="65" t="str">
        <f>IFERROR(IF(DB_Customers!A334&lt;&gt;"",IF(DB_Customers!I334&gt;=10,"Active","Inactive"),""),"")</f>
        <v/>
      </c>
    </row>
    <row r="341" spans="1:14" ht="18" customHeight="1" x14ac:dyDescent="0.25">
      <c r="A341" s="66" t="str">
        <f>IF(DB_Customers!A335&lt;&gt;"",332,"")</f>
        <v/>
      </c>
      <c r="B341" s="67" t="str">
        <f>IFERROR(IF(DB_Customers!A335&lt;&gt;"",DB_Customers!A335,""),"")</f>
        <v/>
      </c>
      <c r="C341" s="68" t="str">
        <f>IFERROR(IF(DB_Customers!D335&lt;&gt;"",DB_Customers!D335,""),"")</f>
        <v/>
      </c>
      <c r="D341" s="69" t="str">
        <f>IFERROR(IF(DB_Customers!Q335&lt;&gt;"",DB_Customers!Q335,""),"")</f>
        <v/>
      </c>
      <c r="E341" s="68" t="str">
        <f>IFERROR(IF(DB_Customers!R335&lt;&gt;"",DB_Customers!R335,""),"")</f>
        <v/>
      </c>
      <c r="F341" s="68" t="str">
        <f>IFERROR(IF(DB_Customers!S335&lt;&gt;"",DB_Customers!S335,""),"")</f>
        <v/>
      </c>
      <c r="G341" s="68" t="str">
        <f>IFERROR(IF(DB_Customers!G335&lt;&gt;"",DB_Customers!G335,""),"")</f>
        <v/>
      </c>
      <c r="H341" s="70" t="str">
        <f>IFERROR(IF(DB_Customers!H335&lt;&gt;"",DB_Customers!H335,""),"")</f>
        <v/>
      </c>
      <c r="I341" s="71" t="str">
        <f>IFERROR(IF(DB_Customers!I335&lt;&gt;"",DB_Customers!I335,""),"")</f>
        <v/>
      </c>
      <c r="J341" s="69" t="str">
        <f>IFERROR(IF(DB_Customers!J335&lt;&gt;"",DB_Customers!J335,""),"")</f>
        <v/>
      </c>
      <c r="K341" s="68" t="str">
        <f>IFERROR(IF(DB_Customers!E335&lt;&gt;"",DB_Customers!E335,""),"")</f>
        <v/>
      </c>
      <c r="L341" s="68" t="str">
        <f>IFERROR(IF(DB_Customers!F335&lt;&gt;"",DB_Customers!F335,""),"")</f>
        <v/>
      </c>
      <c r="M341" s="68" t="str">
        <f>IFERROR(IF(DB_Customers!T335&lt;&gt;"",DB_Customers!T335,""),"")</f>
        <v/>
      </c>
      <c r="N341" s="72" t="str">
        <f>IFERROR(IF(DB_Customers!A335&lt;&gt;"",IF(DB_Customers!I335&gt;=10,"Active","Inactive"),""),"")</f>
        <v/>
      </c>
    </row>
    <row r="342" spans="1:14" ht="18" customHeight="1" x14ac:dyDescent="0.25">
      <c r="A342" s="59" t="str">
        <f>IF(DB_Customers!A336&lt;&gt;"",333,"")</f>
        <v/>
      </c>
      <c r="B342" s="60" t="str">
        <f>IFERROR(IF(DB_Customers!A336&lt;&gt;"",DB_Customers!A336,""),"")</f>
        <v/>
      </c>
      <c r="C342" s="61" t="str">
        <f>IFERROR(IF(DB_Customers!D336&lt;&gt;"",DB_Customers!D336,""),"")</f>
        <v/>
      </c>
      <c r="D342" s="62" t="str">
        <f>IFERROR(IF(DB_Customers!Q336&lt;&gt;"",DB_Customers!Q336,""),"")</f>
        <v/>
      </c>
      <c r="E342" s="61" t="str">
        <f>IFERROR(IF(DB_Customers!R336&lt;&gt;"",DB_Customers!R336,""),"")</f>
        <v/>
      </c>
      <c r="F342" s="61" t="str">
        <f>IFERROR(IF(DB_Customers!S336&lt;&gt;"",DB_Customers!S336,""),"")</f>
        <v/>
      </c>
      <c r="G342" s="61" t="str">
        <f>IFERROR(IF(DB_Customers!G336&lt;&gt;"",DB_Customers!G336,""),"")</f>
        <v/>
      </c>
      <c r="H342" s="63" t="str">
        <f>IFERROR(IF(DB_Customers!H336&lt;&gt;"",DB_Customers!H336,""),"")</f>
        <v/>
      </c>
      <c r="I342" s="64" t="str">
        <f>IFERROR(IF(DB_Customers!I336&lt;&gt;"",DB_Customers!I336,""),"")</f>
        <v/>
      </c>
      <c r="J342" s="62" t="str">
        <f>IFERROR(IF(DB_Customers!J336&lt;&gt;"",DB_Customers!J336,""),"")</f>
        <v/>
      </c>
      <c r="K342" s="61" t="str">
        <f>IFERROR(IF(DB_Customers!E336&lt;&gt;"",DB_Customers!E336,""),"")</f>
        <v/>
      </c>
      <c r="L342" s="61" t="str">
        <f>IFERROR(IF(DB_Customers!F336&lt;&gt;"",DB_Customers!F336,""),"")</f>
        <v/>
      </c>
      <c r="M342" s="61" t="str">
        <f>IFERROR(IF(DB_Customers!T336&lt;&gt;"",DB_Customers!T336,""),"")</f>
        <v/>
      </c>
      <c r="N342" s="65" t="str">
        <f>IFERROR(IF(DB_Customers!A336&lt;&gt;"",IF(DB_Customers!I336&gt;=10,"Active","Inactive"),""),"")</f>
        <v/>
      </c>
    </row>
    <row r="343" spans="1:14" ht="18" customHeight="1" x14ac:dyDescent="0.25">
      <c r="A343" s="66" t="str">
        <f>IF(DB_Customers!A337&lt;&gt;"",334,"")</f>
        <v/>
      </c>
      <c r="B343" s="67" t="str">
        <f>IFERROR(IF(DB_Customers!A337&lt;&gt;"",DB_Customers!A337,""),"")</f>
        <v/>
      </c>
      <c r="C343" s="68" t="str">
        <f>IFERROR(IF(DB_Customers!D337&lt;&gt;"",DB_Customers!D337,""),"")</f>
        <v/>
      </c>
      <c r="D343" s="69" t="str">
        <f>IFERROR(IF(DB_Customers!Q337&lt;&gt;"",DB_Customers!Q337,""),"")</f>
        <v/>
      </c>
      <c r="E343" s="68" t="str">
        <f>IFERROR(IF(DB_Customers!R337&lt;&gt;"",DB_Customers!R337,""),"")</f>
        <v/>
      </c>
      <c r="F343" s="68" t="str">
        <f>IFERROR(IF(DB_Customers!S337&lt;&gt;"",DB_Customers!S337,""),"")</f>
        <v/>
      </c>
      <c r="G343" s="68" t="str">
        <f>IFERROR(IF(DB_Customers!G337&lt;&gt;"",DB_Customers!G337,""),"")</f>
        <v/>
      </c>
      <c r="H343" s="70" t="str">
        <f>IFERROR(IF(DB_Customers!H337&lt;&gt;"",DB_Customers!H337,""),"")</f>
        <v/>
      </c>
      <c r="I343" s="71" t="str">
        <f>IFERROR(IF(DB_Customers!I337&lt;&gt;"",DB_Customers!I337,""),"")</f>
        <v/>
      </c>
      <c r="J343" s="69" t="str">
        <f>IFERROR(IF(DB_Customers!J337&lt;&gt;"",DB_Customers!J337,""),"")</f>
        <v/>
      </c>
      <c r="K343" s="68" t="str">
        <f>IFERROR(IF(DB_Customers!E337&lt;&gt;"",DB_Customers!E337,""),"")</f>
        <v/>
      </c>
      <c r="L343" s="68" t="str">
        <f>IFERROR(IF(DB_Customers!F337&lt;&gt;"",DB_Customers!F337,""),"")</f>
        <v/>
      </c>
      <c r="M343" s="68" t="str">
        <f>IFERROR(IF(DB_Customers!T337&lt;&gt;"",DB_Customers!T337,""),"")</f>
        <v/>
      </c>
      <c r="N343" s="72" t="str">
        <f>IFERROR(IF(DB_Customers!A337&lt;&gt;"",IF(DB_Customers!I337&gt;=10,"Active","Inactive"),""),"")</f>
        <v/>
      </c>
    </row>
    <row r="344" spans="1:14" ht="18" customHeight="1" x14ac:dyDescent="0.25">
      <c r="A344" s="59" t="str">
        <f>IF(DB_Customers!A338&lt;&gt;"",335,"")</f>
        <v/>
      </c>
      <c r="B344" s="60" t="str">
        <f>IFERROR(IF(DB_Customers!A338&lt;&gt;"",DB_Customers!A338,""),"")</f>
        <v/>
      </c>
      <c r="C344" s="61" t="str">
        <f>IFERROR(IF(DB_Customers!D338&lt;&gt;"",DB_Customers!D338,""),"")</f>
        <v/>
      </c>
      <c r="D344" s="62" t="str">
        <f>IFERROR(IF(DB_Customers!Q338&lt;&gt;"",DB_Customers!Q338,""),"")</f>
        <v/>
      </c>
      <c r="E344" s="61" t="str">
        <f>IFERROR(IF(DB_Customers!R338&lt;&gt;"",DB_Customers!R338,""),"")</f>
        <v/>
      </c>
      <c r="F344" s="61" t="str">
        <f>IFERROR(IF(DB_Customers!S338&lt;&gt;"",DB_Customers!S338,""),"")</f>
        <v/>
      </c>
      <c r="G344" s="61" t="str">
        <f>IFERROR(IF(DB_Customers!G338&lt;&gt;"",DB_Customers!G338,""),"")</f>
        <v/>
      </c>
      <c r="H344" s="63" t="str">
        <f>IFERROR(IF(DB_Customers!H338&lt;&gt;"",DB_Customers!H338,""),"")</f>
        <v/>
      </c>
      <c r="I344" s="64" t="str">
        <f>IFERROR(IF(DB_Customers!I338&lt;&gt;"",DB_Customers!I338,""),"")</f>
        <v/>
      </c>
      <c r="J344" s="62" t="str">
        <f>IFERROR(IF(DB_Customers!J338&lt;&gt;"",DB_Customers!J338,""),"")</f>
        <v/>
      </c>
      <c r="K344" s="61" t="str">
        <f>IFERROR(IF(DB_Customers!E338&lt;&gt;"",DB_Customers!E338,""),"")</f>
        <v/>
      </c>
      <c r="L344" s="61" t="str">
        <f>IFERROR(IF(DB_Customers!F338&lt;&gt;"",DB_Customers!F338,""),"")</f>
        <v/>
      </c>
      <c r="M344" s="61" t="str">
        <f>IFERROR(IF(DB_Customers!T338&lt;&gt;"",DB_Customers!T338,""),"")</f>
        <v/>
      </c>
      <c r="N344" s="65" t="str">
        <f>IFERROR(IF(DB_Customers!A338&lt;&gt;"",IF(DB_Customers!I338&gt;=10,"Active","Inactive"),""),"")</f>
        <v/>
      </c>
    </row>
    <row r="345" spans="1:14" ht="18" customHeight="1" x14ac:dyDescent="0.25">
      <c r="A345" s="66" t="str">
        <f>IF(DB_Customers!A339&lt;&gt;"",336,"")</f>
        <v/>
      </c>
      <c r="B345" s="67" t="str">
        <f>IFERROR(IF(DB_Customers!A339&lt;&gt;"",DB_Customers!A339,""),"")</f>
        <v/>
      </c>
      <c r="C345" s="68" t="str">
        <f>IFERROR(IF(DB_Customers!D339&lt;&gt;"",DB_Customers!D339,""),"")</f>
        <v/>
      </c>
      <c r="D345" s="69" t="str">
        <f>IFERROR(IF(DB_Customers!Q339&lt;&gt;"",DB_Customers!Q339,""),"")</f>
        <v/>
      </c>
      <c r="E345" s="68" t="str">
        <f>IFERROR(IF(DB_Customers!R339&lt;&gt;"",DB_Customers!R339,""),"")</f>
        <v/>
      </c>
      <c r="F345" s="68" t="str">
        <f>IFERROR(IF(DB_Customers!S339&lt;&gt;"",DB_Customers!S339,""),"")</f>
        <v/>
      </c>
      <c r="G345" s="68" t="str">
        <f>IFERROR(IF(DB_Customers!G339&lt;&gt;"",DB_Customers!G339,""),"")</f>
        <v/>
      </c>
      <c r="H345" s="70" t="str">
        <f>IFERROR(IF(DB_Customers!H339&lt;&gt;"",DB_Customers!H339,""),"")</f>
        <v/>
      </c>
      <c r="I345" s="71" t="str">
        <f>IFERROR(IF(DB_Customers!I339&lt;&gt;"",DB_Customers!I339,""),"")</f>
        <v/>
      </c>
      <c r="J345" s="69" t="str">
        <f>IFERROR(IF(DB_Customers!J339&lt;&gt;"",DB_Customers!J339,""),"")</f>
        <v/>
      </c>
      <c r="K345" s="68" t="str">
        <f>IFERROR(IF(DB_Customers!E339&lt;&gt;"",DB_Customers!E339,""),"")</f>
        <v/>
      </c>
      <c r="L345" s="68" t="str">
        <f>IFERROR(IF(DB_Customers!F339&lt;&gt;"",DB_Customers!F339,""),"")</f>
        <v/>
      </c>
      <c r="M345" s="68" t="str">
        <f>IFERROR(IF(DB_Customers!T339&lt;&gt;"",DB_Customers!T339,""),"")</f>
        <v/>
      </c>
      <c r="N345" s="72" t="str">
        <f>IFERROR(IF(DB_Customers!A339&lt;&gt;"",IF(DB_Customers!I339&gt;=10,"Active","Inactive"),""),"")</f>
        <v/>
      </c>
    </row>
    <row r="346" spans="1:14" ht="18" customHeight="1" x14ac:dyDescent="0.25">
      <c r="A346" s="59" t="str">
        <f>IF(DB_Customers!A340&lt;&gt;"",337,"")</f>
        <v/>
      </c>
      <c r="B346" s="60" t="str">
        <f>IFERROR(IF(DB_Customers!A340&lt;&gt;"",DB_Customers!A340,""),"")</f>
        <v/>
      </c>
      <c r="C346" s="61" t="str">
        <f>IFERROR(IF(DB_Customers!D340&lt;&gt;"",DB_Customers!D340,""),"")</f>
        <v/>
      </c>
      <c r="D346" s="62" t="str">
        <f>IFERROR(IF(DB_Customers!Q340&lt;&gt;"",DB_Customers!Q340,""),"")</f>
        <v/>
      </c>
      <c r="E346" s="61" t="str">
        <f>IFERROR(IF(DB_Customers!R340&lt;&gt;"",DB_Customers!R340,""),"")</f>
        <v/>
      </c>
      <c r="F346" s="61" t="str">
        <f>IFERROR(IF(DB_Customers!S340&lt;&gt;"",DB_Customers!S340,""),"")</f>
        <v/>
      </c>
      <c r="G346" s="61" t="str">
        <f>IFERROR(IF(DB_Customers!G340&lt;&gt;"",DB_Customers!G340,""),"")</f>
        <v/>
      </c>
      <c r="H346" s="63" t="str">
        <f>IFERROR(IF(DB_Customers!H340&lt;&gt;"",DB_Customers!H340,""),"")</f>
        <v/>
      </c>
      <c r="I346" s="64" t="str">
        <f>IFERROR(IF(DB_Customers!I340&lt;&gt;"",DB_Customers!I340,""),"")</f>
        <v/>
      </c>
      <c r="J346" s="62" t="str">
        <f>IFERROR(IF(DB_Customers!J340&lt;&gt;"",DB_Customers!J340,""),"")</f>
        <v/>
      </c>
      <c r="K346" s="61" t="str">
        <f>IFERROR(IF(DB_Customers!E340&lt;&gt;"",DB_Customers!E340,""),"")</f>
        <v/>
      </c>
      <c r="L346" s="61" t="str">
        <f>IFERROR(IF(DB_Customers!F340&lt;&gt;"",DB_Customers!F340,""),"")</f>
        <v/>
      </c>
      <c r="M346" s="61" t="str">
        <f>IFERROR(IF(DB_Customers!T340&lt;&gt;"",DB_Customers!T340,""),"")</f>
        <v/>
      </c>
      <c r="N346" s="65" t="str">
        <f>IFERROR(IF(DB_Customers!A340&lt;&gt;"",IF(DB_Customers!I340&gt;=10,"Active","Inactive"),""),"")</f>
        <v/>
      </c>
    </row>
    <row r="347" spans="1:14" ht="18" customHeight="1" x14ac:dyDescent="0.25">
      <c r="A347" s="66" t="str">
        <f>IF(DB_Customers!A341&lt;&gt;"",338,"")</f>
        <v/>
      </c>
      <c r="B347" s="67" t="str">
        <f>IFERROR(IF(DB_Customers!A341&lt;&gt;"",DB_Customers!A341,""),"")</f>
        <v/>
      </c>
      <c r="C347" s="68" t="str">
        <f>IFERROR(IF(DB_Customers!D341&lt;&gt;"",DB_Customers!D341,""),"")</f>
        <v/>
      </c>
      <c r="D347" s="69" t="str">
        <f>IFERROR(IF(DB_Customers!Q341&lt;&gt;"",DB_Customers!Q341,""),"")</f>
        <v/>
      </c>
      <c r="E347" s="68" t="str">
        <f>IFERROR(IF(DB_Customers!R341&lt;&gt;"",DB_Customers!R341,""),"")</f>
        <v/>
      </c>
      <c r="F347" s="68" t="str">
        <f>IFERROR(IF(DB_Customers!S341&lt;&gt;"",DB_Customers!S341,""),"")</f>
        <v/>
      </c>
      <c r="G347" s="68" t="str">
        <f>IFERROR(IF(DB_Customers!G341&lt;&gt;"",DB_Customers!G341,""),"")</f>
        <v/>
      </c>
      <c r="H347" s="70" t="str">
        <f>IFERROR(IF(DB_Customers!H341&lt;&gt;"",DB_Customers!H341,""),"")</f>
        <v/>
      </c>
      <c r="I347" s="71" t="str">
        <f>IFERROR(IF(DB_Customers!I341&lt;&gt;"",DB_Customers!I341,""),"")</f>
        <v/>
      </c>
      <c r="J347" s="69" t="str">
        <f>IFERROR(IF(DB_Customers!J341&lt;&gt;"",DB_Customers!J341,""),"")</f>
        <v/>
      </c>
      <c r="K347" s="68" t="str">
        <f>IFERROR(IF(DB_Customers!E341&lt;&gt;"",DB_Customers!E341,""),"")</f>
        <v/>
      </c>
      <c r="L347" s="68" t="str">
        <f>IFERROR(IF(DB_Customers!F341&lt;&gt;"",DB_Customers!F341,""),"")</f>
        <v/>
      </c>
      <c r="M347" s="68" t="str">
        <f>IFERROR(IF(DB_Customers!T341&lt;&gt;"",DB_Customers!T341,""),"")</f>
        <v/>
      </c>
      <c r="N347" s="72" t="str">
        <f>IFERROR(IF(DB_Customers!A341&lt;&gt;"",IF(DB_Customers!I341&gt;=10,"Active","Inactive"),""),"")</f>
        <v/>
      </c>
    </row>
    <row r="348" spans="1:14" ht="18" customHeight="1" x14ac:dyDescent="0.25">
      <c r="A348" s="59" t="str">
        <f>IF(DB_Customers!A342&lt;&gt;"",339,"")</f>
        <v/>
      </c>
      <c r="B348" s="60" t="str">
        <f>IFERROR(IF(DB_Customers!A342&lt;&gt;"",DB_Customers!A342,""),"")</f>
        <v/>
      </c>
      <c r="C348" s="61" t="str">
        <f>IFERROR(IF(DB_Customers!D342&lt;&gt;"",DB_Customers!D342,""),"")</f>
        <v/>
      </c>
      <c r="D348" s="62" t="str">
        <f>IFERROR(IF(DB_Customers!Q342&lt;&gt;"",DB_Customers!Q342,""),"")</f>
        <v/>
      </c>
      <c r="E348" s="61" t="str">
        <f>IFERROR(IF(DB_Customers!R342&lt;&gt;"",DB_Customers!R342,""),"")</f>
        <v/>
      </c>
      <c r="F348" s="61" t="str">
        <f>IFERROR(IF(DB_Customers!S342&lt;&gt;"",DB_Customers!S342,""),"")</f>
        <v/>
      </c>
      <c r="G348" s="61" t="str">
        <f>IFERROR(IF(DB_Customers!G342&lt;&gt;"",DB_Customers!G342,""),"")</f>
        <v/>
      </c>
      <c r="H348" s="63" t="str">
        <f>IFERROR(IF(DB_Customers!H342&lt;&gt;"",DB_Customers!H342,""),"")</f>
        <v/>
      </c>
      <c r="I348" s="64" t="str">
        <f>IFERROR(IF(DB_Customers!I342&lt;&gt;"",DB_Customers!I342,""),"")</f>
        <v/>
      </c>
      <c r="J348" s="62" t="str">
        <f>IFERROR(IF(DB_Customers!J342&lt;&gt;"",DB_Customers!J342,""),"")</f>
        <v/>
      </c>
      <c r="K348" s="61" t="str">
        <f>IFERROR(IF(DB_Customers!E342&lt;&gt;"",DB_Customers!E342,""),"")</f>
        <v/>
      </c>
      <c r="L348" s="61" t="str">
        <f>IFERROR(IF(DB_Customers!F342&lt;&gt;"",DB_Customers!F342,""),"")</f>
        <v/>
      </c>
      <c r="M348" s="61" t="str">
        <f>IFERROR(IF(DB_Customers!T342&lt;&gt;"",DB_Customers!T342,""),"")</f>
        <v/>
      </c>
      <c r="N348" s="65" t="str">
        <f>IFERROR(IF(DB_Customers!A342&lt;&gt;"",IF(DB_Customers!I342&gt;=10,"Active","Inactive"),""),"")</f>
        <v/>
      </c>
    </row>
    <row r="349" spans="1:14" ht="18" customHeight="1" x14ac:dyDescent="0.25">
      <c r="A349" s="66" t="str">
        <f>IF(DB_Customers!A343&lt;&gt;"",340,"")</f>
        <v/>
      </c>
      <c r="B349" s="67" t="str">
        <f>IFERROR(IF(DB_Customers!A343&lt;&gt;"",DB_Customers!A343,""),"")</f>
        <v/>
      </c>
      <c r="C349" s="68" t="str">
        <f>IFERROR(IF(DB_Customers!D343&lt;&gt;"",DB_Customers!D343,""),"")</f>
        <v/>
      </c>
      <c r="D349" s="69" t="str">
        <f>IFERROR(IF(DB_Customers!Q343&lt;&gt;"",DB_Customers!Q343,""),"")</f>
        <v/>
      </c>
      <c r="E349" s="68" t="str">
        <f>IFERROR(IF(DB_Customers!R343&lt;&gt;"",DB_Customers!R343,""),"")</f>
        <v/>
      </c>
      <c r="F349" s="68" t="str">
        <f>IFERROR(IF(DB_Customers!S343&lt;&gt;"",DB_Customers!S343,""),"")</f>
        <v/>
      </c>
      <c r="G349" s="68" t="str">
        <f>IFERROR(IF(DB_Customers!G343&lt;&gt;"",DB_Customers!G343,""),"")</f>
        <v/>
      </c>
      <c r="H349" s="70" t="str">
        <f>IFERROR(IF(DB_Customers!H343&lt;&gt;"",DB_Customers!H343,""),"")</f>
        <v/>
      </c>
      <c r="I349" s="71" t="str">
        <f>IFERROR(IF(DB_Customers!I343&lt;&gt;"",DB_Customers!I343,""),"")</f>
        <v/>
      </c>
      <c r="J349" s="69" t="str">
        <f>IFERROR(IF(DB_Customers!J343&lt;&gt;"",DB_Customers!J343,""),"")</f>
        <v/>
      </c>
      <c r="K349" s="68" t="str">
        <f>IFERROR(IF(DB_Customers!E343&lt;&gt;"",DB_Customers!E343,""),"")</f>
        <v/>
      </c>
      <c r="L349" s="68" t="str">
        <f>IFERROR(IF(DB_Customers!F343&lt;&gt;"",DB_Customers!F343,""),"")</f>
        <v/>
      </c>
      <c r="M349" s="68" t="str">
        <f>IFERROR(IF(DB_Customers!T343&lt;&gt;"",DB_Customers!T343,""),"")</f>
        <v/>
      </c>
      <c r="N349" s="72" t="str">
        <f>IFERROR(IF(DB_Customers!A343&lt;&gt;"",IF(DB_Customers!I343&gt;=10,"Active","Inactive"),""),"")</f>
        <v/>
      </c>
    </row>
    <row r="350" spans="1:14" ht="18" customHeight="1" x14ac:dyDescent="0.25">
      <c r="A350" s="59" t="str">
        <f>IF(DB_Customers!A344&lt;&gt;"",341,"")</f>
        <v/>
      </c>
      <c r="B350" s="60" t="str">
        <f>IFERROR(IF(DB_Customers!A344&lt;&gt;"",DB_Customers!A344,""),"")</f>
        <v/>
      </c>
      <c r="C350" s="61" t="str">
        <f>IFERROR(IF(DB_Customers!D344&lt;&gt;"",DB_Customers!D344,""),"")</f>
        <v/>
      </c>
      <c r="D350" s="62" t="str">
        <f>IFERROR(IF(DB_Customers!Q344&lt;&gt;"",DB_Customers!Q344,""),"")</f>
        <v/>
      </c>
      <c r="E350" s="61" t="str">
        <f>IFERROR(IF(DB_Customers!R344&lt;&gt;"",DB_Customers!R344,""),"")</f>
        <v/>
      </c>
      <c r="F350" s="61" t="str">
        <f>IFERROR(IF(DB_Customers!S344&lt;&gt;"",DB_Customers!S344,""),"")</f>
        <v/>
      </c>
      <c r="G350" s="61" t="str">
        <f>IFERROR(IF(DB_Customers!G344&lt;&gt;"",DB_Customers!G344,""),"")</f>
        <v/>
      </c>
      <c r="H350" s="63" t="str">
        <f>IFERROR(IF(DB_Customers!H344&lt;&gt;"",DB_Customers!H344,""),"")</f>
        <v/>
      </c>
      <c r="I350" s="64" t="str">
        <f>IFERROR(IF(DB_Customers!I344&lt;&gt;"",DB_Customers!I344,""),"")</f>
        <v/>
      </c>
      <c r="J350" s="62" t="str">
        <f>IFERROR(IF(DB_Customers!J344&lt;&gt;"",DB_Customers!J344,""),"")</f>
        <v/>
      </c>
      <c r="K350" s="61" t="str">
        <f>IFERROR(IF(DB_Customers!E344&lt;&gt;"",DB_Customers!E344,""),"")</f>
        <v/>
      </c>
      <c r="L350" s="61" t="str">
        <f>IFERROR(IF(DB_Customers!F344&lt;&gt;"",DB_Customers!F344,""),"")</f>
        <v/>
      </c>
      <c r="M350" s="61" t="str">
        <f>IFERROR(IF(DB_Customers!T344&lt;&gt;"",DB_Customers!T344,""),"")</f>
        <v/>
      </c>
      <c r="N350" s="65" t="str">
        <f>IFERROR(IF(DB_Customers!A344&lt;&gt;"",IF(DB_Customers!I344&gt;=10,"Active","Inactive"),""),"")</f>
        <v/>
      </c>
    </row>
    <row r="351" spans="1:14" ht="18" customHeight="1" x14ac:dyDescent="0.25">
      <c r="A351" s="66" t="str">
        <f>IF(DB_Customers!A345&lt;&gt;"",342,"")</f>
        <v/>
      </c>
      <c r="B351" s="67" t="str">
        <f>IFERROR(IF(DB_Customers!A345&lt;&gt;"",DB_Customers!A345,""),"")</f>
        <v/>
      </c>
      <c r="C351" s="68" t="str">
        <f>IFERROR(IF(DB_Customers!D345&lt;&gt;"",DB_Customers!D345,""),"")</f>
        <v/>
      </c>
      <c r="D351" s="69" t="str">
        <f>IFERROR(IF(DB_Customers!Q345&lt;&gt;"",DB_Customers!Q345,""),"")</f>
        <v/>
      </c>
      <c r="E351" s="68" t="str">
        <f>IFERROR(IF(DB_Customers!R345&lt;&gt;"",DB_Customers!R345,""),"")</f>
        <v/>
      </c>
      <c r="F351" s="68" t="str">
        <f>IFERROR(IF(DB_Customers!S345&lt;&gt;"",DB_Customers!S345,""),"")</f>
        <v/>
      </c>
      <c r="G351" s="68" t="str">
        <f>IFERROR(IF(DB_Customers!G345&lt;&gt;"",DB_Customers!G345,""),"")</f>
        <v/>
      </c>
      <c r="H351" s="70" t="str">
        <f>IFERROR(IF(DB_Customers!H345&lt;&gt;"",DB_Customers!H345,""),"")</f>
        <v/>
      </c>
      <c r="I351" s="71" t="str">
        <f>IFERROR(IF(DB_Customers!I345&lt;&gt;"",DB_Customers!I345,""),"")</f>
        <v/>
      </c>
      <c r="J351" s="69" t="str">
        <f>IFERROR(IF(DB_Customers!J345&lt;&gt;"",DB_Customers!J345,""),"")</f>
        <v/>
      </c>
      <c r="K351" s="68" t="str">
        <f>IFERROR(IF(DB_Customers!E345&lt;&gt;"",DB_Customers!E345,""),"")</f>
        <v/>
      </c>
      <c r="L351" s="68" t="str">
        <f>IFERROR(IF(DB_Customers!F345&lt;&gt;"",DB_Customers!F345,""),"")</f>
        <v/>
      </c>
      <c r="M351" s="68" t="str">
        <f>IFERROR(IF(DB_Customers!T345&lt;&gt;"",DB_Customers!T345,""),"")</f>
        <v/>
      </c>
      <c r="N351" s="72" t="str">
        <f>IFERROR(IF(DB_Customers!A345&lt;&gt;"",IF(DB_Customers!I345&gt;=10,"Active","Inactive"),""),"")</f>
        <v/>
      </c>
    </row>
    <row r="352" spans="1:14" ht="18" customHeight="1" x14ac:dyDescent="0.25">
      <c r="A352" s="59" t="str">
        <f>IF(DB_Customers!A346&lt;&gt;"",343,"")</f>
        <v/>
      </c>
      <c r="B352" s="60" t="str">
        <f>IFERROR(IF(DB_Customers!A346&lt;&gt;"",DB_Customers!A346,""),"")</f>
        <v/>
      </c>
      <c r="C352" s="61" t="str">
        <f>IFERROR(IF(DB_Customers!D346&lt;&gt;"",DB_Customers!D346,""),"")</f>
        <v/>
      </c>
      <c r="D352" s="62" t="str">
        <f>IFERROR(IF(DB_Customers!Q346&lt;&gt;"",DB_Customers!Q346,""),"")</f>
        <v/>
      </c>
      <c r="E352" s="61" t="str">
        <f>IFERROR(IF(DB_Customers!R346&lt;&gt;"",DB_Customers!R346,""),"")</f>
        <v/>
      </c>
      <c r="F352" s="61" t="str">
        <f>IFERROR(IF(DB_Customers!S346&lt;&gt;"",DB_Customers!S346,""),"")</f>
        <v/>
      </c>
      <c r="G352" s="61" t="str">
        <f>IFERROR(IF(DB_Customers!G346&lt;&gt;"",DB_Customers!G346,""),"")</f>
        <v/>
      </c>
      <c r="H352" s="63" t="str">
        <f>IFERROR(IF(DB_Customers!H346&lt;&gt;"",DB_Customers!H346,""),"")</f>
        <v/>
      </c>
      <c r="I352" s="64" t="str">
        <f>IFERROR(IF(DB_Customers!I346&lt;&gt;"",DB_Customers!I346,""),"")</f>
        <v/>
      </c>
      <c r="J352" s="62" t="str">
        <f>IFERROR(IF(DB_Customers!J346&lt;&gt;"",DB_Customers!J346,""),"")</f>
        <v/>
      </c>
      <c r="K352" s="61" t="str">
        <f>IFERROR(IF(DB_Customers!E346&lt;&gt;"",DB_Customers!E346,""),"")</f>
        <v/>
      </c>
      <c r="L352" s="61" t="str">
        <f>IFERROR(IF(DB_Customers!F346&lt;&gt;"",DB_Customers!F346,""),"")</f>
        <v/>
      </c>
      <c r="M352" s="61" t="str">
        <f>IFERROR(IF(DB_Customers!T346&lt;&gt;"",DB_Customers!T346,""),"")</f>
        <v/>
      </c>
      <c r="N352" s="65" t="str">
        <f>IFERROR(IF(DB_Customers!A346&lt;&gt;"",IF(DB_Customers!I346&gt;=10,"Active","Inactive"),""),"")</f>
        <v/>
      </c>
    </row>
    <row r="353" spans="1:14" ht="18" customHeight="1" x14ac:dyDescent="0.25">
      <c r="A353" s="66" t="str">
        <f>IF(DB_Customers!A347&lt;&gt;"",344,"")</f>
        <v/>
      </c>
      <c r="B353" s="67" t="str">
        <f>IFERROR(IF(DB_Customers!A347&lt;&gt;"",DB_Customers!A347,""),"")</f>
        <v/>
      </c>
      <c r="C353" s="68" t="str">
        <f>IFERROR(IF(DB_Customers!D347&lt;&gt;"",DB_Customers!D347,""),"")</f>
        <v/>
      </c>
      <c r="D353" s="69" t="str">
        <f>IFERROR(IF(DB_Customers!Q347&lt;&gt;"",DB_Customers!Q347,""),"")</f>
        <v/>
      </c>
      <c r="E353" s="68" t="str">
        <f>IFERROR(IF(DB_Customers!R347&lt;&gt;"",DB_Customers!R347,""),"")</f>
        <v/>
      </c>
      <c r="F353" s="68" t="str">
        <f>IFERROR(IF(DB_Customers!S347&lt;&gt;"",DB_Customers!S347,""),"")</f>
        <v/>
      </c>
      <c r="G353" s="68" t="str">
        <f>IFERROR(IF(DB_Customers!G347&lt;&gt;"",DB_Customers!G347,""),"")</f>
        <v/>
      </c>
      <c r="H353" s="70" t="str">
        <f>IFERROR(IF(DB_Customers!H347&lt;&gt;"",DB_Customers!H347,""),"")</f>
        <v/>
      </c>
      <c r="I353" s="71" t="str">
        <f>IFERROR(IF(DB_Customers!I347&lt;&gt;"",DB_Customers!I347,""),"")</f>
        <v/>
      </c>
      <c r="J353" s="69" t="str">
        <f>IFERROR(IF(DB_Customers!J347&lt;&gt;"",DB_Customers!J347,""),"")</f>
        <v/>
      </c>
      <c r="K353" s="68" t="str">
        <f>IFERROR(IF(DB_Customers!E347&lt;&gt;"",DB_Customers!E347,""),"")</f>
        <v/>
      </c>
      <c r="L353" s="68" t="str">
        <f>IFERROR(IF(DB_Customers!F347&lt;&gt;"",DB_Customers!F347,""),"")</f>
        <v/>
      </c>
      <c r="M353" s="68" t="str">
        <f>IFERROR(IF(DB_Customers!T347&lt;&gt;"",DB_Customers!T347,""),"")</f>
        <v/>
      </c>
      <c r="N353" s="72" t="str">
        <f>IFERROR(IF(DB_Customers!A347&lt;&gt;"",IF(DB_Customers!I347&gt;=10,"Active","Inactive"),""),"")</f>
        <v/>
      </c>
    </row>
    <row r="354" spans="1:14" ht="18" customHeight="1" x14ac:dyDescent="0.25">
      <c r="A354" s="59" t="str">
        <f>IF(DB_Customers!A348&lt;&gt;"",345,"")</f>
        <v/>
      </c>
      <c r="B354" s="60" t="str">
        <f>IFERROR(IF(DB_Customers!A348&lt;&gt;"",DB_Customers!A348,""),"")</f>
        <v/>
      </c>
      <c r="C354" s="61" t="str">
        <f>IFERROR(IF(DB_Customers!D348&lt;&gt;"",DB_Customers!D348,""),"")</f>
        <v/>
      </c>
      <c r="D354" s="62" t="str">
        <f>IFERROR(IF(DB_Customers!Q348&lt;&gt;"",DB_Customers!Q348,""),"")</f>
        <v/>
      </c>
      <c r="E354" s="61" t="str">
        <f>IFERROR(IF(DB_Customers!R348&lt;&gt;"",DB_Customers!R348,""),"")</f>
        <v/>
      </c>
      <c r="F354" s="61" t="str">
        <f>IFERROR(IF(DB_Customers!S348&lt;&gt;"",DB_Customers!S348,""),"")</f>
        <v/>
      </c>
      <c r="G354" s="61" t="str">
        <f>IFERROR(IF(DB_Customers!G348&lt;&gt;"",DB_Customers!G348,""),"")</f>
        <v/>
      </c>
      <c r="H354" s="63" t="str">
        <f>IFERROR(IF(DB_Customers!H348&lt;&gt;"",DB_Customers!H348,""),"")</f>
        <v/>
      </c>
      <c r="I354" s="64" t="str">
        <f>IFERROR(IF(DB_Customers!I348&lt;&gt;"",DB_Customers!I348,""),"")</f>
        <v/>
      </c>
      <c r="J354" s="62" t="str">
        <f>IFERROR(IF(DB_Customers!J348&lt;&gt;"",DB_Customers!J348,""),"")</f>
        <v/>
      </c>
      <c r="K354" s="61" t="str">
        <f>IFERROR(IF(DB_Customers!E348&lt;&gt;"",DB_Customers!E348,""),"")</f>
        <v/>
      </c>
      <c r="L354" s="61" t="str">
        <f>IFERROR(IF(DB_Customers!F348&lt;&gt;"",DB_Customers!F348,""),"")</f>
        <v/>
      </c>
      <c r="M354" s="61" t="str">
        <f>IFERROR(IF(DB_Customers!T348&lt;&gt;"",DB_Customers!T348,""),"")</f>
        <v/>
      </c>
      <c r="N354" s="65" t="str">
        <f>IFERROR(IF(DB_Customers!A348&lt;&gt;"",IF(DB_Customers!I348&gt;=10,"Active","Inactive"),""),"")</f>
        <v/>
      </c>
    </row>
    <row r="355" spans="1:14" ht="18" customHeight="1" x14ac:dyDescent="0.25">
      <c r="A355" s="66" t="str">
        <f>IF(DB_Customers!A349&lt;&gt;"",346,"")</f>
        <v/>
      </c>
      <c r="B355" s="67" t="str">
        <f>IFERROR(IF(DB_Customers!A349&lt;&gt;"",DB_Customers!A349,""),"")</f>
        <v/>
      </c>
      <c r="C355" s="68" t="str">
        <f>IFERROR(IF(DB_Customers!D349&lt;&gt;"",DB_Customers!D349,""),"")</f>
        <v/>
      </c>
      <c r="D355" s="69" t="str">
        <f>IFERROR(IF(DB_Customers!Q349&lt;&gt;"",DB_Customers!Q349,""),"")</f>
        <v/>
      </c>
      <c r="E355" s="68" t="str">
        <f>IFERROR(IF(DB_Customers!R349&lt;&gt;"",DB_Customers!R349,""),"")</f>
        <v/>
      </c>
      <c r="F355" s="68" t="str">
        <f>IFERROR(IF(DB_Customers!S349&lt;&gt;"",DB_Customers!S349,""),"")</f>
        <v/>
      </c>
      <c r="G355" s="68" t="str">
        <f>IFERROR(IF(DB_Customers!G349&lt;&gt;"",DB_Customers!G349,""),"")</f>
        <v/>
      </c>
      <c r="H355" s="70" t="str">
        <f>IFERROR(IF(DB_Customers!H349&lt;&gt;"",DB_Customers!H349,""),"")</f>
        <v/>
      </c>
      <c r="I355" s="71" t="str">
        <f>IFERROR(IF(DB_Customers!I349&lt;&gt;"",DB_Customers!I349,""),"")</f>
        <v/>
      </c>
      <c r="J355" s="69" t="str">
        <f>IFERROR(IF(DB_Customers!J349&lt;&gt;"",DB_Customers!J349,""),"")</f>
        <v/>
      </c>
      <c r="K355" s="68" t="str">
        <f>IFERROR(IF(DB_Customers!E349&lt;&gt;"",DB_Customers!E349,""),"")</f>
        <v/>
      </c>
      <c r="L355" s="68" t="str">
        <f>IFERROR(IF(DB_Customers!F349&lt;&gt;"",DB_Customers!F349,""),"")</f>
        <v/>
      </c>
      <c r="M355" s="68" t="str">
        <f>IFERROR(IF(DB_Customers!T349&lt;&gt;"",DB_Customers!T349,""),"")</f>
        <v/>
      </c>
      <c r="N355" s="72" t="str">
        <f>IFERROR(IF(DB_Customers!A349&lt;&gt;"",IF(DB_Customers!I349&gt;=10,"Active","Inactive"),""),"")</f>
        <v/>
      </c>
    </row>
    <row r="356" spans="1:14" ht="18" customHeight="1" x14ac:dyDescent="0.25">
      <c r="A356" s="59" t="str">
        <f>IF(DB_Customers!A350&lt;&gt;"",347,"")</f>
        <v/>
      </c>
      <c r="B356" s="60" t="str">
        <f>IFERROR(IF(DB_Customers!A350&lt;&gt;"",DB_Customers!A350,""),"")</f>
        <v/>
      </c>
      <c r="C356" s="61" t="str">
        <f>IFERROR(IF(DB_Customers!D350&lt;&gt;"",DB_Customers!D350,""),"")</f>
        <v/>
      </c>
      <c r="D356" s="62" t="str">
        <f>IFERROR(IF(DB_Customers!Q350&lt;&gt;"",DB_Customers!Q350,""),"")</f>
        <v/>
      </c>
      <c r="E356" s="61" t="str">
        <f>IFERROR(IF(DB_Customers!R350&lt;&gt;"",DB_Customers!R350,""),"")</f>
        <v/>
      </c>
      <c r="F356" s="61" t="str">
        <f>IFERROR(IF(DB_Customers!S350&lt;&gt;"",DB_Customers!S350,""),"")</f>
        <v/>
      </c>
      <c r="G356" s="61" t="str">
        <f>IFERROR(IF(DB_Customers!G350&lt;&gt;"",DB_Customers!G350,""),"")</f>
        <v/>
      </c>
      <c r="H356" s="63" t="str">
        <f>IFERROR(IF(DB_Customers!H350&lt;&gt;"",DB_Customers!H350,""),"")</f>
        <v/>
      </c>
      <c r="I356" s="64" t="str">
        <f>IFERROR(IF(DB_Customers!I350&lt;&gt;"",DB_Customers!I350,""),"")</f>
        <v/>
      </c>
      <c r="J356" s="62" t="str">
        <f>IFERROR(IF(DB_Customers!J350&lt;&gt;"",DB_Customers!J350,""),"")</f>
        <v/>
      </c>
      <c r="K356" s="61" t="str">
        <f>IFERROR(IF(DB_Customers!E350&lt;&gt;"",DB_Customers!E350,""),"")</f>
        <v/>
      </c>
      <c r="L356" s="61" t="str">
        <f>IFERROR(IF(DB_Customers!F350&lt;&gt;"",DB_Customers!F350,""),"")</f>
        <v/>
      </c>
      <c r="M356" s="61" t="str">
        <f>IFERROR(IF(DB_Customers!T350&lt;&gt;"",DB_Customers!T350,""),"")</f>
        <v/>
      </c>
      <c r="N356" s="65" t="str">
        <f>IFERROR(IF(DB_Customers!A350&lt;&gt;"",IF(DB_Customers!I350&gt;=10,"Active","Inactive"),""),"")</f>
        <v/>
      </c>
    </row>
    <row r="357" spans="1:14" ht="18" customHeight="1" x14ac:dyDescent="0.25">
      <c r="A357" s="66" t="str">
        <f>IF(DB_Customers!A351&lt;&gt;"",348,"")</f>
        <v/>
      </c>
      <c r="B357" s="67" t="str">
        <f>IFERROR(IF(DB_Customers!A351&lt;&gt;"",DB_Customers!A351,""),"")</f>
        <v/>
      </c>
      <c r="C357" s="68" t="str">
        <f>IFERROR(IF(DB_Customers!D351&lt;&gt;"",DB_Customers!D351,""),"")</f>
        <v/>
      </c>
      <c r="D357" s="69" t="str">
        <f>IFERROR(IF(DB_Customers!Q351&lt;&gt;"",DB_Customers!Q351,""),"")</f>
        <v/>
      </c>
      <c r="E357" s="68" t="str">
        <f>IFERROR(IF(DB_Customers!R351&lt;&gt;"",DB_Customers!R351,""),"")</f>
        <v/>
      </c>
      <c r="F357" s="68" t="str">
        <f>IFERROR(IF(DB_Customers!S351&lt;&gt;"",DB_Customers!S351,""),"")</f>
        <v/>
      </c>
      <c r="G357" s="68" t="str">
        <f>IFERROR(IF(DB_Customers!G351&lt;&gt;"",DB_Customers!G351,""),"")</f>
        <v/>
      </c>
      <c r="H357" s="70" t="str">
        <f>IFERROR(IF(DB_Customers!H351&lt;&gt;"",DB_Customers!H351,""),"")</f>
        <v/>
      </c>
      <c r="I357" s="71" t="str">
        <f>IFERROR(IF(DB_Customers!I351&lt;&gt;"",DB_Customers!I351,""),"")</f>
        <v/>
      </c>
      <c r="J357" s="69" t="str">
        <f>IFERROR(IF(DB_Customers!J351&lt;&gt;"",DB_Customers!J351,""),"")</f>
        <v/>
      </c>
      <c r="K357" s="68" t="str">
        <f>IFERROR(IF(DB_Customers!E351&lt;&gt;"",DB_Customers!E351,""),"")</f>
        <v/>
      </c>
      <c r="L357" s="68" t="str">
        <f>IFERROR(IF(DB_Customers!F351&lt;&gt;"",DB_Customers!F351,""),"")</f>
        <v/>
      </c>
      <c r="M357" s="68" t="str">
        <f>IFERROR(IF(DB_Customers!T351&lt;&gt;"",DB_Customers!T351,""),"")</f>
        <v/>
      </c>
      <c r="N357" s="72" t="str">
        <f>IFERROR(IF(DB_Customers!A351&lt;&gt;"",IF(DB_Customers!I351&gt;=10,"Active","Inactive"),""),"")</f>
        <v/>
      </c>
    </row>
    <row r="358" spans="1:14" ht="18" customHeight="1" x14ac:dyDescent="0.25">
      <c r="A358" s="59" t="str">
        <f>IF(DB_Customers!A352&lt;&gt;"",349,"")</f>
        <v/>
      </c>
      <c r="B358" s="60" t="str">
        <f>IFERROR(IF(DB_Customers!A352&lt;&gt;"",DB_Customers!A352,""),"")</f>
        <v/>
      </c>
      <c r="C358" s="61" t="str">
        <f>IFERROR(IF(DB_Customers!D352&lt;&gt;"",DB_Customers!D352,""),"")</f>
        <v/>
      </c>
      <c r="D358" s="62" t="str">
        <f>IFERROR(IF(DB_Customers!Q352&lt;&gt;"",DB_Customers!Q352,""),"")</f>
        <v/>
      </c>
      <c r="E358" s="61" t="str">
        <f>IFERROR(IF(DB_Customers!R352&lt;&gt;"",DB_Customers!R352,""),"")</f>
        <v/>
      </c>
      <c r="F358" s="61" t="str">
        <f>IFERROR(IF(DB_Customers!S352&lt;&gt;"",DB_Customers!S352,""),"")</f>
        <v/>
      </c>
      <c r="G358" s="61" t="str">
        <f>IFERROR(IF(DB_Customers!G352&lt;&gt;"",DB_Customers!G352,""),"")</f>
        <v/>
      </c>
      <c r="H358" s="63" t="str">
        <f>IFERROR(IF(DB_Customers!H352&lt;&gt;"",DB_Customers!H352,""),"")</f>
        <v/>
      </c>
      <c r="I358" s="64" t="str">
        <f>IFERROR(IF(DB_Customers!I352&lt;&gt;"",DB_Customers!I352,""),"")</f>
        <v/>
      </c>
      <c r="J358" s="62" t="str">
        <f>IFERROR(IF(DB_Customers!J352&lt;&gt;"",DB_Customers!J352,""),"")</f>
        <v/>
      </c>
      <c r="K358" s="61" t="str">
        <f>IFERROR(IF(DB_Customers!E352&lt;&gt;"",DB_Customers!E352,""),"")</f>
        <v/>
      </c>
      <c r="L358" s="61" t="str">
        <f>IFERROR(IF(DB_Customers!F352&lt;&gt;"",DB_Customers!F352,""),"")</f>
        <v/>
      </c>
      <c r="M358" s="61" t="str">
        <f>IFERROR(IF(DB_Customers!T352&lt;&gt;"",DB_Customers!T352,""),"")</f>
        <v/>
      </c>
      <c r="N358" s="65" t="str">
        <f>IFERROR(IF(DB_Customers!A352&lt;&gt;"",IF(DB_Customers!I352&gt;=10,"Active","Inactive"),""),"")</f>
        <v/>
      </c>
    </row>
    <row r="359" spans="1:14" ht="18" customHeight="1" x14ac:dyDescent="0.25">
      <c r="A359" s="66" t="str">
        <f>IF(DB_Customers!A353&lt;&gt;"",350,"")</f>
        <v/>
      </c>
      <c r="B359" s="67" t="str">
        <f>IFERROR(IF(DB_Customers!A353&lt;&gt;"",DB_Customers!A353,""),"")</f>
        <v/>
      </c>
      <c r="C359" s="68" t="str">
        <f>IFERROR(IF(DB_Customers!D353&lt;&gt;"",DB_Customers!D353,""),"")</f>
        <v/>
      </c>
      <c r="D359" s="69" t="str">
        <f>IFERROR(IF(DB_Customers!Q353&lt;&gt;"",DB_Customers!Q353,""),"")</f>
        <v/>
      </c>
      <c r="E359" s="68" t="str">
        <f>IFERROR(IF(DB_Customers!R353&lt;&gt;"",DB_Customers!R353,""),"")</f>
        <v/>
      </c>
      <c r="F359" s="68" t="str">
        <f>IFERROR(IF(DB_Customers!S353&lt;&gt;"",DB_Customers!S353,""),"")</f>
        <v/>
      </c>
      <c r="G359" s="68" t="str">
        <f>IFERROR(IF(DB_Customers!G353&lt;&gt;"",DB_Customers!G353,""),"")</f>
        <v/>
      </c>
      <c r="H359" s="70" t="str">
        <f>IFERROR(IF(DB_Customers!H353&lt;&gt;"",DB_Customers!H353,""),"")</f>
        <v/>
      </c>
      <c r="I359" s="71" t="str">
        <f>IFERROR(IF(DB_Customers!I353&lt;&gt;"",DB_Customers!I353,""),"")</f>
        <v/>
      </c>
      <c r="J359" s="69" t="str">
        <f>IFERROR(IF(DB_Customers!J353&lt;&gt;"",DB_Customers!J353,""),"")</f>
        <v/>
      </c>
      <c r="K359" s="68" t="str">
        <f>IFERROR(IF(DB_Customers!E353&lt;&gt;"",DB_Customers!E353,""),"")</f>
        <v/>
      </c>
      <c r="L359" s="68" t="str">
        <f>IFERROR(IF(DB_Customers!F353&lt;&gt;"",DB_Customers!F353,""),"")</f>
        <v/>
      </c>
      <c r="M359" s="68" t="str">
        <f>IFERROR(IF(DB_Customers!T353&lt;&gt;"",DB_Customers!T353,""),"")</f>
        <v/>
      </c>
      <c r="N359" s="72" t="str">
        <f>IFERROR(IF(DB_Customers!A353&lt;&gt;"",IF(DB_Customers!I353&gt;=10,"Active","Inactive"),""),"")</f>
        <v/>
      </c>
    </row>
    <row r="360" spans="1:14" ht="18" customHeight="1" x14ac:dyDescent="0.25">
      <c r="A360" s="59" t="str">
        <f>IF(DB_Customers!A354&lt;&gt;"",351,"")</f>
        <v/>
      </c>
      <c r="B360" s="60" t="str">
        <f>IFERROR(IF(DB_Customers!A354&lt;&gt;"",DB_Customers!A354,""),"")</f>
        <v/>
      </c>
      <c r="C360" s="61" t="str">
        <f>IFERROR(IF(DB_Customers!D354&lt;&gt;"",DB_Customers!D354,""),"")</f>
        <v/>
      </c>
      <c r="D360" s="62" t="str">
        <f>IFERROR(IF(DB_Customers!Q354&lt;&gt;"",DB_Customers!Q354,""),"")</f>
        <v/>
      </c>
      <c r="E360" s="61" t="str">
        <f>IFERROR(IF(DB_Customers!R354&lt;&gt;"",DB_Customers!R354,""),"")</f>
        <v/>
      </c>
      <c r="F360" s="61" t="str">
        <f>IFERROR(IF(DB_Customers!S354&lt;&gt;"",DB_Customers!S354,""),"")</f>
        <v/>
      </c>
      <c r="G360" s="61" t="str">
        <f>IFERROR(IF(DB_Customers!G354&lt;&gt;"",DB_Customers!G354,""),"")</f>
        <v/>
      </c>
      <c r="H360" s="63" t="str">
        <f>IFERROR(IF(DB_Customers!H354&lt;&gt;"",DB_Customers!H354,""),"")</f>
        <v/>
      </c>
      <c r="I360" s="64" t="str">
        <f>IFERROR(IF(DB_Customers!I354&lt;&gt;"",DB_Customers!I354,""),"")</f>
        <v/>
      </c>
      <c r="J360" s="62" t="str">
        <f>IFERROR(IF(DB_Customers!J354&lt;&gt;"",DB_Customers!J354,""),"")</f>
        <v/>
      </c>
      <c r="K360" s="61" t="str">
        <f>IFERROR(IF(DB_Customers!E354&lt;&gt;"",DB_Customers!E354,""),"")</f>
        <v/>
      </c>
      <c r="L360" s="61" t="str">
        <f>IFERROR(IF(DB_Customers!F354&lt;&gt;"",DB_Customers!F354,""),"")</f>
        <v/>
      </c>
      <c r="M360" s="61" t="str">
        <f>IFERROR(IF(DB_Customers!T354&lt;&gt;"",DB_Customers!T354,""),"")</f>
        <v/>
      </c>
      <c r="N360" s="65" t="str">
        <f>IFERROR(IF(DB_Customers!A354&lt;&gt;"",IF(DB_Customers!I354&gt;=10,"Active","Inactive"),""),"")</f>
        <v/>
      </c>
    </row>
    <row r="361" spans="1:14" ht="18" customHeight="1" x14ac:dyDescent="0.25">
      <c r="A361" s="66" t="str">
        <f>IF(DB_Customers!A355&lt;&gt;"",352,"")</f>
        <v/>
      </c>
      <c r="B361" s="67" t="str">
        <f>IFERROR(IF(DB_Customers!A355&lt;&gt;"",DB_Customers!A355,""),"")</f>
        <v/>
      </c>
      <c r="C361" s="68" t="str">
        <f>IFERROR(IF(DB_Customers!D355&lt;&gt;"",DB_Customers!D355,""),"")</f>
        <v/>
      </c>
      <c r="D361" s="69" t="str">
        <f>IFERROR(IF(DB_Customers!Q355&lt;&gt;"",DB_Customers!Q355,""),"")</f>
        <v/>
      </c>
      <c r="E361" s="68" t="str">
        <f>IFERROR(IF(DB_Customers!R355&lt;&gt;"",DB_Customers!R355,""),"")</f>
        <v/>
      </c>
      <c r="F361" s="68" t="str">
        <f>IFERROR(IF(DB_Customers!S355&lt;&gt;"",DB_Customers!S355,""),"")</f>
        <v/>
      </c>
      <c r="G361" s="68" t="str">
        <f>IFERROR(IF(DB_Customers!G355&lt;&gt;"",DB_Customers!G355,""),"")</f>
        <v/>
      </c>
      <c r="H361" s="70" t="str">
        <f>IFERROR(IF(DB_Customers!H355&lt;&gt;"",DB_Customers!H355,""),"")</f>
        <v/>
      </c>
      <c r="I361" s="71" t="str">
        <f>IFERROR(IF(DB_Customers!I355&lt;&gt;"",DB_Customers!I355,""),"")</f>
        <v/>
      </c>
      <c r="J361" s="69" t="str">
        <f>IFERROR(IF(DB_Customers!J355&lt;&gt;"",DB_Customers!J355,""),"")</f>
        <v/>
      </c>
      <c r="K361" s="68" t="str">
        <f>IFERROR(IF(DB_Customers!E355&lt;&gt;"",DB_Customers!E355,""),"")</f>
        <v/>
      </c>
      <c r="L361" s="68" t="str">
        <f>IFERROR(IF(DB_Customers!F355&lt;&gt;"",DB_Customers!F355,""),"")</f>
        <v/>
      </c>
      <c r="M361" s="68" t="str">
        <f>IFERROR(IF(DB_Customers!T355&lt;&gt;"",DB_Customers!T355,""),"")</f>
        <v/>
      </c>
      <c r="N361" s="72" t="str">
        <f>IFERROR(IF(DB_Customers!A355&lt;&gt;"",IF(DB_Customers!I355&gt;=10,"Active","Inactive"),""),"")</f>
        <v/>
      </c>
    </row>
    <row r="362" spans="1:14" ht="18" customHeight="1" x14ac:dyDescent="0.25">
      <c r="A362" s="59" t="str">
        <f>IF(DB_Customers!A356&lt;&gt;"",353,"")</f>
        <v/>
      </c>
      <c r="B362" s="60" t="str">
        <f>IFERROR(IF(DB_Customers!A356&lt;&gt;"",DB_Customers!A356,""),"")</f>
        <v/>
      </c>
      <c r="C362" s="61" t="str">
        <f>IFERROR(IF(DB_Customers!D356&lt;&gt;"",DB_Customers!D356,""),"")</f>
        <v/>
      </c>
      <c r="D362" s="62" t="str">
        <f>IFERROR(IF(DB_Customers!Q356&lt;&gt;"",DB_Customers!Q356,""),"")</f>
        <v/>
      </c>
      <c r="E362" s="61" t="str">
        <f>IFERROR(IF(DB_Customers!R356&lt;&gt;"",DB_Customers!R356,""),"")</f>
        <v/>
      </c>
      <c r="F362" s="61" t="str">
        <f>IFERROR(IF(DB_Customers!S356&lt;&gt;"",DB_Customers!S356,""),"")</f>
        <v/>
      </c>
      <c r="G362" s="61" t="str">
        <f>IFERROR(IF(DB_Customers!G356&lt;&gt;"",DB_Customers!G356,""),"")</f>
        <v/>
      </c>
      <c r="H362" s="63" t="str">
        <f>IFERROR(IF(DB_Customers!H356&lt;&gt;"",DB_Customers!H356,""),"")</f>
        <v/>
      </c>
      <c r="I362" s="64" t="str">
        <f>IFERROR(IF(DB_Customers!I356&lt;&gt;"",DB_Customers!I356,""),"")</f>
        <v/>
      </c>
      <c r="J362" s="62" t="str">
        <f>IFERROR(IF(DB_Customers!J356&lt;&gt;"",DB_Customers!J356,""),"")</f>
        <v/>
      </c>
      <c r="K362" s="61" t="str">
        <f>IFERROR(IF(DB_Customers!E356&lt;&gt;"",DB_Customers!E356,""),"")</f>
        <v/>
      </c>
      <c r="L362" s="61" t="str">
        <f>IFERROR(IF(DB_Customers!F356&lt;&gt;"",DB_Customers!F356,""),"")</f>
        <v/>
      </c>
      <c r="M362" s="61" t="str">
        <f>IFERROR(IF(DB_Customers!T356&lt;&gt;"",DB_Customers!T356,""),"")</f>
        <v/>
      </c>
      <c r="N362" s="65" t="str">
        <f>IFERROR(IF(DB_Customers!A356&lt;&gt;"",IF(DB_Customers!I356&gt;=10,"Active","Inactive"),""),"")</f>
        <v/>
      </c>
    </row>
    <row r="363" spans="1:14" ht="18" customHeight="1" x14ac:dyDescent="0.25">
      <c r="A363" s="66" t="str">
        <f>IF(DB_Customers!A357&lt;&gt;"",354,"")</f>
        <v/>
      </c>
      <c r="B363" s="67" t="str">
        <f>IFERROR(IF(DB_Customers!A357&lt;&gt;"",DB_Customers!A357,""),"")</f>
        <v/>
      </c>
      <c r="C363" s="68" t="str">
        <f>IFERROR(IF(DB_Customers!D357&lt;&gt;"",DB_Customers!D357,""),"")</f>
        <v/>
      </c>
      <c r="D363" s="69" t="str">
        <f>IFERROR(IF(DB_Customers!Q357&lt;&gt;"",DB_Customers!Q357,""),"")</f>
        <v/>
      </c>
      <c r="E363" s="68" t="str">
        <f>IFERROR(IF(DB_Customers!R357&lt;&gt;"",DB_Customers!R357,""),"")</f>
        <v/>
      </c>
      <c r="F363" s="68" t="str">
        <f>IFERROR(IF(DB_Customers!S357&lt;&gt;"",DB_Customers!S357,""),"")</f>
        <v/>
      </c>
      <c r="G363" s="68" t="str">
        <f>IFERROR(IF(DB_Customers!G357&lt;&gt;"",DB_Customers!G357,""),"")</f>
        <v/>
      </c>
      <c r="H363" s="70" t="str">
        <f>IFERROR(IF(DB_Customers!H357&lt;&gt;"",DB_Customers!H357,""),"")</f>
        <v/>
      </c>
      <c r="I363" s="71" t="str">
        <f>IFERROR(IF(DB_Customers!I357&lt;&gt;"",DB_Customers!I357,""),"")</f>
        <v/>
      </c>
      <c r="J363" s="69" t="str">
        <f>IFERROR(IF(DB_Customers!J357&lt;&gt;"",DB_Customers!J357,""),"")</f>
        <v/>
      </c>
      <c r="K363" s="68" t="str">
        <f>IFERROR(IF(DB_Customers!E357&lt;&gt;"",DB_Customers!E357,""),"")</f>
        <v/>
      </c>
      <c r="L363" s="68" t="str">
        <f>IFERROR(IF(DB_Customers!F357&lt;&gt;"",DB_Customers!F357,""),"")</f>
        <v/>
      </c>
      <c r="M363" s="68" t="str">
        <f>IFERROR(IF(DB_Customers!T357&lt;&gt;"",DB_Customers!T357,""),"")</f>
        <v/>
      </c>
      <c r="N363" s="72" t="str">
        <f>IFERROR(IF(DB_Customers!A357&lt;&gt;"",IF(DB_Customers!I357&gt;=10,"Active","Inactive"),""),"")</f>
        <v/>
      </c>
    </row>
    <row r="364" spans="1:14" ht="18" customHeight="1" x14ac:dyDescent="0.25">
      <c r="A364" s="59" t="str">
        <f>IF(DB_Customers!A358&lt;&gt;"",355,"")</f>
        <v/>
      </c>
      <c r="B364" s="60" t="str">
        <f>IFERROR(IF(DB_Customers!A358&lt;&gt;"",DB_Customers!A358,""),"")</f>
        <v/>
      </c>
      <c r="C364" s="61" t="str">
        <f>IFERROR(IF(DB_Customers!D358&lt;&gt;"",DB_Customers!D358,""),"")</f>
        <v/>
      </c>
      <c r="D364" s="62" t="str">
        <f>IFERROR(IF(DB_Customers!Q358&lt;&gt;"",DB_Customers!Q358,""),"")</f>
        <v/>
      </c>
      <c r="E364" s="61" t="str">
        <f>IFERROR(IF(DB_Customers!R358&lt;&gt;"",DB_Customers!R358,""),"")</f>
        <v/>
      </c>
      <c r="F364" s="61" t="str">
        <f>IFERROR(IF(DB_Customers!S358&lt;&gt;"",DB_Customers!S358,""),"")</f>
        <v/>
      </c>
      <c r="G364" s="61" t="str">
        <f>IFERROR(IF(DB_Customers!G358&lt;&gt;"",DB_Customers!G358,""),"")</f>
        <v/>
      </c>
      <c r="H364" s="63" t="str">
        <f>IFERROR(IF(DB_Customers!H358&lt;&gt;"",DB_Customers!H358,""),"")</f>
        <v/>
      </c>
      <c r="I364" s="64" t="str">
        <f>IFERROR(IF(DB_Customers!I358&lt;&gt;"",DB_Customers!I358,""),"")</f>
        <v/>
      </c>
      <c r="J364" s="62" t="str">
        <f>IFERROR(IF(DB_Customers!J358&lt;&gt;"",DB_Customers!J358,""),"")</f>
        <v/>
      </c>
      <c r="K364" s="61" t="str">
        <f>IFERROR(IF(DB_Customers!E358&lt;&gt;"",DB_Customers!E358,""),"")</f>
        <v/>
      </c>
      <c r="L364" s="61" t="str">
        <f>IFERROR(IF(DB_Customers!F358&lt;&gt;"",DB_Customers!F358,""),"")</f>
        <v/>
      </c>
      <c r="M364" s="61" t="str">
        <f>IFERROR(IF(DB_Customers!T358&lt;&gt;"",DB_Customers!T358,""),"")</f>
        <v/>
      </c>
      <c r="N364" s="65" t="str">
        <f>IFERROR(IF(DB_Customers!A358&lt;&gt;"",IF(DB_Customers!I358&gt;=10,"Active","Inactive"),""),"")</f>
        <v/>
      </c>
    </row>
    <row r="365" spans="1:14" ht="18" customHeight="1" x14ac:dyDescent="0.25">
      <c r="A365" s="66" t="str">
        <f>IF(DB_Customers!A359&lt;&gt;"",356,"")</f>
        <v/>
      </c>
      <c r="B365" s="67" t="str">
        <f>IFERROR(IF(DB_Customers!A359&lt;&gt;"",DB_Customers!A359,""),"")</f>
        <v/>
      </c>
      <c r="C365" s="68" t="str">
        <f>IFERROR(IF(DB_Customers!D359&lt;&gt;"",DB_Customers!D359,""),"")</f>
        <v/>
      </c>
      <c r="D365" s="69" t="str">
        <f>IFERROR(IF(DB_Customers!Q359&lt;&gt;"",DB_Customers!Q359,""),"")</f>
        <v/>
      </c>
      <c r="E365" s="68" t="str">
        <f>IFERROR(IF(DB_Customers!R359&lt;&gt;"",DB_Customers!R359,""),"")</f>
        <v/>
      </c>
      <c r="F365" s="68" t="str">
        <f>IFERROR(IF(DB_Customers!S359&lt;&gt;"",DB_Customers!S359,""),"")</f>
        <v/>
      </c>
      <c r="G365" s="68" t="str">
        <f>IFERROR(IF(DB_Customers!G359&lt;&gt;"",DB_Customers!G359,""),"")</f>
        <v/>
      </c>
      <c r="H365" s="70" t="str">
        <f>IFERROR(IF(DB_Customers!H359&lt;&gt;"",DB_Customers!H359,""),"")</f>
        <v/>
      </c>
      <c r="I365" s="71" t="str">
        <f>IFERROR(IF(DB_Customers!I359&lt;&gt;"",DB_Customers!I359,""),"")</f>
        <v/>
      </c>
      <c r="J365" s="69" t="str">
        <f>IFERROR(IF(DB_Customers!J359&lt;&gt;"",DB_Customers!J359,""),"")</f>
        <v/>
      </c>
      <c r="K365" s="68" t="str">
        <f>IFERROR(IF(DB_Customers!E359&lt;&gt;"",DB_Customers!E359,""),"")</f>
        <v/>
      </c>
      <c r="L365" s="68" t="str">
        <f>IFERROR(IF(DB_Customers!F359&lt;&gt;"",DB_Customers!F359,""),"")</f>
        <v/>
      </c>
      <c r="M365" s="68" t="str">
        <f>IFERROR(IF(DB_Customers!T359&lt;&gt;"",DB_Customers!T359,""),"")</f>
        <v/>
      </c>
      <c r="N365" s="72" t="str">
        <f>IFERROR(IF(DB_Customers!A359&lt;&gt;"",IF(DB_Customers!I359&gt;=10,"Active","Inactive"),""),"")</f>
        <v/>
      </c>
    </row>
    <row r="366" spans="1:14" ht="18" customHeight="1" x14ac:dyDescent="0.25">
      <c r="A366" s="59" t="str">
        <f>IF(DB_Customers!A360&lt;&gt;"",357,"")</f>
        <v/>
      </c>
      <c r="B366" s="60" t="str">
        <f>IFERROR(IF(DB_Customers!A360&lt;&gt;"",DB_Customers!A360,""),"")</f>
        <v/>
      </c>
      <c r="C366" s="61" t="str">
        <f>IFERROR(IF(DB_Customers!D360&lt;&gt;"",DB_Customers!D360,""),"")</f>
        <v/>
      </c>
      <c r="D366" s="62" t="str">
        <f>IFERROR(IF(DB_Customers!Q360&lt;&gt;"",DB_Customers!Q360,""),"")</f>
        <v/>
      </c>
      <c r="E366" s="61" t="str">
        <f>IFERROR(IF(DB_Customers!R360&lt;&gt;"",DB_Customers!R360,""),"")</f>
        <v/>
      </c>
      <c r="F366" s="61" t="str">
        <f>IFERROR(IF(DB_Customers!S360&lt;&gt;"",DB_Customers!S360,""),"")</f>
        <v/>
      </c>
      <c r="G366" s="61" t="str">
        <f>IFERROR(IF(DB_Customers!G360&lt;&gt;"",DB_Customers!G360,""),"")</f>
        <v/>
      </c>
      <c r="H366" s="63" t="str">
        <f>IFERROR(IF(DB_Customers!H360&lt;&gt;"",DB_Customers!H360,""),"")</f>
        <v/>
      </c>
      <c r="I366" s="64" t="str">
        <f>IFERROR(IF(DB_Customers!I360&lt;&gt;"",DB_Customers!I360,""),"")</f>
        <v/>
      </c>
      <c r="J366" s="62" t="str">
        <f>IFERROR(IF(DB_Customers!J360&lt;&gt;"",DB_Customers!J360,""),"")</f>
        <v/>
      </c>
      <c r="K366" s="61" t="str">
        <f>IFERROR(IF(DB_Customers!E360&lt;&gt;"",DB_Customers!E360,""),"")</f>
        <v/>
      </c>
      <c r="L366" s="61" t="str">
        <f>IFERROR(IF(DB_Customers!F360&lt;&gt;"",DB_Customers!F360,""),"")</f>
        <v/>
      </c>
      <c r="M366" s="61" t="str">
        <f>IFERROR(IF(DB_Customers!T360&lt;&gt;"",DB_Customers!T360,""),"")</f>
        <v/>
      </c>
      <c r="N366" s="65" t="str">
        <f>IFERROR(IF(DB_Customers!A360&lt;&gt;"",IF(DB_Customers!I360&gt;=10,"Active","Inactive"),""),"")</f>
        <v/>
      </c>
    </row>
    <row r="367" spans="1:14" ht="18" customHeight="1" x14ac:dyDescent="0.25">
      <c r="A367" s="66" t="str">
        <f>IF(DB_Customers!A361&lt;&gt;"",358,"")</f>
        <v/>
      </c>
      <c r="B367" s="67" t="str">
        <f>IFERROR(IF(DB_Customers!A361&lt;&gt;"",DB_Customers!A361,""),"")</f>
        <v/>
      </c>
      <c r="C367" s="68" t="str">
        <f>IFERROR(IF(DB_Customers!D361&lt;&gt;"",DB_Customers!D361,""),"")</f>
        <v/>
      </c>
      <c r="D367" s="69" t="str">
        <f>IFERROR(IF(DB_Customers!Q361&lt;&gt;"",DB_Customers!Q361,""),"")</f>
        <v/>
      </c>
      <c r="E367" s="68" t="str">
        <f>IFERROR(IF(DB_Customers!R361&lt;&gt;"",DB_Customers!R361,""),"")</f>
        <v/>
      </c>
      <c r="F367" s="68" t="str">
        <f>IFERROR(IF(DB_Customers!S361&lt;&gt;"",DB_Customers!S361,""),"")</f>
        <v/>
      </c>
      <c r="G367" s="68" t="str">
        <f>IFERROR(IF(DB_Customers!G361&lt;&gt;"",DB_Customers!G361,""),"")</f>
        <v/>
      </c>
      <c r="H367" s="70" t="str">
        <f>IFERROR(IF(DB_Customers!H361&lt;&gt;"",DB_Customers!H361,""),"")</f>
        <v/>
      </c>
      <c r="I367" s="71" t="str">
        <f>IFERROR(IF(DB_Customers!I361&lt;&gt;"",DB_Customers!I361,""),"")</f>
        <v/>
      </c>
      <c r="J367" s="69" t="str">
        <f>IFERROR(IF(DB_Customers!J361&lt;&gt;"",DB_Customers!J361,""),"")</f>
        <v/>
      </c>
      <c r="K367" s="68" t="str">
        <f>IFERROR(IF(DB_Customers!E361&lt;&gt;"",DB_Customers!E361,""),"")</f>
        <v/>
      </c>
      <c r="L367" s="68" t="str">
        <f>IFERROR(IF(DB_Customers!F361&lt;&gt;"",DB_Customers!F361,""),"")</f>
        <v/>
      </c>
      <c r="M367" s="68" t="str">
        <f>IFERROR(IF(DB_Customers!T361&lt;&gt;"",DB_Customers!T361,""),"")</f>
        <v/>
      </c>
      <c r="N367" s="72" t="str">
        <f>IFERROR(IF(DB_Customers!A361&lt;&gt;"",IF(DB_Customers!I361&gt;=10,"Active","Inactive"),""),"")</f>
        <v/>
      </c>
    </row>
    <row r="368" spans="1:14" ht="18" customHeight="1" x14ac:dyDescent="0.25">
      <c r="A368" s="59" t="str">
        <f>IF(DB_Customers!A362&lt;&gt;"",359,"")</f>
        <v/>
      </c>
      <c r="B368" s="60" t="str">
        <f>IFERROR(IF(DB_Customers!A362&lt;&gt;"",DB_Customers!A362,""),"")</f>
        <v/>
      </c>
      <c r="C368" s="61" t="str">
        <f>IFERROR(IF(DB_Customers!D362&lt;&gt;"",DB_Customers!D362,""),"")</f>
        <v/>
      </c>
      <c r="D368" s="62" t="str">
        <f>IFERROR(IF(DB_Customers!Q362&lt;&gt;"",DB_Customers!Q362,""),"")</f>
        <v/>
      </c>
      <c r="E368" s="61" t="str">
        <f>IFERROR(IF(DB_Customers!R362&lt;&gt;"",DB_Customers!R362,""),"")</f>
        <v/>
      </c>
      <c r="F368" s="61" t="str">
        <f>IFERROR(IF(DB_Customers!S362&lt;&gt;"",DB_Customers!S362,""),"")</f>
        <v/>
      </c>
      <c r="G368" s="61" t="str">
        <f>IFERROR(IF(DB_Customers!G362&lt;&gt;"",DB_Customers!G362,""),"")</f>
        <v/>
      </c>
      <c r="H368" s="63" t="str">
        <f>IFERROR(IF(DB_Customers!H362&lt;&gt;"",DB_Customers!H362,""),"")</f>
        <v/>
      </c>
      <c r="I368" s="64" t="str">
        <f>IFERROR(IF(DB_Customers!I362&lt;&gt;"",DB_Customers!I362,""),"")</f>
        <v/>
      </c>
      <c r="J368" s="62" t="str">
        <f>IFERROR(IF(DB_Customers!J362&lt;&gt;"",DB_Customers!J362,""),"")</f>
        <v/>
      </c>
      <c r="K368" s="61" t="str">
        <f>IFERROR(IF(DB_Customers!E362&lt;&gt;"",DB_Customers!E362,""),"")</f>
        <v/>
      </c>
      <c r="L368" s="61" t="str">
        <f>IFERROR(IF(DB_Customers!F362&lt;&gt;"",DB_Customers!F362,""),"")</f>
        <v/>
      </c>
      <c r="M368" s="61" t="str">
        <f>IFERROR(IF(DB_Customers!T362&lt;&gt;"",DB_Customers!T362,""),"")</f>
        <v/>
      </c>
      <c r="N368" s="65" t="str">
        <f>IFERROR(IF(DB_Customers!A362&lt;&gt;"",IF(DB_Customers!I362&gt;=10,"Active","Inactive"),""),"")</f>
        <v/>
      </c>
    </row>
    <row r="369" spans="1:14" ht="18" customHeight="1" x14ac:dyDescent="0.25">
      <c r="A369" s="66" t="str">
        <f>IF(DB_Customers!A363&lt;&gt;"",360,"")</f>
        <v/>
      </c>
      <c r="B369" s="67" t="str">
        <f>IFERROR(IF(DB_Customers!A363&lt;&gt;"",DB_Customers!A363,""),"")</f>
        <v/>
      </c>
      <c r="C369" s="68" t="str">
        <f>IFERROR(IF(DB_Customers!D363&lt;&gt;"",DB_Customers!D363,""),"")</f>
        <v/>
      </c>
      <c r="D369" s="69" t="str">
        <f>IFERROR(IF(DB_Customers!Q363&lt;&gt;"",DB_Customers!Q363,""),"")</f>
        <v/>
      </c>
      <c r="E369" s="68" t="str">
        <f>IFERROR(IF(DB_Customers!R363&lt;&gt;"",DB_Customers!R363,""),"")</f>
        <v/>
      </c>
      <c r="F369" s="68" t="str">
        <f>IFERROR(IF(DB_Customers!S363&lt;&gt;"",DB_Customers!S363,""),"")</f>
        <v/>
      </c>
      <c r="G369" s="68" t="str">
        <f>IFERROR(IF(DB_Customers!G363&lt;&gt;"",DB_Customers!G363,""),"")</f>
        <v/>
      </c>
      <c r="H369" s="70" t="str">
        <f>IFERROR(IF(DB_Customers!H363&lt;&gt;"",DB_Customers!H363,""),"")</f>
        <v/>
      </c>
      <c r="I369" s="71" t="str">
        <f>IFERROR(IF(DB_Customers!I363&lt;&gt;"",DB_Customers!I363,""),"")</f>
        <v/>
      </c>
      <c r="J369" s="69" t="str">
        <f>IFERROR(IF(DB_Customers!J363&lt;&gt;"",DB_Customers!J363,""),"")</f>
        <v/>
      </c>
      <c r="K369" s="68" t="str">
        <f>IFERROR(IF(DB_Customers!E363&lt;&gt;"",DB_Customers!E363,""),"")</f>
        <v/>
      </c>
      <c r="L369" s="68" t="str">
        <f>IFERROR(IF(DB_Customers!F363&lt;&gt;"",DB_Customers!F363,""),"")</f>
        <v/>
      </c>
      <c r="M369" s="68" t="str">
        <f>IFERROR(IF(DB_Customers!T363&lt;&gt;"",DB_Customers!T363,""),"")</f>
        <v/>
      </c>
      <c r="N369" s="72" t="str">
        <f>IFERROR(IF(DB_Customers!A363&lt;&gt;"",IF(DB_Customers!I363&gt;=10,"Active","Inactive"),""),"")</f>
        <v/>
      </c>
    </row>
    <row r="370" spans="1:14" ht="18" customHeight="1" x14ac:dyDescent="0.25">
      <c r="A370" s="59" t="str">
        <f>IF(DB_Customers!A364&lt;&gt;"",361,"")</f>
        <v/>
      </c>
      <c r="B370" s="60" t="str">
        <f>IFERROR(IF(DB_Customers!A364&lt;&gt;"",DB_Customers!A364,""),"")</f>
        <v/>
      </c>
      <c r="C370" s="61" t="str">
        <f>IFERROR(IF(DB_Customers!D364&lt;&gt;"",DB_Customers!D364,""),"")</f>
        <v/>
      </c>
      <c r="D370" s="62" t="str">
        <f>IFERROR(IF(DB_Customers!Q364&lt;&gt;"",DB_Customers!Q364,""),"")</f>
        <v/>
      </c>
      <c r="E370" s="61" t="str">
        <f>IFERROR(IF(DB_Customers!R364&lt;&gt;"",DB_Customers!R364,""),"")</f>
        <v/>
      </c>
      <c r="F370" s="61" t="str">
        <f>IFERROR(IF(DB_Customers!S364&lt;&gt;"",DB_Customers!S364,""),"")</f>
        <v/>
      </c>
      <c r="G370" s="61" t="str">
        <f>IFERROR(IF(DB_Customers!G364&lt;&gt;"",DB_Customers!G364,""),"")</f>
        <v/>
      </c>
      <c r="H370" s="63" t="str">
        <f>IFERROR(IF(DB_Customers!H364&lt;&gt;"",DB_Customers!H364,""),"")</f>
        <v/>
      </c>
      <c r="I370" s="64" t="str">
        <f>IFERROR(IF(DB_Customers!I364&lt;&gt;"",DB_Customers!I364,""),"")</f>
        <v/>
      </c>
      <c r="J370" s="62" t="str">
        <f>IFERROR(IF(DB_Customers!J364&lt;&gt;"",DB_Customers!J364,""),"")</f>
        <v/>
      </c>
      <c r="K370" s="61" t="str">
        <f>IFERROR(IF(DB_Customers!E364&lt;&gt;"",DB_Customers!E364,""),"")</f>
        <v/>
      </c>
      <c r="L370" s="61" t="str">
        <f>IFERROR(IF(DB_Customers!F364&lt;&gt;"",DB_Customers!F364,""),"")</f>
        <v/>
      </c>
      <c r="M370" s="61" t="str">
        <f>IFERROR(IF(DB_Customers!T364&lt;&gt;"",DB_Customers!T364,""),"")</f>
        <v/>
      </c>
      <c r="N370" s="65" t="str">
        <f>IFERROR(IF(DB_Customers!A364&lt;&gt;"",IF(DB_Customers!I364&gt;=10,"Active","Inactive"),""),"")</f>
        <v/>
      </c>
    </row>
    <row r="371" spans="1:14" ht="18" customHeight="1" x14ac:dyDescent="0.25">
      <c r="A371" s="66" t="str">
        <f>IF(DB_Customers!A365&lt;&gt;"",362,"")</f>
        <v/>
      </c>
      <c r="B371" s="67" t="str">
        <f>IFERROR(IF(DB_Customers!A365&lt;&gt;"",DB_Customers!A365,""),"")</f>
        <v/>
      </c>
      <c r="C371" s="68" t="str">
        <f>IFERROR(IF(DB_Customers!D365&lt;&gt;"",DB_Customers!D365,""),"")</f>
        <v/>
      </c>
      <c r="D371" s="69" t="str">
        <f>IFERROR(IF(DB_Customers!Q365&lt;&gt;"",DB_Customers!Q365,""),"")</f>
        <v/>
      </c>
      <c r="E371" s="68" t="str">
        <f>IFERROR(IF(DB_Customers!R365&lt;&gt;"",DB_Customers!R365,""),"")</f>
        <v/>
      </c>
      <c r="F371" s="68" t="str">
        <f>IFERROR(IF(DB_Customers!S365&lt;&gt;"",DB_Customers!S365,""),"")</f>
        <v/>
      </c>
      <c r="G371" s="68" t="str">
        <f>IFERROR(IF(DB_Customers!G365&lt;&gt;"",DB_Customers!G365,""),"")</f>
        <v/>
      </c>
      <c r="H371" s="70" t="str">
        <f>IFERROR(IF(DB_Customers!H365&lt;&gt;"",DB_Customers!H365,""),"")</f>
        <v/>
      </c>
      <c r="I371" s="71" t="str">
        <f>IFERROR(IF(DB_Customers!I365&lt;&gt;"",DB_Customers!I365,""),"")</f>
        <v/>
      </c>
      <c r="J371" s="69" t="str">
        <f>IFERROR(IF(DB_Customers!J365&lt;&gt;"",DB_Customers!J365,""),"")</f>
        <v/>
      </c>
      <c r="K371" s="68" t="str">
        <f>IFERROR(IF(DB_Customers!E365&lt;&gt;"",DB_Customers!E365,""),"")</f>
        <v/>
      </c>
      <c r="L371" s="68" t="str">
        <f>IFERROR(IF(DB_Customers!F365&lt;&gt;"",DB_Customers!F365,""),"")</f>
        <v/>
      </c>
      <c r="M371" s="68" t="str">
        <f>IFERROR(IF(DB_Customers!T365&lt;&gt;"",DB_Customers!T365,""),"")</f>
        <v/>
      </c>
      <c r="N371" s="72" t="str">
        <f>IFERROR(IF(DB_Customers!A365&lt;&gt;"",IF(DB_Customers!I365&gt;=10,"Active","Inactive"),""),"")</f>
        <v/>
      </c>
    </row>
    <row r="372" spans="1:14" ht="18" customHeight="1" x14ac:dyDescent="0.25">
      <c r="A372" s="59" t="str">
        <f>IF(DB_Customers!A366&lt;&gt;"",363,"")</f>
        <v/>
      </c>
      <c r="B372" s="60" t="str">
        <f>IFERROR(IF(DB_Customers!A366&lt;&gt;"",DB_Customers!A366,""),"")</f>
        <v/>
      </c>
      <c r="C372" s="61" t="str">
        <f>IFERROR(IF(DB_Customers!D366&lt;&gt;"",DB_Customers!D366,""),"")</f>
        <v/>
      </c>
      <c r="D372" s="62" t="str">
        <f>IFERROR(IF(DB_Customers!Q366&lt;&gt;"",DB_Customers!Q366,""),"")</f>
        <v/>
      </c>
      <c r="E372" s="61" t="str">
        <f>IFERROR(IF(DB_Customers!R366&lt;&gt;"",DB_Customers!R366,""),"")</f>
        <v/>
      </c>
      <c r="F372" s="61" t="str">
        <f>IFERROR(IF(DB_Customers!S366&lt;&gt;"",DB_Customers!S366,""),"")</f>
        <v/>
      </c>
      <c r="G372" s="61" t="str">
        <f>IFERROR(IF(DB_Customers!G366&lt;&gt;"",DB_Customers!G366,""),"")</f>
        <v/>
      </c>
      <c r="H372" s="63" t="str">
        <f>IFERROR(IF(DB_Customers!H366&lt;&gt;"",DB_Customers!H366,""),"")</f>
        <v/>
      </c>
      <c r="I372" s="64" t="str">
        <f>IFERROR(IF(DB_Customers!I366&lt;&gt;"",DB_Customers!I366,""),"")</f>
        <v/>
      </c>
      <c r="J372" s="62" t="str">
        <f>IFERROR(IF(DB_Customers!J366&lt;&gt;"",DB_Customers!J366,""),"")</f>
        <v/>
      </c>
      <c r="K372" s="61" t="str">
        <f>IFERROR(IF(DB_Customers!E366&lt;&gt;"",DB_Customers!E366,""),"")</f>
        <v/>
      </c>
      <c r="L372" s="61" t="str">
        <f>IFERROR(IF(DB_Customers!F366&lt;&gt;"",DB_Customers!F366,""),"")</f>
        <v/>
      </c>
      <c r="M372" s="61" t="str">
        <f>IFERROR(IF(DB_Customers!T366&lt;&gt;"",DB_Customers!T366,""),"")</f>
        <v/>
      </c>
      <c r="N372" s="65" t="str">
        <f>IFERROR(IF(DB_Customers!A366&lt;&gt;"",IF(DB_Customers!I366&gt;=10,"Active","Inactive"),""),"")</f>
        <v/>
      </c>
    </row>
    <row r="373" spans="1:14" ht="18" customHeight="1" x14ac:dyDescent="0.25">
      <c r="A373" s="66" t="str">
        <f>IF(DB_Customers!A367&lt;&gt;"",364,"")</f>
        <v/>
      </c>
      <c r="B373" s="67" t="str">
        <f>IFERROR(IF(DB_Customers!A367&lt;&gt;"",DB_Customers!A367,""),"")</f>
        <v/>
      </c>
      <c r="C373" s="68" t="str">
        <f>IFERROR(IF(DB_Customers!D367&lt;&gt;"",DB_Customers!D367,""),"")</f>
        <v/>
      </c>
      <c r="D373" s="69" t="str">
        <f>IFERROR(IF(DB_Customers!Q367&lt;&gt;"",DB_Customers!Q367,""),"")</f>
        <v/>
      </c>
      <c r="E373" s="68" t="str">
        <f>IFERROR(IF(DB_Customers!R367&lt;&gt;"",DB_Customers!R367,""),"")</f>
        <v/>
      </c>
      <c r="F373" s="68" t="str">
        <f>IFERROR(IF(DB_Customers!S367&lt;&gt;"",DB_Customers!S367,""),"")</f>
        <v/>
      </c>
      <c r="G373" s="68" t="str">
        <f>IFERROR(IF(DB_Customers!G367&lt;&gt;"",DB_Customers!G367,""),"")</f>
        <v/>
      </c>
      <c r="H373" s="70" t="str">
        <f>IFERROR(IF(DB_Customers!H367&lt;&gt;"",DB_Customers!H367,""),"")</f>
        <v/>
      </c>
      <c r="I373" s="71" t="str">
        <f>IFERROR(IF(DB_Customers!I367&lt;&gt;"",DB_Customers!I367,""),"")</f>
        <v/>
      </c>
      <c r="J373" s="69" t="str">
        <f>IFERROR(IF(DB_Customers!J367&lt;&gt;"",DB_Customers!J367,""),"")</f>
        <v/>
      </c>
      <c r="K373" s="68" t="str">
        <f>IFERROR(IF(DB_Customers!E367&lt;&gt;"",DB_Customers!E367,""),"")</f>
        <v/>
      </c>
      <c r="L373" s="68" t="str">
        <f>IFERROR(IF(DB_Customers!F367&lt;&gt;"",DB_Customers!F367,""),"")</f>
        <v/>
      </c>
      <c r="M373" s="68" t="str">
        <f>IFERROR(IF(DB_Customers!T367&lt;&gt;"",DB_Customers!T367,""),"")</f>
        <v/>
      </c>
      <c r="N373" s="72" t="str">
        <f>IFERROR(IF(DB_Customers!A367&lt;&gt;"",IF(DB_Customers!I367&gt;=10,"Active","Inactive"),""),"")</f>
        <v/>
      </c>
    </row>
    <row r="374" spans="1:14" ht="18" customHeight="1" x14ac:dyDescent="0.25">
      <c r="A374" s="59" t="str">
        <f>IF(DB_Customers!A368&lt;&gt;"",365,"")</f>
        <v/>
      </c>
      <c r="B374" s="60" t="str">
        <f>IFERROR(IF(DB_Customers!A368&lt;&gt;"",DB_Customers!A368,""),"")</f>
        <v/>
      </c>
      <c r="C374" s="61" t="str">
        <f>IFERROR(IF(DB_Customers!D368&lt;&gt;"",DB_Customers!D368,""),"")</f>
        <v/>
      </c>
      <c r="D374" s="62" t="str">
        <f>IFERROR(IF(DB_Customers!Q368&lt;&gt;"",DB_Customers!Q368,""),"")</f>
        <v/>
      </c>
      <c r="E374" s="61" t="str">
        <f>IFERROR(IF(DB_Customers!R368&lt;&gt;"",DB_Customers!R368,""),"")</f>
        <v/>
      </c>
      <c r="F374" s="61" t="str">
        <f>IFERROR(IF(DB_Customers!S368&lt;&gt;"",DB_Customers!S368,""),"")</f>
        <v/>
      </c>
      <c r="G374" s="61" t="str">
        <f>IFERROR(IF(DB_Customers!G368&lt;&gt;"",DB_Customers!G368,""),"")</f>
        <v/>
      </c>
      <c r="H374" s="63" t="str">
        <f>IFERROR(IF(DB_Customers!H368&lt;&gt;"",DB_Customers!H368,""),"")</f>
        <v/>
      </c>
      <c r="I374" s="64" t="str">
        <f>IFERROR(IF(DB_Customers!I368&lt;&gt;"",DB_Customers!I368,""),"")</f>
        <v/>
      </c>
      <c r="J374" s="62" t="str">
        <f>IFERROR(IF(DB_Customers!J368&lt;&gt;"",DB_Customers!J368,""),"")</f>
        <v/>
      </c>
      <c r="K374" s="61" t="str">
        <f>IFERROR(IF(DB_Customers!E368&lt;&gt;"",DB_Customers!E368,""),"")</f>
        <v/>
      </c>
      <c r="L374" s="61" t="str">
        <f>IFERROR(IF(DB_Customers!F368&lt;&gt;"",DB_Customers!F368,""),"")</f>
        <v/>
      </c>
      <c r="M374" s="61" t="str">
        <f>IFERROR(IF(DB_Customers!T368&lt;&gt;"",DB_Customers!T368,""),"")</f>
        <v/>
      </c>
      <c r="N374" s="65" t="str">
        <f>IFERROR(IF(DB_Customers!A368&lt;&gt;"",IF(DB_Customers!I368&gt;=10,"Active","Inactive"),""),"")</f>
        <v/>
      </c>
    </row>
    <row r="375" spans="1:14" ht="18" customHeight="1" x14ac:dyDescent="0.25">
      <c r="A375" s="66" t="str">
        <f>IF(DB_Customers!A369&lt;&gt;"",366,"")</f>
        <v/>
      </c>
      <c r="B375" s="67" t="str">
        <f>IFERROR(IF(DB_Customers!A369&lt;&gt;"",DB_Customers!A369,""),"")</f>
        <v/>
      </c>
      <c r="C375" s="68" t="str">
        <f>IFERROR(IF(DB_Customers!D369&lt;&gt;"",DB_Customers!D369,""),"")</f>
        <v/>
      </c>
      <c r="D375" s="69" t="str">
        <f>IFERROR(IF(DB_Customers!Q369&lt;&gt;"",DB_Customers!Q369,""),"")</f>
        <v/>
      </c>
      <c r="E375" s="68" t="str">
        <f>IFERROR(IF(DB_Customers!R369&lt;&gt;"",DB_Customers!R369,""),"")</f>
        <v/>
      </c>
      <c r="F375" s="68" t="str">
        <f>IFERROR(IF(DB_Customers!S369&lt;&gt;"",DB_Customers!S369,""),"")</f>
        <v/>
      </c>
      <c r="G375" s="68" t="str">
        <f>IFERROR(IF(DB_Customers!G369&lt;&gt;"",DB_Customers!G369,""),"")</f>
        <v/>
      </c>
      <c r="H375" s="70" t="str">
        <f>IFERROR(IF(DB_Customers!H369&lt;&gt;"",DB_Customers!H369,""),"")</f>
        <v/>
      </c>
      <c r="I375" s="71" t="str">
        <f>IFERROR(IF(DB_Customers!I369&lt;&gt;"",DB_Customers!I369,""),"")</f>
        <v/>
      </c>
      <c r="J375" s="69" t="str">
        <f>IFERROR(IF(DB_Customers!J369&lt;&gt;"",DB_Customers!J369,""),"")</f>
        <v/>
      </c>
      <c r="K375" s="68" t="str">
        <f>IFERROR(IF(DB_Customers!E369&lt;&gt;"",DB_Customers!E369,""),"")</f>
        <v/>
      </c>
      <c r="L375" s="68" t="str">
        <f>IFERROR(IF(DB_Customers!F369&lt;&gt;"",DB_Customers!F369,""),"")</f>
        <v/>
      </c>
      <c r="M375" s="68" t="str">
        <f>IFERROR(IF(DB_Customers!T369&lt;&gt;"",DB_Customers!T369,""),"")</f>
        <v/>
      </c>
      <c r="N375" s="72" t="str">
        <f>IFERROR(IF(DB_Customers!A369&lt;&gt;"",IF(DB_Customers!I369&gt;=10,"Active","Inactive"),""),"")</f>
        <v/>
      </c>
    </row>
    <row r="376" spans="1:14" ht="18" customHeight="1" x14ac:dyDescent="0.25">
      <c r="A376" s="59" t="str">
        <f>IF(DB_Customers!A370&lt;&gt;"",367,"")</f>
        <v/>
      </c>
      <c r="B376" s="60" t="str">
        <f>IFERROR(IF(DB_Customers!A370&lt;&gt;"",DB_Customers!A370,""),"")</f>
        <v/>
      </c>
      <c r="C376" s="61" t="str">
        <f>IFERROR(IF(DB_Customers!D370&lt;&gt;"",DB_Customers!D370,""),"")</f>
        <v/>
      </c>
      <c r="D376" s="62" t="str">
        <f>IFERROR(IF(DB_Customers!Q370&lt;&gt;"",DB_Customers!Q370,""),"")</f>
        <v/>
      </c>
      <c r="E376" s="61" t="str">
        <f>IFERROR(IF(DB_Customers!R370&lt;&gt;"",DB_Customers!R370,""),"")</f>
        <v/>
      </c>
      <c r="F376" s="61" t="str">
        <f>IFERROR(IF(DB_Customers!S370&lt;&gt;"",DB_Customers!S370,""),"")</f>
        <v/>
      </c>
      <c r="G376" s="61" t="str">
        <f>IFERROR(IF(DB_Customers!G370&lt;&gt;"",DB_Customers!G370,""),"")</f>
        <v/>
      </c>
      <c r="H376" s="63" t="str">
        <f>IFERROR(IF(DB_Customers!H370&lt;&gt;"",DB_Customers!H370,""),"")</f>
        <v/>
      </c>
      <c r="I376" s="64" t="str">
        <f>IFERROR(IF(DB_Customers!I370&lt;&gt;"",DB_Customers!I370,""),"")</f>
        <v/>
      </c>
      <c r="J376" s="62" t="str">
        <f>IFERROR(IF(DB_Customers!J370&lt;&gt;"",DB_Customers!J370,""),"")</f>
        <v/>
      </c>
      <c r="K376" s="61" t="str">
        <f>IFERROR(IF(DB_Customers!E370&lt;&gt;"",DB_Customers!E370,""),"")</f>
        <v/>
      </c>
      <c r="L376" s="61" t="str">
        <f>IFERROR(IF(DB_Customers!F370&lt;&gt;"",DB_Customers!F370,""),"")</f>
        <v/>
      </c>
      <c r="M376" s="61" t="str">
        <f>IFERROR(IF(DB_Customers!T370&lt;&gt;"",DB_Customers!T370,""),"")</f>
        <v/>
      </c>
      <c r="N376" s="65" t="str">
        <f>IFERROR(IF(DB_Customers!A370&lt;&gt;"",IF(DB_Customers!I370&gt;=10,"Active","Inactive"),""),"")</f>
        <v/>
      </c>
    </row>
    <row r="377" spans="1:14" ht="18" customHeight="1" x14ac:dyDescent="0.25">
      <c r="A377" s="66" t="str">
        <f>IF(DB_Customers!A371&lt;&gt;"",368,"")</f>
        <v/>
      </c>
      <c r="B377" s="67" t="str">
        <f>IFERROR(IF(DB_Customers!A371&lt;&gt;"",DB_Customers!A371,""),"")</f>
        <v/>
      </c>
      <c r="C377" s="68" t="str">
        <f>IFERROR(IF(DB_Customers!D371&lt;&gt;"",DB_Customers!D371,""),"")</f>
        <v/>
      </c>
      <c r="D377" s="69" t="str">
        <f>IFERROR(IF(DB_Customers!Q371&lt;&gt;"",DB_Customers!Q371,""),"")</f>
        <v/>
      </c>
      <c r="E377" s="68" t="str">
        <f>IFERROR(IF(DB_Customers!R371&lt;&gt;"",DB_Customers!R371,""),"")</f>
        <v/>
      </c>
      <c r="F377" s="68" t="str">
        <f>IFERROR(IF(DB_Customers!S371&lt;&gt;"",DB_Customers!S371,""),"")</f>
        <v/>
      </c>
      <c r="G377" s="68" t="str">
        <f>IFERROR(IF(DB_Customers!G371&lt;&gt;"",DB_Customers!G371,""),"")</f>
        <v/>
      </c>
      <c r="H377" s="70" t="str">
        <f>IFERROR(IF(DB_Customers!H371&lt;&gt;"",DB_Customers!H371,""),"")</f>
        <v/>
      </c>
      <c r="I377" s="71" t="str">
        <f>IFERROR(IF(DB_Customers!I371&lt;&gt;"",DB_Customers!I371,""),"")</f>
        <v/>
      </c>
      <c r="J377" s="69" t="str">
        <f>IFERROR(IF(DB_Customers!J371&lt;&gt;"",DB_Customers!J371,""),"")</f>
        <v/>
      </c>
      <c r="K377" s="68" t="str">
        <f>IFERROR(IF(DB_Customers!E371&lt;&gt;"",DB_Customers!E371,""),"")</f>
        <v/>
      </c>
      <c r="L377" s="68" t="str">
        <f>IFERROR(IF(DB_Customers!F371&lt;&gt;"",DB_Customers!F371,""),"")</f>
        <v/>
      </c>
      <c r="M377" s="68" t="str">
        <f>IFERROR(IF(DB_Customers!T371&lt;&gt;"",DB_Customers!T371,""),"")</f>
        <v/>
      </c>
      <c r="N377" s="72" t="str">
        <f>IFERROR(IF(DB_Customers!A371&lt;&gt;"",IF(DB_Customers!I371&gt;=10,"Active","Inactive"),""),"")</f>
        <v/>
      </c>
    </row>
    <row r="378" spans="1:14" ht="18" customHeight="1" x14ac:dyDescent="0.25">
      <c r="A378" s="59" t="str">
        <f>IF(DB_Customers!A372&lt;&gt;"",369,"")</f>
        <v/>
      </c>
      <c r="B378" s="60" t="str">
        <f>IFERROR(IF(DB_Customers!A372&lt;&gt;"",DB_Customers!A372,""),"")</f>
        <v/>
      </c>
      <c r="C378" s="61" t="str">
        <f>IFERROR(IF(DB_Customers!D372&lt;&gt;"",DB_Customers!D372,""),"")</f>
        <v/>
      </c>
      <c r="D378" s="62" t="str">
        <f>IFERROR(IF(DB_Customers!Q372&lt;&gt;"",DB_Customers!Q372,""),"")</f>
        <v/>
      </c>
      <c r="E378" s="61" t="str">
        <f>IFERROR(IF(DB_Customers!R372&lt;&gt;"",DB_Customers!R372,""),"")</f>
        <v/>
      </c>
      <c r="F378" s="61" t="str">
        <f>IFERROR(IF(DB_Customers!S372&lt;&gt;"",DB_Customers!S372,""),"")</f>
        <v/>
      </c>
      <c r="G378" s="61" t="str">
        <f>IFERROR(IF(DB_Customers!G372&lt;&gt;"",DB_Customers!G372,""),"")</f>
        <v/>
      </c>
      <c r="H378" s="63" t="str">
        <f>IFERROR(IF(DB_Customers!H372&lt;&gt;"",DB_Customers!H372,""),"")</f>
        <v/>
      </c>
      <c r="I378" s="64" t="str">
        <f>IFERROR(IF(DB_Customers!I372&lt;&gt;"",DB_Customers!I372,""),"")</f>
        <v/>
      </c>
      <c r="J378" s="62" t="str">
        <f>IFERROR(IF(DB_Customers!J372&lt;&gt;"",DB_Customers!J372,""),"")</f>
        <v/>
      </c>
      <c r="K378" s="61" t="str">
        <f>IFERROR(IF(DB_Customers!E372&lt;&gt;"",DB_Customers!E372,""),"")</f>
        <v/>
      </c>
      <c r="L378" s="61" t="str">
        <f>IFERROR(IF(DB_Customers!F372&lt;&gt;"",DB_Customers!F372,""),"")</f>
        <v/>
      </c>
      <c r="M378" s="61" t="str">
        <f>IFERROR(IF(DB_Customers!T372&lt;&gt;"",DB_Customers!T372,""),"")</f>
        <v/>
      </c>
      <c r="N378" s="65" t="str">
        <f>IFERROR(IF(DB_Customers!A372&lt;&gt;"",IF(DB_Customers!I372&gt;=10,"Active","Inactive"),""),"")</f>
        <v/>
      </c>
    </row>
    <row r="379" spans="1:14" ht="18" customHeight="1" x14ac:dyDescent="0.25">
      <c r="A379" s="66" t="str">
        <f>IF(DB_Customers!A373&lt;&gt;"",370,"")</f>
        <v/>
      </c>
      <c r="B379" s="67" t="str">
        <f>IFERROR(IF(DB_Customers!A373&lt;&gt;"",DB_Customers!A373,""),"")</f>
        <v/>
      </c>
      <c r="C379" s="68" t="str">
        <f>IFERROR(IF(DB_Customers!D373&lt;&gt;"",DB_Customers!D373,""),"")</f>
        <v/>
      </c>
      <c r="D379" s="69" t="str">
        <f>IFERROR(IF(DB_Customers!Q373&lt;&gt;"",DB_Customers!Q373,""),"")</f>
        <v/>
      </c>
      <c r="E379" s="68" t="str">
        <f>IFERROR(IF(DB_Customers!R373&lt;&gt;"",DB_Customers!R373,""),"")</f>
        <v/>
      </c>
      <c r="F379" s="68" t="str">
        <f>IFERROR(IF(DB_Customers!S373&lt;&gt;"",DB_Customers!S373,""),"")</f>
        <v/>
      </c>
      <c r="G379" s="68" t="str">
        <f>IFERROR(IF(DB_Customers!G373&lt;&gt;"",DB_Customers!G373,""),"")</f>
        <v/>
      </c>
      <c r="H379" s="70" t="str">
        <f>IFERROR(IF(DB_Customers!H373&lt;&gt;"",DB_Customers!H373,""),"")</f>
        <v/>
      </c>
      <c r="I379" s="71" t="str">
        <f>IFERROR(IF(DB_Customers!I373&lt;&gt;"",DB_Customers!I373,""),"")</f>
        <v/>
      </c>
      <c r="J379" s="69" t="str">
        <f>IFERROR(IF(DB_Customers!J373&lt;&gt;"",DB_Customers!J373,""),"")</f>
        <v/>
      </c>
      <c r="K379" s="68" t="str">
        <f>IFERROR(IF(DB_Customers!E373&lt;&gt;"",DB_Customers!E373,""),"")</f>
        <v/>
      </c>
      <c r="L379" s="68" t="str">
        <f>IFERROR(IF(DB_Customers!F373&lt;&gt;"",DB_Customers!F373,""),"")</f>
        <v/>
      </c>
      <c r="M379" s="68" t="str">
        <f>IFERROR(IF(DB_Customers!T373&lt;&gt;"",DB_Customers!T373,""),"")</f>
        <v/>
      </c>
      <c r="N379" s="72" t="str">
        <f>IFERROR(IF(DB_Customers!A373&lt;&gt;"",IF(DB_Customers!I373&gt;=10,"Active","Inactive"),""),"")</f>
        <v/>
      </c>
    </row>
    <row r="380" spans="1:14" ht="18" customHeight="1" x14ac:dyDescent="0.25">
      <c r="A380" s="59" t="str">
        <f>IF(DB_Customers!A374&lt;&gt;"",371,"")</f>
        <v/>
      </c>
      <c r="B380" s="60" t="str">
        <f>IFERROR(IF(DB_Customers!A374&lt;&gt;"",DB_Customers!A374,""),"")</f>
        <v/>
      </c>
      <c r="C380" s="61" t="str">
        <f>IFERROR(IF(DB_Customers!D374&lt;&gt;"",DB_Customers!D374,""),"")</f>
        <v/>
      </c>
      <c r="D380" s="62" t="str">
        <f>IFERROR(IF(DB_Customers!Q374&lt;&gt;"",DB_Customers!Q374,""),"")</f>
        <v/>
      </c>
      <c r="E380" s="61" t="str">
        <f>IFERROR(IF(DB_Customers!R374&lt;&gt;"",DB_Customers!R374,""),"")</f>
        <v/>
      </c>
      <c r="F380" s="61" t="str">
        <f>IFERROR(IF(DB_Customers!S374&lt;&gt;"",DB_Customers!S374,""),"")</f>
        <v/>
      </c>
      <c r="G380" s="61" t="str">
        <f>IFERROR(IF(DB_Customers!G374&lt;&gt;"",DB_Customers!G374,""),"")</f>
        <v/>
      </c>
      <c r="H380" s="63" t="str">
        <f>IFERROR(IF(DB_Customers!H374&lt;&gt;"",DB_Customers!H374,""),"")</f>
        <v/>
      </c>
      <c r="I380" s="64" t="str">
        <f>IFERROR(IF(DB_Customers!I374&lt;&gt;"",DB_Customers!I374,""),"")</f>
        <v/>
      </c>
      <c r="J380" s="62" t="str">
        <f>IFERROR(IF(DB_Customers!J374&lt;&gt;"",DB_Customers!J374,""),"")</f>
        <v/>
      </c>
      <c r="K380" s="61" t="str">
        <f>IFERROR(IF(DB_Customers!E374&lt;&gt;"",DB_Customers!E374,""),"")</f>
        <v/>
      </c>
      <c r="L380" s="61" t="str">
        <f>IFERROR(IF(DB_Customers!F374&lt;&gt;"",DB_Customers!F374,""),"")</f>
        <v/>
      </c>
      <c r="M380" s="61" t="str">
        <f>IFERROR(IF(DB_Customers!T374&lt;&gt;"",DB_Customers!T374,""),"")</f>
        <v/>
      </c>
      <c r="N380" s="65" t="str">
        <f>IFERROR(IF(DB_Customers!A374&lt;&gt;"",IF(DB_Customers!I374&gt;=10,"Active","Inactive"),""),"")</f>
        <v/>
      </c>
    </row>
    <row r="381" spans="1:14" ht="18" customHeight="1" x14ac:dyDescent="0.25">
      <c r="A381" s="66" t="str">
        <f>IF(DB_Customers!A375&lt;&gt;"",372,"")</f>
        <v/>
      </c>
      <c r="B381" s="67" t="str">
        <f>IFERROR(IF(DB_Customers!A375&lt;&gt;"",DB_Customers!A375,""),"")</f>
        <v/>
      </c>
      <c r="C381" s="68" t="str">
        <f>IFERROR(IF(DB_Customers!D375&lt;&gt;"",DB_Customers!D375,""),"")</f>
        <v/>
      </c>
      <c r="D381" s="69" t="str">
        <f>IFERROR(IF(DB_Customers!Q375&lt;&gt;"",DB_Customers!Q375,""),"")</f>
        <v/>
      </c>
      <c r="E381" s="68" t="str">
        <f>IFERROR(IF(DB_Customers!R375&lt;&gt;"",DB_Customers!R375,""),"")</f>
        <v/>
      </c>
      <c r="F381" s="68" t="str">
        <f>IFERROR(IF(DB_Customers!S375&lt;&gt;"",DB_Customers!S375,""),"")</f>
        <v/>
      </c>
      <c r="G381" s="68" t="str">
        <f>IFERROR(IF(DB_Customers!G375&lt;&gt;"",DB_Customers!G375,""),"")</f>
        <v/>
      </c>
      <c r="H381" s="70" t="str">
        <f>IFERROR(IF(DB_Customers!H375&lt;&gt;"",DB_Customers!H375,""),"")</f>
        <v/>
      </c>
      <c r="I381" s="71" t="str">
        <f>IFERROR(IF(DB_Customers!I375&lt;&gt;"",DB_Customers!I375,""),"")</f>
        <v/>
      </c>
      <c r="J381" s="69" t="str">
        <f>IFERROR(IF(DB_Customers!J375&lt;&gt;"",DB_Customers!J375,""),"")</f>
        <v/>
      </c>
      <c r="K381" s="68" t="str">
        <f>IFERROR(IF(DB_Customers!E375&lt;&gt;"",DB_Customers!E375,""),"")</f>
        <v/>
      </c>
      <c r="L381" s="68" t="str">
        <f>IFERROR(IF(DB_Customers!F375&lt;&gt;"",DB_Customers!F375,""),"")</f>
        <v/>
      </c>
      <c r="M381" s="68" t="str">
        <f>IFERROR(IF(DB_Customers!T375&lt;&gt;"",DB_Customers!T375,""),"")</f>
        <v/>
      </c>
      <c r="N381" s="72" t="str">
        <f>IFERROR(IF(DB_Customers!A375&lt;&gt;"",IF(DB_Customers!I375&gt;=10,"Active","Inactive"),""),"")</f>
        <v/>
      </c>
    </row>
    <row r="382" spans="1:14" ht="18" customHeight="1" x14ac:dyDescent="0.25">
      <c r="A382" s="59" t="str">
        <f>IF(DB_Customers!A376&lt;&gt;"",373,"")</f>
        <v/>
      </c>
      <c r="B382" s="60" t="str">
        <f>IFERROR(IF(DB_Customers!A376&lt;&gt;"",DB_Customers!A376,""),"")</f>
        <v/>
      </c>
      <c r="C382" s="61" t="str">
        <f>IFERROR(IF(DB_Customers!D376&lt;&gt;"",DB_Customers!D376,""),"")</f>
        <v/>
      </c>
      <c r="D382" s="62" t="str">
        <f>IFERROR(IF(DB_Customers!Q376&lt;&gt;"",DB_Customers!Q376,""),"")</f>
        <v/>
      </c>
      <c r="E382" s="61" t="str">
        <f>IFERROR(IF(DB_Customers!R376&lt;&gt;"",DB_Customers!R376,""),"")</f>
        <v/>
      </c>
      <c r="F382" s="61" t="str">
        <f>IFERROR(IF(DB_Customers!S376&lt;&gt;"",DB_Customers!S376,""),"")</f>
        <v/>
      </c>
      <c r="G382" s="61" t="str">
        <f>IFERROR(IF(DB_Customers!G376&lt;&gt;"",DB_Customers!G376,""),"")</f>
        <v/>
      </c>
      <c r="H382" s="63" t="str">
        <f>IFERROR(IF(DB_Customers!H376&lt;&gt;"",DB_Customers!H376,""),"")</f>
        <v/>
      </c>
      <c r="I382" s="64" t="str">
        <f>IFERROR(IF(DB_Customers!I376&lt;&gt;"",DB_Customers!I376,""),"")</f>
        <v/>
      </c>
      <c r="J382" s="62" t="str">
        <f>IFERROR(IF(DB_Customers!J376&lt;&gt;"",DB_Customers!J376,""),"")</f>
        <v/>
      </c>
      <c r="K382" s="61" t="str">
        <f>IFERROR(IF(DB_Customers!E376&lt;&gt;"",DB_Customers!E376,""),"")</f>
        <v/>
      </c>
      <c r="L382" s="61" t="str">
        <f>IFERROR(IF(DB_Customers!F376&lt;&gt;"",DB_Customers!F376,""),"")</f>
        <v/>
      </c>
      <c r="M382" s="61" t="str">
        <f>IFERROR(IF(DB_Customers!T376&lt;&gt;"",DB_Customers!T376,""),"")</f>
        <v/>
      </c>
      <c r="N382" s="65" t="str">
        <f>IFERROR(IF(DB_Customers!A376&lt;&gt;"",IF(DB_Customers!I376&gt;=10,"Active","Inactive"),""),"")</f>
        <v/>
      </c>
    </row>
    <row r="383" spans="1:14" ht="18" customHeight="1" x14ac:dyDescent="0.25">
      <c r="A383" s="66" t="str">
        <f>IF(DB_Customers!A377&lt;&gt;"",374,"")</f>
        <v/>
      </c>
      <c r="B383" s="67" t="str">
        <f>IFERROR(IF(DB_Customers!A377&lt;&gt;"",DB_Customers!A377,""),"")</f>
        <v/>
      </c>
      <c r="C383" s="68" t="str">
        <f>IFERROR(IF(DB_Customers!D377&lt;&gt;"",DB_Customers!D377,""),"")</f>
        <v/>
      </c>
      <c r="D383" s="69" t="str">
        <f>IFERROR(IF(DB_Customers!Q377&lt;&gt;"",DB_Customers!Q377,""),"")</f>
        <v/>
      </c>
      <c r="E383" s="68" t="str">
        <f>IFERROR(IF(DB_Customers!R377&lt;&gt;"",DB_Customers!R377,""),"")</f>
        <v/>
      </c>
      <c r="F383" s="68" t="str">
        <f>IFERROR(IF(DB_Customers!S377&lt;&gt;"",DB_Customers!S377,""),"")</f>
        <v/>
      </c>
      <c r="G383" s="68" t="str">
        <f>IFERROR(IF(DB_Customers!G377&lt;&gt;"",DB_Customers!G377,""),"")</f>
        <v/>
      </c>
      <c r="H383" s="70" t="str">
        <f>IFERROR(IF(DB_Customers!H377&lt;&gt;"",DB_Customers!H377,""),"")</f>
        <v/>
      </c>
      <c r="I383" s="71" t="str">
        <f>IFERROR(IF(DB_Customers!I377&lt;&gt;"",DB_Customers!I377,""),"")</f>
        <v/>
      </c>
      <c r="J383" s="69" t="str">
        <f>IFERROR(IF(DB_Customers!J377&lt;&gt;"",DB_Customers!J377,""),"")</f>
        <v/>
      </c>
      <c r="K383" s="68" t="str">
        <f>IFERROR(IF(DB_Customers!E377&lt;&gt;"",DB_Customers!E377,""),"")</f>
        <v/>
      </c>
      <c r="L383" s="68" t="str">
        <f>IFERROR(IF(DB_Customers!F377&lt;&gt;"",DB_Customers!F377,""),"")</f>
        <v/>
      </c>
      <c r="M383" s="68" t="str">
        <f>IFERROR(IF(DB_Customers!T377&lt;&gt;"",DB_Customers!T377,""),"")</f>
        <v/>
      </c>
      <c r="N383" s="72" t="str">
        <f>IFERROR(IF(DB_Customers!A377&lt;&gt;"",IF(DB_Customers!I377&gt;=10,"Active","Inactive"),""),"")</f>
        <v/>
      </c>
    </row>
    <row r="384" spans="1:14" ht="18" customHeight="1" x14ac:dyDescent="0.25">
      <c r="A384" s="59" t="str">
        <f>IF(DB_Customers!A378&lt;&gt;"",375,"")</f>
        <v/>
      </c>
      <c r="B384" s="60" t="str">
        <f>IFERROR(IF(DB_Customers!A378&lt;&gt;"",DB_Customers!A378,""),"")</f>
        <v/>
      </c>
      <c r="C384" s="61" t="str">
        <f>IFERROR(IF(DB_Customers!D378&lt;&gt;"",DB_Customers!D378,""),"")</f>
        <v/>
      </c>
      <c r="D384" s="62" t="str">
        <f>IFERROR(IF(DB_Customers!Q378&lt;&gt;"",DB_Customers!Q378,""),"")</f>
        <v/>
      </c>
      <c r="E384" s="61" t="str">
        <f>IFERROR(IF(DB_Customers!R378&lt;&gt;"",DB_Customers!R378,""),"")</f>
        <v/>
      </c>
      <c r="F384" s="61" t="str">
        <f>IFERROR(IF(DB_Customers!S378&lt;&gt;"",DB_Customers!S378,""),"")</f>
        <v/>
      </c>
      <c r="G384" s="61" t="str">
        <f>IFERROR(IF(DB_Customers!G378&lt;&gt;"",DB_Customers!G378,""),"")</f>
        <v/>
      </c>
      <c r="H384" s="63" t="str">
        <f>IFERROR(IF(DB_Customers!H378&lt;&gt;"",DB_Customers!H378,""),"")</f>
        <v/>
      </c>
      <c r="I384" s="64" t="str">
        <f>IFERROR(IF(DB_Customers!I378&lt;&gt;"",DB_Customers!I378,""),"")</f>
        <v/>
      </c>
      <c r="J384" s="62" t="str">
        <f>IFERROR(IF(DB_Customers!J378&lt;&gt;"",DB_Customers!J378,""),"")</f>
        <v/>
      </c>
      <c r="K384" s="61" t="str">
        <f>IFERROR(IF(DB_Customers!E378&lt;&gt;"",DB_Customers!E378,""),"")</f>
        <v/>
      </c>
      <c r="L384" s="61" t="str">
        <f>IFERROR(IF(DB_Customers!F378&lt;&gt;"",DB_Customers!F378,""),"")</f>
        <v/>
      </c>
      <c r="M384" s="61" t="str">
        <f>IFERROR(IF(DB_Customers!T378&lt;&gt;"",DB_Customers!T378,""),"")</f>
        <v/>
      </c>
      <c r="N384" s="65" t="str">
        <f>IFERROR(IF(DB_Customers!A378&lt;&gt;"",IF(DB_Customers!I378&gt;=10,"Active","Inactive"),""),"")</f>
        <v/>
      </c>
    </row>
    <row r="385" spans="1:14" ht="18" customHeight="1" x14ac:dyDescent="0.25">
      <c r="A385" s="66" t="str">
        <f>IF(DB_Customers!A379&lt;&gt;"",376,"")</f>
        <v/>
      </c>
      <c r="B385" s="67" t="str">
        <f>IFERROR(IF(DB_Customers!A379&lt;&gt;"",DB_Customers!A379,""),"")</f>
        <v/>
      </c>
      <c r="C385" s="68" t="str">
        <f>IFERROR(IF(DB_Customers!D379&lt;&gt;"",DB_Customers!D379,""),"")</f>
        <v/>
      </c>
      <c r="D385" s="69" t="str">
        <f>IFERROR(IF(DB_Customers!Q379&lt;&gt;"",DB_Customers!Q379,""),"")</f>
        <v/>
      </c>
      <c r="E385" s="68" t="str">
        <f>IFERROR(IF(DB_Customers!R379&lt;&gt;"",DB_Customers!R379,""),"")</f>
        <v/>
      </c>
      <c r="F385" s="68" t="str">
        <f>IFERROR(IF(DB_Customers!S379&lt;&gt;"",DB_Customers!S379,""),"")</f>
        <v/>
      </c>
      <c r="G385" s="68" t="str">
        <f>IFERROR(IF(DB_Customers!G379&lt;&gt;"",DB_Customers!G379,""),"")</f>
        <v/>
      </c>
      <c r="H385" s="70" t="str">
        <f>IFERROR(IF(DB_Customers!H379&lt;&gt;"",DB_Customers!H379,""),"")</f>
        <v/>
      </c>
      <c r="I385" s="71" t="str">
        <f>IFERROR(IF(DB_Customers!I379&lt;&gt;"",DB_Customers!I379,""),"")</f>
        <v/>
      </c>
      <c r="J385" s="69" t="str">
        <f>IFERROR(IF(DB_Customers!J379&lt;&gt;"",DB_Customers!J379,""),"")</f>
        <v/>
      </c>
      <c r="K385" s="68" t="str">
        <f>IFERROR(IF(DB_Customers!E379&lt;&gt;"",DB_Customers!E379,""),"")</f>
        <v/>
      </c>
      <c r="L385" s="68" t="str">
        <f>IFERROR(IF(DB_Customers!F379&lt;&gt;"",DB_Customers!F379,""),"")</f>
        <v/>
      </c>
      <c r="M385" s="68" t="str">
        <f>IFERROR(IF(DB_Customers!T379&lt;&gt;"",DB_Customers!T379,""),"")</f>
        <v/>
      </c>
      <c r="N385" s="72" t="str">
        <f>IFERROR(IF(DB_Customers!A379&lt;&gt;"",IF(DB_Customers!I379&gt;=10,"Active","Inactive"),""),"")</f>
        <v/>
      </c>
    </row>
    <row r="386" spans="1:14" ht="18" customHeight="1" x14ac:dyDescent="0.25">
      <c r="A386" s="59" t="str">
        <f>IF(DB_Customers!A380&lt;&gt;"",377,"")</f>
        <v/>
      </c>
      <c r="B386" s="60" t="str">
        <f>IFERROR(IF(DB_Customers!A380&lt;&gt;"",DB_Customers!A380,""),"")</f>
        <v/>
      </c>
      <c r="C386" s="61" t="str">
        <f>IFERROR(IF(DB_Customers!D380&lt;&gt;"",DB_Customers!D380,""),"")</f>
        <v/>
      </c>
      <c r="D386" s="62" t="str">
        <f>IFERROR(IF(DB_Customers!Q380&lt;&gt;"",DB_Customers!Q380,""),"")</f>
        <v/>
      </c>
      <c r="E386" s="61" t="str">
        <f>IFERROR(IF(DB_Customers!R380&lt;&gt;"",DB_Customers!R380,""),"")</f>
        <v/>
      </c>
      <c r="F386" s="61" t="str">
        <f>IFERROR(IF(DB_Customers!S380&lt;&gt;"",DB_Customers!S380,""),"")</f>
        <v/>
      </c>
      <c r="G386" s="61" t="str">
        <f>IFERROR(IF(DB_Customers!G380&lt;&gt;"",DB_Customers!G380,""),"")</f>
        <v/>
      </c>
      <c r="H386" s="63" t="str">
        <f>IFERROR(IF(DB_Customers!H380&lt;&gt;"",DB_Customers!H380,""),"")</f>
        <v/>
      </c>
      <c r="I386" s="64" t="str">
        <f>IFERROR(IF(DB_Customers!I380&lt;&gt;"",DB_Customers!I380,""),"")</f>
        <v/>
      </c>
      <c r="J386" s="62" t="str">
        <f>IFERROR(IF(DB_Customers!J380&lt;&gt;"",DB_Customers!J380,""),"")</f>
        <v/>
      </c>
      <c r="K386" s="61" t="str">
        <f>IFERROR(IF(DB_Customers!E380&lt;&gt;"",DB_Customers!E380,""),"")</f>
        <v/>
      </c>
      <c r="L386" s="61" t="str">
        <f>IFERROR(IF(DB_Customers!F380&lt;&gt;"",DB_Customers!F380,""),"")</f>
        <v/>
      </c>
      <c r="M386" s="61" t="str">
        <f>IFERROR(IF(DB_Customers!T380&lt;&gt;"",DB_Customers!T380,""),"")</f>
        <v/>
      </c>
      <c r="N386" s="65" t="str">
        <f>IFERROR(IF(DB_Customers!A380&lt;&gt;"",IF(DB_Customers!I380&gt;=10,"Active","Inactive"),""),"")</f>
        <v/>
      </c>
    </row>
    <row r="387" spans="1:14" ht="18" customHeight="1" x14ac:dyDescent="0.25">
      <c r="A387" s="66" t="str">
        <f>IF(DB_Customers!A381&lt;&gt;"",378,"")</f>
        <v/>
      </c>
      <c r="B387" s="67" t="str">
        <f>IFERROR(IF(DB_Customers!A381&lt;&gt;"",DB_Customers!A381,""),"")</f>
        <v/>
      </c>
      <c r="C387" s="68" t="str">
        <f>IFERROR(IF(DB_Customers!D381&lt;&gt;"",DB_Customers!D381,""),"")</f>
        <v/>
      </c>
      <c r="D387" s="69" t="str">
        <f>IFERROR(IF(DB_Customers!Q381&lt;&gt;"",DB_Customers!Q381,""),"")</f>
        <v/>
      </c>
      <c r="E387" s="68" t="str">
        <f>IFERROR(IF(DB_Customers!R381&lt;&gt;"",DB_Customers!R381,""),"")</f>
        <v/>
      </c>
      <c r="F387" s="68" t="str">
        <f>IFERROR(IF(DB_Customers!S381&lt;&gt;"",DB_Customers!S381,""),"")</f>
        <v/>
      </c>
      <c r="G387" s="68" t="str">
        <f>IFERROR(IF(DB_Customers!G381&lt;&gt;"",DB_Customers!G381,""),"")</f>
        <v/>
      </c>
      <c r="H387" s="70" t="str">
        <f>IFERROR(IF(DB_Customers!H381&lt;&gt;"",DB_Customers!H381,""),"")</f>
        <v/>
      </c>
      <c r="I387" s="71" t="str">
        <f>IFERROR(IF(DB_Customers!I381&lt;&gt;"",DB_Customers!I381,""),"")</f>
        <v/>
      </c>
      <c r="J387" s="69" t="str">
        <f>IFERROR(IF(DB_Customers!J381&lt;&gt;"",DB_Customers!J381,""),"")</f>
        <v/>
      </c>
      <c r="K387" s="68" t="str">
        <f>IFERROR(IF(DB_Customers!E381&lt;&gt;"",DB_Customers!E381,""),"")</f>
        <v/>
      </c>
      <c r="L387" s="68" t="str">
        <f>IFERROR(IF(DB_Customers!F381&lt;&gt;"",DB_Customers!F381,""),"")</f>
        <v/>
      </c>
      <c r="M387" s="68" t="str">
        <f>IFERROR(IF(DB_Customers!T381&lt;&gt;"",DB_Customers!T381,""),"")</f>
        <v/>
      </c>
      <c r="N387" s="72" t="str">
        <f>IFERROR(IF(DB_Customers!A381&lt;&gt;"",IF(DB_Customers!I381&gt;=10,"Active","Inactive"),""),"")</f>
        <v/>
      </c>
    </row>
    <row r="388" spans="1:14" ht="18" customHeight="1" x14ac:dyDescent="0.25">
      <c r="A388" s="59" t="str">
        <f>IF(DB_Customers!A382&lt;&gt;"",379,"")</f>
        <v/>
      </c>
      <c r="B388" s="60" t="str">
        <f>IFERROR(IF(DB_Customers!A382&lt;&gt;"",DB_Customers!A382,""),"")</f>
        <v/>
      </c>
      <c r="C388" s="61" t="str">
        <f>IFERROR(IF(DB_Customers!D382&lt;&gt;"",DB_Customers!D382,""),"")</f>
        <v/>
      </c>
      <c r="D388" s="62" t="str">
        <f>IFERROR(IF(DB_Customers!Q382&lt;&gt;"",DB_Customers!Q382,""),"")</f>
        <v/>
      </c>
      <c r="E388" s="61" t="str">
        <f>IFERROR(IF(DB_Customers!R382&lt;&gt;"",DB_Customers!R382,""),"")</f>
        <v/>
      </c>
      <c r="F388" s="61" t="str">
        <f>IFERROR(IF(DB_Customers!S382&lt;&gt;"",DB_Customers!S382,""),"")</f>
        <v/>
      </c>
      <c r="G388" s="61" t="str">
        <f>IFERROR(IF(DB_Customers!G382&lt;&gt;"",DB_Customers!G382,""),"")</f>
        <v/>
      </c>
      <c r="H388" s="63" t="str">
        <f>IFERROR(IF(DB_Customers!H382&lt;&gt;"",DB_Customers!H382,""),"")</f>
        <v/>
      </c>
      <c r="I388" s="64" t="str">
        <f>IFERROR(IF(DB_Customers!I382&lt;&gt;"",DB_Customers!I382,""),"")</f>
        <v/>
      </c>
      <c r="J388" s="62" t="str">
        <f>IFERROR(IF(DB_Customers!J382&lt;&gt;"",DB_Customers!J382,""),"")</f>
        <v/>
      </c>
      <c r="K388" s="61" t="str">
        <f>IFERROR(IF(DB_Customers!E382&lt;&gt;"",DB_Customers!E382,""),"")</f>
        <v/>
      </c>
      <c r="L388" s="61" t="str">
        <f>IFERROR(IF(DB_Customers!F382&lt;&gt;"",DB_Customers!F382,""),"")</f>
        <v/>
      </c>
      <c r="M388" s="61" t="str">
        <f>IFERROR(IF(DB_Customers!T382&lt;&gt;"",DB_Customers!T382,""),"")</f>
        <v/>
      </c>
      <c r="N388" s="65" t="str">
        <f>IFERROR(IF(DB_Customers!A382&lt;&gt;"",IF(DB_Customers!I382&gt;=10,"Active","Inactive"),""),"")</f>
        <v/>
      </c>
    </row>
    <row r="389" spans="1:14" ht="18" customHeight="1" x14ac:dyDescent="0.25">
      <c r="A389" s="66" t="str">
        <f>IF(DB_Customers!A383&lt;&gt;"",380,"")</f>
        <v/>
      </c>
      <c r="B389" s="67" t="str">
        <f>IFERROR(IF(DB_Customers!A383&lt;&gt;"",DB_Customers!A383,""),"")</f>
        <v/>
      </c>
      <c r="C389" s="68" t="str">
        <f>IFERROR(IF(DB_Customers!D383&lt;&gt;"",DB_Customers!D383,""),"")</f>
        <v/>
      </c>
      <c r="D389" s="69" t="str">
        <f>IFERROR(IF(DB_Customers!Q383&lt;&gt;"",DB_Customers!Q383,""),"")</f>
        <v/>
      </c>
      <c r="E389" s="68" t="str">
        <f>IFERROR(IF(DB_Customers!R383&lt;&gt;"",DB_Customers!R383,""),"")</f>
        <v/>
      </c>
      <c r="F389" s="68" t="str">
        <f>IFERROR(IF(DB_Customers!S383&lt;&gt;"",DB_Customers!S383,""),"")</f>
        <v/>
      </c>
      <c r="G389" s="68" t="str">
        <f>IFERROR(IF(DB_Customers!G383&lt;&gt;"",DB_Customers!G383,""),"")</f>
        <v/>
      </c>
      <c r="H389" s="70" t="str">
        <f>IFERROR(IF(DB_Customers!H383&lt;&gt;"",DB_Customers!H383,""),"")</f>
        <v/>
      </c>
      <c r="I389" s="71" t="str">
        <f>IFERROR(IF(DB_Customers!I383&lt;&gt;"",DB_Customers!I383,""),"")</f>
        <v/>
      </c>
      <c r="J389" s="69" t="str">
        <f>IFERROR(IF(DB_Customers!J383&lt;&gt;"",DB_Customers!J383,""),"")</f>
        <v/>
      </c>
      <c r="K389" s="68" t="str">
        <f>IFERROR(IF(DB_Customers!E383&lt;&gt;"",DB_Customers!E383,""),"")</f>
        <v/>
      </c>
      <c r="L389" s="68" t="str">
        <f>IFERROR(IF(DB_Customers!F383&lt;&gt;"",DB_Customers!F383,""),"")</f>
        <v/>
      </c>
      <c r="M389" s="68" t="str">
        <f>IFERROR(IF(DB_Customers!T383&lt;&gt;"",DB_Customers!T383,""),"")</f>
        <v/>
      </c>
      <c r="N389" s="72" t="str">
        <f>IFERROR(IF(DB_Customers!A383&lt;&gt;"",IF(DB_Customers!I383&gt;=10,"Active","Inactive"),""),"")</f>
        <v/>
      </c>
    </row>
    <row r="390" spans="1:14" ht="18" customHeight="1" x14ac:dyDescent="0.25">
      <c r="A390" s="59" t="str">
        <f>IF(DB_Customers!A384&lt;&gt;"",381,"")</f>
        <v/>
      </c>
      <c r="B390" s="60" t="str">
        <f>IFERROR(IF(DB_Customers!A384&lt;&gt;"",DB_Customers!A384,""),"")</f>
        <v/>
      </c>
      <c r="C390" s="61" t="str">
        <f>IFERROR(IF(DB_Customers!D384&lt;&gt;"",DB_Customers!D384,""),"")</f>
        <v/>
      </c>
      <c r="D390" s="62" t="str">
        <f>IFERROR(IF(DB_Customers!Q384&lt;&gt;"",DB_Customers!Q384,""),"")</f>
        <v/>
      </c>
      <c r="E390" s="61" t="str">
        <f>IFERROR(IF(DB_Customers!R384&lt;&gt;"",DB_Customers!R384,""),"")</f>
        <v/>
      </c>
      <c r="F390" s="61" t="str">
        <f>IFERROR(IF(DB_Customers!S384&lt;&gt;"",DB_Customers!S384,""),"")</f>
        <v/>
      </c>
      <c r="G390" s="61" t="str">
        <f>IFERROR(IF(DB_Customers!G384&lt;&gt;"",DB_Customers!G384,""),"")</f>
        <v/>
      </c>
      <c r="H390" s="63" t="str">
        <f>IFERROR(IF(DB_Customers!H384&lt;&gt;"",DB_Customers!H384,""),"")</f>
        <v/>
      </c>
      <c r="I390" s="64" t="str">
        <f>IFERROR(IF(DB_Customers!I384&lt;&gt;"",DB_Customers!I384,""),"")</f>
        <v/>
      </c>
      <c r="J390" s="62" t="str">
        <f>IFERROR(IF(DB_Customers!J384&lt;&gt;"",DB_Customers!J384,""),"")</f>
        <v/>
      </c>
      <c r="K390" s="61" t="str">
        <f>IFERROR(IF(DB_Customers!E384&lt;&gt;"",DB_Customers!E384,""),"")</f>
        <v/>
      </c>
      <c r="L390" s="61" t="str">
        <f>IFERROR(IF(DB_Customers!F384&lt;&gt;"",DB_Customers!F384,""),"")</f>
        <v/>
      </c>
      <c r="M390" s="61" t="str">
        <f>IFERROR(IF(DB_Customers!T384&lt;&gt;"",DB_Customers!T384,""),"")</f>
        <v/>
      </c>
      <c r="N390" s="65" t="str">
        <f>IFERROR(IF(DB_Customers!A384&lt;&gt;"",IF(DB_Customers!I384&gt;=10,"Active","Inactive"),""),"")</f>
        <v/>
      </c>
    </row>
    <row r="391" spans="1:14" ht="18" customHeight="1" x14ac:dyDescent="0.25">
      <c r="A391" s="66" t="str">
        <f>IF(DB_Customers!A385&lt;&gt;"",382,"")</f>
        <v/>
      </c>
      <c r="B391" s="67" t="str">
        <f>IFERROR(IF(DB_Customers!A385&lt;&gt;"",DB_Customers!A385,""),"")</f>
        <v/>
      </c>
      <c r="C391" s="68" t="str">
        <f>IFERROR(IF(DB_Customers!D385&lt;&gt;"",DB_Customers!D385,""),"")</f>
        <v/>
      </c>
      <c r="D391" s="69" t="str">
        <f>IFERROR(IF(DB_Customers!Q385&lt;&gt;"",DB_Customers!Q385,""),"")</f>
        <v/>
      </c>
      <c r="E391" s="68" t="str">
        <f>IFERROR(IF(DB_Customers!R385&lt;&gt;"",DB_Customers!R385,""),"")</f>
        <v/>
      </c>
      <c r="F391" s="68" t="str">
        <f>IFERROR(IF(DB_Customers!S385&lt;&gt;"",DB_Customers!S385,""),"")</f>
        <v/>
      </c>
      <c r="G391" s="68" t="str">
        <f>IFERROR(IF(DB_Customers!G385&lt;&gt;"",DB_Customers!G385,""),"")</f>
        <v/>
      </c>
      <c r="H391" s="70" t="str">
        <f>IFERROR(IF(DB_Customers!H385&lt;&gt;"",DB_Customers!H385,""),"")</f>
        <v/>
      </c>
      <c r="I391" s="71" t="str">
        <f>IFERROR(IF(DB_Customers!I385&lt;&gt;"",DB_Customers!I385,""),"")</f>
        <v/>
      </c>
      <c r="J391" s="69" t="str">
        <f>IFERROR(IF(DB_Customers!J385&lt;&gt;"",DB_Customers!J385,""),"")</f>
        <v/>
      </c>
      <c r="K391" s="68" t="str">
        <f>IFERROR(IF(DB_Customers!E385&lt;&gt;"",DB_Customers!E385,""),"")</f>
        <v/>
      </c>
      <c r="L391" s="68" t="str">
        <f>IFERROR(IF(DB_Customers!F385&lt;&gt;"",DB_Customers!F385,""),"")</f>
        <v/>
      </c>
      <c r="M391" s="68" t="str">
        <f>IFERROR(IF(DB_Customers!T385&lt;&gt;"",DB_Customers!T385,""),"")</f>
        <v/>
      </c>
      <c r="N391" s="72" t="str">
        <f>IFERROR(IF(DB_Customers!A385&lt;&gt;"",IF(DB_Customers!I385&gt;=10,"Active","Inactive"),""),"")</f>
        <v/>
      </c>
    </row>
    <row r="392" spans="1:14" ht="18" customHeight="1" x14ac:dyDescent="0.25">
      <c r="A392" s="59" t="str">
        <f>IF(DB_Customers!A386&lt;&gt;"",383,"")</f>
        <v/>
      </c>
      <c r="B392" s="60" t="str">
        <f>IFERROR(IF(DB_Customers!A386&lt;&gt;"",DB_Customers!A386,""),"")</f>
        <v/>
      </c>
      <c r="C392" s="61" t="str">
        <f>IFERROR(IF(DB_Customers!D386&lt;&gt;"",DB_Customers!D386,""),"")</f>
        <v/>
      </c>
      <c r="D392" s="62" t="str">
        <f>IFERROR(IF(DB_Customers!Q386&lt;&gt;"",DB_Customers!Q386,""),"")</f>
        <v/>
      </c>
      <c r="E392" s="61" t="str">
        <f>IFERROR(IF(DB_Customers!R386&lt;&gt;"",DB_Customers!R386,""),"")</f>
        <v/>
      </c>
      <c r="F392" s="61" t="str">
        <f>IFERROR(IF(DB_Customers!S386&lt;&gt;"",DB_Customers!S386,""),"")</f>
        <v/>
      </c>
      <c r="G392" s="61" t="str">
        <f>IFERROR(IF(DB_Customers!G386&lt;&gt;"",DB_Customers!G386,""),"")</f>
        <v/>
      </c>
      <c r="H392" s="63" t="str">
        <f>IFERROR(IF(DB_Customers!H386&lt;&gt;"",DB_Customers!H386,""),"")</f>
        <v/>
      </c>
      <c r="I392" s="64" t="str">
        <f>IFERROR(IF(DB_Customers!I386&lt;&gt;"",DB_Customers!I386,""),"")</f>
        <v/>
      </c>
      <c r="J392" s="62" t="str">
        <f>IFERROR(IF(DB_Customers!J386&lt;&gt;"",DB_Customers!J386,""),"")</f>
        <v/>
      </c>
      <c r="K392" s="61" t="str">
        <f>IFERROR(IF(DB_Customers!E386&lt;&gt;"",DB_Customers!E386,""),"")</f>
        <v/>
      </c>
      <c r="L392" s="61" t="str">
        <f>IFERROR(IF(DB_Customers!F386&lt;&gt;"",DB_Customers!F386,""),"")</f>
        <v/>
      </c>
      <c r="M392" s="61" t="str">
        <f>IFERROR(IF(DB_Customers!T386&lt;&gt;"",DB_Customers!T386,""),"")</f>
        <v/>
      </c>
      <c r="N392" s="65" t="str">
        <f>IFERROR(IF(DB_Customers!A386&lt;&gt;"",IF(DB_Customers!I386&gt;=10,"Active","Inactive"),""),"")</f>
        <v/>
      </c>
    </row>
    <row r="393" spans="1:14" ht="18" customHeight="1" x14ac:dyDescent="0.25">
      <c r="A393" s="66" t="str">
        <f>IF(DB_Customers!A387&lt;&gt;"",384,"")</f>
        <v/>
      </c>
      <c r="B393" s="67" t="str">
        <f>IFERROR(IF(DB_Customers!A387&lt;&gt;"",DB_Customers!A387,""),"")</f>
        <v/>
      </c>
      <c r="C393" s="68" t="str">
        <f>IFERROR(IF(DB_Customers!D387&lt;&gt;"",DB_Customers!D387,""),"")</f>
        <v/>
      </c>
      <c r="D393" s="69" t="str">
        <f>IFERROR(IF(DB_Customers!Q387&lt;&gt;"",DB_Customers!Q387,""),"")</f>
        <v/>
      </c>
      <c r="E393" s="68" t="str">
        <f>IFERROR(IF(DB_Customers!R387&lt;&gt;"",DB_Customers!R387,""),"")</f>
        <v/>
      </c>
      <c r="F393" s="68" t="str">
        <f>IFERROR(IF(DB_Customers!S387&lt;&gt;"",DB_Customers!S387,""),"")</f>
        <v/>
      </c>
      <c r="G393" s="68" t="str">
        <f>IFERROR(IF(DB_Customers!G387&lt;&gt;"",DB_Customers!G387,""),"")</f>
        <v/>
      </c>
      <c r="H393" s="70" t="str">
        <f>IFERROR(IF(DB_Customers!H387&lt;&gt;"",DB_Customers!H387,""),"")</f>
        <v/>
      </c>
      <c r="I393" s="71" t="str">
        <f>IFERROR(IF(DB_Customers!I387&lt;&gt;"",DB_Customers!I387,""),"")</f>
        <v/>
      </c>
      <c r="J393" s="69" t="str">
        <f>IFERROR(IF(DB_Customers!J387&lt;&gt;"",DB_Customers!J387,""),"")</f>
        <v/>
      </c>
      <c r="K393" s="68" t="str">
        <f>IFERROR(IF(DB_Customers!E387&lt;&gt;"",DB_Customers!E387,""),"")</f>
        <v/>
      </c>
      <c r="L393" s="68" t="str">
        <f>IFERROR(IF(DB_Customers!F387&lt;&gt;"",DB_Customers!F387,""),"")</f>
        <v/>
      </c>
      <c r="M393" s="68" t="str">
        <f>IFERROR(IF(DB_Customers!T387&lt;&gt;"",DB_Customers!T387,""),"")</f>
        <v/>
      </c>
      <c r="N393" s="72" t="str">
        <f>IFERROR(IF(DB_Customers!A387&lt;&gt;"",IF(DB_Customers!I387&gt;=10,"Active","Inactive"),""),"")</f>
        <v/>
      </c>
    </row>
    <row r="394" spans="1:14" ht="18" customHeight="1" x14ac:dyDescent="0.25">
      <c r="A394" s="59" t="str">
        <f>IF(DB_Customers!A388&lt;&gt;"",385,"")</f>
        <v/>
      </c>
      <c r="B394" s="60" t="str">
        <f>IFERROR(IF(DB_Customers!A388&lt;&gt;"",DB_Customers!A388,""),"")</f>
        <v/>
      </c>
      <c r="C394" s="61" t="str">
        <f>IFERROR(IF(DB_Customers!D388&lt;&gt;"",DB_Customers!D388,""),"")</f>
        <v/>
      </c>
      <c r="D394" s="62" t="str">
        <f>IFERROR(IF(DB_Customers!Q388&lt;&gt;"",DB_Customers!Q388,""),"")</f>
        <v/>
      </c>
      <c r="E394" s="61" t="str">
        <f>IFERROR(IF(DB_Customers!R388&lt;&gt;"",DB_Customers!R388,""),"")</f>
        <v/>
      </c>
      <c r="F394" s="61" t="str">
        <f>IFERROR(IF(DB_Customers!S388&lt;&gt;"",DB_Customers!S388,""),"")</f>
        <v/>
      </c>
      <c r="G394" s="61" t="str">
        <f>IFERROR(IF(DB_Customers!G388&lt;&gt;"",DB_Customers!G388,""),"")</f>
        <v/>
      </c>
      <c r="H394" s="63" t="str">
        <f>IFERROR(IF(DB_Customers!H388&lt;&gt;"",DB_Customers!H388,""),"")</f>
        <v/>
      </c>
      <c r="I394" s="64" t="str">
        <f>IFERROR(IF(DB_Customers!I388&lt;&gt;"",DB_Customers!I388,""),"")</f>
        <v/>
      </c>
      <c r="J394" s="62" t="str">
        <f>IFERROR(IF(DB_Customers!J388&lt;&gt;"",DB_Customers!J388,""),"")</f>
        <v/>
      </c>
      <c r="K394" s="61" t="str">
        <f>IFERROR(IF(DB_Customers!E388&lt;&gt;"",DB_Customers!E388,""),"")</f>
        <v/>
      </c>
      <c r="L394" s="61" t="str">
        <f>IFERROR(IF(DB_Customers!F388&lt;&gt;"",DB_Customers!F388,""),"")</f>
        <v/>
      </c>
      <c r="M394" s="61" t="str">
        <f>IFERROR(IF(DB_Customers!T388&lt;&gt;"",DB_Customers!T388,""),"")</f>
        <v/>
      </c>
      <c r="N394" s="65" t="str">
        <f>IFERROR(IF(DB_Customers!A388&lt;&gt;"",IF(DB_Customers!I388&gt;=10,"Active","Inactive"),""),"")</f>
        <v/>
      </c>
    </row>
    <row r="395" spans="1:14" ht="18" customHeight="1" x14ac:dyDescent="0.25">
      <c r="A395" s="66" t="str">
        <f>IF(DB_Customers!A389&lt;&gt;"",386,"")</f>
        <v/>
      </c>
      <c r="B395" s="67" t="str">
        <f>IFERROR(IF(DB_Customers!A389&lt;&gt;"",DB_Customers!A389,""),"")</f>
        <v/>
      </c>
      <c r="C395" s="68" t="str">
        <f>IFERROR(IF(DB_Customers!D389&lt;&gt;"",DB_Customers!D389,""),"")</f>
        <v/>
      </c>
      <c r="D395" s="69" t="str">
        <f>IFERROR(IF(DB_Customers!Q389&lt;&gt;"",DB_Customers!Q389,""),"")</f>
        <v/>
      </c>
      <c r="E395" s="68" t="str">
        <f>IFERROR(IF(DB_Customers!R389&lt;&gt;"",DB_Customers!R389,""),"")</f>
        <v/>
      </c>
      <c r="F395" s="68" t="str">
        <f>IFERROR(IF(DB_Customers!S389&lt;&gt;"",DB_Customers!S389,""),"")</f>
        <v/>
      </c>
      <c r="G395" s="68" t="str">
        <f>IFERROR(IF(DB_Customers!G389&lt;&gt;"",DB_Customers!G389,""),"")</f>
        <v/>
      </c>
      <c r="H395" s="70" t="str">
        <f>IFERROR(IF(DB_Customers!H389&lt;&gt;"",DB_Customers!H389,""),"")</f>
        <v/>
      </c>
      <c r="I395" s="71" t="str">
        <f>IFERROR(IF(DB_Customers!I389&lt;&gt;"",DB_Customers!I389,""),"")</f>
        <v/>
      </c>
      <c r="J395" s="69" t="str">
        <f>IFERROR(IF(DB_Customers!J389&lt;&gt;"",DB_Customers!J389,""),"")</f>
        <v/>
      </c>
      <c r="K395" s="68" t="str">
        <f>IFERROR(IF(DB_Customers!E389&lt;&gt;"",DB_Customers!E389,""),"")</f>
        <v/>
      </c>
      <c r="L395" s="68" t="str">
        <f>IFERROR(IF(DB_Customers!F389&lt;&gt;"",DB_Customers!F389,""),"")</f>
        <v/>
      </c>
      <c r="M395" s="68" t="str">
        <f>IFERROR(IF(DB_Customers!T389&lt;&gt;"",DB_Customers!T389,""),"")</f>
        <v/>
      </c>
      <c r="N395" s="72" t="str">
        <f>IFERROR(IF(DB_Customers!A389&lt;&gt;"",IF(DB_Customers!I389&gt;=10,"Active","Inactive"),""),"")</f>
        <v/>
      </c>
    </row>
    <row r="396" spans="1:14" ht="18" customHeight="1" x14ac:dyDescent="0.25">
      <c r="A396" s="59" t="str">
        <f>IF(DB_Customers!A390&lt;&gt;"",387,"")</f>
        <v/>
      </c>
      <c r="B396" s="60" t="str">
        <f>IFERROR(IF(DB_Customers!A390&lt;&gt;"",DB_Customers!A390,""),"")</f>
        <v/>
      </c>
      <c r="C396" s="61" t="str">
        <f>IFERROR(IF(DB_Customers!D390&lt;&gt;"",DB_Customers!D390,""),"")</f>
        <v/>
      </c>
      <c r="D396" s="62" t="str">
        <f>IFERROR(IF(DB_Customers!Q390&lt;&gt;"",DB_Customers!Q390,""),"")</f>
        <v/>
      </c>
      <c r="E396" s="61" t="str">
        <f>IFERROR(IF(DB_Customers!R390&lt;&gt;"",DB_Customers!R390,""),"")</f>
        <v/>
      </c>
      <c r="F396" s="61" t="str">
        <f>IFERROR(IF(DB_Customers!S390&lt;&gt;"",DB_Customers!S390,""),"")</f>
        <v/>
      </c>
      <c r="G396" s="61" t="str">
        <f>IFERROR(IF(DB_Customers!G390&lt;&gt;"",DB_Customers!G390,""),"")</f>
        <v/>
      </c>
      <c r="H396" s="63" t="str">
        <f>IFERROR(IF(DB_Customers!H390&lt;&gt;"",DB_Customers!H390,""),"")</f>
        <v/>
      </c>
      <c r="I396" s="64" t="str">
        <f>IFERROR(IF(DB_Customers!I390&lt;&gt;"",DB_Customers!I390,""),"")</f>
        <v/>
      </c>
      <c r="J396" s="62" t="str">
        <f>IFERROR(IF(DB_Customers!J390&lt;&gt;"",DB_Customers!J390,""),"")</f>
        <v/>
      </c>
      <c r="K396" s="61" t="str">
        <f>IFERROR(IF(DB_Customers!E390&lt;&gt;"",DB_Customers!E390,""),"")</f>
        <v/>
      </c>
      <c r="L396" s="61" t="str">
        <f>IFERROR(IF(DB_Customers!F390&lt;&gt;"",DB_Customers!F390,""),"")</f>
        <v/>
      </c>
      <c r="M396" s="61" t="str">
        <f>IFERROR(IF(DB_Customers!T390&lt;&gt;"",DB_Customers!T390,""),"")</f>
        <v/>
      </c>
      <c r="N396" s="65" t="str">
        <f>IFERROR(IF(DB_Customers!A390&lt;&gt;"",IF(DB_Customers!I390&gt;=10,"Active","Inactive"),""),"")</f>
        <v/>
      </c>
    </row>
    <row r="397" spans="1:14" ht="18" customHeight="1" x14ac:dyDescent="0.25">
      <c r="A397" s="66" t="str">
        <f>IF(DB_Customers!A391&lt;&gt;"",388,"")</f>
        <v/>
      </c>
      <c r="B397" s="67" t="str">
        <f>IFERROR(IF(DB_Customers!A391&lt;&gt;"",DB_Customers!A391,""),"")</f>
        <v/>
      </c>
      <c r="C397" s="68" t="str">
        <f>IFERROR(IF(DB_Customers!D391&lt;&gt;"",DB_Customers!D391,""),"")</f>
        <v/>
      </c>
      <c r="D397" s="69" t="str">
        <f>IFERROR(IF(DB_Customers!Q391&lt;&gt;"",DB_Customers!Q391,""),"")</f>
        <v/>
      </c>
      <c r="E397" s="68" t="str">
        <f>IFERROR(IF(DB_Customers!R391&lt;&gt;"",DB_Customers!R391,""),"")</f>
        <v/>
      </c>
      <c r="F397" s="68" t="str">
        <f>IFERROR(IF(DB_Customers!S391&lt;&gt;"",DB_Customers!S391,""),"")</f>
        <v/>
      </c>
      <c r="G397" s="68" t="str">
        <f>IFERROR(IF(DB_Customers!G391&lt;&gt;"",DB_Customers!G391,""),"")</f>
        <v/>
      </c>
      <c r="H397" s="70" t="str">
        <f>IFERROR(IF(DB_Customers!H391&lt;&gt;"",DB_Customers!H391,""),"")</f>
        <v/>
      </c>
      <c r="I397" s="71" t="str">
        <f>IFERROR(IF(DB_Customers!I391&lt;&gt;"",DB_Customers!I391,""),"")</f>
        <v/>
      </c>
      <c r="J397" s="69" t="str">
        <f>IFERROR(IF(DB_Customers!J391&lt;&gt;"",DB_Customers!J391,""),"")</f>
        <v/>
      </c>
      <c r="K397" s="68" t="str">
        <f>IFERROR(IF(DB_Customers!E391&lt;&gt;"",DB_Customers!E391,""),"")</f>
        <v/>
      </c>
      <c r="L397" s="68" t="str">
        <f>IFERROR(IF(DB_Customers!F391&lt;&gt;"",DB_Customers!F391,""),"")</f>
        <v/>
      </c>
      <c r="M397" s="68" t="str">
        <f>IFERROR(IF(DB_Customers!T391&lt;&gt;"",DB_Customers!T391,""),"")</f>
        <v/>
      </c>
      <c r="N397" s="72" t="str">
        <f>IFERROR(IF(DB_Customers!A391&lt;&gt;"",IF(DB_Customers!I391&gt;=10,"Active","Inactive"),""),"")</f>
        <v/>
      </c>
    </row>
    <row r="398" spans="1:14" ht="18" customHeight="1" x14ac:dyDescent="0.25">
      <c r="A398" s="59" t="str">
        <f>IF(DB_Customers!A392&lt;&gt;"",389,"")</f>
        <v/>
      </c>
      <c r="B398" s="60" t="str">
        <f>IFERROR(IF(DB_Customers!A392&lt;&gt;"",DB_Customers!A392,""),"")</f>
        <v/>
      </c>
      <c r="C398" s="61" t="str">
        <f>IFERROR(IF(DB_Customers!D392&lt;&gt;"",DB_Customers!D392,""),"")</f>
        <v/>
      </c>
      <c r="D398" s="62" t="str">
        <f>IFERROR(IF(DB_Customers!Q392&lt;&gt;"",DB_Customers!Q392,""),"")</f>
        <v/>
      </c>
      <c r="E398" s="61" t="str">
        <f>IFERROR(IF(DB_Customers!R392&lt;&gt;"",DB_Customers!R392,""),"")</f>
        <v/>
      </c>
      <c r="F398" s="61" t="str">
        <f>IFERROR(IF(DB_Customers!S392&lt;&gt;"",DB_Customers!S392,""),"")</f>
        <v/>
      </c>
      <c r="G398" s="61" t="str">
        <f>IFERROR(IF(DB_Customers!G392&lt;&gt;"",DB_Customers!G392,""),"")</f>
        <v/>
      </c>
      <c r="H398" s="63" t="str">
        <f>IFERROR(IF(DB_Customers!H392&lt;&gt;"",DB_Customers!H392,""),"")</f>
        <v/>
      </c>
      <c r="I398" s="64" t="str">
        <f>IFERROR(IF(DB_Customers!I392&lt;&gt;"",DB_Customers!I392,""),"")</f>
        <v/>
      </c>
      <c r="J398" s="62" t="str">
        <f>IFERROR(IF(DB_Customers!J392&lt;&gt;"",DB_Customers!J392,""),"")</f>
        <v/>
      </c>
      <c r="K398" s="61" t="str">
        <f>IFERROR(IF(DB_Customers!E392&lt;&gt;"",DB_Customers!E392,""),"")</f>
        <v/>
      </c>
      <c r="L398" s="61" t="str">
        <f>IFERROR(IF(DB_Customers!F392&lt;&gt;"",DB_Customers!F392,""),"")</f>
        <v/>
      </c>
      <c r="M398" s="61" t="str">
        <f>IFERROR(IF(DB_Customers!T392&lt;&gt;"",DB_Customers!T392,""),"")</f>
        <v/>
      </c>
      <c r="N398" s="65" t="str">
        <f>IFERROR(IF(DB_Customers!A392&lt;&gt;"",IF(DB_Customers!I392&gt;=10,"Active","Inactive"),""),"")</f>
        <v/>
      </c>
    </row>
    <row r="399" spans="1:14" ht="18" customHeight="1" x14ac:dyDescent="0.25">
      <c r="A399" s="66" t="str">
        <f>IF(DB_Customers!A393&lt;&gt;"",390,"")</f>
        <v/>
      </c>
      <c r="B399" s="67" t="str">
        <f>IFERROR(IF(DB_Customers!A393&lt;&gt;"",DB_Customers!A393,""),"")</f>
        <v/>
      </c>
      <c r="C399" s="68" t="str">
        <f>IFERROR(IF(DB_Customers!D393&lt;&gt;"",DB_Customers!D393,""),"")</f>
        <v/>
      </c>
      <c r="D399" s="69" t="str">
        <f>IFERROR(IF(DB_Customers!Q393&lt;&gt;"",DB_Customers!Q393,""),"")</f>
        <v/>
      </c>
      <c r="E399" s="68" t="str">
        <f>IFERROR(IF(DB_Customers!R393&lt;&gt;"",DB_Customers!R393,""),"")</f>
        <v/>
      </c>
      <c r="F399" s="68" t="str">
        <f>IFERROR(IF(DB_Customers!S393&lt;&gt;"",DB_Customers!S393,""),"")</f>
        <v/>
      </c>
      <c r="G399" s="68" t="str">
        <f>IFERROR(IF(DB_Customers!G393&lt;&gt;"",DB_Customers!G393,""),"")</f>
        <v/>
      </c>
      <c r="H399" s="70" t="str">
        <f>IFERROR(IF(DB_Customers!H393&lt;&gt;"",DB_Customers!H393,""),"")</f>
        <v/>
      </c>
      <c r="I399" s="71" t="str">
        <f>IFERROR(IF(DB_Customers!I393&lt;&gt;"",DB_Customers!I393,""),"")</f>
        <v/>
      </c>
      <c r="J399" s="69" t="str">
        <f>IFERROR(IF(DB_Customers!J393&lt;&gt;"",DB_Customers!J393,""),"")</f>
        <v/>
      </c>
      <c r="K399" s="68" t="str">
        <f>IFERROR(IF(DB_Customers!E393&lt;&gt;"",DB_Customers!E393,""),"")</f>
        <v/>
      </c>
      <c r="L399" s="68" t="str">
        <f>IFERROR(IF(DB_Customers!F393&lt;&gt;"",DB_Customers!F393,""),"")</f>
        <v/>
      </c>
      <c r="M399" s="68" t="str">
        <f>IFERROR(IF(DB_Customers!T393&lt;&gt;"",DB_Customers!T393,""),"")</f>
        <v/>
      </c>
      <c r="N399" s="72" t="str">
        <f>IFERROR(IF(DB_Customers!A393&lt;&gt;"",IF(DB_Customers!I393&gt;=10,"Active","Inactive"),""),"")</f>
        <v/>
      </c>
    </row>
    <row r="400" spans="1:14" ht="18" customHeight="1" x14ac:dyDescent="0.25">
      <c r="A400" s="59" t="str">
        <f>IF(DB_Customers!A394&lt;&gt;"",391,"")</f>
        <v/>
      </c>
      <c r="B400" s="60" t="str">
        <f>IFERROR(IF(DB_Customers!A394&lt;&gt;"",DB_Customers!A394,""),"")</f>
        <v/>
      </c>
      <c r="C400" s="61" t="str">
        <f>IFERROR(IF(DB_Customers!D394&lt;&gt;"",DB_Customers!D394,""),"")</f>
        <v/>
      </c>
      <c r="D400" s="62" t="str">
        <f>IFERROR(IF(DB_Customers!Q394&lt;&gt;"",DB_Customers!Q394,""),"")</f>
        <v/>
      </c>
      <c r="E400" s="61" t="str">
        <f>IFERROR(IF(DB_Customers!R394&lt;&gt;"",DB_Customers!R394,""),"")</f>
        <v/>
      </c>
      <c r="F400" s="61" t="str">
        <f>IFERROR(IF(DB_Customers!S394&lt;&gt;"",DB_Customers!S394,""),"")</f>
        <v/>
      </c>
      <c r="G400" s="61" t="str">
        <f>IFERROR(IF(DB_Customers!G394&lt;&gt;"",DB_Customers!G394,""),"")</f>
        <v/>
      </c>
      <c r="H400" s="63" t="str">
        <f>IFERROR(IF(DB_Customers!H394&lt;&gt;"",DB_Customers!H394,""),"")</f>
        <v/>
      </c>
      <c r="I400" s="64" t="str">
        <f>IFERROR(IF(DB_Customers!I394&lt;&gt;"",DB_Customers!I394,""),"")</f>
        <v/>
      </c>
      <c r="J400" s="62" t="str">
        <f>IFERROR(IF(DB_Customers!J394&lt;&gt;"",DB_Customers!J394,""),"")</f>
        <v/>
      </c>
      <c r="K400" s="61" t="str">
        <f>IFERROR(IF(DB_Customers!E394&lt;&gt;"",DB_Customers!E394,""),"")</f>
        <v/>
      </c>
      <c r="L400" s="61" t="str">
        <f>IFERROR(IF(DB_Customers!F394&lt;&gt;"",DB_Customers!F394,""),"")</f>
        <v/>
      </c>
      <c r="M400" s="61" t="str">
        <f>IFERROR(IF(DB_Customers!T394&lt;&gt;"",DB_Customers!T394,""),"")</f>
        <v/>
      </c>
      <c r="N400" s="65" t="str">
        <f>IFERROR(IF(DB_Customers!A394&lt;&gt;"",IF(DB_Customers!I394&gt;=10,"Active","Inactive"),""),"")</f>
        <v/>
      </c>
    </row>
    <row r="401" spans="1:14" ht="18" customHeight="1" x14ac:dyDescent="0.25">
      <c r="A401" s="66" t="str">
        <f>IF(DB_Customers!A395&lt;&gt;"",392,"")</f>
        <v/>
      </c>
      <c r="B401" s="67" t="str">
        <f>IFERROR(IF(DB_Customers!A395&lt;&gt;"",DB_Customers!A395,""),"")</f>
        <v/>
      </c>
      <c r="C401" s="68" t="str">
        <f>IFERROR(IF(DB_Customers!D395&lt;&gt;"",DB_Customers!D395,""),"")</f>
        <v/>
      </c>
      <c r="D401" s="69" t="str">
        <f>IFERROR(IF(DB_Customers!Q395&lt;&gt;"",DB_Customers!Q395,""),"")</f>
        <v/>
      </c>
      <c r="E401" s="68" t="str">
        <f>IFERROR(IF(DB_Customers!R395&lt;&gt;"",DB_Customers!R395,""),"")</f>
        <v/>
      </c>
      <c r="F401" s="68" t="str">
        <f>IFERROR(IF(DB_Customers!S395&lt;&gt;"",DB_Customers!S395,""),"")</f>
        <v/>
      </c>
      <c r="G401" s="68" t="str">
        <f>IFERROR(IF(DB_Customers!G395&lt;&gt;"",DB_Customers!G395,""),"")</f>
        <v/>
      </c>
      <c r="H401" s="70" t="str">
        <f>IFERROR(IF(DB_Customers!H395&lt;&gt;"",DB_Customers!H395,""),"")</f>
        <v/>
      </c>
      <c r="I401" s="71" t="str">
        <f>IFERROR(IF(DB_Customers!I395&lt;&gt;"",DB_Customers!I395,""),"")</f>
        <v/>
      </c>
      <c r="J401" s="69" t="str">
        <f>IFERROR(IF(DB_Customers!J395&lt;&gt;"",DB_Customers!J395,""),"")</f>
        <v/>
      </c>
      <c r="K401" s="68" t="str">
        <f>IFERROR(IF(DB_Customers!E395&lt;&gt;"",DB_Customers!E395,""),"")</f>
        <v/>
      </c>
      <c r="L401" s="68" t="str">
        <f>IFERROR(IF(DB_Customers!F395&lt;&gt;"",DB_Customers!F395,""),"")</f>
        <v/>
      </c>
      <c r="M401" s="68" t="str">
        <f>IFERROR(IF(DB_Customers!T395&lt;&gt;"",DB_Customers!T395,""),"")</f>
        <v/>
      </c>
      <c r="N401" s="72" t="str">
        <f>IFERROR(IF(DB_Customers!A395&lt;&gt;"",IF(DB_Customers!I395&gt;=10,"Active","Inactive"),""),"")</f>
        <v/>
      </c>
    </row>
    <row r="402" spans="1:14" ht="18" customHeight="1" x14ac:dyDescent="0.25">
      <c r="A402" s="59" t="str">
        <f>IF(DB_Customers!A396&lt;&gt;"",393,"")</f>
        <v/>
      </c>
      <c r="B402" s="60" t="str">
        <f>IFERROR(IF(DB_Customers!A396&lt;&gt;"",DB_Customers!A396,""),"")</f>
        <v/>
      </c>
      <c r="C402" s="61" t="str">
        <f>IFERROR(IF(DB_Customers!D396&lt;&gt;"",DB_Customers!D396,""),"")</f>
        <v/>
      </c>
      <c r="D402" s="62" t="str">
        <f>IFERROR(IF(DB_Customers!Q396&lt;&gt;"",DB_Customers!Q396,""),"")</f>
        <v/>
      </c>
      <c r="E402" s="61" t="str">
        <f>IFERROR(IF(DB_Customers!R396&lt;&gt;"",DB_Customers!R396,""),"")</f>
        <v/>
      </c>
      <c r="F402" s="61" t="str">
        <f>IFERROR(IF(DB_Customers!S396&lt;&gt;"",DB_Customers!S396,""),"")</f>
        <v/>
      </c>
      <c r="G402" s="61" t="str">
        <f>IFERROR(IF(DB_Customers!G396&lt;&gt;"",DB_Customers!G396,""),"")</f>
        <v/>
      </c>
      <c r="H402" s="63" t="str">
        <f>IFERROR(IF(DB_Customers!H396&lt;&gt;"",DB_Customers!H396,""),"")</f>
        <v/>
      </c>
      <c r="I402" s="64" t="str">
        <f>IFERROR(IF(DB_Customers!I396&lt;&gt;"",DB_Customers!I396,""),"")</f>
        <v/>
      </c>
      <c r="J402" s="62" t="str">
        <f>IFERROR(IF(DB_Customers!J396&lt;&gt;"",DB_Customers!J396,""),"")</f>
        <v/>
      </c>
      <c r="K402" s="61" t="str">
        <f>IFERROR(IF(DB_Customers!E396&lt;&gt;"",DB_Customers!E396,""),"")</f>
        <v/>
      </c>
      <c r="L402" s="61" t="str">
        <f>IFERROR(IF(DB_Customers!F396&lt;&gt;"",DB_Customers!F396,""),"")</f>
        <v/>
      </c>
      <c r="M402" s="61" t="str">
        <f>IFERROR(IF(DB_Customers!T396&lt;&gt;"",DB_Customers!T396,""),"")</f>
        <v/>
      </c>
      <c r="N402" s="65" t="str">
        <f>IFERROR(IF(DB_Customers!A396&lt;&gt;"",IF(DB_Customers!I396&gt;=10,"Active","Inactive"),""),"")</f>
        <v/>
      </c>
    </row>
    <row r="403" spans="1:14" ht="18" customHeight="1" x14ac:dyDescent="0.25">
      <c r="A403" s="66" t="str">
        <f>IF(DB_Customers!A397&lt;&gt;"",394,"")</f>
        <v/>
      </c>
      <c r="B403" s="67" t="str">
        <f>IFERROR(IF(DB_Customers!A397&lt;&gt;"",DB_Customers!A397,""),"")</f>
        <v/>
      </c>
      <c r="C403" s="68" t="str">
        <f>IFERROR(IF(DB_Customers!D397&lt;&gt;"",DB_Customers!D397,""),"")</f>
        <v/>
      </c>
      <c r="D403" s="69" t="str">
        <f>IFERROR(IF(DB_Customers!Q397&lt;&gt;"",DB_Customers!Q397,""),"")</f>
        <v/>
      </c>
      <c r="E403" s="68" t="str">
        <f>IFERROR(IF(DB_Customers!R397&lt;&gt;"",DB_Customers!R397,""),"")</f>
        <v/>
      </c>
      <c r="F403" s="68" t="str">
        <f>IFERROR(IF(DB_Customers!S397&lt;&gt;"",DB_Customers!S397,""),"")</f>
        <v/>
      </c>
      <c r="G403" s="68" t="str">
        <f>IFERROR(IF(DB_Customers!G397&lt;&gt;"",DB_Customers!G397,""),"")</f>
        <v/>
      </c>
      <c r="H403" s="70" t="str">
        <f>IFERROR(IF(DB_Customers!H397&lt;&gt;"",DB_Customers!H397,""),"")</f>
        <v/>
      </c>
      <c r="I403" s="71" t="str">
        <f>IFERROR(IF(DB_Customers!I397&lt;&gt;"",DB_Customers!I397,""),"")</f>
        <v/>
      </c>
      <c r="J403" s="69" t="str">
        <f>IFERROR(IF(DB_Customers!J397&lt;&gt;"",DB_Customers!J397,""),"")</f>
        <v/>
      </c>
      <c r="K403" s="68" t="str">
        <f>IFERROR(IF(DB_Customers!E397&lt;&gt;"",DB_Customers!E397,""),"")</f>
        <v/>
      </c>
      <c r="L403" s="68" t="str">
        <f>IFERROR(IF(DB_Customers!F397&lt;&gt;"",DB_Customers!F397,""),"")</f>
        <v/>
      </c>
      <c r="M403" s="68" t="str">
        <f>IFERROR(IF(DB_Customers!T397&lt;&gt;"",DB_Customers!T397,""),"")</f>
        <v/>
      </c>
      <c r="N403" s="72" t="str">
        <f>IFERROR(IF(DB_Customers!A397&lt;&gt;"",IF(DB_Customers!I397&gt;=10,"Active","Inactive"),""),"")</f>
        <v/>
      </c>
    </row>
    <row r="404" spans="1:14" ht="18" customHeight="1" x14ac:dyDescent="0.25">
      <c r="A404" s="59" t="str">
        <f>IF(DB_Customers!A398&lt;&gt;"",395,"")</f>
        <v/>
      </c>
      <c r="B404" s="60" t="str">
        <f>IFERROR(IF(DB_Customers!A398&lt;&gt;"",DB_Customers!A398,""),"")</f>
        <v/>
      </c>
      <c r="C404" s="61" t="str">
        <f>IFERROR(IF(DB_Customers!D398&lt;&gt;"",DB_Customers!D398,""),"")</f>
        <v/>
      </c>
      <c r="D404" s="62" t="str">
        <f>IFERROR(IF(DB_Customers!Q398&lt;&gt;"",DB_Customers!Q398,""),"")</f>
        <v/>
      </c>
      <c r="E404" s="61" t="str">
        <f>IFERROR(IF(DB_Customers!R398&lt;&gt;"",DB_Customers!R398,""),"")</f>
        <v/>
      </c>
      <c r="F404" s="61" t="str">
        <f>IFERROR(IF(DB_Customers!S398&lt;&gt;"",DB_Customers!S398,""),"")</f>
        <v/>
      </c>
      <c r="G404" s="61" t="str">
        <f>IFERROR(IF(DB_Customers!G398&lt;&gt;"",DB_Customers!G398,""),"")</f>
        <v/>
      </c>
      <c r="H404" s="63" t="str">
        <f>IFERROR(IF(DB_Customers!H398&lt;&gt;"",DB_Customers!H398,""),"")</f>
        <v/>
      </c>
      <c r="I404" s="64" t="str">
        <f>IFERROR(IF(DB_Customers!I398&lt;&gt;"",DB_Customers!I398,""),"")</f>
        <v/>
      </c>
      <c r="J404" s="62" t="str">
        <f>IFERROR(IF(DB_Customers!J398&lt;&gt;"",DB_Customers!J398,""),"")</f>
        <v/>
      </c>
      <c r="K404" s="61" t="str">
        <f>IFERROR(IF(DB_Customers!E398&lt;&gt;"",DB_Customers!E398,""),"")</f>
        <v/>
      </c>
      <c r="L404" s="61" t="str">
        <f>IFERROR(IF(DB_Customers!F398&lt;&gt;"",DB_Customers!F398,""),"")</f>
        <v/>
      </c>
      <c r="M404" s="61" t="str">
        <f>IFERROR(IF(DB_Customers!T398&lt;&gt;"",DB_Customers!T398,""),"")</f>
        <v/>
      </c>
      <c r="N404" s="65" t="str">
        <f>IFERROR(IF(DB_Customers!A398&lt;&gt;"",IF(DB_Customers!I398&gt;=10,"Active","Inactive"),""),"")</f>
        <v/>
      </c>
    </row>
    <row r="405" spans="1:14" ht="18" customHeight="1" x14ac:dyDescent="0.25">
      <c r="A405" s="66" t="str">
        <f>IF(DB_Customers!A399&lt;&gt;"",396,"")</f>
        <v/>
      </c>
      <c r="B405" s="67" t="str">
        <f>IFERROR(IF(DB_Customers!A399&lt;&gt;"",DB_Customers!A399,""),"")</f>
        <v/>
      </c>
      <c r="C405" s="68" t="str">
        <f>IFERROR(IF(DB_Customers!D399&lt;&gt;"",DB_Customers!D399,""),"")</f>
        <v/>
      </c>
      <c r="D405" s="69" t="str">
        <f>IFERROR(IF(DB_Customers!Q399&lt;&gt;"",DB_Customers!Q399,""),"")</f>
        <v/>
      </c>
      <c r="E405" s="68" t="str">
        <f>IFERROR(IF(DB_Customers!R399&lt;&gt;"",DB_Customers!R399,""),"")</f>
        <v/>
      </c>
      <c r="F405" s="68" t="str">
        <f>IFERROR(IF(DB_Customers!S399&lt;&gt;"",DB_Customers!S399,""),"")</f>
        <v/>
      </c>
      <c r="G405" s="68" t="str">
        <f>IFERROR(IF(DB_Customers!G399&lt;&gt;"",DB_Customers!G399,""),"")</f>
        <v/>
      </c>
      <c r="H405" s="70" t="str">
        <f>IFERROR(IF(DB_Customers!H399&lt;&gt;"",DB_Customers!H399,""),"")</f>
        <v/>
      </c>
      <c r="I405" s="71" t="str">
        <f>IFERROR(IF(DB_Customers!I399&lt;&gt;"",DB_Customers!I399,""),"")</f>
        <v/>
      </c>
      <c r="J405" s="69" t="str">
        <f>IFERROR(IF(DB_Customers!J399&lt;&gt;"",DB_Customers!J399,""),"")</f>
        <v/>
      </c>
      <c r="K405" s="68" t="str">
        <f>IFERROR(IF(DB_Customers!E399&lt;&gt;"",DB_Customers!E399,""),"")</f>
        <v/>
      </c>
      <c r="L405" s="68" t="str">
        <f>IFERROR(IF(DB_Customers!F399&lt;&gt;"",DB_Customers!F399,""),"")</f>
        <v/>
      </c>
      <c r="M405" s="68" t="str">
        <f>IFERROR(IF(DB_Customers!T399&lt;&gt;"",DB_Customers!T399,""),"")</f>
        <v/>
      </c>
      <c r="N405" s="72" t="str">
        <f>IFERROR(IF(DB_Customers!A399&lt;&gt;"",IF(DB_Customers!I399&gt;=10,"Active","Inactive"),""),"")</f>
        <v/>
      </c>
    </row>
    <row r="406" spans="1:14" ht="18" customHeight="1" x14ac:dyDescent="0.25">
      <c r="A406" s="59" t="str">
        <f>IF(DB_Customers!A400&lt;&gt;"",397,"")</f>
        <v/>
      </c>
      <c r="B406" s="60" t="str">
        <f>IFERROR(IF(DB_Customers!A400&lt;&gt;"",DB_Customers!A400,""),"")</f>
        <v/>
      </c>
      <c r="C406" s="61" t="str">
        <f>IFERROR(IF(DB_Customers!D400&lt;&gt;"",DB_Customers!D400,""),"")</f>
        <v/>
      </c>
      <c r="D406" s="62" t="str">
        <f>IFERROR(IF(DB_Customers!Q400&lt;&gt;"",DB_Customers!Q400,""),"")</f>
        <v/>
      </c>
      <c r="E406" s="61" t="str">
        <f>IFERROR(IF(DB_Customers!R400&lt;&gt;"",DB_Customers!R400,""),"")</f>
        <v/>
      </c>
      <c r="F406" s="61" t="str">
        <f>IFERROR(IF(DB_Customers!S400&lt;&gt;"",DB_Customers!S400,""),"")</f>
        <v/>
      </c>
      <c r="G406" s="61" t="str">
        <f>IFERROR(IF(DB_Customers!G400&lt;&gt;"",DB_Customers!G400,""),"")</f>
        <v/>
      </c>
      <c r="H406" s="63" t="str">
        <f>IFERROR(IF(DB_Customers!H400&lt;&gt;"",DB_Customers!H400,""),"")</f>
        <v/>
      </c>
      <c r="I406" s="64" t="str">
        <f>IFERROR(IF(DB_Customers!I400&lt;&gt;"",DB_Customers!I400,""),"")</f>
        <v/>
      </c>
      <c r="J406" s="62" t="str">
        <f>IFERROR(IF(DB_Customers!J400&lt;&gt;"",DB_Customers!J400,""),"")</f>
        <v/>
      </c>
      <c r="K406" s="61" t="str">
        <f>IFERROR(IF(DB_Customers!E400&lt;&gt;"",DB_Customers!E400,""),"")</f>
        <v/>
      </c>
      <c r="L406" s="61" t="str">
        <f>IFERROR(IF(DB_Customers!F400&lt;&gt;"",DB_Customers!F400,""),"")</f>
        <v/>
      </c>
      <c r="M406" s="61" t="str">
        <f>IFERROR(IF(DB_Customers!T400&lt;&gt;"",DB_Customers!T400,""),"")</f>
        <v/>
      </c>
      <c r="N406" s="65" t="str">
        <f>IFERROR(IF(DB_Customers!A400&lt;&gt;"",IF(DB_Customers!I400&gt;=10,"Active","Inactive"),""),"")</f>
        <v/>
      </c>
    </row>
    <row r="407" spans="1:14" ht="18" customHeight="1" x14ac:dyDescent="0.25">
      <c r="A407" s="66" t="str">
        <f>IF(DB_Customers!A401&lt;&gt;"",398,"")</f>
        <v/>
      </c>
      <c r="B407" s="67" t="str">
        <f>IFERROR(IF(DB_Customers!A401&lt;&gt;"",DB_Customers!A401,""),"")</f>
        <v/>
      </c>
      <c r="C407" s="68" t="str">
        <f>IFERROR(IF(DB_Customers!D401&lt;&gt;"",DB_Customers!D401,""),"")</f>
        <v/>
      </c>
      <c r="D407" s="69" t="str">
        <f>IFERROR(IF(DB_Customers!Q401&lt;&gt;"",DB_Customers!Q401,""),"")</f>
        <v/>
      </c>
      <c r="E407" s="68" t="str">
        <f>IFERROR(IF(DB_Customers!R401&lt;&gt;"",DB_Customers!R401,""),"")</f>
        <v/>
      </c>
      <c r="F407" s="68" t="str">
        <f>IFERROR(IF(DB_Customers!S401&lt;&gt;"",DB_Customers!S401,""),"")</f>
        <v/>
      </c>
      <c r="G407" s="68" t="str">
        <f>IFERROR(IF(DB_Customers!G401&lt;&gt;"",DB_Customers!G401,""),"")</f>
        <v/>
      </c>
      <c r="H407" s="70" t="str">
        <f>IFERROR(IF(DB_Customers!H401&lt;&gt;"",DB_Customers!H401,""),"")</f>
        <v/>
      </c>
      <c r="I407" s="71" t="str">
        <f>IFERROR(IF(DB_Customers!I401&lt;&gt;"",DB_Customers!I401,""),"")</f>
        <v/>
      </c>
      <c r="J407" s="69" t="str">
        <f>IFERROR(IF(DB_Customers!J401&lt;&gt;"",DB_Customers!J401,""),"")</f>
        <v/>
      </c>
      <c r="K407" s="68" t="str">
        <f>IFERROR(IF(DB_Customers!E401&lt;&gt;"",DB_Customers!E401,""),"")</f>
        <v/>
      </c>
      <c r="L407" s="68" t="str">
        <f>IFERROR(IF(DB_Customers!F401&lt;&gt;"",DB_Customers!F401,""),"")</f>
        <v/>
      </c>
      <c r="M407" s="68" t="str">
        <f>IFERROR(IF(DB_Customers!T401&lt;&gt;"",DB_Customers!T401,""),"")</f>
        <v/>
      </c>
      <c r="N407" s="72" t="str">
        <f>IFERROR(IF(DB_Customers!A401&lt;&gt;"",IF(DB_Customers!I401&gt;=10,"Active","Inactive"),""),"")</f>
        <v/>
      </c>
    </row>
    <row r="408" spans="1:14" ht="18" customHeight="1" x14ac:dyDescent="0.25">
      <c r="A408" s="59" t="str">
        <f>IF(DB_Customers!A402&lt;&gt;"",399,"")</f>
        <v/>
      </c>
      <c r="B408" s="60" t="str">
        <f>IFERROR(IF(DB_Customers!A402&lt;&gt;"",DB_Customers!A402,""),"")</f>
        <v/>
      </c>
      <c r="C408" s="61" t="str">
        <f>IFERROR(IF(DB_Customers!D402&lt;&gt;"",DB_Customers!D402,""),"")</f>
        <v/>
      </c>
      <c r="D408" s="62" t="str">
        <f>IFERROR(IF(DB_Customers!Q402&lt;&gt;"",DB_Customers!Q402,""),"")</f>
        <v/>
      </c>
      <c r="E408" s="61" t="str">
        <f>IFERROR(IF(DB_Customers!R402&lt;&gt;"",DB_Customers!R402,""),"")</f>
        <v/>
      </c>
      <c r="F408" s="61" t="str">
        <f>IFERROR(IF(DB_Customers!S402&lt;&gt;"",DB_Customers!S402,""),"")</f>
        <v/>
      </c>
      <c r="G408" s="61" t="str">
        <f>IFERROR(IF(DB_Customers!G402&lt;&gt;"",DB_Customers!G402,""),"")</f>
        <v/>
      </c>
      <c r="H408" s="63" t="str">
        <f>IFERROR(IF(DB_Customers!H402&lt;&gt;"",DB_Customers!H402,""),"")</f>
        <v/>
      </c>
      <c r="I408" s="64" t="str">
        <f>IFERROR(IF(DB_Customers!I402&lt;&gt;"",DB_Customers!I402,""),"")</f>
        <v/>
      </c>
      <c r="J408" s="62" t="str">
        <f>IFERROR(IF(DB_Customers!J402&lt;&gt;"",DB_Customers!J402,""),"")</f>
        <v/>
      </c>
      <c r="K408" s="61" t="str">
        <f>IFERROR(IF(DB_Customers!E402&lt;&gt;"",DB_Customers!E402,""),"")</f>
        <v/>
      </c>
      <c r="L408" s="61" t="str">
        <f>IFERROR(IF(DB_Customers!F402&lt;&gt;"",DB_Customers!F402,""),"")</f>
        <v/>
      </c>
      <c r="M408" s="61" t="str">
        <f>IFERROR(IF(DB_Customers!T402&lt;&gt;"",DB_Customers!T402,""),"")</f>
        <v/>
      </c>
      <c r="N408" s="65" t="str">
        <f>IFERROR(IF(DB_Customers!A402&lt;&gt;"",IF(DB_Customers!I402&gt;=10,"Active","Inactive"),""),"")</f>
        <v/>
      </c>
    </row>
    <row r="409" spans="1:14" ht="18" customHeight="1" x14ac:dyDescent="0.25">
      <c r="A409" s="66" t="str">
        <f>IF(DB_Customers!A403&lt;&gt;"",400,"")</f>
        <v/>
      </c>
      <c r="B409" s="67" t="str">
        <f>IFERROR(IF(DB_Customers!A403&lt;&gt;"",DB_Customers!A403,""),"")</f>
        <v/>
      </c>
      <c r="C409" s="68" t="str">
        <f>IFERROR(IF(DB_Customers!D403&lt;&gt;"",DB_Customers!D403,""),"")</f>
        <v/>
      </c>
      <c r="D409" s="69" t="str">
        <f>IFERROR(IF(DB_Customers!Q403&lt;&gt;"",DB_Customers!Q403,""),"")</f>
        <v/>
      </c>
      <c r="E409" s="68" t="str">
        <f>IFERROR(IF(DB_Customers!R403&lt;&gt;"",DB_Customers!R403,""),"")</f>
        <v/>
      </c>
      <c r="F409" s="68" t="str">
        <f>IFERROR(IF(DB_Customers!S403&lt;&gt;"",DB_Customers!S403,""),"")</f>
        <v/>
      </c>
      <c r="G409" s="68" t="str">
        <f>IFERROR(IF(DB_Customers!G403&lt;&gt;"",DB_Customers!G403,""),"")</f>
        <v/>
      </c>
      <c r="H409" s="70" t="str">
        <f>IFERROR(IF(DB_Customers!H403&lt;&gt;"",DB_Customers!H403,""),"")</f>
        <v/>
      </c>
      <c r="I409" s="71" t="str">
        <f>IFERROR(IF(DB_Customers!I403&lt;&gt;"",DB_Customers!I403,""),"")</f>
        <v/>
      </c>
      <c r="J409" s="69" t="str">
        <f>IFERROR(IF(DB_Customers!J403&lt;&gt;"",DB_Customers!J403,""),"")</f>
        <v/>
      </c>
      <c r="K409" s="68" t="str">
        <f>IFERROR(IF(DB_Customers!E403&lt;&gt;"",DB_Customers!E403,""),"")</f>
        <v/>
      </c>
      <c r="L409" s="68" t="str">
        <f>IFERROR(IF(DB_Customers!F403&lt;&gt;"",DB_Customers!F403,""),"")</f>
        <v/>
      </c>
      <c r="M409" s="68" t="str">
        <f>IFERROR(IF(DB_Customers!T403&lt;&gt;"",DB_Customers!T403,""),"")</f>
        <v/>
      </c>
      <c r="N409" s="72" t="str">
        <f>IFERROR(IF(DB_Customers!A403&lt;&gt;"",IF(DB_Customers!I403&gt;=10,"Active","Inactive"),""),"")</f>
        <v/>
      </c>
    </row>
    <row r="410" spans="1:14" ht="18" customHeight="1" x14ac:dyDescent="0.25">
      <c r="A410" s="59" t="str">
        <f>IF(DB_Customers!A404&lt;&gt;"",401,"")</f>
        <v/>
      </c>
      <c r="B410" s="60" t="str">
        <f>IFERROR(IF(DB_Customers!A404&lt;&gt;"",DB_Customers!A404,""),"")</f>
        <v/>
      </c>
      <c r="C410" s="61" t="str">
        <f>IFERROR(IF(DB_Customers!D404&lt;&gt;"",DB_Customers!D404,""),"")</f>
        <v/>
      </c>
      <c r="D410" s="62" t="str">
        <f>IFERROR(IF(DB_Customers!Q404&lt;&gt;"",DB_Customers!Q404,""),"")</f>
        <v/>
      </c>
      <c r="E410" s="61" t="str">
        <f>IFERROR(IF(DB_Customers!R404&lt;&gt;"",DB_Customers!R404,""),"")</f>
        <v/>
      </c>
      <c r="F410" s="61" t="str">
        <f>IFERROR(IF(DB_Customers!S404&lt;&gt;"",DB_Customers!S404,""),"")</f>
        <v/>
      </c>
      <c r="G410" s="61" t="str">
        <f>IFERROR(IF(DB_Customers!G404&lt;&gt;"",DB_Customers!G404,""),"")</f>
        <v/>
      </c>
      <c r="H410" s="63" t="str">
        <f>IFERROR(IF(DB_Customers!H404&lt;&gt;"",DB_Customers!H404,""),"")</f>
        <v/>
      </c>
      <c r="I410" s="64" t="str">
        <f>IFERROR(IF(DB_Customers!I404&lt;&gt;"",DB_Customers!I404,""),"")</f>
        <v/>
      </c>
      <c r="J410" s="62" t="str">
        <f>IFERROR(IF(DB_Customers!J404&lt;&gt;"",DB_Customers!J404,""),"")</f>
        <v/>
      </c>
      <c r="K410" s="61" t="str">
        <f>IFERROR(IF(DB_Customers!E404&lt;&gt;"",DB_Customers!E404,""),"")</f>
        <v/>
      </c>
      <c r="L410" s="61" t="str">
        <f>IFERROR(IF(DB_Customers!F404&lt;&gt;"",DB_Customers!F404,""),"")</f>
        <v/>
      </c>
      <c r="M410" s="61" t="str">
        <f>IFERROR(IF(DB_Customers!T404&lt;&gt;"",DB_Customers!T404,""),"")</f>
        <v/>
      </c>
      <c r="N410" s="65" t="str">
        <f>IFERROR(IF(DB_Customers!A404&lt;&gt;"",IF(DB_Customers!I404&gt;=10,"Active","Inactive"),""),"")</f>
        <v/>
      </c>
    </row>
    <row r="411" spans="1:14" ht="18" customHeight="1" x14ac:dyDescent="0.25">
      <c r="A411" s="66" t="str">
        <f>IF(DB_Customers!A405&lt;&gt;"",402,"")</f>
        <v/>
      </c>
      <c r="B411" s="67" t="str">
        <f>IFERROR(IF(DB_Customers!A405&lt;&gt;"",DB_Customers!A405,""),"")</f>
        <v/>
      </c>
      <c r="C411" s="68" t="str">
        <f>IFERROR(IF(DB_Customers!D405&lt;&gt;"",DB_Customers!D405,""),"")</f>
        <v/>
      </c>
      <c r="D411" s="69" t="str">
        <f>IFERROR(IF(DB_Customers!Q405&lt;&gt;"",DB_Customers!Q405,""),"")</f>
        <v/>
      </c>
      <c r="E411" s="68" t="str">
        <f>IFERROR(IF(DB_Customers!R405&lt;&gt;"",DB_Customers!R405,""),"")</f>
        <v/>
      </c>
      <c r="F411" s="68" t="str">
        <f>IFERROR(IF(DB_Customers!S405&lt;&gt;"",DB_Customers!S405,""),"")</f>
        <v/>
      </c>
      <c r="G411" s="68" t="str">
        <f>IFERROR(IF(DB_Customers!G405&lt;&gt;"",DB_Customers!G405,""),"")</f>
        <v/>
      </c>
      <c r="H411" s="70" t="str">
        <f>IFERROR(IF(DB_Customers!H405&lt;&gt;"",DB_Customers!H405,""),"")</f>
        <v/>
      </c>
      <c r="I411" s="71" t="str">
        <f>IFERROR(IF(DB_Customers!I405&lt;&gt;"",DB_Customers!I405,""),"")</f>
        <v/>
      </c>
      <c r="J411" s="69" t="str">
        <f>IFERROR(IF(DB_Customers!J405&lt;&gt;"",DB_Customers!J405,""),"")</f>
        <v/>
      </c>
      <c r="K411" s="68" t="str">
        <f>IFERROR(IF(DB_Customers!E405&lt;&gt;"",DB_Customers!E405,""),"")</f>
        <v/>
      </c>
      <c r="L411" s="68" t="str">
        <f>IFERROR(IF(DB_Customers!F405&lt;&gt;"",DB_Customers!F405,""),"")</f>
        <v/>
      </c>
      <c r="M411" s="68" t="str">
        <f>IFERROR(IF(DB_Customers!T405&lt;&gt;"",DB_Customers!T405,""),"")</f>
        <v/>
      </c>
      <c r="N411" s="72" t="str">
        <f>IFERROR(IF(DB_Customers!A405&lt;&gt;"",IF(DB_Customers!I405&gt;=10,"Active","Inactive"),""),"")</f>
        <v/>
      </c>
    </row>
    <row r="412" spans="1:14" ht="18" customHeight="1" x14ac:dyDescent="0.25">
      <c r="A412" s="59" t="str">
        <f>IF(DB_Customers!A406&lt;&gt;"",403,"")</f>
        <v/>
      </c>
      <c r="B412" s="60" t="str">
        <f>IFERROR(IF(DB_Customers!A406&lt;&gt;"",DB_Customers!A406,""),"")</f>
        <v/>
      </c>
      <c r="C412" s="61" t="str">
        <f>IFERROR(IF(DB_Customers!D406&lt;&gt;"",DB_Customers!D406,""),"")</f>
        <v/>
      </c>
      <c r="D412" s="62" t="str">
        <f>IFERROR(IF(DB_Customers!Q406&lt;&gt;"",DB_Customers!Q406,""),"")</f>
        <v/>
      </c>
      <c r="E412" s="61" t="str">
        <f>IFERROR(IF(DB_Customers!R406&lt;&gt;"",DB_Customers!R406,""),"")</f>
        <v/>
      </c>
      <c r="F412" s="61" t="str">
        <f>IFERROR(IF(DB_Customers!S406&lt;&gt;"",DB_Customers!S406,""),"")</f>
        <v/>
      </c>
      <c r="G412" s="61" t="str">
        <f>IFERROR(IF(DB_Customers!G406&lt;&gt;"",DB_Customers!G406,""),"")</f>
        <v/>
      </c>
      <c r="H412" s="63" t="str">
        <f>IFERROR(IF(DB_Customers!H406&lt;&gt;"",DB_Customers!H406,""),"")</f>
        <v/>
      </c>
      <c r="I412" s="64" t="str">
        <f>IFERROR(IF(DB_Customers!I406&lt;&gt;"",DB_Customers!I406,""),"")</f>
        <v/>
      </c>
      <c r="J412" s="62" t="str">
        <f>IFERROR(IF(DB_Customers!J406&lt;&gt;"",DB_Customers!J406,""),"")</f>
        <v/>
      </c>
      <c r="K412" s="61" t="str">
        <f>IFERROR(IF(DB_Customers!E406&lt;&gt;"",DB_Customers!E406,""),"")</f>
        <v/>
      </c>
      <c r="L412" s="61" t="str">
        <f>IFERROR(IF(DB_Customers!F406&lt;&gt;"",DB_Customers!F406,""),"")</f>
        <v/>
      </c>
      <c r="M412" s="61" t="str">
        <f>IFERROR(IF(DB_Customers!T406&lt;&gt;"",DB_Customers!T406,""),"")</f>
        <v/>
      </c>
      <c r="N412" s="65" t="str">
        <f>IFERROR(IF(DB_Customers!A406&lt;&gt;"",IF(DB_Customers!I406&gt;=10,"Active","Inactive"),""),"")</f>
        <v/>
      </c>
    </row>
    <row r="413" spans="1:14" ht="18" customHeight="1" x14ac:dyDescent="0.25">
      <c r="A413" s="66" t="str">
        <f>IF(DB_Customers!A407&lt;&gt;"",404,"")</f>
        <v/>
      </c>
      <c r="B413" s="67" t="str">
        <f>IFERROR(IF(DB_Customers!A407&lt;&gt;"",DB_Customers!A407,""),"")</f>
        <v/>
      </c>
      <c r="C413" s="68" t="str">
        <f>IFERROR(IF(DB_Customers!D407&lt;&gt;"",DB_Customers!D407,""),"")</f>
        <v/>
      </c>
      <c r="D413" s="69" t="str">
        <f>IFERROR(IF(DB_Customers!Q407&lt;&gt;"",DB_Customers!Q407,""),"")</f>
        <v/>
      </c>
      <c r="E413" s="68" t="str">
        <f>IFERROR(IF(DB_Customers!R407&lt;&gt;"",DB_Customers!R407,""),"")</f>
        <v/>
      </c>
      <c r="F413" s="68" t="str">
        <f>IFERROR(IF(DB_Customers!S407&lt;&gt;"",DB_Customers!S407,""),"")</f>
        <v/>
      </c>
      <c r="G413" s="68" t="str">
        <f>IFERROR(IF(DB_Customers!G407&lt;&gt;"",DB_Customers!G407,""),"")</f>
        <v/>
      </c>
      <c r="H413" s="70" t="str">
        <f>IFERROR(IF(DB_Customers!H407&lt;&gt;"",DB_Customers!H407,""),"")</f>
        <v/>
      </c>
      <c r="I413" s="71" t="str">
        <f>IFERROR(IF(DB_Customers!I407&lt;&gt;"",DB_Customers!I407,""),"")</f>
        <v/>
      </c>
      <c r="J413" s="69" t="str">
        <f>IFERROR(IF(DB_Customers!J407&lt;&gt;"",DB_Customers!J407,""),"")</f>
        <v/>
      </c>
      <c r="K413" s="68" t="str">
        <f>IFERROR(IF(DB_Customers!E407&lt;&gt;"",DB_Customers!E407,""),"")</f>
        <v/>
      </c>
      <c r="L413" s="68" t="str">
        <f>IFERROR(IF(DB_Customers!F407&lt;&gt;"",DB_Customers!F407,""),"")</f>
        <v/>
      </c>
      <c r="M413" s="68" t="str">
        <f>IFERROR(IF(DB_Customers!T407&lt;&gt;"",DB_Customers!T407,""),"")</f>
        <v/>
      </c>
      <c r="N413" s="72" t="str">
        <f>IFERROR(IF(DB_Customers!A407&lt;&gt;"",IF(DB_Customers!I407&gt;=10,"Active","Inactive"),""),"")</f>
        <v/>
      </c>
    </row>
    <row r="414" spans="1:14" ht="18" customHeight="1" x14ac:dyDescent="0.25">
      <c r="A414" s="59" t="str">
        <f>IF(DB_Customers!A408&lt;&gt;"",405,"")</f>
        <v/>
      </c>
      <c r="B414" s="60" t="str">
        <f>IFERROR(IF(DB_Customers!A408&lt;&gt;"",DB_Customers!A408,""),"")</f>
        <v/>
      </c>
      <c r="C414" s="61" t="str">
        <f>IFERROR(IF(DB_Customers!D408&lt;&gt;"",DB_Customers!D408,""),"")</f>
        <v/>
      </c>
      <c r="D414" s="62" t="str">
        <f>IFERROR(IF(DB_Customers!Q408&lt;&gt;"",DB_Customers!Q408,""),"")</f>
        <v/>
      </c>
      <c r="E414" s="61" t="str">
        <f>IFERROR(IF(DB_Customers!R408&lt;&gt;"",DB_Customers!R408,""),"")</f>
        <v/>
      </c>
      <c r="F414" s="61" t="str">
        <f>IFERROR(IF(DB_Customers!S408&lt;&gt;"",DB_Customers!S408,""),"")</f>
        <v/>
      </c>
      <c r="G414" s="61" t="str">
        <f>IFERROR(IF(DB_Customers!G408&lt;&gt;"",DB_Customers!G408,""),"")</f>
        <v/>
      </c>
      <c r="H414" s="63" t="str">
        <f>IFERROR(IF(DB_Customers!H408&lt;&gt;"",DB_Customers!H408,""),"")</f>
        <v/>
      </c>
      <c r="I414" s="64" t="str">
        <f>IFERROR(IF(DB_Customers!I408&lt;&gt;"",DB_Customers!I408,""),"")</f>
        <v/>
      </c>
      <c r="J414" s="62" t="str">
        <f>IFERROR(IF(DB_Customers!J408&lt;&gt;"",DB_Customers!J408,""),"")</f>
        <v/>
      </c>
      <c r="K414" s="61" t="str">
        <f>IFERROR(IF(DB_Customers!E408&lt;&gt;"",DB_Customers!E408,""),"")</f>
        <v/>
      </c>
      <c r="L414" s="61" t="str">
        <f>IFERROR(IF(DB_Customers!F408&lt;&gt;"",DB_Customers!F408,""),"")</f>
        <v/>
      </c>
      <c r="M414" s="61" t="str">
        <f>IFERROR(IF(DB_Customers!T408&lt;&gt;"",DB_Customers!T408,""),"")</f>
        <v/>
      </c>
      <c r="N414" s="65" t="str">
        <f>IFERROR(IF(DB_Customers!A408&lt;&gt;"",IF(DB_Customers!I408&gt;=10,"Active","Inactive"),""),"")</f>
        <v/>
      </c>
    </row>
    <row r="415" spans="1:14" ht="18" customHeight="1" x14ac:dyDescent="0.25">
      <c r="A415" s="66" t="str">
        <f>IF(DB_Customers!A409&lt;&gt;"",406,"")</f>
        <v/>
      </c>
      <c r="B415" s="67" t="str">
        <f>IFERROR(IF(DB_Customers!A409&lt;&gt;"",DB_Customers!A409,""),"")</f>
        <v/>
      </c>
      <c r="C415" s="68" t="str">
        <f>IFERROR(IF(DB_Customers!D409&lt;&gt;"",DB_Customers!D409,""),"")</f>
        <v/>
      </c>
      <c r="D415" s="69" t="str">
        <f>IFERROR(IF(DB_Customers!Q409&lt;&gt;"",DB_Customers!Q409,""),"")</f>
        <v/>
      </c>
      <c r="E415" s="68" t="str">
        <f>IFERROR(IF(DB_Customers!R409&lt;&gt;"",DB_Customers!R409,""),"")</f>
        <v/>
      </c>
      <c r="F415" s="68" t="str">
        <f>IFERROR(IF(DB_Customers!S409&lt;&gt;"",DB_Customers!S409,""),"")</f>
        <v/>
      </c>
      <c r="G415" s="68" t="str">
        <f>IFERROR(IF(DB_Customers!G409&lt;&gt;"",DB_Customers!G409,""),"")</f>
        <v/>
      </c>
      <c r="H415" s="70" t="str">
        <f>IFERROR(IF(DB_Customers!H409&lt;&gt;"",DB_Customers!H409,""),"")</f>
        <v/>
      </c>
      <c r="I415" s="71" t="str">
        <f>IFERROR(IF(DB_Customers!I409&lt;&gt;"",DB_Customers!I409,""),"")</f>
        <v/>
      </c>
      <c r="J415" s="69" t="str">
        <f>IFERROR(IF(DB_Customers!J409&lt;&gt;"",DB_Customers!J409,""),"")</f>
        <v/>
      </c>
      <c r="K415" s="68" t="str">
        <f>IFERROR(IF(DB_Customers!E409&lt;&gt;"",DB_Customers!E409,""),"")</f>
        <v/>
      </c>
      <c r="L415" s="68" t="str">
        <f>IFERROR(IF(DB_Customers!F409&lt;&gt;"",DB_Customers!F409,""),"")</f>
        <v/>
      </c>
      <c r="M415" s="68" t="str">
        <f>IFERROR(IF(DB_Customers!T409&lt;&gt;"",DB_Customers!T409,""),"")</f>
        <v/>
      </c>
      <c r="N415" s="72" t="str">
        <f>IFERROR(IF(DB_Customers!A409&lt;&gt;"",IF(DB_Customers!I409&gt;=10,"Active","Inactive"),""),"")</f>
        <v/>
      </c>
    </row>
    <row r="416" spans="1:14" ht="18" customHeight="1" x14ac:dyDescent="0.25">
      <c r="A416" s="59" t="str">
        <f>IF(DB_Customers!A410&lt;&gt;"",407,"")</f>
        <v/>
      </c>
      <c r="B416" s="60" t="str">
        <f>IFERROR(IF(DB_Customers!A410&lt;&gt;"",DB_Customers!A410,""),"")</f>
        <v/>
      </c>
      <c r="C416" s="61" t="str">
        <f>IFERROR(IF(DB_Customers!D410&lt;&gt;"",DB_Customers!D410,""),"")</f>
        <v/>
      </c>
      <c r="D416" s="62" t="str">
        <f>IFERROR(IF(DB_Customers!Q410&lt;&gt;"",DB_Customers!Q410,""),"")</f>
        <v/>
      </c>
      <c r="E416" s="61" t="str">
        <f>IFERROR(IF(DB_Customers!R410&lt;&gt;"",DB_Customers!R410,""),"")</f>
        <v/>
      </c>
      <c r="F416" s="61" t="str">
        <f>IFERROR(IF(DB_Customers!S410&lt;&gt;"",DB_Customers!S410,""),"")</f>
        <v/>
      </c>
      <c r="G416" s="61" t="str">
        <f>IFERROR(IF(DB_Customers!G410&lt;&gt;"",DB_Customers!G410,""),"")</f>
        <v/>
      </c>
      <c r="H416" s="63" t="str">
        <f>IFERROR(IF(DB_Customers!H410&lt;&gt;"",DB_Customers!H410,""),"")</f>
        <v/>
      </c>
      <c r="I416" s="64" t="str">
        <f>IFERROR(IF(DB_Customers!I410&lt;&gt;"",DB_Customers!I410,""),"")</f>
        <v/>
      </c>
      <c r="J416" s="62" t="str">
        <f>IFERROR(IF(DB_Customers!J410&lt;&gt;"",DB_Customers!J410,""),"")</f>
        <v/>
      </c>
      <c r="K416" s="61" t="str">
        <f>IFERROR(IF(DB_Customers!E410&lt;&gt;"",DB_Customers!E410,""),"")</f>
        <v/>
      </c>
      <c r="L416" s="61" t="str">
        <f>IFERROR(IF(DB_Customers!F410&lt;&gt;"",DB_Customers!F410,""),"")</f>
        <v/>
      </c>
      <c r="M416" s="61" t="str">
        <f>IFERROR(IF(DB_Customers!T410&lt;&gt;"",DB_Customers!T410,""),"")</f>
        <v/>
      </c>
      <c r="N416" s="65" t="str">
        <f>IFERROR(IF(DB_Customers!A410&lt;&gt;"",IF(DB_Customers!I410&gt;=10,"Active","Inactive"),""),"")</f>
        <v/>
      </c>
    </row>
    <row r="417" spans="1:14" ht="18" customHeight="1" x14ac:dyDescent="0.25">
      <c r="A417" s="66" t="str">
        <f>IF(DB_Customers!A411&lt;&gt;"",408,"")</f>
        <v/>
      </c>
      <c r="B417" s="67" t="str">
        <f>IFERROR(IF(DB_Customers!A411&lt;&gt;"",DB_Customers!A411,""),"")</f>
        <v/>
      </c>
      <c r="C417" s="68" t="str">
        <f>IFERROR(IF(DB_Customers!D411&lt;&gt;"",DB_Customers!D411,""),"")</f>
        <v/>
      </c>
      <c r="D417" s="69" t="str">
        <f>IFERROR(IF(DB_Customers!Q411&lt;&gt;"",DB_Customers!Q411,""),"")</f>
        <v/>
      </c>
      <c r="E417" s="68" t="str">
        <f>IFERROR(IF(DB_Customers!R411&lt;&gt;"",DB_Customers!R411,""),"")</f>
        <v/>
      </c>
      <c r="F417" s="68" t="str">
        <f>IFERROR(IF(DB_Customers!S411&lt;&gt;"",DB_Customers!S411,""),"")</f>
        <v/>
      </c>
      <c r="G417" s="68" t="str">
        <f>IFERROR(IF(DB_Customers!G411&lt;&gt;"",DB_Customers!G411,""),"")</f>
        <v/>
      </c>
      <c r="H417" s="70" t="str">
        <f>IFERROR(IF(DB_Customers!H411&lt;&gt;"",DB_Customers!H411,""),"")</f>
        <v/>
      </c>
      <c r="I417" s="71" t="str">
        <f>IFERROR(IF(DB_Customers!I411&lt;&gt;"",DB_Customers!I411,""),"")</f>
        <v/>
      </c>
      <c r="J417" s="69" t="str">
        <f>IFERROR(IF(DB_Customers!J411&lt;&gt;"",DB_Customers!J411,""),"")</f>
        <v/>
      </c>
      <c r="K417" s="68" t="str">
        <f>IFERROR(IF(DB_Customers!E411&lt;&gt;"",DB_Customers!E411,""),"")</f>
        <v/>
      </c>
      <c r="L417" s="68" t="str">
        <f>IFERROR(IF(DB_Customers!F411&lt;&gt;"",DB_Customers!F411,""),"")</f>
        <v/>
      </c>
      <c r="M417" s="68" t="str">
        <f>IFERROR(IF(DB_Customers!T411&lt;&gt;"",DB_Customers!T411,""),"")</f>
        <v/>
      </c>
      <c r="N417" s="72" t="str">
        <f>IFERROR(IF(DB_Customers!A411&lt;&gt;"",IF(DB_Customers!I411&gt;=10,"Active","Inactive"),""),"")</f>
        <v/>
      </c>
    </row>
    <row r="418" spans="1:14" ht="18" customHeight="1" x14ac:dyDescent="0.25">
      <c r="A418" s="59" t="str">
        <f>IF(DB_Customers!A412&lt;&gt;"",409,"")</f>
        <v/>
      </c>
      <c r="B418" s="60" t="str">
        <f>IFERROR(IF(DB_Customers!A412&lt;&gt;"",DB_Customers!A412,""),"")</f>
        <v/>
      </c>
      <c r="C418" s="61" t="str">
        <f>IFERROR(IF(DB_Customers!D412&lt;&gt;"",DB_Customers!D412,""),"")</f>
        <v/>
      </c>
      <c r="D418" s="62" t="str">
        <f>IFERROR(IF(DB_Customers!Q412&lt;&gt;"",DB_Customers!Q412,""),"")</f>
        <v/>
      </c>
      <c r="E418" s="61" t="str">
        <f>IFERROR(IF(DB_Customers!R412&lt;&gt;"",DB_Customers!R412,""),"")</f>
        <v/>
      </c>
      <c r="F418" s="61" t="str">
        <f>IFERROR(IF(DB_Customers!S412&lt;&gt;"",DB_Customers!S412,""),"")</f>
        <v/>
      </c>
      <c r="G418" s="61" t="str">
        <f>IFERROR(IF(DB_Customers!G412&lt;&gt;"",DB_Customers!G412,""),"")</f>
        <v/>
      </c>
      <c r="H418" s="63" t="str">
        <f>IFERROR(IF(DB_Customers!H412&lt;&gt;"",DB_Customers!H412,""),"")</f>
        <v/>
      </c>
      <c r="I418" s="64" t="str">
        <f>IFERROR(IF(DB_Customers!I412&lt;&gt;"",DB_Customers!I412,""),"")</f>
        <v/>
      </c>
      <c r="J418" s="62" t="str">
        <f>IFERROR(IF(DB_Customers!J412&lt;&gt;"",DB_Customers!J412,""),"")</f>
        <v/>
      </c>
      <c r="K418" s="61" t="str">
        <f>IFERROR(IF(DB_Customers!E412&lt;&gt;"",DB_Customers!E412,""),"")</f>
        <v/>
      </c>
      <c r="L418" s="61" t="str">
        <f>IFERROR(IF(DB_Customers!F412&lt;&gt;"",DB_Customers!F412,""),"")</f>
        <v/>
      </c>
      <c r="M418" s="61" t="str">
        <f>IFERROR(IF(DB_Customers!T412&lt;&gt;"",DB_Customers!T412,""),"")</f>
        <v/>
      </c>
      <c r="N418" s="65" t="str">
        <f>IFERROR(IF(DB_Customers!A412&lt;&gt;"",IF(DB_Customers!I412&gt;=10,"Active","Inactive"),""),"")</f>
        <v/>
      </c>
    </row>
    <row r="419" spans="1:14" ht="18" customHeight="1" x14ac:dyDescent="0.25">
      <c r="A419" s="66" t="str">
        <f>IF(DB_Customers!A413&lt;&gt;"",410,"")</f>
        <v/>
      </c>
      <c r="B419" s="67" t="str">
        <f>IFERROR(IF(DB_Customers!A413&lt;&gt;"",DB_Customers!A413,""),"")</f>
        <v/>
      </c>
      <c r="C419" s="68" t="str">
        <f>IFERROR(IF(DB_Customers!D413&lt;&gt;"",DB_Customers!D413,""),"")</f>
        <v/>
      </c>
      <c r="D419" s="69" t="str">
        <f>IFERROR(IF(DB_Customers!Q413&lt;&gt;"",DB_Customers!Q413,""),"")</f>
        <v/>
      </c>
      <c r="E419" s="68" t="str">
        <f>IFERROR(IF(DB_Customers!R413&lt;&gt;"",DB_Customers!R413,""),"")</f>
        <v/>
      </c>
      <c r="F419" s="68" t="str">
        <f>IFERROR(IF(DB_Customers!S413&lt;&gt;"",DB_Customers!S413,""),"")</f>
        <v/>
      </c>
      <c r="G419" s="68" t="str">
        <f>IFERROR(IF(DB_Customers!G413&lt;&gt;"",DB_Customers!G413,""),"")</f>
        <v/>
      </c>
      <c r="H419" s="70" t="str">
        <f>IFERROR(IF(DB_Customers!H413&lt;&gt;"",DB_Customers!H413,""),"")</f>
        <v/>
      </c>
      <c r="I419" s="71" t="str">
        <f>IFERROR(IF(DB_Customers!I413&lt;&gt;"",DB_Customers!I413,""),"")</f>
        <v/>
      </c>
      <c r="J419" s="69" t="str">
        <f>IFERROR(IF(DB_Customers!J413&lt;&gt;"",DB_Customers!J413,""),"")</f>
        <v/>
      </c>
      <c r="K419" s="68" t="str">
        <f>IFERROR(IF(DB_Customers!E413&lt;&gt;"",DB_Customers!E413,""),"")</f>
        <v/>
      </c>
      <c r="L419" s="68" t="str">
        <f>IFERROR(IF(DB_Customers!F413&lt;&gt;"",DB_Customers!F413,""),"")</f>
        <v/>
      </c>
      <c r="M419" s="68" t="str">
        <f>IFERROR(IF(DB_Customers!T413&lt;&gt;"",DB_Customers!T413,""),"")</f>
        <v/>
      </c>
      <c r="N419" s="72" t="str">
        <f>IFERROR(IF(DB_Customers!A413&lt;&gt;"",IF(DB_Customers!I413&gt;=10,"Active","Inactive"),""),"")</f>
        <v/>
      </c>
    </row>
    <row r="420" spans="1:14" ht="18" customHeight="1" x14ac:dyDescent="0.25">
      <c r="A420" s="59" t="str">
        <f>IF(DB_Customers!A414&lt;&gt;"",411,"")</f>
        <v/>
      </c>
      <c r="B420" s="60" t="str">
        <f>IFERROR(IF(DB_Customers!A414&lt;&gt;"",DB_Customers!A414,""),"")</f>
        <v/>
      </c>
      <c r="C420" s="61" t="str">
        <f>IFERROR(IF(DB_Customers!D414&lt;&gt;"",DB_Customers!D414,""),"")</f>
        <v/>
      </c>
      <c r="D420" s="62" t="str">
        <f>IFERROR(IF(DB_Customers!Q414&lt;&gt;"",DB_Customers!Q414,""),"")</f>
        <v/>
      </c>
      <c r="E420" s="61" t="str">
        <f>IFERROR(IF(DB_Customers!R414&lt;&gt;"",DB_Customers!R414,""),"")</f>
        <v/>
      </c>
      <c r="F420" s="61" t="str">
        <f>IFERROR(IF(DB_Customers!S414&lt;&gt;"",DB_Customers!S414,""),"")</f>
        <v/>
      </c>
      <c r="G420" s="61" t="str">
        <f>IFERROR(IF(DB_Customers!G414&lt;&gt;"",DB_Customers!G414,""),"")</f>
        <v/>
      </c>
      <c r="H420" s="63" t="str">
        <f>IFERROR(IF(DB_Customers!H414&lt;&gt;"",DB_Customers!H414,""),"")</f>
        <v/>
      </c>
      <c r="I420" s="64" t="str">
        <f>IFERROR(IF(DB_Customers!I414&lt;&gt;"",DB_Customers!I414,""),"")</f>
        <v/>
      </c>
      <c r="J420" s="62" t="str">
        <f>IFERROR(IF(DB_Customers!J414&lt;&gt;"",DB_Customers!J414,""),"")</f>
        <v/>
      </c>
      <c r="K420" s="61" t="str">
        <f>IFERROR(IF(DB_Customers!E414&lt;&gt;"",DB_Customers!E414,""),"")</f>
        <v/>
      </c>
      <c r="L420" s="61" t="str">
        <f>IFERROR(IF(DB_Customers!F414&lt;&gt;"",DB_Customers!F414,""),"")</f>
        <v/>
      </c>
      <c r="M420" s="61" t="str">
        <f>IFERROR(IF(DB_Customers!T414&lt;&gt;"",DB_Customers!T414,""),"")</f>
        <v/>
      </c>
      <c r="N420" s="65" t="str">
        <f>IFERROR(IF(DB_Customers!A414&lt;&gt;"",IF(DB_Customers!I414&gt;=10,"Active","Inactive"),""),"")</f>
        <v/>
      </c>
    </row>
    <row r="421" spans="1:14" ht="18" customHeight="1" x14ac:dyDescent="0.25">
      <c r="A421" s="66" t="str">
        <f>IF(DB_Customers!A415&lt;&gt;"",412,"")</f>
        <v/>
      </c>
      <c r="B421" s="67" t="str">
        <f>IFERROR(IF(DB_Customers!A415&lt;&gt;"",DB_Customers!A415,""),"")</f>
        <v/>
      </c>
      <c r="C421" s="68" t="str">
        <f>IFERROR(IF(DB_Customers!D415&lt;&gt;"",DB_Customers!D415,""),"")</f>
        <v/>
      </c>
      <c r="D421" s="69" t="str">
        <f>IFERROR(IF(DB_Customers!Q415&lt;&gt;"",DB_Customers!Q415,""),"")</f>
        <v/>
      </c>
      <c r="E421" s="68" t="str">
        <f>IFERROR(IF(DB_Customers!R415&lt;&gt;"",DB_Customers!R415,""),"")</f>
        <v/>
      </c>
      <c r="F421" s="68" t="str">
        <f>IFERROR(IF(DB_Customers!S415&lt;&gt;"",DB_Customers!S415,""),"")</f>
        <v/>
      </c>
      <c r="G421" s="68" t="str">
        <f>IFERROR(IF(DB_Customers!G415&lt;&gt;"",DB_Customers!G415,""),"")</f>
        <v/>
      </c>
      <c r="H421" s="70" t="str">
        <f>IFERROR(IF(DB_Customers!H415&lt;&gt;"",DB_Customers!H415,""),"")</f>
        <v/>
      </c>
      <c r="I421" s="71" t="str">
        <f>IFERROR(IF(DB_Customers!I415&lt;&gt;"",DB_Customers!I415,""),"")</f>
        <v/>
      </c>
      <c r="J421" s="69" t="str">
        <f>IFERROR(IF(DB_Customers!J415&lt;&gt;"",DB_Customers!J415,""),"")</f>
        <v/>
      </c>
      <c r="K421" s="68" t="str">
        <f>IFERROR(IF(DB_Customers!E415&lt;&gt;"",DB_Customers!E415,""),"")</f>
        <v/>
      </c>
      <c r="L421" s="68" t="str">
        <f>IFERROR(IF(DB_Customers!F415&lt;&gt;"",DB_Customers!F415,""),"")</f>
        <v/>
      </c>
      <c r="M421" s="68" t="str">
        <f>IFERROR(IF(DB_Customers!T415&lt;&gt;"",DB_Customers!T415,""),"")</f>
        <v/>
      </c>
      <c r="N421" s="72" t="str">
        <f>IFERROR(IF(DB_Customers!A415&lt;&gt;"",IF(DB_Customers!I415&gt;=10,"Active","Inactive"),""),"")</f>
        <v/>
      </c>
    </row>
    <row r="422" spans="1:14" ht="18" customHeight="1" x14ac:dyDescent="0.25">
      <c r="A422" s="59" t="str">
        <f>IF(DB_Customers!A416&lt;&gt;"",413,"")</f>
        <v/>
      </c>
      <c r="B422" s="60" t="str">
        <f>IFERROR(IF(DB_Customers!A416&lt;&gt;"",DB_Customers!A416,""),"")</f>
        <v/>
      </c>
      <c r="C422" s="61" t="str">
        <f>IFERROR(IF(DB_Customers!D416&lt;&gt;"",DB_Customers!D416,""),"")</f>
        <v/>
      </c>
      <c r="D422" s="62" t="str">
        <f>IFERROR(IF(DB_Customers!Q416&lt;&gt;"",DB_Customers!Q416,""),"")</f>
        <v/>
      </c>
      <c r="E422" s="61" t="str">
        <f>IFERROR(IF(DB_Customers!R416&lt;&gt;"",DB_Customers!R416,""),"")</f>
        <v/>
      </c>
      <c r="F422" s="61" t="str">
        <f>IFERROR(IF(DB_Customers!S416&lt;&gt;"",DB_Customers!S416,""),"")</f>
        <v/>
      </c>
      <c r="G422" s="61" t="str">
        <f>IFERROR(IF(DB_Customers!G416&lt;&gt;"",DB_Customers!G416,""),"")</f>
        <v/>
      </c>
      <c r="H422" s="63" t="str">
        <f>IFERROR(IF(DB_Customers!H416&lt;&gt;"",DB_Customers!H416,""),"")</f>
        <v/>
      </c>
      <c r="I422" s="64" t="str">
        <f>IFERROR(IF(DB_Customers!I416&lt;&gt;"",DB_Customers!I416,""),"")</f>
        <v/>
      </c>
      <c r="J422" s="62" t="str">
        <f>IFERROR(IF(DB_Customers!J416&lt;&gt;"",DB_Customers!J416,""),"")</f>
        <v/>
      </c>
      <c r="K422" s="61" t="str">
        <f>IFERROR(IF(DB_Customers!E416&lt;&gt;"",DB_Customers!E416,""),"")</f>
        <v/>
      </c>
      <c r="L422" s="61" t="str">
        <f>IFERROR(IF(DB_Customers!F416&lt;&gt;"",DB_Customers!F416,""),"")</f>
        <v/>
      </c>
      <c r="M422" s="61" t="str">
        <f>IFERROR(IF(DB_Customers!T416&lt;&gt;"",DB_Customers!T416,""),"")</f>
        <v/>
      </c>
      <c r="N422" s="65" t="str">
        <f>IFERROR(IF(DB_Customers!A416&lt;&gt;"",IF(DB_Customers!I416&gt;=10,"Active","Inactive"),""),"")</f>
        <v/>
      </c>
    </row>
    <row r="423" spans="1:14" ht="18" customHeight="1" x14ac:dyDescent="0.25">
      <c r="A423" s="66" t="str">
        <f>IF(DB_Customers!A417&lt;&gt;"",414,"")</f>
        <v/>
      </c>
      <c r="B423" s="67" t="str">
        <f>IFERROR(IF(DB_Customers!A417&lt;&gt;"",DB_Customers!A417,""),"")</f>
        <v/>
      </c>
      <c r="C423" s="68" t="str">
        <f>IFERROR(IF(DB_Customers!D417&lt;&gt;"",DB_Customers!D417,""),"")</f>
        <v/>
      </c>
      <c r="D423" s="69" t="str">
        <f>IFERROR(IF(DB_Customers!Q417&lt;&gt;"",DB_Customers!Q417,""),"")</f>
        <v/>
      </c>
      <c r="E423" s="68" t="str">
        <f>IFERROR(IF(DB_Customers!R417&lt;&gt;"",DB_Customers!R417,""),"")</f>
        <v/>
      </c>
      <c r="F423" s="68" t="str">
        <f>IFERROR(IF(DB_Customers!S417&lt;&gt;"",DB_Customers!S417,""),"")</f>
        <v/>
      </c>
      <c r="G423" s="68" t="str">
        <f>IFERROR(IF(DB_Customers!G417&lt;&gt;"",DB_Customers!G417,""),"")</f>
        <v/>
      </c>
      <c r="H423" s="70" t="str">
        <f>IFERROR(IF(DB_Customers!H417&lt;&gt;"",DB_Customers!H417,""),"")</f>
        <v/>
      </c>
      <c r="I423" s="71" t="str">
        <f>IFERROR(IF(DB_Customers!I417&lt;&gt;"",DB_Customers!I417,""),"")</f>
        <v/>
      </c>
      <c r="J423" s="69" t="str">
        <f>IFERROR(IF(DB_Customers!J417&lt;&gt;"",DB_Customers!J417,""),"")</f>
        <v/>
      </c>
      <c r="K423" s="68" t="str">
        <f>IFERROR(IF(DB_Customers!E417&lt;&gt;"",DB_Customers!E417,""),"")</f>
        <v/>
      </c>
      <c r="L423" s="68" t="str">
        <f>IFERROR(IF(DB_Customers!F417&lt;&gt;"",DB_Customers!F417,""),"")</f>
        <v/>
      </c>
      <c r="M423" s="68" t="str">
        <f>IFERROR(IF(DB_Customers!T417&lt;&gt;"",DB_Customers!T417,""),"")</f>
        <v/>
      </c>
      <c r="N423" s="72" t="str">
        <f>IFERROR(IF(DB_Customers!A417&lt;&gt;"",IF(DB_Customers!I417&gt;=10,"Active","Inactive"),""),"")</f>
        <v/>
      </c>
    </row>
    <row r="424" spans="1:14" ht="18" customHeight="1" x14ac:dyDescent="0.25">
      <c r="A424" s="59" t="str">
        <f>IF(DB_Customers!A418&lt;&gt;"",415,"")</f>
        <v/>
      </c>
      <c r="B424" s="60" t="str">
        <f>IFERROR(IF(DB_Customers!A418&lt;&gt;"",DB_Customers!A418,""),"")</f>
        <v/>
      </c>
      <c r="C424" s="61" t="str">
        <f>IFERROR(IF(DB_Customers!D418&lt;&gt;"",DB_Customers!D418,""),"")</f>
        <v/>
      </c>
      <c r="D424" s="62" t="str">
        <f>IFERROR(IF(DB_Customers!Q418&lt;&gt;"",DB_Customers!Q418,""),"")</f>
        <v/>
      </c>
      <c r="E424" s="61" t="str">
        <f>IFERROR(IF(DB_Customers!R418&lt;&gt;"",DB_Customers!R418,""),"")</f>
        <v/>
      </c>
      <c r="F424" s="61" t="str">
        <f>IFERROR(IF(DB_Customers!S418&lt;&gt;"",DB_Customers!S418,""),"")</f>
        <v/>
      </c>
      <c r="G424" s="61" t="str">
        <f>IFERROR(IF(DB_Customers!G418&lt;&gt;"",DB_Customers!G418,""),"")</f>
        <v/>
      </c>
      <c r="H424" s="63" t="str">
        <f>IFERROR(IF(DB_Customers!H418&lt;&gt;"",DB_Customers!H418,""),"")</f>
        <v/>
      </c>
      <c r="I424" s="64" t="str">
        <f>IFERROR(IF(DB_Customers!I418&lt;&gt;"",DB_Customers!I418,""),"")</f>
        <v/>
      </c>
      <c r="J424" s="62" t="str">
        <f>IFERROR(IF(DB_Customers!J418&lt;&gt;"",DB_Customers!J418,""),"")</f>
        <v/>
      </c>
      <c r="K424" s="61" t="str">
        <f>IFERROR(IF(DB_Customers!E418&lt;&gt;"",DB_Customers!E418,""),"")</f>
        <v/>
      </c>
      <c r="L424" s="61" t="str">
        <f>IFERROR(IF(DB_Customers!F418&lt;&gt;"",DB_Customers!F418,""),"")</f>
        <v/>
      </c>
      <c r="M424" s="61" t="str">
        <f>IFERROR(IF(DB_Customers!T418&lt;&gt;"",DB_Customers!T418,""),"")</f>
        <v/>
      </c>
      <c r="N424" s="65" t="str">
        <f>IFERROR(IF(DB_Customers!A418&lt;&gt;"",IF(DB_Customers!I418&gt;=10,"Active","Inactive"),""),"")</f>
        <v/>
      </c>
    </row>
    <row r="425" spans="1:14" ht="18" customHeight="1" x14ac:dyDescent="0.25">
      <c r="A425" s="66" t="str">
        <f>IF(DB_Customers!A419&lt;&gt;"",416,"")</f>
        <v/>
      </c>
      <c r="B425" s="67" t="str">
        <f>IFERROR(IF(DB_Customers!A419&lt;&gt;"",DB_Customers!A419,""),"")</f>
        <v/>
      </c>
      <c r="C425" s="68" t="str">
        <f>IFERROR(IF(DB_Customers!D419&lt;&gt;"",DB_Customers!D419,""),"")</f>
        <v/>
      </c>
      <c r="D425" s="69" t="str">
        <f>IFERROR(IF(DB_Customers!Q419&lt;&gt;"",DB_Customers!Q419,""),"")</f>
        <v/>
      </c>
      <c r="E425" s="68" t="str">
        <f>IFERROR(IF(DB_Customers!R419&lt;&gt;"",DB_Customers!R419,""),"")</f>
        <v/>
      </c>
      <c r="F425" s="68" t="str">
        <f>IFERROR(IF(DB_Customers!S419&lt;&gt;"",DB_Customers!S419,""),"")</f>
        <v/>
      </c>
      <c r="G425" s="68" t="str">
        <f>IFERROR(IF(DB_Customers!G419&lt;&gt;"",DB_Customers!G419,""),"")</f>
        <v/>
      </c>
      <c r="H425" s="70" t="str">
        <f>IFERROR(IF(DB_Customers!H419&lt;&gt;"",DB_Customers!H419,""),"")</f>
        <v/>
      </c>
      <c r="I425" s="71" t="str">
        <f>IFERROR(IF(DB_Customers!I419&lt;&gt;"",DB_Customers!I419,""),"")</f>
        <v/>
      </c>
      <c r="J425" s="69" t="str">
        <f>IFERROR(IF(DB_Customers!J419&lt;&gt;"",DB_Customers!J419,""),"")</f>
        <v/>
      </c>
      <c r="K425" s="68" t="str">
        <f>IFERROR(IF(DB_Customers!E419&lt;&gt;"",DB_Customers!E419,""),"")</f>
        <v/>
      </c>
      <c r="L425" s="68" t="str">
        <f>IFERROR(IF(DB_Customers!F419&lt;&gt;"",DB_Customers!F419,""),"")</f>
        <v/>
      </c>
      <c r="M425" s="68" t="str">
        <f>IFERROR(IF(DB_Customers!T419&lt;&gt;"",DB_Customers!T419,""),"")</f>
        <v/>
      </c>
      <c r="N425" s="72" t="str">
        <f>IFERROR(IF(DB_Customers!A419&lt;&gt;"",IF(DB_Customers!I419&gt;=10,"Active","Inactive"),""),"")</f>
        <v/>
      </c>
    </row>
    <row r="426" spans="1:14" ht="18" customHeight="1" x14ac:dyDescent="0.25">
      <c r="A426" s="59" t="str">
        <f>IF(DB_Customers!A420&lt;&gt;"",417,"")</f>
        <v/>
      </c>
      <c r="B426" s="60" t="str">
        <f>IFERROR(IF(DB_Customers!A420&lt;&gt;"",DB_Customers!A420,""),"")</f>
        <v/>
      </c>
      <c r="C426" s="61" t="str">
        <f>IFERROR(IF(DB_Customers!D420&lt;&gt;"",DB_Customers!D420,""),"")</f>
        <v/>
      </c>
      <c r="D426" s="62" t="str">
        <f>IFERROR(IF(DB_Customers!Q420&lt;&gt;"",DB_Customers!Q420,""),"")</f>
        <v/>
      </c>
      <c r="E426" s="61" t="str">
        <f>IFERROR(IF(DB_Customers!R420&lt;&gt;"",DB_Customers!R420,""),"")</f>
        <v/>
      </c>
      <c r="F426" s="61" t="str">
        <f>IFERROR(IF(DB_Customers!S420&lt;&gt;"",DB_Customers!S420,""),"")</f>
        <v/>
      </c>
      <c r="G426" s="61" t="str">
        <f>IFERROR(IF(DB_Customers!G420&lt;&gt;"",DB_Customers!G420,""),"")</f>
        <v/>
      </c>
      <c r="H426" s="63" t="str">
        <f>IFERROR(IF(DB_Customers!H420&lt;&gt;"",DB_Customers!H420,""),"")</f>
        <v/>
      </c>
      <c r="I426" s="64" t="str">
        <f>IFERROR(IF(DB_Customers!I420&lt;&gt;"",DB_Customers!I420,""),"")</f>
        <v/>
      </c>
      <c r="J426" s="62" t="str">
        <f>IFERROR(IF(DB_Customers!J420&lt;&gt;"",DB_Customers!J420,""),"")</f>
        <v/>
      </c>
      <c r="K426" s="61" t="str">
        <f>IFERROR(IF(DB_Customers!E420&lt;&gt;"",DB_Customers!E420,""),"")</f>
        <v/>
      </c>
      <c r="L426" s="61" t="str">
        <f>IFERROR(IF(DB_Customers!F420&lt;&gt;"",DB_Customers!F420,""),"")</f>
        <v/>
      </c>
      <c r="M426" s="61" t="str">
        <f>IFERROR(IF(DB_Customers!T420&lt;&gt;"",DB_Customers!T420,""),"")</f>
        <v/>
      </c>
      <c r="N426" s="65" t="str">
        <f>IFERROR(IF(DB_Customers!A420&lt;&gt;"",IF(DB_Customers!I420&gt;=10,"Active","Inactive"),""),"")</f>
        <v/>
      </c>
    </row>
    <row r="427" spans="1:14" ht="18" customHeight="1" x14ac:dyDescent="0.25">
      <c r="A427" s="66" t="str">
        <f>IF(DB_Customers!A421&lt;&gt;"",418,"")</f>
        <v/>
      </c>
      <c r="B427" s="67" t="str">
        <f>IFERROR(IF(DB_Customers!A421&lt;&gt;"",DB_Customers!A421,""),"")</f>
        <v/>
      </c>
      <c r="C427" s="68" t="str">
        <f>IFERROR(IF(DB_Customers!D421&lt;&gt;"",DB_Customers!D421,""),"")</f>
        <v/>
      </c>
      <c r="D427" s="69" t="str">
        <f>IFERROR(IF(DB_Customers!Q421&lt;&gt;"",DB_Customers!Q421,""),"")</f>
        <v/>
      </c>
      <c r="E427" s="68" t="str">
        <f>IFERROR(IF(DB_Customers!R421&lt;&gt;"",DB_Customers!R421,""),"")</f>
        <v/>
      </c>
      <c r="F427" s="68" t="str">
        <f>IFERROR(IF(DB_Customers!S421&lt;&gt;"",DB_Customers!S421,""),"")</f>
        <v/>
      </c>
      <c r="G427" s="68" t="str">
        <f>IFERROR(IF(DB_Customers!G421&lt;&gt;"",DB_Customers!G421,""),"")</f>
        <v/>
      </c>
      <c r="H427" s="70" t="str">
        <f>IFERROR(IF(DB_Customers!H421&lt;&gt;"",DB_Customers!H421,""),"")</f>
        <v/>
      </c>
      <c r="I427" s="71" t="str">
        <f>IFERROR(IF(DB_Customers!I421&lt;&gt;"",DB_Customers!I421,""),"")</f>
        <v/>
      </c>
      <c r="J427" s="69" t="str">
        <f>IFERROR(IF(DB_Customers!J421&lt;&gt;"",DB_Customers!J421,""),"")</f>
        <v/>
      </c>
      <c r="K427" s="68" t="str">
        <f>IFERROR(IF(DB_Customers!E421&lt;&gt;"",DB_Customers!E421,""),"")</f>
        <v/>
      </c>
      <c r="L427" s="68" t="str">
        <f>IFERROR(IF(DB_Customers!F421&lt;&gt;"",DB_Customers!F421,""),"")</f>
        <v/>
      </c>
      <c r="M427" s="68" t="str">
        <f>IFERROR(IF(DB_Customers!T421&lt;&gt;"",DB_Customers!T421,""),"")</f>
        <v/>
      </c>
      <c r="N427" s="72" t="str">
        <f>IFERROR(IF(DB_Customers!A421&lt;&gt;"",IF(DB_Customers!I421&gt;=10,"Active","Inactive"),""),"")</f>
        <v/>
      </c>
    </row>
    <row r="428" spans="1:14" ht="18" customHeight="1" x14ac:dyDescent="0.25">
      <c r="A428" s="59" t="str">
        <f>IF(DB_Customers!A422&lt;&gt;"",419,"")</f>
        <v/>
      </c>
      <c r="B428" s="60" t="str">
        <f>IFERROR(IF(DB_Customers!A422&lt;&gt;"",DB_Customers!A422,""),"")</f>
        <v/>
      </c>
      <c r="C428" s="61" t="str">
        <f>IFERROR(IF(DB_Customers!D422&lt;&gt;"",DB_Customers!D422,""),"")</f>
        <v/>
      </c>
      <c r="D428" s="62" t="str">
        <f>IFERROR(IF(DB_Customers!Q422&lt;&gt;"",DB_Customers!Q422,""),"")</f>
        <v/>
      </c>
      <c r="E428" s="61" t="str">
        <f>IFERROR(IF(DB_Customers!R422&lt;&gt;"",DB_Customers!R422,""),"")</f>
        <v/>
      </c>
      <c r="F428" s="61" t="str">
        <f>IFERROR(IF(DB_Customers!S422&lt;&gt;"",DB_Customers!S422,""),"")</f>
        <v/>
      </c>
      <c r="G428" s="61" t="str">
        <f>IFERROR(IF(DB_Customers!G422&lt;&gt;"",DB_Customers!G422,""),"")</f>
        <v/>
      </c>
      <c r="H428" s="63" t="str">
        <f>IFERROR(IF(DB_Customers!H422&lt;&gt;"",DB_Customers!H422,""),"")</f>
        <v/>
      </c>
      <c r="I428" s="64" t="str">
        <f>IFERROR(IF(DB_Customers!I422&lt;&gt;"",DB_Customers!I422,""),"")</f>
        <v/>
      </c>
      <c r="J428" s="62" t="str">
        <f>IFERROR(IF(DB_Customers!J422&lt;&gt;"",DB_Customers!J422,""),"")</f>
        <v/>
      </c>
      <c r="K428" s="61" t="str">
        <f>IFERROR(IF(DB_Customers!E422&lt;&gt;"",DB_Customers!E422,""),"")</f>
        <v/>
      </c>
      <c r="L428" s="61" t="str">
        <f>IFERROR(IF(DB_Customers!F422&lt;&gt;"",DB_Customers!F422,""),"")</f>
        <v/>
      </c>
      <c r="M428" s="61" t="str">
        <f>IFERROR(IF(DB_Customers!T422&lt;&gt;"",DB_Customers!T422,""),"")</f>
        <v/>
      </c>
      <c r="N428" s="65" t="str">
        <f>IFERROR(IF(DB_Customers!A422&lt;&gt;"",IF(DB_Customers!I422&gt;=10,"Active","Inactive"),""),"")</f>
        <v/>
      </c>
    </row>
    <row r="429" spans="1:14" ht="18" customHeight="1" x14ac:dyDescent="0.25">
      <c r="A429" s="66" t="str">
        <f>IF(DB_Customers!A423&lt;&gt;"",420,"")</f>
        <v/>
      </c>
      <c r="B429" s="67" t="str">
        <f>IFERROR(IF(DB_Customers!A423&lt;&gt;"",DB_Customers!A423,""),"")</f>
        <v/>
      </c>
      <c r="C429" s="68" t="str">
        <f>IFERROR(IF(DB_Customers!D423&lt;&gt;"",DB_Customers!D423,""),"")</f>
        <v/>
      </c>
      <c r="D429" s="69" t="str">
        <f>IFERROR(IF(DB_Customers!Q423&lt;&gt;"",DB_Customers!Q423,""),"")</f>
        <v/>
      </c>
      <c r="E429" s="68" t="str">
        <f>IFERROR(IF(DB_Customers!R423&lt;&gt;"",DB_Customers!R423,""),"")</f>
        <v/>
      </c>
      <c r="F429" s="68" t="str">
        <f>IFERROR(IF(DB_Customers!S423&lt;&gt;"",DB_Customers!S423,""),"")</f>
        <v/>
      </c>
      <c r="G429" s="68" t="str">
        <f>IFERROR(IF(DB_Customers!G423&lt;&gt;"",DB_Customers!G423,""),"")</f>
        <v/>
      </c>
      <c r="H429" s="70" t="str">
        <f>IFERROR(IF(DB_Customers!H423&lt;&gt;"",DB_Customers!H423,""),"")</f>
        <v/>
      </c>
      <c r="I429" s="71" t="str">
        <f>IFERROR(IF(DB_Customers!I423&lt;&gt;"",DB_Customers!I423,""),"")</f>
        <v/>
      </c>
      <c r="J429" s="69" t="str">
        <f>IFERROR(IF(DB_Customers!J423&lt;&gt;"",DB_Customers!J423,""),"")</f>
        <v/>
      </c>
      <c r="K429" s="68" t="str">
        <f>IFERROR(IF(DB_Customers!E423&lt;&gt;"",DB_Customers!E423,""),"")</f>
        <v/>
      </c>
      <c r="L429" s="68" t="str">
        <f>IFERROR(IF(DB_Customers!F423&lt;&gt;"",DB_Customers!F423,""),"")</f>
        <v/>
      </c>
      <c r="M429" s="68" t="str">
        <f>IFERROR(IF(DB_Customers!T423&lt;&gt;"",DB_Customers!T423,""),"")</f>
        <v/>
      </c>
      <c r="N429" s="72" t="str">
        <f>IFERROR(IF(DB_Customers!A423&lt;&gt;"",IF(DB_Customers!I423&gt;=10,"Active","Inactive"),""),"")</f>
        <v/>
      </c>
    </row>
    <row r="430" spans="1:14" ht="18" customHeight="1" x14ac:dyDescent="0.25">
      <c r="A430" s="59" t="str">
        <f>IF(DB_Customers!A424&lt;&gt;"",421,"")</f>
        <v/>
      </c>
      <c r="B430" s="60" t="str">
        <f>IFERROR(IF(DB_Customers!A424&lt;&gt;"",DB_Customers!A424,""),"")</f>
        <v/>
      </c>
      <c r="C430" s="61" t="str">
        <f>IFERROR(IF(DB_Customers!D424&lt;&gt;"",DB_Customers!D424,""),"")</f>
        <v/>
      </c>
      <c r="D430" s="62" t="str">
        <f>IFERROR(IF(DB_Customers!Q424&lt;&gt;"",DB_Customers!Q424,""),"")</f>
        <v/>
      </c>
      <c r="E430" s="61" t="str">
        <f>IFERROR(IF(DB_Customers!R424&lt;&gt;"",DB_Customers!R424,""),"")</f>
        <v/>
      </c>
      <c r="F430" s="61" t="str">
        <f>IFERROR(IF(DB_Customers!S424&lt;&gt;"",DB_Customers!S424,""),"")</f>
        <v/>
      </c>
      <c r="G430" s="61" t="str">
        <f>IFERROR(IF(DB_Customers!G424&lt;&gt;"",DB_Customers!G424,""),"")</f>
        <v/>
      </c>
      <c r="H430" s="63" t="str">
        <f>IFERROR(IF(DB_Customers!H424&lt;&gt;"",DB_Customers!H424,""),"")</f>
        <v/>
      </c>
      <c r="I430" s="64" t="str">
        <f>IFERROR(IF(DB_Customers!I424&lt;&gt;"",DB_Customers!I424,""),"")</f>
        <v/>
      </c>
      <c r="J430" s="62" t="str">
        <f>IFERROR(IF(DB_Customers!J424&lt;&gt;"",DB_Customers!J424,""),"")</f>
        <v/>
      </c>
      <c r="K430" s="61" t="str">
        <f>IFERROR(IF(DB_Customers!E424&lt;&gt;"",DB_Customers!E424,""),"")</f>
        <v/>
      </c>
      <c r="L430" s="61" t="str">
        <f>IFERROR(IF(DB_Customers!F424&lt;&gt;"",DB_Customers!F424,""),"")</f>
        <v/>
      </c>
      <c r="M430" s="61" t="str">
        <f>IFERROR(IF(DB_Customers!T424&lt;&gt;"",DB_Customers!T424,""),"")</f>
        <v/>
      </c>
      <c r="N430" s="65" t="str">
        <f>IFERROR(IF(DB_Customers!A424&lt;&gt;"",IF(DB_Customers!I424&gt;=10,"Active","Inactive"),""),"")</f>
        <v/>
      </c>
    </row>
    <row r="431" spans="1:14" ht="18" customHeight="1" x14ac:dyDescent="0.25">
      <c r="A431" s="66" t="str">
        <f>IF(DB_Customers!A425&lt;&gt;"",422,"")</f>
        <v/>
      </c>
      <c r="B431" s="67" t="str">
        <f>IFERROR(IF(DB_Customers!A425&lt;&gt;"",DB_Customers!A425,""),"")</f>
        <v/>
      </c>
      <c r="C431" s="68" t="str">
        <f>IFERROR(IF(DB_Customers!D425&lt;&gt;"",DB_Customers!D425,""),"")</f>
        <v/>
      </c>
      <c r="D431" s="69" t="str">
        <f>IFERROR(IF(DB_Customers!Q425&lt;&gt;"",DB_Customers!Q425,""),"")</f>
        <v/>
      </c>
      <c r="E431" s="68" t="str">
        <f>IFERROR(IF(DB_Customers!R425&lt;&gt;"",DB_Customers!R425,""),"")</f>
        <v/>
      </c>
      <c r="F431" s="68" t="str">
        <f>IFERROR(IF(DB_Customers!S425&lt;&gt;"",DB_Customers!S425,""),"")</f>
        <v/>
      </c>
      <c r="G431" s="68" t="str">
        <f>IFERROR(IF(DB_Customers!G425&lt;&gt;"",DB_Customers!G425,""),"")</f>
        <v/>
      </c>
      <c r="H431" s="70" t="str">
        <f>IFERROR(IF(DB_Customers!H425&lt;&gt;"",DB_Customers!H425,""),"")</f>
        <v/>
      </c>
      <c r="I431" s="71" t="str">
        <f>IFERROR(IF(DB_Customers!I425&lt;&gt;"",DB_Customers!I425,""),"")</f>
        <v/>
      </c>
      <c r="J431" s="69" t="str">
        <f>IFERROR(IF(DB_Customers!J425&lt;&gt;"",DB_Customers!J425,""),"")</f>
        <v/>
      </c>
      <c r="K431" s="68" t="str">
        <f>IFERROR(IF(DB_Customers!E425&lt;&gt;"",DB_Customers!E425,""),"")</f>
        <v/>
      </c>
      <c r="L431" s="68" t="str">
        <f>IFERROR(IF(DB_Customers!F425&lt;&gt;"",DB_Customers!F425,""),"")</f>
        <v/>
      </c>
      <c r="M431" s="68" t="str">
        <f>IFERROR(IF(DB_Customers!T425&lt;&gt;"",DB_Customers!T425,""),"")</f>
        <v/>
      </c>
      <c r="N431" s="72" t="str">
        <f>IFERROR(IF(DB_Customers!A425&lt;&gt;"",IF(DB_Customers!I425&gt;=10,"Active","Inactive"),""),"")</f>
        <v/>
      </c>
    </row>
    <row r="432" spans="1:14" ht="18" customHeight="1" x14ac:dyDescent="0.25">
      <c r="A432" s="59" t="str">
        <f>IF(DB_Customers!A426&lt;&gt;"",423,"")</f>
        <v/>
      </c>
      <c r="B432" s="60" t="str">
        <f>IFERROR(IF(DB_Customers!A426&lt;&gt;"",DB_Customers!A426,""),"")</f>
        <v/>
      </c>
      <c r="C432" s="61" t="str">
        <f>IFERROR(IF(DB_Customers!D426&lt;&gt;"",DB_Customers!D426,""),"")</f>
        <v/>
      </c>
      <c r="D432" s="62" t="str">
        <f>IFERROR(IF(DB_Customers!Q426&lt;&gt;"",DB_Customers!Q426,""),"")</f>
        <v/>
      </c>
      <c r="E432" s="61" t="str">
        <f>IFERROR(IF(DB_Customers!R426&lt;&gt;"",DB_Customers!R426,""),"")</f>
        <v/>
      </c>
      <c r="F432" s="61" t="str">
        <f>IFERROR(IF(DB_Customers!S426&lt;&gt;"",DB_Customers!S426,""),"")</f>
        <v/>
      </c>
      <c r="G432" s="61" t="str">
        <f>IFERROR(IF(DB_Customers!G426&lt;&gt;"",DB_Customers!G426,""),"")</f>
        <v/>
      </c>
      <c r="H432" s="63" t="str">
        <f>IFERROR(IF(DB_Customers!H426&lt;&gt;"",DB_Customers!H426,""),"")</f>
        <v/>
      </c>
      <c r="I432" s="64" t="str">
        <f>IFERROR(IF(DB_Customers!I426&lt;&gt;"",DB_Customers!I426,""),"")</f>
        <v/>
      </c>
      <c r="J432" s="62" t="str">
        <f>IFERROR(IF(DB_Customers!J426&lt;&gt;"",DB_Customers!J426,""),"")</f>
        <v/>
      </c>
      <c r="K432" s="61" t="str">
        <f>IFERROR(IF(DB_Customers!E426&lt;&gt;"",DB_Customers!E426,""),"")</f>
        <v/>
      </c>
      <c r="L432" s="61" t="str">
        <f>IFERROR(IF(DB_Customers!F426&lt;&gt;"",DB_Customers!F426,""),"")</f>
        <v/>
      </c>
      <c r="M432" s="61" t="str">
        <f>IFERROR(IF(DB_Customers!T426&lt;&gt;"",DB_Customers!T426,""),"")</f>
        <v/>
      </c>
      <c r="N432" s="65" t="str">
        <f>IFERROR(IF(DB_Customers!A426&lt;&gt;"",IF(DB_Customers!I426&gt;=10,"Active","Inactive"),""),"")</f>
        <v/>
      </c>
    </row>
    <row r="433" spans="1:14" ht="18" customHeight="1" x14ac:dyDescent="0.25">
      <c r="A433" s="66" t="str">
        <f>IF(DB_Customers!A427&lt;&gt;"",424,"")</f>
        <v/>
      </c>
      <c r="B433" s="67" t="str">
        <f>IFERROR(IF(DB_Customers!A427&lt;&gt;"",DB_Customers!A427,""),"")</f>
        <v/>
      </c>
      <c r="C433" s="68" t="str">
        <f>IFERROR(IF(DB_Customers!D427&lt;&gt;"",DB_Customers!D427,""),"")</f>
        <v/>
      </c>
      <c r="D433" s="69" t="str">
        <f>IFERROR(IF(DB_Customers!Q427&lt;&gt;"",DB_Customers!Q427,""),"")</f>
        <v/>
      </c>
      <c r="E433" s="68" t="str">
        <f>IFERROR(IF(DB_Customers!R427&lt;&gt;"",DB_Customers!R427,""),"")</f>
        <v/>
      </c>
      <c r="F433" s="68" t="str">
        <f>IFERROR(IF(DB_Customers!S427&lt;&gt;"",DB_Customers!S427,""),"")</f>
        <v/>
      </c>
      <c r="G433" s="68" t="str">
        <f>IFERROR(IF(DB_Customers!G427&lt;&gt;"",DB_Customers!G427,""),"")</f>
        <v/>
      </c>
      <c r="H433" s="70" t="str">
        <f>IFERROR(IF(DB_Customers!H427&lt;&gt;"",DB_Customers!H427,""),"")</f>
        <v/>
      </c>
      <c r="I433" s="71" t="str">
        <f>IFERROR(IF(DB_Customers!I427&lt;&gt;"",DB_Customers!I427,""),"")</f>
        <v/>
      </c>
      <c r="J433" s="69" t="str">
        <f>IFERROR(IF(DB_Customers!J427&lt;&gt;"",DB_Customers!J427,""),"")</f>
        <v/>
      </c>
      <c r="K433" s="68" t="str">
        <f>IFERROR(IF(DB_Customers!E427&lt;&gt;"",DB_Customers!E427,""),"")</f>
        <v/>
      </c>
      <c r="L433" s="68" t="str">
        <f>IFERROR(IF(DB_Customers!F427&lt;&gt;"",DB_Customers!F427,""),"")</f>
        <v/>
      </c>
      <c r="M433" s="68" t="str">
        <f>IFERROR(IF(DB_Customers!T427&lt;&gt;"",DB_Customers!T427,""),"")</f>
        <v/>
      </c>
      <c r="N433" s="72" t="str">
        <f>IFERROR(IF(DB_Customers!A427&lt;&gt;"",IF(DB_Customers!I427&gt;=10,"Active","Inactive"),""),"")</f>
        <v/>
      </c>
    </row>
    <row r="434" spans="1:14" ht="18" customHeight="1" x14ac:dyDescent="0.25">
      <c r="A434" s="59" t="str">
        <f>IF(DB_Customers!A428&lt;&gt;"",425,"")</f>
        <v/>
      </c>
      <c r="B434" s="60" t="str">
        <f>IFERROR(IF(DB_Customers!A428&lt;&gt;"",DB_Customers!A428,""),"")</f>
        <v/>
      </c>
      <c r="C434" s="61" t="str">
        <f>IFERROR(IF(DB_Customers!D428&lt;&gt;"",DB_Customers!D428,""),"")</f>
        <v/>
      </c>
      <c r="D434" s="62" t="str">
        <f>IFERROR(IF(DB_Customers!Q428&lt;&gt;"",DB_Customers!Q428,""),"")</f>
        <v/>
      </c>
      <c r="E434" s="61" t="str">
        <f>IFERROR(IF(DB_Customers!R428&lt;&gt;"",DB_Customers!R428,""),"")</f>
        <v/>
      </c>
      <c r="F434" s="61" t="str">
        <f>IFERROR(IF(DB_Customers!S428&lt;&gt;"",DB_Customers!S428,""),"")</f>
        <v/>
      </c>
      <c r="G434" s="61" t="str">
        <f>IFERROR(IF(DB_Customers!G428&lt;&gt;"",DB_Customers!G428,""),"")</f>
        <v/>
      </c>
      <c r="H434" s="63" t="str">
        <f>IFERROR(IF(DB_Customers!H428&lt;&gt;"",DB_Customers!H428,""),"")</f>
        <v/>
      </c>
      <c r="I434" s="64" t="str">
        <f>IFERROR(IF(DB_Customers!I428&lt;&gt;"",DB_Customers!I428,""),"")</f>
        <v/>
      </c>
      <c r="J434" s="62" t="str">
        <f>IFERROR(IF(DB_Customers!J428&lt;&gt;"",DB_Customers!J428,""),"")</f>
        <v/>
      </c>
      <c r="K434" s="61" t="str">
        <f>IFERROR(IF(DB_Customers!E428&lt;&gt;"",DB_Customers!E428,""),"")</f>
        <v/>
      </c>
      <c r="L434" s="61" t="str">
        <f>IFERROR(IF(DB_Customers!F428&lt;&gt;"",DB_Customers!F428,""),"")</f>
        <v/>
      </c>
      <c r="M434" s="61" t="str">
        <f>IFERROR(IF(DB_Customers!T428&lt;&gt;"",DB_Customers!T428,""),"")</f>
        <v/>
      </c>
      <c r="N434" s="65" t="str">
        <f>IFERROR(IF(DB_Customers!A428&lt;&gt;"",IF(DB_Customers!I428&gt;=10,"Active","Inactive"),""),"")</f>
        <v/>
      </c>
    </row>
    <row r="435" spans="1:14" ht="18" customHeight="1" x14ac:dyDescent="0.25">
      <c r="A435" s="66" t="str">
        <f>IF(DB_Customers!A429&lt;&gt;"",426,"")</f>
        <v/>
      </c>
      <c r="B435" s="67" t="str">
        <f>IFERROR(IF(DB_Customers!A429&lt;&gt;"",DB_Customers!A429,""),"")</f>
        <v/>
      </c>
      <c r="C435" s="68" t="str">
        <f>IFERROR(IF(DB_Customers!D429&lt;&gt;"",DB_Customers!D429,""),"")</f>
        <v/>
      </c>
      <c r="D435" s="69" t="str">
        <f>IFERROR(IF(DB_Customers!Q429&lt;&gt;"",DB_Customers!Q429,""),"")</f>
        <v/>
      </c>
      <c r="E435" s="68" t="str">
        <f>IFERROR(IF(DB_Customers!R429&lt;&gt;"",DB_Customers!R429,""),"")</f>
        <v/>
      </c>
      <c r="F435" s="68" t="str">
        <f>IFERROR(IF(DB_Customers!S429&lt;&gt;"",DB_Customers!S429,""),"")</f>
        <v/>
      </c>
      <c r="G435" s="68" t="str">
        <f>IFERROR(IF(DB_Customers!G429&lt;&gt;"",DB_Customers!G429,""),"")</f>
        <v/>
      </c>
      <c r="H435" s="70" t="str">
        <f>IFERROR(IF(DB_Customers!H429&lt;&gt;"",DB_Customers!H429,""),"")</f>
        <v/>
      </c>
      <c r="I435" s="71" t="str">
        <f>IFERROR(IF(DB_Customers!I429&lt;&gt;"",DB_Customers!I429,""),"")</f>
        <v/>
      </c>
      <c r="J435" s="69" t="str">
        <f>IFERROR(IF(DB_Customers!J429&lt;&gt;"",DB_Customers!J429,""),"")</f>
        <v/>
      </c>
      <c r="K435" s="68" t="str">
        <f>IFERROR(IF(DB_Customers!E429&lt;&gt;"",DB_Customers!E429,""),"")</f>
        <v/>
      </c>
      <c r="L435" s="68" t="str">
        <f>IFERROR(IF(DB_Customers!F429&lt;&gt;"",DB_Customers!F429,""),"")</f>
        <v/>
      </c>
      <c r="M435" s="68" t="str">
        <f>IFERROR(IF(DB_Customers!T429&lt;&gt;"",DB_Customers!T429,""),"")</f>
        <v/>
      </c>
      <c r="N435" s="72" t="str">
        <f>IFERROR(IF(DB_Customers!A429&lt;&gt;"",IF(DB_Customers!I429&gt;=10,"Active","Inactive"),""),"")</f>
        <v/>
      </c>
    </row>
    <row r="436" spans="1:14" ht="18" customHeight="1" x14ac:dyDescent="0.25">
      <c r="A436" s="59" t="str">
        <f>IF(DB_Customers!A430&lt;&gt;"",427,"")</f>
        <v/>
      </c>
      <c r="B436" s="60" t="str">
        <f>IFERROR(IF(DB_Customers!A430&lt;&gt;"",DB_Customers!A430,""),"")</f>
        <v/>
      </c>
      <c r="C436" s="61" t="str">
        <f>IFERROR(IF(DB_Customers!D430&lt;&gt;"",DB_Customers!D430,""),"")</f>
        <v/>
      </c>
      <c r="D436" s="62" t="str">
        <f>IFERROR(IF(DB_Customers!Q430&lt;&gt;"",DB_Customers!Q430,""),"")</f>
        <v/>
      </c>
      <c r="E436" s="61" t="str">
        <f>IFERROR(IF(DB_Customers!R430&lt;&gt;"",DB_Customers!R430,""),"")</f>
        <v/>
      </c>
      <c r="F436" s="61" t="str">
        <f>IFERROR(IF(DB_Customers!S430&lt;&gt;"",DB_Customers!S430,""),"")</f>
        <v/>
      </c>
      <c r="G436" s="61" t="str">
        <f>IFERROR(IF(DB_Customers!G430&lt;&gt;"",DB_Customers!G430,""),"")</f>
        <v/>
      </c>
      <c r="H436" s="63" t="str">
        <f>IFERROR(IF(DB_Customers!H430&lt;&gt;"",DB_Customers!H430,""),"")</f>
        <v/>
      </c>
      <c r="I436" s="64" t="str">
        <f>IFERROR(IF(DB_Customers!I430&lt;&gt;"",DB_Customers!I430,""),"")</f>
        <v/>
      </c>
      <c r="J436" s="62" t="str">
        <f>IFERROR(IF(DB_Customers!J430&lt;&gt;"",DB_Customers!J430,""),"")</f>
        <v/>
      </c>
      <c r="K436" s="61" t="str">
        <f>IFERROR(IF(DB_Customers!E430&lt;&gt;"",DB_Customers!E430,""),"")</f>
        <v/>
      </c>
      <c r="L436" s="61" t="str">
        <f>IFERROR(IF(DB_Customers!F430&lt;&gt;"",DB_Customers!F430,""),"")</f>
        <v/>
      </c>
      <c r="M436" s="61" t="str">
        <f>IFERROR(IF(DB_Customers!T430&lt;&gt;"",DB_Customers!T430,""),"")</f>
        <v/>
      </c>
      <c r="N436" s="65" t="str">
        <f>IFERROR(IF(DB_Customers!A430&lt;&gt;"",IF(DB_Customers!I430&gt;=10,"Active","Inactive"),""),"")</f>
        <v/>
      </c>
    </row>
    <row r="437" spans="1:14" ht="18" customHeight="1" x14ac:dyDescent="0.25">
      <c r="A437" s="66" t="str">
        <f>IF(DB_Customers!A431&lt;&gt;"",428,"")</f>
        <v/>
      </c>
      <c r="B437" s="67" t="str">
        <f>IFERROR(IF(DB_Customers!A431&lt;&gt;"",DB_Customers!A431,""),"")</f>
        <v/>
      </c>
      <c r="C437" s="68" t="str">
        <f>IFERROR(IF(DB_Customers!D431&lt;&gt;"",DB_Customers!D431,""),"")</f>
        <v/>
      </c>
      <c r="D437" s="69" t="str">
        <f>IFERROR(IF(DB_Customers!Q431&lt;&gt;"",DB_Customers!Q431,""),"")</f>
        <v/>
      </c>
      <c r="E437" s="68" t="str">
        <f>IFERROR(IF(DB_Customers!R431&lt;&gt;"",DB_Customers!R431,""),"")</f>
        <v/>
      </c>
      <c r="F437" s="68" t="str">
        <f>IFERROR(IF(DB_Customers!S431&lt;&gt;"",DB_Customers!S431,""),"")</f>
        <v/>
      </c>
      <c r="G437" s="68" t="str">
        <f>IFERROR(IF(DB_Customers!G431&lt;&gt;"",DB_Customers!G431,""),"")</f>
        <v/>
      </c>
      <c r="H437" s="70" t="str">
        <f>IFERROR(IF(DB_Customers!H431&lt;&gt;"",DB_Customers!H431,""),"")</f>
        <v/>
      </c>
      <c r="I437" s="71" t="str">
        <f>IFERROR(IF(DB_Customers!I431&lt;&gt;"",DB_Customers!I431,""),"")</f>
        <v/>
      </c>
      <c r="J437" s="69" t="str">
        <f>IFERROR(IF(DB_Customers!J431&lt;&gt;"",DB_Customers!J431,""),"")</f>
        <v/>
      </c>
      <c r="K437" s="68" t="str">
        <f>IFERROR(IF(DB_Customers!E431&lt;&gt;"",DB_Customers!E431,""),"")</f>
        <v/>
      </c>
      <c r="L437" s="68" t="str">
        <f>IFERROR(IF(DB_Customers!F431&lt;&gt;"",DB_Customers!F431,""),"")</f>
        <v/>
      </c>
      <c r="M437" s="68" t="str">
        <f>IFERROR(IF(DB_Customers!T431&lt;&gt;"",DB_Customers!T431,""),"")</f>
        <v/>
      </c>
      <c r="N437" s="72" t="str">
        <f>IFERROR(IF(DB_Customers!A431&lt;&gt;"",IF(DB_Customers!I431&gt;=10,"Active","Inactive"),""),"")</f>
        <v/>
      </c>
    </row>
    <row r="438" spans="1:14" ht="18" customHeight="1" x14ac:dyDescent="0.25">
      <c r="A438" s="59" t="str">
        <f>IF(DB_Customers!A432&lt;&gt;"",429,"")</f>
        <v/>
      </c>
      <c r="B438" s="60" t="str">
        <f>IFERROR(IF(DB_Customers!A432&lt;&gt;"",DB_Customers!A432,""),"")</f>
        <v/>
      </c>
      <c r="C438" s="61" t="str">
        <f>IFERROR(IF(DB_Customers!D432&lt;&gt;"",DB_Customers!D432,""),"")</f>
        <v/>
      </c>
      <c r="D438" s="62" t="str">
        <f>IFERROR(IF(DB_Customers!Q432&lt;&gt;"",DB_Customers!Q432,""),"")</f>
        <v/>
      </c>
      <c r="E438" s="61" t="str">
        <f>IFERROR(IF(DB_Customers!R432&lt;&gt;"",DB_Customers!R432,""),"")</f>
        <v/>
      </c>
      <c r="F438" s="61" t="str">
        <f>IFERROR(IF(DB_Customers!S432&lt;&gt;"",DB_Customers!S432,""),"")</f>
        <v/>
      </c>
      <c r="G438" s="61" t="str">
        <f>IFERROR(IF(DB_Customers!G432&lt;&gt;"",DB_Customers!G432,""),"")</f>
        <v/>
      </c>
      <c r="H438" s="63" t="str">
        <f>IFERROR(IF(DB_Customers!H432&lt;&gt;"",DB_Customers!H432,""),"")</f>
        <v/>
      </c>
      <c r="I438" s="64" t="str">
        <f>IFERROR(IF(DB_Customers!I432&lt;&gt;"",DB_Customers!I432,""),"")</f>
        <v/>
      </c>
      <c r="J438" s="62" t="str">
        <f>IFERROR(IF(DB_Customers!J432&lt;&gt;"",DB_Customers!J432,""),"")</f>
        <v/>
      </c>
      <c r="K438" s="61" t="str">
        <f>IFERROR(IF(DB_Customers!E432&lt;&gt;"",DB_Customers!E432,""),"")</f>
        <v/>
      </c>
      <c r="L438" s="61" t="str">
        <f>IFERROR(IF(DB_Customers!F432&lt;&gt;"",DB_Customers!F432,""),"")</f>
        <v/>
      </c>
      <c r="M438" s="61" t="str">
        <f>IFERROR(IF(DB_Customers!T432&lt;&gt;"",DB_Customers!T432,""),"")</f>
        <v/>
      </c>
      <c r="N438" s="65" t="str">
        <f>IFERROR(IF(DB_Customers!A432&lt;&gt;"",IF(DB_Customers!I432&gt;=10,"Active","Inactive"),""),"")</f>
        <v/>
      </c>
    </row>
    <row r="439" spans="1:14" ht="18" customHeight="1" x14ac:dyDescent="0.25">
      <c r="A439" s="66" t="str">
        <f>IF(DB_Customers!A433&lt;&gt;"",430,"")</f>
        <v/>
      </c>
      <c r="B439" s="67" t="str">
        <f>IFERROR(IF(DB_Customers!A433&lt;&gt;"",DB_Customers!A433,""),"")</f>
        <v/>
      </c>
      <c r="C439" s="68" t="str">
        <f>IFERROR(IF(DB_Customers!D433&lt;&gt;"",DB_Customers!D433,""),"")</f>
        <v/>
      </c>
      <c r="D439" s="69" t="str">
        <f>IFERROR(IF(DB_Customers!Q433&lt;&gt;"",DB_Customers!Q433,""),"")</f>
        <v/>
      </c>
      <c r="E439" s="68" t="str">
        <f>IFERROR(IF(DB_Customers!R433&lt;&gt;"",DB_Customers!R433,""),"")</f>
        <v/>
      </c>
      <c r="F439" s="68" t="str">
        <f>IFERROR(IF(DB_Customers!S433&lt;&gt;"",DB_Customers!S433,""),"")</f>
        <v/>
      </c>
      <c r="G439" s="68" t="str">
        <f>IFERROR(IF(DB_Customers!G433&lt;&gt;"",DB_Customers!G433,""),"")</f>
        <v/>
      </c>
      <c r="H439" s="70" t="str">
        <f>IFERROR(IF(DB_Customers!H433&lt;&gt;"",DB_Customers!H433,""),"")</f>
        <v/>
      </c>
      <c r="I439" s="71" t="str">
        <f>IFERROR(IF(DB_Customers!I433&lt;&gt;"",DB_Customers!I433,""),"")</f>
        <v/>
      </c>
      <c r="J439" s="69" t="str">
        <f>IFERROR(IF(DB_Customers!J433&lt;&gt;"",DB_Customers!J433,""),"")</f>
        <v/>
      </c>
      <c r="K439" s="68" t="str">
        <f>IFERROR(IF(DB_Customers!E433&lt;&gt;"",DB_Customers!E433,""),"")</f>
        <v/>
      </c>
      <c r="L439" s="68" t="str">
        <f>IFERROR(IF(DB_Customers!F433&lt;&gt;"",DB_Customers!F433,""),"")</f>
        <v/>
      </c>
      <c r="M439" s="68" t="str">
        <f>IFERROR(IF(DB_Customers!T433&lt;&gt;"",DB_Customers!T433,""),"")</f>
        <v/>
      </c>
      <c r="N439" s="72" t="str">
        <f>IFERROR(IF(DB_Customers!A433&lt;&gt;"",IF(DB_Customers!I433&gt;=10,"Active","Inactive"),""),"")</f>
        <v/>
      </c>
    </row>
    <row r="440" spans="1:14" ht="18" customHeight="1" x14ac:dyDescent="0.25">
      <c r="A440" s="59" t="str">
        <f>IF(DB_Customers!A434&lt;&gt;"",431,"")</f>
        <v/>
      </c>
      <c r="B440" s="60" t="str">
        <f>IFERROR(IF(DB_Customers!A434&lt;&gt;"",DB_Customers!A434,""),"")</f>
        <v/>
      </c>
      <c r="C440" s="61" t="str">
        <f>IFERROR(IF(DB_Customers!D434&lt;&gt;"",DB_Customers!D434,""),"")</f>
        <v/>
      </c>
      <c r="D440" s="62" t="str">
        <f>IFERROR(IF(DB_Customers!Q434&lt;&gt;"",DB_Customers!Q434,""),"")</f>
        <v/>
      </c>
      <c r="E440" s="61" t="str">
        <f>IFERROR(IF(DB_Customers!R434&lt;&gt;"",DB_Customers!R434,""),"")</f>
        <v/>
      </c>
      <c r="F440" s="61" t="str">
        <f>IFERROR(IF(DB_Customers!S434&lt;&gt;"",DB_Customers!S434,""),"")</f>
        <v/>
      </c>
      <c r="G440" s="61" t="str">
        <f>IFERROR(IF(DB_Customers!G434&lt;&gt;"",DB_Customers!G434,""),"")</f>
        <v/>
      </c>
      <c r="H440" s="63" t="str">
        <f>IFERROR(IF(DB_Customers!H434&lt;&gt;"",DB_Customers!H434,""),"")</f>
        <v/>
      </c>
      <c r="I440" s="64" t="str">
        <f>IFERROR(IF(DB_Customers!I434&lt;&gt;"",DB_Customers!I434,""),"")</f>
        <v/>
      </c>
      <c r="J440" s="62" t="str">
        <f>IFERROR(IF(DB_Customers!J434&lt;&gt;"",DB_Customers!J434,""),"")</f>
        <v/>
      </c>
      <c r="K440" s="61" t="str">
        <f>IFERROR(IF(DB_Customers!E434&lt;&gt;"",DB_Customers!E434,""),"")</f>
        <v/>
      </c>
      <c r="L440" s="61" t="str">
        <f>IFERROR(IF(DB_Customers!F434&lt;&gt;"",DB_Customers!F434,""),"")</f>
        <v/>
      </c>
      <c r="M440" s="61" t="str">
        <f>IFERROR(IF(DB_Customers!T434&lt;&gt;"",DB_Customers!T434,""),"")</f>
        <v/>
      </c>
      <c r="N440" s="65" t="str">
        <f>IFERROR(IF(DB_Customers!A434&lt;&gt;"",IF(DB_Customers!I434&gt;=10,"Active","Inactive"),""),"")</f>
        <v/>
      </c>
    </row>
    <row r="441" spans="1:14" ht="18" customHeight="1" x14ac:dyDescent="0.25">
      <c r="A441" s="66" t="str">
        <f>IF(DB_Customers!A435&lt;&gt;"",432,"")</f>
        <v/>
      </c>
      <c r="B441" s="67" t="str">
        <f>IFERROR(IF(DB_Customers!A435&lt;&gt;"",DB_Customers!A435,""),"")</f>
        <v/>
      </c>
      <c r="C441" s="68" t="str">
        <f>IFERROR(IF(DB_Customers!D435&lt;&gt;"",DB_Customers!D435,""),"")</f>
        <v/>
      </c>
      <c r="D441" s="69" t="str">
        <f>IFERROR(IF(DB_Customers!Q435&lt;&gt;"",DB_Customers!Q435,""),"")</f>
        <v/>
      </c>
      <c r="E441" s="68" t="str">
        <f>IFERROR(IF(DB_Customers!R435&lt;&gt;"",DB_Customers!R435,""),"")</f>
        <v/>
      </c>
      <c r="F441" s="68" t="str">
        <f>IFERROR(IF(DB_Customers!S435&lt;&gt;"",DB_Customers!S435,""),"")</f>
        <v/>
      </c>
      <c r="G441" s="68" t="str">
        <f>IFERROR(IF(DB_Customers!G435&lt;&gt;"",DB_Customers!G435,""),"")</f>
        <v/>
      </c>
      <c r="H441" s="70" t="str">
        <f>IFERROR(IF(DB_Customers!H435&lt;&gt;"",DB_Customers!H435,""),"")</f>
        <v/>
      </c>
      <c r="I441" s="71" t="str">
        <f>IFERROR(IF(DB_Customers!I435&lt;&gt;"",DB_Customers!I435,""),"")</f>
        <v/>
      </c>
      <c r="J441" s="69" t="str">
        <f>IFERROR(IF(DB_Customers!J435&lt;&gt;"",DB_Customers!J435,""),"")</f>
        <v/>
      </c>
      <c r="K441" s="68" t="str">
        <f>IFERROR(IF(DB_Customers!E435&lt;&gt;"",DB_Customers!E435,""),"")</f>
        <v/>
      </c>
      <c r="L441" s="68" t="str">
        <f>IFERROR(IF(DB_Customers!F435&lt;&gt;"",DB_Customers!F435,""),"")</f>
        <v/>
      </c>
      <c r="M441" s="68" t="str">
        <f>IFERROR(IF(DB_Customers!T435&lt;&gt;"",DB_Customers!T435,""),"")</f>
        <v/>
      </c>
      <c r="N441" s="72" t="str">
        <f>IFERROR(IF(DB_Customers!A435&lt;&gt;"",IF(DB_Customers!I435&gt;=10,"Active","Inactive"),""),"")</f>
        <v/>
      </c>
    </row>
    <row r="442" spans="1:14" ht="18" customHeight="1" x14ac:dyDescent="0.25">
      <c r="A442" s="59" t="str">
        <f>IF(DB_Customers!A436&lt;&gt;"",433,"")</f>
        <v/>
      </c>
      <c r="B442" s="60" t="str">
        <f>IFERROR(IF(DB_Customers!A436&lt;&gt;"",DB_Customers!A436,""),"")</f>
        <v/>
      </c>
      <c r="C442" s="61" t="str">
        <f>IFERROR(IF(DB_Customers!D436&lt;&gt;"",DB_Customers!D436,""),"")</f>
        <v/>
      </c>
      <c r="D442" s="62" t="str">
        <f>IFERROR(IF(DB_Customers!Q436&lt;&gt;"",DB_Customers!Q436,""),"")</f>
        <v/>
      </c>
      <c r="E442" s="61" t="str">
        <f>IFERROR(IF(DB_Customers!R436&lt;&gt;"",DB_Customers!R436,""),"")</f>
        <v/>
      </c>
      <c r="F442" s="61" t="str">
        <f>IFERROR(IF(DB_Customers!S436&lt;&gt;"",DB_Customers!S436,""),"")</f>
        <v/>
      </c>
      <c r="G442" s="61" t="str">
        <f>IFERROR(IF(DB_Customers!G436&lt;&gt;"",DB_Customers!G436,""),"")</f>
        <v/>
      </c>
      <c r="H442" s="63" t="str">
        <f>IFERROR(IF(DB_Customers!H436&lt;&gt;"",DB_Customers!H436,""),"")</f>
        <v/>
      </c>
      <c r="I442" s="64" t="str">
        <f>IFERROR(IF(DB_Customers!I436&lt;&gt;"",DB_Customers!I436,""),"")</f>
        <v/>
      </c>
      <c r="J442" s="62" t="str">
        <f>IFERROR(IF(DB_Customers!J436&lt;&gt;"",DB_Customers!J436,""),"")</f>
        <v/>
      </c>
      <c r="K442" s="61" t="str">
        <f>IFERROR(IF(DB_Customers!E436&lt;&gt;"",DB_Customers!E436,""),"")</f>
        <v/>
      </c>
      <c r="L442" s="61" t="str">
        <f>IFERROR(IF(DB_Customers!F436&lt;&gt;"",DB_Customers!F436,""),"")</f>
        <v/>
      </c>
      <c r="M442" s="61" t="str">
        <f>IFERROR(IF(DB_Customers!T436&lt;&gt;"",DB_Customers!T436,""),"")</f>
        <v/>
      </c>
      <c r="N442" s="65" t="str">
        <f>IFERROR(IF(DB_Customers!A436&lt;&gt;"",IF(DB_Customers!I436&gt;=10,"Active","Inactive"),""),"")</f>
        <v/>
      </c>
    </row>
    <row r="443" spans="1:14" ht="18" customHeight="1" x14ac:dyDescent="0.25">
      <c r="A443" s="66" t="str">
        <f>IF(DB_Customers!A437&lt;&gt;"",434,"")</f>
        <v/>
      </c>
      <c r="B443" s="67" t="str">
        <f>IFERROR(IF(DB_Customers!A437&lt;&gt;"",DB_Customers!A437,""),"")</f>
        <v/>
      </c>
      <c r="C443" s="68" t="str">
        <f>IFERROR(IF(DB_Customers!D437&lt;&gt;"",DB_Customers!D437,""),"")</f>
        <v/>
      </c>
      <c r="D443" s="69" t="str">
        <f>IFERROR(IF(DB_Customers!Q437&lt;&gt;"",DB_Customers!Q437,""),"")</f>
        <v/>
      </c>
      <c r="E443" s="68" t="str">
        <f>IFERROR(IF(DB_Customers!R437&lt;&gt;"",DB_Customers!R437,""),"")</f>
        <v/>
      </c>
      <c r="F443" s="68" t="str">
        <f>IFERROR(IF(DB_Customers!S437&lt;&gt;"",DB_Customers!S437,""),"")</f>
        <v/>
      </c>
      <c r="G443" s="68" t="str">
        <f>IFERROR(IF(DB_Customers!G437&lt;&gt;"",DB_Customers!G437,""),"")</f>
        <v/>
      </c>
      <c r="H443" s="70" t="str">
        <f>IFERROR(IF(DB_Customers!H437&lt;&gt;"",DB_Customers!H437,""),"")</f>
        <v/>
      </c>
      <c r="I443" s="71" t="str">
        <f>IFERROR(IF(DB_Customers!I437&lt;&gt;"",DB_Customers!I437,""),"")</f>
        <v/>
      </c>
      <c r="J443" s="69" t="str">
        <f>IFERROR(IF(DB_Customers!J437&lt;&gt;"",DB_Customers!J437,""),"")</f>
        <v/>
      </c>
      <c r="K443" s="68" t="str">
        <f>IFERROR(IF(DB_Customers!E437&lt;&gt;"",DB_Customers!E437,""),"")</f>
        <v/>
      </c>
      <c r="L443" s="68" t="str">
        <f>IFERROR(IF(DB_Customers!F437&lt;&gt;"",DB_Customers!F437,""),"")</f>
        <v/>
      </c>
      <c r="M443" s="68" t="str">
        <f>IFERROR(IF(DB_Customers!T437&lt;&gt;"",DB_Customers!T437,""),"")</f>
        <v/>
      </c>
      <c r="N443" s="72" t="str">
        <f>IFERROR(IF(DB_Customers!A437&lt;&gt;"",IF(DB_Customers!I437&gt;=10,"Active","Inactive"),""),"")</f>
        <v/>
      </c>
    </row>
    <row r="444" spans="1:14" ht="18" customHeight="1" x14ac:dyDescent="0.25">
      <c r="A444" s="59" t="str">
        <f>IF(DB_Customers!A438&lt;&gt;"",435,"")</f>
        <v/>
      </c>
      <c r="B444" s="60" t="str">
        <f>IFERROR(IF(DB_Customers!A438&lt;&gt;"",DB_Customers!A438,""),"")</f>
        <v/>
      </c>
      <c r="C444" s="61" t="str">
        <f>IFERROR(IF(DB_Customers!D438&lt;&gt;"",DB_Customers!D438,""),"")</f>
        <v/>
      </c>
      <c r="D444" s="62" t="str">
        <f>IFERROR(IF(DB_Customers!Q438&lt;&gt;"",DB_Customers!Q438,""),"")</f>
        <v/>
      </c>
      <c r="E444" s="61" t="str">
        <f>IFERROR(IF(DB_Customers!R438&lt;&gt;"",DB_Customers!R438,""),"")</f>
        <v/>
      </c>
      <c r="F444" s="61" t="str">
        <f>IFERROR(IF(DB_Customers!S438&lt;&gt;"",DB_Customers!S438,""),"")</f>
        <v/>
      </c>
      <c r="G444" s="61" t="str">
        <f>IFERROR(IF(DB_Customers!G438&lt;&gt;"",DB_Customers!G438,""),"")</f>
        <v/>
      </c>
      <c r="H444" s="63" t="str">
        <f>IFERROR(IF(DB_Customers!H438&lt;&gt;"",DB_Customers!H438,""),"")</f>
        <v/>
      </c>
      <c r="I444" s="64" t="str">
        <f>IFERROR(IF(DB_Customers!I438&lt;&gt;"",DB_Customers!I438,""),"")</f>
        <v/>
      </c>
      <c r="J444" s="62" t="str">
        <f>IFERROR(IF(DB_Customers!J438&lt;&gt;"",DB_Customers!J438,""),"")</f>
        <v/>
      </c>
      <c r="K444" s="61" t="str">
        <f>IFERROR(IF(DB_Customers!E438&lt;&gt;"",DB_Customers!E438,""),"")</f>
        <v/>
      </c>
      <c r="L444" s="61" t="str">
        <f>IFERROR(IF(DB_Customers!F438&lt;&gt;"",DB_Customers!F438,""),"")</f>
        <v/>
      </c>
      <c r="M444" s="61" t="str">
        <f>IFERROR(IF(DB_Customers!T438&lt;&gt;"",DB_Customers!T438,""),"")</f>
        <v/>
      </c>
      <c r="N444" s="65" t="str">
        <f>IFERROR(IF(DB_Customers!A438&lt;&gt;"",IF(DB_Customers!I438&gt;=10,"Active","Inactive"),""),"")</f>
        <v/>
      </c>
    </row>
    <row r="445" spans="1:14" ht="18" customHeight="1" x14ac:dyDescent="0.25">
      <c r="A445" s="66" t="str">
        <f>IF(DB_Customers!A439&lt;&gt;"",436,"")</f>
        <v/>
      </c>
      <c r="B445" s="67" t="str">
        <f>IFERROR(IF(DB_Customers!A439&lt;&gt;"",DB_Customers!A439,""),"")</f>
        <v/>
      </c>
      <c r="C445" s="68" t="str">
        <f>IFERROR(IF(DB_Customers!D439&lt;&gt;"",DB_Customers!D439,""),"")</f>
        <v/>
      </c>
      <c r="D445" s="69" t="str">
        <f>IFERROR(IF(DB_Customers!Q439&lt;&gt;"",DB_Customers!Q439,""),"")</f>
        <v/>
      </c>
      <c r="E445" s="68" t="str">
        <f>IFERROR(IF(DB_Customers!R439&lt;&gt;"",DB_Customers!R439,""),"")</f>
        <v/>
      </c>
      <c r="F445" s="68" t="str">
        <f>IFERROR(IF(DB_Customers!S439&lt;&gt;"",DB_Customers!S439,""),"")</f>
        <v/>
      </c>
      <c r="G445" s="68" t="str">
        <f>IFERROR(IF(DB_Customers!G439&lt;&gt;"",DB_Customers!G439,""),"")</f>
        <v/>
      </c>
      <c r="H445" s="70" t="str">
        <f>IFERROR(IF(DB_Customers!H439&lt;&gt;"",DB_Customers!H439,""),"")</f>
        <v/>
      </c>
      <c r="I445" s="71" t="str">
        <f>IFERROR(IF(DB_Customers!I439&lt;&gt;"",DB_Customers!I439,""),"")</f>
        <v/>
      </c>
      <c r="J445" s="69" t="str">
        <f>IFERROR(IF(DB_Customers!J439&lt;&gt;"",DB_Customers!J439,""),"")</f>
        <v/>
      </c>
      <c r="K445" s="68" t="str">
        <f>IFERROR(IF(DB_Customers!E439&lt;&gt;"",DB_Customers!E439,""),"")</f>
        <v/>
      </c>
      <c r="L445" s="68" t="str">
        <f>IFERROR(IF(DB_Customers!F439&lt;&gt;"",DB_Customers!F439,""),"")</f>
        <v/>
      </c>
      <c r="M445" s="68" t="str">
        <f>IFERROR(IF(DB_Customers!T439&lt;&gt;"",DB_Customers!T439,""),"")</f>
        <v/>
      </c>
      <c r="N445" s="72" t="str">
        <f>IFERROR(IF(DB_Customers!A439&lt;&gt;"",IF(DB_Customers!I439&gt;=10,"Active","Inactive"),""),"")</f>
        <v/>
      </c>
    </row>
    <row r="446" spans="1:14" ht="18" customHeight="1" x14ac:dyDescent="0.25">
      <c r="A446" s="59" t="str">
        <f>IF(DB_Customers!A440&lt;&gt;"",437,"")</f>
        <v/>
      </c>
      <c r="B446" s="60" t="str">
        <f>IFERROR(IF(DB_Customers!A440&lt;&gt;"",DB_Customers!A440,""),"")</f>
        <v/>
      </c>
      <c r="C446" s="61" t="str">
        <f>IFERROR(IF(DB_Customers!D440&lt;&gt;"",DB_Customers!D440,""),"")</f>
        <v/>
      </c>
      <c r="D446" s="62" t="str">
        <f>IFERROR(IF(DB_Customers!Q440&lt;&gt;"",DB_Customers!Q440,""),"")</f>
        <v/>
      </c>
      <c r="E446" s="61" t="str">
        <f>IFERROR(IF(DB_Customers!R440&lt;&gt;"",DB_Customers!R440,""),"")</f>
        <v/>
      </c>
      <c r="F446" s="61" t="str">
        <f>IFERROR(IF(DB_Customers!S440&lt;&gt;"",DB_Customers!S440,""),"")</f>
        <v/>
      </c>
      <c r="G446" s="61" t="str">
        <f>IFERROR(IF(DB_Customers!G440&lt;&gt;"",DB_Customers!G440,""),"")</f>
        <v/>
      </c>
      <c r="H446" s="63" t="str">
        <f>IFERROR(IF(DB_Customers!H440&lt;&gt;"",DB_Customers!H440,""),"")</f>
        <v/>
      </c>
      <c r="I446" s="64" t="str">
        <f>IFERROR(IF(DB_Customers!I440&lt;&gt;"",DB_Customers!I440,""),"")</f>
        <v/>
      </c>
      <c r="J446" s="62" t="str">
        <f>IFERROR(IF(DB_Customers!J440&lt;&gt;"",DB_Customers!J440,""),"")</f>
        <v/>
      </c>
      <c r="K446" s="61" t="str">
        <f>IFERROR(IF(DB_Customers!E440&lt;&gt;"",DB_Customers!E440,""),"")</f>
        <v/>
      </c>
      <c r="L446" s="61" t="str">
        <f>IFERROR(IF(DB_Customers!F440&lt;&gt;"",DB_Customers!F440,""),"")</f>
        <v/>
      </c>
      <c r="M446" s="61" t="str">
        <f>IFERROR(IF(DB_Customers!T440&lt;&gt;"",DB_Customers!T440,""),"")</f>
        <v/>
      </c>
      <c r="N446" s="65" t="str">
        <f>IFERROR(IF(DB_Customers!A440&lt;&gt;"",IF(DB_Customers!I440&gt;=10,"Active","Inactive"),""),"")</f>
        <v/>
      </c>
    </row>
    <row r="447" spans="1:14" ht="18" customHeight="1" x14ac:dyDescent="0.25">
      <c r="A447" s="66" t="str">
        <f>IF(DB_Customers!A441&lt;&gt;"",438,"")</f>
        <v/>
      </c>
      <c r="B447" s="67" t="str">
        <f>IFERROR(IF(DB_Customers!A441&lt;&gt;"",DB_Customers!A441,""),"")</f>
        <v/>
      </c>
      <c r="C447" s="68" t="str">
        <f>IFERROR(IF(DB_Customers!D441&lt;&gt;"",DB_Customers!D441,""),"")</f>
        <v/>
      </c>
      <c r="D447" s="69" t="str">
        <f>IFERROR(IF(DB_Customers!Q441&lt;&gt;"",DB_Customers!Q441,""),"")</f>
        <v/>
      </c>
      <c r="E447" s="68" t="str">
        <f>IFERROR(IF(DB_Customers!R441&lt;&gt;"",DB_Customers!R441,""),"")</f>
        <v/>
      </c>
      <c r="F447" s="68" t="str">
        <f>IFERROR(IF(DB_Customers!S441&lt;&gt;"",DB_Customers!S441,""),"")</f>
        <v/>
      </c>
      <c r="G447" s="68" t="str">
        <f>IFERROR(IF(DB_Customers!G441&lt;&gt;"",DB_Customers!G441,""),"")</f>
        <v/>
      </c>
      <c r="H447" s="70" t="str">
        <f>IFERROR(IF(DB_Customers!H441&lt;&gt;"",DB_Customers!H441,""),"")</f>
        <v/>
      </c>
      <c r="I447" s="71" t="str">
        <f>IFERROR(IF(DB_Customers!I441&lt;&gt;"",DB_Customers!I441,""),"")</f>
        <v/>
      </c>
      <c r="J447" s="69" t="str">
        <f>IFERROR(IF(DB_Customers!J441&lt;&gt;"",DB_Customers!J441,""),"")</f>
        <v/>
      </c>
      <c r="K447" s="68" t="str">
        <f>IFERROR(IF(DB_Customers!E441&lt;&gt;"",DB_Customers!E441,""),"")</f>
        <v/>
      </c>
      <c r="L447" s="68" t="str">
        <f>IFERROR(IF(DB_Customers!F441&lt;&gt;"",DB_Customers!F441,""),"")</f>
        <v/>
      </c>
      <c r="M447" s="68" t="str">
        <f>IFERROR(IF(DB_Customers!T441&lt;&gt;"",DB_Customers!T441,""),"")</f>
        <v/>
      </c>
      <c r="N447" s="72" t="str">
        <f>IFERROR(IF(DB_Customers!A441&lt;&gt;"",IF(DB_Customers!I441&gt;=10,"Active","Inactive"),""),"")</f>
        <v/>
      </c>
    </row>
    <row r="448" spans="1:14" ht="18" customHeight="1" x14ac:dyDescent="0.25">
      <c r="A448" s="59" t="str">
        <f>IF(DB_Customers!A442&lt;&gt;"",439,"")</f>
        <v/>
      </c>
      <c r="B448" s="60" t="str">
        <f>IFERROR(IF(DB_Customers!A442&lt;&gt;"",DB_Customers!A442,""),"")</f>
        <v/>
      </c>
      <c r="C448" s="61" t="str">
        <f>IFERROR(IF(DB_Customers!D442&lt;&gt;"",DB_Customers!D442,""),"")</f>
        <v/>
      </c>
      <c r="D448" s="62" t="str">
        <f>IFERROR(IF(DB_Customers!Q442&lt;&gt;"",DB_Customers!Q442,""),"")</f>
        <v/>
      </c>
      <c r="E448" s="61" t="str">
        <f>IFERROR(IF(DB_Customers!R442&lt;&gt;"",DB_Customers!R442,""),"")</f>
        <v/>
      </c>
      <c r="F448" s="61" t="str">
        <f>IFERROR(IF(DB_Customers!S442&lt;&gt;"",DB_Customers!S442,""),"")</f>
        <v/>
      </c>
      <c r="G448" s="61" t="str">
        <f>IFERROR(IF(DB_Customers!G442&lt;&gt;"",DB_Customers!G442,""),"")</f>
        <v/>
      </c>
      <c r="H448" s="63" t="str">
        <f>IFERROR(IF(DB_Customers!H442&lt;&gt;"",DB_Customers!H442,""),"")</f>
        <v/>
      </c>
      <c r="I448" s="64" t="str">
        <f>IFERROR(IF(DB_Customers!I442&lt;&gt;"",DB_Customers!I442,""),"")</f>
        <v/>
      </c>
      <c r="J448" s="62" t="str">
        <f>IFERROR(IF(DB_Customers!J442&lt;&gt;"",DB_Customers!J442,""),"")</f>
        <v/>
      </c>
      <c r="K448" s="61" t="str">
        <f>IFERROR(IF(DB_Customers!E442&lt;&gt;"",DB_Customers!E442,""),"")</f>
        <v/>
      </c>
      <c r="L448" s="61" t="str">
        <f>IFERROR(IF(DB_Customers!F442&lt;&gt;"",DB_Customers!F442,""),"")</f>
        <v/>
      </c>
      <c r="M448" s="61" t="str">
        <f>IFERROR(IF(DB_Customers!T442&lt;&gt;"",DB_Customers!T442,""),"")</f>
        <v/>
      </c>
      <c r="N448" s="65" t="str">
        <f>IFERROR(IF(DB_Customers!A442&lt;&gt;"",IF(DB_Customers!I442&gt;=10,"Active","Inactive"),""),"")</f>
        <v/>
      </c>
    </row>
    <row r="449" spans="1:14" ht="18" customHeight="1" x14ac:dyDescent="0.25">
      <c r="A449" s="66" t="str">
        <f>IF(DB_Customers!A443&lt;&gt;"",440,"")</f>
        <v/>
      </c>
      <c r="B449" s="67" t="str">
        <f>IFERROR(IF(DB_Customers!A443&lt;&gt;"",DB_Customers!A443,""),"")</f>
        <v/>
      </c>
      <c r="C449" s="68" t="str">
        <f>IFERROR(IF(DB_Customers!D443&lt;&gt;"",DB_Customers!D443,""),"")</f>
        <v/>
      </c>
      <c r="D449" s="69" t="str">
        <f>IFERROR(IF(DB_Customers!Q443&lt;&gt;"",DB_Customers!Q443,""),"")</f>
        <v/>
      </c>
      <c r="E449" s="68" t="str">
        <f>IFERROR(IF(DB_Customers!R443&lt;&gt;"",DB_Customers!R443,""),"")</f>
        <v/>
      </c>
      <c r="F449" s="68" t="str">
        <f>IFERROR(IF(DB_Customers!S443&lt;&gt;"",DB_Customers!S443,""),"")</f>
        <v/>
      </c>
      <c r="G449" s="68" t="str">
        <f>IFERROR(IF(DB_Customers!G443&lt;&gt;"",DB_Customers!G443,""),"")</f>
        <v/>
      </c>
      <c r="H449" s="70" t="str">
        <f>IFERROR(IF(DB_Customers!H443&lt;&gt;"",DB_Customers!H443,""),"")</f>
        <v/>
      </c>
      <c r="I449" s="71" t="str">
        <f>IFERROR(IF(DB_Customers!I443&lt;&gt;"",DB_Customers!I443,""),"")</f>
        <v/>
      </c>
      <c r="J449" s="69" t="str">
        <f>IFERROR(IF(DB_Customers!J443&lt;&gt;"",DB_Customers!J443,""),"")</f>
        <v/>
      </c>
      <c r="K449" s="68" t="str">
        <f>IFERROR(IF(DB_Customers!E443&lt;&gt;"",DB_Customers!E443,""),"")</f>
        <v/>
      </c>
      <c r="L449" s="68" t="str">
        <f>IFERROR(IF(DB_Customers!F443&lt;&gt;"",DB_Customers!F443,""),"")</f>
        <v/>
      </c>
      <c r="M449" s="68" t="str">
        <f>IFERROR(IF(DB_Customers!T443&lt;&gt;"",DB_Customers!T443,""),"")</f>
        <v/>
      </c>
      <c r="N449" s="72" t="str">
        <f>IFERROR(IF(DB_Customers!A443&lt;&gt;"",IF(DB_Customers!I443&gt;=10,"Active","Inactive"),""),"")</f>
        <v/>
      </c>
    </row>
    <row r="450" spans="1:14" ht="18" customHeight="1" x14ac:dyDescent="0.25">
      <c r="A450" s="59" t="str">
        <f>IF(DB_Customers!A444&lt;&gt;"",441,"")</f>
        <v/>
      </c>
      <c r="B450" s="60" t="str">
        <f>IFERROR(IF(DB_Customers!A444&lt;&gt;"",DB_Customers!A444,""),"")</f>
        <v/>
      </c>
      <c r="C450" s="61" t="str">
        <f>IFERROR(IF(DB_Customers!D444&lt;&gt;"",DB_Customers!D444,""),"")</f>
        <v/>
      </c>
      <c r="D450" s="62" t="str">
        <f>IFERROR(IF(DB_Customers!Q444&lt;&gt;"",DB_Customers!Q444,""),"")</f>
        <v/>
      </c>
      <c r="E450" s="61" t="str">
        <f>IFERROR(IF(DB_Customers!R444&lt;&gt;"",DB_Customers!R444,""),"")</f>
        <v/>
      </c>
      <c r="F450" s="61" t="str">
        <f>IFERROR(IF(DB_Customers!S444&lt;&gt;"",DB_Customers!S444,""),"")</f>
        <v/>
      </c>
      <c r="G450" s="61" t="str">
        <f>IFERROR(IF(DB_Customers!G444&lt;&gt;"",DB_Customers!G444,""),"")</f>
        <v/>
      </c>
      <c r="H450" s="63" t="str">
        <f>IFERROR(IF(DB_Customers!H444&lt;&gt;"",DB_Customers!H444,""),"")</f>
        <v/>
      </c>
      <c r="I450" s="64" t="str">
        <f>IFERROR(IF(DB_Customers!I444&lt;&gt;"",DB_Customers!I444,""),"")</f>
        <v/>
      </c>
      <c r="J450" s="62" t="str">
        <f>IFERROR(IF(DB_Customers!J444&lt;&gt;"",DB_Customers!J444,""),"")</f>
        <v/>
      </c>
      <c r="K450" s="61" t="str">
        <f>IFERROR(IF(DB_Customers!E444&lt;&gt;"",DB_Customers!E444,""),"")</f>
        <v/>
      </c>
      <c r="L450" s="61" t="str">
        <f>IFERROR(IF(DB_Customers!F444&lt;&gt;"",DB_Customers!F444,""),"")</f>
        <v/>
      </c>
      <c r="M450" s="61" t="str">
        <f>IFERROR(IF(DB_Customers!T444&lt;&gt;"",DB_Customers!T444,""),"")</f>
        <v/>
      </c>
      <c r="N450" s="65" t="str">
        <f>IFERROR(IF(DB_Customers!A444&lt;&gt;"",IF(DB_Customers!I444&gt;=10,"Active","Inactive"),""),"")</f>
        <v/>
      </c>
    </row>
    <row r="451" spans="1:14" ht="18" customHeight="1" x14ac:dyDescent="0.25">
      <c r="A451" s="66" t="str">
        <f>IF(DB_Customers!A445&lt;&gt;"",442,"")</f>
        <v/>
      </c>
      <c r="B451" s="67" t="str">
        <f>IFERROR(IF(DB_Customers!A445&lt;&gt;"",DB_Customers!A445,""),"")</f>
        <v/>
      </c>
      <c r="C451" s="68" t="str">
        <f>IFERROR(IF(DB_Customers!D445&lt;&gt;"",DB_Customers!D445,""),"")</f>
        <v/>
      </c>
      <c r="D451" s="69" t="str">
        <f>IFERROR(IF(DB_Customers!Q445&lt;&gt;"",DB_Customers!Q445,""),"")</f>
        <v/>
      </c>
      <c r="E451" s="68" t="str">
        <f>IFERROR(IF(DB_Customers!R445&lt;&gt;"",DB_Customers!R445,""),"")</f>
        <v/>
      </c>
      <c r="F451" s="68" t="str">
        <f>IFERROR(IF(DB_Customers!S445&lt;&gt;"",DB_Customers!S445,""),"")</f>
        <v/>
      </c>
      <c r="G451" s="68" t="str">
        <f>IFERROR(IF(DB_Customers!G445&lt;&gt;"",DB_Customers!G445,""),"")</f>
        <v/>
      </c>
      <c r="H451" s="70" t="str">
        <f>IFERROR(IF(DB_Customers!H445&lt;&gt;"",DB_Customers!H445,""),"")</f>
        <v/>
      </c>
      <c r="I451" s="71" t="str">
        <f>IFERROR(IF(DB_Customers!I445&lt;&gt;"",DB_Customers!I445,""),"")</f>
        <v/>
      </c>
      <c r="J451" s="69" t="str">
        <f>IFERROR(IF(DB_Customers!J445&lt;&gt;"",DB_Customers!J445,""),"")</f>
        <v/>
      </c>
      <c r="K451" s="68" t="str">
        <f>IFERROR(IF(DB_Customers!E445&lt;&gt;"",DB_Customers!E445,""),"")</f>
        <v/>
      </c>
      <c r="L451" s="68" t="str">
        <f>IFERROR(IF(DB_Customers!F445&lt;&gt;"",DB_Customers!F445,""),"")</f>
        <v/>
      </c>
      <c r="M451" s="68" t="str">
        <f>IFERROR(IF(DB_Customers!T445&lt;&gt;"",DB_Customers!T445,""),"")</f>
        <v/>
      </c>
      <c r="N451" s="72" t="str">
        <f>IFERROR(IF(DB_Customers!A445&lt;&gt;"",IF(DB_Customers!I445&gt;=10,"Active","Inactive"),""),"")</f>
        <v/>
      </c>
    </row>
    <row r="452" spans="1:14" ht="18" customHeight="1" x14ac:dyDescent="0.25">
      <c r="A452" s="59" t="str">
        <f>IF(DB_Customers!A446&lt;&gt;"",443,"")</f>
        <v/>
      </c>
      <c r="B452" s="60" t="str">
        <f>IFERROR(IF(DB_Customers!A446&lt;&gt;"",DB_Customers!A446,""),"")</f>
        <v/>
      </c>
      <c r="C452" s="61" t="str">
        <f>IFERROR(IF(DB_Customers!D446&lt;&gt;"",DB_Customers!D446,""),"")</f>
        <v/>
      </c>
      <c r="D452" s="62" t="str">
        <f>IFERROR(IF(DB_Customers!Q446&lt;&gt;"",DB_Customers!Q446,""),"")</f>
        <v/>
      </c>
      <c r="E452" s="61" t="str">
        <f>IFERROR(IF(DB_Customers!R446&lt;&gt;"",DB_Customers!R446,""),"")</f>
        <v/>
      </c>
      <c r="F452" s="61" t="str">
        <f>IFERROR(IF(DB_Customers!S446&lt;&gt;"",DB_Customers!S446,""),"")</f>
        <v/>
      </c>
      <c r="G452" s="61" t="str">
        <f>IFERROR(IF(DB_Customers!G446&lt;&gt;"",DB_Customers!G446,""),"")</f>
        <v/>
      </c>
      <c r="H452" s="63" t="str">
        <f>IFERROR(IF(DB_Customers!H446&lt;&gt;"",DB_Customers!H446,""),"")</f>
        <v/>
      </c>
      <c r="I452" s="64" t="str">
        <f>IFERROR(IF(DB_Customers!I446&lt;&gt;"",DB_Customers!I446,""),"")</f>
        <v/>
      </c>
      <c r="J452" s="62" t="str">
        <f>IFERROR(IF(DB_Customers!J446&lt;&gt;"",DB_Customers!J446,""),"")</f>
        <v/>
      </c>
      <c r="K452" s="61" t="str">
        <f>IFERROR(IF(DB_Customers!E446&lt;&gt;"",DB_Customers!E446,""),"")</f>
        <v/>
      </c>
      <c r="L452" s="61" t="str">
        <f>IFERROR(IF(DB_Customers!F446&lt;&gt;"",DB_Customers!F446,""),"")</f>
        <v/>
      </c>
      <c r="M452" s="61" t="str">
        <f>IFERROR(IF(DB_Customers!T446&lt;&gt;"",DB_Customers!T446,""),"")</f>
        <v/>
      </c>
      <c r="N452" s="65" t="str">
        <f>IFERROR(IF(DB_Customers!A446&lt;&gt;"",IF(DB_Customers!I446&gt;=10,"Active","Inactive"),""),"")</f>
        <v/>
      </c>
    </row>
    <row r="453" spans="1:14" ht="18" customHeight="1" x14ac:dyDescent="0.25">
      <c r="A453" s="66" t="str">
        <f>IF(DB_Customers!A447&lt;&gt;"",444,"")</f>
        <v/>
      </c>
      <c r="B453" s="67" t="str">
        <f>IFERROR(IF(DB_Customers!A447&lt;&gt;"",DB_Customers!A447,""),"")</f>
        <v/>
      </c>
      <c r="C453" s="68" t="str">
        <f>IFERROR(IF(DB_Customers!D447&lt;&gt;"",DB_Customers!D447,""),"")</f>
        <v/>
      </c>
      <c r="D453" s="69" t="str">
        <f>IFERROR(IF(DB_Customers!Q447&lt;&gt;"",DB_Customers!Q447,""),"")</f>
        <v/>
      </c>
      <c r="E453" s="68" t="str">
        <f>IFERROR(IF(DB_Customers!R447&lt;&gt;"",DB_Customers!R447,""),"")</f>
        <v/>
      </c>
      <c r="F453" s="68" t="str">
        <f>IFERROR(IF(DB_Customers!S447&lt;&gt;"",DB_Customers!S447,""),"")</f>
        <v/>
      </c>
      <c r="G453" s="68" t="str">
        <f>IFERROR(IF(DB_Customers!G447&lt;&gt;"",DB_Customers!G447,""),"")</f>
        <v/>
      </c>
      <c r="H453" s="70" t="str">
        <f>IFERROR(IF(DB_Customers!H447&lt;&gt;"",DB_Customers!H447,""),"")</f>
        <v/>
      </c>
      <c r="I453" s="71" t="str">
        <f>IFERROR(IF(DB_Customers!I447&lt;&gt;"",DB_Customers!I447,""),"")</f>
        <v/>
      </c>
      <c r="J453" s="69" t="str">
        <f>IFERROR(IF(DB_Customers!J447&lt;&gt;"",DB_Customers!J447,""),"")</f>
        <v/>
      </c>
      <c r="K453" s="68" t="str">
        <f>IFERROR(IF(DB_Customers!E447&lt;&gt;"",DB_Customers!E447,""),"")</f>
        <v/>
      </c>
      <c r="L453" s="68" t="str">
        <f>IFERROR(IF(DB_Customers!F447&lt;&gt;"",DB_Customers!F447,""),"")</f>
        <v/>
      </c>
      <c r="M453" s="68" t="str">
        <f>IFERROR(IF(DB_Customers!T447&lt;&gt;"",DB_Customers!T447,""),"")</f>
        <v/>
      </c>
      <c r="N453" s="72" t="str">
        <f>IFERROR(IF(DB_Customers!A447&lt;&gt;"",IF(DB_Customers!I447&gt;=10,"Active","Inactive"),""),"")</f>
        <v/>
      </c>
    </row>
    <row r="454" spans="1:14" ht="18" customHeight="1" x14ac:dyDescent="0.25">
      <c r="A454" s="59" t="str">
        <f>IF(DB_Customers!A448&lt;&gt;"",445,"")</f>
        <v/>
      </c>
      <c r="B454" s="60" t="str">
        <f>IFERROR(IF(DB_Customers!A448&lt;&gt;"",DB_Customers!A448,""),"")</f>
        <v/>
      </c>
      <c r="C454" s="61" t="str">
        <f>IFERROR(IF(DB_Customers!D448&lt;&gt;"",DB_Customers!D448,""),"")</f>
        <v/>
      </c>
      <c r="D454" s="62" t="str">
        <f>IFERROR(IF(DB_Customers!Q448&lt;&gt;"",DB_Customers!Q448,""),"")</f>
        <v/>
      </c>
      <c r="E454" s="61" t="str">
        <f>IFERROR(IF(DB_Customers!R448&lt;&gt;"",DB_Customers!R448,""),"")</f>
        <v/>
      </c>
      <c r="F454" s="61" t="str">
        <f>IFERROR(IF(DB_Customers!S448&lt;&gt;"",DB_Customers!S448,""),"")</f>
        <v/>
      </c>
      <c r="G454" s="61" t="str">
        <f>IFERROR(IF(DB_Customers!G448&lt;&gt;"",DB_Customers!G448,""),"")</f>
        <v/>
      </c>
      <c r="H454" s="63" t="str">
        <f>IFERROR(IF(DB_Customers!H448&lt;&gt;"",DB_Customers!H448,""),"")</f>
        <v/>
      </c>
      <c r="I454" s="64" t="str">
        <f>IFERROR(IF(DB_Customers!I448&lt;&gt;"",DB_Customers!I448,""),"")</f>
        <v/>
      </c>
      <c r="J454" s="62" t="str">
        <f>IFERROR(IF(DB_Customers!J448&lt;&gt;"",DB_Customers!J448,""),"")</f>
        <v/>
      </c>
      <c r="K454" s="61" t="str">
        <f>IFERROR(IF(DB_Customers!E448&lt;&gt;"",DB_Customers!E448,""),"")</f>
        <v/>
      </c>
      <c r="L454" s="61" t="str">
        <f>IFERROR(IF(DB_Customers!F448&lt;&gt;"",DB_Customers!F448,""),"")</f>
        <v/>
      </c>
      <c r="M454" s="61" t="str">
        <f>IFERROR(IF(DB_Customers!T448&lt;&gt;"",DB_Customers!T448,""),"")</f>
        <v/>
      </c>
      <c r="N454" s="65" t="str">
        <f>IFERROR(IF(DB_Customers!A448&lt;&gt;"",IF(DB_Customers!I448&gt;=10,"Active","Inactive"),""),"")</f>
        <v/>
      </c>
    </row>
    <row r="455" spans="1:14" ht="18" customHeight="1" x14ac:dyDescent="0.25">
      <c r="A455" s="66" t="str">
        <f>IF(DB_Customers!A449&lt;&gt;"",446,"")</f>
        <v/>
      </c>
      <c r="B455" s="67" t="str">
        <f>IFERROR(IF(DB_Customers!A449&lt;&gt;"",DB_Customers!A449,""),"")</f>
        <v/>
      </c>
      <c r="C455" s="68" t="str">
        <f>IFERROR(IF(DB_Customers!D449&lt;&gt;"",DB_Customers!D449,""),"")</f>
        <v/>
      </c>
      <c r="D455" s="69" t="str">
        <f>IFERROR(IF(DB_Customers!Q449&lt;&gt;"",DB_Customers!Q449,""),"")</f>
        <v/>
      </c>
      <c r="E455" s="68" t="str">
        <f>IFERROR(IF(DB_Customers!R449&lt;&gt;"",DB_Customers!R449,""),"")</f>
        <v/>
      </c>
      <c r="F455" s="68" t="str">
        <f>IFERROR(IF(DB_Customers!S449&lt;&gt;"",DB_Customers!S449,""),"")</f>
        <v/>
      </c>
      <c r="G455" s="68" t="str">
        <f>IFERROR(IF(DB_Customers!G449&lt;&gt;"",DB_Customers!G449,""),"")</f>
        <v/>
      </c>
      <c r="H455" s="70" t="str">
        <f>IFERROR(IF(DB_Customers!H449&lt;&gt;"",DB_Customers!H449,""),"")</f>
        <v/>
      </c>
      <c r="I455" s="71" t="str">
        <f>IFERROR(IF(DB_Customers!I449&lt;&gt;"",DB_Customers!I449,""),"")</f>
        <v/>
      </c>
      <c r="J455" s="69" t="str">
        <f>IFERROR(IF(DB_Customers!J449&lt;&gt;"",DB_Customers!J449,""),"")</f>
        <v/>
      </c>
      <c r="K455" s="68" t="str">
        <f>IFERROR(IF(DB_Customers!E449&lt;&gt;"",DB_Customers!E449,""),"")</f>
        <v/>
      </c>
      <c r="L455" s="68" t="str">
        <f>IFERROR(IF(DB_Customers!F449&lt;&gt;"",DB_Customers!F449,""),"")</f>
        <v/>
      </c>
      <c r="M455" s="68" t="str">
        <f>IFERROR(IF(DB_Customers!T449&lt;&gt;"",DB_Customers!T449,""),"")</f>
        <v/>
      </c>
      <c r="N455" s="72" t="str">
        <f>IFERROR(IF(DB_Customers!A449&lt;&gt;"",IF(DB_Customers!I449&gt;=10,"Active","Inactive"),""),"")</f>
        <v/>
      </c>
    </row>
    <row r="456" spans="1:14" ht="18" customHeight="1" x14ac:dyDescent="0.25">
      <c r="A456" s="59" t="str">
        <f>IF(DB_Customers!A450&lt;&gt;"",447,"")</f>
        <v/>
      </c>
      <c r="B456" s="60" t="str">
        <f>IFERROR(IF(DB_Customers!A450&lt;&gt;"",DB_Customers!A450,""),"")</f>
        <v/>
      </c>
      <c r="C456" s="61" t="str">
        <f>IFERROR(IF(DB_Customers!D450&lt;&gt;"",DB_Customers!D450,""),"")</f>
        <v/>
      </c>
      <c r="D456" s="62" t="str">
        <f>IFERROR(IF(DB_Customers!Q450&lt;&gt;"",DB_Customers!Q450,""),"")</f>
        <v/>
      </c>
      <c r="E456" s="61" t="str">
        <f>IFERROR(IF(DB_Customers!R450&lt;&gt;"",DB_Customers!R450,""),"")</f>
        <v/>
      </c>
      <c r="F456" s="61" t="str">
        <f>IFERROR(IF(DB_Customers!S450&lt;&gt;"",DB_Customers!S450,""),"")</f>
        <v/>
      </c>
      <c r="G456" s="61" t="str">
        <f>IFERROR(IF(DB_Customers!G450&lt;&gt;"",DB_Customers!G450,""),"")</f>
        <v/>
      </c>
      <c r="H456" s="63" t="str">
        <f>IFERROR(IF(DB_Customers!H450&lt;&gt;"",DB_Customers!H450,""),"")</f>
        <v/>
      </c>
      <c r="I456" s="64" t="str">
        <f>IFERROR(IF(DB_Customers!I450&lt;&gt;"",DB_Customers!I450,""),"")</f>
        <v/>
      </c>
      <c r="J456" s="62" t="str">
        <f>IFERROR(IF(DB_Customers!J450&lt;&gt;"",DB_Customers!J450,""),"")</f>
        <v/>
      </c>
      <c r="K456" s="61" t="str">
        <f>IFERROR(IF(DB_Customers!E450&lt;&gt;"",DB_Customers!E450,""),"")</f>
        <v/>
      </c>
      <c r="L456" s="61" t="str">
        <f>IFERROR(IF(DB_Customers!F450&lt;&gt;"",DB_Customers!F450,""),"")</f>
        <v/>
      </c>
      <c r="M456" s="61" t="str">
        <f>IFERROR(IF(DB_Customers!T450&lt;&gt;"",DB_Customers!T450,""),"")</f>
        <v/>
      </c>
      <c r="N456" s="65" t="str">
        <f>IFERROR(IF(DB_Customers!A450&lt;&gt;"",IF(DB_Customers!I450&gt;=10,"Active","Inactive"),""),"")</f>
        <v/>
      </c>
    </row>
    <row r="457" spans="1:14" ht="18" customHeight="1" x14ac:dyDescent="0.25">
      <c r="A457" s="66" t="str">
        <f>IF(DB_Customers!A451&lt;&gt;"",448,"")</f>
        <v/>
      </c>
      <c r="B457" s="67" t="str">
        <f>IFERROR(IF(DB_Customers!A451&lt;&gt;"",DB_Customers!A451,""),"")</f>
        <v/>
      </c>
      <c r="C457" s="68" t="str">
        <f>IFERROR(IF(DB_Customers!D451&lt;&gt;"",DB_Customers!D451,""),"")</f>
        <v/>
      </c>
      <c r="D457" s="69" t="str">
        <f>IFERROR(IF(DB_Customers!Q451&lt;&gt;"",DB_Customers!Q451,""),"")</f>
        <v/>
      </c>
      <c r="E457" s="68" t="str">
        <f>IFERROR(IF(DB_Customers!R451&lt;&gt;"",DB_Customers!R451,""),"")</f>
        <v/>
      </c>
      <c r="F457" s="68" t="str">
        <f>IFERROR(IF(DB_Customers!S451&lt;&gt;"",DB_Customers!S451,""),"")</f>
        <v/>
      </c>
      <c r="G457" s="68" t="str">
        <f>IFERROR(IF(DB_Customers!G451&lt;&gt;"",DB_Customers!G451,""),"")</f>
        <v/>
      </c>
      <c r="H457" s="70" t="str">
        <f>IFERROR(IF(DB_Customers!H451&lt;&gt;"",DB_Customers!H451,""),"")</f>
        <v/>
      </c>
      <c r="I457" s="71" t="str">
        <f>IFERROR(IF(DB_Customers!I451&lt;&gt;"",DB_Customers!I451,""),"")</f>
        <v/>
      </c>
      <c r="J457" s="69" t="str">
        <f>IFERROR(IF(DB_Customers!J451&lt;&gt;"",DB_Customers!J451,""),"")</f>
        <v/>
      </c>
      <c r="K457" s="68" t="str">
        <f>IFERROR(IF(DB_Customers!E451&lt;&gt;"",DB_Customers!E451,""),"")</f>
        <v/>
      </c>
      <c r="L457" s="68" t="str">
        <f>IFERROR(IF(DB_Customers!F451&lt;&gt;"",DB_Customers!F451,""),"")</f>
        <v/>
      </c>
      <c r="M457" s="68" t="str">
        <f>IFERROR(IF(DB_Customers!T451&lt;&gt;"",DB_Customers!T451,""),"")</f>
        <v/>
      </c>
      <c r="N457" s="72" t="str">
        <f>IFERROR(IF(DB_Customers!A451&lt;&gt;"",IF(DB_Customers!I451&gt;=10,"Active","Inactive"),""),"")</f>
        <v/>
      </c>
    </row>
    <row r="458" spans="1:14" ht="18" customHeight="1" x14ac:dyDescent="0.25">
      <c r="A458" s="59" t="str">
        <f>IF(DB_Customers!A452&lt;&gt;"",449,"")</f>
        <v/>
      </c>
      <c r="B458" s="60" t="str">
        <f>IFERROR(IF(DB_Customers!A452&lt;&gt;"",DB_Customers!A452,""),"")</f>
        <v/>
      </c>
      <c r="C458" s="61" t="str">
        <f>IFERROR(IF(DB_Customers!D452&lt;&gt;"",DB_Customers!D452,""),"")</f>
        <v/>
      </c>
      <c r="D458" s="62" t="str">
        <f>IFERROR(IF(DB_Customers!Q452&lt;&gt;"",DB_Customers!Q452,""),"")</f>
        <v/>
      </c>
      <c r="E458" s="61" t="str">
        <f>IFERROR(IF(DB_Customers!R452&lt;&gt;"",DB_Customers!R452,""),"")</f>
        <v/>
      </c>
      <c r="F458" s="61" t="str">
        <f>IFERROR(IF(DB_Customers!S452&lt;&gt;"",DB_Customers!S452,""),"")</f>
        <v/>
      </c>
      <c r="G458" s="61" t="str">
        <f>IFERROR(IF(DB_Customers!G452&lt;&gt;"",DB_Customers!G452,""),"")</f>
        <v/>
      </c>
      <c r="H458" s="63" t="str">
        <f>IFERROR(IF(DB_Customers!H452&lt;&gt;"",DB_Customers!H452,""),"")</f>
        <v/>
      </c>
      <c r="I458" s="64" t="str">
        <f>IFERROR(IF(DB_Customers!I452&lt;&gt;"",DB_Customers!I452,""),"")</f>
        <v/>
      </c>
      <c r="J458" s="62" t="str">
        <f>IFERROR(IF(DB_Customers!J452&lt;&gt;"",DB_Customers!J452,""),"")</f>
        <v/>
      </c>
      <c r="K458" s="61" t="str">
        <f>IFERROR(IF(DB_Customers!E452&lt;&gt;"",DB_Customers!E452,""),"")</f>
        <v/>
      </c>
      <c r="L458" s="61" t="str">
        <f>IFERROR(IF(DB_Customers!F452&lt;&gt;"",DB_Customers!F452,""),"")</f>
        <v/>
      </c>
      <c r="M458" s="61" t="str">
        <f>IFERROR(IF(DB_Customers!T452&lt;&gt;"",DB_Customers!T452,""),"")</f>
        <v/>
      </c>
      <c r="N458" s="65" t="str">
        <f>IFERROR(IF(DB_Customers!A452&lt;&gt;"",IF(DB_Customers!I452&gt;=10,"Active","Inactive"),""),"")</f>
        <v/>
      </c>
    </row>
    <row r="459" spans="1:14" ht="18" customHeight="1" x14ac:dyDescent="0.25">
      <c r="A459" s="66" t="str">
        <f>IF(DB_Customers!A453&lt;&gt;"",450,"")</f>
        <v/>
      </c>
      <c r="B459" s="67" t="str">
        <f>IFERROR(IF(DB_Customers!A453&lt;&gt;"",DB_Customers!A453,""),"")</f>
        <v/>
      </c>
      <c r="C459" s="68" t="str">
        <f>IFERROR(IF(DB_Customers!D453&lt;&gt;"",DB_Customers!D453,""),"")</f>
        <v/>
      </c>
      <c r="D459" s="69" t="str">
        <f>IFERROR(IF(DB_Customers!Q453&lt;&gt;"",DB_Customers!Q453,""),"")</f>
        <v/>
      </c>
      <c r="E459" s="68" t="str">
        <f>IFERROR(IF(DB_Customers!R453&lt;&gt;"",DB_Customers!R453,""),"")</f>
        <v/>
      </c>
      <c r="F459" s="68" t="str">
        <f>IFERROR(IF(DB_Customers!S453&lt;&gt;"",DB_Customers!S453,""),"")</f>
        <v/>
      </c>
      <c r="G459" s="68" t="str">
        <f>IFERROR(IF(DB_Customers!G453&lt;&gt;"",DB_Customers!G453,""),"")</f>
        <v/>
      </c>
      <c r="H459" s="70" t="str">
        <f>IFERROR(IF(DB_Customers!H453&lt;&gt;"",DB_Customers!H453,""),"")</f>
        <v/>
      </c>
      <c r="I459" s="71" t="str">
        <f>IFERROR(IF(DB_Customers!I453&lt;&gt;"",DB_Customers!I453,""),"")</f>
        <v/>
      </c>
      <c r="J459" s="69" t="str">
        <f>IFERROR(IF(DB_Customers!J453&lt;&gt;"",DB_Customers!J453,""),"")</f>
        <v/>
      </c>
      <c r="K459" s="68" t="str">
        <f>IFERROR(IF(DB_Customers!E453&lt;&gt;"",DB_Customers!E453,""),"")</f>
        <v/>
      </c>
      <c r="L459" s="68" t="str">
        <f>IFERROR(IF(DB_Customers!F453&lt;&gt;"",DB_Customers!F453,""),"")</f>
        <v/>
      </c>
      <c r="M459" s="68" t="str">
        <f>IFERROR(IF(DB_Customers!T453&lt;&gt;"",DB_Customers!T453,""),"")</f>
        <v/>
      </c>
      <c r="N459" s="72" t="str">
        <f>IFERROR(IF(DB_Customers!A453&lt;&gt;"",IF(DB_Customers!I453&gt;=10,"Active","Inactive"),""),"")</f>
        <v/>
      </c>
    </row>
    <row r="460" spans="1:14" ht="18" customHeight="1" x14ac:dyDescent="0.25">
      <c r="A460" s="59" t="str">
        <f>IF(DB_Customers!A454&lt;&gt;"",451,"")</f>
        <v/>
      </c>
      <c r="B460" s="60" t="str">
        <f>IFERROR(IF(DB_Customers!A454&lt;&gt;"",DB_Customers!A454,""),"")</f>
        <v/>
      </c>
      <c r="C460" s="61" t="str">
        <f>IFERROR(IF(DB_Customers!D454&lt;&gt;"",DB_Customers!D454,""),"")</f>
        <v/>
      </c>
      <c r="D460" s="62" t="str">
        <f>IFERROR(IF(DB_Customers!Q454&lt;&gt;"",DB_Customers!Q454,""),"")</f>
        <v/>
      </c>
      <c r="E460" s="61" t="str">
        <f>IFERROR(IF(DB_Customers!R454&lt;&gt;"",DB_Customers!R454,""),"")</f>
        <v/>
      </c>
      <c r="F460" s="61" t="str">
        <f>IFERROR(IF(DB_Customers!S454&lt;&gt;"",DB_Customers!S454,""),"")</f>
        <v/>
      </c>
      <c r="G460" s="61" t="str">
        <f>IFERROR(IF(DB_Customers!G454&lt;&gt;"",DB_Customers!G454,""),"")</f>
        <v/>
      </c>
      <c r="H460" s="63" t="str">
        <f>IFERROR(IF(DB_Customers!H454&lt;&gt;"",DB_Customers!H454,""),"")</f>
        <v/>
      </c>
      <c r="I460" s="64" t="str">
        <f>IFERROR(IF(DB_Customers!I454&lt;&gt;"",DB_Customers!I454,""),"")</f>
        <v/>
      </c>
      <c r="J460" s="62" t="str">
        <f>IFERROR(IF(DB_Customers!J454&lt;&gt;"",DB_Customers!J454,""),"")</f>
        <v/>
      </c>
      <c r="K460" s="61" t="str">
        <f>IFERROR(IF(DB_Customers!E454&lt;&gt;"",DB_Customers!E454,""),"")</f>
        <v/>
      </c>
      <c r="L460" s="61" t="str">
        <f>IFERROR(IF(DB_Customers!F454&lt;&gt;"",DB_Customers!F454,""),"")</f>
        <v/>
      </c>
      <c r="M460" s="61" t="str">
        <f>IFERROR(IF(DB_Customers!T454&lt;&gt;"",DB_Customers!T454,""),"")</f>
        <v/>
      </c>
      <c r="N460" s="65" t="str">
        <f>IFERROR(IF(DB_Customers!A454&lt;&gt;"",IF(DB_Customers!I454&gt;=10,"Active","Inactive"),""),"")</f>
        <v/>
      </c>
    </row>
    <row r="461" spans="1:14" ht="18" customHeight="1" x14ac:dyDescent="0.25">
      <c r="A461" s="66" t="str">
        <f>IF(DB_Customers!A455&lt;&gt;"",452,"")</f>
        <v/>
      </c>
      <c r="B461" s="67" t="str">
        <f>IFERROR(IF(DB_Customers!A455&lt;&gt;"",DB_Customers!A455,""),"")</f>
        <v/>
      </c>
      <c r="C461" s="68" t="str">
        <f>IFERROR(IF(DB_Customers!D455&lt;&gt;"",DB_Customers!D455,""),"")</f>
        <v/>
      </c>
      <c r="D461" s="69" t="str">
        <f>IFERROR(IF(DB_Customers!Q455&lt;&gt;"",DB_Customers!Q455,""),"")</f>
        <v/>
      </c>
      <c r="E461" s="68" t="str">
        <f>IFERROR(IF(DB_Customers!R455&lt;&gt;"",DB_Customers!R455,""),"")</f>
        <v/>
      </c>
      <c r="F461" s="68" t="str">
        <f>IFERROR(IF(DB_Customers!S455&lt;&gt;"",DB_Customers!S455,""),"")</f>
        <v/>
      </c>
      <c r="G461" s="68" t="str">
        <f>IFERROR(IF(DB_Customers!G455&lt;&gt;"",DB_Customers!G455,""),"")</f>
        <v/>
      </c>
      <c r="H461" s="70" t="str">
        <f>IFERROR(IF(DB_Customers!H455&lt;&gt;"",DB_Customers!H455,""),"")</f>
        <v/>
      </c>
      <c r="I461" s="71" t="str">
        <f>IFERROR(IF(DB_Customers!I455&lt;&gt;"",DB_Customers!I455,""),"")</f>
        <v/>
      </c>
      <c r="J461" s="69" t="str">
        <f>IFERROR(IF(DB_Customers!J455&lt;&gt;"",DB_Customers!J455,""),"")</f>
        <v/>
      </c>
      <c r="K461" s="68" t="str">
        <f>IFERROR(IF(DB_Customers!E455&lt;&gt;"",DB_Customers!E455,""),"")</f>
        <v/>
      </c>
      <c r="L461" s="68" t="str">
        <f>IFERROR(IF(DB_Customers!F455&lt;&gt;"",DB_Customers!F455,""),"")</f>
        <v/>
      </c>
      <c r="M461" s="68" t="str">
        <f>IFERROR(IF(DB_Customers!T455&lt;&gt;"",DB_Customers!T455,""),"")</f>
        <v/>
      </c>
      <c r="N461" s="72" t="str">
        <f>IFERROR(IF(DB_Customers!A455&lt;&gt;"",IF(DB_Customers!I455&gt;=10,"Active","Inactive"),""),"")</f>
        <v/>
      </c>
    </row>
    <row r="462" spans="1:14" ht="18" customHeight="1" x14ac:dyDescent="0.25">
      <c r="A462" s="59" t="str">
        <f>IF(DB_Customers!A456&lt;&gt;"",453,"")</f>
        <v/>
      </c>
      <c r="B462" s="60" t="str">
        <f>IFERROR(IF(DB_Customers!A456&lt;&gt;"",DB_Customers!A456,""),"")</f>
        <v/>
      </c>
      <c r="C462" s="61" t="str">
        <f>IFERROR(IF(DB_Customers!D456&lt;&gt;"",DB_Customers!D456,""),"")</f>
        <v/>
      </c>
      <c r="D462" s="62" t="str">
        <f>IFERROR(IF(DB_Customers!Q456&lt;&gt;"",DB_Customers!Q456,""),"")</f>
        <v/>
      </c>
      <c r="E462" s="61" t="str">
        <f>IFERROR(IF(DB_Customers!R456&lt;&gt;"",DB_Customers!R456,""),"")</f>
        <v/>
      </c>
      <c r="F462" s="61" t="str">
        <f>IFERROR(IF(DB_Customers!S456&lt;&gt;"",DB_Customers!S456,""),"")</f>
        <v/>
      </c>
      <c r="G462" s="61" t="str">
        <f>IFERROR(IF(DB_Customers!G456&lt;&gt;"",DB_Customers!G456,""),"")</f>
        <v/>
      </c>
      <c r="H462" s="63" t="str">
        <f>IFERROR(IF(DB_Customers!H456&lt;&gt;"",DB_Customers!H456,""),"")</f>
        <v/>
      </c>
      <c r="I462" s="64" t="str">
        <f>IFERROR(IF(DB_Customers!I456&lt;&gt;"",DB_Customers!I456,""),"")</f>
        <v/>
      </c>
      <c r="J462" s="62" t="str">
        <f>IFERROR(IF(DB_Customers!J456&lt;&gt;"",DB_Customers!J456,""),"")</f>
        <v/>
      </c>
      <c r="K462" s="61" t="str">
        <f>IFERROR(IF(DB_Customers!E456&lt;&gt;"",DB_Customers!E456,""),"")</f>
        <v/>
      </c>
      <c r="L462" s="61" t="str">
        <f>IFERROR(IF(DB_Customers!F456&lt;&gt;"",DB_Customers!F456,""),"")</f>
        <v/>
      </c>
      <c r="M462" s="61" t="str">
        <f>IFERROR(IF(DB_Customers!T456&lt;&gt;"",DB_Customers!T456,""),"")</f>
        <v/>
      </c>
      <c r="N462" s="65" t="str">
        <f>IFERROR(IF(DB_Customers!A456&lt;&gt;"",IF(DB_Customers!I456&gt;=10,"Active","Inactive"),""),"")</f>
        <v/>
      </c>
    </row>
    <row r="463" spans="1:14" ht="18" customHeight="1" x14ac:dyDescent="0.25">
      <c r="A463" s="66" t="str">
        <f>IF(DB_Customers!A457&lt;&gt;"",454,"")</f>
        <v/>
      </c>
      <c r="B463" s="67" t="str">
        <f>IFERROR(IF(DB_Customers!A457&lt;&gt;"",DB_Customers!A457,""),"")</f>
        <v/>
      </c>
      <c r="C463" s="68" t="str">
        <f>IFERROR(IF(DB_Customers!D457&lt;&gt;"",DB_Customers!D457,""),"")</f>
        <v/>
      </c>
      <c r="D463" s="69" t="str">
        <f>IFERROR(IF(DB_Customers!Q457&lt;&gt;"",DB_Customers!Q457,""),"")</f>
        <v/>
      </c>
      <c r="E463" s="68" t="str">
        <f>IFERROR(IF(DB_Customers!R457&lt;&gt;"",DB_Customers!R457,""),"")</f>
        <v/>
      </c>
      <c r="F463" s="68" t="str">
        <f>IFERROR(IF(DB_Customers!S457&lt;&gt;"",DB_Customers!S457,""),"")</f>
        <v/>
      </c>
      <c r="G463" s="68" t="str">
        <f>IFERROR(IF(DB_Customers!G457&lt;&gt;"",DB_Customers!G457,""),"")</f>
        <v/>
      </c>
      <c r="H463" s="70" t="str">
        <f>IFERROR(IF(DB_Customers!H457&lt;&gt;"",DB_Customers!H457,""),"")</f>
        <v/>
      </c>
      <c r="I463" s="71" t="str">
        <f>IFERROR(IF(DB_Customers!I457&lt;&gt;"",DB_Customers!I457,""),"")</f>
        <v/>
      </c>
      <c r="J463" s="69" t="str">
        <f>IFERROR(IF(DB_Customers!J457&lt;&gt;"",DB_Customers!J457,""),"")</f>
        <v/>
      </c>
      <c r="K463" s="68" t="str">
        <f>IFERROR(IF(DB_Customers!E457&lt;&gt;"",DB_Customers!E457,""),"")</f>
        <v/>
      </c>
      <c r="L463" s="68" t="str">
        <f>IFERROR(IF(DB_Customers!F457&lt;&gt;"",DB_Customers!F457,""),"")</f>
        <v/>
      </c>
      <c r="M463" s="68" t="str">
        <f>IFERROR(IF(DB_Customers!T457&lt;&gt;"",DB_Customers!T457,""),"")</f>
        <v/>
      </c>
      <c r="N463" s="72" t="str">
        <f>IFERROR(IF(DB_Customers!A457&lt;&gt;"",IF(DB_Customers!I457&gt;=10,"Active","Inactive"),""),"")</f>
        <v/>
      </c>
    </row>
    <row r="464" spans="1:14" ht="18" customHeight="1" x14ac:dyDescent="0.25">
      <c r="A464" s="59" t="str">
        <f>IF(DB_Customers!A458&lt;&gt;"",455,"")</f>
        <v/>
      </c>
      <c r="B464" s="60" t="str">
        <f>IFERROR(IF(DB_Customers!A458&lt;&gt;"",DB_Customers!A458,""),"")</f>
        <v/>
      </c>
      <c r="C464" s="61" t="str">
        <f>IFERROR(IF(DB_Customers!D458&lt;&gt;"",DB_Customers!D458,""),"")</f>
        <v/>
      </c>
      <c r="D464" s="62" t="str">
        <f>IFERROR(IF(DB_Customers!Q458&lt;&gt;"",DB_Customers!Q458,""),"")</f>
        <v/>
      </c>
      <c r="E464" s="61" t="str">
        <f>IFERROR(IF(DB_Customers!R458&lt;&gt;"",DB_Customers!R458,""),"")</f>
        <v/>
      </c>
      <c r="F464" s="61" t="str">
        <f>IFERROR(IF(DB_Customers!S458&lt;&gt;"",DB_Customers!S458,""),"")</f>
        <v/>
      </c>
      <c r="G464" s="61" t="str">
        <f>IFERROR(IF(DB_Customers!G458&lt;&gt;"",DB_Customers!G458,""),"")</f>
        <v/>
      </c>
      <c r="H464" s="63" t="str">
        <f>IFERROR(IF(DB_Customers!H458&lt;&gt;"",DB_Customers!H458,""),"")</f>
        <v/>
      </c>
      <c r="I464" s="64" t="str">
        <f>IFERROR(IF(DB_Customers!I458&lt;&gt;"",DB_Customers!I458,""),"")</f>
        <v/>
      </c>
      <c r="J464" s="62" t="str">
        <f>IFERROR(IF(DB_Customers!J458&lt;&gt;"",DB_Customers!J458,""),"")</f>
        <v/>
      </c>
      <c r="K464" s="61" t="str">
        <f>IFERROR(IF(DB_Customers!E458&lt;&gt;"",DB_Customers!E458,""),"")</f>
        <v/>
      </c>
      <c r="L464" s="61" t="str">
        <f>IFERROR(IF(DB_Customers!F458&lt;&gt;"",DB_Customers!F458,""),"")</f>
        <v/>
      </c>
      <c r="M464" s="61" t="str">
        <f>IFERROR(IF(DB_Customers!T458&lt;&gt;"",DB_Customers!T458,""),"")</f>
        <v/>
      </c>
      <c r="N464" s="65" t="str">
        <f>IFERROR(IF(DB_Customers!A458&lt;&gt;"",IF(DB_Customers!I458&gt;=10,"Active","Inactive"),""),"")</f>
        <v/>
      </c>
    </row>
    <row r="465" spans="1:14" ht="18" customHeight="1" x14ac:dyDescent="0.25">
      <c r="A465" s="66" t="str">
        <f>IF(DB_Customers!A459&lt;&gt;"",456,"")</f>
        <v/>
      </c>
      <c r="B465" s="67" t="str">
        <f>IFERROR(IF(DB_Customers!A459&lt;&gt;"",DB_Customers!A459,""),"")</f>
        <v/>
      </c>
      <c r="C465" s="68" t="str">
        <f>IFERROR(IF(DB_Customers!D459&lt;&gt;"",DB_Customers!D459,""),"")</f>
        <v/>
      </c>
      <c r="D465" s="69" t="str">
        <f>IFERROR(IF(DB_Customers!Q459&lt;&gt;"",DB_Customers!Q459,""),"")</f>
        <v/>
      </c>
      <c r="E465" s="68" t="str">
        <f>IFERROR(IF(DB_Customers!R459&lt;&gt;"",DB_Customers!R459,""),"")</f>
        <v/>
      </c>
      <c r="F465" s="68" t="str">
        <f>IFERROR(IF(DB_Customers!S459&lt;&gt;"",DB_Customers!S459,""),"")</f>
        <v/>
      </c>
      <c r="G465" s="68" t="str">
        <f>IFERROR(IF(DB_Customers!G459&lt;&gt;"",DB_Customers!G459,""),"")</f>
        <v/>
      </c>
      <c r="H465" s="70" t="str">
        <f>IFERROR(IF(DB_Customers!H459&lt;&gt;"",DB_Customers!H459,""),"")</f>
        <v/>
      </c>
      <c r="I465" s="71" t="str">
        <f>IFERROR(IF(DB_Customers!I459&lt;&gt;"",DB_Customers!I459,""),"")</f>
        <v/>
      </c>
      <c r="J465" s="69" t="str">
        <f>IFERROR(IF(DB_Customers!J459&lt;&gt;"",DB_Customers!J459,""),"")</f>
        <v/>
      </c>
      <c r="K465" s="68" t="str">
        <f>IFERROR(IF(DB_Customers!E459&lt;&gt;"",DB_Customers!E459,""),"")</f>
        <v/>
      </c>
      <c r="L465" s="68" t="str">
        <f>IFERROR(IF(DB_Customers!F459&lt;&gt;"",DB_Customers!F459,""),"")</f>
        <v/>
      </c>
      <c r="M465" s="68" t="str">
        <f>IFERROR(IF(DB_Customers!T459&lt;&gt;"",DB_Customers!T459,""),"")</f>
        <v/>
      </c>
      <c r="N465" s="72" t="str">
        <f>IFERROR(IF(DB_Customers!A459&lt;&gt;"",IF(DB_Customers!I459&gt;=10,"Active","Inactive"),""),"")</f>
        <v/>
      </c>
    </row>
    <row r="466" spans="1:14" ht="18" customHeight="1" x14ac:dyDescent="0.25">
      <c r="A466" s="59" t="str">
        <f>IF(DB_Customers!A460&lt;&gt;"",457,"")</f>
        <v/>
      </c>
      <c r="B466" s="60" t="str">
        <f>IFERROR(IF(DB_Customers!A460&lt;&gt;"",DB_Customers!A460,""),"")</f>
        <v/>
      </c>
      <c r="C466" s="61" t="str">
        <f>IFERROR(IF(DB_Customers!D460&lt;&gt;"",DB_Customers!D460,""),"")</f>
        <v/>
      </c>
      <c r="D466" s="62" t="str">
        <f>IFERROR(IF(DB_Customers!Q460&lt;&gt;"",DB_Customers!Q460,""),"")</f>
        <v/>
      </c>
      <c r="E466" s="61" t="str">
        <f>IFERROR(IF(DB_Customers!R460&lt;&gt;"",DB_Customers!R460,""),"")</f>
        <v/>
      </c>
      <c r="F466" s="61" t="str">
        <f>IFERROR(IF(DB_Customers!S460&lt;&gt;"",DB_Customers!S460,""),"")</f>
        <v/>
      </c>
      <c r="G466" s="61" t="str">
        <f>IFERROR(IF(DB_Customers!G460&lt;&gt;"",DB_Customers!G460,""),"")</f>
        <v/>
      </c>
      <c r="H466" s="63" t="str">
        <f>IFERROR(IF(DB_Customers!H460&lt;&gt;"",DB_Customers!H460,""),"")</f>
        <v/>
      </c>
      <c r="I466" s="64" t="str">
        <f>IFERROR(IF(DB_Customers!I460&lt;&gt;"",DB_Customers!I460,""),"")</f>
        <v/>
      </c>
      <c r="J466" s="62" t="str">
        <f>IFERROR(IF(DB_Customers!J460&lt;&gt;"",DB_Customers!J460,""),"")</f>
        <v/>
      </c>
      <c r="K466" s="61" t="str">
        <f>IFERROR(IF(DB_Customers!E460&lt;&gt;"",DB_Customers!E460,""),"")</f>
        <v/>
      </c>
      <c r="L466" s="61" t="str">
        <f>IFERROR(IF(DB_Customers!F460&lt;&gt;"",DB_Customers!F460,""),"")</f>
        <v/>
      </c>
      <c r="M466" s="61" t="str">
        <f>IFERROR(IF(DB_Customers!T460&lt;&gt;"",DB_Customers!T460,""),"")</f>
        <v/>
      </c>
      <c r="N466" s="65" t="str">
        <f>IFERROR(IF(DB_Customers!A460&lt;&gt;"",IF(DB_Customers!I460&gt;=10,"Active","Inactive"),""),"")</f>
        <v/>
      </c>
    </row>
    <row r="467" spans="1:14" ht="18" customHeight="1" x14ac:dyDescent="0.25">
      <c r="A467" s="66" t="str">
        <f>IF(DB_Customers!A461&lt;&gt;"",458,"")</f>
        <v/>
      </c>
      <c r="B467" s="67" t="str">
        <f>IFERROR(IF(DB_Customers!A461&lt;&gt;"",DB_Customers!A461,""),"")</f>
        <v/>
      </c>
      <c r="C467" s="68" t="str">
        <f>IFERROR(IF(DB_Customers!D461&lt;&gt;"",DB_Customers!D461,""),"")</f>
        <v/>
      </c>
      <c r="D467" s="69" t="str">
        <f>IFERROR(IF(DB_Customers!Q461&lt;&gt;"",DB_Customers!Q461,""),"")</f>
        <v/>
      </c>
      <c r="E467" s="68" t="str">
        <f>IFERROR(IF(DB_Customers!R461&lt;&gt;"",DB_Customers!R461,""),"")</f>
        <v/>
      </c>
      <c r="F467" s="68" t="str">
        <f>IFERROR(IF(DB_Customers!S461&lt;&gt;"",DB_Customers!S461,""),"")</f>
        <v/>
      </c>
      <c r="G467" s="68" t="str">
        <f>IFERROR(IF(DB_Customers!G461&lt;&gt;"",DB_Customers!G461,""),"")</f>
        <v/>
      </c>
      <c r="H467" s="70" t="str">
        <f>IFERROR(IF(DB_Customers!H461&lt;&gt;"",DB_Customers!H461,""),"")</f>
        <v/>
      </c>
      <c r="I467" s="71" t="str">
        <f>IFERROR(IF(DB_Customers!I461&lt;&gt;"",DB_Customers!I461,""),"")</f>
        <v/>
      </c>
      <c r="J467" s="69" t="str">
        <f>IFERROR(IF(DB_Customers!J461&lt;&gt;"",DB_Customers!J461,""),"")</f>
        <v/>
      </c>
      <c r="K467" s="68" t="str">
        <f>IFERROR(IF(DB_Customers!E461&lt;&gt;"",DB_Customers!E461,""),"")</f>
        <v/>
      </c>
      <c r="L467" s="68" t="str">
        <f>IFERROR(IF(DB_Customers!F461&lt;&gt;"",DB_Customers!F461,""),"")</f>
        <v/>
      </c>
      <c r="M467" s="68" t="str">
        <f>IFERROR(IF(DB_Customers!T461&lt;&gt;"",DB_Customers!T461,""),"")</f>
        <v/>
      </c>
      <c r="N467" s="72" t="str">
        <f>IFERROR(IF(DB_Customers!A461&lt;&gt;"",IF(DB_Customers!I461&gt;=10,"Active","Inactive"),""),"")</f>
        <v/>
      </c>
    </row>
    <row r="468" spans="1:14" ht="18" customHeight="1" x14ac:dyDescent="0.25">
      <c r="A468" s="59" t="str">
        <f>IF(DB_Customers!A462&lt;&gt;"",459,"")</f>
        <v/>
      </c>
      <c r="B468" s="60" t="str">
        <f>IFERROR(IF(DB_Customers!A462&lt;&gt;"",DB_Customers!A462,""),"")</f>
        <v/>
      </c>
      <c r="C468" s="61" t="str">
        <f>IFERROR(IF(DB_Customers!D462&lt;&gt;"",DB_Customers!D462,""),"")</f>
        <v/>
      </c>
      <c r="D468" s="62" t="str">
        <f>IFERROR(IF(DB_Customers!Q462&lt;&gt;"",DB_Customers!Q462,""),"")</f>
        <v/>
      </c>
      <c r="E468" s="61" t="str">
        <f>IFERROR(IF(DB_Customers!R462&lt;&gt;"",DB_Customers!R462,""),"")</f>
        <v/>
      </c>
      <c r="F468" s="61" t="str">
        <f>IFERROR(IF(DB_Customers!S462&lt;&gt;"",DB_Customers!S462,""),"")</f>
        <v/>
      </c>
      <c r="G468" s="61" t="str">
        <f>IFERROR(IF(DB_Customers!G462&lt;&gt;"",DB_Customers!G462,""),"")</f>
        <v/>
      </c>
      <c r="H468" s="63" t="str">
        <f>IFERROR(IF(DB_Customers!H462&lt;&gt;"",DB_Customers!H462,""),"")</f>
        <v/>
      </c>
      <c r="I468" s="64" t="str">
        <f>IFERROR(IF(DB_Customers!I462&lt;&gt;"",DB_Customers!I462,""),"")</f>
        <v/>
      </c>
      <c r="J468" s="62" t="str">
        <f>IFERROR(IF(DB_Customers!J462&lt;&gt;"",DB_Customers!J462,""),"")</f>
        <v/>
      </c>
      <c r="K468" s="61" t="str">
        <f>IFERROR(IF(DB_Customers!E462&lt;&gt;"",DB_Customers!E462,""),"")</f>
        <v/>
      </c>
      <c r="L468" s="61" t="str">
        <f>IFERROR(IF(DB_Customers!F462&lt;&gt;"",DB_Customers!F462,""),"")</f>
        <v/>
      </c>
      <c r="M468" s="61" t="str">
        <f>IFERROR(IF(DB_Customers!T462&lt;&gt;"",DB_Customers!T462,""),"")</f>
        <v/>
      </c>
      <c r="N468" s="65" t="str">
        <f>IFERROR(IF(DB_Customers!A462&lt;&gt;"",IF(DB_Customers!I462&gt;=10,"Active","Inactive"),""),"")</f>
        <v/>
      </c>
    </row>
    <row r="469" spans="1:14" ht="18" customHeight="1" x14ac:dyDescent="0.25">
      <c r="A469" s="66" t="str">
        <f>IF(DB_Customers!A463&lt;&gt;"",460,"")</f>
        <v/>
      </c>
      <c r="B469" s="67" t="str">
        <f>IFERROR(IF(DB_Customers!A463&lt;&gt;"",DB_Customers!A463,""),"")</f>
        <v/>
      </c>
      <c r="C469" s="68" t="str">
        <f>IFERROR(IF(DB_Customers!D463&lt;&gt;"",DB_Customers!D463,""),"")</f>
        <v/>
      </c>
      <c r="D469" s="69" t="str">
        <f>IFERROR(IF(DB_Customers!Q463&lt;&gt;"",DB_Customers!Q463,""),"")</f>
        <v/>
      </c>
      <c r="E469" s="68" t="str">
        <f>IFERROR(IF(DB_Customers!R463&lt;&gt;"",DB_Customers!R463,""),"")</f>
        <v/>
      </c>
      <c r="F469" s="68" t="str">
        <f>IFERROR(IF(DB_Customers!S463&lt;&gt;"",DB_Customers!S463,""),"")</f>
        <v/>
      </c>
      <c r="G469" s="68" t="str">
        <f>IFERROR(IF(DB_Customers!G463&lt;&gt;"",DB_Customers!G463,""),"")</f>
        <v/>
      </c>
      <c r="H469" s="70" t="str">
        <f>IFERROR(IF(DB_Customers!H463&lt;&gt;"",DB_Customers!H463,""),"")</f>
        <v/>
      </c>
      <c r="I469" s="71" t="str">
        <f>IFERROR(IF(DB_Customers!I463&lt;&gt;"",DB_Customers!I463,""),"")</f>
        <v/>
      </c>
      <c r="J469" s="69" t="str">
        <f>IFERROR(IF(DB_Customers!J463&lt;&gt;"",DB_Customers!J463,""),"")</f>
        <v/>
      </c>
      <c r="K469" s="68" t="str">
        <f>IFERROR(IF(DB_Customers!E463&lt;&gt;"",DB_Customers!E463,""),"")</f>
        <v/>
      </c>
      <c r="L469" s="68" t="str">
        <f>IFERROR(IF(DB_Customers!F463&lt;&gt;"",DB_Customers!F463,""),"")</f>
        <v/>
      </c>
      <c r="M469" s="68" t="str">
        <f>IFERROR(IF(DB_Customers!T463&lt;&gt;"",DB_Customers!T463,""),"")</f>
        <v/>
      </c>
      <c r="N469" s="72" t="str">
        <f>IFERROR(IF(DB_Customers!A463&lt;&gt;"",IF(DB_Customers!I463&gt;=10,"Active","Inactive"),""),"")</f>
        <v/>
      </c>
    </row>
    <row r="470" spans="1:14" ht="18" customHeight="1" x14ac:dyDescent="0.25">
      <c r="A470" s="59" t="str">
        <f>IF(DB_Customers!A464&lt;&gt;"",461,"")</f>
        <v/>
      </c>
      <c r="B470" s="60" t="str">
        <f>IFERROR(IF(DB_Customers!A464&lt;&gt;"",DB_Customers!A464,""),"")</f>
        <v/>
      </c>
      <c r="C470" s="61" t="str">
        <f>IFERROR(IF(DB_Customers!D464&lt;&gt;"",DB_Customers!D464,""),"")</f>
        <v/>
      </c>
      <c r="D470" s="62" t="str">
        <f>IFERROR(IF(DB_Customers!Q464&lt;&gt;"",DB_Customers!Q464,""),"")</f>
        <v/>
      </c>
      <c r="E470" s="61" t="str">
        <f>IFERROR(IF(DB_Customers!R464&lt;&gt;"",DB_Customers!R464,""),"")</f>
        <v/>
      </c>
      <c r="F470" s="61" t="str">
        <f>IFERROR(IF(DB_Customers!S464&lt;&gt;"",DB_Customers!S464,""),"")</f>
        <v/>
      </c>
      <c r="G470" s="61" t="str">
        <f>IFERROR(IF(DB_Customers!G464&lt;&gt;"",DB_Customers!G464,""),"")</f>
        <v/>
      </c>
      <c r="H470" s="63" t="str">
        <f>IFERROR(IF(DB_Customers!H464&lt;&gt;"",DB_Customers!H464,""),"")</f>
        <v/>
      </c>
      <c r="I470" s="64" t="str">
        <f>IFERROR(IF(DB_Customers!I464&lt;&gt;"",DB_Customers!I464,""),"")</f>
        <v/>
      </c>
      <c r="J470" s="62" t="str">
        <f>IFERROR(IF(DB_Customers!J464&lt;&gt;"",DB_Customers!J464,""),"")</f>
        <v/>
      </c>
      <c r="K470" s="61" t="str">
        <f>IFERROR(IF(DB_Customers!E464&lt;&gt;"",DB_Customers!E464,""),"")</f>
        <v/>
      </c>
      <c r="L470" s="61" t="str">
        <f>IFERROR(IF(DB_Customers!F464&lt;&gt;"",DB_Customers!F464,""),"")</f>
        <v/>
      </c>
      <c r="M470" s="61" t="str">
        <f>IFERROR(IF(DB_Customers!T464&lt;&gt;"",DB_Customers!T464,""),"")</f>
        <v/>
      </c>
      <c r="N470" s="65" t="str">
        <f>IFERROR(IF(DB_Customers!A464&lt;&gt;"",IF(DB_Customers!I464&gt;=10,"Active","Inactive"),""),"")</f>
        <v/>
      </c>
    </row>
    <row r="471" spans="1:14" ht="18" customHeight="1" x14ac:dyDescent="0.25">
      <c r="A471" s="66" t="str">
        <f>IF(DB_Customers!A465&lt;&gt;"",462,"")</f>
        <v/>
      </c>
      <c r="B471" s="67" t="str">
        <f>IFERROR(IF(DB_Customers!A465&lt;&gt;"",DB_Customers!A465,""),"")</f>
        <v/>
      </c>
      <c r="C471" s="68" t="str">
        <f>IFERROR(IF(DB_Customers!D465&lt;&gt;"",DB_Customers!D465,""),"")</f>
        <v/>
      </c>
      <c r="D471" s="69" t="str">
        <f>IFERROR(IF(DB_Customers!Q465&lt;&gt;"",DB_Customers!Q465,""),"")</f>
        <v/>
      </c>
      <c r="E471" s="68" t="str">
        <f>IFERROR(IF(DB_Customers!R465&lt;&gt;"",DB_Customers!R465,""),"")</f>
        <v/>
      </c>
      <c r="F471" s="68" t="str">
        <f>IFERROR(IF(DB_Customers!S465&lt;&gt;"",DB_Customers!S465,""),"")</f>
        <v/>
      </c>
      <c r="G471" s="68" t="str">
        <f>IFERROR(IF(DB_Customers!G465&lt;&gt;"",DB_Customers!G465,""),"")</f>
        <v/>
      </c>
      <c r="H471" s="70" t="str">
        <f>IFERROR(IF(DB_Customers!H465&lt;&gt;"",DB_Customers!H465,""),"")</f>
        <v/>
      </c>
      <c r="I471" s="71" t="str">
        <f>IFERROR(IF(DB_Customers!I465&lt;&gt;"",DB_Customers!I465,""),"")</f>
        <v/>
      </c>
      <c r="J471" s="69" t="str">
        <f>IFERROR(IF(DB_Customers!J465&lt;&gt;"",DB_Customers!J465,""),"")</f>
        <v/>
      </c>
      <c r="K471" s="68" t="str">
        <f>IFERROR(IF(DB_Customers!E465&lt;&gt;"",DB_Customers!E465,""),"")</f>
        <v/>
      </c>
      <c r="L471" s="68" t="str">
        <f>IFERROR(IF(DB_Customers!F465&lt;&gt;"",DB_Customers!F465,""),"")</f>
        <v/>
      </c>
      <c r="M471" s="68" t="str">
        <f>IFERROR(IF(DB_Customers!T465&lt;&gt;"",DB_Customers!T465,""),"")</f>
        <v/>
      </c>
      <c r="N471" s="72" t="str">
        <f>IFERROR(IF(DB_Customers!A465&lt;&gt;"",IF(DB_Customers!I465&gt;=10,"Active","Inactive"),""),"")</f>
        <v/>
      </c>
    </row>
    <row r="472" spans="1:14" ht="18" customHeight="1" x14ac:dyDescent="0.25">
      <c r="A472" s="59" t="str">
        <f>IF(DB_Customers!A466&lt;&gt;"",463,"")</f>
        <v/>
      </c>
      <c r="B472" s="60" t="str">
        <f>IFERROR(IF(DB_Customers!A466&lt;&gt;"",DB_Customers!A466,""),"")</f>
        <v/>
      </c>
      <c r="C472" s="61" t="str">
        <f>IFERROR(IF(DB_Customers!D466&lt;&gt;"",DB_Customers!D466,""),"")</f>
        <v/>
      </c>
      <c r="D472" s="62" t="str">
        <f>IFERROR(IF(DB_Customers!Q466&lt;&gt;"",DB_Customers!Q466,""),"")</f>
        <v/>
      </c>
      <c r="E472" s="61" t="str">
        <f>IFERROR(IF(DB_Customers!R466&lt;&gt;"",DB_Customers!R466,""),"")</f>
        <v/>
      </c>
      <c r="F472" s="61" t="str">
        <f>IFERROR(IF(DB_Customers!S466&lt;&gt;"",DB_Customers!S466,""),"")</f>
        <v/>
      </c>
      <c r="G472" s="61" t="str">
        <f>IFERROR(IF(DB_Customers!G466&lt;&gt;"",DB_Customers!G466,""),"")</f>
        <v/>
      </c>
      <c r="H472" s="63" t="str">
        <f>IFERROR(IF(DB_Customers!H466&lt;&gt;"",DB_Customers!H466,""),"")</f>
        <v/>
      </c>
      <c r="I472" s="64" t="str">
        <f>IFERROR(IF(DB_Customers!I466&lt;&gt;"",DB_Customers!I466,""),"")</f>
        <v/>
      </c>
      <c r="J472" s="62" t="str">
        <f>IFERROR(IF(DB_Customers!J466&lt;&gt;"",DB_Customers!J466,""),"")</f>
        <v/>
      </c>
      <c r="K472" s="61" t="str">
        <f>IFERROR(IF(DB_Customers!E466&lt;&gt;"",DB_Customers!E466,""),"")</f>
        <v/>
      </c>
      <c r="L472" s="61" t="str">
        <f>IFERROR(IF(DB_Customers!F466&lt;&gt;"",DB_Customers!F466,""),"")</f>
        <v/>
      </c>
      <c r="M472" s="61" t="str">
        <f>IFERROR(IF(DB_Customers!T466&lt;&gt;"",DB_Customers!T466,""),"")</f>
        <v/>
      </c>
      <c r="N472" s="65" t="str">
        <f>IFERROR(IF(DB_Customers!A466&lt;&gt;"",IF(DB_Customers!I466&gt;=10,"Active","Inactive"),""),"")</f>
        <v/>
      </c>
    </row>
    <row r="473" spans="1:14" ht="18" customHeight="1" x14ac:dyDescent="0.25">
      <c r="A473" s="66" t="str">
        <f>IF(DB_Customers!A467&lt;&gt;"",464,"")</f>
        <v/>
      </c>
      <c r="B473" s="67" t="str">
        <f>IFERROR(IF(DB_Customers!A467&lt;&gt;"",DB_Customers!A467,""),"")</f>
        <v/>
      </c>
      <c r="C473" s="68" t="str">
        <f>IFERROR(IF(DB_Customers!D467&lt;&gt;"",DB_Customers!D467,""),"")</f>
        <v/>
      </c>
      <c r="D473" s="69" t="str">
        <f>IFERROR(IF(DB_Customers!Q467&lt;&gt;"",DB_Customers!Q467,""),"")</f>
        <v/>
      </c>
      <c r="E473" s="68" t="str">
        <f>IFERROR(IF(DB_Customers!R467&lt;&gt;"",DB_Customers!R467,""),"")</f>
        <v/>
      </c>
      <c r="F473" s="68" t="str">
        <f>IFERROR(IF(DB_Customers!S467&lt;&gt;"",DB_Customers!S467,""),"")</f>
        <v/>
      </c>
      <c r="G473" s="68" t="str">
        <f>IFERROR(IF(DB_Customers!G467&lt;&gt;"",DB_Customers!G467,""),"")</f>
        <v/>
      </c>
      <c r="H473" s="70" t="str">
        <f>IFERROR(IF(DB_Customers!H467&lt;&gt;"",DB_Customers!H467,""),"")</f>
        <v/>
      </c>
      <c r="I473" s="71" t="str">
        <f>IFERROR(IF(DB_Customers!I467&lt;&gt;"",DB_Customers!I467,""),"")</f>
        <v/>
      </c>
      <c r="J473" s="69" t="str">
        <f>IFERROR(IF(DB_Customers!J467&lt;&gt;"",DB_Customers!J467,""),"")</f>
        <v/>
      </c>
      <c r="K473" s="68" t="str">
        <f>IFERROR(IF(DB_Customers!E467&lt;&gt;"",DB_Customers!E467,""),"")</f>
        <v/>
      </c>
      <c r="L473" s="68" t="str">
        <f>IFERROR(IF(DB_Customers!F467&lt;&gt;"",DB_Customers!F467,""),"")</f>
        <v/>
      </c>
      <c r="M473" s="68" t="str">
        <f>IFERROR(IF(DB_Customers!T467&lt;&gt;"",DB_Customers!T467,""),"")</f>
        <v/>
      </c>
      <c r="N473" s="72" t="str">
        <f>IFERROR(IF(DB_Customers!A467&lt;&gt;"",IF(DB_Customers!I467&gt;=10,"Active","Inactive"),""),"")</f>
        <v/>
      </c>
    </row>
    <row r="474" spans="1:14" ht="18" customHeight="1" x14ac:dyDescent="0.25">
      <c r="A474" s="59" t="str">
        <f>IF(DB_Customers!A468&lt;&gt;"",465,"")</f>
        <v/>
      </c>
      <c r="B474" s="60" t="str">
        <f>IFERROR(IF(DB_Customers!A468&lt;&gt;"",DB_Customers!A468,""),"")</f>
        <v/>
      </c>
      <c r="C474" s="61" t="str">
        <f>IFERROR(IF(DB_Customers!D468&lt;&gt;"",DB_Customers!D468,""),"")</f>
        <v/>
      </c>
      <c r="D474" s="62" t="str">
        <f>IFERROR(IF(DB_Customers!Q468&lt;&gt;"",DB_Customers!Q468,""),"")</f>
        <v/>
      </c>
      <c r="E474" s="61" t="str">
        <f>IFERROR(IF(DB_Customers!R468&lt;&gt;"",DB_Customers!R468,""),"")</f>
        <v/>
      </c>
      <c r="F474" s="61" t="str">
        <f>IFERROR(IF(DB_Customers!S468&lt;&gt;"",DB_Customers!S468,""),"")</f>
        <v/>
      </c>
      <c r="G474" s="61" t="str">
        <f>IFERROR(IF(DB_Customers!G468&lt;&gt;"",DB_Customers!G468,""),"")</f>
        <v/>
      </c>
      <c r="H474" s="63" t="str">
        <f>IFERROR(IF(DB_Customers!H468&lt;&gt;"",DB_Customers!H468,""),"")</f>
        <v/>
      </c>
      <c r="I474" s="64" t="str">
        <f>IFERROR(IF(DB_Customers!I468&lt;&gt;"",DB_Customers!I468,""),"")</f>
        <v/>
      </c>
      <c r="J474" s="62" t="str">
        <f>IFERROR(IF(DB_Customers!J468&lt;&gt;"",DB_Customers!J468,""),"")</f>
        <v/>
      </c>
      <c r="K474" s="61" t="str">
        <f>IFERROR(IF(DB_Customers!E468&lt;&gt;"",DB_Customers!E468,""),"")</f>
        <v/>
      </c>
      <c r="L474" s="61" t="str">
        <f>IFERROR(IF(DB_Customers!F468&lt;&gt;"",DB_Customers!F468,""),"")</f>
        <v/>
      </c>
      <c r="M474" s="61" t="str">
        <f>IFERROR(IF(DB_Customers!T468&lt;&gt;"",DB_Customers!T468,""),"")</f>
        <v/>
      </c>
      <c r="N474" s="65" t="str">
        <f>IFERROR(IF(DB_Customers!A468&lt;&gt;"",IF(DB_Customers!I468&gt;=10,"Active","Inactive"),""),"")</f>
        <v/>
      </c>
    </row>
    <row r="475" spans="1:14" ht="18" customHeight="1" x14ac:dyDescent="0.25">
      <c r="A475" s="66" t="str">
        <f>IF(DB_Customers!A469&lt;&gt;"",466,"")</f>
        <v/>
      </c>
      <c r="B475" s="67" t="str">
        <f>IFERROR(IF(DB_Customers!A469&lt;&gt;"",DB_Customers!A469,""),"")</f>
        <v/>
      </c>
      <c r="C475" s="68" t="str">
        <f>IFERROR(IF(DB_Customers!D469&lt;&gt;"",DB_Customers!D469,""),"")</f>
        <v/>
      </c>
      <c r="D475" s="69" t="str">
        <f>IFERROR(IF(DB_Customers!Q469&lt;&gt;"",DB_Customers!Q469,""),"")</f>
        <v/>
      </c>
      <c r="E475" s="68" t="str">
        <f>IFERROR(IF(DB_Customers!R469&lt;&gt;"",DB_Customers!R469,""),"")</f>
        <v/>
      </c>
      <c r="F475" s="68" t="str">
        <f>IFERROR(IF(DB_Customers!S469&lt;&gt;"",DB_Customers!S469,""),"")</f>
        <v/>
      </c>
      <c r="G475" s="68" t="str">
        <f>IFERROR(IF(DB_Customers!G469&lt;&gt;"",DB_Customers!G469,""),"")</f>
        <v/>
      </c>
      <c r="H475" s="70" t="str">
        <f>IFERROR(IF(DB_Customers!H469&lt;&gt;"",DB_Customers!H469,""),"")</f>
        <v/>
      </c>
      <c r="I475" s="71" t="str">
        <f>IFERROR(IF(DB_Customers!I469&lt;&gt;"",DB_Customers!I469,""),"")</f>
        <v/>
      </c>
      <c r="J475" s="69" t="str">
        <f>IFERROR(IF(DB_Customers!J469&lt;&gt;"",DB_Customers!J469,""),"")</f>
        <v/>
      </c>
      <c r="K475" s="68" t="str">
        <f>IFERROR(IF(DB_Customers!E469&lt;&gt;"",DB_Customers!E469,""),"")</f>
        <v/>
      </c>
      <c r="L475" s="68" t="str">
        <f>IFERROR(IF(DB_Customers!F469&lt;&gt;"",DB_Customers!F469,""),"")</f>
        <v/>
      </c>
      <c r="M475" s="68" t="str">
        <f>IFERROR(IF(DB_Customers!T469&lt;&gt;"",DB_Customers!T469,""),"")</f>
        <v/>
      </c>
      <c r="N475" s="72" t="str">
        <f>IFERROR(IF(DB_Customers!A469&lt;&gt;"",IF(DB_Customers!I469&gt;=10,"Active","Inactive"),""),"")</f>
        <v/>
      </c>
    </row>
    <row r="476" spans="1:14" ht="18" customHeight="1" x14ac:dyDescent="0.25">
      <c r="A476" s="59" t="str">
        <f>IF(DB_Customers!A470&lt;&gt;"",467,"")</f>
        <v/>
      </c>
      <c r="B476" s="60" t="str">
        <f>IFERROR(IF(DB_Customers!A470&lt;&gt;"",DB_Customers!A470,""),"")</f>
        <v/>
      </c>
      <c r="C476" s="61" t="str">
        <f>IFERROR(IF(DB_Customers!D470&lt;&gt;"",DB_Customers!D470,""),"")</f>
        <v/>
      </c>
      <c r="D476" s="62" t="str">
        <f>IFERROR(IF(DB_Customers!Q470&lt;&gt;"",DB_Customers!Q470,""),"")</f>
        <v/>
      </c>
      <c r="E476" s="61" t="str">
        <f>IFERROR(IF(DB_Customers!R470&lt;&gt;"",DB_Customers!R470,""),"")</f>
        <v/>
      </c>
      <c r="F476" s="61" t="str">
        <f>IFERROR(IF(DB_Customers!S470&lt;&gt;"",DB_Customers!S470,""),"")</f>
        <v/>
      </c>
      <c r="G476" s="61" t="str">
        <f>IFERROR(IF(DB_Customers!G470&lt;&gt;"",DB_Customers!G470,""),"")</f>
        <v/>
      </c>
      <c r="H476" s="63" t="str">
        <f>IFERROR(IF(DB_Customers!H470&lt;&gt;"",DB_Customers!H470,""),"")</f>
        <v/>
      </c>
      <c r="I476" s="64" t="str">
        <f>IFERROR(IF(DB_Customers!I470&lt;&gt;"",DB_Customers!I470,""),"")</f>
        <v/>
      </c>
      <c r="J476" s="62" t="str">
        <f>IFERROR(IF(DB_Customers!J470&lt;&gt;"",DB_Customers!J470,""),"")</f>
        <v/>
      </c>
      <c r="K476" s="61" t="str">
        <f>IFERROR(IF(DB_Customers!E470&lt;&gt;"",DB_Customers!E470,""),"")</f>
        <v/>
      </c>
      <c r="L476" s="61" t="str">
        <f>IFERROR(IF(DB_Customers!F470&lt;&gt;"",DB_Customers!F470,""),"")</f>
        <v/>
      </c>
      <c r="M476" s="61" t="str">
        <f>IFERROR(IF(DB_Customers!T470&lt;&gt;"",DB_Customers!T470,""),"")</f>
        <v/>
      </c>
      <c r="N476" s="65" t="str">
        <f>IFERROR(IF(DB_Customers!A470&lt;&gt;"",IF(DB_Customers!I470&gt;=10,"Active","Inactive"),""),"")</f>
        <v/>
      </c>
    </row>
    <row r="477" spans="1:14" ht="18" customHeight="1" x14ac:dyDescent="0.25">
      <c r="A477" s="66" t="str">
        <f>IF(DB_Customers!A471&lt;&gt;"",468,"")</f>
        <v/>
      </c>
      <c r="B477" s="67" t="str">
        <f>IFERROR(IF(DB_Customers!A471&lt;&gt;"",DB_Customers!A471,""),"")</f>
        <v/>
      </c>
      <c r="C477" s="68" t="str">
        <f>IFERROR(IF(DB_Customers!D471&lt;&gt;"",DB_Customers!D471,""),"")</f>
        <v/>
      </c>
      <c r="D477" s="69" t="str">
        <f>IFERROR(IF(DB_Customers!Q471&lt;&gt;"",DB_Customers!Q471,""),"")</f>
        <v/>
      </c>
      <c r="E477" s="68" t="str">
        <f>IFERROR(IF(DB_Customers!R471&lt;&gt;"",DB_Customers!R471,""),"")</f>
        <v/>
      </c>
      <c r="F477" s="68" t="str">
        <f>IFERROR(IF(DB_Customers!S471&lt;&gt;"",DB_Customers!S471,""),"")</f>
        <v/>
      </c>
      <c r="G477" s="68" t="str">
        <f>IFERROR(IF(DB_Customers!G471&lt;&gt;"",DB_Customers!G471,""),"")</f>
        <v/>
      </c>
      <c r="H477" s="70" t="str">
        <f>IFERROR(IF(DB_Customers!H471&lt;&gt;"",DB_Customers!H471,""),"")</f>
        <v/>
      </c>
      <c r="I477" s="71" t="str">
        <f>IFERROR(IF(DB_Customers!I471&lt;&gt;"",DB_Customers!I471,""),"")</f>
        <v/>
      </c>
      <c r="J477" s="69" t="str">
        <f>IFERROR(IF(DB_Customers!J471&lt;&gt;"",DB_Customers!J471,""),"")</f>
        <v/>
      </c>
      <c r="K477" s="68" t="str">
        <f>IFERROR(IF(DB_Customers!E471&lt;&gt;"",DB_Customers!E471,""),"")</f>
        <v/>
      </c>
      <c r="L477" s="68" t="str">
        <f>IFERROR(IF(DB_Customers!F471&lt;&gt;"",DB_Customers!F471,""),"")</f>
        <v/>
      </c>
      <c r="M477" s="68" t="str">
        <f>IFERROR(IF(DB_Customers!T471&lt;&gt;"",DB_Customers!T471,""),"")</f>
        <v/>
      </c>
      <c r="N477" s="72" t="str">
        <f>IFERROR(IF(DB_Customers!A471&lt;&gt;"",IF(DB_Customers!I471&gt;=10,"Active","Inactive"),""),"")</f>
        <v/>
      </c>
    </row>
    <row r="478" spans="1:14" ht="18" customHeight="1" x14ac:dyDescent="0.25">
      <c r="A478" s="59" t="str">
        <f>IF(DB_Customers!A472&lt;&gt;"",469,"")</f>
        <v/>
      </c>
      <c r="B478" s="60" t="str">
        <f>IFERROR(IF(DB_Customers!A472&lt;&gt;"",DB_Customers!A472,""),"")</f>
        <v/>
      </c>
      <c r="C478" s="61" t="str">
        <f>IFERROR(IF(DB_Customers!D472&lt;&gt;"",DB_Customers!D472,""),"")</f>
        <v/>
      </c>
      <c r="D478" s="62" t="str">
        <f>IFERROR(IF(DB_Customers!Q472&lt;&gt;"",DB_Customers!Q472,""),"")</f>
        <v/>
      </c>
      <c r="E478" s="61" t="str">
        <f>IFERROR(IF(DB_Customers!R472&lt;&gt;"",DB_Customers!R472,""),"")</f>
        <v/>
      </c>
      <c r="F478" s="61" t="str">
        <f>IFERROR(IF(DB_Customers!S472&lt;&gt;"",DB_Customers!S472,""),"")</f>
        <v/>
      </c>
      <c r="G478" s="61" t="str">
        <f>IFERROR(IF(DB_Customers!G472&lt;&gt;"",DB_Customers!G472,""),"")</f>
        <v/>
      </c>
      <c r="H478" s="63" t="str">
        <f>IFERROR(IF(DB_Customers!H472&lt;&gt;"",DB_Customers!H472,""),"")</f>
        <v/>
      </c>
      <c r="I478" s="64" t="str">
        <f>IFERROR(IF(DB_Customers!I472&lt;&gt;"",DB_Customers!I472,""),"")</f>
        <v/>
      </c>
      <c r="J478" s="62" t="str">
        <f>IFERROR(IF(DB_Customers!J472&lt;&gt;"",DB_Customers!J472,""),"")</f>
        <v/>
      </c>
      <c r="K478" s="61" t="str">
        <f>IFERROR(IF(DB_Customers!E472&lt;&gt;"",DB_Customers!E472,""),"")</f>
        <v/>
      </c>
      <c r="L478" s="61" t="str">
        <f>IFERROR(IF(DB_Customers!F472&lt;&gt;"",DB_Customers!F472,""),"")</f>
        <v/>
      </c>
      <c r="M478" s="61" t="str">
        <f>IFERROR(IF(DB_Customers!T472&lt;&gt;"",DB_Customers!T472,""),"")</f>
        <v/>
      </c>
      <c r="N478" s="65" t="str">
        <f>IFERROR(IF(DB_Customers!A472&lt;&gt;"",IF(DB_Customers!I472&gt;=10,"Active","Inactive"),""),"")</f>
        <v/>
      </c>
    </row>
    <row r="479" spans="1:14" ht="18" customHeight="1" x14ac:dyDescent="0.25">
      <c r="A479" s="66" t="str">
        <f>IF(DB_Customers!A473&lt;&gt;"",470,"")</f>
        <v/>
      </c>
      <c r="B479" s="67" t="str">
        <f>IFERROR(IF(DB_Customers!A473&lt;&gt;"",DB_Customers!A473,""),"")</f>
        <v/>
      </c>
      <c r="C479" s="68" t="str">
        <f>IFERROR(IF(DB_Customers!D473&lt;&gt;"",DB_Customers!D473,""),"")</f>
        <v/>
      </c>
      <c r="D479" s="69" t="str">
        <f>IFERROR(IF(DB_Customers!Q473&lt;&gt;"",DB_Customers!Q473,""),"")</f>
        <v/>
      </c>
      <c r="E479" s="68" t="str">
        <f>IFERROR(IF(DB_Customers!R473&lt;&gt;"",DB_Customers!R473,""),"")</f>
        <v/>
      </c>
      <c r="F479" s="68" t="str">
        <f>IFERROR(IF(DB_Customers!S473&lt;&gt;"",DB_Customers!S473,""),"")</f>
        <v/>
      </c>
      <c r="G479" s="68" t="str">
        <f>IFERROR(IF(DB_Customers!G473&lt;&gt;"",DB_Customers!G473,""),"")</f>
        <v/>
      </c>
      <c r="H479" s="70" t="str">
        <f>IFERROR(IF(DB_Customers!H473&lt;&gt;"",DB_Customers!H473,""),"")</f>
        <v/>
      </c>
      <c r="I479" s="71" t="str">
        <f>IFERROR(IF(DB_Customers!I473&lt;&gt;"",DB_Customers!I473,""),"")</f>
        <v/>
      </c>
      <c r="J479" s="69" t="str">
        <f>IFERROR(IF(DB_Customers!J473&lt;&gt;"",DB_Customers!J473,""),"")</f>
        <v/>
      </c>
      <c r="K479" s="68" t="str">
        <f>IFERROR(IF(DB_Customers!E473&lt;&gt;"",DB_Customers!E473,""),"")</f>
        <v/>
      </c>
      <c r="L479" s="68" t="str">
        <f>IFERROR(IF(DB_Customers!F473&lt;&gt;"",DB_Customers!F473,""),"")</f>
        <v/>
      </c>
      <c r="M479" s="68" t="str">
        <f>IFERROR(IF(DB_Customers!T473&lt;&gt;"",DB_Customers!T473,""),"")</f>
        <v/>
      </c>
      <c r="N479" s="72" t="str">
        <f>IFERROR(IF(DB_Customers!A473&lt;&gt;"",IF(DB_Customers!I473&gt;=10,"Active","Inactive"),""),"")</f>
        <v/>
      </c>
    </row>
    <row r="480" spans="1:14" ht="18" customHeight="1" x14ac:dyDescent="0.25">
      <c r="A480" s="59" t="str">
        <f>IF(DB_Customers!A474&lt;&gt;"",471,"")</f>
        <v/>
      </c>
      <c r="B480" s="60" t="str">
        <f>IFERROR(IF(DB_Customers!A474&lt;&gt;"",DB_Customers!A474,""),"")</f>
        <v/>
      </c>
      <c r="C480" s="61" t="str">
        <f>IFERROR(IF(DB_Customers!D474&lt;&gt;"",DB_Customers!D474,""),"")</f>
        <v/>
      </c>
      <c r="D480" s="62" t="str">
        <f>IFERROR(IF(DB_Customers!Q474&lt;&gt;"",DB_Customers!Q474,""),"")</f>
        <v/>
      </c>
      <c r="E480" s="61" t="str">
        <f>IFERROR(IF(DB_Customers!R474&lt;&gt;"",DB_Customers!R474,""),"")</f>
        <v/>
      </c>
      <c r="F480" s="61" t="str">
        <f>IFERROR(IF(DB_Customers!S474&lt;&gt;"",DB_Customers!S474,""),"")</f>
        <v/>
      </c>
      <c r="G480" s="61" t="str">
        <f>IFERROR(IF(DB_Customers!G474&lt;&gt;"",DB_Customers!G474,""),"")</f>
        <v/>
      </c>
      <c r="H480" s="63" t="str">
        <f>IFERROR(IF(DB_Customers!H474&lt;&gt;"",DB_Customers!H474,""),"")</f>
        <v/>
      </c>
      <c r="I480" s="64" t="str">
        <f>IFERROR(IF(DB_Customers!I474&lt;&gt;"",DB_Customers!I474,""),"")</f>
        <v/>
      </c>
      <c r="J480" s="62" t="str">
        <f>IFERROR(IF(DB_Customers!J474&lt;&gt;"",DB_Customers!J474,""),"")</f>
        <v/>
      </c>
      <c r="K480" s="61" t="str">
        <f>IFERROR(IF(DB_Customers!E474&lt;&gt;"",DB_Customers!E474,""),"")</f>
        <v/>
      </c>
      <c r="L480" s="61" t="str">
        <f>IFERROR(IF(DB_Customers!F474&lt;&gt;"",DB_Customers!F474,""),"")</f>
        <v/>
      </c>
      <c r="M480" s="61" t="str">
        <f>IFERROR(IF(DB_Customers!T474&lt;&gt;"",DB_Customers!T474,""),"")</f>
        <v/>
      </c>
      <c r="N480" s="65" t="str">
        <f>IFERROR(IF(DB_Customers!A474&lt;&gt;"",IF(DB_Customers!I474&gt;=10,"Active","Inactive"),""),"")</f>
        <v/>
      </c>
    </row>
    <row r="481" spans="1:14" ht="18" customHeight="1" x14ac:dyDescent="0.25">
      <c r="A481" s="66" t="str">
        <f>IF(DB_Customers!A475&lt;&gt;"",472,"")</f>
        <v/>
      </c>
      <c r="B481" s="67" t="str">
        <f>IFERROR(IF(DB_Customers!A475&lt;&gt;"",DB_Customers!A475,""),"")</f>
        <v/>
      </c>
      <c r="C481" s="68" t="str">
        <f>IFERROR(IF(DB_Customers!D475&lt;&gt;"",DB_Customers!D475,""),"")</f>
        <v/>
      </c>
      <c r="D481" s="69" t="str">
        <f>IFERROR(IF(DB_Customers!Q475&lt;&gt;"",DB_Customers!Q475,""),"")</f>
        <v/>
      </c>
      <c r="E481" s="68" t="str">
        <f>IFERROR(IF(DB_Customers!R475&lt;&gt;"",DB_Customers!R475,""),"")</f>
        <v/>
      </c>
      <c r="F481" s="68" t="str">
        <f>IFERROR(IF(DB_Customers!S475&lt;&gt;"",DB_Customers!S475,""),"")</f>
        <v/>
      </c>
      <c r="G481" s="68" t="str">
        <f>IFERROR(IF(DB_Customers!G475&lt;&gt;"",DB_Customers!G475,""),"")</f>
        <v/>
      </c>
      <c r="H481" s="70" t="str">
        <f>IFERROR(IF(DB_Customers!H475&lt;&gt;"",DB_Customers!H475,""),"")</f>
        <v/>
      </c>
      <c r="I481" s="71" t="str">
        <f>IFERROR(IF(DB_Customers!I475&lt;&gt;"",DB_Customers!I475,""),"")</f>
        <v/>
      </c>
      <c r="J481" s="69" t="str">
        <f>IFERROR(IF(DB_Customers!J475&lt;&gt;"",DB_Customers!J475,""),"")</f>
        <v/>
      </c>
      <c r="K481" s="68" t="str">
        <f>IFERROR(IF(DB_Customers!E475&lt;&gt;"",DB_Customers!E475,""),"")</f>
        <v/>
      </c>
      <c r="L481" s="68" t="str">
        <f>IFERROR(IF(DB_Customers!F475&lt;&gt;"",DB_Customers!F475,""),"")</f>
        <v/>
      </c>
      <c r="M481" s="68" t="str">
        <f>IFERROR(IF(DB_Customers!T475&lt;&gt;"",DB_Customers!T475,""),"")</f>
        <v/>
      </c>
      <c r="N481" s="72" t="str">
        <f>IFERROR(IF(DB_Customers!A475&lt;&gt;"",IF(DB_Customers!I475&gt;=10,"Active","Inactive"),""),"")</f>
        <v/>
      </c>
    </row>
    <row r="482" spans="1:14" ht="18" customHeight="1" x14ac:dyDescent="0.25">
      <c r="A482" s="59" t="str">
        <f>IF(DB_Customers!A476&lt;&gt;"",473,"")</f>
        <v/>
      </c>
      <c r="B482" s="60" t="str">
        <f>IFERROR(IF(DB_Customers!A476&lt;&gt;"",DB_Customers!A476,""),"")</f>
        <v/>
      </c>
      <c r="C482" s="61" t="str">
        <f>IFERROR(IF(DB_Customers!D476&lt;&gt;"",DB_Customers!D476,""),"")</f>
        <v/>
      </c>
      <c r="D482" s="62" t="str">
        <f>IFERROR(IF(DB_Customers!Q476&lt;&gt;"",DB_Customers!Q476,""),"")</f>
        <v/>
      </c>
      <c r="E482" s="61" t="str">
        <f>IFERROR(IF(DB_Customers!R476&lt;&gt;"",DB_Customers!R476,""),"")</f>
        <v/>
      </c>
      <c r="F482" s="61" t="str">
        <f>IFERROR(IF(DB_Customers!S476&lt;&gt;"",DB_Customers!S476,""),"")</f>
        <v/>
      </c>
      <c r="G482" s="61" t="str">
        <f>IFERROR(IF(DB_Customers!G476&lt;&gt;"",DB_Customers!G476,""),"")</f>
        <v/>
      </c>
      <c r="H482" s="63" t="str">
        <f>IFERROR(IF(DB_Customers!H476&lt;&gt;"",DB_Customers!H476,""),"")</f>
        <v/>
      </c>
      <c r="I482" s="64" t="str">
        <f>IFERROR(IF(DB_Customers!I476&lt;&gt;"",DB_Customers!I476,""),"")</f>
        <v/>
      </c>
      <c r="J482" s="62" t="str">
        <f>IFERROR(IF(DB_Customers!J476&lt;&gt;"",DB_Customers!J476,""),"")</f>
        <v/>
      </c>
      <c r="K482" s="61" t="str">
        <f>IFERROR(IF(DB_Customers!E476&lt;&gt;"",DB_Customers!E476,""),"")</f>
        <v/>
      </c>
      <c r="L482" s="61" t="str">
        <f>IFERROR(IF(DB_Customers!F476&lt;&gt;"",DB_Customers!F476,""),"")</f>
        <v/>
      </c>
      <c r="M482" s="61" t="str">
        <f>IFERROR(IF(DB_Customers!T476&lt;&gt;"",DB_Customers!T476,""),"")</f>
        <v/>
      </c>
      <c r="N482" s="65" t="str">
        <f>IFERROR(IF(DB_Customers!A476&lt;&gt;"",IF(DB_Customers!I476&gt;=10,"Active","Inactive"),""),"")</f>
        <v/>
      </c>
    </row>
    <row r="483" spans="1:14" ht="18" customHeight="1" x14ac:dyDescent="0.25">
      <c r="A483" s="66" t="str">
        <f>IF(DB_Customers!A477&lt;&gt;"",474,"")</f>
        <v/>
      </c>
      <c r="B483" s="67" t="str">
        <f>IFERROR(IF(DB_Customers!A477&lt;&gt;"",DB_Customers!A477,""),"")</f>
        <v/>
      </c>
      <c r="C483" s="68" t="str">
        <f>IFERROR(IF(DB_Customers!D477&lt;&gt;"",DB_Customers!D477,""),"")</f>
        <v/>
      </c>
      <c r="D483" s="69" t="str">
        <f>IFERROR(IF(DB_Customers!Q477&lt;&gt;"",DB_Customers!Q477,""),"")</f>
        <v/>
      </c>
      <c r="E483" s="68" t="str">
        <f>IFERROR(IF(DB_Customers!R477&lt;&gt;"",DB_Customers!R477,""),"")</f>
        <v/>
      </c>
      <c r="F483" s="68" t="str">
        <f>IFERROR(IF(DB_Customers!S477&lt;&gt;"",DB_Customers!S477,""),"")</f>
        <v/>
      </c>
      <c r="G483" s="68" t="str">
        <f>IFERROR(IF(DB_Customers!G477&lt;&gt;"",DB_Customers!G477,""),"")</f>
        <v/>
      </c>
      <c r="H483" s="70" t="str">
        <f>IFERROR(IF(DB_Customers!H477&lt;&gt;"",DB_Customers!H477,""),"")</f>
        <v/>
      </c>
      <c r="I483" s="71" t="str">
        <f>IFERROR(IF(DB_Customers!I477&lt;&gt;"",DB_Customers!I477,""),"")</f>
        <v/>
      </c>
      <c r="J483" s="69" t="str">
        <f>IFERROR(IF(DB_Customers!J477&lt;&gt;"",DB_Customers!J477,""),"")</f>
        <v/>
      </c>
      <c r="K483" s="68" t="str">
        <f>IFERROR(IF(DB_Customers!E477&lt;&gt;"",DB_Customers!E477,""),"")</f>
        <v/>
      </c>
      <c r="L483" s="68" t="str">
        <f>IFERROR(IF(DB_Customers!F477&lt;&gt;"",DB_Customers!F477,""),"")</f>
        <v/>
      </c>
      <c r="M483" s="68" t="str">
        <f>IFERROR(IF(DB_Customers!T477&lt;&gt;"",DB_Customers!T477,""),"")</f>
        <v/>
      </c>
      <c r="N483" s="72" t="str">
        <f>IFERROR(IF(DB_Customers!A477&lt;&gt;"",IF(DB_Customers!I477&gt;=10,"Active","Inactive"),""),"")</f>
        <v/>
      </c>
    </row>
    <row r="484" spans="1:14" ht="18" customHeight="1" x14ac:dyDescent="0.25">
      <c r="A484" s="59" t="str">
        <f>IF(DB_Customers!A478&lt;&gt;"",475,"")</f>
        <v/>
      </c>
      <c r="B484" s="60" t="str">
        <f>IFERROR(IF(DB_Customers!A478&lt;&gt;"",DB_Customers!A478,""),"")</f>
        <v/>
      </c>
      <c r="C484" s="61" t="str">
        <f>IFERROR(IF(DB_Customers!D478&lt;&gt;"",DB_Customers!D478,""),"")</f>
        <v/>
      </c>
      <c r="D484" s="62" t="str">
        <f>IFERROR(IF(DB_Customers!Q478&lt;&gt;"",DB_Customers!Q478,""),"")</f>
        <v/>
      </c>
      <c r="E484" s="61" t="str">
        <f>IFERROR(IF(DB_Customers!R478&lt;&gt;"",DB_Customers!R478,""),"")</f>
        <v/>
      </c>
      <c r="F484" s="61" t="str">
        <f>IFERROR(IF(DB_Customers!S478&lt;&gt;"",DB_Customers!S478,""),"")</f>
        <v/>
      </c>
      <c r="G484" s="61" t="str">
        <f>IFERROR(IF(DB_Customers!G478&lt;&gt;"",DB_Customers!G478,""),"")</f>
        <v/>
      </c>
      <c r="H484" s="63" t="str">
        <f>IFERROR(IF(DB_Customers!H478&lt;&gt;"",DB_Customers!H478,""),"")</f>
        <v/>
      </c>
      <c r="I484" s="64" t="str">
        <f>IFERROR(IF(DB_Customers!I478&lt;&gt;"",DB_Customers!I478,""),"")</f>
        <v/>
      </c>
      <c r="J484" s="62" t="str">
        <f>IFERROR(IF(DB_Customers!J478&lt;&gt;"",DB_Customers!J478,""),"")</f>
        <v/>
      </c>
      <c r="K484" s="61" t="str">
        <f>IFERROR(IF(DB_Customers!E478&lt;&gt;"",DB_Customers!E478,""),"")</f>
        <v/>
      </c>
      <c r="L484" s="61" t="str">
        <f>IFERROR(IF(DB_Customers!F478&lt;&gt;"",DB_Customers!F478,""),"")</f>
        <v/>
      </c>
      <c r="M484" s="61" t="str">
        <f>IFERROR(IF(DB_Customers!T478&lt;&gt;"",DB_Customers!T478,""),"")</f>
        <v/>
      </c>
      <c r="N484" s="65" t="str">
        <f>IFERROR(IF(DB_Customers!A478&lt;&gt;"",IF(DB_Customers!I478&gt;=10,"Active","Inactive"),""),"")</f>
        <v/>
      </c>
    </row>
    <row r="485" spans="1:14" ht="18" customHeight="1" x14ac:dyDescent="0.25">
      <c r="A485" s="66" t="str">
        <f>IF(DB_Customers!A479&lt;&gt;"",476,"")</f>
        <v/>
      </c>
      <c r="B485" s="67" t="str">
        <f>IFERROR(IF(DB_Customers!A479&lt;&gt;"",DB_Customers!A479,""),"")</f>
        <v/>
      </c>
      <c r="C485" s="68" t="str">
        <f>IFERROR(IF(DB_Customers!D479&lt;&gt;"",DB_Customers!D479,""),"")</f>
        <v/>
      </c>
      <c r="D485" s="69" t="str">
        <f>IFERROR(IF(DB_Customers!Q479&lt;&gt;"",DB_Customers!Q479,""),"")</f>
        <v/>
      </c>
      <c r="E485" s="68" t="str">
        <f>IFERROR(IF(DB_Customers!R479&lt;&gt;"",DB_Customers!R479,""),"")</f>
        <v/>
      </c>
      <c r="F485" s="68" t="str">
        <f>IFERROR(IF(DB_Customers!S479&lt;&gt;"",DB_Customers!S479,""),"")</f>
        <v/>
      </c>
      <c r="G485" s="68" t="str">
        <f>IFERROR(IF(DB_Customers!G479&lt;&gt;"",DB_Customers!G479,""),"")</f>
        <v/>
      </c>
      <c r="H485" s="70" t="str">
        <f>IFERROR(IF(DB_Customers!H479&lt;&gt;"",DB_Customers!H479,""),"")</f>
        <v/>
      </c>
      <c r="I485" s="71" t="str">
        <f>IFERROR(IF(DB_Customers!I479&lt;&gt;"",DB_Customers!I479,""),"")</f>
        <v/>
      </c>
      <c r="J485" s="69" t="str">
        <f>IFERROR(IF(DB_Customers!J479&lt;&gt;"",DB_Customers!J479,""),"")</f>
        <v/>
      </c>
      <c r="K485" s="68" t="str">
        <f>IFERROR(IF(DB_Customers!E479&lt;&gt;"",DB_Customers!E479,""),"")</f>
        <v/>
      </c>
      <c r="L485" s="68" t="str">
        <f>IFERROR(IF(DB_Customers!F479&lt;&gt;"",DB_Customers!F479,""),"")</f>
        <v/>
      </c>
      <c r="M485" s="68" t="str">
        <f>IFERROR(IF(DB_Customers!T479&lt;&gt;"",DB_Customers!T479,""),"")</f>
        <v/>
      </c>
      <c r="N485" s="72" t="str">
        <f>IFERROR(IF(DB_Customers!A479&lt;&gt;"",IF(DB_Customers!I479&gt;=10,"Active","Inactive"),""),"")</f>
        <v/>
      </c>
    </row>
    <row r="486" spans="1:14" ht="18" customHeight="1" x14ac:dyDescent="0.25">
      <c r="A486" s="59" t="str">
        <f>IF(DB_Customers!A480&lt;&gt;"",477,"")</f>
        <v/>
      </c>
      <c r="B486" s="60" t="str">
        <f>IFERROR(IF(DB_Customers!A480&lt;&gt;"",DB_Customers!A480,""),"")</f>
        <v/>
      </c>
      <c r="C486" s="61" t="str">
        <f>IFERROR(IF(DB_Customers!D480&lt;&gt;"",DB_Customers!D480,""),"")</f>
        <v/>
      </c>
      <c r="D486" s="62" t="str">
        <f>IFERROR(IF(DB_Customers!Q480&lt;&gt;"",DB_Customers!Q480,""),"")</f>
        <v/>
      </c>
      <c r="E486" s="61" t="str">
        <f>IFERROR(IF(DB_Customers!R480&lt;&gt;"",DB_Customers!R480,""),"")</f>
        <v/>
      </c>
      <c r="F486" s="61" t="str">
        <f>IFERROR(IF(DB_Customers!S480&lt;&gt;"",DB_Customers!S480,""),"")</f>
        <v/>
      </c>
      <c r="G486" s="61" t="str">
        <f>IFERROR(IF(DB_Customers!G480&lt;&gt;"",DB_Customers!G480,""),"")</f>
        <v/>
      </c>
      <c r="H486" s="63" t="str">
        <f>IFERROR(IF(DB_Customers!H480&lt;&gt;"",DB_Customers!H480,""),"")</f>
        <v/>
      </c>
      <c r="I486" s="64" t="str">
        <f>IFERROR(IF(DB_Customers!I480&lt;&gt;"",DB_Customers!I480,""),"")</f>
        <v/>
      </c>
      <c r="J486" s="62" t="str">
        <f>IFERROR(IF(DB_Customers!J480&lt;&gt;"",DB_Customers!J480,""),"")</f>
        <v/>
      </c>
      <c r="K486" s="61" t="str">
        <f>IFERROR(IF(DB_Customers!E480&lt;&gt;"",DB_Customers!E480,""),"")</f>
        <v/>
      </c>
      <c r="L486" s="61" t="str">
        <f>IFERROR(IF(DB_Customers!F480&lt;&gt;"",DB_Customers!F480,""),"")</f>
        <v/>
      </c>
      <c r="M486" s="61" t="str">
        <f>IFERROR(IF(DB_Customers!T480&lt;&gt;"",DB_Customers!T480,""),"")</f>
        <v/>
      </c>
      <c r="N486" s="65" t="str">
        <f>IFERROR(IF(DB_Customers!A480&lt;&gt;"",IF(DB_Customers!I480&gt;=10,"Active","Inactive"),""),"")</f>
        <v/>
      </c>
    </row>
    <row r="487" spans="1:14" ht="18" customHeight="1" x14ac:dyDescent="0.25">
      <c r="A487" s="66" t="str">
        <f>IF(DB_Customers!A481&lt;&gt;"",478,"")</f>
        <v/>
      </c>
      <c r="B487" s="67" t="str">
        <f>IFERROR(IF(DB_Customers!A481&lt;&gt;"",DB_Customers!A481,""),"")</f>
        <v/>
      </c>
      <c r="C487" s="68" t="str">
        <f>IFERROR(IF(DB_Customers!D481&lt;&gt;"",DB_Customers!D481,""),"")</f>
        <v/>
      </c>
      <c r="D487" s="69" t="str">
        <f>IFERROR(IF(DB_Customers!Q481&lt;&gt;"",DB_Customers!Q481,""),"")</f>
        <v/>
      </c>
      <c r="E487" s="68" t="str">
        <f>IFERROR(IF(DB_Customers!R481&lt;&gt;"",DB_Customers!R481,""),"")</f>
        <v/>
      </c>
      <c r="F487" s="68" t="str">
        <f>IFERROR(IF(DB_Customers!S481&lt;&gt;"",DB_Customers!S481,""),"")</f>
        <v/>
      </c>
      <c r="G487" s="68" t="str">
        <f>IFERROR(IF(DB_Customers!G481&lt;&gt;"",DB_Customers!G481,""),"")</f>
        <v/>
      </c>
      <c r="H487" s="70" t="str">
        <f>IFERROR(IF(DB_Customers!H481&lt;&gt;"",DB_Customers!H481,""),"")</f>
        <v/>
      </c>
      <c r="I487" s="71" t="str">
        <f>IFERROR(IF(DB_Customers!I481&lt;&gt;"",DB_Customers!I481,""),"")</f>
        <v/>
      </c>
      <c r="J487" s="69" t="str">
        <f>IFERROR(IF(DB_Customers!J481&lt;&gt;"",DB_Customers!J481,""),"")</f>
        <v/>
      </c>
      <c r="K487" s="68" t="str">
        <f>IFERROR(IF(DB_Customers!E481&lt;&gt;"",DB_Customers!E481,""),"")</f>
        <v/>
      </c>
      <c r="L487" s="68" t="str">
        <f>IFERROR(IF(DB_Customers!F481&lt;&gt;"",DB_Customers!F481,""),"")</f>
        <v/>
      </c>
      <c r="M487" s="68" t="str">
        <f>IFERROR(IF(DB_Customers!T481&lt;&gt;"",DB_Customers!T481,""),"")</f>
        <v/>
      </c>
      <c r="N487" s="72" t="str">
        <f>IFERROR(IF(DB_Customers!A481&lt;&gt;"",IF(DB_Customers!I481&gt;=10,"Active","Inactive"),""),"")</f>
        <v/>
      </c>
    </row>
    <row r="488" spans="1:14" ht="18" customHeight="1" x14ac:dyDescent="0.25">
      <c r="A488" s="59" t="str">
        <f>IF(DB_Customers!A482&lt;&gt;"",479,"")</f>
        <v/>
      </c>
      <c r="B488" s="60" t="str">
        <f>IFERROR(IF(DB_Customers!A482&lt;&gt;"",DB_Customers!A482,""),"")</f>
        <v/>
      </c>
      <c r="C488" s="61" t="str">
        <f>IFERROR(IF(DB_Customers!D482&lt;&gt;"",DB_Customers!D482,""),"")</f>
        <v/>
      </c>
      <c r="D488" s="62" t="str">
        <f>IFERROR(IF(DB_Customers!Q482&lt;&gt;"",DB_Customers!Q482,""),"")</f>
        <v/>
      </c>
      <c r="E488" s="61" t="str">
        <f>IFERROR(IF(DB_Customers!R482&lt;&gt;"",DB_Customers!R482,""),"")</f>
        <v/>
      </c>
      <c r="F488" s="61" t="str">
        <f>IFERROR(IF(DB_Customers!S482&lt;&gt;"",DB_Customers!S482,""),"")</f>
        <v/>
      </c>
      <c r="G488" s="61" t="str">
        <f>IFERROR(IF(DB_Customers!G482&lt;&gt;"",DB_Customers!G482,""),"")</f>
        <v/>
      </c>
      <c r="H488" s="63" t="str">
        <f>IFERROR(IF(DB_Customers!H482&lt;&gt;"",DB_Customers!H482,""),"")</f>
        <v/>
      </c>
      <c r="I488" s="64" t="str">
        <f>IFERROR(IF(DB_Customers!I482&lt;&gt;"",DB_Customers!I482,""),"")</f>
        <v/>
      </c>
      <c r="J488" s="62" t="str">
        <f>IFERROR(IF(DB_Customers!J482&lt;&gt;"",DB_Customers!J482,""),"")</f>
        <v/>
      </c>
      <c r="K488" s="61" t="str">
        <f>IFERROR(IF(DB_Customers!E482&lt;&gt;"",DB_Customers!E482,""),"")</f>
        <v/>
      </c>
      <c r="L488" s="61" t="str">
        <f>IFERROR(IF(DB_Customers!F482&lt;&gt;"",DB_Customers!F482,""),"")</f>
        <v/>
      </c>
      <c r="M488" s="61" t="str">
        <f>IFERROR(IF(DB_Customers!T482&lt;&gt;"",DB_Customers!T482,""),"")</f>
        <v/>
      </c>
      <c r="N488" s="65" t="str">
        <f>IFERROR(IF(DB_Customers!A482&lt;&gt;"",IF(DB_Customers!I482&gt;=10,"Active","Inactive"),""),"")</f>
        <v/>
      </c>
    </row>
    <row r="489" spans="1:14" ht="18" customHeight="1" x14ac:dyDescent="0.25">
      <c r="A489" s="66" t="str">
        <f>IF(DB_Customers!A483&lt;&gt;"",480,"")</f>
        <v/>
      </c>
      <c r="B489" s="67" t="str">
        <f>IFERROR(IF(DB_Customers!A483&lt;&gt;"",DB_Customers!A483,""),"")</f>
        <v/>
      </c>
      <c r="C489" s="68" t="str">
        <f>IFERROR(IF(DB_Customers!D483&lt;&gt;"",DB_Customers!D483,""),"")</f>
        <v/>
      </c>
      <c r="D489" s="69" t="str">
        <f>IFERROR(IF(DB_Customers!Q483&lt;&gt;"",DB_Customers!Q483,""),"")</f>
        <v/>
      </c>
      <c r="E489" s="68" t="str">
        <f>IFERROR(IF(DB_Customers!R483&lt;&gt;"",DB_Customers!R483,""),"")</f>
        <v/>
      </c>
      <c r="F489" s="68" t="str">
        <f>IFERROR(IF(DB_Customers!S483&lt;&gt;"",DB_Customers!S483,""),"")</f>
        <v/>
      </c>
      <c r="G489" s="68" t="str">
        <f>IFERROR(IF(DB_Customers!G483&lt;&gt;"",DB_Customers!G483,""),"")</f>
        <v/>
      </c>
      <c r="H489" s="70" t="str">
        <f>IFERROR(IF(DB_Customers!H483&lt;&gt;"",DB_Customers!H483,""),"")</f>
        <v/>
      </c>
      <c r="I489" s="71" t="str">
        <f>IFERROR(IF(DB_Customers!I483&lt;&gt;"",DB_Customers!I483,""),"")</f>
        <v/>
      </c>
      <c r="J489" s="69" t="str">
        <f>IFERROR(IF(DB_Customers!J483&lt;&gt;"",DB_Customers!J483,""),"")</f>
        <v/>
      </c>
      <c r="K489" s="68" t="str">
        <f>IFERROR(IF(DB_Customers!E483&lt;&gt;"",DB_Customers!E483,""),"")</f>
        <v/>
      </c>
      <c r="L489" s="68" t="str">
        <f>IFERROR(IF(DB_Customers!F483&lt;&gt;"",DB_Customers!F483,""),"")</f>
        <v/>
      </c>
      <c r="M489" s="68" t="str">
        <f>IFERROR(IF(DB_Customers!T483&lt;&gt;"",DB_Customers!T483,""),"")</f>
        <v/>
      </c>
      <c r="N489" s="72" t="str">
        <f>IFERROR(IF(DB_Customers!A483&lt;&gt;"",IF(DB_Customers!I483&gt;=10,"Active","Inactive"),""),"")</f>
        <v/>
      </c>
    </row>
    <row r="490" spans="1:14" ht="18" customHeight="1" x14ac:dyDescent="0.25">
      <c r="A490" s="59" t="str">
        <f>IF(DB_Customers!A484&lt;&gt;"",481,"")</f>
        <v/>
      </c>
      <c r="B490" s="60" t="str">
        <f>IFERROR(IF(DB_Customers!A484&lt;&gt;"",DB_Customers!A484,""),"")</f>
        <v/>
      </c>
      <c r="C490" s="61" t="str">
        <f>IFERROR(IF(DB_Customers!D484&lt;&gt;"",DB_Customers!D484,""),"")</f>
        <v/>
      </c>
      <c r="D490" s="62" t="str">
        <f>IFERROR(IF(DB_Customers!Q484&lt;&gt;"",DB_Customers!Q484,""),"")</f>
        <v/>
      </c>
      <c r="E490" s="61" t="str">
        <f>IFERROR(IF(DB_Customers!R484&lt;&gt;"",DB_Customers!R484,""),"")</f>
        <v/>
      </c>
      <c r="F490" s="61" t="str">
        <f>IFERROR(IF(DB_Customers!S484&lt;&gt;"",DB_Customers!S484,""),"")</f>
        <v/>
      </c>
      <c r="G490" s="61" t="str">
        <f>IFERROR(IF(DB_Customers!G484&lt;&gt;"",DB_Customers!G484,""),"")</f>
        <v/>
      </c>
      <c r="H490" s="63" t="str">
        <f>IFERROR(IF(DB_Customers!H484&lt;&gt;"",DB_Customers!H484,""),"")</f>
        <v/>
      </c>
      <c r="I490" s="64" t="str">
        <f>IFERROR(IF(DB_Customers!I484&lt;&gt;"",DB_Customers!I484,""),"")</f>
        <v/>
      </c>
      <c r="J490" s="62" t="str">
        <f>IFERROR(IF(DB_Customers!J484&lt;&gt;"",DB_Customers!J484,""),"")</f>
        <v/>
      </c>
      <c r="K490" s="61" t="str">
        <f>IFERROR(IF(DB_Customers!E484&lt;&gt;"",DB_Customers!E484,""),"")</f>
        <v/>
      </c>
      <c r="L490" s="61" t="str">
        <f>IFERROR(IF(DB_Customers!F484&lt;&gt;"",DB_Customers!F484,""),"")</f>
        <v/>
      </c>
      <c r="M490" s="61" t="str">
        <f>IFERROR(IF(DB_Customers!T484&lt;&gt;"",DB_Customers!T484,""),"")</f>
        <v/>
      </c>
      <c r="N490" s="65" t="str">
        <f>IFERROR(IF(DB_Customers!A484&lt;&gt;"",IF(DB_Customers!I484&gt;=10,"Active","Inactive"),""),"")</f>
        <v/>
      </c>
    </row>
    <row r="491" spans="1:14" ht="18" customHeight="1" x14ac:dyDescent="0.25">
      <c r="A491" s="66" t="str">
        <f>IF(DB_Customers!A485&lt;&gt;"",482,"")</f>
        <v/>
      </c>
      <c r="B491" s="67" t="str">
        <f>IFERROR(IF(DB_Customers!A485&lt;&gt;"",DB_Customers!A485,""),"")</f>
        <v/>
      </c>
      <c r="C491" s="68" t="str">
        <f>IFERROR(IF(DB_Customers!D485&lt;&gt;"",DB_Customers!D485,""),"")</f>
        <v/>
      </c>
      <c r="D491" s="69" t="str">
        <f>IFERROR(IF(DB_Customers!Q485&lt;&gt;"",DB_Customers!Q485,""),"")</f>
        <v/>
      </c>
      <c r="E491" s="68" t="str">
        <f>IFERROR(IF(DB_Customers!R485&lt;&gt;"",DB_Customers!R485,""),"")</f>
        <v/>
      </c>
      <c r="F491" s="68" t="str">
        <f>IFERROR(IF(DB_Customers!S485&lt;&gt;"",DB_Customers!S485,""),"")</f>
        <v/>
      </c>
      <c r="G491" s="68" t="str">
        <f>IFERROR(IF(DB_Customers!G485&lt;&gt;"",DB_Customers!G485,""),"")</f>
        <v/>
      </c>
      <c r="H491" s="70" t="str">
        <f>IFERROR(IF(DB_Customers!H485&lt;&gt;"",DB_Customers!H485,""),"")</f>
        <v/>
      </c>
      <c r="I491" s="71" t="str">
        <f>IFERROR(IF(DB_Customers!I485&lt;&gt;"",DB_Customers!I485,""),"")</f>
        <v/>
      </c>
      <c r="J491" s="69" t="str">
        <f>IFERROR(IF(DB_Customers!J485&lt;&gt;"",DB_Customers!J485,""),"")</f>
        <v/>
      </c>
      <c r="K491" s="68" t="str">
        <f>IFERROR(IF(DB_Customers!E485&lt;&gt;"",DB_Customers!E485,""),"")</f>
        <v/>
      </c>
      <c r="L491" s="68" t="str">
        <f>IFERROR(IF(DB_Customers!F485&lt;&gt;"",DB_Customers!F485,""),"")</f>
        <v/>
      </c>
      <c r="M491" s="68" t="str">
        <f>IFERROR(IF(DB_Customers!T485&lt;&gt;"",DB_Customers!T485,""),"")</f>
        <v/>
      </c>
      <c r="N491" s="72" t="str">
        <f>IFERROR(IF(DB_Customers!A485&lt;&gt;"",IF(DB_Customers!I485&gt;=10,"Active","Inactive"),""),"")</f>
        <v/>
      </c>
    </row>
    <row r="492" spans="1:14" ht="18" customHeight="1" x14ac:dyDescent="0.25">
      <c r="A492" s="59" t="str">
        <f>IF(DB_Customers!A486&lt;&gt;"",483,"")</f>
        <v/>
      </c>
      <c r="B492" s="60" t="str">
        <f>IFERROR(IF(DB_Customers!A486&lt;&gt;"",DB_Customers!A486,""),"")</f>
        <v/>
      </c>
      <c r="C492" s="61" t="str">
        <f>IFERROR(IF(DB_Customers!D486&lt;&gt;"",DB_Customers!D486,""),"")</f>
        <v/>
      </c>
      <c r="D492" s="62" t="str">
        <f>IFERROR(IF(DB_Customers!Q486&lt;&gt;"",DB_Customers!Q486,""),"")</f>
        <v/>
      </c>
      <c r="E492" s="61" t="str">
        <f>IFERROR(IF(DB_Customers!R486&lt;&gt;"",DB_Customers!R486,""),"")</f>
        <v/>
      </c>
      <c r="F492" s="61" t="str">
        <f>IFERROR(IF(DB_Customers!S486&lt;&gt;"",DB_Customers!S486,""),"")</f>
        <v/>
      </c>
      <c r="G492" s="61" t="str">
        <f>IFERROR(IF(DB_Customers!G486&lt;&gt;"",DB_Customers!G486,""),"")</f>
        <v/>
      </c>
      <c r="H492" s="63" t="str">
        <f>IFERROR(IF(DB_Customers!H486&lt;&gt;"",DB_Customers!H486,""),"")</f>
        <v/>
      </c>
      <c r="I492" s="64" t="str">
        <f>IFERROR(IF(DB_Customers!I486&lt;&gt;"",DB_Customers!I486,""),"")</f>
        <v/>
      </c>
      <c r="J492" s="62" t="str">
        <f>IFERROR(IF(DB_Customers!J486&lt;&gt;"",DB_Customers!J486,""),"")</f>
        <v/>
      </c>
      <c r="K492" s="61" t="str">
        <f>IFERROR(IF(DB_Customers!E486&lt;&gt;"",DB_Customers!E486,""),"")</f>
        <v/>
      </c>
      <c r="L492" s="61" t="str">
        <f>IFERROR(IF(DB_Customers!F486&lt;&gt;"",DB_Customers!F486,""),"")</f>
        <v/>
      </c>
      <c r="M492" s="61" t="str">
        <f>IFERROR(IF(DB_Customers!T486&lt;&gt;"",DB_Customers!T486,""),"")</f>
        <v/>
      </c>
      <c r="N492" s="65" t="str">
        <f>IFERROR(IF(DB_Customers!A486&lt;&gt;"",IF(DB_Customers!I486&gt;=10,"Active","Inactive"),""),"")</f>
        <v/>
      </c>
    </row>
    <row r="493" spans="1:14" ht="18" customHeight="1" x14ac:dyDescent="0.25">
      <c r="A493" s="66" t="str">
        <f>IF(DB_Customers!A487&lt;&gt;"",484,"")</f>
        <v/>
      </c>
      <c r="B493" s="67" t="str">
        <f>IFERROR(IF(DB_Customers!A487&lt;&gt;"",DB_Customers!A487,""),"")</f>
        <v/>
      </c>
      <c r="C493" s="68" t="str">
        <f>IFERROR(IF(DB_Customers!D487&lt;&gt;"",DB_Customers!D487,""),"")</f>
        <v/>
      </c>
      <c r="D493" s="69" t="str">
        <f>IFERROR(IF(DB_Customers!Q487&lt;&gt;"",DB_Customers!Q487,""),"")</f>
        <v/>
      </c>
      <c r="E493" s="68" t="str">
        <f>IFERROR(IF(DB_Customers!R487&lt;&gt;"",DB_Customers!R487,""),"")</f>
        <v/>
      </c>
      <c r="F493" s="68" t="str">
        <f>IFERROR(IF(DB_Customers!S487&lt;&gt;"",DB_Customers!S487,""),"")</f>
        <v/>
      </c>
      <c r="G493" s="68" t="str">
        <f>IFERROR(IF(DB_Customers!G487&lt;&gt;"",DB_Customers!G487,""),"")</f>
        <v/>
      </c>
      <c r="H493" s="70" t="str">
        <f>IFERROR(IF(DB_Customers!H487&lt;&gt;"",DB_Customers!H487,""),"")</f>
        <v/>
      </c>
      <c r="I493" s="71" t="str">
        <f>IFERROR(IF(DB_Customers!I487&lt;&gt;"",DB_Customers!I487,""),"")</f>
        <v/>
      </c>
      <c r="J493" s="69" t="str">
        <f>IFERROR(IF(DB_Customers!J487&lt;&gt;"",DB_Customers!J487,""),"")</f>
        <v/>
      </c>
      <c r="K493" s="68" t="str">
        <f>IFERROR(IF(DB_Customers!E487&lt;&gt;"",DB_Customers!E487,""),"")</f>
        <v/>
      </c>
      <c r="L493" s="68" t="str">
        <f>IFERROR(IF(DB_Customers!F487&lt;&gt;"",DB_Customers!F487,""),"")</f>
        <v/>
      </c>
      <c r="M493" s="68" t="str">
        <f>IFERROR(IF(DB_Customers!T487&lt;&gt;"",DB_Customers!T487,""),"")</f>
        <v/>
      </c>
      <c r="N493" s="72" t="str">
        <f>IFERROR(IF(DB_Customers!A487&lt;&gt;"",IF(DB_Customers!I487&gt;=10,"Active","Inactive"),""),"")</f>
        <v/>
      </c>
    </row>
    <row r="494" spans="1:14" ht="18" customHeight="1" x14ac:dyDescent="0.25">
      <c r="A494" s="59" t="str">
        <f>IF(DB_Customers!A488&lt;&gt;"",485,"")</f>
        <v/>
      </c>
      <c r="B494" s="60" t="str">
        <f>IFERROR(IF(DB_Customers!A488&lt;&gt;"",DB_Customers!A488,""),"")</f>
        <v/>
      </c>
      <c r="C494" s="61" t="str">
        <f>IFERROR(IF(DB_Customers!D488&lt;&gt;"",DB_Customers!D488,""),"")</f>
        <v/>
      </c>
      <c r="D494" s="62" t="str">
        <f>IFERROR(IF(DB_Customers!Q488&lt;&gt;"",DB_Customers!Q488,""),"")</f>
        <v/>
      </c>
      <c r="E494" s="61" t="str">
        <f>IFERROR(IF(DB_Customers!R488&lt;&gt;"",DB_Customers!R488,""),"")</f>
        <v/>
      </c>
      <c r="F494" s="61" t="str">
        <f>IFERROR(IF(DB_Customers!S488&lt;&gt;"",DB_Customers!S488,""),"")</f>
        <v/>
      </c>
      <c r="G494" s="61" t="str">
        <f>IFERROR(IF(DB_Customers!G488&lt;&gt;"",DB_Customers!G488,""),"")</f>
        <v/>
      </c>
      <c r="H494" s="63" t="str">
        <f>IFERROR(IF(DB_Customers!H488&lt;&gt;"",DB_Customers!H488,""),"")</f>
        <v/>
      </c>
      <c r="I494" s="64" t="str">
        <f>IFERROR(IF(DB_Customers!I488&lt;&gt;"",DB_Customers!I488,""),"")</f>
        <v/>
      </c>
      <c r="J494" s="62" t="str">
        <f>IFERROR(IF(DB_Customers!J488&lt;&gt;"",DB_Customers!J488,""),"")</f>
        <v/>
      </c>
      <c r="K494" s="61" t="str">
        <f>IFERROR(IF(DB_Customers!E488&lt;&gt;"",DB_Customers!E488,""),"")</f>
        <v/>
      </c>
      <c r="L494" s="61" t="str">
        <f>IFERROR(IF(DB_Customers!F488&lt;&gt;"",DB_Customers!F488,""),"")</f>
        <v/>
      </c>
      <c r="M494" s="61" t="str">
        <f>IFERROR(IF(DB_Customers!T488&lt;&gt;"",DB_Customers!T488,""),"")</f>
        <v/>
      </c>
      <c r="N494" s="65" t="str">
        <f>IFERROR(IF(DB_Customers!A488&lt;&gt;"",IF(DB_Customers!I488&gt;=10,"Active","Inactive"),""),"")</f>
        <v/>
      </c>
    </row>
    <row r="495" spans="1:14" ht="18" customHeight="1" x14ac:dyDescent="0.25">
      <c r="A495" s="66" t="str">
        <f>IF(DB_Customers!A489&lt;&gt;"",486,"")</f>
        <v/>
      </c>
      <c r="B495" s="67" t="str">
        <f>IFERROR(IF(DB_Customers!A489&lt;&gt;"",DB_Customers!A489,""),"")</f>
        <v/>
      </c>
      <c r="C495" s="68" t="str">
        <f>IFERROR(IF(DB_Customers!D489&lt;&gt;"",DB_Customers!D489,""),"")</f>
        <v/>
      </c>
      <c r="D495" s="69" t="str">
        <f>IFERROR(IF(DB_Customers!Q489&lt;&gt;"",DB_Customers!Q489,""),"")</f>
        <v/>
      </c>
      <c r="E495" s="68" t="str">
        <f>IFERROR(IF(DB_Customers!R489&lt;&gt;"",DB_Customers!R489,""),"")</f>
        <v/>
      </c>
      <c r="F495" s="68" t="str">
        <f>IFERROR(IF(DB_Customers!S489&lt;&gt;"",DB_Customers!S489,""),"")</f>
        <v/>
      </c>
      <c r="G495" s="68" t="str">
        <f>IFERROR(IF(DB_Customers!G489&lt;&gt;"",DB_Customers!G489,""),"")</f>
        <v/>
      </c>
      <c r="H495" s="70" t="str">
        <f>IFERROR(IF(DB_Customers!H489&lt;&gt;"",DB_Customers!H489,""),"")</f>
        <v/>
      </c>
      <c r="I495" s="71" t="str">
        <f>IFERROR(IF(DB_Customers!I489&lt;&gt;"",DB_Customers!I489,""),"")</f>
        <v/>
      </c>
      <c r="J495" s="69" t="str">
        <f>IFERROR(IF(DB_Customers!J489&lt;&gt;"",DB_Customers!J489,""),"")</f>
        <v/>
      </c>
      <c r="K495" s="68" t="str">
        <f>IFERROR(IF(DB_Customers!E489&lt;&gt;"",DB_Customers!E489,""),"")</f>
        <v/>
      </c>
      <c r="L495" s="68" t="str">
        <f>IFERROR(IF(DB_Customers!F489&lt;&gt;"",DB_Customers!F489,""),"")</f>
        <v/>
      </c>
      <c r="M495" s="68" t="str">
        <f>IFERROR(IF(DB_Customers!T489&lt;&gt;"",DB_Customers!T489,""),"")</f>
        <v/>
      </c>
      <c r="N495" s="72" t="str">
        <f>IFERROR(IF(DB_Customers!A489&lt;&gt;"",IF(DB_Customers!I489&gt;=10,"Active","Inactive"),""),"")</f>
        <v/>
      </c>
    </row>
    <row r="496" spans="1:14" ht="18" customHeight="1" x14ac:dyDescent="0.25">
      <c r="A496" s="59" t="str">
        <f>IF(DB_Customers!A490&lt;&gt;"",487,"")</f>
        <v/>
      </c>
      <c r="B496" s="60" t="str">
        <f>IFERROR(IF(DB_Customers!A490&lt;&gt;"",DB_Customers!A490,""),"")</f>
        <v/>
      </c>
      <c r="C496" s="61" t="str">
        <f>IFERROR(IF(DB_Customers!D490&lt;&gt;"",DB_Customers!D490,""),"")</f>
        <v/>
      </c>
      <c r="D496" s="62" t="str">
        <f>IFERROR(IF(DB_Customers!Q490&lt;&gt;"",DB_Customers!Q490,""),"")</f>
        <v/>
      </c>
      <c r="E496" s="61" t="str">
        <f>IFERROR(IF(DB_Customers!R490&lt;&gt;"",DB_Customers!R490,""),"")</f>
        <v/>
      </c>
      <c r="F496" s="61" t="str">
        <f>IFERROR(IF(DB_Customers!S490&lt;&gt;"",DB_Customers!S490,""),"")</f>
        <v/>
      </c>
      <c r="G496" s="61" t="str">
        <f>IFERROR(IF(DB_Customers!G490&lt;&gt;"",DB_Customers!G490,""),"")</f>
        <v/>
      </c>
      <c r="H496" s="63" t="str">
        <f>IFERROR(IF(DB_Customers!H490&lt;&gt;"",DB_Customers!H490,""),"")</f>
        <v/>
      </c>
      <c r="I496" s="64" t="str">
        <f>IFERROR(IF(DB_Customers!I490&lt;&gt;"",DB_Customers!I490,""),"")</f>
        <v/>
      </c>
      <c r="J496" s="62" t="str">
        <f>IFERROR(IF(DB_Customers!J490&lt;&gt;"",DB_Customers!J490,""),"")</f>
        <v/>
      </c>
      <c r="K496" s="61" t="str">
        <f>IFERROR(IF(DB_Customers!E490&lt;&gt;"",DB_Customers!E490,""),"")</f>
        <v/>
      </c>
      <c r="L496" s="61" t="str">
        <f>IFERROR(IF(DB_Customers!F490&lt;&gt;"",DB_Customers!F490,""),"")</f>
        <v/>
      </c>
      <c r="M496" s="61" t="str">
        <f>IFERROR(IF(DB_Customers!T490&lt;&gt;"",DB_Customers!T490,""),"")</f>
        <v/>
      </c>
      <c r="N496" s="65" t="str">
        <f>IFERROR(IF(DB_Customers!A490&lt;&gt;"",IF(DB_Customers!I490&gt;=10,"Active","Inactive"),""),"")</f>
        <v/>
      </c>
    </row>
    <row r="497" spans="1:14" ht="18" customHeight="1" x14ac:dyDescent="0.25">
      <c r="A497" s="66" t="str">
        <f>IF(DB_Customers!A491&lt;&gt;"",488,"")</f>
        <v/>
      </c>
      <c r="B497" s="67" t="str">
        <f>IFERROR(IF(DB_Customers!A491&lt;&gt;"",DB_Customers!A491,""),"")</f>
        <v/>
      </c>
      <c r="C497" s="68" t="str">
        <f>IFERROR(IF(DB_Customers!D491&lt;&gt;"",DB_Customers!D491,""),"")</f>
        <v/>
      </c>
      <c r="D497" s="69" t="str">
        <f>IFERROR(IF(DB_Customers!Q491&lt;&gt;"",DB_Customers!Q491,""),"")</f>
        <v/>
      </c>
      <c r="E497" s="68" t="str">
        <f>IFERROR(IF(DB_Customers!R491&lt;&gt;"",DB_Customers!R491,""),"")</f>
        <v/>
      </c>
      <c r="F497" s="68" t="str">
        <f>IFERROR(IF(DB_Customers!S491&lt;&gt;"",DB_Customers!S491,""),"")</f>
        <v/>
      </c>
      <c r="G497" s="68" t="str">
        <f>IFERROR(IF(DB_Customers!G491&lt;&gt;"",DB_Customers!G491,""),"")</f>
        <v/>
      </c>
      <c r="H497" s="70" t="str">
        <f>IFERROR(IF(DB_Customers!H491&lt;&gt;"",DB_Customers!H491,""),"")</f>
        <v/>
      </c>
      <c r="I497" s="71" t="str">
        <f>IFERROR(IF(DB_Customers!I491&lt;&gt;"",DB_Customers!I491,""),"")</f>
        <v/>
      </c>
      <c r="J497" s="69" t="str">
        <f>IFERROR(IF(DB_Customers!J491&lt;&gt;"",DB_Customers!J491,""),"")</f>
        <v/>
      </c>
      <c r="K497" s="68" t="str">
        <f>IFERROR(IF(DB_Customers!E491&lt;&gt;"",DB_Customers!E491,""),"")</f>
        <v/>
      </c>
      <c r="L497" s="68" t="str">
        <f>IFERROR(IF(DB_Customers!F491&lt;&gt;"",DB_Customers!F491,""),"")</f>
        <v/>
      </c>
      <c r="M497" s="68" t="str">
        <f>IFERROR(IF(DB_Customers!T491&lt;&gt;"",DB_Customers!T491,""),"")</f>
        <v/>
      </c>
      <c r="N497" s="72" t="str">
        <f>IFERROR(IF(DB_Customers!A491&lt;&gt;"",IF(DB_Customers!I491&gt;=10,"Active","Inactive"),""),"")</f>
        <v/>
      </c>
    </row>
    <row r="498" spans="1:14" ht="18" customHeight="1" x14ac:dyDescent="0.25">
      <c r="A498" s="59" t="str">
        <f>IF(DB_Customers!A492&lt;&gt;"",489,"")</f>
        <v/>
      </c>
      <c r="B498" s="60" t="str">
        <f>IFERROR(IF(DB_Customers!A492&lt;&gt;"",DB_Customers!A492,""),"")</f>
        <v/>
      </c>
      <c r="C498" s="61" t="str">
        <f>IFERROR(IF(DB_Customers!D492&lt;&gt;"",DB_Customers!D492,""),"")</f>
        <v/>
      </c>
      <c r="D498" s="62" t="str">
        <f>IFERROR(IF(DB_Customers!Q492&lt;&gt;"",DB_Customers!Q492,""),"")</f>
        <v/>
      </c>
      <c r="E498" s="61" t="str">
        <f>IFERROR(IF(DB_Customers!R492&lt;&gt;"",DB_Customers!R492,""),"")</f>
        <v/>
      </c>
      <c r="F498" s="61" t="str">
        <f>IFERROR(IF(DB_Customers!S492&lt;&gt;"",DB_Customers!S492,""),"")</f>
        <v/>
      </c>
      <c r="G498" s="61" t="str">
        <f>IFERROR(IF(DB_Customers!G492&lt;&gt;"",DB_Customers!G492,""),"")</f>
        <v/>
      </c>
      <c r="H498" s="63" t="str">
        <f>IFERROR(IF(DB_Customers!H492&lt;&gt;"",DB_Customers!H492,""),"")</f>
        <v/>
      </c>
      <c r="I498" s="64" t="str">
        <f>IFERROR(IF(DB_Customers!I492&lt;&gt;"",DB_Customers!I492,""),"")</f>
        <v/>
      </c>
      <c r="J498" s="62" t="str">
        <f>IFERROR(IF(DB_Customers!J492&lt;&gt;"",DB_Customers!J492,""),"")</f>
        <v/>
      </c>
      <c r="K498" s="61" t="str">
        <f>IFERROR(IF(DB_Customers!E492&lt;&gt;"",DB_Customers!E492,""),"")</f>
        <v/>
      </c>
      <c r="L498" s="61" t="str">
        <f>IFERROR(IF(DB_Customers!F492&lt;&gt;"",DB_Customers!F492,""),"")</f>
        <v/>
      </c>
      <c r="M498" s="61" t="str">
        <f>IFERROR(IF(DB_Customers!T492&lt;&gt;"",DB_Customers!T492,""),"")</f>
        <v/>
      </c>
      <c r="N498" s="65" t="str">
        <f>IFERROR(IF(DB_Customers!A492&lt;&gt;"",IF(DB_Customers!I492&gt;=10,"Active","Inactive"),""),"")</f>
        <v/>
      </c>
    </row>
    <row r="499" spans="1:14" ht="18" customHeight="1" x14ac:dyDescent="0.25">
      <c r="A499" s="66" t="str">
        <f>IF(DB_Customers!A493&lt;&gt;"",490,"")</f>
        <v/>
      </c>
      <c r="B499" s="67" t="str">
        <f>IFERROR(IF(DB_Customers!A493&lt;&gt;"",DB_Customers!A493,""),"")</f>
        <v/>
      </c>
      <c r="C499" s="68" t="str">
        <f>IFERROR(IF(DB_Customers!D493&lt;&gt;"",DB_Customers!D493,""),"")</f>
        <v/>
      </c>
      <c r="D499" s="69" t="str">
        <f>IFERROR(IF(DB_Customers!Q493&lt;&gt;"",DB_Customers!Q493,""),"")</f>
        <v/>
      </c>
      <c r="E499" s="68" t="str">
        <f>IFERROR(IF(DB_Customers!R493&lt;&gt;"",DB_Customers!R493,""),"")</f>
        <v/>
      </c>
      <c r="F499" s="68" t="str">
        <f>IFERROR(IF(DB_Customers!S493&lt;&gt;"",DB_Customers!S493,""),"")</f>
        <v/>
      </c>
      <c r="G499" s="68" t="str">
        <f>IFERROR(IF(DB_Customers!G493&lt;&gt;"",DB_Customers!G493,""),"")</f>
        <v/>
      </c>
      <c r="H499" s="70" t="str">
        <f>IFERROR(IF(DB_Customers!H493&lt;&gt;"",DB_Customers!H493,""),"")</f>
        <v/>
      </c>
      <c r="I499" s="71" t="str">
        <f>IFERROR(IF(DB_Customers!I493&lt;&gt;"",DB_Customers!I493,""),"")</f>
        <v/>
      </c>
      <c r="J499" s="69" t="str">
        <f>IFERROR(IF(DB_Customers!J493&lt;&gt;"",DB_Customers!J493,""),"")</f>
        <v/>
      </c>
      <c r="K499" s="68" t="str">
        <f>IFERROR(IF(DB_Customers!E493&lt;&gt;"",DB_Customers!E493,""),"")</f>
        <v/>
      </c>
      <c r="L499" s="68" t="str">
        <f>IFERROR(IF(DB_Customers!F493&lt;&gt;"",DB_Customers!F493,""),"")</f>
        <v/>
      </c>
      <c r="M499" s="68" t="str">
        <f>IFERROR(IF(DB_Customers!T493&lt;&gt;"",DB_Customers!T493,""),"")</f>
        <v/>
      </c>
      <c r="N499" s="72" t="str">
        <f>IFERROR(IF(DB_Customers!A493&lt;&gt;"",IF(DB_Customers!I493&gt;=10,"Active","Inactive"),""),"")</f>
        <v/>
      </c>
    </row>
    <row r="500" spans="1:14" ht="18" customHeight="1" x14ac:dyDescent="0.25">
      <c r="A500" s="59" t="str">
        <f>IF(DB_Customers!A494&lt;&gt;"",491,"")</f>
        <v/>
      </c>
      <c r="B500" s="60" t="str">
        <f>IFERROR(IF(DB_Customers!A494&lt;&gt;"",DB_Customers!A494,""),"")</f>
        <v/>
      </c>
      <c r="C500" s="61" t="str">
        <f>IFERROR(IF(DB_Customers!D494&lt;&gt;"",DB_Customers!D494,""),"")</f>
        <v/>
      </c>
      <c r="D500" s="62" t="str">
        <f>IFERROR(IF(DB_Customers!Q494&lt;&gt;"",DB_Customers!Q494,""),"")</f>
        <v/>
      </c>
      <c r="E500" s="61" t="str">
        <f>IFERROR(IF(DB_Customers!R494&lt;&gt;"",DB_Customers!R494,""),"")</f>
        <v/>
      </c>
      <c r="F500" s="61" t="str">
        <f>IFERROR(IF(DB_Customers!S494&lt;&gt;"",DB_Customers!S494,""),"")</f>
        <v/>
      </c>
      <c r="G500" s="61" t="str">
        <f>IFERROR(IF(DB_Customers!G494&lt;&gt;"",DB_Customers!G494,""),"")</f>
        <v/>
      </c>
      <c r="H500" s="63" t="str">
        <f>IFERROR(IF(DB_Customers!H494&lt;&gt;"",DB_Customers!H494,""),"")</f>
        <v/>
      </c>
      <c r="I500" s="64" t="str">
        <f>IFERROR(IF(DB_Customers!I494&lt;&gt;"",DB_Customers!I494,""),"")</f>
        <v/>
      </c>
      <c r="J500" s="62" t="str">
        <f>IFERROR(IF(DB_Customers!J494&lt;&gt;"",DB_Customers!J494,""),"")</f>
        <v/>
      </c>
      <c r="K500" s="61" t="str">
        <f>IFERROR(IF(DB_Customers!E494&lt;&gt;"",DB_Customers!E494,""),"")</f>
        <v/>
      </c>
      <c r="L500" s="61" t="str">
        <f>IFERROR(IF(DB_Customers!F494&lt;&gt;"",DB_Customers!F494,""),"")</f>
        <v/>
      </c>
      <c r="M500" s="61" t="str">
        <f>IFERROR(IF(DB_Customers!T494&lt;&gt;"",DB_Customers!T494,""),"")</f>
        <v/>
      </c>
      <c r="N500" s="65" t="str">
        <f>IFERROR(IF(DB_Customers!A494&lt;&gt;"",IF(DB_Customers!I494&gt;=10,"Active","Inactive"),""),"")</f>
        <v/>
      </c>
    </row>
    <row r="501" spans="1:14" ht="18" customHeight="1" x14ac:dyDescent="0.25">
      <c r="A501" s="66" t="str">
        <f>IF(DB_Customers!A495&lt;&gt;"",492,"")</f>
        <v/>
      </c>
      <c r="B501" s="67" t="str">
        <f>IFERROR(IF(DB_Customers!A495&lt;&gt;"",DB_Customers!A495,""),"")</f>
        <v/>
      </c>
      <c r="C501" s="68" t="str">
        <f>IFERROR(IF(DB_Customers!D495&lt;&gt;"",DB_Customers!D495,""),"")</f>
        <v/>
      </c>
      <c r="D501" s="69" t="str">
        <f>IFERROR(IF(DB_Customers!Q495&lt;&gt;"",DB_Customers!Q495,""),"")</f>
        <v/>
      </c>
      <c r="E501" s="68" t="str">
        <f>IFERROR(IF(DB_Customers!R495&lt;&gt;"",DB_Customers!R495,""),"")</f>
        <v/>
      </c>
      <c r="F501" s="68" t="str">
        <f>IFERROR(IF(DB_Customers!S495&lt;&gt;"",DB_Customers!S495,""),"")</f>
        <v/>
      </c>
      <c r="G501" s="68" t="str">
        <f>IFERROR(IF(DB_Customers!G495&lt;&gt;"",DB_Customers!G495,""),"")</f>
        <v/>
      </c>
      <c r="H501" s="70" t="str">
        <f>IFERROR(IF(DB_Customers!H495&lt;&gt;"",DB_Customers!H495,""),"")</f>
        <v/>
      </c>
      <c r="I501" s="71" t="str">
        <f>IFERROR(IF(DB_Customers!I495&lt;&gt;"",DB_Customers!I495,""),"")</f>
        <v/>
      </c>
      <c r="J501" s="69" t="str">
        <f>IFERROR(IF(DB_Customers!J495&lt;&gt;"",DB_Customers!J495,""),"")</f>
        <v/>
      </c>
      <c r="K501" s="68" t="str">
        <f>IFERROR(IF(DB_Customers!E495&lt;&gt;"",DB_Customers!E495,""),"")</f>
        <v/>
      </c>
      <c r="L501" s="68" t="str">
        <f>IFERROR(IF(DB_Customers!F495&lt;&gt;"",DB_Customers!F495,""),"")</f>
        <v/>
      </c>
      <c r="M501" s="68" t="str">
        <f>IFERROR(IF(DB_Customers!T495&lt;&gt;"",DB_Customers!T495,""),"")</f>
        <v/>
      </c>
      <c r="N501" s="72" t="str">
        <f>IFERROR(IF(DB_Customers!A495&lt;&gt;"",IF(DB_Customers!I495&gt;=10,"Active","Inactive"),""),"")</f>
        <v/>
      </c>
    </row>
    <row r="502" spans="1:14" ht="18" customHeight="1" x14ac:dyDescent="0.25">
      <c r="A502" s="59" t="str">
        <f>IF(DB_Customers!A496&lt;&gt;"",493,"")</f>
        <v/>
      </c>
      <c r="B502" s="60" t="str">
        <f>IFERROR(IF(DB_Customers!A496&lt;&gt;"",DB_Customers!A496,""),"")</f>
        <v/>
      </c>
      <c r="C502" s="61" t="str">
        <f>IFERROR(IF(DB_Customers!D496&lt;&gt;"",DB_Customers!D496,""),"")</f>
        <v/>
      </c>
      <c r="D502" s="62" t="str">
        <f>IFERROR(IF(DB_Customers!Q496&lt;&gt;"",DB_Customers!Q496,""),"")</f>
        <v/>
      </c>
      <c r="E502" s="61" t="str">
        <f>IFERROR(IF(DB_Customers!R496&lt;&gt;"",DB_Customers!R496,""),"")</f>
        <v/>
      </c>
      <c r="F502" s="61" t="str">
        <f>IFERROR(IF(DB_Customers!S496&lt;&gt;"",DB_Customers!S496,""),"")</f>
        <v/>
      </c>
      <c r="G502" s="61" t="str">
        <f>IFERROR(IF(DB_Customers!G496&lt;&gt;"",DB_Customers!G496,""),"")</f>
        <v/>
      </c>
      <c r="H502" s="63" t="str">
        <f>IFERROR(IF(DB_Customers!H496&lt;&gt;"",DB_Customers!H496,""),"")</f>
        <v/>
      </c>
      <c r="I502" s="64" t="str">
        <f>IFERROR(IF(DB_Customers!I496&lt;&gt;"",DB_Customers!I496,""),"")</f>
        <v/>
      </c>
      <c r="J502" s="62" t="str">
        <f>IFERROR(IF(DB_Customers!J496&lt;&gt;"",DB_Customers!J496,""),"")</f>
        <v/>
      </c>
      <c r="K502" s="61" t="str">
        <f>IFERROR(IF(DB_Customers!E496&lt;&gt;"",DB_Customers!E496,""),"")</f>
        <v/>
      </c>
      <c r="L502" s="61" t="str">
        <f>IFERROR(IF(DB_Customers!F496&lt;&gt;"",DB_Customers!F496,""),"")</f>
        <v/>
      </c>
      <c r="M502" s="61" t="str">
        <f>IFERROR(IF(DB_Customers!T496&lt;&gt;"",DB_Customers!T496,""),"")</f>
        <v/>
      </c>
      <c r="N502" s="65" t="str">
        <f>IFERROR(IF(DB_Customers!A496&lt;&gt;"",IF(DB_Customers!I496&gt;=10,"Active","Inactive"),""),"")</f>
        <v/>
      </c>
    </row>
    <row r="503" spans="1:14" ht="18" customHeight="1" x14ac:dyDescent="0.25">
      <c r="A503" s="66" t="str">
        <f>IF(DB_Customers!A497&lt;&gt;"",494,"")</f>
        <v/>
      </c>
      <c r="B503" s="67" t="str">
        <f>IFERROR(IF(DB_Customers!A497&lt;&gt;"",DB_Customers!A497,""),"")</f>
        <v/>
      </c>
      <c r="C503" s="68" t="str">
        <f>IFERROR(IF(DB_Customers!D497&lt;&gt;"",DB_Customers!D497,""),"")</f>
        <v/>
      </c>
      <c r="D503" s="69" t="str">
        <f>IFERROR(IF(DB_Customers!Q497&lt;&gt;"",DB_Customers!Q497,""),"")</f>
        <v/>
      </c>
      <c r="E503" s="68" t="str">
        <f>IFERROR(IF(DB_Customers!R497&lt;&gt;"",DB_Customers!R497,""),"")</f>
        <v/>
      </c>
      <c r="F503" s="68" t="str">
        <f>IFERROR(IF(DB_Customers!S497&lt;&gt;"",DB_Customers!S497,""),"")</f>
        <v/>
      </c>
      <c r="G503" s="68" t="str">
        <f>IFERROR(IF(DB_Customers!G497&lt;&gt;"",DB_Customers!G497,""),"")</f>
        <v/>
      </c>
      <c r="H503" s="70" t="str">
        <f>IFERROR(IF(DB_Customers!H497&lt;&gt;"",DB_Customers!H497,""),"")</f>
        <v/>
      </c>
      <c r="I503" s="71" t="str">
        <f>IFERROR(IF(DB_Customers!I497&lt;&gt;"",DB_Customers!I497,""),"")</f>
        <v/>
      </c>
      <c r="J503" s="69" t="str">
        <f>IFERROR(IF(DB_Customers!J497&lt;&gt;"",DB_Customers!J497,""),"")</f>
        <v/>
      </c>
      <c r="K503" s="68" t="str">
        <f>IFERROR(IF(DB_Customers!E497&lt;&gt;"",DB_Customers!E497,""),"")</f>
        <v/>
      </c>
      <c r="L503" s="68" t="str">
        <f>IFERROR(IF(DB_Customers!F497&lt;&gt;"",DB_Customers!F497,""),"")</f>
        <v/>
      </c>
      <c r="M503" s="68" t="str">
        <f>IFERROR(IF(DB_Customers!T497&lt;&gt;"",DB_Customers!T497,""),"")</f>
        <v/>
      </c>
      <c r="N503" s="72" t="str">
        <f>IFERROR(IF(DB_Customers!A497&lt;&gt;"",IF(DB_Customers!I497&gt;=10,"Active","Inactive"),""),"")</f>
        <v/>
      </c>
    </row>
    <row r="504" spans="1:14" ht="18" customHeight="1" x14ac:dyDescent="0.25">
      <c r="A504" s="59" t="str">
        <f>IF(DB_Customers!A498&lt;&gt;"",495,"")</f>
        <v/>
      </c>
      <c r="B504" s="60" t="str">
        <f>IFERROR(IF(DB_Customers!A498&lt;&gt;"",DB_Customers!A498,""),"")</f>
        <v/>
      </c>
      <c r="C504" s="61" t="str">
        <f>IFERROR(IF(DB_Customers!D498&lt;&gt;"",DB_Customers!D498,""),"")</f>
        <v/>
      </c>
      <c r="D504" s="62" t="str">
        <f>IFERROR(IF(DB_Customers!Q498&lt;&gt;"",DB_Customers!Q498,""),"")</f>
        <v/>
      </c>
      <c r="E504" s="61" t="str">
        <f>IFERROR(IF(DB_Customers!R498&lt;&gt;"",DB_Customers!R498,""),"")</f>
        <v/>
      </c>
      <c r="F504" s="61" t="str">
        <f>IFERROR(IF(DB_Customers!S498&lt;&gt;"",DB_Customers!S498,""),"")</f>
        <v/>
      </c>
      <c r="G504" s="61" t="str">
        <f>IFERROR(IF(DB_Customers!G498&lt;&gt;"",DB_Customers!G498,""),"")</f>
        <v/>
      </c>
      <c r="H504" s="63" t="str">
        <f>IFERROR(IF(DB_Customers!H498&lt;&gt;"",DB_Customers!H498,""),"")</f>
        <v/>
      </c>
      <c r="I504" s="64" t="str">
        <f>IFERROR(IF(DB_Customers!I498&lt;&gt;"",DB_Customers!I498,""),"")</f>
        <v/>
      </c>
      <c r="J504" s="62" t="str">
        <f>IFERROR(IF(DB_Customers!J498&lt;&gt;"",DB_Customers!J498,""),"")</f>
        <v/>
      </c>
      <c r="K504" s="61" t="str">
        <f>IFERROR(IF(DB_Customers!E498&lt;&gt;"",DB_Customers!E498,""),"")</f>
        <v/>
      </c>
      <c r="L504" s="61" t="str">
        <f>IFERROR(IF(DB_Customers!F498&lt;&gt;"",DB_Customers!F498,""),"")</f>
        <v/>
      </c>
      <c r="M504" s="61" t="str">
        <f>IFERROR(IF(DB_Customers!T498&lt;&gt;"",DB_Customers!T498,""),"")</f>
        <v/>
      </c>
      <c r="N504" s="65" t="str">
        <f>IFERROR(IF(DB_Customers!A498&lt;&gt;"",IF(DB_Customers!I498&gt;=10,"Active","Inactive"),""),"")</f>
        <v/>
      </c>
    </row>
    <row r="505" spans="1:14" ht="18" customHeight="1" x14ac:dyDescent="0.25">
      <c r="A505" s="66" t="str">
        <f>IF(DB_Customers!A499&lt;&gt;"",496,"")</f>
        <v/>
      </c>
      <c r="B505" s="67" t="str">
        <f>IFERROR(IF(DB_Customers!A499&lt;&gt;"",DB_Customers!A499,""),"")</f>
        <v/>
      </c>
      <c r="C505" s="68" t="str">
        <f>IFERROR(IF(DB_Customers!D499&lt;&gt;"",DB_Customers!D499,""),"")</f>
        <v/>
      </c>
      <c r="D505" s="69" t="str">
        <f>IFERROR(IF(DB_Customers!Q499&lt;&gt;"",DB_Customers!Q499,""),"")</f>
        <v/>
      </c>
      <c r="E505" s="68" t="str">
        <f>IFERROR(IF(DB_Customers!R499&lt;&gt;"",DB_Customers!R499,""),"")</f>
        <v/>
      </c>
      <c r="F505" s="68" t="str">
        <f>IFERROR(IF(DB_Customers!S499&lt;&gt;"",DB_Customers!S499,""),"")</f>
        <v/>
      </c>
      <c r="G505" s="68" t="str">
        <f>IFERROR(IF(DB_Customers!G499&lt;&gt;"",DB_Customers!G499,""),"")</f>
        <v/>
      </c>
      <c r="H505" s="70" t="str">
        <f>IFERROR(IF(DB_Customers!H499&lt;&gt;"",DB_Customers!H499,""),"")</f>
        <v/>
      </c>
      <c r="I505" s="71" t="str">
        <f>IFERROR(IF(DB_Customers!I499&lt;&gt;"",DB_Customers!I499,""),"")</f>
        <v/>
      </c>
      <c r="J505" s="69" t="str">
        <f>IFERROR(IF(DB_Customers!J499&lt;&gt;"",DB_Customers!J499,""),"")</f>
        <v/>
      </c>
      <c r="K505" s="68" t="str">
        <f>IFERROR(IF(DB_Customers!E499&lt;&gt;"",DB_Customers!E499,""),"")</f>
        <v/>
      </c>
      <c r="L505" s="68" t="str">
        <f>IFERROR(IF(DB_Customers!F499&lt;&gt;"",DB_Customers!F499,""),"")</f>
        <v/>
      </c>
      <c r="M505" s="68" t="str">
        <f>IFERROR(IF(DB_Customers!T499&lt;&gt;"",DB_Customers!T499,""),"")</f>
        <v/>
      </c>
      <c r="N505" s="72" t="str">
        <f>IFERROR(IF(DB_Customers!A499&lt;&gt;"",IF(DB_Customers!I499&gt;=10,"Active","Inactive"),""),"")</f>
        <v/>
      </c>
    </row>
    <row r="506" spans="1:14" ht="18" customHeight="1" x14ac:dyDescent="0.25">
      <c r="A506" s="59" t="str">
        <f>IF(DB_Customers!A500&lt;&gt;"",497,"")</f>
        <v/>
      </c>
      <c r="B506" s="60" t="str">
        <f>IFERROR(IF(DB_Customers!A500&lt;&gt;"",DB_Customers!A500,""),"")</f>
        <v/>
      </c>
      <c r="C506" s="61" t="str">
        <f>IFERROR(IF(DB_Customers!D500&lt;&gt;"",DB_Customers!D500,""),"")</f>
        <v/>
      </c>
      <c r="D506" s="62" t="str">
        <f>IFERROR(IF(DB_Customers!Q500&lt;&gt;"",DB_Customers!Q500,""),"")</f>
        <v/>
      </c>
      <c r="E506" s="61" t="str">
        <f>IFERROR(IF(DB_Customers!R500&lt;&gt;"",DB_Customers!R500,""),"")</f>
        <v/>
      </c>
      <c r="F506" s="61" t="str">
        <f>IFERROR(IF(DB_Customers!S500&lt;&gt;"",DB_Customers!S500,""),"")</f>
        <v/>
      </c>
      <c r="G506" s="61" t="str">
        <f>IFERROR(IF(DB_Customers!G500&lt;&gt;"",DB_Customers!G500,""),"")</f>
        <v/>
      </c>
      <c r="H506" s="63" t="str">
        <f>IFERROR(IF(DB_Customers!H500&lt;&gt;"",DB_Customers!H500,""),"")</f>
        <v/>
      </c>
      <c r="I506" s="64" t="str">
        <f>IFERROR(IF(DB_Customers!I500&lt;&gt;"",DB_Customers!I500,""),"")</f>
        <v/>
      </c>
      <c r="J506" s="62" t="str">
        <f>IFERROR(IF(DB_Customers!J500&lt;&gt;"",DB_Customers!J500,""),"")</f>
        <v/>
      </c>
      <c r="K506" s="61" t="str">
        <f>IFERROR(IF(DB_Customers!E500&lt;&gt;"",DB_Customers!E500,""),"")</f>
        <v/>
      </c>
      <c r="L506" s="61" t="str">
        <f>IFERROR(IF(DB_Customers!F500&lt;&gt;"",DB_Customers!F500,""),"")</f>
        <v/>
      </c>
      <c r="M506" s="61" t="str">
        <f>IFERROR(IF(DB_Customers!T500&lt;&gt;"",DB_Customers!T500,""),"")</f>
        <v/>
      </c>
      <c r="N506" s="65" t="str">
        <f>IFERROR(IF(DB_Customers!A500&lt;&gt;"",IF(DB_Customers!I500&gt;=10,"Active","Inactive"),""),"")</f>
        <v/>
      </c>
    </row>
    <row r="507" spans="1:14" ht="18" customHeight="1" x14ac:dyDescent="0.25">
      <c r="A507" s="66" t="str">
        <f>IF(DB_Customers!A501&lt;&gt;"",498,"")</f>
        <v/>
      </c>
      <c r="B507" s="67" t="str">
        <f>IFERROR(IF(DB_Customers!A501&lt;&gt;"",DB_Customers!A501,""),"")</f>
        <v/>
      </c>
      <c r="C507" s="68" t="str">
        <f>IFERROR(IF(DB_Customers!D501&lt;&gt;"",DB_Customers!D501,""),"")</f>
        <v/>
      </c>
      <c r="D507" s="69" t="str">
        <f>IFERROR(IF(DB_Customers!Q501&lt;&gt;"",DB_Customers!Q501,""),"")</f>
        <v/>
      </c>
      <c r="E507" s="68" t="str">
        <f>IFERROR(IF(DB_Customers!R501&lt;&gt;"",DB_Customers!R501,""),"")</f>
        <v/>
      </c>
      <c r="F507" s="68" t="str">
        <f>IFERROR(IF(DB_Customers!S501&lt;&gt;"",DB_Customers!S501,""),"")</f>
        <v/>
      </c>
      <c r="G507" s="68" t="str">
        <f>IFERROR(IF(DB_Customers!G501&lt;&gt;"",DB_Customers!G501,""),"")</f>
        <v/>
      </c>
      <c r="H507" s="70" t="str">
        <f>IFERROR(IF(DB_Customers!H501&lt;&gt;"",DB_Customers!H501,""),"")</f>
        <v/>
      </c>
      <c r="I507" s="71" t="str">
        <f>IFERROR(IF(DB_Customers!I501&lt;&gt;"",DB_Customers!I501,""),"")</f>
        <v/>
      </c>
      <c r="J507" s="69" t="str">
        <f>IFERROR(IF(DB_Customers!J501&lt;&gt;"",DB_Customers!J501,""),"")</f>
        <v/>
      </c>
      <c r="K507" s="68" t="str">
        <f>IFERROR(IF(DB_Customers!E501&lt;&gt;"",DB_Customers!E501,""),"")</f>
        <v/>
      </c>
      <c r="L507" s="68" t="str">
        <f>IFERROR(IF(DB_Customers!F501&lt;&gt;"",DB_Customers!F501,""),"")</f>
        <v/>
      </c>
      <c r="M507" s="68" t="str">
        <f>IFERROR(IF(DB_Customers!T501&lt;&gt;"",DB_Customers!T501,""),"")</f>
        <v/>
      </c>
      <c r="N507" s="72" t="str">
        <f>IFERROR(IF(DB_Customers!A501&lt;&gt;"",IF(DB_Customers!I501&gt;=10,"Active","Inactive"),""),"")</f>
        <v/>
      </c>
    </row>
    <row r="508" spans="1:14" ht="18" customHeight="1" x14ac:dyDescent="0.25">
      <c r="A508" s="59" t="str">
        <f>IF(DB_Customers!A502&lt;&gt;"",499,"")</f>
        <v/>
      </c>
      <c r="B508" s="60" t="str">
        <f>IFERROR(IF(DB_Customers!A502&lt;&gt;"",DB_Customers!A502,""),"")</f>
        <v/>
      </c>
      <c r="C508" s="61" t="str">
        <f>IFERROR(IF(DB_Customers!D502&lt;&gt;"",DB_Customers!D502,""),"")</f>
        <v/>
      </c>
      <c r="D508" s="62" t="str">
        <f>IFERROR(IF(DB_Customers!Q502&lt;&gt;"",DB_Customers!Q502,""),"")</f>
        <v/>
      </c>
      <c r="E508" s="61" t="str">
        <f>IFERROR(IF(DB_Customers!R502&lt;&gt;"",DB_Customers!R502,""),"")</f>
        <v/>
      </c>
      <c r="F508" s="61" t="str">
        <f>IFERROR(IF(DB_Customers!S502&lt;&gt;"",DB_Customers!S502,""),"")</f>
        <v/>
      </c>
      <c r="G508" s="61" t="str">
        <f>IFERROR(IF(DB_Customers!G502&lt;&gt;"",DB_Customers!G502,""),"")</f>
        <v/>
      </c>
      <c r="H508" s="63" t="str">
        <f>IFERROR(IF(DB_Customers!H502&lt;&gt;"",DB_Customers!H502,""),"")</f>
        <v/>
      </c>
      <c r="I508" s="64" t="str">
        <f>IFERROR(IF(DB_Customers!I502&lt;&gt;"",DB_Customers!I502,""),"")</f>
        <v/>
      </c>
      <c r="J508" s="62" t="str">
        <f>IFERROR(IF(DB_Customers!J502&lt;&gt;"",DB_Customers!J502,""),"")</f>
        <v/>
      </c>
      <c r="K508" s="61" t="str">
        <f>IFERROR(IF(DB_Customers!E502&lt;&gt;"",DB_Customers!E502,""),"")</f>
        <v/>
      </c>
      <c r="L508" s="61" t="str">
        <f>IFERROR(IF(DB_Customers!F502&lt;&gt;"",DB_Customers!F502,""),"")</f>
        <v/>
      </c>
      <c r="M508" s="61" t="str">
        <f>IFERROR(IF(DB_Customers!T502&lt;&gt;"",DB_Customers!T502,""),"")</f>
        <v/>
      </c>
      <c r="N508" s="65" t="str">
        <f>IFERROR(IF(DB_Customers!A502&lt;&gt;"",IF(DB_Customers!I502&gt;=10,"Active","Inactive"),""),"")</f>
        <v/>
      </c>
    </row>
    <row r="510" spans="1:14" ht="25.5" customHeight="1" x14ac:dyDescent="0.25">
      <c r="A510" s="73" t="s">
        <v>157</v>
      </c>
      <c r="C510" s="74">
        <f>COUNTA(B9:B508)</f>
        <v>500</v>
      </c>
      <c r="D510" s="47"/>
      <c r="E510" s="47"/>
      <c r="F510" s="47"/>
      <c r="G510" s="47"/>
      <c r="H510" s="47"/>
      <c r="I510" s="47"/>
      <c r="J510" s="47"/>
      <c r="K510" s="47"/>
      <c r="L510" s="47"/>
      <c r="M510" s="47"/>
      <c r="N510" s="47"/>
    </row>
    <row r="512" spans="1:14" ht="24" customHeight="1" x14ac:dyDescent="0.25">
      <c r="A512" s="75" t="s">
        <v>158</v>
      </c>
    </row>
    <row r="513" spans="1:1" ht="15.75" customHeight="1" x14ac:dyDescent="0.25">
      <c r="A513" s="76" t="s">
        <v>159</v>
      </c>
    </row>
    <row r="514" spans="1:1" ht="15.75" customHeight="1" x14ac:dyDescent="0.25">
      <c r="A514" s="76" t="s">
        <v>160</v>
      </c>
    </row>
    <row r="515" spans="1:1" ht="15.75" customHeight="1" x14ac:dyDescent="0.25">
      <c r="A515" s="76" t="s">
        <v>161</v>
      </c>
    </row>
    <row r="516" spans="1:1" ht="15.75" customHeight="1" x14ac:dyDescent="0.25">
      <c r="A516" s="76" t="s">
        <v>162</v>
      </c>
    </row>
    <row r="517" spans="1:1" ht="15.75" customHeight="1" x14ac:dyDescent="0.25">
      <c r="A517" s="76" t="s">
        <v>163</v>
      </c>
    </row>
    <row r="518" spans="1:1" ht="15.75" customHeight="1" x14ac:dyDescent="0.25">
      <c r="A518" s="76" t="s">
        <v>164</v>
      </c>
    </row>
  </sheetData>
  <autoFilter ref="A8:N508" xr:uid="{00000000-0009-0000-0000-000004000000}"/>
  <mergeCells count="7">
    <mergeCell ref="A6:N6"/>
    <mergeCell ref="A1:N1"/>
    <mergeCell ref="A2:N2"/>
    <mergeCell ref="A3:N3"/>
    <mergeCell ref="A4:N4"/>
    <mergeCell ref="C5:F5"/>
    <mergeCell ref="G5:N5"/>
  </mergeCells>
  <conditionalFormatting sqref="A9:N508">
    <cfRule type="expression" dxfId="104" priority="2">
      <formula>AND($C$5&lt;&gt;"",ISNUMBER(SEARCH($C$5,$B9)))</formula>
    </cfRule>
    <cfRule type="expression" dxfId="103" priority="3">
      <formula>AND($C$5&lt;&gt;"",NOT(ISNUMBER(SEARCH($C$5,$B9))))</formula>
    </cfRule>
  </conditionalFormatting>
  <pageMargins left="0.75" right="0.75" top="1" bottom="1" header="0.511811023622047" footer="0.511811023622047"/>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27AE60"/>
  </sheetPr>
  <dimension ref="A1:L208"/>
  <sheetViews>
    <sheetView zoomScaleNormal="100" workbookViewId="0">
      <pane ySplit="8" topLeftCell="A48" activePane="bottomLeft" state="frozen"/>
      <selection pane="bottomLeft" activeCell="F13" sqref="F13"/>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2" customWidth="1"/>
    <col min="8" max="8" width="14" customWidth="1"/>
    <col min="9" max="10" width="22" customWidth="1"/>
  </cols>
  <sheetData>
    <row r="1" spans="1:12" ht="31.5" customHeight="1" x14ac:dyDescent="0.25">
      <c r="A1" s="14" t="s">
        <v>165</v>
      </c>
      <c r="B1" s="14"/>
      <c r="C1" s="14"/>
      <c r="D1" s="14"/>
      <c r="E1" s="14"/>
      <c r="F1" s="14"/>
      <c r="G1" s="14"/>
      <c r="H1" s="14"/>
      <c r="I1" s="14"/>
      <c r="J1" s="14"/>
      <c r="K1" s="14"/>
      <c r="L1" s="14"/>
    </row>
    <row r="2" spans="1:12" ht="19.5" customHeight="1" x14ac:dyDescent="0.25">
      <c r="A2" s="204" t="s">
        <v>166</v>
      </c>
      <c r="B2" s="204"/>
      <c r="C2" s="204"/>
      <c r="D2" s="204"/>
      <c r="E2" s="204"/>
      <c r="F2" s="204"/>
      <c r="G2" s="204"/>
      <c r="H2" s="204"/>
      <c r="I2" s="204"/>
      <c r="J2" s="204"/>
      <c r="K2" s="204"/>
      <c r="L2" s="204"/>
    </row>
    <row r="3" spans="1:12" ht="18" customHeight="1" x14ac:dyDescent="0.25">
      <c r="A3" s="177" t="s">
        <v>167</v>
      </c>
      <c r="B3" s="177"/>
      <c r="C3" s="177"/>
      <c r="D3" s="180" t="s">
        <v>168</v>
      </c>
      <c r="E3" s="180"/>
      <c r="F3" s="180"/>
      <c r="G3" s="154" t="s">
        <v>169</v>
      </c>
      <c r="H3" s="154"/>
      <c r="I3" s="154"/>
      <c r="J3" s="2"/>
      <c r="K3" s="2"/>
      <c r="L3" s="2"/>
    </row>
    <row r="4" spans="1:12" ht="27.75" customHeight="1" x14ac:dyDescent="0.25">
      <c r="A4" s="205">
        <v>4000</v>
      </c>
      <c r="B4" s="205"/>
      <c r="C4" s="205"/>
      <c r="D4" s="206">
        <f ca="1">COUNTIFS(DB_Savings!$G:$G,"Agent 01",DB_Savings!$E:$E,TODAY())</f>
        <v>0</v>
      </c>
      <c r="E4" s="206"/>
      <c r="F4" s="206"/>
      <c r="G4" s="207" t="str">
        <f ca="1">TEXT(TODAY(),"DDDD, DD MMMM YYYY")</f>
        <v>Sunday, 19 April 2026</v>
      </c>
      <c r="H4" s="207"/>
      <c r="I4" s="207"/>
      <c r="J4" s="2"/>
      <c r="K4" s="2"/>
      <c r="L4" s="2"/>
    </row>
    <row r="5" spans="1:12" ht="21.75" customHeight="1" x14ac:dyDescent="0.25">
      <c r="A5" s="208" t="str">
        <f ca="1">IF(SUMIFS(DB_Savings!$F:$F,DB_Savings!$G:$G,"Agent 01",DB_Savings!$E:$E,TODAY())&gt;=J4,"✅ DAILY TARGET ACHIEVED! Well done Agent 01!","⏳ Collection in progress — Keep going! Remaining: GHC "&amp;TEXT(J4-SUMIFS(DB_Savings!$F:$F,DB_Savings!$G:$G,"Agent 01",DB_Savings!$E:$E,TODAY()),"#,##0.00"))</f>
        <v>✅ DAILY TARGET ACHIEVED! Well done Agent 01!</v>
      </c>
      <c r="B5" s="208"/>
      <c r="C5" s="208"/>
      <c r="D5" s="208"/>
      <c r="E5" s="208"/>
      <c r="F5" s="208"/>
      <c r="G5" s="208"/>
      <c r="H5" s="208"/>
      <c r="I5" s="208"/>
      <c r="J5" s="208"/>
      <c r="K5" s="208"/>
      <c r="L5" s="208"/>
    </row>
    <row r="6" spans="1:12" ht="7.5" customHeight="1" x14ac:dyDescent="0.25"/>
    <row r="7" spans="1:12" ht="19.5" customHeight="1" x14ac:dyDescent="0.25">
      <c r="A7" s="209" t="s">
        <v>170</v>
      </c>
      <c r="B7" s="209"/>
      <c r="C7" s="209"/>
      <c r="D7" s="209"/>
      <c r="E7" s="209"/>
      <c r="F7" s="209"/>
      <c r="G7" s="209"/>
      <c r="H7" s="209"/>
      <c r="I7" s="209"/>
      <c r="J7" s="209"/>
      <c r="K7" s="209"/>
      <c r="L7" s="209"/>
    </row>
    <row r="8" spans="1:12" ht="19.5" customHeight="1" x14ac:dyDescent="0.25">
      <c r="A8" s="20" t="s">
        <v>171</v>
      </c>
      <c r="B8" s="20" t="s">
        <v>118</v>
      </c>
      <c r="C8" s="20" t="s">
        <v>172</v>
      </c>
      <c r="D8" s="20" t="s">
        <v>111</v>
      </c>
      <c r="E8" s="20" t="s">
        <v>173</v>
      </c>
      <c r="F8" s="20" t="s">
        <v>174</v>
      </c>
      <c r="G8" s="20" t="s">
        <v>32</v>
      </c>
      <c r="H8" s="78" t="s">
        <v>175</v>
      </c>
      <c r="I8" s="20" t="s">
        <v>155</v>
      </c>
      <c r="J8" s="20" t="s">
        <v>176</v>
      </c>
      <c r="K8" s="20" t="s">
        <v>177</v>
      </c>
    </row>
    <row r="9" spans="1:12" x14ac:dyDescent="0.25">
      <c r="A9" s="79"/>
      <c r="B9" s="21" t="str">
        <f>IF(A9="","",IFERROR(VLOOKUP(A9,DB_Customers!$A:$D,4,0),"❌ Account Not Found"))</f>
        <v/>
      </c>
      <c r="C9" s="80" t="str">
        <f>IF(A9="","",IFERROR(VLOOKUP(A9,DB_Customers!$A:$N,14,0),""))</f>
        <v/>
      </c>
      <c r="D9" s="81" t="str">
        <f t="shared" ref="D9:D40" ca="1" si="0">IF(A9="","",TODAY())</f>
        <v/>
      </c>
      <c r="E9" s="82"/>
      <c r="F9" s="83" t="str">
        <f t="shared" ref="F9:F40" si="1">IF(OR(A9="",E9=""),"",IF(C9="","",C9+E9))</f>
        <v/>
      </c>
      <c r="G9" s="23" t="s">
        <v>41</v>
      </c>
      <c r="H9" s="84"/>
      <c r="I9" s="85" t="str">
        <f>IF(A9="","Pending",IF(H9="","⚠️ Enter Code",IF(IFERROR(VLOOKUP(G9,DB_Agents!$B:$I,8,0),"")=H9,IF(AND(A9&lt;&gt;"",E9&lt;&gt;""),"Saved","Pending"),"🔒 BLOCKED — Wrong Code")))</f>
        <v>Pending</v>
      </c>
      <c r="J9" s="86" t="str">
        <f t="shared" ref="J9:J40" ca="1" si="2">IF(I9="Saved",TEXT(TODAY(),"YYYY-MM-DD")&amp;" Auto","—")</f>
        <v>—</v>
      </c>
      <c r="K9" s="87"/>
    </row>
    <row r="10" spans="1:12" x14ac:dyDescent="0.25">
      <c r="A10" s="88"/>
      <c r="B10" s="25" t="str">
        <f>IF(A10="","",IFERROR(VLOOKUP(A10,DB_Customers!$A:$D,4,0),"❌ Account Not Found"))</f>
        <v/>
      </c>
      <c r="C10" s="89" t="str">
        <f>IF(A10="","",IFERROR(VLOOKUP(A10,DB_Customers!$A:$N,14,0),""))</f>
        <v/>
      </c>
      <c r="D10" s="90" t="str">
        <f t="shared" ca="1" si="0"/>
        <v/>
      </c>
      <c r="E10" s="82"/>
      <c r="F10" s="91" t="str">
        <f t="shared" si="1"/>
        <v/>
      </c>
      <c r="G10" s="27" t="s">
        <v>41</v>
      </c>
      <c r="H10" s="84"/>
      <c r="I10" s="92" t="str">
        <f>IF(A10="","Pending",IF(H10="","⚠️ Enter Code",IF(IFERROR(VLOOKUP(G10,DB_Agents!$B:$I,8,0),"")=H10,IF(AND(A10&lt;&gt;"",E10&lt;&gt;""),"Saved","Pending"),"🔒 BLOCKED — Wrong Code")))</f>
        <v>Pending</v>
      </c>
      <c r="J10" s="93" t="str">
        <f t="shared" ca="1" si="2"/>
        <v>—</v>
      </c>
      <c r="K10" s="94"/>
    </row>
    <row r="11" spans="1:12" x14ac:dyDescent="0.25">
      <c r="A11" s="79"/>
      <c r="B11" s="21" t="str">
        <f>IF(A11="","",IFERROR(VLOOKUP(A11,DB_Customers!$A:$D,4,0),"❌ Account Not Found"))</f>
        <v/>
      </c>
      <c r="C11" s="80" t="str">
        <f>IF(A11="","",IFERROR(VLOOKUP(A11,DB_Customers!$A:$N,14,0),""))</f>
        <v/>
      </c>
      <c r="D11" s="81" t="str">
        <f t="shared" ca="1" si="0"/>
        <v/>
      </c>
      <c r="E11" s="82"/>
      <c r="F11" s="83" t="str">
        <f t="shared" si="1"/>
        <v/>
      </c>
      <c r="G11" s="23" t="s">
        <v>41</v>
      </c>
      <c r="H11" s="84"/>
      <c r="I11" s="85" t="str">
        <f>IF(A11="","Pending",IF(H11="","⚠️ Enter Code",IF(IFERROR(VLOOKUP(G11,DB_Agents!$B:$I,8,0),"")=H11,IF(AND(A11&lt;&gt;"",E11&lt;&gt;""),"Saved","Pending"),"🔒 BLOCKED — Wrong Code")))</f>
        <v>Pending</v>
      </c>
      <c r="J11" s="86" t="str">
        <f t="shared" ca="1" si="2"/>
        <v>—</v>
      </c>
      <c r="K11" s="87"/>
    </row>
    <row r="12" spans="1:12" x14ac:dyDescent="0.25">
      <c r="A12" s="88"/>
      <c r="B12" s="25" t="str">
        <f>IF(A12="","",IFERROR(VLOOKUP(A12,DB_Customers!$A:$D,4,0),"❌ Account Not Found"))</f>
        <v/>
      </c>
      <c r="C12" s="89" t="str">
        <f>IF(A12="","",IFERROR(VLOOKUP(A12,DB_Customers!$A:$N,14,0),""))</f>
        <v/>
      </c>
      <c r="D12" s="90" t="str">
        <f t="shared" ca="1" si="0"/>
        <v/>
      </c>
      <c r="E12" s="82"/>
      <c r="F12" s="91" t="str">
        <f t="shared" si="1"/>
        <v/>
      </c>
      <c r="G12" s="27" t="s">
        <v>41</v>
      </c>
      <c r="H12" s="84"/>
      <c r="I12" s="92" t="str">
        <f>IF(A12="","Pending",IF(H12="","⚠️ Enter Code",IF(IFERROR(VLOOKUP(G12,DB_Agents!$B:$I,8,0),"")=H12,IF(AND(A12&lt;&gt;"",E12&lt;&gt;""),"Saved","Pending"),"🔒 BLOCKED — Wrong Code")))</f>
        <v>Pending</v>
      </c>
      <c r="J12" s="93" t="str">
        <f t="shared" ca="1" si="2"/>
        <v>—</v>
      </c>
      <c r="K12" s="94"/>
    </row>
    <row r="13" spans="1:12" x14ac:dyDescent="0.25">
      <c r="A13" s="79"/>
      <c r="B13" s="21" t="str">
        <f>IF(A13="","",IFERROR(VLOOKUP(A13,DB_Customers!$A:$D,4,0),"❌ Account Not Found"))</f>
        <v/>
      </c>
      <c r="C13" s="80" t="str">
        <f>IF(A13="","",IFERROR(VLOOKUP(A13,DB_Customers!$A:$N,14,0),""))</f>
        <v/>
      </c>
      <c r="D13" s="81" t="str">
        <f t="shared" ca="1" si="0"/>
        <v/>
      </c>
      <c r="E13" s="82"/>
      <c r="F13" s="83" t="str">
        <f t="shared" si="1"/>
        <v/>
      </c>
      <c r="G13" s="23" t="s">
        <v>41</v>
      </c>
      <c r="H13" s="84"/>
      <c r="I13" s="85" t="str">
        <f>IF(A13="","Pending",IF(H13="","⚠️ Enter Code",IF(IFERROR(VLOOKUP(G13,DB_Agents!$B:$I,8,0),"")=H13,IF(AND(A13&lt;&gt;"",E13&lt;&gt;""),"Saved","Pending"),"🔒 BLOCKED — Wrong Code")))</f>
        <v>Pending</v>
      </c>
      <c r="J13" s="86" t="str">
        <f t="shared" ca="1" si="2"/>
        <v>—</v>
      </c>
      <c r="K13" s="87"/>
    </row>
    <row r="14" spans="1:12" x14ac:dyDescent="0.25">
      <c r="A14" s="88"/>
      <c r="B14" s="25" t="str">
        <f>IF(A14="","",IFERROR(VLOOKUP(A14,DB_Customers!$A:$D,4,0),"❌ Account Not Found"))</f>
        <v/>
      </c>
      <c r="C14" s="89" t="str">
        <f>IF(A14="","",IFERROR(VLOOKUP(A14,DB_Customers!$A:$N,14,0),""))</f>
        <v/>
      </c>
      <c r="D14" s="90" t="str">
        <f t="shared" ca="1" si="0"/>
        <v/>
      </c>
      <c r="E14" s="82"/>
      <c r="F14" s="91" t="str">
        <f t="shared" si="1"/>
        <v/>
      </c>
      <c r="G14" s="27"/>
      <c r="H14" s="84"/>
      <c r="I14" s="92" t="str">
        <f>IF(A14="","Pending",IF(H14="","⚠️ Enter Code",IF(IFERROR(VLOOKUP(G14,DB_Agents!$B:$I,8,0),"")=H14,IF(AND(A14&lt;&gt;"",E14&lt;&gt;""),"Saved","Pending"),"🔒 BLOCKED — Wrong Code")))</f>
        <v>Pending</v>
      </c>
      <c r="J14" s="93" t="str">
        <f t="shared" ca="1" si="2"/>
        <v>—</v>
      </c>
      <c r="K14" s="94"/>
    </row>
    <row r="15" spans="1:12" x14ac:dyDescent="0.25">
      <c r="A15" s="79"/>
      <c r="B15" s="21" t="str">
        <f>IF(A15="","",IFERROR(VLOOKUP(A15,DB_Customers!$A:$D,4,0),"❌ Account Not Found"))</f>
        <v/>
      </c>
      <c r="C15" s="80" t="str">
        <f>IF(A15="","",IFERROR(VLOOKUP(A15,DB_Customers!$A:$N,14,0),""))</f>
        <v/>
      </c>
      <c r="D15" s="81" t="str">
        <f t="shared" ca="1" si="0"/>
        <v/>
      </c>
      <c r="E15" s="82"/>
      <c r="F15" s="83" t="str">
        <f t="shared" si="1"/>
        <v/>
      </c>
      <c r="G15" s="23"/>
      <c r="H15" s="84"/>
      <c r="I15" s="85" t="str">
        <f>IF(A15="","Pending",IF(H15="","⚠️ Enter Code",IF(IFERROR(VLOOKUP(G15,DB_Agents!$B:$I,8,0),"")=H15,IF(AND(A15&lt;&gt;"",E15&lt;&gt;""),"Saved","Pending"),"🔒 BLOCKED — Wrong Code")))</f>
        <v>Pending</v>
      </c>
      <c r="J15" s="86" t="str">
        <f t="shared" ca="1" si="2"/>
        <v>—</v>
      </c>
      <c r="K15" s="87"/>
    </row>
    <row r="16" spans="1:12" x14ac:dyDescent="0.25">
      <c r="A16" s="88"/>
      <c r="B16" s="25" t="str">
        <f>IF(A16="","",IFERROR(VLOOKUP(A16,DB_Customers!$A:$D,4,0),"❌ Account Not Found"))</f>
        <v/>
      </c>
      <c r="C16" s="89" t="str">
        <f>IF(A16="","",IFERROR(VLOOKUP(A16,DB_Customers!$A:$N,14,0),""))</f>
        <v/>
      </c>
      <c r="D16" s="90" t="str">
        <f t="shared" ca="1" si="0"/>
        <v/>
      </c>
      <c r="E16" s="82"/>
      <c r="F16" s="91" t="str">
        <f t="shared" si="1"/>
        <v/>
      </c>
      <c r="G16" s="27"/>
      <c r="H16" s="84"/>
      <c r="I16" s="92" t="str">
        <f>IF(A16="","Pending",IF(H16="","⚠️ Enter Code",IF(IFERROR(VLOOKUP(G16,DB_Agents!$B:$I,8,0),"")=H16,IF(AND(A16&lt;&gt;"",E16&lt;&gt;""),"Saved","Pending"),"🔒 BLOCKED — Wrong Code")))</f>
        <v>Pending</v>
      </c>
      <c r="J16" s="93" t="str">
        <f t="shared" ca="1" si="2"/>
        <v>—</v>
      </c>
      <c r="K16" s="94"/>
    </row>
    <row r="17" spans="1:11" x14ac:dyDescent="0.25">
      <c r="A17" s="79"/>
      <c r="B17" s="21" t="str">
        <f>IF(A17="","",IFERROR(VLOOKUP(A17,DB_Customers!$A:$D,4,0),"❌ Account Not Found"))</f>
        <v/>
      </c>
      <c r="C17" s="80" t="str">
        <f>IF(A17="","",IFERROR(VLOOKUP(A17,DB_Customers!$A:$N,14,0),""))</f>
        <v/>
      </c>
      <c r="D17" s="81" t="str">
        <f t="shared" ca="1" si="0"/>
        <v/>
      </c>
      <c r="E17" s="82"/>
      <c r="F17" s="83" t="str">
        <f t="shared" si="1"/>
        <v/>
      </c>
      <c r="G17" s="23"/>
      <c r="H17" s="84"/>
      <c r="I17" s="85" t="str">
        <f>IF(A17="","Pending",IF(H17="","⚠️ Enter Code",IF(IFERROR(VLOOKUP(G17,DB_Agents!$B:$I,8,0),"")=H17,IF(AND(A17&lt;&gt;"",E17&lt;&gt;""),"Saved","Pending"),"🔒 BLOCKED — Wrong Code")))</f>
        <v>Pending</v>
      </c>
      <c r="J17" s="86" t="str">
        <f t="shared" ca="1" si="2"/>
        <v>—</v>
      </c>
      <c r="K17" s="87"/>
    </row>
    <row r="18" spans="1:11" x14ac:dyDescent="0.25">
      <c r="A18" s="88"/>
      <c r="B18" s="25" t="str">
        <f>IF(A18="","",IFERROR(VLOOKUP(A18,DB_Customers!$A:$D,4,0),"❌ Account Not Found"))</f>
        <v/>
      </c>
      <c r="C18" s="89" t="str">
        <f>IF(A18="","",IFERROR(VLOOKUP(A18,DB_Customers!$A:$N,14,0),""))</f>
        <v/>
      </c>
      <c r="D18" s="90" t="str">
        <f t="shared" ca="1" si="0"/>
        <v/>
      </c>
      <c r="E18" s="82"/>
      <c r="F18" s="91" t="str">
        <f t="shared" si="1"/>
        <v/>
      </c>
      <c r="G18" s="27"/>
      <c r="H18" s="84"/>
      <c r="I18" s="92" t="str">
        <f>IF(A18="","Pending",IF(H18="","⚠️ Enter Code",IF(IFERROR(VLOOKUP(G18,DB_Agents!$B:$I,8,0),"")=H18,IF(AND(A18&lt;&gt;"",E18&lt;&gt;""),"Saved","Pending"),"🔒 BLOCKED — Wrong Code")))</f>
        <v>Pending</v>
      </c>
      <c r="J18" s="93" t="str">
        <f t="shared" ca="1" si="2"/>
        <v>—</v>
      </c>
      <c r="K18" s="94"/>
    </row>
    <row r="19" spans="1:11" x14ac:dyDescent="0.25">
      <c r="A19" s="79"/>
      <c r="B19" s="21" t="str">
        <f>IF(A19="","",IFERROR(VLOOKUP(A19,DB_Customers!$A:$D,4,0),"❌ Account Not Found"))</f>
        <v/>
      </c>
      <c r="C19" s="80" t="str">
        <f>IF(A19="","",IFERROR(VLOOKUP(A19,DB_Customers!$A:$N,14,0),""))</f>
        <v/>
      </c>
      <c r="D19" s="81" t="str">
        <f t="shared" ca="1" si="0"/>
        <v/>
      </c>
      <c r="E19" s="82"/>
      <c r="F19" s="83" t="str">
        <f t="shared" si="1"/>
        <v/>
      </c>
      <c r="G19" s="23"/>
      <c r="H19" s="84"/>
      <c r="I19" s="85" t="str">
        <f>IF(A19="","Pending",IF(H19="","⚠️ Enter Code",IF(IFERROR(VLOOKUP(G19,DB_Agents!$B:$I,8,0),"")=H19,IF(AND(A19&lt;&gt;"",E19&lt;&gt;""),"Saved","Pending"),"🔒 BLOCKED — Wrong Code")))</f>
        <v>Pending</v>
      </c>
      <c r="J19" s="86" t="str">
        <f t="shared" ca="1" si="2"/>
        <v>—</v>
      </c>
      <c r="K19" s="87"/>
    </row>
    <row r="20" spans="1:11" x14ac:dyDescent="0.25">
      <c r="A20" s="88"/>
      <c r="B20" s="25" t="str">
        <f>IF(A20="","",IFERROR(VLOOKUP(A20,DB_Customers!$A:$D,4,0),"❌ Account Not Found"))</f>
        <v/>
      </c>
      <c r="C20" s="89" t="str">
        <f>IF(A20="","",IFERROR(VLOOKUP(A20,DB_Customers!$A:$N,14,0),""))</f>
        <v/>
      </c>
      <c r="D20" s="90" t="str">
        <f t="shared" ca="1" si="0"/>
        <v/>
      </c>
      <c r="E20" s="82"/>
      <c r="F20" s="91" t="str">
        <f t="shared" si="1"/>
        <v/>
      </c>
      <c r="G20" s="27"/>
      <c r="H20" s="84"/>
      <c r="I20" s="92" t="str">
        <f>IF(A20="","Pending",IF(H20="","⚠️ Enter Code",IF(IFERROR(VLOOKUP(G20,DB_Agents!$B:$I,8,0),"")=H20,IF(AND(A20&lt;&gt;"",E20&lt;&gt;""),"Saved","Pending"),"🔒 BLOCKED — Wrong Code")))</f>
        <v>Pending</v>
      </c>
      <c r="J20" s="93" t="str">
        <f t="shared" ca="1" si="2"/>
        <v>—</v>
      </c>
      <c r="K20" s="94"/>
    </row>
    <row r="21" spans="1:11" x14ac:dyDescent="0.25">
      <c r="A21" s="79"/>
      <c r="B21" s="21" t="str">
        <f>IF(A21="","",IFERROR(VLOOKUP(A21,DB_Customers!$A:$D,4,0),"❌ Account Not Found"))</f>
        <v/>
      </c>
      <c r="C21" s="80" t="str">
        <f>IF(A21="","",IFERROR(VLOOKUP(A21,DB_Customers!$A:$N,14,0),""))</f>
        <v/>
      </c>
      <c r="D21" s="81" t="str">
        <f t="shared" ca="1" si="0"/>
        <v/>
      </c>
      <c r="E21" s="82"/>
      <c r="F21" s="83" t="str">
        <f t="shared" si="1"/>
        <v/>
      </c>
      <c r="G21" s="23"/>
      <c r="H21" s="84"/>
      <c r="I21" s="85" t="str">
        <f>IF(A21="","Pending",IF(H21="","⚠️ Enter Code",IF(IFERROR(VLOOKUP(G21,DB_Agents!$B:$I,8,0),"")=H21,IF(AND(A21&lt;&gt;"",E21&lt;&gt;""),"Saved","Pending"),"🔒 BLOCKED — Wrong Code")))</f>
        <v>Pending</v>
      </c>
      <c r="J21" s="86" t="str">
        <f t="shared" ca="1" si="2"/>
        <v>—</v>
      </c>
      <c r="K21" s="87"/>
    </row>
    <row r="22" spans="1:11" x14ac:dyDescent="0.25">
      <c r="A22" s="88"/>
      <c r="B22" s="25" t="str">
        <f>IF(A22="","",IFERROR(VLOOKUP(A22,DB_Customers!$A:$D,4,0),"❌ Account Not Found"))</f>
        <v/>
      </c>
      <c r="C22" s="89" t="str">
        <f>IF(A22="","",IFERROR(VLOOKUP(A22,DB_Customers!$A:$N,14,0),""))</f>
        <v/>
      </c>
      <c r="D22" s="90" t="str">
        <f t="shared" ca="1" si="0"/>
        <v/>
      </c>
      <c r="E22" s="82"/>
      <c r="F22" s="91" t="str">
        <f t="shared" si="1"/>
        <v/>
      </c>
      <c r="G22" s="27"/>
      <c r="H22" s="84"/>
      <c r="I22" s="92" t="str">
        <f>IF(A22="","Pending",IF(H22="","⚠️ Enter Code",IF(IFERROR(VLOOKUP(G22,DB_Agents!$B:$I,8,0),"")=H22,IF(AND(A22&lt;&gt;"",E22&lt;&gt;""),"Saved","Pending"),"🔒 BLOCKED — Wrong Code")))</f>
        <v>Pending</v>
      </c>
      <c r="J22" s="93" t="str">
        <f t="shared" ca="1" si="2"/>
        <v>—</v>
      </c>
      <c r="K22" s="94"/>
    </row>
    <row r="23" spans="1:11" x14ac:dyDescent="0.25">
      <c r="A23" s="79"/>
      <c r="B23" s="21" t="str">
        <f>IF(A23="","",IFERROR(VLOOKUP(A23,DB_Customers!$A:$D,4,0),"❌ Account Not Found"))</f>
        <v/>
      </c>
      <c r="C23" s="80" t="str">
        <f>IF(A23="","",IFERROR(VLOOKUP(A23,DB_Customers!$A:$N,14,0),""))</f>
        <v/>
      </c>
      <c r="D23" s="81" t="str">
        <f t="shared" ca="1" si="0"/>
        <v/>
      </c>
      <c r="E23" s="82"/>
      <c r="F23" s="83" t="str">
        <f t="shared" si="1"/>
        <v/>
      </c>
      <c r="G23" s="23"/>
      <c r="H23" s="84"/>
      <c r="I23" s="85" t="str">
        <f>IF(A23="","Pending",IF(H23="","⚠️ Enter Code",IF(IFERROR(VLOOKUP(G23,DB_Agents!$B:$I,8,0),"")=H23,IF(AND(A23&lt;&gt;"",E23&lt;&gt;""),"Saved","Pending"),"🔒 BLOCKED — Wrong Code")))</f>
        <v>Pending</v>
      </c>
      <c r="J23" s="86" t="str">
        <f t="shared" ca="1" si="2"/>
        <v>—</v>
      </c>
      <c r="K23" s="87"/>
    </row>
    <row r="24" spans="1:11" x14ac:dyDescent="0.25">
      <c r="A24" s="88"/>
      <c r="B24" s="25" t="str">
        <f>IF(A24="","",IFERROR(VLOOKUP(A24,DB_Customers!$A:$D,4,0),"❌ Account Not Found"))</f>
        <v/>
      </c>
      <c r="C24" s="89" t="str">
        <f>IF(A24="","",IFERROR(VLOOKUP(A24,DB_Customers!$A:$N,14,0),""))</f>
        <v/>
      </c>
      <c r="D24" s="90" t="str">
        <f t="shared" ca="1" si="0"/>
        <v/>
      </c>
      <c r="E24" s="82"/>
      <c r="F24" s="91" t="str">
        <f t="shared" si="1"/>
        <v/>
      </c>
      <c r="G24" s="27"/>
      <c r="H24" s="84"/>
      <c r="I24" s="92" t="str">
        <f>IF(A24="","Pending",IF(H24="","⚠️ Enter Code",IF(IFERROR(VLOOKUP(G24,DB_Agents!$B:$I,8,0),"")=H24,IF(AND(A24&lt;&gt;"",E24&lt;&gt;""),"Saved","Pending"),"🔒 BLOCKED — Wrong Code")))</f>
        <v>Pending</v>
      </c>
      <c r="J24" s="93" t="str">
        <f t="shared" ca="1" si="2"/>
        <v>—</v>
      </c>
      <c r="K24" s="94"/>
    </row>
    <row r="25" spans="1:11" x14ac:dyDescent="0.25">
      <c r="A25" s="79"/>
      <c r="B25" s="21" t="str">
        <f>IF(A25="","",IFERROR(VLOOKUP(A25,DB_Customers!$A:$D,4,0),"❌ Account Not Found"))</f>
        <v/>
      </c>
      <c r="C25" s="80" t="str">
        <f>IF(A25="","",IFERROR(VLOOKUP(A25,DB_Customers!$A:$N,14,0),""))</f>
        <v/>
      </c>
      <c r="D25" s="81" t="str">
        <f t="shared" ca="1" si="0"/>
        <v/>
      </c>
      <c r="E25" s="82"/>
      <c r="F25" s="83" t="str">
        <f t="shared" si="1"/>
        <v/>
      </c>
      <c r="G25" s="23"/>
      <c r="H25" s="84"/>
      <c r="I25" s="85" t="str">
        <f>IF(A25="","Pending",IF(H25="","⚠️ Enter Code",IF(IFERROR(VLOOKUP(G25,DB_Agents!$B:$I,8,0),"")=H25,IF(AND(A25&lt;&gt;"",E25&lt;&gt;""),"Saved","Pending"),"🔒 BLOCKED — Wrong Code")))</f>
        <v>Pending</v>
      </c>
      <c r="J25" s="86" t="str">
        <f t="shared" ca="1" si="2"/>
        <v>—</v>
      </c>
      <c r="K25" s="87"/>
    </row>
    <row r="26" spans="1:11" x14ac:dyDescent="0.25">
      <c r="A26" s="88"/>
      <c r="B26" s="25" t="str">
        <f>IF(A26="","",IFERROR(VLOOKUP(A26,DB_Customers!$A:$D,4,0),"❌ Account Not Found"))</f>
        <v/>
      </c>
      <c r="C26" s="89" t="str">
        <f>IF(A26="","",IFERROR(VLOOKUP(A26,DB_Customers!$A:$N,14,0),""))</f>
        <v/>
      </c>
      <c r="D26" s="90" t="str">
        <f t="shared" ca="1" si="0"/>
        <v/>
      </c>
      <c r="E26" s="82"/>
      <c r="F26" s="91" t="str">
        <f t="shared" si="1"/>
        <v/>
      </c>
      <c r="G26" s="27"/>
      <c r="H26" s="84"/>
      <c r="I26" s="92" t="str">
        <f>IF(A26="","Pending",IF(H26="","⚠️ Enter Code",IF(IFERROR(VLOOKUP(G26,DB_Agents!$B:$I,8,0),"")=H26,IF(AND(A26&lt;&gt;"",E26&lt;&gt;""),"Saved","Pending"),"🔒 BLOCKED — Wrong Code")))</f>
        <v>Pending</v>
      </c>
      <c r="J26" s="93" t="str">
        <f t="shared" ca="1" si="2"/>
        <v>—</v>
      </c>
      <c r="K26" s="94"/>
    </row>
    <row r="27" spans="1:11" x14ac:dyDescent="0.25">
      <c r="A27" s="79"/>
      <c r="B27" s="21" t="str">
        <f>IF(A27="","",IFERROR(VLOOKUP(A27,DB_Customers!$A:$D,4,0),"❌ Account Not Found"))</f>
        <v/>
      </c>
      <c r="C27" s="80" t="str">
        <f>IF(A27="","",IFERROR(VLOOKUP(A27,DB_Customers!$A:$N,14,0),""))</f>
        <v/>
      </c>
      <c r="D27" s="81" t="str">
        <f t="shared" ca="1" si="0"/>
        <v/>
      </c>
      <c r="E27" s="82"/>
      <c r="F27" s="83" t="str">
        <f t="shared" si="1"/>
        <v/>
      </c>
      <c r="G27" s="23"/>
      <c r="H27" s="84"/>
      <c r="I27" s="85" t="str">
        <f>IF(A27="","Pending",IF(H27="","⚠️ Enter Code",IF(IFERROR(VLOOKUP(G27,DB_Agents!$B:$I,8,0),"")=H27,IF(AND(A27&lt;&gt;"",E27&lt;&gt;""),"Saved","Pending"),"🔒 BLOCKED — Wrong Code")))</f>
        <v>Pending</v>
      </c>
      <c r="J27" s="86" t="str">
        <f t="shared" ca="1" si="2"/>
        <v>—</v>
      </c>
      <c r="K27" s="87"/>
    </row>
    <row r="28" spans="1:11" x14ac:dyDescent="0.25">
      <c r="A28" s="88"/>
      <c r="B28" s="25" t="str">
        <f>IF(A28="","",IFERROR(VLOOKUP(A28,DB_Customers!$A:$D,4,0),"❌ Account Not Found"))</f>
        <v/>
      </c>
      <c r="C28" s="89" t="str">
        <f>IF(A28="","",IFERROR(VLOOKUP(A28,DB_Customers!$A:$N,14,0),""))</f>
        <v/>
      </c>
      <c r="D28" s="90" t="str">
        <f t="shared" ca="1" si="0"/>
        <v/>
      </c>
      <c r="E28" s="82"/>
      <c r="F28" s="91" t="str">
        <f t="shared" si="1"/>
        <v/>
      </c>
      <c r="G28" s="27"/>
      <c r="H28" s="84"/>
      <c r="I28" s="92" t="str">
        <f>IF(A28="","Pending",IF(H28="","⚠️ Enter Code",IF(IFERROR(VLOOKUP(G28,DB_Agents!$B:$I,8,0),"")=H28,IF(AND(A28&lt;&gt;"",E28&lt;&gt;""),"Saved","Pending"),"🔒 BLOCKED — Wrong Code")))</f>
        <v>Pending</v>
      </c>
      <c r="J28" s="93" t="str">
        <f t="shared" ca="1" si="2"/>
        <v>—</v>
      </c>
      <c r="K28" s="94"/>
    </row>
    <row r="29" spans="1:11" x14ac:dyDescent="0.25">
      <c r="A29" s="79"/>
      <c r="B29" s="21" t="str">
        <f>IF(A29="","",IFERROR(VLOOKUP(A29,DB_Customers!$A:$D,4,0),"❌ Account Not Found"))</f>
        <v/>
      </c>
      <c r="C29" s="80" t="str">
        <f>IF(A29="","",IFERROR(VLOOKUP(A29,DB_Customers!$A:$N,14,0),""))</f>
        <v/>
      </c>
      <c r="D29" s="81" t="str">
        <f t="shared" ca="1" si="0"/>
        <v/>
      </c>
      <c r="E29" s="82"/>
      <c r="F29" s="83" t="str">
        <f t="shared" si="1"/>
        <v/>
      </c>
      <c r="G29" s="23"/>
      <c r="H29" s="84"/>
      <c r="I29" s="85" t="str">
        <f>IF(A29="","Pending",IF(H29="","⚠️ Enter Code",IF(IFERROR(VLOOKUP(G29,DB_Agents!$B:$I,8,0),"")=H29,IF(AND(A29&lt;&gt;"",E29&lt;&gt;""),"Saved","Pending"),"🔒 BLOCKED — Wrong Code")))</f>
        <v>Pending</v>
      </c>
      <c r="J29" s="86" t="str">
        <f t="shared" ca="1" si="2"/>
        <v>—</v>
      </c>
      <c r="K29" s="87"/>
    </row>
    <row r="30" spans="1:11" x14ac:dyDescent="0.25">
      <c r="A30" s="88"/>
      <c r="B30" s="25" t="str">
        <f>IF(A30="","",IFERROR(VLOOKUP(A30,DB_Customers!$A:$D,4,0),"❌ Account Not Found"))</f>
        <v/>
      </c>
      <c r="C30" s="89" t="str">
        <f>IF(A30="","",IFERROR(VLOOKUP(A30,DB_Customers!$A:$N,14,0),""))</f>
        <v/>
      </c>
      <c r="D30" s="90" t="str">
        <f t="shared" ca="1" si="0"/>
        <v/>
      </c>
      <c r="E30" s="82"/>
      <c r="F30" s="91" t="str">
        <f t="shared" si="1"/>
        <v/>
      </c>
      <c r="G30" s="27"/>
      <c r="H30" s="84"/>
      <c r="I30" s="92" t="str">
        <f>IF(A30="","Pending",IF(H30="","⚠️ Enter Code",IF(IFERROR(VLOOKUP(G30,DB_Agents!$B:$I,8,0),"")=H30,IF(AND(A30&lt;&gt;"",E30&lt;&gt;""),"Saved","Pending"),"🔒 BLOCKED — Wrong Code")))</f>
        <v>Pending</v>
      </c>
      <c r="J30" s="93" t="str">
        <f t="shared" ca="1" si="2"/>
        <v>—</v>
      </c>
      <c r="K30" s="94"/>
    </row>
    <row r="31" spans="1:11" x14ac:dyDescent="0.25">
      <c r="A31" s="79"/>
      <c r="B31" s="21" t="str">
        <f>IF(A31="","",IFERROR(VLOOKUP(A31,DB_Customers!$A:$D,4,0),"❌ Account Not Found"))</f>
        <v/>
      </c>
      <c r="C31" s="80" t="str">
        <f>IF(A31="","",IFERROR(VLOOKUP(A31,DB_Customers!$A:$N,14,0),""))</f>
        <v/>
      </c>
      <c r="D31" s="81" t="str">
        <f t="shared" ca="1" si="0"/>
        <v/>
      </c>
      <c r="E31" s="82"/>
      <c r="F31" s="83" t="str">
        <f t="shared" si="1"/>
        <v/>
      </c>
      <c r="G31" s="23"/>
      <c r="H31" s="84"/>
      <c r="I31" s="85" t="str">
        <f>IF(A31="","Pending",IF(H31="","⚠️ Enter Code",IF(IFERROR(VLOOKUP(G31,DB_Agents!$B:$I,8,0),"")=H31,IF(AND(A31&lt;&gt;"",E31&lt;&gt;""),"Saved","Pending"),"🔒 BLOCKED — Wrong Code")))</f>
        <v>Pending</v>
      </c>
      <c r="J31" s="86" t="str">
        <f t="shared" ca="1" si="2"/>
        <v>—</v>
      </c>
      <c r="K31" s="87"/>
    </row>
    <row r="32" spans="1:11" x14ac:dyDescent="0.25">
      <c r="A32" s="88"/>
      <c r="B32" s="25" t="str">
        <f>IF(A32="","",IFERROR(VLOOKUP(A32,DB_Customers!$A:$D,4,0),"❌ Account Not Found"))</f>
        <v/>
      </c>
      <c r="C32" s="89" t="str">
        <f>IF(A32="","",IFERROR(VLOOKUP(A32,DB_Customers!$A:$N,14,0),""))</f>
        <v/>
      </c>
      <c r="D32" s="90" t="str">
        <f t="shared" ca="1" si="0"/>
        <v/>
      </c>
      <c r="E32" s="82"/>
      <c r="F32" s="91" t="str">
        <f t="shared" si="1"/>
        <v/>
      </c>
      <c r="G32" s="27"/>
      <c r="H32" s="84"/>
      <c r="I32" s="92" t="str">
        <f>IF(A32="","Pending",IF(H32="","⚠️ Enter Code",IF(IFERROR(VLOOKUP(G32,DB_Agents!$B:$I,8,0),"")=H32,IF(AND(A32&lt;&gt;"",E32&lt;&gt;""),"Saved","Pending"),"🔒 BLOCKED — Wrong Code")))</f>
        <v>Pending</v>
      </c>
      <c r="J32" s="93" t="str">
        <f t="shared" ca="1" si="2"/>
        <v>—</v>
      </c>
      <c r="K32" s="94"/>
    </row>
    <row r="33" spans="1:11" x14ac:dyDescent="0.25">
      <c r="A33" s="79"/>
      <c r="B33" s="21" t="str">
        <f>IF(A33="","",IFERROR(VLOOKUP(A33,DB_Customers!$A:$D,4,0),"❌ Account Not Found"))</f>
        <v/>
      </c>
      <c r="C33" s="80" t="str">
        <f>IF(A33="","",IFERROR(VLOOKUP(A33,DB_Customers!$A:$N,14,0),""))</f>
        <v/>
      </c>
      <c r="D33" s="81" t="str">
        <f t="shared" ca="1" si="0"/>
        <v/>
      </c>
      <c r="E33" s="82"/>
      <c r="F33" s="83" t="str">
        <f t="shared" si="1"/>
        <v/>
      </c>
      <c r="G33" s="23"/>
      <c r="H33" s="84"/>
      <c r="I33" s="85" t="str">
        <f>IF(A33="","Pending",IF(H33="","⚠️ Enter Code",IF(IFERROR(VLOOKUP(G33,DB_Agents!$B:$I,8,0),"")=H33,IF(AND(A33&lt;&gt;"",E33&lt;&gt;""),"Saved","Pending"),"🔒 BLOCKED — Wrong Code")))</f>
        <v>Pending</v>
      </c>
      <c r="J33" s="86" t="str">
        <f t="shared" ca="1" si="2"/>
        <v>—</v>
      </c>
      <c r="K33" s="87"/>
    </row>
    <row r="34" spans="1:11" x14ac:dyDescent="0.25">
      <c r="A34" s="88"/>
      <c r="B34" s="25" t="str">
        <f>IF(A34="","",IFERROR(VLOOKUP(A34,DB_Customers!$A:$D,4,0),"❌ Account Not Found"))</f>
        <v/>
      </c>
      <c r="C34" s="89" t="str">
        <f>IF(A34="","",IFERROR(VLOOKUP(A34,DB_Customers!$A:$N,14,0),""))</f>
        <v/>
      </c>
      <c r="D34" s="90" t="str">
        <f t="shared" ca="1" si="0"/>
        <v/>
      </c>
      <c r="E34" s="82"/>
      <c r="F34" s="91" t="str">
        <f t="shared" si="1"/>
        <v/>
      </c>
      <c r="G34" s="27"/>
      <c r="H34" s="84"/>
      <c r="I34" s="92" t="str">
        <f>IF(A34="","Pending",IF(H34="","⚠️ Enter Code",IF(IFERROR(VLOOKUP(G34,DB_Agents!$B:$I,8,0),"")=H34,IF(AND(A34&lt;&gt;"",E34&lt;&gt;""),"Saved","Pending"),"🔒 BLOCKED — Wrong Code")))</f>
        <v>Pending</v>
      </c>
      <c r="J34" s="93" t="str">
        <f t="shared" ca="1" si="2"/>
        <v>—</v>
      </c>
      <c r="K34" s="94"/>
    </row>
    <row r="35" spans="1:11" x14ac:dyDescent="0.25">
      <c r="A35" s="79"/>
      <c r="B35" s="21" t="str">
        <f>IF(A35="","",IFERROR(VLOOKUP(A35,DB_Customers!$A:$D,4,0),"❌ Account Not Found"))</f>
        <v/>
      </c>
      <c r="C35" s="80" t="str">
        <f>IF(A35="","",IFERROR(VLOOKUP(A35,DB_Customers!$A:$N,14,0),""))</f>
        <v/>
      </c>
      <c r="D35" s="81" t="str">
        <f t="shared" ca="1" si="0"/>
        <v/>
      </c>
      <c r="E35" s="82"/>
      <c r="F35" s="83" t="str">
        <f t="shared" si="1"/>
        <v/>
      </c>
      <c r="G35" s="23"/>
      <c r="H35" s="84"/>
      <c r="I35" s="85" t="str">
        <f>IF(A35="","Pending",IF(H35="","⚠️ Enter Code",IF(IFERROR(VLOOKUP(G35,DB_Agents!$B:$I,8,0),"")=H35,IF(AND(A35&lt;&gt;"",E35&lt;&gt;""),"Saved","Pending"),"🔒 BLOCKED — Wrong Code")))</f>
        <v>Pending</v>
      </c>
      <c r="J35" s="86" t="str">
        <f t="shared" ca="1" si="2"/>
        <v>—</v>
      </c>
      <c r="K35" s="87"/>
    </row>
    <row r="36" spans="1:11" x14ac:dyDescent="0.25">
      <c r="A36" s="88"/>
      <c r="B36" s="25" t="str">
        <f>IF(A36="","",IFERROR(VLOOKUP(A36,DB_Customers!$A:$D,4,0),"❌ Account Not Found"))</f>
        <v/>
      </c>
      <c r="C36" s="89" t="str">
        <f>IF(A36="","",IFERROR(VLOOKUP(A36,DB_Customers!$A:$N,14,0),""))</f>
        <v/>
      </c>
      <c r="D36" s="90" t="str">
        <f t="shared" ca="1" si="0"/>
        <v/>
      </c>
      <c r="E36" s="82"/>
      <c r="F36" s="91" t="str">
        <f t="shared" si="1"/>
        <v/>
      </c>
      <c r="G36" s="27"/>
      <c r="H36" s="84"/>
      <c r="I36" s="92" t="str">
        <f>IF(A36="","Pending",IF(H36="","⚠️ Enter Code",IF(IFERROR(VLOOKUP(G36,DB_Agents!$B:$I,8,0),"")=H36,IF(AND(A36&lt;&gt;"",E36&lt;&gt;""),"Saved","Pending"),"🔒 BLOCKED — Wrong Code")))</f>
        <v>Pending</v>
      </c>
      <c r="J36" s="93" t="str">
        <f t="shared" ca="1" si="2"/>
        <v>—</v>
      </c>
      <c r="K36" s="94"/>
    </row>
    <row r="37" spans="1:11" x14ac:dyDescent="0.25">
      <c r="A37" s="79"/>
      <c r="B37" s="21" t="str">
        <f>IF(A37="","",IFERROR(VLOOKUP(A37,DB_Customers!$A:$D,4,0),"❌ Account Not Found"))</f>
        <v/>
      </c>
      <c r="C37" s="80" t="str">
        <f>IF(A37="","",IFERROR(VLOOKUP(A37,DB_Customers!$A:$N,14,0),""))</f>
        <v/>
      </c>
      <c r="D37" s="81" t="str">
        <f t="shared" ca="1" si="0"/>
        <v/>
      </c>
      <c r="E37" s="82"/>
      <c r="F37" s="83" t="str">
        <f t="shared" si="1"/>
        <v/>
      </c>
      <c r="G37" s="23"/>
      <c r="H37" s="84"/>
      <c r="I37" s="85" t="str">
        <f>IF(A37="","Pending",IF(H37="","⚠️ Enter Code",IF(IFERROR(VLOOKUP(G37,DB_Agents!$B:$I,8,0),"")=H37,IF(AND(A37&lt;&gt;"",E37&lt;&gt;""),"Saved","Pending"),"🔒 BLOCKED — Wrong Code")))</f>
        <v>Pending</v>
      </c>
      <c r="J37" s="86" t="str">
        <f t="shared" ca="1" si="2"/>
        <v>—</v>
      </c>
      <c r="K37" s="87"/>
    </row>
    <row r="38" spans="1:11" x14ac:dyDescent="0.25">
      <c r="A38" s="88"/>
      <c r="B38" s="25" t="str">
        <f>IF(A38="","",IFERROR(VLOOKUP(A38,DB_Customers!$A:$D,4,0),"❌ Account Not Found"))</f>
        <v/>
      </c>
      <c r="C38" s="89" t="str">
        <f>IF(A38="","",IFERROR(VLOOKUP(A38,DB_Customers!$A:$N,14,0),""))</f>
        <v/>
      </c>
      <c r="D38" s="90" t="str">
        <f t="shared" ca="1" si="0"/>
        <v/>
      </c>
      <c r="E38" s="82"/>
      <c r="F38" s="91" t="str">
        <f t="shared" si="1"/>
        <v/>
      </c>
      <c r="G38" s="27"/>
      <c r="H38" s="84"/>
      <c r="I38" s="92" t="str">
        <f>IF(A38="","Pending",IF(H38="","⚠️ Enter Code",IF(IFERROR(VLOOKUP(G38,DB_Agents!$B:$I,8,0),"")=H38,IF(AND(A38&lt;&gt;"",E38&lt;&gt;""),"Saved","Pending"),"🔒 BLOCKED — Wrong Code")))</f>
        <v>Pending</v>
      </c>
      <c r="J38" s="93" t="str">
        <f t="shared" ca="1" si="2"/>
        <v>—</v>
      </c>
      <c r="K38" s="94"/>
    </row>
    <row r="39" spans="1:11" x14ac:dyDescent="0.25">
      <c r="A39" s="79"/>
      <c r="B39" s="21" t="str">
        <f>IF(A39="","",IFERROR(VLOOKUP(A39,DB_Customers!$A:$D,4,0),"❌ Account Not Found"))</f>
        <v/>
      </c>
      <c r="C39" s="80" t="str">
        <f>IF(A39="","",IFERROR(VLOOKUP(A39,DB_Customers!$A:$N,14,0),""))</f>
        <v/>
      </c>
      <c r="D39" s="81" t="str">
        <f t="shared" ca="1" si="0"/>
        <v/>
      </c>
      <c r="E39" s="82"/>
      <c r="F39" s="83" t="str">
        <f t="shared" si="1"/>
        <v/>
      </c>
      <c r="G39" s="23"/>
      <c r="H39" s="84"/>
      <c r="I39" s="85" t="str">
        <f>IF(A39="","Pending",IF(H39="","⚠️ Enter Code",IF(IFERROR(VLOOKUP(G39,DB_Agents!$B:$I,8,0),"")=H39,IF(AND(A39&lt;&gt;"",E39&lt;&gt;""),"Saved","Pending"),"🔒 BLOCKED — Wrong Code")))</f>
        <v>Pending</v>
      </c>
      <c r="J39" s="86" t="str">
        <f t="shared" ca="1" si="2"/>
        <v>—</v>
      </c>
      <c r="K39" s="87"/>
    </row>
    <row r="40" spans="1:11" x14ac:dyDescent="0.25">
      <c r="A40" s="88"/>
      <c r="B40" s="25" t="str">
        <f>IF(A40="","",IFERROR(VLOOKUP(A40,DB_Customers!$A:$D,4,0),"❌ Account Not Found"))</f>
        <v/>
      </c>
      <c r="C40" s="89" t="str">
        <f>IF(A40="","",IFERROR(VLOOKUP(A40,DB_Customers!$A:$N,14,0),""))</f>
        <v/>
      </c>
      <c r="D40" s="90" t="str">
        <f t="shared" ca="1" si="0"/>
        <v/>
      </c>
      <c r="E40" s="82"/>
      <c r="F40" s="91" t="str">
        <f t="shared" si="1"/>
        <v/>
      </c>
      <c r="G40" s="27"/>
      <c r="H40" s="84"/>
      <c r="I40" s="92" t="str">
        <f>IF(A40="","Pending",IF(H40="","⚠️ Enter Code",IF(IFERROR(VLOOKUP(G40,DB_Agents!$B:$I,8,0),"")=H40,IF(AND(A40&lt;&gt;"",E40&lt;&gt;""),"Saved","Pending"),"🔒 BLOCKED — Wrong Code")))</f>
        <v>Pending</v>
      </c>
      <c r="J40" s="93" t="str">
        <f t="shared" ca="1" si="2"/>
        <v>—</v>
      </c>
      <c r="K40" s="94"/>
    </row>
    <row r="41" spans="1:11" x14ac:dyDescent="0.25">
      <c r="A41" s="79"/>
      <c r="B41" s="21" t="str">
        <f>IF(A41="","",IFERROR(VLOOKUP(A41,DB_Customers!$A:$D,4,0),"❌ Account Not Found"))</f>
        <v/>
      </c>
      <c r="C41" s="80" t="str">
        <f>IF(A41="","",IFERROR(VLOOKUP(A41,DB_Customers!$A:$N,14,0),""))</f>
        <v/>
      </c>
      <c r="D41" s="81" t="str">
        <f t="shared" ref="D41:D72" ca="1" si="3">IF(A41="","",TODAY())</f>
        <v/>
      </c>
      <c r="E41" s="82"/>
      <c r="F41" s="83" t="str">
        <f t="shared" ref="F41:F72" si="4">IF(OR(A41="",E41=""),"",IF(C41="","",C41+E41))</f>
        <v/>
      </c>
      <c r="G41" s="23"/>
      <c r="H41" s="84"/>
      <c r="I41" s="85" t="str">
        <f>IF(A41="","Pending",IF(H41="","⚠️ Enter Code",IF(IFERROR(VLOOKUP(G41,DB_Agents!$B:$I,8,0),"")=H41,IF(AND(A41&lt;&gt;"",E41&lt;&gt;""),"Saved","Pending"),"🔒 BLOCKED — Wrong Code")))</f>
        <v>Pending</v>
      </c>
      <c r="J41" s="86" t="str">
        <f t="shared" ref="J41:J72" ca="1" si="5">IF(I41="Saved",TEXT(TODAY(),"YYYY-MM-DD")&amp;" Auto","—")</f>
        <v>—</v>
      </c>
      <c r="K41" s="87"/>
    </row>
    <row r="42" spans="1:11" x14ac:dyDescent="0.25">
      <c r="A42" s="88"/>
      <c r="B42" s="25" t="str">
        <f>IF(A42="","",IFERROR(VLOOKUP(A42,DB_Customers!$A:$D,4,0),"❌ Account Not Found"))</f>
        <v/>
      </c>
      <c r="C42" s="89" t="str">
        <f>IF(A42="","",IFERROR(VLOOKUP(A42,DB_Customers!$A:$N,14,0),""))</f>
        <v/>
      </c>
      <c r="D42" s="90" t="str">
        <f t="shared" ca="1" si="3"/>
        <v/>
      </c>
      <c r="E42" s="82"/>
      <c r="F42" s="91" t="str">
        <f t="shared" si="4"/>
        <v/>
      </c>
      <c r="G42" s="27"/>
      <c r="H42" s="84"/>
      <c r="I42" s="92" t="str">
        <f>IF(A42="","Pending",IF(H42="","⚠️ Enter Code",IF(IFERROR(VLOOKUP(G42,DB_Agents!$B:$I,8,0),"")=H42,IF(AND(A42&lt;&gt;"",E42&lt;&gt;""),"Saved","Pending"),"🔒 BLOCKED — Wrong Code")))</f>
        <v>Pending</v>
      </c>
      <c r="J42" s="93" t="str">
        <f t="shared" ca="1" si="5"/>
        <v>—</v>
      </c>
      <c r="K42" s="94"/>
    </row>
    <row r="43" spans="1:11" x14ac:dyDescent="0.25">
      <c r="A43" s="79"/>
      <c r="B43" s="21" t="str">
        <f>IF(A43="","",IFERROR(VLOOKUP(A43,DB_Customers!$A:$D,4,0),"❌ Account Not Found"))</f>
        <v/>
      </c>
      <c r="C43" s="80" t="str">
        <f>IF(A43="","",IFERROR(VLOOKUP(A43,DB_Customers!$A:$N,14,0),""))</f>
        <v/>
      </c>
      <c r="D43" s="81" t="str">
        <f t="shared" ca="1" si="3"/>
        <v/>
      </c>
      <c r="E43" s="82"/>
      <c r="F43" s="83" t="str">
        <f t="shared" si="4"/>
        <v/>
      </c>
      <c r="G43" s="23"/>
      <c r="H43" s="84"/>
      <c r="I43" s="85" t="str">
        <f>IF(A43="","Pending",IF(H43="","⚠️ Enter Code",IF(IFERROR(VLOOKUP(G43,DB_Agents!$B:$I,8,0),"")=H43,IF(AND(A43&lt;&gt;"",E43&lt;&gt;""),"Saved","Pending"),"🔒 BLOCKED — Wrong Code")))</f>
        <v>Pending</v>
      </c>
      <c r="J43" s="86" t="str">
        <f t="shared" ca="1" si="5"/>
        <v>—</v>
      </c>
      <c r="K43" s="87"/>
    </row>
    <row r="44" spans="1:11" x14ac:dyDescent="0.25">
      <c r="A44" s="88"/>
      <c r="B44" s="25" t="str">
        <f>IF(A44="","",IFERROR(VLOOKUP(A44,DB_Customers!$A:$D,4,0),"❌ Account Not Found"))</f>
        <v/>
      </c>
      <c r="C44" s="89" t="str">
        <f>IF(A44="","",IFERROR(VLOOKUP(A44,DB_Customers!$A:$N,14,0),""))</f>
        <v/>
      </c>
      <c r="D44" s="90" t="str">
        <f t="shared" ca="1" si="3"/>
        <v/>
      </c>
      <c r="E44" s="82"/>
      <c r="F44" s="91" t="str">
        <f t="shared" si="4"/>
        <v/>
      </c>
      <c r="G44" s="27"/>
      <c r="H44" s="84"/>
      <c r="I44" s="92" t="str">
        <f>IF(A44="","Pending",IF(H44="","⚠️ Enter Code",IF(IFERROR(VLOOKUP(G44,DB_Agents!$B:$I,8,0),"")=H44,IF(AND(A44&lt;&gt;"",E44&lt;&gt;""),"Saved","Pending"),"🔒 BLOCKED — Wrong Code")))</f>
        <v>Pending</v>
      </c>
      <c r="J44" s="93" t="str">
        <f t="shared" ca="1" si="5"/>
        <v>—</v>
      </c>
      <c r="K44" s="94"/>
    </row>
    <row r="45" spans="1:11" x14ac:dyDescent="0.25">
      <c r="A45" s="79"/>
      <c r="B45" s="21" t="str">
        <f>IF(A45="","",IFERROR(VLOOKUP(A45,DB_Customers!$A:$D,4,0),"❌ Account Not Found"))</f>
        <v/>
      </c>
      <c r="C45" s="80" t="str">
        <f>IF(A45="","",IFERROR(VLOOKUP(A45,DB_Customers!$A:$N,14,0),""))</f>
        <v/>
      </c>
      <c r="D45" s="81" t="str">
        <f t="shared" ca="1" si="3"/>
        <v/>
      </c>
      <c r="E45" s="82"/>
      <c r="F45" s="83" t="str">
        <f t="shared" si="4"/>
        <v/>
      </c>
      <c r="G45" s="23"/>
      <c r="H45" s="84"/>
      <c r="I45" s="85" t="str">
        <f>IF(A45="","Pending",IF(H45="","⚠️ Enter Code",IF(IFERROR(VLOOKUP(G45,DB_Agents!$B:$I,8,0),"")=H45,IF(AND(A45&lt;&gt;"",E45&lt;&gt;""),"Saved","Pending"),"🔒 BLOCKED — Wrong Code")))</f>
        <v>Pending</v>
      </c>
      <c r="J45" s="86" t="str">
        <f t="shared" ca="1" si="5"/>
        <v>—</v>
      </c>
      <c r="K45" s="87"/>
    </row>
    <row r="46" spans="1:11" x14ac:dyDescent="0.25">
      <c r="A46" s="88"/>
      <c r="B46" s="25" t="str">
        <f>IF(A46="","",IFERROR(VLOOKUP(A46,DB_Customers!$A:$D,4,0),"❌ Account Not Found"))</f>
        <v/>
      </c>
      <c r="C46" s="89" t="str">
        <f>IF(A46="","",IFERROR(VLOOKUP(A46,DB_Customers!$A:$N,14,0),""))</f>
        <v/>
      </c>
      <c r="D46" s="90" t="str">
        <f t="shared" ca="1" si="3"/>
        <v/>
      </c>
      <c r="E46" s="82"/>
      <c r="F46" s="91" t="str">
        <f t="shared" si="4"/>
        <v/>
      </c>
      <c r="G46" s="27"/>
      <c r="H46" s="84"/>
      <c r="I46" s="92" t="str">
        <f>IF(A46="","Pending",IF(H46="","⚠️ Enter Code",IF(IFERROR(VLOOKUP(G46,DB_Agents!$B:$I,8,0),"")=H46,IF(AND(A46&lt;&gt;"",E46&lt;&gt;""),"Saved","Pending"),"🔒 BLOCKED — Wrong Code")))</f>
        <v>Pending</v>
      </c>
      <c r="J46" s="93" t="str">
        <f t="shared" ca="1" si="5"/>
        <v>—</v>
      </c>
      <c r="K46" s="94"/>
    </row>
    <row r="47" spans="1:11" x14ac:dyDescent="0.25">
      <c r="A47" s="79"/>
      <c r="B47" s="21" t="str">
        <f>IF(A47="","",IFERROR(VLOOKUP(A47,DB_Customers!$A:$D,4,0),"❌ Account Not Found"))</f>
        <v/>
      </c>
      <c r="C47" s="80" t="str">
        <f>IF(A47="","",IFERROR(VLOOKUP(A47,DB_Customers!$A:$N,14,0),""))</f>
        <v/>
      </c>
      <c r="D47" s="81" t="str">
        <f t="shared" ca="1" si="3"/>
        <v/>
      </c>
      <c r="E47" s="82"/>
      <c r="F47" s="83" t="str">
        <f t="shared" si="4"/>
        <v/>
      </c>
      <c r="G47" s="23"/>
      <c r="H47" s="84"/>
      <c r="I47" s="85" t="str">
        <f>IF(A47="","Pending",IF(H47="","⚠️ Enter Code",IF(IFERROR(VLOOKUP(G47,DB_Agents!$B:$I,8,0),"")=H47,IF(AND(A47&lt;&gt;"",E47&lt;&gt;""),"Saved","Pending"),"🔒 BLOCKED — Wrong Code")))</f>
        <v>Pending</v>
      </c>
      <c r="J47" s="86" t="str">
        <f t="shared" ca="1" si="5"/>
        <v>—</v>
      </c>
      <c r="K47" s="87"/>
    </row>
    <row r="48" spans="1:11" x14ac:dyDescent="0.25">
      <c r="A48" s="88"/>
      <c r="B48" s="25" t="str">
        <f>IF(A48="","",IFERROR(VLOOKUP(A48,DB_Customers!$A:$D,4,0),"❌ Account Not Found"))</f>
        <v/>
      </c>
      <c r="C48" s="89" t="str">
        <f>IF(A48="","",IFERROR(VLOOKUP(A48,DB_Customers!$A:$N,14,0),""))</f>
        <v/>
      </c>
      <c r="D48" s="90" t="str">
        <f t="shared" ca="1" si="3"/>
        <v/>
      </c>
      <c r="E48" s="82"/>
      <c r="F48" s="91" t="str">
        <f t="shared" si="4"/>
        <v/>
      </c>
      <c r="G48" s="27"/>
      <c r="H48" s="84"/>
      <c r="I48" s="92" t="str">
        <f>IF(A48="","Pending",IF(H48="","⚠️ Enter Code",IF(IFERROR(VLOOKUP(G48,DB_Agents!$B:$I,8,0),"")=H48,IF(AND(A48&lt;&gt;"",E48&lt;&gt;""),"Saved","Pending"),"🔒 BLOCKED — Wrong Code")))</f>
        <v>Pending</v>
      </c>
      <c r="J48" s="93" t="str">
        <f t="shared" ca="1" si="5"/>
        <v>—</v>
      </c>
      <c r="K48" s="94"/>
    </row>
    <row r="49" spans="1:11" x14ac:dyDescent="0.25">
      <c r="A49" s="79"/>
      <c r="B49" s="21" t="str">
        <f>IF(A49="","",IFERROR(VLOOKUP(A49,DB_Customers!$A:$D,4,0),"❌ Account Not Found"))</f>
        <v/>
      </c>
      <c r="C49" s="80" t="str">
        <f>IF(A49="","",IFERROR(VLOOKUP(A49,DB_Customers!$A:$N,14,0),""))</f>
        <v/>
      </c>
      <c r="D49" s="81" t="str">
        <f t="shared" ca="1" si="3"/>
        <v/>
      </c>
      <c r="E49" s="82"/>
      <c r="F49" s="83" t="str">
        <f t="shared" si="4"/>
        <v/>
      </c>
      <c r="G49" s="23"/>
      <c r="H49" s="84"/>
      <c r="I49" s="85" t="str">
        <f>IF(A49="","Pending",IF(H49="","⚠️ Enter Code",IF(IFERROR(VLOOKUP(G49,DB_Agents!$B:$I,8,0),"")=H49,IF(AND(A49&lt;&gt;"",E49&lt;&gt;""),"Saved","Pending"),"🔒 BLOCKED — Wrong Code")))</f>
        <v>Pending</v>
      </c>
      <c r="J49" s="86" t="str">
        <f t="shared" ca="1" si="5"/>
        <v>—</v>
      </c>
      <c r="K49" s="87"/>
    </row>
    <row r="50" spans="1:11" x14ac:dyDescent="0.25">
      <c r="A50" s="88"/>
      <c r="B50" s="25" t="str">
        <f>IF(A50="","",IFERROR(VLOOKUP(A50,DB_Customers!$A:$D,4,0),"❌ Account Not Found"))</f>
        <v/>
      </c>
      <c r="C50" s="89" t="str">
        <f>IF(A50="","",IFERROR(VLOOKUP(A50,DB_Customers!$A:$N,14,0),""))</f>
        <v/>
      </c>
      <c r="D50" s="90" t="str">
        <f t="shared" ca="1" si="3"/>
        <v/>
      </c>
      <c r="E50" s="82"/>
      <c r="F50" s="91" t="str">
        <f t="shared" si="4"/>
        <v/>
      </c>
      <c r="G50" s="27"/>
      <c r="H50" s="84"/>
      <c r="I50" s="92" t="str">
        <f>IF(A50="","Pending",IF(H50="","⚠️ Enter Code",IF(IFERROR(VLOOKUP(G50,DB_Agents!$B:$I,8,0),"")=H50,IF(AND(A50&lt;&gt;"",E50&lt;&gt;""),"Saved","Pending"),"🔒 BLOCKED — Wrong Code")))</f>
        <v>Pending</v>
      </c>
      <c r="J50" s="93" t="str">
        <f t="shared" ca="1" si="5"/>
        <v>—</v>
      </c>
      <c r="K50" s="94"/>
    </row>
    <row r="51" spans="1:11" x14ac:dyDescent="0.25">
      <c r="A51" s="79"/>
      <c r="B51" s="21" t="str">
        <f>IF(A51="","",IFERROR(VLOOKUP(A51,DB_Customers!$A:$D,4,0),"❌ Account Not Found"))</f>
        <v/>
      </c>
      <c r="C51" s="80" t="str">
        <f>IF(A51="","",IFERROR(VLOOKUP(A51,DB_Customers!$A:$N,14,0),""))</f>
        <v/>
      </c>
      <c r="D51" s="81" t="str">
        <f t="shared" ca="1" si="3"/>
        <v/>
      </c>
      <c r="E51" s="82"/>
      <c r="F51" s="83" t="str">
        <f t="shared" si="4"/>
        <v/>
      </c>
      <c r="G51" s="23"/>
      <c r="H51" s="84"/>
      <c r="I51" s="85" t="str">
        <f>IF(A51="","Pending",IF(H51="","⚠️ Enter Code",IF(IFERROR(VLOOKUP(G51,DB_Agents!$B:$I,8,0),"")=H51,IF(AND(A51&lt;&gt;"",E51&lt;&gt;""),"Saved","Pending"),"🔒 BLOCKED — Wrong Code")))</f>
        <v>Pending</v>
      </c>
      <c r="J51" s="86" t="str">
        <f t="shared" ca="1" si="5"/>
        <v>—</v>
      </c>
      <c r="K51" s="87"/>
    </row>
    <row r="52" spans="1:11" x14ac:dyDescent="0.25">
      <c r="A52" s="88"/>
      <c r="B52" s="25" t="str">
        <f>IF(A52="","",IFERROR(VLOOKUP(A52,DB_Customers!$A:$D,4,0),"❌ Account Not Found"))</f>
        <v/>
      </c>
      <c r="C52" s="89" t="str">
        <f>IF(A52="","",IFERROR(VLOOKUP(A52,DB_Customers!$A:$N,14,0),""))</f>
        <v/>
      </c>
      <c r="D52" s="90" t="str">
        <f t="shared" ca="1" si="3"/>
        <v/>
      </c>
      <c r="E52" s="82"/>
      <c r="F52" s="91" t="str">
        <f t="shared" si="4"/>
        <v/>
      </c>
      <c r="G52" s="27"/>
      <c r="H52" s="84"/>
      <c r="I52" s="92" t="str">
        <f>IF(A52="","Pending",IF(H52="","⚠️ Enter Code",IF(IFERROR(VLOOKUP(G52,DB_Agents!$B:$I,8,0),"")=H52,IF(AND(A52&lt;&gt;"",E52&lt;&gt;""),"Saved","Pending"),"🔒 BLOCKED — Wrong Code")))</f>
        <v>Pending</v>
      </c>
      <c r="J52" s="93" t="str">
        <f t="shared" ca="1" si="5"/>
        <v>—</v>
      </c>
      <c r="K52" s="94"/>
    </row>
    <row r="53" spans="1:11" x14ac:dyDescent="0.25">
      <c r="A53" s="79"/>
      <c r="B53" s="21" t="str">
        <f>IF(A53="","",IFERROR(VLOOKUP(A53,DB_Customers!$A:$D,4,0),"❌ Account Not Found"))</f>
        <v/>
      </c>
      <c r="C53" s="80" t="str">
        <f>IF(A53="","",IFERROR(VLOOKUP(A53,DB_Customers!$A:$N,14,0),""))</f>
        <v/>
      </c>
      <c r="D53" s="81" t="str">
        <f t="shared" ca="1" si="3"/>
        <v/>
      </c>
      <c r="E53" s="82"/>
      <c r="F53" s="83" t="str">
        <f t="shared" si="4"/>
        <v/>
      </c>
      <c r="G53" s="23"/>
      <c r="H53" s="84"/>
      <c r="I53" s="85" t="str">
        <f>IF(A53="","Pending",IF(H53="","⚠️ Enter Code",IF(IFERROR(VLOOKUP(G53,DB_Agents!$B:$I,8,0),"")=H53,IF(AND(A53&lt;&gt;"",E53&lt;&gt;""),"Saved","Pending"),"🔒 BLOCKED — Wrong Code")))</f>
        <v>Pending</v>
      </c>
      <c r="J53" s="86" t="str">
        <f t="shared" ca="1" si="5"/>
        <v>—</v>
      </c>
      <c r="K53" s="87"/>
    </row>
    <row r="54" spans="1:11" x14ac:dyDescent="0.25">
      <c r="A54" s="88"/>
      <c r="B54" s="25" t="str">
        <f>IF(A54="","",IFERROR(VLOOKUP(A54,DB_Customers!$A:$D,4,0),"❌ Account Not Found"))</f>
        <v/>
      </c>
      <c r="C54" s="89" t="str">
        <f>IF(A54="","",IFERROR(VLOOKUP(A54,DB_Customers!$A:$N,14,0),""))</f>
        <v/>
      </c>
      <c r="D54" s="90" t="str">
        <f t="shared" ca="1" si="3"/>
        <v/>
      </c>
      <c r="E54" s="82"/>
      <c r="F54" s="91" t="str">
        <f t="shared" si="4"/>
        <v/>
      </c>
      <c r="G54" s="27"/>
      <c r="H54" s="84"/>
      <c r="I54" s="92" t="str">
        <f>IF(A54="","Pending",IF(H54="","⚠️ Enter Code",IF(IFERROR(VLOOKUP(G54,DB_Agents!$B:$I,8,0),"")=H54,IF(AND(A54&lt;&gt;"",E54&lt;&gt;""),"Saved","Pending"),"🔒 BLOCKED — Wrong Code")))</f>
        <v>Pending</v>
      </c>
      <c r="J54" s="93" t="str">
        <f t="shared" ca="1" si="5"/>
        <v>—</v>
      </c>
      <c r="K54" s="94"/>
    </row>
    <row r="55" spans="1:11" x14ac:dyDescent="0.25">
      <c r="A55" s="79"/>
      <c r="B55" s="21" t="str">
        <f>IF(A55="","",IFERROR(VLOOKUP(A55,DB_Customers!$A:$D,4,0),"❌ Account Not Found"))</f>
        <v/>
      </c>
      <c r="C55" s="80" t="str">
        <f>IF(A55="","",IFERROR(VLOOKUP(A55,DB_Customers!$A:$N,14,0),""))</f>
        <v/>
      </c>
      <c r="D55" s="81" t="str">
        <f t="shared" ca="1" si="3"/>
        <v/>
      </c>
      <c r="E55" s="82"/>
      <c r="F55" s="83" t="str">
        <f t="shared" si="4"/>
        <v/>
      </c>
      <c r="G55" s="23"/>
      <c r="H55" s="84"/>
      <c r="I55" s="85" t="str">
        <f>IF(A55="","Pending",IF(H55="","⚠️ Enter Code",IF(IFERROR(VLOOKUP(G55,DB_Agents!$B:$I,8,0),"")=H55,IF(AND(A55&lt;&gt;"",E55&lt;&gt;""),"Saved","Pending"),"🔒 BLOCKED — Wrong Code")))</f>
        <v>Pending</v>
      </c>
      <c r="J55" s="86" t="str">
        <f t="shared" ca="1" si="5"/>
        <v>—</v>
      </c>
      <c r="K55" s="87"/>
    </row>
    <row r="56" spans="1:11" x14ac:dyDescent="0.25">
      <c r="A56" s="88"/>
      <c r="B56" s="25" t="str">
        <f>IF(A56="","",IFERROR(VLOOKUP(A56,DB_Customers!$A:$D,4,0),"❌ Account Not Found"))</f>
        <v/>
      </c>
      <c r="C56" s="89" t="str">
        <f>IF(A56="","",IFERROR(VLOOKUP(A56,DB_Customers!$A:$N,14,0),""))</f>
        <v/>
      </c>
      <c r="D56" s="90" t="str">
        <f t="shared" ca="1" si="3"/>
        <v/>
      </c>
      <c r="E56" s="82"/>
      <c r="F56" s="91" t="str">
        <f t="shared" si="4"/>
        <v/>
      </c>
      <c r="G56" s="27"/>
      <c r="H56" s="84"/>
      <c r="I56" s="92" t="str">
        <f>IF(A56="","Pending",IF(H56="","⚠️ Enter Code",IF(IFERROR(VLOOKUP(G56,DB_Agents!$B:$I,8,0),"")=H56,IF(AND(A56&lt;&gt;"",E56&lt;&gt;""),"Saved","Pending"),"🔒 BLOCKED — Wrong Code")))</f>
        <v>Pending</v>
      </c>
      <c r="J56" s="93" t="str">
        <f t="shared" ca="1" si="5"/>
        <v>—</v>
      </c>
      <c r="K56" s="94"/>
    </row>
    <row r="57" spans="1:11" x14ac:dyDescent="0.25">
      <c r="A57" s="79"/>
      <c r="B57" s="21" t="str">
        <f>IF(A57="","",IFERROR(VLOOKUP(A57,DB_Customers!$A:$D,4,0),"❌ Account Not Found"))</f>
        <v/>
      </c>
      <c r="C57" s="80" t="str">
        <f>IF(A57="","",IFERROR(VLOOKUP(A57,DB_Customers!$A:$N,14,0),""))</f>
        <v/>
      </c>
      <c r="D57" s="81" t="str">
        <f t="shared" ca="1" si="3"/>
        <v/>
      </c>
      <c r="E57" s="82"/>
      <c r="F57" s="83" t="str">
        <f t="shared" si="4"/>
        <v/>
      </c>
      <c r="G57" s="23"/>
      <c r="H57" s="84"/>
      <c r="I57" s="85" t="str">
        <f>IF(A57="","Pending",IF(H57="","⚠️ Enter Code",IF(IFERROR(VLOOKUP(G57,DB_Agents!$B:$I,8,0),"")=H57,IF(AND(A57&lt;&gt;"",E57&lt;&gt;""),"Saved","Pending"),"🔒 BLOCKED — Wrong Code")))</f>
        <v>Pending</v>
      </c>
      <c r="J57" s="86" t="str">
        <f t="shared" ca="1" si="5"/>
        <v>—</v>
      </c>
      <c r="K57" s="87"/>
    </row>
    <row r="58" spans="1:11" x14ac:dyDescent="0.25">
      <c r="A58" s="88"/>
      <c r="B58" s="25" t="str">
        <f>IF(A58="","",IFERROR(VLOOKUP(A58,DB_Customers!$A:$D,4,0),"❌ Account Not Found"))</f>
        <v/>
      </c>
      <c r="C58" s="89" t="str">
        <f>IF(A58="","",IFERROR(VLOOKUP(A58,DB_Customers!$A:$N,14,0),""))</f>
        <v/>
      </c>
      <c r="D58" s="90" t="str">
        <f t="shared" ca="1" si="3"/>
        <v/>
      </c>
      <c r="E58" s="82"/>
      <c r="F58" s="91" t="str">
        <f t="shared" si="4"/>
        <v/>
      </c>
      <c r="G58" s="27"/>
      <c r="H58" s="84"/>
      <c r="I58" s="92" t="str">
        <f>IF(A58="","Pending",IF(H58="","⚠️ Enter Code",IF(IFERROR(VLOOKUP(G58,DB_Agents!$B:$I,8,0),"")=H58,IF(AND(A58&lt;&gt;"",E58&lt;&gt;""),"Saved","Pending"),"🔒 BLOCKED — Wrong Code")))</f>
        <v>Pending</v>
      </c>
      <c r="J58" s="93" t="str">
        <f t="shared" ca="1" si="5"/>
        <v>—</v>
      </c>
      <c r="K58" s="94"/>
    </row>
    <row r="59" spans="1:11" x14ac:dyDescent="0.25">
      <c r="A59" s="79"/>
      <c r="B59" s="21" t="str">
        <f>IF(A59="","",IFERROR(VLOOKUP(A59,DB_Customers!$A:$D,4,0),"❌ Account Not Found"))</f>
        <v/>
      </c>
      <c r="C59" s="80" t="str">
        <f>IF(A59="","",IFERROR(VLOOKUP(A59,DB_Customers!$A:$N,14,0),""))</f>
        <v/>
      </c>
      <c r="D59" s="81" t="str">
        <f t="shared" ca="1" si="3"/>
        <v/>
      </c>
      <c r="E59" s="82"/>
      <c r="F59" s="83" t="str">
        <f t="shared" si="4"/>
        <v/>
      </c>
      <c r="G59" s="23"/>
      <c r="H59" s="84"/>
      <c r="I59" s="85" t="str">
        <f>IF(A59="","Pending",IF(H59="","⚠️ Enter Code",IF(IFERROR(VLOOKUP(G59,DB_Agents!$B:$I,8,0),"")=H59,IF(AND(A59&lt;&gt;"",E59&lt;&gt;""),"Saved","Pending"),"🔒 BLOCKED — Wrong Code")))</f>
        <v>Pending</v>
      </c>
      <c r="J59" s="86" t="str">
        <f t="shared" ca="1" si="5"/>
        <v>—</v>
      </c>
      <c r="K59" s="87"/>
    </row>
    <row r="60" spans="1:11" x14ac:dyDescent="0.25">
      <c r="A60" s="88"/>
      <c r="B60" s="25" t="str">
        <f>IF(A60="","",IFERROR(VLOOKUP(A60,DB_Customers!$A:$D,4,0),"❌ Account Not Found"))</f>
        <v/>
      </c>
      <c r="C60" s="89" t="str">
        <f>IF(A60="","",IFERROR(VLOOKUP(A60,DB_Customers!$A:$N,14,0),""))</f>
        <v/>
      </c>
      <c r="D60" s="90" t="str">
        <f t="shared" ca="1" si="3"/>
        <v/>
      </c>
      <c r="E60" s="82"/>
      <c r="F60" s="91" t="str">
        <f t="shared" si="4"/>
        <v/>
      </c>
      <c r="G60" s="27"/>
      <c r="H60" s="84"/>
      <c r="I60" s="92" t="str">
        <f>IF(A60="","Pending",IF(H60="","⚠️ Enter Code",IF(IFERROR(VLOOKUP(G60,DB_Agents!$B:$I,8,0),"")=H60,IF(AND(A60&lt;&gt;"",E60&lt;&gt;""),"Saved","Pending"),"🔒 BLOCKED — Wrong Code")))</f>
        <v>Pending</v>
      </c>
      <c r="J60" s="93" t="str">
        <f t="shared" ca="1" si="5"/>
        <v>—</v>
      </c>
      <c r="K60" s="94"/>
    </row>
    <row r="61" spans="1:11" x14ac:dyDescent="0.25">
      <c r="A61" s="79"/>
      <c r="B61" s="21" t="str">
        <f>IF(A61="","",IFERROR(VLOOKUP(A61,DB_Customers!$A:$D,4,0),"❌ Account Not Found"))</f>
        <v/>
      </c>
      <c r="C61" s="80" t="str">
        <f>IF(A61="","",IFERROR(VLOOKUP(A61,DB_Customers!$A:$N,14,0),""))</f>
        <v/>
      </c>
      <c r="D61" s="81" t="str">
        <f t="shared" ca="1" si="3"/>
        <v/>
      </c>
      <c r="E61" s="82"/>
      <c r="F61" s="83" t="str">
        <f t="shared" si="4"/>
        <v/>
      </c>
      <c r="G61" s="23"/>
      <c r="H61" s="84"/>
      <c r="I61" s="85" t="str">
        <f>IF(A61="","Pending",IF(H61="","⚠️ Enter Code",IF(IFERROR(VLOOKUP(G61,DB_Agents!$B:$I,8,0),"")=H61,IF(AND(A61&lt;&gt;"",E61&lt;&gt;""),"Saved","Pending"),"🔒 BLOCKED — Wrong Code")))</f>
        <v>Pending</v>
      </c>
      <c r="J61" s="86" t="str">
        <f t="shared" ca="1" si="5"/>
        <v>—</v>
      </c>
      <c r="K61" s="87"/>
    </row>
    <row r="62" spans="1:11" x14ac:dyDescent="0.25">
      <c r="A62" s="88"/>
      <c r="B62" s="25" t="str">
        <f>IF(A62="","",IFERROR(VLOOKUP(A62,DB_Customers!$A:$D,4,0),"❌ Account Not Found"))</f>
        <v/>
      </c>
      <c r="C62" s="89" t="str">
        <f>IF(A62="","",IFERROR(VLOOKUP(A62,DB_Customers!$A:$N,14,0),""))</f>
        <v/>
      </c>
      <c r="D62" s="90" t="str">
        <f t="shared" ca="1" si="3"/>
        <v/>
      </c>
      <c r="E62" s="82"/>
      <c r="F62" s="91" t="str">
        <f t="shared" si="4"/>
        <v/>
      </c>
      <c r="G62" s="27"/>
      <c r="H62" s="84"/>
      <c r="I62" s="92" t="str">
        <f>IF(A62="","Pending",IF(H62="","⚠️ Enter Code",IF(IFERROR(VLOOKUP(G62,DB_Agents!$B:$I,8,0),"")=H62,IF(AND(A62&lt;&gt;"",E62&lt;&gt;""),"Saved","Pending"),"🔒 BLOCKED — Wrong Code")))</f>
        <v>Pending</v>
      </c>
      <c r="J62" s="93" t="str">
        <f t="shared" ca="1" si="5"/>
        <v>—</v>
      </c>
      <c r="K62" s="94"/>
    </row>
    <row r="63" spans="1:11" x14ac:dyDescent="0.25">
      <c r="A63" s="79"/>
      <c r="B63" s="21" t="str">
        <f>IF(A63="","",IFERROR(VLOOKUP(A63,DB_Customers!$A:$D,4,0),"❌ Account Not Found"))</f>
        <v/>
      </c>
      <c r="C63" s="80" t="str">
        <f>IF(A63="","",IFERROR(VLOOKUP(A63,DB_Customers!$A:$N,14,0),""))</f>
        <v/>
      </c>
      <c r="D63" s="81" t="str">
        <f t="shared" ca="1" si="3"/>
        <v/>
      </c>
      <c r="E63" s="82"/>
      <c r="F63" s="83" t="str">
        <f t="shared" si="4"/>
        <v/>
      </c>
      <c r="G63" s="23"/>
      <c r="H63" s="84"/>
      <c r="I63" s="85" t="str">
        <f>IF(A63="","Pending",IF(H63="","⚠️ Enter Code",IF(IFERROR(VLOOKUP(G63,DB_Agents!$B:$I,8,0),"")=H63,IF(AND(A63&lt;&gt;"",E63&lt;&gt;""),"Saved","Pending"),"🔒 BLOCKED — Wrong Code")))</f>
        <v>Pending</v>
      </c>
      <c r="J63" s="86" t="str">
        <f t="shared" ca="1" si="5"/>
        <v>—</v>
      </c>
      <c r="K63" s="87"/>
    </row>
    <row r="64" spans="1:11" x14ac:dyDescent="0.25">
      <c r="A64" s="88"/>
      <c r="B64" s="25" t="str">
        <f>IF(A64="","",IFERROR(VLOOKUP(A64,DB_Customers!$A:$D,4,0),"❌ Account Not Found"))</f>
        <v/>
      </c>
      <c r="C64" s="89" t="str">
        <f>IF(A64="","",IFERROR(VLOOKUP(A64,DB_Customers!$A:$N,14,0),""))</f>
        <v/>
      </c>
      <c r="D64" s="90" t="str">
        <f t="shared" ca="1" si="3"/>
        <v/>
      </c>
      <c r="E64" s="82"/>
      <c r="F64" s="91" t="str">
        <f t="shared" si="4"/>
        <v/>
      </c>
      <c r="G64" s="27"/>
      <c r="H64" s="84"/>
      <c r="I64" s="92" t="str">
        <f>IF(A64="","Pending",IF(H64="","⚠️ Enter Code",IF(IFERROR(VLOOKUP(G64,DB_Agents!$B:$I,8,0),"")=H64,IF(AND(A64&lt;&gt;"",E64&lt;&gt;""),"Saved","Pending"),"🔒 BLOCKED — Wrong Code")))</f>
        <v>Pending</v>
      </c>
      <c r="J64" s="93" t="str">
        <f t="shared" ca="1" si="5"/>
        <v>—</v>
      </c>
      <c r="K64" s="94"/>
    </row>
    <row r="65" spans="1:11" x14ac:dyDescent="0.25">
      <c r="A65" s="79"/>
      <c r="B65" s="21" t="str">
        <f>IF(A65="","",IFERROR(VLOOKUP(A65,DB_Customers!$A:$D,4,0),"❌ Account Not Found"))</f>
        <v/>
      </c>
      <c r="C65" s="80" t="str">
        <f>IF(A65="","",IFERROR(VLOOKUP(A65,DB_Customers!$A:$N,14,0),""))</f>
        <v/>
      </c>
      <c r="D65" s="81" t="str">
        <f t="shared" ca="1" si="3"/>
        <v/>
      </c>
      <c r="E65" s="82"/>
      <c r="F65" s="83" t="str">
        <f t="shared" si="4"/>
        <v/>
      </c>
      <c r="G65" s="23"/>
      <c r="H65" s="84"/>
      <c r="I65" s="85" t="str">
        <f>IF(A65="","Pending",IF(H65="","⚠️ Enter Code",IF(IFERROR(VLOOKUP(G65,DB_Agents!$B:$I,8,0),"")=H65,IF(AND(A65&lt;&gt;"",E65&lt;&gt;""),"Saved","Pending"),"🔒 BLOCKED — Wrong Code")))</f>
        <v>Pending</v>
      </c>
      <c r="J65" s="86" t="str">
        <f t="shared" ca="1" si="5"/>
        <v>—</v>
      </c>
      <c r="K65" s="87"/>
    </row>
    <row r="66" spans="1:11" x14ac:dyDescent="0.25">
      <c r="A66" s="88"/>
      <c r="B66" s="25" t="str">
        <f>IF(A66="","",IFERROR(VLOOKUP(A66,DB_Customers!$A:$D,4,0),"❌ Account Not Found"))</f>
        <v/>
      </c>
      <c r="C66" s="89" t="str">
        <f>IF(A66="","",IFERROR(VLOOKUP(A66,DB_Customers!$A:$N,14,0),""))</f>
        <v/>
      </c>
      <c r="D66" s="90" t="str">
        <f t="shared" ca="1" si="3"/>
        <v/>
      </c>
      <c r="E66" s="82"/>
      <c r="F66" s="91" t="str">
        <f t="shared" si="4"/>
        <v/>
      </c>
      <c r="G66" s="27"/>
      <c r="H66" s="84"/>
      <c r="I66" s="92" t="str">
        <f>IF(A66="","Pending",IF(H66="","⚠️ Enter Code",IF(IFERROR(VLOOKUP(G66,DB_Agents!$B:$I,8,0),"")=H66,IF(AND(A66&lt;&gt;"",E66&lt;&gt;""),"Saved","Pending"),"🔒 BLOCKED — Wrong Code")))</f>
        <v>Pending</v>
      </c>
      <c r="J66" s="93" t="str">
        <f t="shared" ca="1" si="5"/>
        <v>—</v>
      </c>
      <c r="K66" s="94"/>
    </row>
    <row r="67" spans="1:11" x14ac:dyDescent="0.25">
      <c r="A67" s="79"/>
      <c r="B67" s="21" t="str">
        <f>IF(A67="","",IFERROR(VLOOKUP(A67,DB_Customers!$A:$D,4,0),"❌ Account Not Found"))</f>
        <v/>
      </c>
      <c r="C67" s="80" t="str">
        <f>IF(A67="","",IFERROR(VLOOKUP(A67,DB_Customers!$A:$N,14,0),""))</f>
        <v/>
      </c>
      <c r="D67" s="81" t="str">
        <f t="shared" ca="1" si="3"/>
        <v/>
      </c>
      <c r="E67" s="82"/>
      <c r="F67" s="83" t="str">
        <f t="shared" si="4"/>
        <v/>
      </c>
      <c r="G67" s="23"/>
      <c r="H67" s="84"/>
      <c r="I67" s="85" t="str">
        <f>IF(A67="","Pending",IF(H67="","⚠️ Enter Code",IF(IFERROR(VLOOKUP(G67,DB_Agents!$B:$I,8,0),"")=H67,IF(AND(A67&lt;&gt;"",E67&lt;&gt;""),"Saved","Pending"),"🔒 BLOCKED — Wrong Code")))</f>
        <v>Pending</v>
      </c>
      <c r="J67" s="86" t="str">
        <f t="shared" ca="1" si="5"/>
        <v>—</v>
      </c>
      <c r="K67" s="87"/>
    </row>
    <row r="68" spans="1:11" x14ac:dyDescent="0.25">
      <c r="A68" s="88"/>
      <c r="B68" s="25" t="str">
        <f>IF(A68="","",IFERROR(VLOOKUP(A68,DB_Customers!$A:$D,4,0),"❌ Account Not Found"))</f>
        <v/>
      </c>
      <c r="C68" s="89" t="str">
        <f>IF(A68="","",IFERROR(VLOOKUP(A68,DB_Customers!$A:$N,14,0),""))</f>
        <v/>
      </c>
      <c r="D68" s="90" t="str">
        <f t="shared" ca="1" si="3"/>
        <v/>
      </c>
      <c r="E68" s="82"/>
      <c r="F68" s="91" t="str">
        <f t="shared" si="4"/>
        <v/>
      </c>
      <c r="G68" s="27"/>
      <c r="H68" s="84"/>
      <c r="I68" s="92" t="str">
        <f>IF(A68="","Pending",IF(H68="","⚠️ Enter Code",IF(IFERROR(VLOOKUP(G68,DB_Agents!$B:$I,8,0),"")=H68,IF(AND(A68&lt;&gt;"",E68&lt;&gt;""),"Saved","Pending"),"🔒 BLOCKED — Wrong Code")))</f>
        <v>Pending</v>
      </c>
      <c r="J68" s="93" t="str">
        <f t="shared" ca="1" si="5"/>
        <v>—</v>
      </c>
      <c r="K68" s="94"/>
    </row>
    <row r="69" spans="1:11" x14ac:dyDescent="0.25">
      <c r="A69" s="79"/>
      <c r="B69" s="21" t="str">
        <f>IF(A69="","",IFERROR(VLOOKUP(A69,DB_Customers!$A:$D,4,0),"❌ Account Not Found"))</f>
        <v/>
      </c>
      <c r="C69" s="80" t="str">
        <f>IF(A69="","",IFERROR(VLOOKUP(A69,DB_Customers!$A:$N,14,0),""))</f>
        <v/>
      </c>
      <c r="D69" s="81" t="str">
        <f t="shared" ca="1" si="3"/>
        <v/>
      </c>
      <c r="E69" s="82"/>
      <c r="F69" s="83" t="str">
        <f t="shared" si="4"/>
        <v/>
      </c>
      <c r="G69" s="23"/>
      <c r="H69" s="84"/>
      <c r="I69" s="85" t="str">
        <f>IF(A69="","Pending",IF(H69="","⚠️ Enter Code",IF(IFERROR(VLOOKUP(G69,DB_Agents!$B:$I,8,0),"")=H69,IF(AND(A69&lt;&gt;"",E69&lt;&gt;""),"Saved","Pending"),"🔒 BLOCKED — Wrong Code")))</f>
        <v>Pending</v>
      </c>
      <c r="J69" s="86" t="str">
        <f t="shared" ca="1" si="5"/>
        <v>—</v>
      </c>
      <c r="K69" s="87"/>
    </row>
    <row r="70" spans="1:11" x14ac:dyDescent="0.25">
      <c r="A70" s="88"/>
      <c r="B70" s="25" t="str">
        <f>IF(A70="","",IFERROR(VLOOKUP(A70,DB_Customers!$A:$D,4,0),"❌ Account Not Found"))</f>
        <v/>
      </c>
      <c r="C70" s="89" t="str">
        <f>IF(A70="","",IFERROR(VLOOKUP(A70,DB_Customers!$A:$N,14,0),""))</f>
        <v/>
      </c>
      <c r="D70" s="90" t="str">
        <f t="shared" ca="1" si="3"/>
        <v/>
      </c>
      <c r="E70" s="82"/>
      <c r="F70" s="91" t="str">
        <f t="shared" si="4"/>
        <v/>
      </c>
      <c r="G70" s="27"/>
      <c r="H70" s="84"/>
      <c r="I70" s="92" t="str">
        <f>IF(A70="","Pending",IF(H70="","⚠️ Enter Code",IF(IFERROR(VLOOKUP(G70,DB_Agents!$B:$I,8,0),"")=H70,IF(AND(A70&lt;&gt;"",E70&lt;&gt;""),"Saved","Pending"),"🔒 BLOCKED — Wrong Code")))</f>
        <v>Pending</v>
      </c>
      <c r="J70" s="93" t="str">
        <f t="shared" ca="1" si="5"/>
        <v>—</v>
      </c>
      <c r="K70" s="94"/>
    </row>
    <row r="71" spans="1:11" x14ac:dyDescent="0.25">
      <c r="A71" s="79"/>
      <c r="B71" s="21" t="str">
        <f>IF(A71="","",IFERROR(VLOOKUP(A71,DB_Customers!$A:$D,4,0),"❌ Account Not Found"))</f>
        <v/>
      </c>
      <c r="C71" s="80" t="str">
        <f>IF(A71="","",IFERROR(VLOOKUP(A71,DB_Customers!$A:$N,14,0),""))</f>
        <v/>
      </c>
      <c r="D71" s="81" t="str">
        <f t="shared" ca="1" si="3"/>
        <v/>
      </c>
      <c r="E71" s="82"/>
      <c r="F71" s="83" t="str">
        <f t="shared" si="4"/>
        <v/>
      </c>
      <c r="G71" s="23"/>
      <c r="H71" s="84"/>
      <c r="I71" s="85" t="str">
        <f>IF(A71="","Pending",IF(H71="","⚠️ Enter Code",IF(IFERROR(VLOOKUP(G71,DB_Agents!$B:$I,8,0),"")=H71,IF(AND(A71&lt;&gt;"",E71&lt;&gt;""),"Saved","Pending"),"🔒 BLOCKED — Wrong Code")))</f>
        <v>Pending</v>
      </c>
      <c r="J71" s="86" t="str">
        <f t="shared" ca="1" si="5"/>
        <v>—</v>
      </c>
      <c r="K71" s="87"/>
    </row>
    <row r="72" spans="1:11" x14ac:dyDescent="0.25">
      <c r="A72" s="88"/>
      <c r="B72" s="25" t="str">
        <f>IF(A72="","",IFERROR(VLOOKUP(A72,DB_Customers!$A:$D,4,0),"❌ Account Not Found"))</f>
        <v/>
      </c>
      <c r="C72" s="89" t="str">
        <f>IF(A72="","",IFERROR(VLOOKUP(A72,DB_Customers!$A:$N,14,0),""))</f>
        <v/>
      </c>
      <c r="D72" s="90" t="str">
        <f t="shared" ca="1" si="3"/>
        <v/>
      </c>
      <c r="E72" s="82"/>
      <c r="F72" s="91" t="str">
        <f t="shared" si="4"/>
        <v/>
      </c>
      <c r="G72" s="27"/>
      <c r="H72" s="84"/>
      <c r="I72" s="92" t="str">
        <f>IF(A72="","Pending",IF(H72="","⚠️ Enter Code",IF(IFERROR(VLOOKUP(G72,DB_Agents!$B:$I,8,0),"")=H72,IF(AND(A72&lt;&gt;"",E72&lt;&gt;""),"Saved","Pending"),"🔒 BLOCKED — Wrong Code")))</f>
        <v>Pending</v>
      </c>
      <c r="J72" s="93" t="str">
        <f t="shared" ca="1" si="5"/>
        <v>—</v>
      </c>
      <c r="K72" s="94"/>
    </row>
    <row r="73" spans="1:11" x14ac:dyDescent="0.25">
      <c r="A73" s="79"/>
      <c r="B73" s="21" t="str">
        <f>IF(A73="","",IFERROR(VLOOKUP(A73,DB_Customers!$A:$D,4,0),"❌ Account Not Found"))</f>
        <v/>
      </c>
      <c r="C73" s="80" t="str">
        <f>IF(A73="","",IFERROR(VLOOKUP(A73,DB_Customers!$A:$N,14,0),""))</f>
        <v/>
      </c>
      <c r="D73" s="81" t="str">
        <f t="shared" ref="D73:D104" ca="1" si="6">IF(A73="","",TODAY())</f>
        <v/>
      </c>
      <c r="E73" s="82"/>
      <c r="F73" s="83" t="str">
        <f t="shared" ref="F73:F104" si="7">IF(OR(A73="",E73=""),"",IF(C73="","",C73+E73))</f>
        <v/>
      </c>
      <c r="G73" s="23"/>
      <c r="H73" s="84"/>
      <c r="I73" s="85" t="str">
        <f>IF(A73="","Pending",IF(H73="","⚠️ Enter Code",IF(IFERROR(VLOOKUP(G73,DB_Agents!$B:$I,8,0),"")=H73,IF(AND(A73&lt;&gt;"",E73&lt;&gt;""),"Saved","Pending"),"🔒 BLOCKED — Wrong Code")))</f>
        <v>Pending</v>
      </c>
      <c r="J73" s="86" t="str">
        <f t="shared" ref="J73:J104" ca="1" si="8">IF(I73="Saved",TEXT(TODAY(),"YYYY-MM-DD")&amp;" Auto","—")</f>
        <v>—</v>
      </c>
      <c r="K73" s="87"/>
    </row>
    <row r="74" spans="1:11" x14ac:dyDescent="0.25">
      <c r="A74" s="88"/>
      <c r="B74" s="25" t="str">
        <f>IF(A74="","",IFERROR(VLOOKUP(A74,DB_Customers!$A:$D,4,0),"❌ Account Not Found"))</f>
        <v/>
      </c>
      <c r="C74" s="89" t="str">
        <f>IF(A74="","",IFERROR(VLOOKUP(A74,DB_Customers!$A:$N,14,0),""))</f>
        <v/>
      </c>
      <c r="D74" s="90" t="str">
        <f t="shared" ca="1" si="6"/>
        <v/>
      </c>
      <c r="E74" s="82"/>
      <c r="F74" s="91" t="str">
        <f t="shared" si="7"/>
        <v/>
      </c>
      <c r="G74" s="27"/>
      <c r="H74" s="84"/>
      <c r="I74" s="92" t="str">
        <f>IF(A74="","Pending",IF(H74="","⚠️ Enter Code",IF(IFERROR(VLOOKUP(G74,DB_Agents!$B:$I,8,0),"")=H74,IF(AND(A74&lt;&gt;"",E74&lt;&gt;""),"Saved","Pending"),"🔒 BLOCKED — Wrong Code")))</f>
        <v>Pending</v>
      </c>
      <c r="J74" s="93" t="str">
        <f t="shared" ca="1" si="8"/>
        <v>—</v>
      </c>
      <c r="K74" s="94"/>
    </row>
    <row r="75" spans="1:11" x14ac:dyDescent="0.25">
      <c r="A75" s="79"/>
      <c r="B75" s="21" t="str">
        <f>IF(A75="","",IFERROR(VLOOKUP(A75,DB_Customers!$A:$D,4,0),"❌ Account Not Found"))</f>
        <v/>
      </c>
      <c r="C75" s="80" t="str">
        <f>IF(A75="","",IFERROR(VLOOKUP(A75,DB_Customers!$A:$N,14,0),""))</f>
        <v/>
      </c>
      <c r="D75" s="81" t="str">
        <f t="shared" ca="1" si="6"/>
        <v/>
      </c>
      <c r="E75" s="82"/>
      <c r="F75" s="83" t="str">
        <f t="shared" si="7"/>
        <v/>
      </c>
      <c r="G75" s="23"/>
      <c r="H75" s="84"/>
      <c r="I75" s="85" t="str">
        <f>IF(A75="","Pending",IF(H75="","⚠️ Enter Code",IF(IFERROR(VLOOKUP(G75,DB_Agents!$B:$I,8,0),"")=H75,IF(AND(A75&lt;&gt;"",E75&lt;&gt;""),"Saved","Pending"),"🔒 BLOCKED — Wrong Code")))</f>
        <v>Pending</v>
      </c>
      <c r="J75" s="86" t="str">
        <f t="shared" ca="1" si="8"/>
        <v>—</v>
      </c>
      <c r="K75" s="87"/>
    </row>
    <row r="76" spans="1:11" x14ac:dyDescent="0.25">
      <c r="A76" s="88"/>
      <c r="B76" s="25" t="str">
        <f>IF(A76="","",IFERROR(VLOOKUP(A76,DB_Customers!$A:$D,4,0),"❌ Account Not Found"))</f>
        <v/>
      </c>
      <c r="C76" s="89" t="str">
        <f>IF(A76="","",IFERROR(VLOOKUP(A76,DB_Customers!$A:$N,14,0),""))</f>
        <v/>
      </c>
      <c r="D76" s="90" t="str">
        <f t="shared" ca="1" si="6"/>
        <v/>
      </c>
      <c r="E76" s="82"/>
      <c r="F76" s="91" t="str">
        <f t="shared" si="7"/>
        <v/>
      </c>
      <c r="G76" s="27"/>
      <c r="H76" s="84"/>
      <c r="I76" s="92" t="str">
        <f>IF(A76="","Pending",IF(H76="","⚠️ Enter Code",IF(IFERROR(VLOOKUP(G76,DB_Agents!$B:$I,8,0),"")=H76,IF(AND(A76&lt;&gt;"",E76&lt;&gt;""),"Saved","Pending"),"🔒 BLOCKED — Wrong Code")))</f>
        <v>Pending</v>
      </c>
      <c r="J76" s="93" t="str">
        <f t="shared" ca="1" si="8"/>
        <v>—</v>
      </c>
      <c r="K76" s="94"/>
    </row>
    <row r="77" spans="1:11" x14ac:dyDescent="0.25">
      <c r="A77" s="79"/>
      <c r="B77" s="21" t="str">
        <f>IF(A77="","",IFERROR(VLOOKUP(A77,DB_Customers!$A:$D,4,0),"❌ Account Not Found"))</f>
        <v/>
      </c>
      <c r="C77" s="80" t="str">
        <f>IF(A77="","",IFERROR(VLOOKUP(A77,DB_Customers!$A:$N,14,0),""))</f>
        <v/>
      </c>
      <c r="D77" s="81" t="str">
        <f t="shared" ca="1" si="6"/>
        <v/>
      </c>
      <c r="E77" s="82"/>
      <c r="F77" s="83" t="str">
        <f t="shared" si="7"/>
        <v/>
      </c>
      <c r="G77" s="23"/>
      <c r="H77" s="84"/>
      <c r="I77" s="85" t="str">
        <f>IF(A77="","Pending",IF(H77="","⚠️ Enter Code",IF(IFERROR(VLOOKUP(G77,DB_Agents!$B:$I,8,0),"")=H77,IF(AND(A77&lt;&gt;"",E77&lt;&gt;""),"Saved","Pending"),"🔒 BLOCKED — Wrong Code")))</f>
        <v>Pending</v>
      </c>
      <c r="J77" s="86" t="str">
        <f t="shared" ca="1" si="8"/>
        <v>—</v>
      </c>
      <c r="K77" s="87"/>
    </row>
    <row r="78" spans="1:11" x14ac:dyDescent="0.25">
      <c r="A78" s="88"/>
      <c r="B78" s="25" t="str">
        <f>IF(A78="","",IFERROR(VLOOKUP(A78,DB_Customers!$A:$D,4,0),"❌ Account Not Found"))</f>
        <v/>
      </c>
      <c r="C78" s="89" t="str">
        <f>IF(A78="","",IFERROR(VLOOKUP(A78,DB_Customers!$A:$N,14,0),""))</f>
        <v/>
      </c>
      <c r="D78" s="90" t="str">
        <f t="shared" ca="1" si="6"/>
        <v/>
      </c>
      <c r="E78" s="82"/>
      <c r="F78" s="91" t="str">
        <f t="shared" si="7"/>
        <v/>
      </c>
      <c r="G78" s="27"/>
      <c r="H78" s="84"/>
      <c r="I78" s="92" t="str">
        <f>IF(A78="","Pending",IF(H78="","⚠️ Enter Code",IF(IFERROR(VLOOKUP(G78,DB_Agents!$B:$I,8,0),"")=H78,IF(AND(A78&lt;&gt;"",E78&lt;&gt;""),"Saved","Pending"),"🔒 BLOCKED — Wrong Code")))</f>
        <v>Pending</v>
      </c>
      <c r="J78" s="93" t="str">
        <f t="shared" ca="1" si="8"/>
        <v>—</v>
      </c>
      <c r="K78" s="94"/>
    </row>
    <row r="79" spans="1:11" x14ac:dyDescent="0.25">
      <c r="A79" s="79"/>
      <c r="B79" s="21" t="str">
        <f>IF(A79="","",IFERROR(VLOOKUP(A79,DB_Customers!$A:$D,4,0),"❌ Account Not Found"))</f>
        <v/>
      </c>
      <c r="C79" s="80" t="str">
        <f>IF(A79="","",IFERROR(VLOOKUP(A79,DB_Customers!$A:$N,14,0),""))</f>
        <v/>
      </c>
      <c r="D79" s="81" t="str">
        <f t="shared" ca="1" si="6"/>
        <v/>
      </c>
      <c r="E79" s="82"/>
      <c r="F79" s="83" t="str">
        <f t="shared" si="7"/>
        <v/>
      </c>
      <c r="G79" s="23"/>
      <c r="H79" s="84"/>
      <c r="I79" s="85" t="str">
        <f>IF(A79="","Pending",IF(H79="","⚠️ Enter Code",IF(IFERROR(VLOOKUP(G79,DB_Agents!$B:$I,8,0),"")=H79,IF(AND(A79&lt;&gt;"",E79&lt;&gt;""),"Saved","Pending"),"🔒 BLOCKED — Wrong Code")))</f>
        <v>Pending</v>
      </c>
      <c r="J79" s="86" t="str">
        <f t="shared" ca="1" si="8"/>
        <v>—</v>
      </c>
      <c r="K79" s="87"/>
    </row>
    <row r="80" spans="1:11" x14ac:dyDescent="0.25">
      <c r="A80" s="88"/>
      <c r="B80" s="25" t="str">
        <f>IF(A80="","",IFERROR(VLOOKUP(A80,DB_Customers!$A:$D,4,0),"❌ Account Not Found"))</f>
        <v/>
      </c>
      <c r="C80" s="89" t="str">
        <f>IF(A80="","",IFERROR(VLOOKUP(A80,DB_Customers!$A:$N,14,0),""))</f>
        <v/>
      </c>
      <c r="D80" s="90" t="str">
        <f t="shared" ca="1" si="6"/>
        <v/>
      </c>
      <c r="E80" s="82"/>
      <c r="F80" s="91" t="str">
        <f t="shared" si="7"/>
        <v/>
      </c>
      <c r="G80" s="27"/>
      <c r="H80" s="84"/>
      <c r="I80" s="92" t="str">
        <f>IF(A80="","Pending",IF(H80="","⚠️ Enter Code",IF(IFERROR(VLOOKUP(G80,DB_Agents!$B:$I,8,0),"")=H80,IF(AND(A80&lt;&gt;"",E80&lt;&gt;""),"Saved","Pending"),"🔒 BLOCKED — Wrong Code")))</f>
        <v>Pending</v>
      </c>
      <c r="J80" s="93" t="str">
        <f t="shared" ca="1" si="8"/>
        <v>—</v>
      </c>
      <c r="K80" s="94"/>
    </row>
    <row r="81" spans="1:11" x14ac:dyDescent="0.25">
      <c r="A81" s="79"/>
      <c r="B81" s="21" t="str">
        <f>IF(A81="","",IFERROR(VLOOKUP(A81,DB_Customers!$A:$D,4,0),"❌ Account Not Found"))</f>
        <v/>
      </c>
      <c r="C81" s="80" t="str">
        <f>IF(A81="","",IFERROR(VLOOKUP(A81,DB_Customers!$A:$N,14,0),""))</f>
        <v/>
      </c>
      <c r="D81" s="81" t="str">
        <f t="shared" ca="1" si="6"/>
        <v/>
      </c>
      <c r="E81" s="82"/>
      <c r="F81" s="83" t="str">
        <f t="shared" si="7"/>
        <v/>
      </c>
      <c r="G81" s="23"/>
      <c r="H81" s="84"/>
      <c r="I81" s="85" t="str">
        <f>IF(A81="","Pending",IF(H81="","⚠️ Enter Code",IF(IFERROR(VLOOKUP(G81,DB_Agents!$B:$I,8,0),"")=H81,IF(AND(A81&lt;&gt;"",E81&lt;&gt;""),"Saved","Pending"),"🔒 BLOCKED — Wrong Code")))</f>
        <v>Pending</v>
      </c>
      <c r="J81" s="86" t="str">
        <f t="shared" ca="1" si="8"/>
        <v>—</v>
      </c>
      <c r="K81" s="87"/>
    </row>
    <row r="82" spans="1:11" x14ac:dyDescent="0.25">
      <c r="A82" s="88"/>
      <c r="B82" s="25" t="str">
        <f>IF(A82="","",IFERROR(VLOOKUP(A82,DB_Customers!$A:$D,4,0),"❌ Account Not Found"))</f>
        <v/>
      </c>
      <c r="C82" s="89" t="str">
        <f>IF(A82="","",IFERROR(VLOOKUP(A82,DB_Customers!$A:$N,14,0),""))</f>
        <v/>
      </c>
      <c r="D82" s="90" t="str">
        <f t="shared" ca="1" si="6"/>
        <v/>
      </c>
      <c r="E82" s="82"/>
      <c r="F82" s="91" t="str">
        <f t="shared" si="7"/>
        <v/>
      </c>
      <c r="G82" s="27"/>
      <c r="H82" s="84"/>
      <c r="I82" s="92" t="str">
        <f>IF(A82="","Pending",IF(H82="","⚠️ Enter Code",IF(IFERROR(VLOOKUP(G82,DB_Agents!$B:$I,8,0),"")=H82,IF(AND(A82&lt;&gt;"",E82&lt;&gt;""),"Saved","Pending"),"🔒 BLOCKED — Wrong Code")))</f>
        <v>Pending</v>
      </c>
      <c r="J82" s="93" t="str">
        <f t="shared" ca="1" si="8"/>
        <v>—</v>
      </c>
      <c r="K82" s="94"/>
    </row>
    <row r="83" spans="1:11" x14ac:dyDescent="0.25">
      <c r="A83" s="79"/>
      <c r="B83" s="21" t="str">
        <f>IF(A83="","",IFERROR(VLOOKUP(A83,DB_Customers!$A:$D,4,0),"❌ Account Not Found"))</f>
        <v/>
      </c>
      <c r="C83" s="80" t="str">
        <f>IF(A83="","",IFERROR(VLOOKUP(A83,DB_Customers!$A:$N,14,0),""))</f>
        <v/>
      </c>
      <c r="D83" s="81" t="str">
        <f t="shared" ca="1" si="6"/>
        <v/>
      </c>
      <c r="E83" s="82"/>
      <c r="F83" s="83" t="str">
        <f t="shared" si="7"/>
        <v/>
      </c>
      <c r="G83" s="23"/>
      <c r="H83" s="84"/>
      <c r="I83" s="85" t="str">
        <f>IF(A83="","Pending",IF(H83="","⚠️ Enter Code",IF(IFERROR(VLOOKUP(G83,DB_Agents!$B:$I,8,0),"")=H83,IF(AND(A83&lt;&gt;"",E83&lt;&gt;""),"Saved","Pending"),"🔒 BLOCKED — Wrong Code")))</f>
        <v>Pending</v>
      </c>
      <c r="J83" s="86" t="str">
        <f t="shared" ca="1" si="8"/>
        <v>—</v>
      </c>
      <c r="K83" s="87"/>
    </row>
    <row r="84" spans="1:11" x14ac:dyDescent="0.25">
      <c r="A84" s="88"/>
      <c r="B84" s="25" t="str">
        <f>IF(A84="","",IFERROR(VLOOKUP(A84,DB_Customers!$A:$D,4,0),"❌ Account Not Found"))</f>
        <v/>
      </c>
      <c r="C84" s="89" t="str">
        <f>IF(A84="","",IFERROR(VLOOKUP(A84,DB_Customers!$A:$N,14,0),""))</f>
        <v/>
      </c>
      <c r="D84" s="90" t="str">
        <f t="shared" ca="1" si="6"/>
        <v/>
      </c>
      <c r="E84" s="82"/>
      <c r="F84" s="91" t="str">
        <f t="shared" si="7"/>
        <v/>
      </c>
      <c r="G84" s="27"/>
      <c r="H84" s="84"/>
      <c r="I84" s="92" t="str">
        <f>IF(A84="","Pending",IF(H84="","⚠️ Enter Code",IF(IFERROR(VLOOKUP(G84,DB_Agents!$B:$I,8,0),"")=H84,IF(AND(A84&lt;&gt;"",E84&lt;&gt;""),"Saved","Pending"),"🔒 BLOCKED — Wrong Code")))</f>
        <v>Pending</v>
      </c>
      <c r="J84" s="93" t="str">
        <f t="shared" ca="1" si="8"/>
        <v>—</v>
      </c>
      <c r="K84" s="94"/>
    </row>
    <row r="85" spans="1:11" x14ac:dyDescent="0.25">
      <c r="A85" s="79"/>
      <c r="B85" s="21" t="str">
        <f>IF(A85="","",IFERROR(VLOOKUP(A85,DB_Customers!$A:$D,4,0),"❌ Account Not Found"))</f>
        <v/>
      </c>
      <c r="C85" s="80" t="str">
        <f>IF(A85="","",IFERROR(VLOOKUP(A85,DB_Customers!$A:$N,14,0),""))</f>
        <v/>
      </c>
      <c r="D85" s="81" t="str">
        <f t="shared" ca="1" si="6"/>
        <v/>
      </c>
      <c r="E85" s="82"/>
      <c r="F85" s="83" t="str">
        <f t="shared" si="7"/>
        <v/>
      </c>
      <c r="G85" s="23"/>
      <c r="H85" s="84"/>
      <c r="I85" s="85" t="str">
        <f>IF(A85="","Pending",IF(H85="","⚠️ Enter Code",IF(IFERROR(VLOOKUP(G85,DB_Agents!$B:$I,8,0),"")=H85,IF(AND(A85&lt;&gt;"",E85&lt;&gt;""),"Saved","Pending"),"🔒 BLOCKED — Wrong Code")))</f>
        <v>Pending</v>
      </c>
      <c r="J85" s="86" t="str">
        <f t="shared" ca="1" si="8"/>
        <v>—</v>
      </c>
      <c r="K85" s="87"/>
    </row>
    <row r="86" spans="1:11" x14ac:dyDescent="0.25">
      <c r="A86" s="88"/>
      <c r="B86" s="25" t="str">
        <f>IF(A86="","",IFERROR(VLOOKUP(A86,DB_Customers!$A:$D,4,0),"❌ Account Not Found"))</f>
        <v/>
      </c>
      <c r="C86" s="89" t="str">
        <f>IF(A86="","",IFERROR(VLOOKUP(A86,DB_Customers!$A:$N,14,0),""))</f>
        <v/>
      </c>
      <c r="D86" s="90" t="str">
        <f t="shared" ca="1" si="6"/>
        <v/>
      </c>
      <c r="E86" s="82"/>
      <c r="F86" s="91" t="str">
        <f t="shared" si="7"/>
        <v/>
      </c>
      <c r="G86" s="27"/>
      <c r="H86" s="84"/>
      <c r="I86" s="92" t="str">
        <f>IF(A86="","Pending",IF(H86="","⚠️ Enter Code",IF(IFERROR(VLOOKUP(G86,DB_Agents!$B:$I,8,0),"")=H86,IF(AND(A86&lt;&gt;"",E86&lt;&gt;""),"Saved","Pending"),"🔒 BLOCKED — Wrong Code")))</f>
        <v>Pending</v>
      </c>
      <c r="J86" s="93" t="str">
        <f t="shared" ca="1" si="8"/>
        <v>—</v>
      </c>
      <c r="K86" s="94"/>
    </row>
    <row r="87" spans="1:11" x14ac:dyDescent="0.25">
      <c r="A87" s="79"/>
      <c r="B87" s="21" t="str">
        <f>IF(A87="","",IFERROR(VLOOKUP(A87,DB_Customers!$A:$D,4,0),"❌ Account Not Found"))</f>
        <v/>
      </c>
      <c r="C87" s="80" t="str">
        <f>IF(A87="","",IFERROR(VLOOKUP(A87,DB_Customers!$A:$N,14,0),""))</f>
        <v/>
      </c>
      <c r="D87" s="81" t="str">
        <f t="shared" ca="1" si="6"/>
        <v/>
      </c>
      <c r="E87" s="82"/>
      <c r="F87" s="83" t="str">
        <f t="shared" si="7"/>
        <v/>
      </c>
      <c r="G87" s="23"/>
      <c r="H87" s="84"/>
      <c r="I87" s="85" t="str">
        <f>IF(A87="","Pending",IF(H87="","⚠️ Enter Code",IF(IFERROR(VLOOKUP(G87,DB_Agents!$B:$I,8,0),"")=H87,IF(AND(A87&lt;&gt;"",E87&lt;&gt;""),"Saved","Pending"),"🔒 BLOCKED — Wrong Code")))</f>
        <v>Pending</v>
      </c>
      <c r="J87" s="86" t="str">
        <f t="shared" ca="1" si="8"/>
        <v>—</v>
      </c>
      <c r="K87" s="87"/>
    </row>
    <row r="88" spans="1:11" x14ac:dyDescent="0.25">
      <c r="A88" s="88"/>
      <c r="B88" s="25" t="str">
        <f>IF(A88="","",IFERROR(VLOOKUP(A88,DB_Customers!$A:$D,4,0),"❌ Account Not Found"))</f>
        <v/>
      </c>
      <c r="C88" s="89" t="str">
        <f>IF(A88="","",IFERROR(VLOOKUP(A88,DB_Customers!$A:$N,14,0),""))</f>
        <v/>
      </c>
      <c r="D88" s="90" t="str">
        <f t="shared" ca="1" si="6"/>
        <v/>
      </c>
      <c r="E88" s="82"/>
      <c r="F88" s="91" t="str">
        <f t="shared" si="7"/>
        <v/>
      </c>
      <c r="G88" s="27"/>
      <c r="H88" s="84"/>
      <c r="I88" s="92" t="str">
        <f>IF(A88="","Pending",IF(H88="","⚠️ Enter Code",IF(IFERROR(VLOOKUP(G88,DB_Agents!$B:$I,8,0),"")=H88,IF(AND(A88&lt;&gt;"",E88&lt;&gt;""),"Saved","Pending"),"🔒 BLOCKED — Wrong Code")))</f>
        <v>Pending</v>
      </c>
      <c r="J88" s="93" t="str">
        <f t="shared" ca="1" si="8"/>
        <v>—</v>
      </c>
      <c r="K88" s="94"/>
    </row>
    <row r="89" spans="1:11" x14ac:dyDescent="0.25">
      <c r="A89" s="79"/>
      <c r="B89" s="21" t="str">
        <f>IF(A89="","",IFERROR(VLOOKUP(A89,DB_Customers!$A:$D,4,0),"❌ Account Not Found"))</f>
        <v/>
      </c>
      <c r="C89" s="80" t="str">
        <f>IF(A89="","",IFERROR(VLOOKUP(A89,DB_Customers!$A:$N,14,0),""))</f>
        <v/>
      </c>
      <c r="D89" s="81" t="str">
        <f t="shared" ca="1" si="6"/>
        <v/>
      </c>
      <c r="E89" s="82"/>
      <c r="F89" s="83" t="str">
        <f t="shared" si="7"/>
        <v/>
      </c>
      <c r="G89" s="23"/>
      <c r="H89" s="84"/>
      <c r="I89" s="85" t="str">
        <f>IF(A89="","Pending",IF(H89="","⚠️ Enter Code",IF(IFERROR(VLOOKUP(G89,DB_Agents!$B:$I,8,0),"")=H89,IF(AND(A89&lt;&gt;"",E89&lt;&gt;""),"Saved","Pending"),"🔒 BLOCKED — Wrong Code")))</f>
        <v>Pending</v>
      </c>
      <c r="J89" s="86" t="str">
        <f t="shared" ca="1" si="8"/>
        <v>—</v>
      </c>
      <c r="K89" s="87"/>
    </row>
    <row r="90" spans="1:11" x14ac:dyDescent="0.25">
      <c r="A90" s="88"/>
      <c r="B90" s="25" t="str">
        <f>IF(A90="","",IFERROR(VLOOKUP(A90,DB_Customers!$A:$D,4,0),"❌ Account Not Found"))</f>
        <v/>
      </c>
      <c r="C90" s="89" t="str">
        <f>IF(A90="","",IFERROR(VLOOKUP(A90,DB_Customers!$A:$N,14,0),""))</f>
        <v/>
      </c>
      <c r="D90" s="90" t="str">
        <f t="shared" ca="1" si="6"/>
        <v/>
      </c>
      <c r="E90" s="82"/>
      <c r="F90" s="91" t="str">
        <f t="shared" si="7"/>
        <v/>
      </c>
      <c r="G90" s="27"/>
      <c r="H90" s="84"/>
      <c r="I90" s="92" t="str">
        <f>IF(A90="","Pending",IF(H90="","⚠️ Enter Code",IF(IFERROR(VLOOKUP(G90,DB_Agents!$B:$I,8,0),"")=H90,IF(AND(A90&lt;&gt;"",E90&lt;&gt;""),"Saved","Pending"),"🔒 BLOCKED — Wrong Code")))</f>
        <v>Pending</v>
      </c>
      <c r="J90" s="93" t="str">
        <f t="shared" ca="1" si="8"/>
        <v>—</v>
      </c>
      <c r="K90" s="94"/>
    </row>
    <row r="91" spans="1:11" x14ac:dyDescent="0.25">
      <c r="A91" s="79"/>
      <c r="B91" s="21" t="str">
        <f>IF(A91="","",IFERROR(VLOOKUP(A91,DB_Customers!$A:$D,4,0),"❌ Account Not Found"))</f>
        <v/>
      </c>
      <c r="C91" s="80" t="str">
        <f>IF(A91="","",IFERROR(VLOOKUP(A91,DB_Customers!$A:$N,14,0),""))</f>
        <v/>
      </c>
      <c r="D91" s="81" t="str">
        <f t="shared" ca="1" si="6"/>
        <v/>
      </c>
      <c r="E91" s="82"/>
      <c r="F91" s="83" t="str">
        <f t="shared" si="7"/>
        <v/>
      </c>
      <c r="G91" s="23"/>
      <c r="H91" s="84"/>
      <c r="I91" s="85" t="str">
        <f>IF(A91="","Pending",IF(H91="","⚠️ Enter Code",IF(IFERROR(VLOOKUP(G91,DB_Agents!$B:$I,8,0),"")=H91,IF(AND(A91&lt;&gt;"",E91&lt;&gt;""),"Saved","Pending"),"🔒 BLOCKED — Wrong Code")))</f>
        <v>Pending</v>
      </c>
      <c r="J91" s="86" t="str">
        <f t="shared" ca="1" si="8"/>
        <v>—</v>
      </c>
      <c r="K91" s="87"/>
    </row>
    <row r="92" spans="1:11" x14ac:dyDescent="0.25">
      <c r="A92" s="88"/>
      <c r="B92" s="25" t="str">
        <f>IF(A92="","",IFERROR(VLOOKUP(A92,DB_Customers!$A:$D,4,0),"❌ Account Not Found"))</f>
        <v/>
      </c>
      <c r="C92" s="89" t="str">
        <f>IF(A92="","",IFERROR(VLOOKUP(A92,DB_Customers!$A:$N,14,0),""))</f>
        <v/>
      </c>
      <c r="D92" s="90" t="str">
        <f t="shared" ca="1" si="6"/>
        <v/>
      </c>
      <c r="E92" s="82"/>
      <c r="F92" s="91" t="str">
        <f t="shared" si="7"/>
        <v/>
      </c>
      <c r="G92" s="27"/>
      <c r="H92" s="84"/>
      <c r="I92" s="92" t="str">
        <f>IF(A92="","Pending",IF(H92="","⚠️ Enter Code",IF(IFERROR(VLOOKUP(G92,DB_Agents!$B:$I,8,0),"")=H92,IF(AND(A92&lt;&gt;"",E92&lt;&gt;""),"Saved","Pending"),"🔒 BLOCKED — Wrong Code")))</f>
        <v>Pending</v>
      </c>
      <c r="J92" s="93" t="str">
        <f t="shared" ca="1" si="8"/>
        <v>—</v>
      </c>
      <c r="K92" s="94"/>
    </row>
    <row r="93" spans="1:11" x14ac:dyDescent="0.25">
      <c r="A93" s="79"/>
      <c r="B93" s="21" t="str">
        <f>IF(A93="","",IFERROR(VLOOKUP(A93,DB_Customers!$A:$D,4,0),"❌ Account Not Found"))</f>
        <v/>
      </c>
      <c r="C93" s="80" t="str">
        <f>IF(A93="","",IFERROR(VLOOKUP(A93,DB_Customers!$A:$N,14,0),""))</f>
        <v/>
      </c>
      <c r="D93" s="81" t="str">
        <f t="shared" ca="1" si="6"/>
        <v/>
      </c>
      <c r="E93" s="82"/>
      <c r="F93" s="83" t="str">
        <f t="shared" si="7"/>
        <v/>
      </c>
      <c r="G93" s="23"/>
      <c r="H93" s="84"/>
      <c r="I93" s="85" t="str">
        <f>IF(A93="","Pending",IF(H93="","⚠️ Enter Code",IF(IFERROR(VLOOKUP(G93,DB_Agents!$B:$I,8,0),"")=H93,IF(AND(A93&lt;&gt;"",E93&lt;&gt;""),"Saved","Pending"),"🔒 BLOCKED — Wrong Code")))</f>
        <v>Pending</v>
      </c>
      <c r="J93" s="86" t="str">
        <f t="shared" ca="1" si="8"/>
        <v>—</v>
      </c>
      <c r="K93" s="87"/>
    </row>
    <row r="94" spans="1:11" x14ac:dyDescent="0.25">
      <c r="A94" s="88"/>
      <c r="B94" s="25" t="str">
        <f>IF(A94="","",IFERROR(VLOOKUP(A94,DB_Customers!$A:$D,4,0),"❌ Account Not Found"))</f>
        <v/>
      </c>
      <c r="C94" s="89" t="str">
        <f>IF(A94="","",IFERROR(VLOOKUP(A94,DB_Customers!$A:$N,14,0),""))</f>
        <v/>
      </c>
      <c r="D94" s="90" t="str">
        <f t="shared" ca="1" si="6"/>
        <v/>
      </c>
      <c r="E94" s="82"/>
      <c r="F94" s="91" t="str">
        <f t="shared" si="7"/>
        <v/>
      </c>
      <c r="G94" s="27"/>
      <c r="H94" s="84"/>
      <c r="I94" s="92" t="str">
        <f>IF(A94="","Pending",IF(H94="","⚠️ Enter Code",IF(IFERROR(VLOOKUP(G94,DB_Agents!$B:$I,8,0),"")=H94,IF(AND(A94&lt;&gt;"",E94&lt;&gt;""),"Saved","Pending"),"🔒 BLOCKED — Wrong Code")))</f>
        <v>Pending</v>
      </c>
      <c r="J94" s="93" t="str">
        <f t="shared" ca="1" si="8"/>
        <v>—</v>
      </c>
      <c r="K94" s="94"/>
    </row>
    <row r="95" spans="1:11" x14ac:dyDescent="0.25">
      <c r="A95" s="79"/>
      <c r="B95" s="21" t="str">
        <f>IF(A95="","",IFERROR(VLOOKUP(A95,DB_Customers!$A:$D,4,0),"❌ Account Not Found"))</f>
        <v/>
      </c>
      <c r="C95" s="80" t="str">
        <f>IF(A95="","",IFERROR(VLOOKUP(A95,DB_Customers!$A:$N,14,0),""))</f>
        <v/>
      </c>
      <c r="D95" s="81" t="str">
        <f t="shared" ca="1" si="6"/>
        <v/>
      </c>
      <c r="E95" s="82"/>
      <c r="F95" s="83" t="str">
        <f t="shared" si="7"/>
        <v/>
      </c>
      <c r="G95" s="23"/>
      <c r="H95" s="84"/>
      <c r="I95" s="85" t="str">
        <f>IF(A95="","Pending",IF(H95="","⚠️ Enter Code",IF(IFERROR(VLOOKUP(G95,DB_Agents!$B:$I,8,0),"")=H95,IF(AND(A95&lt;&gt;"",E95&lt;&gt;""),"Saved","Pending"),"🔒 BLOCKED — Wrong Code")))</f>
        <v>Pending</v>
      </c>
      <c r="J95" s="86" t="str">
        <f t="shared" ca="1" si="8"/>
        <v>—</v>
      </c>
      <c r="K95" s="87"/>
    </row>
    <row r="96" spans="1:11" x14ac:dyDescent="0.25">
      <c r="A96" s="88"/>
      <c r="B96" s="25" t="str">
        <f>IF(A96="","",IFERROR(VLOOKUP(A96,DB_Customers!$A:$D,4,0),"❌ Account Not Found"))</f>
        <v/>
      </c>
      <c r="C96" s="89" t="str">
        <f>IF(A96="","",IFERROR(VLOOKUP(A96,DB_Customers!$A:$N,14,0),""))</f>
        <v/>
      </c>
      <c r="D96" s="90" t="str">
        <f t="shared" ca="1" si="6"/>
        <v/>
      </c>
      <c r="E96" s="82"/>
      <c r="F96" s="91" t="str">
        <f t="shared" si="7"/>
        <v/>
      </c>
      <c r="G96" s="27"/>
      <c r="H96" s="84"/>
      <c r="I96" s="92" t="str">
        <f>IF(A96="","Pending",IF(H96="","⚠️ Enter Code",IF(IFERROR(VLOOKUP(G96,DB_Agents!$B:$I,8,0),"")=H96,IF(AND(A96&lt;&gt;"",E96&lt;&gt;""),"Saved","Pending"),"🔒 BLOCKED — Wrong Code")))</f>
        <v>Pending</v>
      </c>
      <c r="J96" s="93" t="str">
        <f t="shared" ca="1" si="8"/>
        <v>—</v>
      </c>
      <c r="K96" s="94"/>
    </row>
    <row r="97" spans="1:11" x14ac:dyDescent="0.25">
      <c r="A97" s="79"/>
      <c r="B97" s="21" t="str">
        <f>IF(A97="","",IFERROR(VLOOKUP(A97,DB_Customers!$A:$D,4,0),"❌ Account Not Found"))</f>
        <v/>
      </c>
      <c r="C97" s="80" t="str">
        <f>IF(A97="","",IFERROR(VLOOKUP(A97,DB_Customers!$A:$N,14,0),""))</f>
        <v/>
      </c>
      <c r="D97" s="81" t="str">
        <f t="shared" ca="1" si="6"/>
        <v/>
      </c>
      <c r="E97" s="82"/>
      <c r="F97" s="83" t="str">
        <f t="shared" si="7"/>
        <v/>
      </c>
      <c r="G97" s="23"/>
      <c r="H97" s="84"/>
      <c r="I97" s="85" t="str">
        <f>IF(A97="","Pending",IF(H97="","⚠️ Enter Code",IF(IFERROR(VLOOKUP(G97,DB_Agents!$B:$I,8,0),"")=H97,IF(AND(A97&lt;&gt;"",E97&lt;&gt;""),"Saved","Pending"),"🔒 BLOCKED — Wrong Code")))</f>
        <v>Pending</v>
      </c>
      <c r="J97" s="86" t="str">
        <f t="shared" ca="1" si="8"/>
        <v>—</v>
      </c>
      <c r="K97" s="87"/>
    </row>
    <row r="98" spans="1:11" x14ac:dyDescent="0.25">
      <c r="A98" s="88"/>
      <c r="B98" s="25" t="str">
        <f>IF(A98="","",IFERROR(VLOOKUP(A98,DB_Customers!$A:$D,4,0),"❌ Account Not Found"))</f>
        <v/>
      </c>
      <c r="C98" s="89" t="str">
        <f>IF(A98="","",IFERROR(VLOOKUP(A98,DB_Customers!$A:$N,14,0),""))</f>
        <v/>
      </c>
      <c r="D98" s="90" t="str">
        <f t="shared" ca="1" si="6"/>
        <v/>
      </c>
      <c r="E98" s="82"/>
      <c r="F98" s="91" t="str">
        <f t="shared" si="7"/>
        <v/>
      </c>
      <c r="G98" s="27"/>
      <c r="H98" s="84"/>
      <c r="I98" s="92" t="str">
        <f>IF(A98="","Pending",IF(H98="","⚠️ Enter Code",IF(IFERROR(VLOOKUP(G98,DB_Agents!$B:$I,8,0),"")=H98,IF(AND(A98&lt;&gt;"",E98&lt;&gt;""),"Saved","Pending"),"🔒 BLOCKED — Wrong Code")))</f>
        <v>Pending</v>
      </c>
      <c r="J98" s="93" t="str">
        <f t="shared" ca="1" si="8"/>
        <v>—</v>
      </c>
      <c r="K98" s="94"/>
    </row>
    <row r="99" spans="1:11" x14ac:dyDescent="0.25">
      <c r="A99" s="79"/>
      <c r="B99" s="21" t="str">
        <f>IF(A99="","",IFERROR(VLOOKUP(A99,DB_Customers!$A:$D,4,0),"❌ Account Not Found"))</f>
        <v/>
      </c>
      <c r="C99" s="80" t="str">
        <f>IF(A99="","",IFERROR(VLOOKUP(A99,DB_Customers!$A:$N,14,0),""))</f>
        <v/>
      </c>
      <c r="D99" s="81" t="str">
        <f t="shared" ca="1" si="6"/>
        <v/>
      </c>
      <c r="E99" s="82"/>
      <c r="F99" s="83" t="str">
        <f t="shared" si="7"/>
        <v/>
      </c>
      <c r="G99" s="23"/>
      <c r="H99" s="84"/>
      <c r="I99" s="85" t="str">
        <f>IF(A99="","Pending",IF(H99="","⚠️ Enter Code",IF(IFERROR(VLOOKUP(G99,DB_Agents!$B:$I,8,0),"")=H99,IF(AND(A99&lt;&gt;"",E99&lt;&gt;""),"Saved","Pending"),"🔒 BLOCKED — Wrong Code")))</f>
        <v>Pending</v>
      </c>
      <c r="J99" s="86" t="str">
        <f t="shared" ca="1" si="8"/>
        <v>—</v>
      </c>
      <c r="K99" s="87"/>
    </row>
    <row r="100" spans="1:11" x14ac:dyDescent="0.25">
      <c r="A100" s="88"/>
      <c r="B100" s="25" t="str">
        <f>IF(A100="","",IFERROR(VLOOKUP(A100,DB_Customers!$A:$D,4,0),"❌ Account Not Found"))</f>
        <v/>
      </c>
      <c r="C100" s="89" t="str">
        <f>IF(A100="","",IFERROR(VLOOKUP(A100,DB_Customers!$A:$N,14,0),""))</f>
        <v/>
      </c>
      <c r="D100" s="90" t="str">
        <f t="shared" ca="1" si="6"/>
        <v/>
      </c>
      <c r="E100" s="82"/>
      <c r="F100" s="91" t="str">
        <f t="shared" si="7"/>
        <v/>
      </c>
      <c r="G100" s="27"/>
      <c r="H100" s="84"/>
      <c r="I100" s="92" t="str">
        <f>IF(A100="","Pending",IF(H100="","⚠️ Enter Code",IF(IFERROR(VLOOKUP(G100,DB_Agents!$B:$I,8,0),"")=H100,IF(AND(A100&lt;&gt;"",E100&lt;&gt;""),"Saved","Pending"),"🔒 BLOCKED — Wrong Code")))</f>
        <v>Pending</v>
      </c>
      <c r="J100" s="93" t="str">
        <f t="shared" ca="1" si="8"/>
        <v>—</v>
      </c>
      <c r="K100" s="94"/>
    </row>
    <row r="101" spans="1:11" x14ac:dyDescent="0.25">
      <c r="A101" s="79"/>
      <c r="B101" s="21" t="str">
        <f>IF(A101="","",IFERROR(VLOOKUP(A101,DB_Customers!$A:$D,4,0),"❌ Account Not Found"))</f>
        <v/>
      </c>
      <c r="C101" s="80" t="str">
        <f>IF(A101="","",IFERROR(VLOOKUP(A101,DB_Customers!$A:$N,14,0),""))</f>
        <v/>
      </c>
      <c r="D101" s="81" t="str">
        <f t="shared" ca="1" si="6"/>
        <v/>
      </c>
      <c r="E101" s="82"/>
      <c r="F101" s="83" t="str">
        <f t="shared" si="7"/>
        <v/>
      </c>
      <c r="G101" s="23"/>
      <c r="H101" s="84"/>
      <c r="I101" s="85" t="str">
        <f>IF(A101="","Pending",IF(H101="","⚠️ Enter Code",IF(IFERROR(VLOOKUP(G101,DB_Agents!$B:$I,8,0),"")=H101,IF(AND(A101&lt;&gt;"",E101&lt;&gt;""),"Saved","Pending"),"🔒 BLOCKED — Wrong Code")))</f>
        <v>Pending</v>
      </c>
      <c r="J101" s="86" t="str">
        <f t="shared" ca="1" si="8"/>
        <v>—</v>
      </c>
      <c r="K101" s="87"/>
    </row>
    <row r="102" spans="1:11" x14ac:dyDescent="0.25">
      <c r="A102" s="88"/>
      <c r="B102" s="25" t="str">
        <f>IF(A102="","",IFERROR(VLOOKUP(A102,DB_Customers!$A:$D,4,0),"❌ Account Not Found"))</f>
        <v/>
      </c>
      <c r="C102" s="89" t="str">
        <f>IF(A102="","",IFERROR(VLOOKUP(A102,DB_Customers!$A:$N,14,0),""))</f>
        <v/>
      </c>
      <c r="D102" s="90" t="str">
        <f t="shared" ca="1" si="6"/>
        <v/>
      </c>
      <c r="E102" s="82"/>
      <c r="F102" s="91" t="str">
        <f t="shared" si="7"/>
        <v/>
      </c>
      <c r="G102" s="27"/>
      <c r="H102" s="84"/>
      <c r="I102" s="92" t="str">
        <f>IF(A102="","Pending",IF(H102="","⚠️ Enter Code",IF(IFERROR(VLOOKUP(G102,DB_Agents!$B:$I,8,0),"")=H102,IF(AND(A102&lt;&gt;"",E102&lt;&gt;""),"Saved","Pending"),"🔒 BLOCKED — Wrong Code")))</f>
        <v>Pending</v>
      </c>
      <c r="J102" s="93" t="str">
        <f t="shared" ca="1" si="8"/>
        <v>—</v>
      </c>
      <c r="K102" s="94"/>
    </row>
    <row r="103" spans="1:11" x14ac:dyDescent="0.25">
      <c r="A103" s="79"/>
      <c r="B103" s="21" t="str">
        <f>IF(A103="","",IFERROR(VLOOKUP(A103,DB_Customers!$A:$D,4,0),"❌ Account Not Found"))</f>
        <v/>
      </c>
      <c r="C103" s="80" t="str">
        <f>IF(A103="","",IFERROR(VLOOKUP(A103,DB_Customers!$A:$N,14,0),""))</f>
        <v/>
      </c>
      <c r="D103" s="81" t="str">
        <f t="shared" ca="1" si="6"/>
        <v/>
      </c>
      <c r="E103" s="82"/>
      <c r="F103" s="83" t="str">
        <f t="shared" si="7"/>
        <v/>
      </c>
      <c r="G103" s="23"/>
      <c r="H103" s="84"/>
      <c r="I103" s="85" t="str">
        <f>IF(A103="","Pending",IF(H103="","⚠️ Enter Code",IF(IFERROR(VLOOKUP(G103,DB_Agents!$B:$I,8,0),"")=H103,IF(AND(A103&lt;&gt;"",E103&lt;&gt;""),"Saved","Pending"),"🔒 BLOCKED — Wrong Code")))</f>
        <v>Pending</v>
      </c>
      <c r="J103" s="86" t="str">
        <f t="shared" ca="1" si="8"/>
        <v>—</v>
      </c>
      <c r="K103" s="87"/>
    </row>
    <row r="104" spans="1:11" x14ac:dyDescent="0.25">
      <c r="A104" s="88"/>
      <c r="B104" s="25" t="str">
        <f>IF(A104="","",IFERROR(VLOOKUP(A104,DB_Customers!$A:$D,4,0),"❌ Account Not Found"))</f>
        <v/>
      </c>
      <c r="C104" s="89" t="str">
        <f>IF(A104="","",IFERROR(VLOOKUP(A104,DB_Customers!$A:$N,14,0),""))</f>
        <v/>
      </c>
      <c r="D104" s="90" t="str">
        <f t="shared" ca="1" si="6"/>
        <v/>
      </c>
      <c r="E104" s="82"/>
      <c r="F104" s="91" t="str">
        <f t="shared" si="7"/>
        <v/>
      </c>
      <c r="G104" s="27"/>
      <c r="H104" s="84"/>
      <c r="I104" s="92" t="str">
        <f>IF(A104="","Pending",IF(H104="","⚠️ Enter Code",IF(IFERROR(VLOOKUP(G104,DB_Agents!$B:$I,8,0),"")=H104,IF(AND(A104&lt;&gt;"",E104&lt;&gt;""),"Saved","Pending"),"🔒 BLOCKED — Wrong Code")))</f>
        <v>Pending</v>
      </c>
      <c r="J104" s="93" t="str">
        <f t="shared" ca="1" si="8"/>
        <v>—</v>
      </c>
      <c r="K104" s="94"/>
    </row>
    <row r="105" spans="1:11" x14ac:dyDescent="0.25">
      <c r="A105" s="79"/>
      <c r="B105" s="21" t="str">
        <f>IF(A105="","",IFERROR(VLOOKUP(A105,DB_Customers!$A:$D,4,0),"❌ Account Not Found"))</f>
        <v/>
      </c>
      <c r="C105" s="80" t="str">
        <f>IF(A105="","",IFERROR(VLOOKUP(A105,DB_Customers!$A:$N,14,0),""))</f>
        <v/>
      </c>
      <c r="D105" s="81" t="str">
        <f t="shared" ref="D105:D136" ca="1" si="9">IF(A105="","",TODAY())</f>
        <v/>
      </c>
      <c r="E105" s="82"/>
      <c r="F105" s="83" t="str">
        <f t="shared" ref="F105:F136" si="10">IF(OR(A105="",E105=""),"",IF(C105="","",C105+E105))</f>
        <v/>
      </c>
      <c r="G105" s="23"/>
      <c r="H105" s="84"/>
      <c r="I105" s="85" t="str">
        <f>IF(A105="","Pending",IF(H105="","⚠️ Enter Code",IF(IFERROR(VLOOKUP(G105,DB_Agents!$B:$I,8,0),"")=H105,IF(AND(A105&lt;&gt;"",E105&lt;&gt;""),"Saved","Pending"),"🔒 BLOCKED — Wrong Code")))</f>
        <v>Pending</v>
      </c>
      <c r="J105" s="86" t="str">
        <f t="shared" ref="J105:J136" ca="1" si="11">IF(I105="Saved",TEXT(TODAY(),"YYYY-MM-DD")&amp;" Auto","—")</f>
        <v>—</v>
      </c>
      <c r="K105" s="87"/>
    </row>
    <row r="106" spans="1:11" x14ac:dyDescent="0.25">
      <c r="A106" s="88"/>
      <c r="B106" s="25" t="str">
        <f>IF(A106="","",IFERROR(VLOOKUP(A106,DB_Customers!$A:$D,4,0),"❌ Account Not Found"))</f>
        <v/>
      </c>
      <c r="C106" s="89" t="str">
        <f>IF(A106="","",IFERROR(VLOOKUP(A106,DB_Customers!$A:$N,14,0),""))</f>
        <v/>
      </c>
      <c r="D106" s="90" t="str">
        <f t="shared" ca="1" si="9"/>
        <v/>
      </c>
      <c r="E106" s="82"/>
      <c r="F106" s="91" t="str">
        <f t="shared" si="10"/>
        <v/>
      </c>
      <c r="G106" s="27"/>
      <c r="H106" s="84"/>
      <c r="I106" s="92" t="str">
        <f>IF(A106="","Pending",IF(H106="","⚠️ Enter Code",IF(IFERROR(VLOOKUP(G106,DB_Agents!$B:$I,8,0),"")=H106,IF(AND(A106&lt;&gt;"",E106&lt;&gt;""),"Saved","Pending"),"🔒 BLOCKED — Wrong Code")))</f>
        <v>Pending</v>
      </c>
      <c r="J106" s="93" t="str">
        <f t="shared" ca="1" si="11"/>
        <v>—</v>
      </c>
      <c r="K106" s="94"/>
    </row>
    <row r="107" spans="1:11" x14ac:dyDescent="0.25">
      <c r="A107" s="79"/>
      <c r="B107" s="21" t="str">
        <f>IF(A107="","",IFERROR(VLOOKUP(A107,DB_Customers!$A:$D,4,0),"❌ Account Not Found"))</f>
        <v/>
      </c>
      <c r="C107" s="80" t="str">
        <f>IF(A107="","",IFERROR(VLOOKUP(A107,DB_Customers!$A:$N,14,0),""))</f>
        <v/>
      </c>
      <c r="D107" s="81" t="str">
        <f t="shared" ca="1" si="9"/>
        <v/>
      </c>
      <c r="E107" s="82"/>
      <c r="F107" s="83" t="str">
        <f t="shared" si="10"/>
        <v/>
      </c>
      <c r="G107" s="23"/>
      <c r="H107" s="84"/>
      <c r="I107" s="85" t="str">
        <f>IF(A107="","Pending",IF(H107="","⚠️ Enter Code",IF(IFERROR(VLOOKUP(G107,DB_Agents!$B:$I,8,0),"")=H107,IF(AND(A107&lt;&gt;"",E107&lt;&gt;""),"Saved","Pending"),"🔒 BLOCKED — Wrong Code")))</f>
        <v>Pending</v>
      </c>
      <c r="J107" s="86" t="str">
        <f t="shared" ca="1" si="11"/>
        <v>—</v>
      </c>
      <c r="K107" s="87"/>
    </row>
    <row r="108" spans="1:11" x14ac:dyDescent="0.25">
      <c r="A108" s="88"/>
      <c r="B108" s="25" t="str">
        <f>IF(A108="","",IFERROR(VLOOKUP(A108,DB_Customers!$A:$D,4,0),"❌ Account Not Found"))</f>
        <v/>
      </c>
      <c r="C108" s="89" t="str">
        <f>IF(A108="","",IFERROR(VLOOKUP(A108,DB_Customers!$A:$N,14,0),""))</f>
        <v/>
      </c>
      <c r="D108" s="90" t="str">
        <f t="shared" ca="1" si="9"/>
        <v/>
      </c>
      <c r="E108" s="82"/>
      <c r="F108" s="91" t="str">
        <f t="shared" si="10"/>
        <v/>
      </c>
      <c r="G108" s="27"/>
      <c r="H108" s="84"/>
      <c r="I108" s="92" t="str">
        <f>IF(A108="","Pending",IF(H108="","⚠️ Enter Code",IF(IFERROR(VLOOKUP(G108,DB_Agents!$B:$I,8,0),"")=H108,IF(AND(A108&lt;&gt;"",E108&lt;&gt;""),"Saved","Pending"),"🔒 BLOCKED — Wrong Code")))</f>
        <v>Pending</v>
      </c>
      <c r="J108" s="93" t="str">
        <f t="shared" ca="1" si="11"/>
        <v>—</v>
      </c>
      <c r="K108" s="94"/>
    </row>
    <row r="109" spans="1:11" x14ac:dyDescent="0.25">
      <c r="A109" s="79"/>
      <c r="B109" s="21" t="str">
        <f>IF(A109="","",IFERROR(VLOOKUP(A109,DB_Customers!$A:$D,4,0),"❌ Account Not Found"))</f>
        <v/>
      </c>
      <c r="C109" s="80" t="str">
        <f>IF(A109="","",IFERROR(VLOOKUP(A109,DB_Customers!$A:$N,14,0),""))</f>
        <v/>
      </c>
      <c r="D109" s="81" t="str">
        <f t="shared" ca="1" si="9"/>
        <v/>
      </c>
      <c r="E109" s="82"/>
      <c r="F109" s="83" t="str">
        <f t="shared" si="10"/>
        <v/>
      </c>
      <c r="G109" s="23"/>
      <c r="H109" s="84"/>
      <c r="I109" s="85" t="str">
        <f>IF(A109="","Pending",IF(H109="","⚠️ Enter Code",IF(IFERROR(VLOOKUP(G109,DB_Agents!$B:$I,8,0),"")=H109,IF(AND(A109&lt;&gt;"",E109&lt;&gt;""),"Saved","Pending"),"🔒 BLOCKED — Wrong Code")))</f>
        <v>Pending</v>
      </c>
      <c r="J109" s="86" t="str">
        <f t="shared" ca="1" si="11"/>
        <v>—</v>
      </c>
      <c r="K109" s="87"/>
    </row>
    <row r="110" spans="1:11" x14ac:dyDescent="0.25">
      <c r="A110" s="88"/>
      <c r="B110" s="25" t="str">
        <f>IF(A110="","",IFERROR(VLOOKUP(A110,DB_Customers!$A:$D,4,0),"❌ Account Not Found"))</f>
        <v/>
      </c>
      <c r="C110" s="89" t="str">
        <f>IF(A110="","",IFERROR(VLOOKUP(A110,DB_Customers!$A:$N,14,0),""))</f>
        <v/>
      </c>
      <c r="D110" s="90" t="str">
        <f t="shared" ca="1" si="9"/>
        <v/>
      </c>
      <c r="E110" s="82"/>
      <c r="F110" s="91" t="str">
        <f t="shared" si="10"/>
        <v/>
      </c>
      <c r="G110" s="27"/>
      <c r="H110" s="84"/>
      <c r="I110" s="92" t="str">
        <f>IF(A110="","Pending",IF(H110="","⚠️ Enter Code",IF(IFERROR(VLOOKUP(G110,DB_Agents!$B:$I,8,0),"")=H110,IF(AND(A110&lt;&gt;"",E110&lt;&gt;""),"Saved","Pending"),"🔒 BLOCKED — Wrong Code")))</f>
        <v>Pending</v>
      </c>
      <c r="J110" s="93" t="str">
        <f t="shared" ca="1" si="11"/>
        <v>—</v>
      </c>
      <c r="K110" s="94"/>
    </row>
    <row r="111" spans="1:11" x14ac:dyDescent="0.25">
      <c r="A111" s="79"/>
      <c r="B111" s="21" t="str">
        <f>IF(A111="","",IFERROR(VLOOKUP(A111,DB_Customers!$A:$D,4,0),"❌ Account Not Found"))</f>
        <v/>
      </c>
      <c r="C111" s="80" t="str">
        <f>IF(A111="","",IFERROR(VLOOKUP(A111,DB_Customers!$A:$N,14,0),""))</f>
        <v/>
      </c>
      <c r="D111" s="81" t="str">
        <f t="shared" ca="1" si="9"/>
        <v/>
      </c>
      <c r="E111" s="82"/>
      <c r="F111" s="83" t="str">
        <f t="shared" si="10"/>
        <v/>
      </c>
      <c r="G111" s="23"/>
      <c r="H111" s="84"/>
      <c r="I111" s="85" t="str">
        <f>IF(A111="","Pending",IF(H111="","⚠️ Enter Code",IF(IFERROR(VLOOKUP(G111,DB_Agents!$B:$I,8,0),"")=H111,IF(AND(A111&lt;&gt;"",E111&lt;&gt;""),"Saved","Pending"),"🔒 BLOCKED — Wrong Code")))</f>
        <v>Pending</v>
      </c>
      <c r="J111" s="86" t="str">
        <f t="shared" ca="1" si="11"/>
        <v>—</v>
      </c>
      <c r="K111" s="87"/>
    </row>
    <row r="112" spans="1:11" x14ac:dyDescent="0.25">
      <c r="A112" s="88"/>
      <c r="B112" s="25" t="str">
        <f>IF(A112="","",IFERROR(VLOOKUP(A112,DB_Customers!$A:$D,4,0),"❌ Account Not Found"))</f>
        <v/>
      </c>
      <c r="C112" s="89" t="str">
        <f>IF(A112="","",IFERROR(VLOOKUP(A112,DB_Customers!$A:$N,14,0),""))</f>
        <v/>
      </c>
      <c r="D112" s="90" t="str">
        <f t="shared" ca="1" si="9"/>
        <v/>
      </c>
      <c r="E112" s="82"/>
      <c r="F112" s="91" t="str">
        <f t="shared" si="10"/>
        <v/>
      </c>
      <c r="G112" s="27"/>
      <c r="H112" s="84"/>
      <c r="I112" s="92" t="str">
        <f>IF(A112="","Pending",IF(H112="","⚠️ Enter Code",IF(IFERROR(VLOOKUP(G112,DB_Agents!$B:$I,8,0),"")=H112,IF(AND(A112&lt;&gt;"",E112&lt;&gt;""),"Saved","Pending"),"🔒 BLOCKED — Wrong Code")))</f>
        <v>Pending</v>
      </c>
      <c r="J112" s="93" t="str">
        <f t="shared" ca="1" si="11"/>
        <v>—</v>
      </c>
      <c r="K112" s="94"/>
    </row>
    <row r="113" spans="1:11" x14ac:dyDescent="0.25">
      <c r="A113" s="79"/>
      <c r="B113" s="21" t="str">
        <f>IF(A113="","",IFERROR(VLOOKUP(A113,DB_Customers!$A:$D,4,0),"❌ Account Not Found"))</f>
        <v/>
      </c>
      <c r="C113" s="80" t="str">
        <f>IF(A113="","",IFERROR(VLOOKUP(A113,DB_Customers!$A:$N,14,0),""))</f>
        <v/>
      </c>
      <c r="D113" s="81" t="str">
        <f t="shared" ca="1" si="9"/>
        <v/>
      </c>
      <c r="E113" s="82"/>
      <c r="F113" s="83" t="str">
        <f t="shared" si="10"/>
        <v/>
      </c>
      <c r="G113" s="23"/>
      <c r="H113" s="84"/>
      <c r="I113" s="85" t="str">
        <f>IF(A113="","Pending",IF(H113="","⚠️ Enter Code",IF(IFERROR(VLOOKUP(G113,DB_Agents!$B:$I,8,0),"")=H113,IF(AND(A113&lt;&gt;"",E113&lt;&gt;""),"Saved","Pending"),"🔒 BLOCKED — Wrong Code")))</f>
        <v>Pending</v>
      </c>
      <c r="J113" s="86" t="str">
        <f t="shared" ca="1" si="11"/>
        <v>—</v>
      </c>
      <c r="K113" s="87"/>
    </row>
    <row r="114" spans="1:11" x14ac:dyDescent="0.25">
      <c r="A114" s="88"/>
      <c r="B114" s="25" t="str">
        <f>IF(A114="","",IFERROR(VLOOKUP(A114,DB_Customers!$A:$D,4,0),"❌ Account Not Found"))</f>
        <v/>
      </c>
      <c r="C114" s="89" t="str">
        <f>IF(A114="","",IFERROR(VLOOKUP(A114,DB_Customers!$A:$N,14,0),""))</f>
        <v/>
      </c>
      <c r="D114" s="90" t="str">
        <f t="shared" ca="1" si="9"/>
        <v/>
      </c>
      <c r="E114" s="82"/>
      <c r="F114" s="91" t="str">
        <f t="shared" si="10"/>
        <v/>
      </c>
      <c r="G114" s="27"/>
      <c r="H114" s="84"/>
      <c r="I114" s="92" t="str">
        <f>IF(A114="","Pending",IF(H114="","⚠️ Enter Code",IF(IFERROR(VLOOKUP(G114,DB_Agents!$B:$I,8,0),"")=H114,IF(AND(A114&lt;&gt;"",E114&lt;&gt;""),"Saved","Pending"),"🔒 BLOCKED — Wrong Code")))</f>
        <v>Pending</v>
      </c>
      <c r="J114" s="93" t="str">
        <f t="shared" ca="1" si="11"/>
        <v>—</v>
      </c>
      <c r="K114" s="94"/>
    </row>
    <row r="115" spans="1:11" x14ac:dyDescent="0.25">
      <c r="A115" s="79"/>
      <c r="B115" s="21" t="str">
        <f>IF(A115="","",IFERROR(VLOOKUP(A115,DB_Customers!$A:$D,4,0),"❌ Account Not Found"))</f>
        <v/>
      </c>
      <c r="C115" s="80" t="str">
        <f>IF(A115="","",IFERROR(VLOOKUP(A115,DB_Customers!$A:$N,14,0),""))</f>
        <v/>
      </c>
      <c r="D115" s="81" t="str">
        <f t="shared" ca="1" si="9"/>
        <v/>
      </c>
      <c r="E115" s="82"/>
      <c r="F115" s="83" t="str">
        <f t="shared" si="10"/>
        <v/>
      </c>
      <c r="G115" s="23"/>
      <c r="H115" s="84"/>
      <c r="I115" s="85" t="str">
        <f>IF(A115="","Pending",IF(H115="","⚠️ Enter Code",IF(IFERROR(VLOOKUP(G115,DB_Agents!$B:$I,8,0),"")=H115,IF(AND(A115&lt;&gt;"",E115&lt;&gt;""),"Saved","Pending"),"🔒 BLOCKED — Wrong Code")))</f>
        <v>Pending</v>
      </c>
      <c r="J115" s="86" t="str">
        <f t="shared" ca="1" si="11"/>
        <v>—</v>
      </c>
      <c r="K115" s="87"/>
    </row>
    <row r="116" spans="1:11" x14ac:dyDescent="0.25">
      <c r="A116" s="88"/>
      <c r="B116" s="25" t="str">
        <f>IF(A116="","",IFERROR(VLOOKUP(A116,DB_Customers!$A:$D,4,0),"❌ Account Not Found"))</f>
        <v/>
      </c>
      <c r="C116" s="89" t="str">
        <f>IF(A116="","",IFERROR(VLOOKUP(A116,DB_Customers!$A:$N,14,0),""))</f>
        <v/>
      </c>
      <c r="D116" s="90" t="str">
        <f t="shared" ca="1" si="9"/>
        <v/>
      </c>
      <c r="E116" s="82"/>
      <c r="F116" s="91" t="str">
        <f t="shared" si="10"/>
        <v/>
      </c>
      <c r="G116" s="27"/>
      <c r="H116" s="84"/>
      <c r="I116" s="92" t="str">
        <f>IF(A116="","Pending",IF(H116="","⚠️ Enter Code",IF(IFERROR(VLOOKUP(G116,DB_Agents!$B:$I,8,0),"")=H116,IF(AND(A116&lt;&gt;"",E116&lt;&gt;""),"Saved","Pending"),"🔒 BLOCKED — Wrong Code")))</f>
        <v>Pending</v>
      </c>
      <c r="J116" s="93" t="str">
        <f t="shared" ca="1" si="11"/>
        <v>—</v>
      </c>
      <c r="K116" s="94"/>
    </row>
    <row r="117" spans="1:11" x14ac:dyDescent="0.25">
      <c r="A117" s="79"/>
      <c r="B117" s="21" t="str">
        <f>IF(A117="","",IFERROR(VLOOKUP(A117,DB_Customers!$A:$D,4,0),"❌ Account Not Found"))</f>
        <v/>
      </c>
      <c r="C117" s="80" t="str">
        <f>IF(A117="","",IFERROR(VLOOKUP(A117,DB_Customers!$A:$N,14,0),""))</f>
        <v/>
      </c>
      <c r="D117" s="81" t="str">
        <f t="shared" ca="1" si="9"/>
        <v/>
      </c>
      <c r="E117" s="82"/>
      <c r="F117" s="83" t="str">
        <f t="shared" si="10"/>
        <v/>
      </c>
      <c r="G117" s="23"/>
      <c r="H117" s="84"/>
      <c r="I117" s="85" t="str">
        <f>IF(A117="","Pending",IF(H117="","⚠️ Enter Code",IF(IFERROR(VLOOKUP(G117,DB_Agents!$B:$I,8,0),"")=H117,IF(AND(A117&lt;&gt;"",E117&lt;&gt;""),"Saved","Pending"),"🔒 BLOCKED — Wrong Code")))</f>
        <v>Pending</v>
      </c>
      <c r="J117" s="86" t="str">
        <f t="shared" ca="1" si="11"/>
        <v>—</v>
      </c>
      <c r="K117" s="87"/>
    </row>
    <row r="118" spans="1:11" x14ac:dyDescent="0.25">
      <c r="A118" s="88"/>
      <c r="B118" s="25" t="str">
        <f>IF(A118="","",IFERROR(VLOOKUP(A118,DB_Customers!$A:$D,4,0),"❌ Account Not Found"))</f>
        <v/>
      </c>
      <c r="C118" s="89" t="str">
        <f>IF(A118="","",IFERROR(VLOOKUP(A118,DB_Customers!$A:$N,14,0),""))</f>
        <v/>
      </c>
      <c r="D118" s="90" t="str">
        <f t="shared" ca="1" si="9"/>
        <v/>
      </c>
      <c r="E118" s="82"/>
      <c r="F118" s="91" t="str">
        <f t="shared" si="10"/>
        <v/>
      </c>
      <c r="G118" s="27"/>
      <c r="H118" s="84"/>
      <c r="I118" s="92" t="str">
        <f>IF(A118="","Pending",IF(H118="","⚠️ Enter Code",IF(IFERROR(VLOOKUP(G118,DB_Agents!$B:$I,8,0),"")=H118,IF(AND(A118&lt;&gt;"",E118&lt;&gt;""),"Saved","Pending"),"🔒 BLOCKED — Wrong Code")))</f>
        <v>Pending</v>
      </c>
      <c r="J118" s="93" t="str">
        <f t="shared" ca="1" si="11"/>
        <v>—</v>
      </c>
      <c r="K118" s="94"/>
    </row>
    <row r="119" spans="1:11" x14ac:dyDescent="0.25">
      <c r="A119" s="79"/>
      <c r="B119" s="21" t="str">
        <f>IF(A119="","",IFERROR(VLOOKUP(A119,DB_Customers!$A:$D,4,0),"❌ Account Not Found"))</f>
        <v/>
      </c>
      <c r="C119" s="80" t="str">
        <f>IF(A119="","",IFERROR(VLOOKUP(A119,DB_Customers!$A:$N,14,0),""))</f>
        <v/>
      </c>
      <c r="D119" s="81" t="str">
        <f t="shared" ca="1" si="9"/>
        <v/>
      </c>
      <c r="E119" s="82"/>
      <c r="F119" s="83" t="str">
        <f t="shared" si="10"/>
        <v/>
      </c>
      <c r="G119" s="23"/>
      <c r="H119" s="84"/>
      <c r="I119" s="85" t="str">
        <f>IF(A119="","Pending",IF(H119="","⚠️ Enter Code",IF(IFERROR(VLOOKUP(G119,DB_Agents!$B:$I,8,0),"")=H119,IF(AND(A119&lt;&gt;"",E119&lt;&gt;""),"Saved","Pending"),"🔒 BLOCKED — Wrong Code")))</f>
        <v>Pending</v>
      </c>
      <c r="J119" s="86" t="str">
        <f t="shared" ca="1" si="11"/>
        <v>—</v>
      </c>
      <c r="K119" s="87"/>
    </row>
    <row r="120" spans="1:11" x14ac:dyDescent="0.25">
      <c r="A120" s="88"/>
      <c r="B120" s="25" t="str">
        <f>IF(A120="","",IFERROR(VLOOKUP(A120,DB_Customers!$A:$D,4,0),"❌ Account Not Found"))</f>
        <v/>
      </c>
      <c r="C120" s="89" t="str">
        <f>IF(A120="","",IFERROR(VLOOKUP(A120,DB_Customers!$A:$N,14,0),""))</f>
        <v/>
      </c>
      <c r="D120" s="90" t="str">
        <f t="shared" ca="1" si="9"/>
        <v/>
      </c>
      <c r="E120" s="82"/>
      <c r="F120" s="91" t="str">
        <f t="shared" si="10"/>
        <v/>
      </c>
      <c r="G120" s="27"/>
      <c r="H120" s="84"/>
      <c r="I120" s="92" t="str">
        <f>IF(A120="","Pending",IF(H120="","⚠️ Enter Code",IF(IFERROR(VLOOKUP(G120,DB_Agents!$B:$I,8,0),"")=H120,IF(AND(A120&lt;&gt;"",E120&lt;&gt;""),"Saved","Pending"),"🔒 BLOCKED — Wrong Code")))</f>
        <v>Pending</v>
      </c>
      <c r="J120" s="93" t="str">
        <f t="shared" ca="1" si="11"/>
        <v>—</v>
      </c>
      <c r="K120" s="94"/>
    </row>
    <row r="121" spans="1:11" x14ac:dyDescent="0.25">
      <c r="A121" s="79"/>
      <c r="B121" s="21" t="str">
        <f>IF(A121="","",IFERROR(VLOOKUP(A121,DB_Customers!$A:$D,4,0),"❌ Account Not Found"))</f>
        <v/>
      </c>
      <c r="C121" s="80" t="str">
        <f>IF(A121="","",IFERROR(VLOOKUP(A121,DB_Customers!$A:$N,14,0),""))</f>
        <v/>
      </c>
      <c r="D121" s="81" t="str">
        <f t="shared" ca="1" si="9"/>
        <v/>
      </c>
      <c r="E121" s="82"/>
      <c r="F121" s="83" t="str">
        <f t="shared" si="10"/>
        <v/>
      </c>
      <c r="G121" s="23"/>
      <c r="H121" s="84"/>
      <c r="I121" s="85" t="str">
        <f>IF(A121="","Pending",IF(H121="","⚠️ Enter Code",IF(IFERROR(VLOOKUP(G121,DB_Agents!$B:$I,8,0),"")=H121,IF(AND(A121&lt;&gt;"",E121&lt;&gt;""),"Saved","Pending"),"🔒 BLOCKED — Wrong Code")))</f>
        <v>Pending</v>
      </c>
      <c r="J121" s="86" t="str">
        <f t="shared" ca="1" si="11"/>
        <v>—</v>
      </c>
      <c r="K121" s="87"/>
    </row>
    <row r="122" spans="1:11" x14ac:dyDescent="0.25">
      <c r="A122" s="88"/>
      <c r="B122" s="25" t="str">
        <f>IF(A122="","",IFERROR(VLOOKUP(A122,DB_Customers!$A:$D,4,0),"❌ Account Not Found"))</f>
        <v/>
      </c>
      <c r="C122" s="89" t="str">
        <f>IF(A122="","",IFERROR(VLOOKUP(A122,DB_Customers!$A:$N,14,0),""))</f>
        <v/>
      </c>
      <c r="D122" s="90" t="str">
        <f t="shared" ca="1" si="9"/>
        <v/>
      </c>
      <c r="E122" s="82"/>
      <c r="F122" s="91" t="str">
        <f t="shared" si="10"/>
        <v/>
      </c>
      <c r="G122" s="27"/>
      <c r="H122" s="84"/>
      <c r="I122" s="92" t="str">
        <f>IF(A122="","Pending",IF(H122="","⚠️ Enter Code",IF(IFERROR(VLOOKUP(G122,DB_Agents!$B:$I,8,0),"")=H122,IF(AND(A122&lt;&gt;"",E122&lt;&gt;""),"Saved","Pending"),"🔒 BLOCKED — Wrong Code")))</f>
        <v>Pending</v>
      </c>
      <c r="J122" s="93" t="str">
        <f t="shared" ca="1" si="11"/>
        <v>—</v>
      </c>
      <c r="K122" s="94"/>
    </row>
    <row r="123" spans="1:11" x14ac:dyDescent="0.25">
      <c r="A123" s="79"/>
      <c r="B123" s="21" t="str">
        <f>IF(A123="","",IFERROR(VLOOKUP(A123,DB_Customers!$A:$D,4,0),"❌ Account Not Found"))</f>
        <v/>
      </c>
      <c r="C123" s="80" t="str">
        <f>IF(A123="","",IFERROR(VLOOKUP(A123,DB_Customers!$A:$N,14,0),""))</f>
        <v/>
      </c>
      <c r="D123" s="81" t="str">
        <f t="shared" ca="1" si="9"/>
        <v/>
      </c>
      <c r="E123" s="82"/>
      <c r="F123" s="83" t="str">
        <f t="shared" si="10"/>
        <v/>
      </c>
      <c r="G123" s="23"/>
      <c r="H123" s="84"/>
      <c r="I123" s="85" t="str">
        <f>IF(A123="","Pending",IF(H123="","⚠️ Enter Code",IF(IFERROR(VLOOKUP(G123,DB_Agents!$B:$I,8,0),"")=H123,IF(AND(A123&lt;&gt;"",E123&lt;&gt;""),"Saved","Pending"),"🔒 BLOCKED — Wrong Code")))</f>
        <v>Pending</v>
      </c>
      <c r="J123" s="86" t="str">
        <f t="shared" ca="1" si="11"/>
        <v>—</v>
      </c>
      <c r="K123" s="87"/>
    </row>
    <row r="124" spans="1:11" x14ac:dyDescent="0.25">
      <c r="A124" s="88"/>
      <c r="B124" s="25" t="str">
        <f>IF(A124="","",IFERROR(VLOOKUP(A124,DB_Customers!$A:$D,4,0),"❌ Account Not Found"))</f>
        <v/>
      </c>
      <c r="C124" s="89" t="str">
        <f>IF(A124="","",IFERROR(VLOOKUP(A124,DB_Customers!$A:$N,14,0),""))</f>
        <v/>
      </c>
      <c r="D124" s="90" t="str">
        <f t="shared" ca="1" si="9"/>
        <v/>
      </c>
      <c r="E124" s="82"/>
      <c r="F124" s="91" t="str">
        <f t="shared" si="10"/>
        <v/>
      </c>
      <c r="G124" s="27"/>
      <c r="H124" s="84"/>
      <c r="I124" s="92" t="str">
        <f>IF(A124="","Pending",IF(H124="","⚠️ Enter Code",IF(IFERROR(VLOOKUP(G124,DB_Agents!$B:$I,8,0),"")=H124,IF(AND(A124&lt;&gt;"",E124&lt;&gt;""),"Saved","Pending"),"🔒 BLOCKED — Wrong Code")))</f>
        <v>Pending</v>
      </c>
      <c r="J124" s="93" t="str">
        <f t="shared" ca="1" si="11"/>
        <v>—</v>
      </c>
      <c r="K124" s="94"/>
    </row>
    <row r="125" spans="1:11" x14ac:dyDescent="0.25">
      <c r="A125" s="79"/>
      <c r="B125" s="21" t="str">
        <f>IF(A125="","",IFERROR(VLOOKUP(A125,DB_Customers!$A:$D,4,0),"❌ Account Not Found"))</f>
        <v/>
      </c>
      <c r="C125" s="80" t="str">
        <f>IF(A125="","",IFERROR(VLOOKUP(A125,DB_Customers!$A:$N,14,0),""))</f>
        <v/>
      </c>
      <c r="D125" s="81" t="str">
        <f t="shared" ca="1" si="9"/>
        <v/>
      </c>
      <c r="E125" s="82"/>
      <c r="F125" s="83" t="str">
        <f t="shared" si="10"/>
        <v/>
      </c>
      <c r="G125" s="23"/>
      <c r="H125" s="84"/>
      <c r="I125" s="85" t="str">
        <f>IF(A125="","Pending",IF(H125="","⚠️ Enter Code",IF(IFERROR(VLOOKUP(G125,DB_Agents!$B:$I,8,0),"")=H125,IF(AND(A125&lt;&gt;"",E125&lt;&gt;""),"Saved","Pending"),"🔒 BLOCKED — Wrong Code")))</f>
        <v>Pending</v>
      </c>
      <c r="J125" s="86" t="str">
        <f t="shared" ca="1" si="11"/>
        <v>—</v>
      </c>
      <c r="K125" s="87"/>
    </row>
    <row r="126" spans="1:11" x14ac:dyDescent="0.25">
      <c r="A126" s="88"/>
      <c r="B126" s="25" t="str">
        <f>IF(A126="","",IFERROR(VLOOKUP(A126,DB_Customers!$A:$D,4,0),"❌ Account Not Found"))</f>
        <v/>
      </c>
      <c r="C126" s="89" t="str">
        <f>IF(A126="","",IFERROR(VLOOKUP(A126,DB_Customers!$A:$N,14,0),""))</f>
        <v/>
      </c>
      <c r="D126" s="90" t="str">
        <f t="shared" ca="1" si="9"/>
        <v/>
      </c>
      <c r="E126" s="82"/>
      <c r="F126" s="91" t="str">
        <f t="shared" si="10"/>
        <v/>
      </c>
      <c r="G126" s="27"/>
      <c r="H126" s="84"/>
      <c r="I126" s="92" t="str">
        <f>IF(A126="","Pending",IF(H126="","⚠️ Enter Code",IF(IFERROR(VLOOKUP(G126,DB_Agents!$B:$I,8,0),"")=H126,IF(AND(A126&lt;&gt;"",E126&lt;&gt;""),"Saved","Pending"),"🔒 BLOCKED — Wrong Code")))</f>
        <v>Pending</v>
      </c>
      <c r="J126" s="93" t="str">
        <f t="shared" ca="1" si="11"/>
        <v>—</v>
      </c>
      <c r="K126" s="94"/>
    </row>
    <row r="127" spans="1:11" x14ac:dyDescent="0.25">
      <c r="A127" s="79"/>
      <c r="B127" s="21" t="str">
        <f>IF(A127="","",IFERROR(VLOOKUP(A127,DB_Customers!$A:$D,4,0),"❌ Account Not Found"))</f>
        <v/>
      </c>
      <c r="C127" s="80" t="str">
        <f>IF(A127="","",IFERROR(VLOOKUP(A127,DB_Customers!$A:$N,14,0),""))</f>
        <v/>
      </c>
      <c r="D127" s="81" t="str">
        <f t="shared" ca="1" si="9"/>
        <v/>
      </c>
      <c r="E127" s="82"/>
      <c r="F127" s="83" t="str">
        <f t="shared" si="10"/>
        <v/>
      </c>
      <c r="G127" s="23"/>
      <c r="H127" s="84"/>
      <c r="I127" s="85" t="str">
        <f>IF(A127="","Pending",IF(H127="","⚠️ Enter Code",IF(IFERROR(VLOOKUP(G127,DB_Agents!$B:$I,8,0),"")=H127,IF(AND(A127&lt;&gt;"",E127&lt;&gt;""),"Saved","Pending"),"🔒 BLOCKED — Wrong Code")))</f>
        <v>Pending</v>
      </c>
      <c r="J127" s="86" t="str">
        <f t="shared" ca="1" si="11"/>
        <v>—</v>
      </c>
      <c r="K127" s="87"/>
    </row>
    <row r="128" spans="1:11" x14ac:dyDescent="0.25">
      <c r="A128" s="88"/>
      <c r="B128" s="25" t="str">
        <f>IF(A128="","",IFERROR(VLOOKUP(A128,DB_Customers!$A:$D,4,0),"❌ Account Not Found"))</f>
        <v/>
      </c>
      <c r="C128" s="89" t="str">
        <f>IF(A128="","",IFERROR(VLOOKUP(A128,DB_Customers!$A:$N,14,0),""))</f>
        <v/>
      </c>
      <c r="D128" s="90" t="str">
        <f t="shared" ca="1" si="9"/>
        <v/>
      </c>
      <c r="E128" s="82"/>
      <c r="F128" s="91" t="str">
        <f t="shared" si="10"/>
        <v/>
      </c>
      <c r="G128" s="27"/>
      <c r="H128" s="84"/>
      <c r="I128" s="92" t="str">
        <f>IF(A128="","Pending",IF(H128="","⚠️ Enter Code",IF(IFERROR(VLOOKUP(G128,DB_Agents!$B:$I,8,0),"")=H128,IF(AND(A128&lt;&gt;"",E128&lt;&gt;""),"Saved","Pending"),"🔒 BLOCKED — Wrong Code")))</f>
        <v>Pending</v>
      </c>
      <c r="J128" s="93" t="str">
        <f t="shared" ca="1" si="11"/>
        <v>—</v>
      </c>
      <c r="K128" s="94"/>
    </row>
    <row r="129" spans="1:11" x14ac:dyDescent="0.25">
      <c r="A129" s="79"/>
      <c r="B129" s="21" t="str">
        <f>IF(A129="","",IFERROR(VLOOKUP(A129,DB_Customers!$A:$D,4,0),"❌ Account Not Found"))</f>
        <v/>
      </c>
      <c r="C129" s="80" t="str">
        <f>IF(A129="","",IFERROR(VLOOKUP(A129,DB_Customers!$A:$N,14,0),""))</f>
        <v/>
      </c>
      <c r="D129" s="81" t="str">
        <f t="shared" ca="1" si="9"/>
        <v/>
      </c>
      <c r="E129" s="82"/>
      <c r="F129" s="83" t="str">
        <f t="shared" si="10"/>
        <v/>
      </c>
      <c r="G129" s="23"/>
      <c r="H129" s="84"/>
      <c r="I129" s="85" t="str">
        <f>IF(A129="","Pending",IF(H129="","⚠️ Enter Code",IF(IFERROR(VLOOKUP(G129,DB_Agents!$B:$I,8,0),"")=H129,IF(AND(A129&lt;&gt;"",E129&lt;&gt;""),"Saved","Pending"),"🔒 BLOCKED — Wrong Code")))</f>
        <v>Pending</v>
      </c>
      <c r="J129" s="86" t="str">
        <f t="shared" ca="1" si="11"/>
        <v>—</v>
      </c>
      <c r="K129" s="87"/>
    </row>
    <row r="130" spans="1:11" x14ac:dyDescent="0.25">
      <c r="A130" s="88"/>
      <c r="B130" s="25" t="str">
        <f>IF(A130="","",IFERROR(VLOOKUP(A130,DB_Customers!$A:$D,4,0),"❌ Account Not Found"))</f>
        <v/>
      </c>
      <c r="C130" s="89" t="str">
        <f>IF(A130="","",IFERROR(VLOOKUP(A130,DB_Customers!$A:$N,14,0),""))</f>
        <v/>
      </c>
      <c r="D130" s="90" t="str">
        <f t="shared" ca="1" si="9"/>
        <v/>
      </c>
      <c r="E130" s="82"/>
      <c r="F130" s="91" t="str">
        <f t="shared" si="10"/>
        <v/>
      </c>
      <c r="G130" s="27"/>
      <c r="H130" s="84"/>
      <c r="I130" s="92" t="str">
        <f>IF(A130="","Pending",IF(H130="","⚠️ Enter Code",IF(IFERROR(VLOOKUP(G130,DB_Agents!$B:$I,8,0),"")=H130,IF(AND(A130&lt;&gt;"",E130&lt;&gt;""),"Saved","Pending"),"🔒 BLOCKED — Wrong Code")))</f>
        <v>Pending</v>
      </c>
      <c r="J130" s="93" t="str">
        <f t="shared" ca="1" si="11"/>
        <v>—</v>
      </c>
      <c r="K130" s="94"/>
    </row>
    <row r="131" spans="1:11" x14ac:dyDescent="0.25">
      <c r="A131" s="79"/>
      <c r="B131" s="21" t="str">
        <f>IF(A131="","",IFERROR(VLOOKUP(A131,DB_Customers!$A:$D,4,0),"❌ Account Not Found"))</f>
        <v/>
      </c>
      <c r="C131" s="80" t="str">
        <f>IF(A131="","",IFERROR(VLOOKUP(A131,DB_Customers!$A:$N,14,0),""))</f>
        <v/>
      </c>
      <c r="D131" s="81" t="str">
        <f t="shared" ca="1" si="9"/>
        <v/>
      </c>
      <c r="E131" s="82"/>
      <c r="F131" s="83" t="str">
        <f t="shared" si="10"/>
        <v/>
      </c>
      <c r="G131" s="23"/>
      <c r="H131" s="84"/>
      <c r="I131" s="85" t="str">
        <f>IF(A131="","Pending",IF(H131="","⚠️ Enter Code",IF(IFERROR(VLOOKUP(G131,DB_Agents!$B:$I,8,0),"")=H131,IF(AND(A131&lt;&gt;"",E131&lt;&gt;""),"Saved","Pending"),"🔒 BLOCKED — Wrong Code")))</f>
        <v>Pending</v>
      </c>
      <c r="J131" s="86" t="str">
        <f t="shared" ca="1" si="11"/>
        <v>—</v>
      </c>
      <c r="K131" s="87"/>
    </row>
    <row r="132" spans="1:11" x14ac:dyDescent="0.25">
      <c r="A132" s="88"/>
      <c r="B132" s="25" t="str">
        <f>IF(A132="","",IFERROR(VLOOKUP(A132,DB_Customers!$A:$D,4,0),"❌ Account Not Found"))</f>
        <v/>
      </c>
      <c r="C132" s="89" t="str">
        <f>IF(A132="","",IFERROR(VLOOKUP(A132,DB_Customers!$A:$N,14,0),""))</f>
        <v/>
      </c>
      <c r="D132" s="90" t="str">
        <f t="shared" ca="1" si="9"/>
        <v/>
      </c>
      <c r="E132" s="82"/>
      <c r="F132" s="91" t="str">
        <f t="shared" si="10"/>
        <v/>
      </c>
      <c r="G132" s="27"/>
      <c r="H132" s="84"/>
      <c r="I132" s="92" t="str">
        <f>IF(A132="","Pending",IF(H132="","⚠️ Enter Code",IF(IFERROR(VLOOKUP(G132,DB_Agents!$B:$I,8,0),"")=H132,IF(AND(A132&lt;&gt;"",E132&lt;&gt;""),"Saved","Pending"),"🔒 BLOCKED — Wrong Code")))</f>
        <v>Pending</v>
      </c>
      <c r="J132" s="93" t="str">
        <f t="shared" ca="1" si="11"/>
        <v>—</v>
      </c>
      <c r="K132" s="94"/>
    </row>
    <row r="133" spans="1:11" x14ac:dyDescent="0.25">
      <c r="A133" s="79"/>
      <c r="B133" s="21" t="str">
        <f>IF(A133="","",IFERROR(VLOOKUP(A133,DB_Customers!$A:$D,4,0),"❌ Account Not Found"))</f>
        <v/>
      </c>
      <c r="C133" s="80" t="str">
        <f>IF(A133="","",IFERROR(VLOOKUP(A133,DB_Customers!$A:$N,14,0),""))</f>
        <v/>
      </c>
      <c r="D133" s="81" t="str">
        <f t="shared" ca="1" si="9"/>
        <v/>
      </c>
      <c r="E133" s="82"/>
      <c r="F133" s="83" t="str">
        <f t="shared" si="10"/>
        <v/>
      </c>
      <c r="G133" s="23"/>
      <c r="H133" s="84"/>
      <c r="I133" s="85" t="str">
        <f>IF(A133="","Pending",IF(H133="","⚠️ Enter Code",IF(IFERROR(VLOOKUP(G133,DB_Agents!$B:$I,8,0),"")=H133,IF(AND(A133&lt;&gt;"",E133&lt;&gt;""),"Saved","Pending"),"🔒 BLOCKED — Wrong Code")))</f>
        <v>Pending</v>
      </c>
      <c r="J133" s="86" t="str">
        <f t="shared" ca="1" si="11"/>
        <v>—</v>
      </c>
      <c r="K133" s="87"/>
    </row>
    <row r="134" spans="1:11" x14ac:dyDescent="0.25">
      <c r="A134" s="88"/>
      <c r="B134" s="25" t="str">
        <f>IF(A134="","",IFERROR(VLOOKUP(A134,DB_Customers!$A:$D,4,0),"❌ Account Not Found"))</f>
        <v/>
      </c>
      <c r="C134" s="89" t="str">
        <f>IF(A134="","",IFERROR(VLOOKUP(A134,DB_Customers!$A:$N,14,0),""))</f>
        <v/>
      </c>
      <c r="D134" s="90" t="str">
        <f t="shared" ca="1" si="9"/>
        <v/>
      </c>
      <c r="E134" s="82"/>
      <c r="F134" s="91" t="str">
        <f t="shared" si="10"/>
        <v/>
      </c>
      <c r="G134" s="27"/>
      <c r="H134" s="84"/>
      <c r="I134" s="92" t="str">
        <f>IF(A134="","Pending",IF(H134="","⚠️ Enter Code",IF(IFERROR(VLOOKUP(G134,DB_Agents!$B:$I,8,0),"")=H134,IF(AND(A134&lt;&gt;"",E134&lt;&gt;""),"Saved","Pending"),"🔒 BLOCKED — Wrong Code")))</f>
        <v>Pending</v>
      </c>
      <c r="J134" s="93" t="str">
        <f t="shared" ca="1" si="11"/>
        <v>—</v>
      </c>
      <c r="K134" s="94"/>
    </row>
    <row r="135" spans="1:11" x14ac:dyDescent="0.25">
      <c r="A135" s="79"/>
      <c r="B135" s="21" t="str">
        <f>IF(A135="","",IFERROR(VLOOKUP(A135,DB_Customers!$A:$D,4,0),"❌ Account Not Found"))</f>
        <v/>
      </c>
      <c r="C135" s="80" t="str">
        <f>IF(A135="","",IFERROR(VLOOKUP(A135,DB_Customers!$A:$N,14,0),""))</f>
        <v/>
      </c>
      <c r="D135" s="81" t="str">
        <f t="shared" ca="1" si="9"/>
        <v/>
      </c>
      <c r="E135" s="82"/>
      <c r="F135" s="83" t="str">
        <f t="shared" si="10"/>
        <v/>
      </c>
      <c r="G135" s="23"/>
      <c r="H135" s="84"/>
      <c r="I135" s="85" t="str">
        <f>IF(A135="","Pending",IF(H135="","⚠️ Enter Code",IF(IFERROR(VLOOKUP(G135,DB_Agents!$B:$I,8,0),"")=H135,IF(AND(A135&lt;&gt;"",E135&lt;&gt;""),"Saved","Pending"),"🔒 BLOCKED — Wrong Code")))</f>
        <v>Pending</v>
      </c>
      <c r="J135" s="86" t="str">
        <f t="shared" ca="1" si="11"/>
        <v>—</v>
      </c>
      <c r="K135" s="87"/>
    </row>
    <row r="136" spans="1:11" x14ac:dyDescent="0.25">
      <c r="A136" s="88"/>
      <c r="B136" s="25" t="str">
        <f>IF(A136="","",IFERROR(VLOOKUP(A136,DB_Customers!$A:$D,4,0),"❌ Account Not Found"))</f>
        <v/>
      </c>
      <c r="C136" s="89" t="str">
        <f>IF(A136="","",IFERROR(VLOOKUP(A136,DB_Customers!$A:$N,14,0),""))</f>
        <v/>
      </c>
      <c r="D136" s="90" t="str">
        <f t="shared" ca="1" si="9"/>
        <v/>
      </c>
      <c r="E136" s="82"/>
      <c r="F136" s="91" t="str">
        <f t="shared" si="10"/>
        <v/>
      </c>
      <c r="G136" s="27"/>
      <c r="H136" s="84"/>
      <c r="I136" s="92" t="str">
        <f>IF(A136="","Pending",IF(H136="","⚠️ Enter Code",IF(IFERROR(VLOOKUP(G136,DB_Agents!$B:$I,8,0),"")=H136,IF(AND(A136&lt;&gt;"",E136&lt;&gt;""),"Saved","Pending"),"🔒 BLOCKED — Wrong Code")))</f>
        <v>Pending</v>
      </c>
      <c r="J136" s="93" t="str">
        <f t="shared" ca="1" si="11"/>
        <v>—</v>
      </c>
      <c r="K136" s="94"/>
    </row>
    <row r="137" spans="1:11" x14ac:dyDescent="0.25">
      <c r="A137" s="79"/>
      <c r="B137" s="21" t="str">
        <f>IF(A137="","",IFERROR(VLOOKUP(A137,DB_Customers!$A:$D,4,0),"❌ Account Not Found"))</f>
        <v/>
      </c>
      <c r="C137" s="80" t="str">
        <f>IF(A137="","",IFERROR(VLOOKUP(A137,DB_Customers!$A:$N,14,0),""))</f>
        <v/>
      </c>
      <c r="D137" s="81" t="str">
        <f t="shared" ref="D137:D168" ca="1" si="12">IF(A137="","",TODAY())</f>
        <v/>
      </c>
      <c r="E137" s="82"/>
      <c r="F137" s="83" t="str">
        <f t="shared" ref="F137:F168" si="13">IF(OR(A137="",E137=""),"",IF(C137="","",C137+E137))</f>
        <v/>
      </c>
      <c r="G137" s="23"/>
      <c r="H137" s="84"/>
      <c r="I137" s="85" t="str">
        <f>IF(A137="","Pending",IF(H137="","⚠️ Enter Code",IF(IFERROR(VLOOKUP(G137,DB_Agents!$B:$I,8,0),"")=H137,IF(AND(A137&lt;&gt;"",E137&lt;&gt;""),"Saved","Pending"),"🔒 BLOCKED — Wrong Code")))</f>
        <v>Pending</v>
      </c>
      <c r="J137" s="86" t="str">
        <f t="shared" ref="J137:J168" ca="1" si="14">IF(I137="Saved",TEXT(TODAY(),"YYYY-MM-DD")&amp;" Auto","—")</f>
        <v>—</v>
      </c>
      <c r="K137" s="87"/>
    </row>
    <row r="138" spans="1:11" x14ac:dyDescent="0.25">
      <c r="A138" s="88"/>
      <c r="B138" s="25" t="str">
        <f>IF(A138="","",IFERROR(VLOOKUP(A138,DB_Customers!$A:$D,4,0),"❌ Account Not Found"))</f>
        <v/>
      </c>
      <c r="C138" s="89" t="str">
        <f>IF(A138="","",IFERROR(VLOOKUP(A138,DB_Customers!$A:$N,14,0),""))</f>
        <v/>
      </c>
      <c r="D138" s="90" t="str">
        <f t="shared" ca="1" si="12"/>
        <v/>
      </c>
      <c r="E138" s="82"/>
      <c r="F138" s="91" t="str">
        <f t="shared" si="13"/>
        <v/>
      </c>
      <c r="G138" s="27"/>
      <c r="H138" s="84"/>
      <c r="I138" s="92" t="str">
        <f>IF(A138="","Pending",IF(H138="","⚠️ Enter Code",IF(IFERROR(VLOOKUP(G138,DB_Agents!$B:$I,8,0),"")=H138,IF(AND(A138&lt;&gt;"",E138&lt;&gt;""),"Saved","Pending"),"🔒 BLOCKED — Wrong Code")))</f>
        <v>Pending</v>
      </c>
      <c r="J138" s="93" t="str">
        <f t="shared" ca="1" si="14"/>
        <v>—</v>
      </c>
      <c r="K138" s="94"/>
    </row>
    <row r="139" spans="1:11" x14ac:dyDescent="0.25">
      <c r="A139" s="79"/>
      <c r="B139" s="21" t="str">
        <f>IF(A139="","",IFERROR(VLOOKUP(A139,DB_Customers!$A:$D,4,0),"❌ Account Not Found"))</f>
        <v/>
      </c>
      <c r="C139" s="80" t="str">
        <f>IF(A139="","",IFERROR(VLOOKUP(A139,DB_Customers!$A:$N,14,0),""))</f>
        <v/>
      </c>
      <c r="D139" s="81" t="str">
        <f t="shared" ca="1" si="12"/>
        <v/>
      </c>
      <c r="E139" s="82"/>
      <c r="F139" s="83" t="str">
        <f t="shared" si="13"/>
        <v/>
      </c>
      <c r="G139" s="23"/>
      <c r="H139" s="84"/>
      <c r="I139" s="85" t="str">
        <f>IF(A139="","Pending",IF(H139="","⚠️ Enter Code",IF(IFERROR(VLOOKUP(G139,DB_Agents!$B:$I,8,0),"")=H139,IF(AND(A139&lt;&gt;"",E139&lt;&gt;""),"Saved","Pending"),"🔒 BLOCKED — Wrong Code")))</f>
        <v>Pending</v>
      </c>
      <c r="J139" s="86" t="str">
        <f t="shared" ca="1" si="14"/>
        <v>—</v>
      </c>
      <c r="K139" s="87"/>
    </row>
    <row r="140" spans="1:11" x14ac:dyDescent="0.25">
      <c r="A140" s="88"/>
      <c r="B140" s="25" t="str">
        <f>IF(A140="","",IFERROR(VLOOKUP(A140,DB_Customers!$A:$D,4,0),"❌ Account Not Found"))</f>
        <v/>
      </c>
      <c r="C140" s="89" t="str">
        <f>IF(A140="","",IFERROR(VLOOKUP(A140,DB_Customers!$A:$N,14,0),""))</f>
        <v/>
      </c>
      <c r="D140" s="90" t="str">
        <f t="shared" ca="1" si="12"/>
        <v/>
      </c>
      <c r="E140" s="82"/>
      <c r="F140" s="91" t="str">
        <f t="shared" si="13"/>
        <v/>
      </c>
      <c r="G140" s="27"/>
      <c r="H140" s="84"/>
      <c r="I140" s="92" t="str">
        <f>IF(A140="","Pending",IF(H140="","⚠️ Enter Code",IF(IFERROR(VLOOKUP(G140,DB_Agents!$B:$I,8,0),"")=H140,IF(AND(A140&lt;&gt;"",E140&lt;&gt;""),"Saved","Pending"),"🔒 BLOCKED — Wrong Code")))</f>
        <v>Pending</v>
      </c>
      <c r="J140" s="93" t="str">
        <f t="shared" ca="1" si="14"/>
        <v>—</v>
      </c>
      <c r="K140" s="94"/>
    </row>
    <row r="141" spans="1:11" x14ac:dyDescent="0.25">
      <c r="A141" s="79"/>
      <c r="B141" s="21" t="str">
        <f>IF(A141="","",IFERROR(VLOOKUP(A141,DB_Customers!$A:$D,4,0),"❌ Account Not Found"))</f>
        <v/>
      </c>
      <c r="C141" s="80" t="str">
        <f>IF(A141="","",IFERROR(VLOOKUP(A141,DB_Customers!$A:$N,14,0),""))</f>
        <v/>
      </c>
      <c r="D141" s="81" t="str">
        <f t="shared" ca="1" si="12"/>
        <v/>
      </c>
      <c r="E141" s="82"/>
      <c r="F141" s="83" t="str">
        <f t="shared" si="13"/>
        <v/>
      </c>
      <c r="G141" s="23"/>
      <c r="H141" s="84"/>
      <c r="I141" s="85" t="str">
        <f>IF(A141="","Pending",IF(H141="","⚠️ Enter Code",IF(IFERROR(VLOOKUP(G141,DB_Agents!$B:$I,8,0),"")=H141,IF(AND(A141&lt;&gt;"",E141&lt;&gt;""),"Saved","Pending"),"🔒 BLOCKED — Wrong Code")))</f>
        <v>Pending</v>
      </c>
      <c r="J141" s="86" t="str">
        <f t="shared" ca="1" si="14"/>
        <v>—</v>
      </c>
      <c r="K141" s="87"/>
    </row>
    <row r="142" spans="1:11" x14ac:dyDescent="0.25">
      <c r="A142" s="88"/>
      <c r="B142" s="25" t="str">
        <f>IF(A142="","",IFERROR(VLOOKUP(A142,DB_Customers!$A:$D,4,0),"❌ Account Not Found"))</f>
        <v/>
      </c>
      <c r="C142" s="89" t="str">
        <f>IF(A142="","",IFERROR(VLOOKUP(A142,DB_Customers!$A:$N,14,0),""))</f>
        <v/>
      </c>
      <c r="D142" s="90" t="str">
        <f t="shared" ca="1" si="12"/>
        <v/>
      </c>
      <c r="E142" s="82"/>
      <c r="F142" s="91" t="str">
        <f t="shared" si="13"/>
        <v/>
      </c>
      <c r="G142" s="27"/>
      <c r="H142" s="84"/>
      <c r="I142" s="92" t="str">
        <f>IF(A142="","Pending",IF(H142="","⚠️ Enter Code",IF(IFERROR(VLOOKUP(G142,DB_Agents!$B:$I,8,0),"")=H142,IF(AND(A142&lt;&gt;"",E142&lt;&gt;""),"Saved","Pending"),"🔒 BLOCKED — Wrong Code")))</f>
        <v>Pending</v>
      </c>
      <c r="J142" s="93" t="str">
        <f t="shared" ca="1" si="14"/>
        <v>—</v>
      </c>
      <c r="K142" s="94"/>
    </row>
    <row r="143" spans="1:11" x14ac:dyDescent="0.25">
      <c r="A143" s="79"/>
      <c r="B143" s="21" t="str">
        <f>IF(A143="","",IFERROR(VLOOKUP(A143,DB_Customers!$A:$D,4,0),"❌ Account Not Found"))</f>
        <v/>
      </c>
      <c r="C143" s="80" t="str">
        <f>IF(A143="","",IFERROR(VLOOKUP(A143,DB_Customers!$A:$N,14,0),""))</f>
        <v/>
      </c>
      <c r="D143" s="81" t="str">
        <f t="shared" ca="1" si="12"/>
        <v/>
      </c>
      <c r="E143" s="82"/>
      <c r="F143" s="83" t="str">
        <f t="shared" si="13"/>
        <v/>
      </c>
      <c r="G143" s="23"/>
      <c r="H143" s="84"/>
      <c r="I143" s="85" t="str">
        <f>IF(A143="","Pending",IF(H143="","⚠️ Enter Code",IF(IFERROR(VLOOKUP(G143,DB_Agents!$B:$I,8,0),"")=H143,IF(AND(A143&lt;&gt;"",E143&lt;&gt;""),"Saved","Pending"),"🔒 BLOCKED — Wrong Code")))</f>
        <v>Pending</v>
      </c>
      <c r="J143" s="86" t="str">
        <f t="shared" ca="1" si="14"/>
        <v>—</v>
      </c>
      <c r="K143" s="87"/>
    </row>
    <row r="144" spans="1:11" x14ac:dyDescent="0.25">
      <c r="A144" s="88"/>
      <c r="B144" s="25" t="str">
        <f>IF(A144="","",IFERROR(VLOOKUP(A144,DB_Customers!$A:$D,4,0),"❌ Account Not Found"))</f>
        <v/>
      </c>
      <c r="C144" s="89" t="str">
        <f>IF(A144="","",IFERROR(VLOOKUP(A144,DB_Customers!$A:$N,14,0),""))</f>
        <v/>
      </c>
      <c r="D144" s="90" t="str">
        <f t="shared" ca="1" si="12"/>
        <v/>
      </c>
      <c r="E144" s="82"/>
      <c r="F144" s="91" t="str">
        <f t="shared" si="13"/>
        <v/>
      </c>
      <c r="G144" s="27"/>
      <c r="H144" s="84"/>
      <c r="I144" s="92" t="str">
        <f>IF(A144="","Pending",IF(H144="","⚠️ Enter Code",IF(IFERROR(VLOOKUP(G144,DB_Agents!$B:$I,8,0),"")=H144,IF(AND(A144&lt;&gt;"",E144&lt;&gt;""),"Saved","Pending"),"🔒 BLOCKED — Wrong Code")))</f>
        <v>Pending</v>
      </c>
      <c r="J144" s="93" t="str">
        <f t="shared" ca="1" si="14"/>
        <v>—</v>
      </c>
      <c r="K144" s="94"/>
    </row>
    <row r="145" spans="1:11" x14ac:dyDescent="0.25">
      <c r="A145" s="79"/>
      <c r="B145" s="21" t="str">
        <f>IF(A145="","",IFERROR(VLOOKUP(A145,DB_Customers!$A:$D,4,0),"❌ Account Not Found"))</f>
        <v/>
      </c>
      <c r="C145" s="80" t="str">
        <f>IF(A145="","",IFERROR(VLOOKUP(A145,DB_Customers!$A:$N,14,0),""))</f>
        <v/>
      </c>
      <c r="D145" s="81" t="str">
        <f t="shared" ca="1" si="12"/>
        <v/>
      </c>
      <c r="E145" s="82"/>
      <c r="F145" s="83" t="str">
        <f t="shared" si="13"/>
        <v/>
      </c>
      <c r="G145" s="23"/>
      <c r="H145" s="84"/>
      <c r="I145" s="85" t="str">
        <f>IF(A145="","Pending",IF(H145="","⚠️ Enter Code",IF(IFERROR(VLOOKUP(G145,DB_Agents!$B:$I,8,0),"")=H145,IF(AND(A145&lt;&gt;"",E145&lt;&gt;""),"Saved","Pending"),"🔒 BLOCKED — Wrong Code")))</f>
        <v>Pending</v>
      </c>
      <c r="J145" s="86" t="str">
        <f t="shared" ca="1" si="14"/>
        <v>—</v>
      </c>
      <c r="K145" s="87"/>
    </row>
    <row r="146" spans="1:11" x14ac:dyDescent="0.25">
      <c r="A146" s="88"/>
      <c r="B146" s="25" t="str">
        <f>IF(A146="","",IFERROR(VLOOKUP(A146,DB_Customers!$A:$D,4,0),"❌ Account Not Found"))</f>
        <v/>
      </c>
      <c r="C146" s="89" t="str">
        <f>IF(A146="","",IFERROR(VLOOKUP(A146,DB_Customers!$A:$N,14,0),""))</f>
        <v/>
      </c>
      <c r="D146" s="90" t="str">
        <f t="shared" ca="1" si="12"/>
        <v/>
      </c>
      <c r="E146" s="82"/>
      <c r="F146" s="91" t="str">
        <f t="shared" si="13"/>
        <v/>
      </c>
      <c r="G146" s="27"/>
      <c r="H146" s="84"/>
      <c r="I146" s="92" t="str">
        <f>IF(A146="","Pending",IF(H146="","⚠️ Enter Code",IF(IFERROR(VLOOKUP(G146,DB_Agents!$B:$I,8,0),"")=H146,IF(AND(A146&lt;&gt;"",E146&lt;&gt;""),"Saved","Pending"),"🔒 BLOCKED — Wrong Code")))</f>
        <v>Pending</v>
      </c>
      <c r="J146" s="93" t="str">
        <f t="shared" ca="1" si="14"/>
        <v>—</v>
      </c>
      <c r="K146" s="94"/>
    </row>
    <row r="147" spans="1:11" x14ac:dyDescent="0.25">
      <c r="A147" s="79"/>
      <c r="B147" s="21" t="str">
        <f>IF(A147="","",IFERROR(VLOOKUP(A147,DB_Customers!$A:$D,4,0),"❌ Account Not Found"))</f>
        <v/>
      </c>
      <c r="C147" s="80" t="str">
        <f>IF(A147="","",IFERROR(VLOOKUP(A147,DB_Customers!$A:$N,14,0),""))</f>
        <v/>
      </c>
      <c r="D147" s="81" t="str">
        <f t="shared" ca="1" si="12"/>
        <v/>
      </c>
      <c r="E147" s="82"/>
      <c r="F147" s="83" t="str">
        <f t="shared" si="13"/>
        <v/>
      </c>
      <c r="G147" s="23"/>
      <c r="H147" s="84"/>
      <c r="I147" s="85" t="str">
        <f>IF(A147="","Pending",IF(H147="","⚠️ Enter Code",IF(IFERROR(VLOOKUP(G147,DB_Agents!$B:$I,8,0),"")=H147,IF(AND(A147&lt;&gt;"",E147&lt;&gt;""),"Saved","Pending"),"🔒 BLOCKED — Wrong Code")))</f>
        <v>Pending</v>
      </c>
      <c r="J147" s="86" t="str">
        <f t="shared" ca="1" si="14"/>
        <v>—</v>
      </c>
      <c r="K147" s="87"/>
    </row>
    <row r="148" spans="1:11" x14ac:dyDescent="0.25">
      <c r="A148" s="88"/>
      <c r="B148" s="25" t="str">
        <f>IF(A148="","",IFERROR(VLOOKUP(A148,DB_Customers!$A:$D,4,0),"❌ Account Not Found"))</f>
        <v/>
      </c>
      <c r="C148" s="89" t="str">
        <f>IF(A148="","",IFERROR(VLOOKUP(A148,DB_Customers!$A:$N,14,0),""))</f>
        <v/>
      </c>
      <c r="D148" s="90" t="str">
        <f t="shared" ca="1" si="12"/>
        <v/>
      </c>
      <c r="E148" s="82"/>
      <c r="F148" s="91" t="str">
        <f t="shared" si="13"/>
        <v/>
      </c>
      <c r="G148" s="27"/>
      <c r="H148" s="84"/>
      <c r="I148" s="92" t="str">
        <f>IF(A148="","Pending",IF(H148="","⚠️ Enter Code",IF(IFERROR(VLOOKUP(G148,DB_Agents!$B:$I,8,0),"")=H148,IF(AND(A148&lt;&gt;"",E148&lt;&gt;""),"Saved","Pending"),"🔒 BLOCKED — Wrong Code")))</f>
        <v>Pending</v>
      </c>
      <c r="J148" s="93" t="str">
        <f t="shared" ca="1" si="14"/>
        <v>—</v>
      </c>
      <c r="K148" s="94"/>
    </row>
    <row r="149" spans="1:11" x14ac:dyDescent="0.25">
      <c r="A149" s="79"/>
      <c r="B149" s="21" t="str">
        <f>IF(A149="","",IFERROR(VLOOKUP(A149,DB_Customers!$A:$D,4,0),"❌ Account Not Found"))</f>
        <v/>
      </c>
      <c r="C149" s="80" t="str">
        <f>IF(A149="","",IFERROR(VLOOKUP(A149,DB_Customers!$A:$N,14,0),""))</f>
        <v/>
      </c>
      <c r="D149" s="81" t="str">
        <f t="shared" ca="1" si="12"/>
        <v/>
      </c>
      <c r="E149" s="82"/>
      <c r="F149" s="83" t="str">
        <f t="shared" si="13"/>
        <v/>
      </c>
      <c r="G149" s="23"/>
      <c r="H149" s="84"/>
      <c r="I149" s="85" t="str">
        <f>IF(A149="","Pending",IF(H149="","⚠️ Enter Code",IF(IFERROR(VLOOKUP(G149,DB_Agents!$B:$I,8,0),"")=H149,IF(AND(A149&lt;&gt;"",E149&lt;&gt;""),"Saved","Pending"),"🔒 BLOCKED — Wrong Code")))</f>
        <v>Pending</v>
      </c>
      <c r="J149" s="86" t="str">
        <f t="shared" ca="1" si="14"/>
        <v>—</v>
      </c>
      <c r="K149" s="87"/>
    </row>
    <row r="150" spans="1:11" x14ac:dyDescent="0.25">
      <c r="A150" s="88"/>
      <c r="B150" s="25" t="str">
        <f>IF(A150="","",IFERROR(VLOOKUP(A150,DB_Customers!$A:$D,4,0),"❌ Account Not Found"))</f>
        <v/>
      </c>
      <c r="C150" s="89" t="str">
        <f>IF(A150="","",IFERROR(VLOOKUP(A150,DB_Customers!$A:$N,14,0),""))</f>
        <v/>
      </c>
      <c r="D150" s="90" t="str">
        <f t="shared" ca="1" si="12"/>
        <v/>
      </c>
      <c r="E150" s="82"/>
      <c r="F150" s="91" t="str">
        <f t="shared" si="13"/>
        <v/>
      </c>
      <c r="G150" s="27"/>
      <c r="H150" s="84"/>
      <c r="I150" s="92" t="str">
        <f>IF(A150="","Pending",IF(H150="","⚠️ Enter Code",IF(IFERROR(VLOOKUP(G150,DB_Agents!$B:$I,8,0),"")=H150,IF(AND(A150&lt;&gt;"",E150&lt;&gt;""),"Saved","Pending"),"🔒 BLOCKED — Wrong Code")))</f>
        <v>Pending</v>
      </c>
      <c r="J150" s="93" t="str">
        <f t="shared" ca="1" si="14"/>
        <v>—</v>
      </c>
      <c r="K150" s="94"/>
    </row>
    <row r="151" spans="1:11" x14ac:dyDescent="0.25">
      <c r="A151" s="79"/>
      <c r="B151" s="21" t="str">
        <f>IF(A151="","",IFERROR(VLOOKUP(A151,DB_Customers!$A:$D,4,0),"❌ Account Not Found"))</f>
        <v/>
      </c>
      <c r="C151" s="80" t="str">
        <f>IF(A151="","",IFERROR(VLOOKUP(A151,DB_Customers!$A:$N,14,0),""))</f>
        <v/>
      </c>
      <c r="D151" s="81" t="str">
        <f t="shared" ca="1" si="12"/>
        <v/>
      </c>
      <c r="E151" s="82"/>
      <c r="F151" s="83" t="str">
        <f t="shared" si="13"/>
        <v/>
      </c>
      <c r="G151" s="23"/>
      <c r="H151" s="84"/>
      <c r="I151" s="85" t="str">
        <f>IF(A151="","Pending",IF(H151="","⚠️ Enter Code",IF(IFERROR(VLOOKUP(G151,DB_Agents!$B:$I,8,0),"")=H151,IF(AND(A151&lt;&gt;"",E151&lt;&gt;""),"Saved","Pending"),"🔒 BLOCKED — Wrong Code")))</f>
        <v>Pending</v>
      </c>
      <c r="J151" s="86" t="str">
        <f t="shared" ca="1" si="14"/>
        <v>—</v>
      </c>
      <c r="K151" s="87"/>
    </row>
    <row r="152" spans="1:11" x14ac:dyDescent="0.25">
      <c r="A152" s="88"/>
      <c r="B152" s="25" t="str">
        <f>IF(A152="","",IFERROR(VLOOKUP(A152,DB_Customers!$A:$D,4,0),"❌ Account Not Found"))</f>
        <v/>
      </c>
      <c r="C152" s="89" t="str">
        <f>IF(A152="","",IFERROR(VLOOKUP(A152,DB_Customers!$A:$N,14,0),""))</f>
        <v/>
      </c>
      <c r="D152" s="90" t="str">
        <f t="shared" ca="1" si="12"/>
        <v/>
      </c>
      <c r="E152" s="82"/>
      <c r="F152" s="91" t="str">
        <f t="shared" si="13"/>
        <v/>
      </c>
      <c r="G152" s="27"/>
      <c r="H152" s="84"/>
      <c r="I152" s="92" t="str">
        <f>IF(A152="","Pending",IF(H152="","⚠️ Enter Code",IF(IFERROR(VLOOKUP(G152,DB_Agents!$B:$I,8,0),"")=H152,IF(AND(A152&lt;&gt;"",E152&lt;&gt;""),"Saved","Pending"),"🔒 BLOCKED — Wrong Code")))</f>
        <v>Pending</v>
      </c>
      <c r="J152" s="93" t="str">
        <f t="shared" ca="1" si="14"/>
        <v>—</v>
      </c>
      <c r="K152" s="94"/>
    </row>
    <row r="153" spans="1:11" x14ac:dyDescent="0.25">
      <c r="A153" s="79"/>
      <c r="B153" s="21" t="str">
        <f>IF(A153="","",IFERROR(VLOOKUP(A153,DB_Customers!$A:$D,4,0),"❌ Account Not Found"))</f>
        <v/>
      </c>
      <c r="C153" s="80" t="str">
        <f>IF(A153="","",IFERROR(VLOOKUP(A153,DB_Customers!$A:$N,14,0),""))</f>
        <v/>
      </c>
      <c r="D153" s="81" t="str">
        <f t="shared" ca="1" si="12"/>
        <v/>
      </c>
      <c r="E153" s="82"/>
      <c r="F153" s="83" t="str">
        <f t="shared" si="13"/>
        <v/>
      </c>
      <c r="G153" s="23"/>
      <c r="H153" s="84"/>
      <c r="I153" s="85" t="str">
        <f>IF(A153="","Pending",IF(H153="","⚠️ Enter Code",IF(IFERROR(VLOOKUP(G153,DB_Agents!$B:$I,8,0),"")=H153,IF(AND(A153&lt;&gt;"",E153&lt;&gt;""),"Saved","Pending"),"🔒 BLOCKED — Wrong Code")))</f>
        <v>Pending</v>
      </c>
      <c r="J153" s="86" t="str">
        <f t="shared" ca="1" si="14"/>
        <v>—</v>
      </c>
      <c r="K153" s="87"/>
    </row>
    <row r="154" spans="1:11" x14ac:dyDescent="0.25">
      <c r="A154" s="88"/>
      <c r="B154" s="25" t="str">
        <f>IF(A154="","",IFERROR(VLOOKUP(A154,DB_Customers!$A:$D,4,0),"❌ Account Not Found"))</f>
        <v/>
      </c>
      <c r="C154" s="89" t="str">
        <f>IF(A154="","",IFERROR(VLOOKUP(A154,DB_Customers!$A:$N,14,0),""))</f>
        <v/>
      </c>
      <c r="D154" s="90" t="str">
        <f t="shared" ca="1" si="12"/>
        <v/>
      </c>
      <c r="E154" s="82"/>
      <c r="F154" s="91" t="str">
        <f t="shared" si="13"/>
        <v/>
      </c>
      <c r="G154" s="27"/>
      <c r="H154" s="84"/>
      <c r="I154" s="92" t="str">
        <f>IF(A154="","Pending",IF(H154="","⚠️ Enter Code",IF(IFERROR(VLOOKUP(G154,DB_Agents!$B:$I,8,0),"")=H154,IF(AND(A154&lt;&gt;"",E154&lt;&gt;""),"Saved","Pending"),"🔒 BLOCKED — Wrong Code")))</f>
        <v>Pending</v>
      </c>
      <c r="J154" s="93" t="str">
        <f t="shared" ca="1" si="14"/>
        <v>—</v>
      </c>
      <c r="K154" s="94"/>
    </row>
    <row r="155" spans="1:11" x14ac:dyDescent="0.25">
      <c r="A155" s="79"/>
      <c r="B155" s="21" t="str">
        <f>IF(A155="","",IFERROR(VLOOKUP(A155,DB_Customers!$A:$D,4,0),"❌ Account Not Found"))</f>
        <v/>
      </c>
      <c r="C155" s="80" t="str">
        <f>IF(A155="","",IFERROR(VLOOKUP(A155,DB_Customers!$A:$N,14,0),""))</f>
        <v/>
      </c>
      <c r="D155" s="81" t="str">
        <f t="shared" ca="1" si="12"/>
        <v/>
      </c>
      <c r="E155" s="82"/>
      <c r="F155" s="83" t="str">
        <f t="shared" si="13"/>
        <v/>
      </c>
      <c r="G155" s="23"/>
      <c r="H155" s="84"/>
      <c r="I155" s="85" t="str">
        <f>IF(A155="","Pending",IF(H155="","⚠️ Enter Code",IF(IFERROR(VLOOKUP(G155,DB_Agents!$B:$I,8,0),"")=H155,IF(AND(A155&lt;&gt;"",E155&lt;&gt;""),"Saved","Pending"),"🔒 BLOCKED — Wrong Code")))</f>
        <v>Pending</v>
      </c>
      <c r="J155" s="86" t="str">
        <f t="shared" ca="1" si="14"/>
        <v>—</v>
      </c>
      <c r="K155" s="87"/>
    </row>
    <row r="156" spans="1:11" x14ac:dyDescent="0.25">
      <c r="A156" s="88"/>
      <c r="B156" s="25" t="str">
        <f>IF(A156="","",IFERROR(VLOOKUP(A156,DB_Customers!$A:$D,4,0),"❌ Account Not Found"))</f>
        <v/>
      </c>
      <c r="C156" s="89" t="str">
        <f>IF(A156="","",IFERROR(VLOOKUP(A156,DB_Customers!$A:$N,14,0),""))</f>
        <v/>
      </c>
      <c r="D156" s="90" t="str">
        <f t="shared" ca="1" si="12"/>
        <v/>
      </c>
      <c r="E156" s="82"/>
      <c r="F156" s="91" t="str">
        <f t="shared" si="13"/>
        <v/>
      </c>
      <c r="G156" s="27"/>
      <c r="H156" s="84"/>
      <c r="I156" s="92" t="str">
        <f>IF(A156="","Pending",IF(H156="","⚠️ Enter Code",IF(IFERROR(VLOOKUP(G156,DB_Agents!$B:$I,8,0),"")=H156,IF(AND(A156&lt;&gt;"",E156&lt;&gt;""),"Saved","Pending"),"🔒 BLOCKED — Wrong Code")))</f>
        <v>Pending</v>
      </c>
      <c r="J156" s="93" t="str">
        <f t="shared" ca="1" si="14"/>
        <v>—</v>
      </c>
      <c r="K156" s="94"/>
    </row>
    <row r="157" spans="1:11" x14ac:dyDescent="0.25">
      <c r="A157" s="79"/>
      <c r="B157" s="21" t="str">
        <f>IF(A157="","",IFERROR(VLOOKUP(A157,DB_Customers!$A:$D,4,0),"❌ Account Not Found"))</f>
        <v/>
      </c>
      <c r="C157" s="80" t="str">
        <f>IF(A157="","",IFERROR(VLOOKUP(A157,DB_Customers!$A:$N,14,0),""))</f>
        <v/>
      </c>
      <c r="D157" s="81" t="str">
        <f t="shared" ca="1" si="12"/>
        <v/>
      </c>
      <c r="E157" s="82"/>
      <c r="F157" s="83" t="str">
        <f t="shared" si="13"/>
        <v/>
      </c>
      <c r="G157" s="23"/>
      <c r="H157" s="84"/>
      <c r="I157" s="85" t="str">
        <f>IF(A157="","Pending",IF(H157="","⚠️ Enter Code",IF(IFERROR(VLOOKUP(G157,DB_Agents!$B:$I,8,0),"")=H157,IF(AND(A157&lt;&gt;"",E157&lt;&gt;""),"Saved","Pending"),"🔒 BLOCKED — Wrong Code")))</f>
        <v>Pending</v>
      </c>
      <c r="J157" s="86" t="str">
        <f t="shared" ca="1" si="14"/>
        <v>—</v>
      </c>
      <c r="K157" s="87"/>
    </row>
    <row r="158" spans="1:11" x14ac:dyDescent="0.25">
      <c r="A158" s="88"/>
      <c r="B158" s="25" t="str">
        <f>IF(A158="","",IFERROR(VLOOKUP(A158,DB_Customers!$A:$D,4,0),"❌ Account Not Found"))</f>
        <v/>
      </c>
      <c r="C158" s="89" t="str">
        <f>IF(A158="","",IFERROR(VLOOKUP(A158,DB_Customers!$A:$N,14,0),""))</f>
        <v/>
      </c>
      <c r="D158" s="90" t="str">
        <f t="shared" ca="1" si="12"/>
        <v/>
      </c>
      <c r="E158" s="82"/>
      <c r="F158" s="91" t="str">
        <f t="shared" si="13"/>
        <v/>
      </c>
      <c r="G158" s="27"/>
      <c r="H158" s="84"/>
      <c r="I158" s="92" t="str">
        <f>IF(A158="","Pending",IF(H158="","⚠️ Enter Code",IF(IFERROR(VLOOKUP(G158,DB_Agents!$B:$I,8,0),"")=H158,IF(AND(A158&lt;&gt;"",E158&lt;&gt;""),"Saved","Pending"),"🔒 BLOCKED — Wrong Code")))</f>
        <v>Pending</v>
      </c>
      <c r="J158" s="93" t="str">
        <f t="shared" ca="1" si="14"/>
        <v>—</v>
      </c>
      <c r="K158" s="94"/>
    </row>
    <row r="159" spans="1:11" x14ac:dyDescent="0.25">
      <c r="A159" s="79"/>
      <c r="B159" s="21" t="str">
        <f>IF(A159="","",IFERROR(VLOOKUP(A159,DB_Customers!$A:$D,4,0),"❌ Account Not Found"))</f>
        <v/>
      </c>
      <c r="C159" s="80" t="str">
        <f>IF(A159="","",IFERROR(VLOOKUP(A159,DB_Customers!$A:$N,14,0),""))</f>
        <v/>
      </c>
      <c r="D159" s="81" t="str">
        <f t="shared" ca="1" si="12"/>
        <v/>
      </c>
      <c r="E159" s="82"/>
      <c r="F159" s="83" t="str">
        <f t="shared" si="13"/>
        <v/>
      </c>
      <c r="G159" s="23"/>
      <c r="H159" s="84"/>
      <c r="I159" s="85" t="str">
        <f>IF(A159="","Pending",IF(H159="","⚠️ Enter Code",IF(IFERROR(VLOOKUP(G159,DB_Agents!$B:$I,8,0),"")=H159,IF(AND(A159&lt;&gt;"",E159&lt;&gt;""),"Saved","Pending"),"🔒 BLOCKED — Wrong Code")))</f>
        <v>Pending</v>
      </c>
      <c r="J159" s="86" t="str">
        <f t="shared" ca="1" si="14"/>
        <v>—</v>
      </c>
      <c r="K159" s="87"/>
    </row>
    <row r="160" spans="1:11" x14ac:dyDescent="0.25">
      <c r="A160" s="88"/>
      <c r="B160" s="25" t="str">
        <f>IF(A160="","",IFERROR(VLOOKUP(A160,DB_Customers!$A:$D,4,0),"❌ Account Not Found"))</f>
        <v/>
      </c>
      <c r="C160" s="89" t="str">
        <f>IF(A160="","",IFERROR(VLOOKUP(A160,DB_Customers!$A:$N,14,0),""))</f>
        <v/>
      </c>
      <c r="D160" s="90" t="str">
        <f t="shared" ca="1" si="12"/>
        <v/>
      </c>
      <c r="E160" s="82"/>
      <c r="F160" s="91" t="str">
        <f t="shared" si="13"/>
        <v/>
      </c>
      <c r="G160" s="27"/>
      <c r="H160" s="84"/>
      <c r="I160" s="92" t="str">
        <f>IF(A160="","Pending",IF(H160="","⚠️ Enter Code",IF(IFERROR(VLOOKUP(G160,DB_Agents!$B:$I,8,0),"")=H160,IF(AND(A160&lt;&gt;"",E160&lt;&gt;""),"Saved","Pending"),"🔒 BLOCKED — Wrong Code")))</f>
        <v>Pending</v>
      </c>
      <c r="J160" s="93" t="str">
        <f t="shared" ca="1" si="14"/>
        <v>—</v>
      </c>
      <c r="K160" s="94"/>
    </row>
    <row r="161" spans="1:11" x14ac:dyDescent="0.25">
      <c r="A161" s="79"/>
      <c r="B161" s="21" t="str">
        <f>IF(A161="","",IFERROR(VLOOKUP(A161,DB_Customers!$A:$D,4,0),"❌ Account Not Found"))</f>
        <v/>
      </c>
      <c r="C161" s="80" t="str">
        <f>IF(A161="","",IFERROR(VLOOKUP(A161,DB_Customers!$A:$N,14,0),""))</f>
        <v/>
      </c>
      <c r="D161" s="81" t="str">
        <f t="shared" ca="1" si="12"/>
        <v/>
      </c>
      <c r="E161" s="82"/>
      <c r="F161" s="83" t="str">
        <f t="shared" si="13"/>
        <v/>
      </c>
      <c r="G161" s="23"/>
      <c r="H161" s="84"/>
      <c r="I161" s="85" t="str">
        <f>IF(A161="","Pending",IF(H161="","⚠️ Enter Code",IF(IFERROR(VLOOKUP(G161,DB_Agents!$B:$I,8,0),"")=H161,IF(AND(A161&lt;&gt;"",E161&lt;&gt;""),"Saved","Pending"),"🔒 BLOCKED — Wrong Code")))</f>
        <v>Pending</v>
      </c>
      <c r="J161" s="86" t="str">
        <f t="shared" ca="1" si="14"/>
        <v>—</v>
      </c>
      <c r="K161" s="87"/>
    </row>
    <row r="162" spans="1:11" x14ac:dyDescent="0.25">
      <c r="A162" s="88"/>
      <c r="B162" s="25" t="str">
        <f>IF(A162="","",IFERROR(VLOOKUP(A162,DB_Customers!$A:$D,4,0),"❌ Account Not Found"))</f>
        <v/>
      </c>
      <c r="C162" s="89" t="str">
        <f>IF(A162="","",IFERROR(VLOOKUP(A162,DB_Customers!$A:$N,14,0),""))</f>
        <v/>
      </c>
      <c r="D162" s="90" t="str">
        <f t="shared" ca="1" si="12"/>
        <v/>
      </c>
      <c r="E162" s="82"/>
      <c r="F162" s="91" t="str">
        <f t="shared" si="13"/>
        <v/>
      </c>
      <c r="G162" s="27"/>
      <c r="H162" s="84"/>
      <c r="I162" s="92" t="str">
        <f>IF(A162="","Pending",IF(H162="","⚠️ Enter Code",IF(IFERROR(VLOOKUP(G162,DB_Agents!$B:$I,8,0),"")=H162,IF(AND(A162&lt;&gt;"",E162&lt;&gt;""),"Saved","Pending"),"🔒 BLOCKED — Wrong Code")))</f>
        <v>Pending</v>
      </c>
      <c r="J162" s="93" t="str">
        <f t="shared" ca="1" si="14"/>
        <v>—</v>
      </c>
      <c r="K162" s="94"/>
    </row>
    <row r="163" spans="1:11" x14ac:dyDescent="0.25">
      <c r="A163" s="79"/>
      <c r="B163" s="21" t="str">
        <f>IF(A163="","",IFERROR(VLOOKUP(A163,DB_Customers!$A:$D,4,0),"❌ Account Not Found"))</f>
        <v/>
      </c>
      <c r="C163" s="80" t="str">
        <f>IF(A163="","",IFERROR(VLOOKUP(A163,DB_Customers!$A:$N,14,0),""))</f>
        <v/>
      </c>
      <c r="D163" s="81" t="str">
        <f t="shared" ca="1" si="12"/>
        <v/>
      </c>
      <c r="E163" s="82"/>
      <c r="F163" s="83" t="str">
        <f t="shared" si="13"/>
        <v/>
      </c>
      <c r="G163" s="23"/>
      <c r="H163" s="84"/>
      <c r="I163" s="85" t="str">
        <f>IF(A163="","Pending",IF(H163="","⚠️ Enter Code",IF(IFERROR(VLOOKUP(G163,DB_Agents!$B:$I,8,0),"")=H163,IF(AND(A163&lt;&gt;"",E163&lt;&gt;""),"Saved","Pending"),"🔒 BLOCKED — Wrong Code")))</f>
        <v>Pending</v>
      </c>
      <c r="J163" s="86" t="str">
        <f t="shared" ca="1" si="14"/>
        <v>—</v>
      </c>
      <c r="K163" s="87"/>
    </row>
    <row r="164" spans="1:11" x14ac:dyDescent="0.25">
      <c r="A164" s="88"/>
      <c r="B164" s="25" t="str">
        <f>IF(A164="","",IFERROR(VLOOKUP(A164,DB_Customers!$A:$D,4,0),"❌ Account Not Found"))</f>
        <v/>
      </c>
      <c r="C164" s="89" t="str">
        <f>IF(A164="","",IFERROR(VLOOKUP(A164,DB_Customers!$A:$N,14,0),""))</f>
        <v/>
      </c>
      <c r="D164" s="90" t="str">
        <f t="shared" ca="1" si="12"/>
        <v/>
      </c>
      <c r="E164" s="82"/>
      <c r="F164" s="91" t="str">
        <f t="shared" si="13"/>
        <v/>
      </c>
      <c r="G164" s="27"/>
      <c r="H164" s="84"/>
      <c r="I164" s="92" t="str">
        <f>IF(A164="","Pending",IF(H164="","⚠️ Enter Code",IF(IFERROR(VLOOKUP(G164,DB_Agents!$B:$I,8,0),"")=H164,IF(AND(A164&lt;&gt;"",E164&lt;&gt;""),"Saved","Pending"),"🔒 BLOCKED — Wrong Code")))</f>
        <v>Pending</v>
      </c>
      <c r="J164" s="93" t="str">
        <f t="shared" ca="1" si="14"/>
        <v>—</v>
      </c>
      <c r="K164" s="94"/>
    </row>
    <row r="165" spans="1:11" x14ac:dyDescent="0.25">
      <c r="A165" s="79"/>
      <c r="B165" s="21" t="str">
        <f>IF(A165="","",IFERROR(VLOOKUP(A165,DB_Customers!$A:$D,4,0),"❌ Account Not Found"))</f>
        <v/>
      </c>
      <c r="C165" s="80" t="str">
        <f>IF(A165="","",IFERROR(VLOOKUP(A165,DB_Customers!$A:$N,14,0),""))</f>
        <v/>
      </c>
      <c r="D165" s="81" t="str">
        <f t="shared" ca="1" si="12"/>
        <v/>
      </c>
      <c r="E165" s="82"/>
      <c r="F165" s="83" t="str">
        <f t="shared" si="13"/>
        <v/>
      </c>
      <c r="G165" s="23"/>
      <c r="H165" s="84"/>
      <c r="I165" s="85" t="str">
        <f>IF(A165="","Pending",IF(H165="","⚠️ Enter Code",IF(IFERROR(VLOOKUP(G165,DB_Agents!$B:$I,8,0),"")=H165,IF(AND(A165&lt;&gt;"",E165&lt;&gt;""),"Saved","Pending"),"🔒 BLOCKED — Wrong Code")))</f>
        <v>Pending</v>
      </c>
      <c r="J165" s="86" t="str">
        <f t="shared" ca="1" si="14"/>
        <v>—</v>
      </c>
      <c r="K165" s="87"/>
    </row>
    <row r="166" spans="1:11" x14ac:dyDescent="0.25">
      <c r="A166" s="88"/>
      <c r="B166" s="25" t="str">
        <f>IF(A166="","",IFERROR(VLOOKUP(A166,DB_Customers!$A:$D,4,0),"❌ Account Not Found"))</f>
        <v/>
      </c>
      <c r="C166" s="89" t="str">
        <f>IF(A166="","",IFERROR(VLOOKUP(A166,DB_Customers!$A:$N,14,0),""))</f>
        <v/>
      </c>
      <c r="D166" s="90" t="str">
        <f t="shared" ca="1" si="12"/>
        <v/>
      </c>
      <c r="E166" s="82"/>
      <c r="F166" s="91" t="str">
        <f t="shared" si="13"/>
        <v/>
      </c>
      <c r="G166" s="27"/>
      <c r="H166" s="84"/>
      <c r="I166" s="92" t="str">
        <f>IF(A166="","Pending",IF(H166="","⚠️ Enter Code",IF(IFERROR(VLOOKUP(G166,DB_Agents!$B:$I,8,0),"")=H166,IF(AND(A166&lt;&gt;"",E166&lt;&gt;""),"Saved","Pending"),"🔒 BLOCKED — Wrong Code")))</f>
        <v>Pending</v>
      </c>
      <c r="J166" s="93" t="str">
        <f t="shared" ca="1" si="14"/>
        <v>—</v>
      </c>
      <c r="K166" s="94"/>
    </row>
    <row r="167" spans="1:11" x14ac:dyDescent="0.25">
      <c r="A167" s="79"/>
      <c r="B167" s="21" t="str">
        <f>IF(A167="","",IFERROR(VLOOKUP(A167,DB_Customers!$A:$D,4,0),"❌ Account Not Found"))</f>
        <v/>
      </c>
      <c r="C167" s="80" t="str">
        <f>IF(A167="","",IFERROR(VLOOKUP(A167,DB_Customers!$A:$N,14,0),""))</f>
        <v/>
      </c>
      <c r="D167" s="81" t="str">
        <f t="shared" ca="1" si="12"/>
        <v/>
      </c>
      <c r="E167" s="82"/>
      <c r="F167" s="83" t="str">
        <f t="shared" si="13"/>
        <v/>
      </c>
      <c r="G167" s="23"/>
      <c r="H167" s="84"/>
      <c r="I167" s="85" t="str">
        <f>IF(A167="","Pending",IF(H167="","⚠️ Enter Code",IF(IFERROR(VLOOKUP(G167,DB_Agents!$B:$I,8,0),"")=H167,IF(AND(A167&lt;&gt;"",E167&lt;&gt;""),"Saved","Pending"),"🔒 BLOCKED — Wrong Code")))</f>
        <v>Pending</v>
      </c>
      <c r="J167" s="86" t="str">
        <f t="shared" ca="1" si="14"/>
        <v>—</v>
      </c>
      <c r="K167" s="87"/>
    </row>
    <row r="168" spans="1:11" x14ac:dyDescent="0.25">
      <c r="A168" s="88"/>
      <c r="B168" s="25" t="str">
        <f>IF(A168="","",IFERROR(VLOOKUP(A168,DB_Customers!$A:$D,4,0),"❌ Account Not Found"))</f>
        <v/>
      </c>
      <c r="C168" s="89" t="str">
        <f>IF(A168="","",IFERROR(VLOOKUP(A168,DB_Customers!$A:$N,14,0),""))</f>
        <v/>
      </c>
      <c r="D168" s="90" t="str">
        <f t="shared" ca="1" si="12"/>
        <v/>
      </c>
      <c r="E168" s="82"/>
      <c r="F168" s="91" t="str">
        <f t="shared" si="13"/>
        <v/>
      </c>
      <c r="G168" s="27"/>
      <c r="H168" s="84"/>
      <c r="I168" s="92" t="str">
        <f>IF(A168="","Pending",IF(H168="","⚠️ Enter Code",IF(IFERROR(VLOOKUP(G168,DB_Agents!$B:$I,8,0),"")=H168,IF(AND(A168&lt;&gt;"",E168&lt;&gt;""),"Saved","Pending"),"🔒 BLOCKED — Wrong Code")))</f>
        <v>Pending</v>
      </c>
      <c r="J168" s="93" t="str">
        <f t="shared" ca="1" si="14"/>
        <v>—</v>
      </c>
      <c r="K168" s="94"/>
    </row>
    <row r="169" spans="1:11" x14ac:dyDescent="0.25">
      <c r="A169" s="79"/>
      <c r="B169" s="21" t="str">
        <f>IF(A169="","",IFERROR(VLOOKUP(A169,DB_Customers!$A:$D,4,0),"❌ Account Not Found"))</f>
        <v/>
      </c>
      <c r="C169" s="80" t="str">
        <f>IF(A169="","",IFERROR(VLOOKUP(A169,DB_Customers!$A:$N,14,0),""))</f>
        <v/>
      </c>
      <c r="D169" s="81" t="str">
        <f t="shared" ref="D169:D200" ca="1" si="15">IF(A169="","",TODAY())</f>
        <v/>
      </c>
      <c r="E169" s="82"/>
      <c r="F169" s="83" t="str">
        <f t="shared" ref="F169:F200" si="16">IF(OR(A169="",E169=""),"",IF(C169="","",C169+E169))</f>
        <v/>
      </c>
      <c r="G169" s="23"/>
      <c r="H169" s="84"/>
      <c r="I169" s="85" t="str">
        <f>IF(A169="","Pending",IF(H169="","⚠️ Enter Code",IF(IFERROR(VLOOKUP(G169,DB_Agents!$B:$I,8,0),"")=H169,IF(AND(A169&lt;&gt;"",E169&lt;&gt;""),"Saved","Pending"),"🔒 BLOCKED — Wrong Code")))</f>
        <v>Pending</v>
      </c>
      <c r="J169" s="86" t="str">
        <f t="shared" ref="J169:J200" ca="1" si="17">IF(I169="Saved",TEXT(TODAY(),"YYYY-MM-DD")&amp;" Auto","—")</f>
        <v>—</v>
      </c>
      <c r="K169" s="87"/>
    </row>
    <row r="170" spans="1:11" x14ac:dyDescent="0.25">
      <c r="A170" s="88"/>
      <c r="B170" s="25" t="str">
        <f>IF(A170="","",IFERROR(VLOOKUP(A170,DB_Customers!$A:$D,4,0),"❌ Account Not Found"))</f>
        <v/>
      </c>
      <c r="C170" s="89" t="str">
        <f>IF(A170="","",IFERROR(VLOOKUP(A170,DB_Customers!$A:$N,14,0),""))</f>
        <v/>
      </c>
      <c r="D170" s="90" t="str">
        <f t="shared" ca="1" si="15"/>
        <v/>
      </c>
      <c r="E170" s="82"/>
      <c r="F170" s="91" t="str">
        <f t="shared" si="16"/>
        <v/>
      </c>
      <c r="G170" s="27"/>
      <c r="H170" s="84"/>
      <c r="I170" s="92" t="str">
        <f>IF(A170="","Pending",IF(H170="","⚠️ Enter Code",IF(IFERROR(VLOOKUP(G170,DB_Agents!$B:$I,8,0),"")=H170,IF(AND(A170&lt;&gt;"",E170&lt;&gt;""),"Saved","Pending"),"🔒 BLOCKED — Wrong Code")))</f>
        <v>Pending</v>
      </c>
      <c r="J170" s="93" t="str">
        <f t="shared" ca="1" si="17"/>
        <v>—</v>
      </c>
      <c r="K170" s="94"/>
    </row>
    <row r="171" spans="1:11" x14ac:dyDescent="0.25">
      <c r="A171" s="79"/>
      <c r="B171" s="21" t="str">
        <f>IF(A171="","",IFERROR(VLOOKUP(A171,DB_Customers!$A:$D,4,0),"❌ Account Not Found"))</f>
        <v/>
      </c>
      <c r="C171" s="80" t="str">
        <f>IF(A171="","",IFERROR(VLOOKUP(A171,DB_Customers!$A:$N,14,0),""))</f>
        <v/>
      </c>
      <c r="D171" s="81" t="str">
        <f t="shared" ca="1" si="15"/>
        <v/>
      </c>
      <c r="E171" s="82"/>
      <c r="F171" s="83" t="str">
        <f t="shared" si="16"/>
        <v/>
      </c>
      <c r="G171" s="23"/>
      <c r="H171" s="84"/>
      <c r="I171" s="85" t="str">
        <f>IF(A171="","Pending",IF(H171="","⚠️ Enter Code",IF(IFERROR(VLOOKUP(G171,DB_Agents!$B:$I,8,0),"")=H171,IF(AND(A171&lt;&gt;"",E171&lt;&gt;""),"Saved","Pending"),"🔒 BLOCKED — Wrong Code")))</f>
        <v>Pending</v>
      </c>
      <c r="J171" s="86" t="str">
        <f t="shared" ca="1" si="17"/>
        <v>—</v>
      </c>
      <c r="K171" s="87"/>
    </row>
    <row r="172" spans="1:11" x14ac:dyDescent="0.25">
      <c r="A172" s="88"/>
      <c r="B172" s="25" t="str">
        <f>IF(A172="","",IFERROR(VLOOKUP(A172,DB_Customers!$A:$D,4,0),"❌ Account Not Found"))</f>
        <v/>
      </c>
      <c r="C172" s="89" t="str">
        <f>IF(A172="","",IFERROR(VLOOKUP(A172,DB_Customers!$A:$N,14,0),""))</f>
        <v/>
      </c>
      <c r="D172" s="90" t="str">
        <f t="shared" ca="1" si="15"/>
        <v/>
      </c>
      <c r="E172" s="82"/>
      <c r="F172" s="91" t="str">
        <f t="shared" si="16"/>
        <v/>
      </c>
      <c r="G172" s="27"/>
      <c r="H172" s="84"/>
      <c r="I172" s="92" t="str">
        <f>IF(A172="","Pending",IF(H172="","⚠️ Enter Code",IF(IFERROR(VLOOKUP(G172,DB_Agents!$B:$I,8,0),"")=H172,IF(AND(A172&lt;&gt;"",E172&lt;&gt;""),"Saved","Pending"),"🔒 BLOCKED — Wrong Code")))</f>
        <v>Pending</v>
      </c>
      <c r="J172" s="93" t="str">
        <f t="shared" ca="1" si="17"/>
        <v>—</v>
      </c>
      <c r="K172" s="94"/>
    </row>
    <row r="173" spans="1:11" x14ac:dyDescent="0.25">
      <c r="A173" s="79"/>
      <c r="B173" s="21" t="str">
        <f>IF(A173="","",IFERROR(VLOOKUP(A173,DB_Customers!$A:$D,4,0),"❌ Account Not Found"))</f>
        <v/>
      </c>
      <c r="C173" s="80" t="str">
        <f>IF(A173="","",IFERROR(VLOOKUP(A173,DB_Customers!$A:$N,14,0),""))</f>
        <v/>
      </c>
      <c r="D173" s="81" t="str">
        <f t="shared" ca="1" si="15"/>
        <v/>
      </c>
      <c r="E173" s="82"/>
      <c r="F173" s="83" t="str">
        <f t="shared" si="16"/>
        <v/>
      </c>
      <c r="G173" s="23"/>
      <c r="H173" s="84"/>
      <c r="I173" s="85" t="str">
        <f>IF(A173="","Pending",IF(H173="","⚠️ Enter Code",IF(IFERROR(VLOOKUP(G173,DB_Agents!$B:$I,8,0),"")=H173,IF(AND(A173&lt;&gt;"",E173&lt;&gt;""),"Saved","Pending"),"🔒 BLOCKED — Wrong Code")))</f>
        <v>Pending</v>
      </c>
      <c r="J173" s="86" t="str">
        <f t="shared" ca="1" si="17"/>
        <v>—</v>
      </c>
      <c r="K173" s="87"/>
    </row>
    <row r="174" spans="1:11" x14ac:dyDescent="0.25">
      <c r="A174" s="88"/>
      <c r="B174" s="25" t="str">
        <f>IF(A174="","",IFERROR(VLOOKUP(A174,DB_Customers!$A:$D,4,0),"❌ Account Not Found"))</f>
        <v/>
      </c>
      <c r="C174" s="89" t="str">
        <f>IF(A174="","",IFERROR(VLOOKUP(A174,DB_Customers!$A:$N,14,0),""))</f>
        <v/>
      </c>
      <c r="D174" s="90" t="str">
        <f t="shared" ca="1" si="15"/>
        <v/>
      </c>
      <c r="E174" s="82"/>
      <c r="F174" s="91" t="str">
        <f t="shared" si="16"/>
        <v/>
      </c>
      <c r="G174" s="27"/>
      <c r="H174" s="84"/>
      <c r="I174" s="92" t="str">
        <f>IF(A174="","Pending",IF(H174="","⚠️ Enter Code",IF(IFERROR(VLOOKUP(G174,DB_Agents!$B:$I,8,0),"")=H174,IF(AND(A174&lt;&gt;"",E174&lt;&gt;""),"Saved","Pending"),"🔒 BLOCKED — Wrong Code")))</f>
        <v>Pending</v>
      </c>
      <c r="J174" s="93" t="str">
        <f t="shared" ca="1" si="17"/>
        <v>—</v>
      </c>
      <c r="K174" s="94"/>
    </row>
    <row r="175" spans="1:11" x14ac:dyDescent="0.25">
      <c r="A175" s="79"/>
      <c r="B175" s="21" t="str">
        <f>IF(A175="","",IFERROR(VLOOKUP(A175,DB_Customers!$A:$D,4,0),"❌ Account Not Found"))</f>
        <v/>
      </c>
      <c r="C175" s="80" t="str">
        <f>IF(A175="","",IFERROR(VLOOKUP(A175,DB_Customers!$A:$N,14,0),""))</f>
        <v/>
      </c>
      <c r="D175" s="81" t="str">
        <f t="shared" ca="1" si="15"/>
        <v/>
      </c>
      <c r="E175" s="82"/>
      <c r="F175" s="83" t="str">
        <f t="shared" si="16"/>
        <v/>
      </c>
      <c r="G175" s="23"/>
      <c r="H175" s="84"/>
      <c r="I175" s="85" t="str">
        <f>IF(A175="","Pending",IF(H175="","⚠️ Enter Code",IF(IFERROR(VLOOKUP(G175,DB_Agents!$B:$I,8,0),"")=H175,IF(AND(A175&lt;&gt;"",E175&lt;&gt;""),"Saved","Pending"),"🔒 BLOCKED — Wrong Code")))</f>
        <v>Pending</v>
      </c>
      <c r="J175" s="86" t="str">
        <f t="shared" ca="1" si="17"/>
        <v>—</v>
      </c>
      <c r="K175" s="87"/>
    </row>
    <row r="176" spans="1:11" x14ac:dyDescent="0.25">
      <c r="A176" s="88"/>
      <c r="B176" s="25" t="str">
        <f>IF(A176="","",IFERROR(VLOOKUP(A176,DB_Customers!$A:$D,4,0),"❌ Account Not Found"))</f>
        <v/>
      </c>
      <c r="C176" s="89" t="str">
        <f>IF(A176="","",IFERROR(VLOOKUP(A176,DB_Customers!$A:$N,14,0),""))</f>
        <v/>
      </c>
      <c r="D176" s="90" t="str">
        <f t="shared" ca="1" si="15"/>
        <v/>
      </c>
      <c r="E176" s="82"/>
      <c r="F176" s="91" t="str">
        <f t="shared" si="16"/>
        <v/>
      </c>
      <c r="G176" s="27"/>
      <c r="H176" s="84"/>
      <c r="I176" s="92" t="str">
        <f>IF(A176="","Pending",IF(H176="","⚠️ Enter Code",IF(IFERROR(VLOOKUP(G176,DB_Agents!$B:$I,8,0),"")=H176,IF(AND(A176&lt;&gt;"",E176&lt;&gt;""),"Saved","Pending"),"🔒 BLOCKED — Wrong Code")))</f>
        <v>Pending</v>
      </c>
      <c r="J176" s="93" t="str">
        <f t="shared" ca="1" si="17"/>
        <v>—</v>
      </c>
      <c r="K176" s="94"/>
    </row>
    <row r="177" spans="1:11" x14ac:dyDescent="0.25">
      <c r="A177" s="79"/>
      <c r="B177" s="21" t="str">
        <f>IF(A177="","",IFERROR(VLOOKUP(A177,DB_Customers!$A:$D,4,0),"❌ Account Not Found"))</f>
        <v/>
      </c>
      <c r="C177" s="80" t="str">
        <f>IF(A177="","",IFERROR(VLOOKUP(A177,DB_Customers!$A:$N,14,0),""))</f>
        <v/>
      </c>
      <c r="D177" s="81" t="str">
        <f t="shared" ca="1" si="15"/>
        <v/>
      </c>
      <c r="E177" s="82"/>
      <c r="F177" s="83" t="str">
        <f t="shared" si="16"/>
        <v/>
      </c>
      <c r="G177" s="23"/>
      <c r="H177" s="84"/>
      <c r="I177" s="85" t="str">
        <f>IF(A177="","Pending",IF(H177="","⚠️ Enter Code",IF(IFERROR(VLOOKUP(G177,DB_Agents!$B:$I,8,0),"")=H177,IF(AND(A177&lt;&gt;"",E177&lt;&gt;""),"Saved","Pending"),"🔒 BLOCKED — Wrong Code")))</f>
        <v>Pending</v>
      </c>
      <c r="J177" s="86" t="str">
        <f t="shared" ca="1" si="17"/>
        <v>—</v>
      </c>
      <c r="K177" s="87"/>
    </row>
    <row r="178" spans="1:11" x14ac:dyDescent="0.25">
      <c r="A178" s="88"/>
      <c r="B178" s="25" t="str">
        <f>IF(A178="","",IFERROR(VLOOKUP(A178,DB_Customers!$A:$D,4,0),"❌ Account Not Found"))</f>
        <v/>
      </c>
      <c r="C178" s="89" t="str">
        <f>IF(A178="","",IFERROR(VLOOKUP(A178,DB_Customers!$A:$N,14,0),""))</f>
        <v/>
      </c>
      <c r="D178" s="90" t="str">
        <f t="shared" ca="1" si="15"/>
        <v/>
      </c>
      <c r="E178" s="82"/>
      <c r="F178" s="91" t="str">
        <f t="shared" si="16"/>
        <v/>
      </c>
      <c r="G178" s="27"/>
      <c r="H178" s="84"/>
      <c r="I178" s="92" t="str">
        <f>IF(A178="","Pending",IF(H178="","⚠️ Enter Code",IF(IFERROR(VLOOKUP(G178,DB_Agents!$B:$I,8,0),"")=H178,IF(AND(A178&lt;&gt;"",E178&lt;&gt;""),"Saved","Pending"),"🔒 BLOCKED — Wrong Code")))</f>
        <v>Pending</v>
      </c>
      <c r="J178" s="93" t="str">
        <f t="shared" ca="1" si="17"/>
        <v>—</v>
      </c>
      <c r="K178" s="94"/>
    </row>
    <row r="179" spans="1:11" x14ac:dyDescent="0.25">
      <c r="A179" s="79"/>
      <c r="B179" s="21" t="str">
        <f>IF(A179="","",IFERROR(VLOOKUP(A179,DB_Customers!$A:$D,4,0),"❌ Account Not Found"))</f>
        <v/>
      </c>
      <c r="C179" s="80" t="str">
        <f>IF(A179="","",IFERROR(VLOOKUP(A179,DB_Customers!$A:$N,14,0),""))</f>
        <v/>
      </c>
      <c r="D179" s="81" t="str">
        <f t="shared" ca="1" si="15"/>
        <v/>
      </c>
      <c r="E179" s="82"/>
      <c r="F179" s="83" t="str">
        <f t="shared" si="16"/>
        <v/>
      </c>
      <c r="G179" s="23"/>
      <c r="H179" s="84"/>
      <c r="I179" s="85" t="str">
        <f>IF(A179="","Pending",IF(H179="","⚠️ Enter Code",IF(IFERROR(VLOOKUP(G179,DB_Agents!$B:$I,8,0),"")=H179,IF(AND(A179&lt;&gt;"",E179&lt;&gt;""),"Saved","Pending"),"🔒 BLOCKED — Wrong Code")))</f>
        <v>Pending</v>
      </c>
      <c r="J179" s="86" t="str">
        <f t="shared" ca="1" si="17"/>
        <v>—</v>
      </c>
      <c r="K179" s="87"/>
    </row>
    <row r="180" spans="1:11" x14ac:dyDescent="0.25">
      <c r="A180" s="88"/>
      <c r="B180" s="25" t="str">
        <f>IF(A180="","",IFERROR(VLOOKUP(A180,DB_Customers!$A:$D,4,0),"❌ Account Not Found"))</f>
        <v/>
      </c>
      <c r="C180" s="89" t="str">
        <f>IF(A180="","",IFERROR(VLOOKUP(A180,DB_Customers!$A:$N,14,0),""))</f>
        <v/>
      </c>
      <c r="D180" s="90" t="str">
        <f t="shared" ca="1" si="15"/>
        <v/>
      </c>
      <c r="E180" s="82"/>
      <c r="F180" s="91" t="str">
        <f t="shared" si="16"/>
        <v/>
      </c>
      <c r="G180" s="27"/>
      <c r="H180" s="84"/>
      <c r="I180" s="92" t="str">
        <f>IF(A180="","Pending",IF(H180="","⚠️ Enter Code",IF(IFERROR(VLOOKUP(G180,DB_Agents!$B:$I,8,0),"")=H180,IF(AND(A180&lt;&gt;"",E180&lt;&gt;""),"Saved","Pending"),"🔒 BLOCKED — Wrong Code")))</f>
        <v>Pending</v>
      </c>
      <c r="J180" s="93" t="str">
        <f t="shared" ca="1" si="17"/>
        <v>—</v>
      </c>
      <c r="K180" s="94"/>
    </row>
    <row r="181" spans="1:11" x14ac:dyDescent="0.25">
      <c r="A181" s="79"/>
      <c r="B181" s="21" t="str">
        <f>IF(A181="","",IFERROR(VLOOKUP(A181,DB_Customers!$A:$D,4,0),"❌ Account Not Found"))</f>
        <v/>
      </c>
      <c r="C181" s="80" t="str">
        <f>IF(A181="","",IFERROR(VLOOKUP(A181,DB_Customers!$A:$N,14,0),""))</f>
        <v/>
      </c>
      <c r="D181" s="81" t="str">
        <f t="shared" ca="1" si="15"/>
        <v/>
      </c>
      <c r="E181" s="82"/>
      <c r="F181" s="83" t="str">
        <f t="shared" si="16"/>
        <v/>
      </c>
      <c r="G181" s="23"/>
      <c r="H181" s="84"/>
      <c r="I181" s="85" t="str">
        <f>IF(A181="","Pending",IF(H181="","⚠️ Enter Code",IF(IFERROR(VLOOKUP(G181,DB_Agents!$B:$I,8,0),"")=H181,IF(AND(A181&lt;&gt;"",E181&lt;&gt;""),"Saved","Pending"),"🔒 BLOCKED — Wrong Code")))</f>
        <v>Pending</v>
      </c>
      <c r="J181" s="86" t="str">
        <f t="shared" ca="1" si="17"/>
        <v>—</v>
      </c>
      <c r="K181" s="87"/>
    </row>
    <row r="182" spans="1:11" x14ac:dyDescent="0.25">
      <c r="A182" s="88"/>
      <c r="B182" s="25" t="str">
        <f>IF(A182="","",IFERROR(VLOOKUP(A182,DB_Customers!$A:$D,4,0),"❌ Account Not Found"))</f>
        <v/>
      </c>
      <c r="C182" s="89" t="str">
        <f>IF(A182="","",IFERROR(VLOOKUP(A182,DB_Customers!$A:$N,14,0),""))</f>
        <v/>
      </c>
      <c r="D182" s="90" t="str">
        <f t="shared" ca="1" si="15"/>
        <v/>
      </c>
      <c r="E182" s="82"/>
      <c r="F182" s="91" t="str">
        <f t="shared" si="16"/>
        <v/>
      </c>
      <c r="G182" s="27"/>
      <c r="H182" s="84"/>
      <c r="I182" s="92" t="str">
        <f>IF(A182="","Pending",IF(H182="","⚠️ Enter Code",IF(IFERROR(VLOOKUP(G182,DB_Agents!$B:$I,8,0),"")=H182,IF(AND(A182&lt;&gt;"",E182&lt;&gt;""),"Saved","Pending"),"🔒 BLOCKED — Wrong Code")))</f>
        <v>Pending</v>
      </c>
      <c r="J182" s="93" t="str">
        <f t="shared" ca="1" si="17"/>
        <v>—</v>
      </c>
      <c r="K182" s="94"/>
    </row>
    <row r="183" spans="1:11" x14ac:dyDescent="0.25">
      <c r="A183" s="79"/>
      <c r="B183" s="21" t="str">
        <f>IF(A183="","",IFERROR(VLOOKUP(A183,DB_Customers!$A:$D,4,0),"❌ Account Not Found"))</f>
        <v/>
      </c>
      <c r="C183" s="80" t="str">
        <f>IF(A183="","",IFERROR(VLOOKUP(A183,DB_Customers!$A:$N,14,0),""))</f>
        <v/>
      </c>
      <c r="D183" s="81" t="str">
        <f t="shared" ca="1" si="15"/>
        <v/>
      </c>
      <c r="E183" s="82"/>
      <c r="F183" s="83" t="str">
        <f t="shared" si="16"/>
        <v/>
      </c>
      <c r="G183" s="23"/>
      <c r="H183" s="84"/>
      <c r="I183" s="85" t="str">
        <f>IF(A183="","Pending",IF(H183="","⚠️ Enter Code",IF(IFERROR(VLOOKUP(G183,DB_Agents!$B:$I,8,0),"")=H183,IF(AND(A183&lt;&gt;"",E183&lt;&gt;""),"Saved","Pending"),"🔒 BLOCKED — Wrong Code")))</f>
        <v>Pending</v>
      </c>
      <c r="J183" s="86" t="str">
        <f t="shared" ca="1" si="17"/>
        <v>—</v>
      </c>
      <c r="K183" s="87"/>
    </row>
    <row r="184" spans="1:11" x14ac:dyDescent="0.25">
      <c r="A184" s="88"/>
      <c r="B184" s="25" t="str">
        <f>IF(A184="","",IFERROR(VLOOKUP(A184,DB_Customers!$A:$D,4,0),"❌ Account Not Found"))</f>
        <v/>
      </c>
      <c r="C184" s="89" t="str">
        <f>IF(A184="","",IFERROR(VLOOKUP(A184,DB_Customers!$A:$N,14,0),""))</f>
        <v/>
      </c>
      <c r="D184" s="90" t="str">
        <f t="shared" ca="1" si="15"/>
        <v/>
      </c>
      <c r="E184" s="82"/>
      <c r="F184" s="91" t="str">
        <f t="shared" si="16"/>
        <v/>
      </c>
      <c r="G184" s="27"/>
      <c r="H184" s="84"/>
      <c r="I184" s="92" t="str">
        <f>IF(A184="","Pending",IF(H184="","⚠️ Enter Code",IF(IFERROR(VLOOKUP(G184,DB_Agents!$B:$I,8,0),"")=H184,IF(AND(A184&lt;&gt;"",E184&lt;&gt;""),"Saved","Pending"),"🔒 BLOCKED — Wrong Code")))</f>
        <v>Pending</v>
      </c>
      <c r="J184" s="93" t="str">
        <f t="shared" ca="1" si="17"/>
        <v>—</v>
      </c>
      <c r="K184" s="94"/>
    </row>
    <row r="185" spans="1:11" x14ac:dyDescent="0.25">
      <c r="A185" s="79"/>
      <c r="B185" s="21" t="str">
        <f>IF(A185="","",IFERROR(VLOOKUP(A185,DB_Customers!$A:$D,4,0),"❌ Account Not Found"))</f>
        <v/>
      </c>
      <c r="C185" s="80" t="str">
        <f>IF(A185="","",IFERROR(VLOOKUP(A185,DB_Customers!$A:$N,14,0),""))</f>
        <v/>
      </c>
      <c r="D185" s="81" t="str">
        <f t="shared" ca="1" si="15"/>
        <v/>
      </c>
      <c r="E185" s="82"/>
      <c r="F185" s="83" t="str">
        <f t="shared" si="16"/>
        <v/>
      </c>
      <c r="G185" s="23"/>
      <c r="H185" s="84"/>
      <c r="I185" s="85" t="str">
        <f>IF(A185="","Pending",IF(H185="","⚠️ Enter Code",IF(IFERROR(VLOOKUP(G185,DB_Agents!$B:$I,8,0),"")=H185,IF(AND(A185&lt;&gt;"",E185&lt;&gt;""),"Saved","Pending"),"🔒 BLOCKED — Wrong Code")))</f>
        <v>Pending</v>
      </c>
      <c r="J185" s="86" t="str">
        <f t="shared" ca="1" si="17"/>
        <v>—</v>
      </c>
      <c r="K185" s="87"/>
    </row>
    <row r="186" spans="1:11" x14ac:dyDescent="0.25">
      <c r="A186" s="88"/>
      <c r="B186" s="25" t="str">
        <f>IF(A186="","",IFERROR(VLOOKUP(A186,DB_Customers!$A:$D,4,0),"❌ Account Not Found"))</f>
        <v/>
      </c>
      <c r="C186" s="89" t="str">
        <f>IF(A186="","",IFERROR(VLOOKUP(A186,DB_Customers!$A:$N,14,0),""))</f>
        <v/>
      </c>
      <c r="D186" s="90" t="str">
        <f t="shared" ca="1" si="15"/>
        <v/>
      </c>
      <c r="E186" s="82"/>
      <c r="F186" s="91" t="str">
        <f t="shared" si="16"/>
        <v/>
      </c>
      <c r="G186" s="27"/>
      <c r="H186" s="84"/>
      <c r="I186" s="92" t="str">
        <f>IF(A186="","Pending",IF(H186="","⚠️ Enter Code",IF(IFERROR(VLOOKUP(G186,DB_Agents!$B:$I,8,0),"")=H186,IF(AND(A186&lt;&gt;"",E186&lt;&gt;""),"Saved","Pending"),"🔒 BLOCKED — Wrong Code")))</f>
        <v>Pending</v>
      </c>
      <c r="J186" s="93" t="str">
        <f t="shared" ca="1" si="17"/>
        <v>—</v>
      </c>
      <c r="K186" s="94"/>
    </row>
    <row r="187" spans="1:11" x14ac:dyDescent="0.25">
      <c r="A187" s="79"/>
      <c r="B187" s="21" t="str">
        <f>IF(A187="","",IFERROR(VLOOKUP(A187,DB_Customers!$A:$D,4,0),"❌ Account Not Found"))</f>
        <v/>
      </c>
      <c r="C187" s="80" t="str">
        <f>IF(A187="","",IFERROR(VLOOKUP(A187,DB_Customers!$A:$N,14,0),""))</f>
        <v/>
      </c>
      <c r="D187" s="81" t="str">
        <f t="shared" ca="1" si="15"/>
        <v/>
      </c>
      <c r="E187" s="82"/>
      <c r="F187" s="83" t="str">
        <f t="shared" si="16"/>
        <v/>
      </c>
      <c r="G187" s="23"/>
      <c r="H187" s="84"/>
      <c r="I187" s="85" t="str">
        <f>IF(A187="","Pending",IF(H187="","⚠️ Enter Code",IF(IFERROR(VLOOKUP(G187,DB_Agents!$B:$I,8,0),"")=H187,IF(AND(A187&lt;&gt;"",E187&lt;&gt;""),"Saved","Pending"),"🔒 BLOCKED — Wrong Code")))</f>
        <v>Pending</v>
      </c>
      <c r="J187" s="86" t="str">
        <f t="shared" ca="1" si="17"/>
        <v>—</v>
      </c>
      <c r="K187" s="87"/>
    </row>
    <row r="188" spans="1:11" x14ac:dyDescent="0.25">
      <c r="A188" s="88"/>
      <c r="B188" s="25" t="str">
        <f>IF(A188="","",IFERROR(VLOOKUP(A188,DB_Customers!$A:$D,4,0),"❌ Account Not Found"))</f>
        <v/>
      </c>
      <c r="C188" s="89" t="str">
        <f>IF(A188="","",IFERROR(VLOOKUP(A188,DB_Customers!$A:$N,14,0),""))</f>
        <v/>
      </c>
      <c r="D188" s="90" t="str">
        <f t="shared" ca="1" si="15"/>
        <v/>
      </c>
      <c r="E188" s="82"/>
      <c r="F188" s="91" t="str">
        <f t="shared" si="16"/>
        <v/>
      </c>
      <c r="G188" s="27"/>
      <c r="H188" s="84"/>
      <c r="I188" s="92" t="str">
        <f>IF(A188="","Pending",IF(H188="","⚠️ Enter Code",IF(IFERROR(VLOOKUP(G188,DB_Agents!$B:$I,8,0),"")=H188,IF(AND(A188&lt;&gt;"",E188&lt;&gt;""),"Saved","Pending"),"🔒 BLOCKED — Wrong Code")))</f>
        <v>Pending</v>
      </c>
      <c r="J188" s="93" t="str">
        <f t="shared" ca="1" si="17"/>
        <v>—</v>
      </c>
      <c r="K188" s="94"/>
    </row>
    <row r="189" spans="1:11" x14ac:dyDescent="0.25">
      <c r="A189" s="79"/>
      <c r="B189" s="21" t="str">
        <f>IF(A189="","",IFERROR(VLOOKUP(A189,DB_Customers!$A:$D,4,0),"❌ Account Not Found"))</f>
        <v/>
      </c>
      <c r="C189" s="80" t="str">
        <f>IF(A189="","",IFERROR(VLOOKUP(A189,DB_Customers!$A:$N,14,0),""))</f>
        <v/>
      </c>
      <c r="D189" s="81" t="str">
        <f t="shared" ca="1" si="15"/>
        <v/>
      </c>
      <c r="E189" s="82"/>
      <c r="F189" s="83" t="str">
        <f t="shared" si="16"/>
        <v/>
      </c>
      <c r="G189" s="23"/>
      <c r="H189" s="84"/>
      <c r="I189" s="85" t="str">
        <f>IF(A189="","Pending",IF(H189="","⚠️ Enter Code",IF(IFERROR(VLOOKUP(G189,DB_Agents!$B:$I,8,0),"")=H189,IF(AND(A189&lt;&gt;"",E189&lt;&gt;""),"Saved","Pending"),"🔒 BLOCKED — Wrong Code")))</f>
        <v>Pending</v>
      </c>
      <c r="J189" s="86" t="str">
        <f t="shared" ca="1" si="17"/>
        <v>—</v>
      </c>
      <c r="K189" s="87"/>
    </row>
    <row r="190" spans="1:11" x14ac:dyDescent="0.25">
      <c r="A190" s="88"/>
      <c r="B190" s="25" t="str">
        <f>IF(A190="","",IFERROR(VLOOKUP(A190,DB_Customers!$A:$D,4,0),"❌ Account Not Found"))</f>
        <v/>
      </c>
      <c r="C190" s="89" t="str">
        <f>IF(A190="","",IFERROR(VLOOKUP(A190,DB_Customers!$A:$N,14,0),""))</f>
        <v/>
      </c>
      <c r="D190" s="90" t="str">
        <f t="shared" ca="1" si="15"/>
        <v/>
      </c>
      <c r="E190" s="82"/>
      <c r="F190" s="91" t="str">
        <f t="shared" si="16"/>
        <v/>
      </c>
      <c r="G190" s="27"/>
      <c r="H190" s="84"/>
      <c r="I190" s="92" t="str">
        <f>IF(A190="","Pending",IF(H190="","⚠️ Enter Code",IF(IFERROR(VLOOKUP(G190,DB_Agents!$B:$I,8,0),"")=H190,IF(AND(A190&lt;&gt;"",E190&lt;&gt;""),"Saved","Pending"),"🔒 BLOCKED — Wrong Code")))</f>
        <v>Pending</v>
      </c>
      <c r="J190" s="93" t="str">
        <f t="shared" ca="1" si="17"/>
        <v>—</v>
      </c>
      <c r="K190" s="94"/>
    </row>
    <row r="191" spans="1:11" x14ac:dyDescent="0.25">
      <c r="A191" s="79"/>
      <c r="B191" s="21" t="str">
        <f>IF(A191="","",IFERROR(VLOOKUP(A191,DB_Customers!$A:$D,4,0),"❌ Account Not Found"))</f>
        <v/>
      </c>
      <c r="C191" s="80" t="str">
        <f>IF(A191="","",IFERROR(VLOOKUP(A191,DB_Customers!$A:$N,14,0),""))</f>
        <v/>
      </c>
      <c r="D191" s="81" t="str">
        <f t="shared" ca="1" si="15"/>
        <v/>
      </c>
      <c r="E191" s="82"/>
      <c r="F191" s="83" t="str">
        <f t="shared" si="16"/>
        <v/>
      </c>
      <c r="G191" s="23"/>
      <c r="H191" s="84"/>
      <c r="I191" s="85" t="str">
        <f>IF(A191="","Pending",IF(H191="","⚠️ Enter Code",IF(IFERROR(VLOOKUP(G191,DB_Agents!$B:$I,8,0),"")=H191,IF(AND(A191&lt;&gt;"",E191&lt;&gt;""),"Saved","Pending"),"🔒 BLOCKED — Wrong Code")))</f>
        <v>Pending</v>
      </c>
      <c r="J191" s="86" t="str">
        <f t="shared" ca="1" si="17"/>
        <v>—</v>
      </c>
      <c r="K191" s="87"/>
    </row>
    <row r="192" spans="1:11" x14ac:dyDescent="0.25">
      <c r="A192" s="88"/>
      <c r="B192" s="25" t="str">
        <f>IF(A192="","",IFERROR(VLOOKUP(A192,DB_Customers!$A:$D,4,0),"❌ Account Not Found"))</f>
        <v/>
      </c>
      <c r="C192" s="89" t="str">
        <f>IF(A192="","",IFERROR(VLOOKUP(A192,DB_Customers!$A:$N,14,0),""))</f>
        <v/>
      </c>
      <c r="D192" s="90" t="str">
        <f t="shared" ca="1" si="15"/>
        <v/>
      </c>
      <c r="E192" s="82"/>
      <c r="F192" s="91" t="str">
        <f t="shared" si="16"/>
        <v/>
      </c>
      <c r="G192" s="27"/>
      <c r="H192" s="84"/>
      <c r="I192" s="92" t="str">
        <f>IF(A192="","Pending",IF(H192="","⚠️ Enter Code",IF(IFERROR(VLOOKUP(G192,DB_Agents!$B:$I,8,0),"")=H192,IF(AND(A192&lt;&gt;"",E192&lt;&gt;""),"Saved","Pending"),"🔒 BLOCKED — Wrong Code")))</f>
        <v>Pending</v>
      </c>
      <c r="J192" s="93" t="str">
        <f t="shared" ca="1" si="17"/>
        <v>—</v>
      </c>
      <c r="K192" s="94"/>
    </row>
    <row r="193" spans="1:11" x14ac:dyDescent="0.25">
      <c r="A193" s="79"/>
      <c r="B193" s="21" t="str">
        <f>IF(A193="","",IFERROR(VLOOKUP(A193,DB_Customers!$A:$D,4,0),"❌ Account Not Found"))</f>
        <v/>
      </c>
      <c r="C193" s="80" t="str">
        <f>IF(A193="","",IFERROR(VLOOKUP(A193,DB_Customers!$A:$N,14,0),""))</f>
        <v/>
      </c>
      <c r="D193" s="81" t="str">
        <f t="shared" ca="1" si="15"/>
        <v/>
      </c>
      <c r="E193" s="82"/>
      <c r="F193" s="83" t="str">
        <f t="shared" si="16"/>
        <v/>
      </c>
      <c r="G193" s="23"/>
      <c r="H193" s="84"/>
      <c r="I193" s="85" t="str">
        <f>IF(A193="","Pending",IF(H193="","⚠️ Enter Code",IF(IFERROR(VLOOKUP(G193,DB_Agents!$B:$I,8,0),"")=H193,IF(AND(A193&lt;&gt;"",E193&lt;&gt;""),"Saved","Pending"),"🔒 BLOCKED — Wrong Code")))</f>
        <v>Pending</v>
      </c>
      <c r="J193" s="86" t="str">
        <f t="shared" ca="1" si="17"/>
        <v>—</v>
      </c>
      <c r="K193" s="87"/>
    </row>
    <row r="194" spans="1:11" x14ac:dyDescent="0.25">
      <c r="A194" s="88"/>
      <c r="B194" s="25" t="str">
        <f>IF(A194="","",IFERROR(VLOOKUP(A194,DB_Customers!$A:$D,4,0),"❌ Account Not Found"))</f>
        <v/>
      </c>
      <c r="C194" s="89" t="str">
        <f>IF(A194="","",IFERROR(VLOOKUP(A194,DB_Customers!$A:$N,14,0),""))</f>
        <v/>
      </c>
      <c r="D194" s="90" t="str">
        <f t="shared" ca="1" si="15"/>
        <v/>
      </c>
      <c r="E194" s="82"/>
      <c r="F194" s="91" t="str">
        <f t="shared" si="16"/>
        <v/>
      </c>
      <c r="G194" s="27"/>
      <c r="H194" s="84"/>
      <c r="I194" s="92" t="str">
        <f>IF(A194="","Pending",IF(H194="","⚠️ Enter Code",IF(IFERROR(VLOOKUP(G194,DB_Agents!$B:$I,8,0),"")=H194,IF(AND(A194&lt;&gt;"",E194&lt;&gt;""),"Saved","Pending"),"🔒 BLOCKED — Wrong Code")))</f>
        <v>Pending</v>
      </c>
      <c r="J194" s="93" t="str">
        <f t="shared" ca="1" si="17"/>
        <v>—</v>
      </c>
      <c r="K194" s="94"/>
    </row>
    <row r="195" spans="1:11" x14ac:dyDescent="0.25">
      <c r="A195" s="79"/>
      <c r="B195" s="21" t="str">
        <f>IF(A195="","",IFERROR(VLOOKUP(A195,DB_Customers!$A:$D,4,0),"❌ Account Not Found"))</f>
        <v/>
      </c>
      <c r="C195" s="80" t="str">
        <f>IF(A195="","",IFERROR(VLOOKUP(A195,DB_Customers!$A:$N,14,0),""))</f>
        <v/>
      </c>
      <c r="D195" s="81" t="str">
        <f t="shared" ca="1" si="15"/>
        <v/>
      </c>
      <c r="E195" s="82"/>
      <c r="F195" s="83" t="str">
        <f t="shared" si="16"/>
        <v/>
      </c>
      <c r="G195" s="23"/>
      <c r="H195" s="84"/>
      <c r="I195" s="85" t="str">
        <f>IF(A195="","Pending",IF(H195="","⚠️ Enter Code",IF(IFERROR(VLOOKUP(G195,DB_Agents!$B:$I,8,0),"")=H195,IF(AND(A195&lt;&gt;"",E195&lt;&gt;""),"Saved","Pending"),"🔒 BLOCKED — Wrong Code")))</f>
        <v>Pending</v>
      </c>
      <c r="J195" s="86" t="str">
        <f t="shared" ca="1" si="17"/>
        <v>—</v>
      </c>
      <c r="K195" s="87"/>
    </row>
    <row r="196" spans="1:11" x14ac:dyDescent="0.25">
      <c r="A196" s="88"/>
      <c r="B196" s="25" t="str">
        <f>IF(A196="","",IFERROR(VLOOKUP(A196,DB_Customers!$A:$D,4,0),"❌ Account Not Found"))</f>
        <v/>
      </c>
      <c r="C196" s="89" t="str">
        <f>IF(A196="","",IFERROR(VLOOKUP(A196,DB_Customers!$A:$N,14,0),""))</f>
        <v/>
      </c>
      <c r="D196" s="90" t="str">
        <f t="shared" ca="1" si="15"/>
        <v/>
      </c>
      <c r="E196" s="82"/>
      <c r="F196" s="91" t="str">
        <f t="shared" si="16"/>
        <v/>
      </c>
      <c r="G196" s="27"/>
      <c r="H196" s="84"/>
      <c r="I196" s="92" t="str">
        <f>IF(A196="","Pending",IF(H196="","⚠️ Enter Code",IF(IFERROR(VLOOKUP(G196,DB_Agents!$B:$I,8,0),"")=H196,IF(AND(A196&lt;&gt;"",E196&lt;&gt;""),"Saved","Pending"),"🔒 BLOCKED — Wrong Code")))</f>
        <v>Pending</v>
      </c>
      <c r="J196" s="93" t="str">
        <f t="shared" ca="1" si="17"/>
        <v>—</v>
      </c>
      <c r="K196" s="94"/>
    </row>
    <row r="197" spans="1:11" x14ac:dyDescent="0.25">
      <c r="A197" s="79"/>
      <c r="B197" s="21" t="str">
        <f>IF(A197="","",IFERROR(VLOOKUP(A197,DB_Customers!$A:$D,4,0),"❌ Account Not Found"))</f>
        <v/>
      </c>
      <c r="C197" s="80" t="str">
        <f>IF(A197="","",IFERROR(VLOOKUP(A197,DB_Customers!$A:$N,14,0),""))</f>
        <v/>
      </c>
      <c r="D197" s="81" t="str">
        <f t="shared" ca="1" si="15"/>
        <v/>
      </c>
      <c r="E197" s="82"/>
      <c r="F197" s="83" t="str">
        <f t="shared" si="16"/>
        <v/>
      </c>
      <c r="G197" s="23"/>
      <c r="H197" s="84"/>
      <c r="I197" s="85" t="str">
        <f>IF(A197="","Pending",IF(H197="","⚠️ Enter Code",IF(IFERROR(VLOOKUP(G197,DB_Agents!$B:$I,8,0),"")=H197,IF(AND(A197&lt;&gt;"",E197&lt;&gt;""),"Saved","Pending"),"🔒 BLOCKED — Wrong Code")))</f>
        <v>Pending</v>
      </c>
      <c r="J197" s="86" t="str">
        <f t="shared" ca="1" si="17"/>
        <v>—</v>
      </c>
      <c r="K197" s="87"/>
    </row>
    <row r="198" spans="1:11" x14ac:dyDescent="0.25">
      <c r="A198" s="88"/>
      <c r="B198" s="25" t="str">
        <f>IF(A198="","",IFERROR(VLOOKUP(A198,DB_Customers!$A:$D,4,0),"❌ Account Not Found"))</f>
        <v/>
      </c>
      <c r="C198" s="89" t="str">
        <f>IF(A198="","",IFERROR(VLOOKUP(A198,DB_Customers!$A:$N,14,0),""))</f>
        <v/>
      </c>
      <c r="D198" s="90" t="str">
        <f t="shared" ca="1" si="15"/>
        <v/>
      </c>
      <c r="E198" s="82"/>
      <c r="F198" s="91" t="str">
        <f t="shared" si="16"/>
        <v/>
      </c>
      <c r="G198" s="27"/>
      <c r="H198" s="84"/>
      <c r="I198" s="92" t="str">
        <f>IF(A198="","Pending",IF(H198="","⚠️ Enter Code",IF(IFERROR(VLOOKUP(G198,DB_Agents!$B:$I,8,0),"")=H198,IF(AND(A198&lt;&gt;"",E198&lt;&gt;""),"Saved","Pending"),"🔒 BLOCKED — Wrong Code")))</f>
        <v>Pending</v>
      </c>
      <c r="J198" s="93" t="str">
        <f t="shared" ca="1" si="17"/>
        <v>—</v>
      </c>
      <c r="K198" s="94"/>
    </row>
    <row r="199" spans="1:11" x14ac:dyDescent="0.25">
      <c r="A199" s="79"/>
      <c r="B199" s="21" t="str">
        <f>IF(A199="","",IFERROR(VLOOKUP(A199,DB_Customers!$A:$D,4,0),"❌ Account Not Found"))</f>
        <v/>
      </c>
      <c r="C199" s="80" t="str">
        <f>IF(A199="","",IFERROR(VLOOKUP(A199,DB_Customers!$A:$N,14,0),""))</f>
        <v/>
      </c>
      <c r="D199" s="81" t="str">
        <f t="shared" ca="1" si="15"/>
        <v/>
      </c>
      <c r="E199" s="82"/>
      <c r="F199" s="83" t="str">
        <f t="shared" si="16"/>
        <v/>
      </c>
      <c r="G199" s="23"/>
      <c r="H199" s="84"/>
      <c r="I199" s="85" t="str">
        <f>IF(A199="","Pending",IF(H199="","⚠️ Enter Code",IF(IFERROR(VLOOKUP(G199,DB_Agents!$B:$I,8,0),"")=H199,IF(AND(A199&lt;&gt;"",E199&lt;&gt;""),"Saved","Pending"),"🔒 BLOCKED — Wrong Code")))</f>
        <v>Pending</v>
      </c>
      <c r="J199" s="86" t="str">
        <f t="shared" ca="1" si="17"/>
        <v>—</v>
      </c>
      <c r="K199" s="87"/>
    </row>
    <row r="200" spans="1:11" x14ac:dyDescent="0.25">
      <c r="A200" s="88"/>
      <c r="B200" s="25" t="str">
        <f>IF(A200="","",IFERROR(VLOOKUP(A200,DB_Customers!$A:$D,4,0),"❌ Account Not Found"))</f>
        <v/>
      </c>
      <c r="C200" s="89" t="str">
        <f>IF(A200="","",IFERROR(VLOOKUP(A200,DB_Customers!$A:$N,14,0),""))</f>
        <v/>
      </c>
      <c r="D200" s="90" t="str">
        <f t="shared" ca="1" si="15"/>
        <v/>
      </c>
      <c r="E200" s="82"/>
      <c r="F200" s="91" t="str">
        <f t="shared" si="16"/>
        <v/>
      </c>
      <c r="G200" s="27"/>
      <c r="H200" s="84"/>
      <c r="I200" s="92" t="str">
        <f>IF(A200="","Pending",IF(H200="","⚠️ Enter Code",IF(IFERROR(VLOOKUP(G200,DB_Agents!$B:$I,8,0),"")=H200,IF(AND(A200&lt;&gt;"",E200&lt;&gt;""),"Saved","Pending"),"🔒 BLOCKED — Wrong Code")))</f>
        <v>Pending</v>
      </c>
      <c r="J200" s="93" t="str">
        <f t="shared" ca="1" si="17"/>
        <v>—</v>
      </c>
      <c r="K200" s="94"/>
    </row>
    <row r="201" spans="1:11" x14ac:dyDescent="0.25">
      <c r="A201" s="79"/>
      <c r="B201" s="21" t="str">
        <f>IF(A201="","",IFERROR(VLOOKUP(A201,DB_Customers!$A:$D,4,0),"❌ Account Not Found"))</f>
        <v/>
      </c>
      <c r="C201" s="80" t="str">
        <f>IF(A201="","",IFERROR(VLOOKUP(A201,DB_Customers!$A:$N,14,0),""))</f>
        <v/>
      </c>
      <c r="D201" s="81" t="str">
        <f t="shared" ref="D201:D208" ca="1" si="18">IF(A201="","",TODAY())</f>
        <v/>
      </c>
      <c r="E201" s="82"/>
      <c r="F201" s="83" t="str">
        <f t="shared" ref="F201:F232" si="19">IF(OR(A201="",E201=""),"",IF(C201="","",C201+E201))</f>
        <v/>
      </c>
      <c r="G201" s="23"/>
      <c r="H201" s="84"/>
      <c r="I201" s="85" t="str">
        <f>IF(A201="","Pending",IF(H201="","⚠️ Enter Code",IF(IFERROR(VLOOKUP(G201,DB_Agents!$B:$I,8,0),"")=H201,IF(AND(A201&lt;&gt;"",E201&lt;&gt;""),"Saved","Pending"),"🔒 BLOCKED — Wrong Code")))</f>
        <v>Pending</v>
      </c>
      <c r="J201" s="86" t="str">
        <f t="shared" ref="J201:J232" ca="1" si="20">IF(I201="Saved",TEXT(TODAY(),"YYYY-MM-DD")&amp;" Auto","—")</f>
        <v>—</v>
      </c>
      <c r="K201" s="87"/>
    </row>
    <row r="202" spans="1:11" x14ac:dyDescent="0.25">
      <c r="A202" s="88"/>
      <c r="B202" s="25" t="str">
        <f>IF(A202="","",IFERROR(VLOOKUP(A202,DB_Customers!$A:$D,4,0),"❌ Account Not Found"))</f>
        <v/>
      </c>
      <c r="C202" s="89" t="str">
        <f>IF(A202="","",IFERROR(VLOOKUP(A202,DB_Customers!$A:$N,14,0),""))</f>
        <v/>
      </c>
      <c r="D202" s="90" t="str">
        <f t="shared" ca="1" si="18"/>
        <v/>
      </c>
      <c r="E202" s="82"/>
      <c r="F202" s="91" t="str">
        <f t="shared" si="19"/>
        <v/>
      </c>
      <c r="G202" s="27"/>
      <c r="H202" s="84"/>
      <c r="I202" s="92" t="str">
        <f>IF(A202="","Pending",IF(H202="","⚠️ Enter Code",IF(IFERROR(VLOOKUP(G202,DB_Agents!$B:$I,8,0),"")=H202,IF(AND(A202&lt;&gt;"",E202&lt;&gt;""),"Saved","Pending"),"🔒 BLOCKED — Wrong Code")))</f>
        <v>Pending</v>
      </c>
      <c r="J202" s="93" t="str">
        <f t="shared" ca="1" si="20"/>
        <v>—</v>
      </c>
      <c r="K202" s="94"/>
    </row>
    <row r="203" spans="1:11" x14ac:dyDescent="0.25">
      <c r="A203" s="79"/>
      <c r="B203" s="21" t="str">
        <f>IF(A203="","",IFERROR(VLOOKUP(A203,DB_Customers!$A:$D,4,0),"❌ Account Not Found"))</f>
        <v/>
      </c>
      <c r="C203" s="80" t="str">
        <f>IF(A203="","",IFERROR(VLOOKUP(A203,DB_Customers!$A:$N,14,0),""))</f>
        <v/>
      </c>
      <c r="D203" s="81" t="str">
        <f t="shared" ca="1" si="18"/>
        <v/>
      </c>
      <c r="E203" s="82"/>
      <c r="F203" s="83" t="str">
        <f t="shared" si="19"/>
        <v/>
      </c>
      <c r="G203" s="23"/>
      <c r="H203" s="84"/>
      <c r="I203" s="85" t="str">
        <f>IF(A203="","Pending",IF(H203="","⚠️ Enter Code",IF(IFERROR(VLOOKUP(G203,DB_Agents!$B:$I,8,0),"")=H203,IF(AND(A203&lt;&gt;"",E203&lt;&gt;""),"Saved","Pending"),"🔒 BLOCKED — Wrong Code")))</f>
        <v>Pending</v>
      </c>
      <c r="J203" s="86" t="str">
        <f t="shared" ca="1" si="20"/>
        <v>—</v>
      </c>
      <c r="K203" s="87"/>
    </row>
    <row r="204" spans="1:11" x14ac:dyDescent="0.25">
      <c r="A204" s="88"/>
      <c r="B204" s="25" t="str">
        <f>IF(A204="","",IFERROR(VLOOKUP(A204,DB_Customers!$A:$D,4,0),"❌ Account Not Found"))</f>
        <v/>
      </c>
      <c r="C204" s="89" t="str">
        <f>IF(A204="","",IFERROR(VLOOKUP(A204,DB_Customers!$A:$N,14,0),""))</f>
        <v/>
      </c>
      <c r="D204" s="90" t="str">
        <f t="shared" ca="1" si="18"/>
        <v/>
      </c>
      <c r="E204" s="82"/>
      <c r="F204" s="91" t="str">
        <f t="shared" si="19"/>
        <v/>
      </c>
      <c r="G204" s="27"/>
      <c r="H204" s="84"/>
      <c r="I204" s="92" t="str">
        <f>IF(A204="","Pending",IF(H204="","⚠️ Enter Code",IF(IFERROR(VLOOKUP(G204,DB_Agents!$B:$I,8,0),"")=H204,IF(AND(A204&lt;&gt;"",E204&lt;&gt;""),"Saved","Pending"),"🔒 BLOCKED — Wrong Code")))</f>
        <v>Pending</v>
      </c>
      <c r="J204" s="93" t="str">
        <f t="shared" ca="1" si="20"/>
        <v>—</v>
      </c>
      <c r="K204" s="94"/>
    </row>
    <row r="205" spans="1:11" x14ac:dyDescent="0.25">
      <c r="A205" s="79"/>
      <c r="B205" s="21" t="str">
        <f>IF(A205="","",IFERROR(VLOOKUP(A205,DB_Customers!$A:$D,4,0),"❌ Account Not Found"))</f>
        <v/>
      </c>
      <c r="C205" s="80" t="str">
        <f>IF(A205="","",IFERROR(VLOOKUP(A205,DB_Customers!$A:$N,14,0),""))</f>
        <v/>
      </c>
      <c r="D205" s="81" t="str">
        <f t="shared" ca="1" si="18"/>
        <v/>
      </c>
      <c r="E205" s="82"/>
      <c r="F205" s="83" t="str">
        <f t="shared" si="19"/>
        <v/>
      </c>
      <c r="G205" s="23"/>
      <c r="H205" s="84"/>
      <c r="I205" s="85" t="str">
        <f>IF(A205="","Pending",IF(H205="","⚠️ Enter Code",IF(IFERROR(VLOOKUP(G205,DB_Agents!$B:$I,8,0),"")=H205,IF(AND(A205&lt;&gt;"",E205&lt;&gt;""),"Saved","Pending"),"🔒 BLOCKED — Wrong Code")))</f>
        <v>Pending</v>
      </c>
      <c r="J205" s="86" t="str">
        <f t="shared" ca="1" si="20"/>
        <v>—</v>
      </c>
      <c r="K205" s="87"/>
    </row>
    <row r="206" spans="1:11" x14ac:dyDescent="0.25">
      <c r="A206" s="88"/>
      <c r="B206" s="25" t="str">
        <f>IF(A206="","",IFERROR(VLOOKUP(A206,DB_Customers!$A:$D,4,0),"❌ Account Not Found"))</f>
        <v/>
      </c>
      <c r="C206" s="89" t="str">
        <f>IF(A206="","",IFERROR(VLOOKUP(A206,DB_Customers!$A:$N,14,0),""))</f>
        <v/>
      </c>
      <c r="D206" s="90" t="str">
        <f t="shared" ca="1" si="18"/>
        <v/>
      </c>
      <c r="E206" s="82"/>
      <c r="F206" s="91" t="str">
        <f t="shared" si="19"/>
        <v/>
      </c>
      <c r="G206" s="27"/>
      <c r="H206" s="84"/>
      <c r="I206" s="92" t="str">
        <f>IF(A206="","Pending",IF(H206="","⚠️ Enter Code",IF(IFERROR(VLOOKUP(G206,DB_Agents!$B:$I,8,0),"")=H206,IF(AND(A206&lt;&gt;"",E206&lt;&gt;""),"Saved","Pending"),"🔒 BLOCKED — Wrong Code")))</f>
        <v>Pending</v>
      </c>
      <c r="J206" s="93" t="str">
        <f t="shared" ca="1" si="20"/>
        <v>—</v>
      </c>
      <c r="K206" s="94"/>
    </row>
    <row r="207" spans="1:11" x14ac:dyDescent="0.25">
      <c r="A207" s="79"/>
      <c r="B207" s="21" t="str">
        <f>IF(A207="","",IFERROR(VLOOKUP(A207,DB_Customers!$A:$D,4,0),"❌ Account Not Found"))</f>
        <v/>
      </c>
      <c r="C207" s="80" t="str">
        <f>IF(A207="","",IFERROR(VLOOKUP(A207,DB_Customers!$A:$N,14,0),""))</f>
        <v/>
      </c>
      <c r="D207" s="81" t="str">
        <f t="shared" ca="1" si="18"/>
        <v/>
      </c>
      <c r="E207" s="82"/>
      <c r="F207" s="83" t="str">
        <f t="shared" si="19"/>
        <v/>
      </c>
      <c r="G207" s="23"/>
      <c r="H207" s="84"/>
      <c r="I207" s="85" t="str">
        <f>IF(A207="","Pending",IF(H207="","⚠️ Enter Code",IF(IFERROR(VLOOKUP(G207,DB_Agents!$B:$I,8,0),"")=H207,IF(AND(A207&lt;&gt;"",E207&lt;&gt;""),"Saved","Pending"),"🔒 BLOCKED — Wrong Code")))</f>
        <v>Pending</v>
      </c>
      <c r="J207" s="86" t="str">
        <f t="shared" ca="1" si="20"/>
        <v>—</v>
      </c>
      <c r="K207" s="87"/>
    </row>
    <row r="208" spans="1:11" x14ac:dyDescent="0.25">
      <c r="A208" s="88"/>
      <c r="B208" s="25" t="str">
        <f>IF(A208="","",IFERROR(VLOOKUP(A208,DB_Customers!$A:$D,4,0),"❌ Account Not Found"))</f>
        <v/>
      </c>
      <c r="C208" s="89" t="str">
        <f>IF(A208="","",IFERROR(VLOOKUP(A208,DB_Customers!$A:$N,14,0),""))</f>
        <v/>
      </c>
      <c r="D208" s="90" t="str">
        <f t="shared" ca="1" si="18"/>
        <v/>
      </c>
      <c r="E208" s="82"/>
      <c r="F208" s="91" t="str">
        <f t="shared" si="19"/>
        <v/>
      </c>
      <c r="G208" s="27"/>
      <c r="H208" s="84"/>
      <c r="I208" s="92" t="str">
        <f>IF(A208="","Pending",IF(H208="","⚠️ Enter Code",IF(IFERROR(VLOOKUP(G208,DB_Agents!$B:$I,8,0),"")=H208,IF(AND(A208&lt;&gt;"",E208&lt;&gt;""),"Saved","Pending"),"🔒 BLOCKED — Wrong Code")))</f>
        <v>Pending</v>
      </c>
      <c r="J208" s="93" t="str">
        <f t="shared" ca="1" si="20"/>
        <v>—</v>
      </c>
      <c r="K208" s="94"/>
    </row>
  </sheetData>
  <mergeCells count="12">
    <mergeCell ref="A7:L7"/>
    <mergeCell ref="A4:C4"/>
    <mergeCell ref="D4:F4"/>
    <mergeCell ref="G4:I4"/>
    <mergeCell ref="J4:L4"/>
    <mergeCell ref="A5:L5"/>
    <mergeCell ref="A1:L1"/>
    <mergeCell ref="A2:L2"/>
    <mergeCell ref="A3:C3"/>
    <mergeCell ref="D3:F3"/>
    <mergeCell ref="G3:I3"/>
    <mergeCell ref="J3:L3"/>
  </mergeCells>
  <conditionalFormatting sqref="H9:H208">
    <cfRule type="cellIs" dxfId="102" priority="2" operator="equal">
      <formula>"Saved"</formula>
    </cfRule>
    <cfRule type="cellIs" dxfId="101" priority="3" operator="equal">
      <formula>"Pending"</formula>
    </cfRule>
  </conditionalFormatting>
  <conditionalFormatting sqref="A9:J208">
    <cfRule type="expression" dxfId="100" priority="4">
      <formula>$H9="Saved"</formula>
    </cfRule>
  </conditionalFormatting>
  <dataValidations count="2">
    <dataValidation type="list" sqref="G9:G208" xr:uid="{00000000-0002-0000-0500-000000000000}">
      <formula1>"Agent 01,Agent 02,Agent 03,Agent 04,Agent 05,Agent 06,Agent 07,Agent 08,Agent 09,Agent 10"</formula1>
      <formula2>0</formula2>
    </dataValidation>
    <dataValidation type="decimal" operator="greaterThan" showErrorMessage="1" error="Must be &gt; 0" sqref="E9:E208" xr:uid="{00000000-0002-0000-0500-000001000000}">
      <formula1>0</formula1>
      <formula2>0</formula2>
    </dataValidation>
  </dataValidations>
  <pageMargins left="0.75" right="0.75" top="1" bottom="1" header="0.511811023622047" footer="0.511811023622047"/>
  <pageSetup paperSize="9"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C0392B"/>
  </sheetPr>
  <dimension ref="A1:M208"/>
  <sheetViews>
    <sheetView topLeftCell="B1" zoomScaleNormal="100" workbookViewId="0">
      <pane ySplit="8" topLeftCell="A9" activePane="bottomLeft" state="frozen"/>
      <selection activeCell="B1" sqref="B1"/>
      <selection pane="bottomLeft"/>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5" customWidth="1"/>
    <col min="8" max="8" width="12" customWidth="1"/>
    <col min="9" max="9" width="14" customWidth="1"/>
    <col min="10" max="10" width="22" customWidth="1"/>
    <col min="11" max="11" width="20" customWidth="1"/>
  </cols>
  <sheetData>
    <row r="1" spans="1:13" ht="31.5" customHeight="1" x14ac:dyDescent="0.25">
      <c r="A1" s="210" t="s">
        <v>178</v>
      </c>
      <c r="B1" s="210"/>
      <c r="C1" s="210"/>
      <c r="D1" s="210"/>
      <c r="E1" s="210"/>
      <c r="F1" s="210"/>
      <c r="G1" s="210"/>
      <c r="H1" s="210"/>
      <c r="I1" s="210"/>
      <c r="J1" s="210"/>
      <c r="K1" s="210"/>
      <c r="L1" s="210"/>
      <c r="M1" s="210"/>
    </row>
    <row r="2" spans="1:13" ht="19.5" customHeight="1" x14ac:dyDescent="0.25">
      <c r="A2" s="211" t="s">
        <v>179</v>
      </c>
      <c r="B2" s="211"/>
      <c r="C2" s="211"/>
      <c r="D2" s="211"/>
      <c r="E2" s="211"/>
      <c r="F2" s="211"/>
      <c r="G2" s="211"/>
      <c r="H2" s="211"/>
      <c r="I2" s="211"/>
      <c r="J2" s="211"/>
      <c r="K2" s="211"/>
      <c r="L2" s="211"/>
      <c r="M2" s="211"/>
    </row>
    <row r="3" spans="1:13" ht="18" customHeight="1" x14ac:dyDescent="0.25">
      <c r="A3" s="178" t="s">
        <v>180</v>
      </c>
      <c r="B3" s="178"/>
      <c r="C3" s="178"/>
      <c r="D3" s="177" t="s">
        <v>181</v>
      </c>
      <c r="E3" s="177"/>
      <c r="F3" s="177"/>
      <c r="G3" s="19" t="s">
        <v>182</v>
      </c>
      <c r="K3" s="48" t="s">
        <v>169</v>
      </c>
    </row>
    <row r="4" spans="1:13" ht="27.75" customHeight="1" x14ac:dyDescent="0.25">
      <c r="A4" s="212">
        <f ca="1">SUMIFS(DB_Withdrawals!$G:$G,DB_Withdrawals!$J:$J,"Agent 01",DB_Withdrawals!$F:$F,TODAY())</f>
        <v>0</v>
      </c>
      <c r="B4" s="212"/>
      <c r="C4" s="212"/>
      <c r="D4" s="213">
        <f ca="1">COUNTIFS(DB_Withdrawals!$J:$J,"Agent 01",DB_Withdrawals!$K:$K,"Successful",DB_Withdrawals!$F:$F,TODAY())</f>
        <v>0</v>
      </c>
      <c r="E4" s="213"/>
      <c r="F4" s="213"/>
      <c r="G4" s="95">
        <f ca="1">COUNTIFS(DB_Withdrawals!$J:$J,"Agent 01",DB_Withdrawals!$K:$K,"Unsuccessful",DB_Withdrawals!$F:$F,TODAY())</f>
        <v>0</v>
      </c>
      <c r="K4" s="77" t="str">
        <f ca="1">TEXT(TODAY(),"DD MMM YYYY")</f>
        <v>19 Apr 2026</v>
      </c>
    </row>
    <row r="5" spans="1:13" ht="19.5" customHeight="1" x14ac:dyDescent="0.25">
      <c r="A5" s="214" t="s">
        <v>183</v>
      </c>
      <c r="B5" s="214"/>
      <c r="C5" s="214"/>
      <c r="D5" s="214"/>
      <c r="E5" s="214"/>
      <c r="F5" s="214"/>
      <c r="G5" s="214"/>
      <c r="H5" s="214"/>
      <c r="I5" s="214"/>
      <c r="J5" s="214"/>
      <c r="K5" s="214"/>
      <c r="L5" s="214"/>
      <c r="M5" s="214"/>
    </row>
    <row r="6" spans="1:13" ht="7.5" customHeight="1" x14ac:dyDescent="0.25"/>
    <row r="7" spans="1:13" ht="19.5" customHeight="1" x14ac:dyDescent="0.25">
      <c r="A7" s="215" t="s">
        <v>184</v>
      </c>
      <c r="B7" s="215"/>
      <c r="C7" s="215"/>
      <c r="D7" s="215"/>
      <c r="E7" s="215"/>
      <c r="F7" s="215"/>
      <c r="G7" s="215"/>
      <c r="H7" s="215"/>
      <c r="I7" s="215"/>
      <c r="J7" s="215"/>
      <c r="K7" s="215"/>
      <c r="L7" s="215"/>
      <c r="M7" s="215"/>
    </row>
    <row r="8" spans="1:13" ht="19.5" customHeight="1" x14ac:dyDescent="0.25">
      <c r="A8" s="96" t="s">
        <v>171</v>
      </c>
      <c r="B8" s="96" t="s">
        <v>118</v>
      </c>
      <c r="C8" s="96" t="s">
        <v>185</v>
      </c>
      <c r="D8" s="96" t="s">
        <v>111</v>
      </c>
      <c r="E8" s="96" t="s">
        <v>186</v>
      </c>
      <c r="F8" s="96" t="s">
        <v>187</v>
      </c>
      <c r="G8" s="96" t="s">
        <v>174</v>
      </c>
      <c r="H8" s="96" t="s">
        <v>32</v>
      </c>
      <c r="I8" s="78" t="s">
        <v>175</v>
      </c>
      <c r="J8" s="96" t="s">
        <v>155</v>
      </c>
      <c r="K8" s="96" t="s">
        <v>176</v>
      </c>
      <c r="L8" s="96" t="s">
        <v>177</v>
      </c>
    </row>
    <row r="9" spans="1:13" x14ac:dyDescent="0.25">
      <c r="A9" s="79"/>
      <c r="B9" s="21" t="str">
        <f>IF(A9="","",IFERROR(VLOOKUP(A9,DB_Customers!$A:$D,4,0),"❌ Account Not Found"))</f>
        <v/>
      </c>
      <c r="C9" s="80" t="str">
        <f>IF(A9="","",IFERROR(VLOOKUP(A9,DB_Customers!$A:$N,14,0),""))</f>
        <v/>
      </c>
      <c r="D9" s="81" t="str">
        <f t="shared" ref="D9:D40" ca="1" si="0">IF(A9="","",TODAY())</f>
        <v/>
      </c>
      <c r="E9" s="97"/>
      <c r="F9" s="21"/>
      <c r="G9" s="98" t="str">
        <f t="shared" ref="G9:G40" si="1">IF(OR(A9="",E9=""),"",IF(C9="","",C9-E9))</f>
        <v/>
      </c>
      <c r="H9" s="23" t="s">
        <v>41</v>
      </c>
      <c r="I9" s="84"/>
      <c r="J9" s="85" t="str">
        <f>IF(AND(A9&lt;&gt;"",E9&lt;&gt;""),IF(I9="","⚠️ Enter Code",IF(IFERROR(VLOOKUP(H9,DB_Agents!$B:$I,8,0),"")=I9,IF(C9&gt;=E9,"Successful","Unsuccessful"),"🔒 BLOCKED — Wrong Code")),"—")</f>
        <v>—</v>
      </c>
      <c r="K9" s="86" t="str">
        <f t="shared" ref="K9:K40" ca="1" si="2">IF(J9="Successful",TEXT(TODAY(),"YYYY-MM-DD")&amp;" Auto","—")</f>
        <v>—</v>
      </c>
      <c r="L9" s="87"/>
    </row>
    <row r="10" spans="1:13" x14ac:dyDescent="0.25">
      <c r="A10" s="88"/>
      <c r="B10" s="25" t="str">
        <f>IF(A10="","",IFERROR(VLOOKUP(A10,DB_Customers!$A:$D,4,0),"❌ Account Not Found"))</f>
        <v/>
      </c>
      <c r="C10" s="89" t="str">
        <f>IF(A10="","",IFERROR(VLOOKUP(A10,DB_Customers!$A:$N,14,0),""))</f>
        <v/>
      </c>
      <c r="D10" s="90" t="str">
        <f t="shared" ca="1" si="0"/>
        <v/>
      </c>
      <c r="E10" s="97"/>
      <c r="F10" s="25"/>
      <c r="G10" s="99" t="str">
        <f t="shared" si="1"/>
        <v/>
      </c>
      <c r="H10" s="27" t="s">
        <v>41</v>
      </c>
      <c r="I10" s="84"/>
      <c r="J10" s="92" t="str">
        <f>IF(AND(A10&lt;&gt;"",E10&lt;&gt;""),IF(I10="","⚠️ Enter Code",IF(IFERROR(VLOOKUP(H10,DB_Agents!$B:$I,8,0),"")=I10,IF(C10&gt;=E10,"Successful","Unsuccessful"),"🔒 BLOCKED — Wrong Code")),"—")</f>
        <v>—</v>
      </c>
      <c r="K10" s="93" t="str">
        <f t="shared" ca="1" si="2"/>
        <v>—</v>
      </c>
      <c r="L10" s="94"/>
    </row>
    <row r="11" spans="1:13" x14ac:dyDescent="0.25">
      <c r="A11" s="79"/>
      <c r="B11" s="21" t="str">
        <f>IF(A11="","",IFERROR(VLOOKUP(A11,DB_Customers!$A:$D,4,0),"❌ Account Not Found"))</f>
        <v/>
      </c>
      <c r="C11" s="80" t="str">
        <f>IF(A11="","",IFERROR(VLOOKUP(A11,DB_Customers!$A:$N,14,0),""))</f>
        <v/>
      </c>
      <c r="D11" s="81" t="str">
        <f t="shared" ca="1" si="0"/>
        <v/>
      </c>
      <c r="E11" s="97"/>
      <c r="F11" s="21"/>
      <c r="G11" s="98" t="str">
        <f t="shared" si="1"/>
        <v/>
      </c>
      <c r="H11" s="23" t="s">
        <v>41</v>
      </c>
      <c r="I11" s="84"/>
      <c r="J11" s="85" t="str">
        <f>IF(AND(A11&lt;&gt;"",E11&lt;&gt;""),IF(I11="","⚠️ Enter Code",IF(IFERROR(VLOOKUP(H11,DB_Agents!$B:$I,8,0),"")=I11,IF(C11&gt;=E11,"Successful","Unsuccessful"),"🔒 BLOCKED — Wrong Code")),"—")</f>
        <v>—</v>
      </c>
      <c r="K11" s="86" t="str">
        <f t="shared" ca="1" si="2"/>
        <v>—</v>
      </c>
      <c r="L11" s="87"/>
    </row>
    <row r="12" spans="1:13" x14ac:dyDescent="0.25">
      <c r="A12" s="88"/>
      <c r="B12" s="25" t="str">
        <f>IF(A12="","",IFERROR(VLOOKUP(A12,DB_Customers!$A:$D,4,0),"❌ Account Not Found"))</f>
        <v/>
      </c>
      <c r="C12" s="89" t="str">
        <f>IF(A12="","",IFERROR(VLOOKUP(A12,DB_Customers!$A:$N,14,0),""))</f>
        <v/>
      </c>
      <c r="D12" s="90" t="str">
        <f t="shared" ca="1" si="0"/>
        <v/>
      </c>
      <c r="E12" s="97"/>
      <c r="F12" s="25"/>
      <c r="G12" s="99" t="str">
        <f t="shared" si="1"/>
        <v/>
      </c>
      <c r="H12" s="27" t="s">
        <v>41</v>
      </c>
      <c r="I12" s="84"/>
      <c r="J12" s="92" t="str">
        <f>IF(AND(A12&lt;&gt;"",E12&lt;&gt;""),IF(I12="","⚠️ Enter Code",IF(IFERROR(VLOOKUP(H12,DB_Agents!$B:$I,8,0),"")=I12,IF(C12&gt;=E12,"Successful","Unsuccessful"),"🔒 BLOCKED — Wrong Code")),"—")</f>
        <v>—</v>
      </c>
      <c r="K12" s="93" t="str">
        <f t="shared" ca="1" si="2"/>
        <v>—</v>
      </c>
      <c r="L12" s="94"/>
    </row>
    <row r="13" spans="1:13" x14ac:dyDescent="0.25">
      <c r="A13" s="79"/>
      <c r="B13" s="21" t="str">
        <f>IF(A13="","",IFERROR(VLOOKUP(A13,DB_Customers!$A:$D,4,0),"❌ Account Not Found"))</f>
        <v/>
      </c>
      <c r="C13" s="80" t="str">
        <f>IF(A13="","",IFERROR(VLOOKUP(A13,DB_Customers!$A:$N,14,0),""))</f>
        <v/>
      </c>
      <c r="D13" s="81" t="str">
        <f t="shared" ca="1" si="0"/>
        <v/>
      </c>
      <c r="E13" s="97"/>
      <c r="F13" s="21"/>
      <c r="G13" s="98" t="str">
        <f t="shared" si="1"/>
        <v/>
      </c>
      <c r="H13" s="23" t="s">
        <v>41</v>
      </c>
      <c r="I13" s="84"/>
      <c r="J13" s="85" t="str">
        <f>IF(AND(A13&lt;&gt;"",E13&lt;&gt;""),IF(I13="","⚠️ Enter Code",IF(IFERROR(VLOOKUP(H13,DB_Agents!$B:$I,8,0),"")=I13,IF(C13&gt;=E13,"Successful","Unsuccessful"),"🔒 BLOCKED — Wrong Code")),"—")</f>
        <v>—</v>
      </c>
      <c r="K13" s="86" t="str">
        <f t="shared" ca="1" si="2"/>
        <v>—</v>
      </c>
      <c r="L13" s="87"/>
    </row>
    <row r="14" spans="1:13" x14ac:dyDescent="0.25">
      <c r="A14" s="88"/>
      <c r="B14" s="25" t="str">
        <f>IF(A14="","",IFERROR(VLOOKUP(A14,DB_Customers!$A:$D,4,0),"❌ Account Not Found"))</f>
        <v/>
      </c>
      <c r="C14" s="89" t="str">
        <f>IF(A14="","",IFERROR(VLOOKUP(A14,DB_Customers!$A:$N,14,0),""))</f>
        <v/>
      </c>
      <c r="D14" s="90" t="str">
        <f t="shared" ca="1" si="0"/>
        <v/>
      </c>
      <c r="E14" s="97"/>
      <c r="F14" s="25"/>
      <c r="G14" s="99" t="str">
        <f t="shared" si="1"/>
        <v/>
      </c>
      <c r="H14" s="27"/>
      <c r="I14" s="84"/>
      <c r="J14" s="92" t="str">
        <f>IF(AND(A14&lt;&gt;"",E14&lt;&gt;""),IF(I14="","⚠️ Enter Code",IF(IFERROR(VLOOKUP(H14,DB_Agents!$B:$I,8,0),"")=I14,IF(C14&gt;=E14,"Successful","Unsuccessful"),"🔒 BLOCKED — Wrong Code")),"—")</f>
        <v>—</v>
      </c>
      <c r="K14" s="93" t="str">
        <f t="shared" ca="1" si="2"/>
        <v>—</v>
      </c>
      <c r="L14" s="94"/>
    </row>
    <row r="15" spans="1:13" x14ac:dyDescent="0.25">
      <c r="A15" s="79"/>
      <c r="B15" s="21" t="str">
        <f>IF(A15="","",IFERROR(VLOOKUP(A15,DB_Customers!$A:$D,4,0),"❌ Account Not Found"))</f>
        <v/>
      </c>
      <c r="C15" s="80" t="str">
        <f>IF(A15="","",IFERROR(VLOOKUP(A15,DB_Customers!$A:$N,14,0),""))</f>
        <v/>
      </c>
      <c r="D15" s="81" t="str">
        <f t="shared" ca="1" si="0"/>
        <v/>
      </c>
      <c r="E15" s="97"/>
      <c r="F15" s="21"/>
      <c r="G15" s="98" t="str">
        <f t="shared" si="1"/>
        <v/>
      </c>
      <c r="H15" s="23"/>
      <c r="I15" s="84"/>
      <c r="J15" s="85" t="str">
        <f>IF(AND(A15&lt;&gt;"",E15&lt;&gt;""),IF(I15="","⚠️ Enter Code",IF(IFERROR(VLOOKUP(H15,DB_Agents!$B:$I,8,0),"")=I15,IF(C15&gt;=E15,"Successful","Unsuccessful"),"🔒 BLOCKED — Wrong Code")),"—")</f>
        <v>—</v>
      </c>
      <c r="K15" s="86" t="str">
        <f t="shared" ca="1" si="2"/>
        <v>—</v>
      </c>
      <c r="L15" s="87"/>
    </row>
    <row r="16" spans="1:13" x14ac:dyDescent="0.25">
      <c r="A16" s="88"/>
      <c r="B16" s="25" t="str">
        <f>IF(A16="","",IFERROR(VLOOKUP(A16,DB_Customers!$A:$D,4,0),"❌ Account Not Found"))</f>
        <v/>
      </c>
      <c r="C16" s="89" t="str">
        <f>IF(A16="","",IFERROR(VLOOKUP(A16,DB_Customers!$A:$N,14,0),""))</f>
        <v/>
      </c>
      <c r="D16" s="90" t="str">
        <f t="shared" ca="1" si="0"/>
        <v/>
      </c>
      <c r="E16" s="97"/>
      <c r="F16" s="25"/>
      <c r="G16" s="99" t="str">
        <f t="shared" si="1"/>
        <v/>
      </c>
      <c r="H16" s="27"/>
      <c r="I16" s="84"/>
      <c r="J16" s="92" t="str">
        <f>IF(AND(A16&lt;&gt;"",E16&lt;&gt;""),IF(I16="","⚠️ Enter Code",IF(IFERROR(VLOOKUP(H16,DB_Agents!$B:$I,8,0),"")=I16,IF(C16&gt;=E16,"Successful","Unsuccessful"),"🔒 BLOCKED — Wrong Code")),"—")</f>
        <v>—</v>
      </c>
      <c r="K16" s="93" t="str">
        <f t="shared" ca="1" si="2"/>
        <v>—</v>
      </c>
      <c r="L16" s="94"/>
    </row>
    <row r="17" spans="1:12" x14ac:dyDescent="0.25">
      <c r="A17" s="79"/>
      <c r="B17" s="21" t="str">
        <f>IF(A17="","",IFERROR(VLOOKUP(A17,DB_Customers!$A:$D,4,0),"❌ Account Not Found"))</f>
        <v/>
      </c>
      <c r="C17" s="80" t="str">
        <f>IF(A17="","",IFERROR(VLOOKUP(A17,DB_Customers!$A:$N,14,0),""))</f>
        <v/>
      </c>
      <c r="D17" s="81" t="str">
        <f t="shared" ca="1" si="0"/>
        <v/>
      </c>
      <c r="E17" s="97"/>
      <c r="F17" s="21"/>
      <c r="G17" s="98" t="str">
        <f t="shared" si="1"/>
        <v/>
      </c>
      <c r="H17" s="23"/>
      <c r="I17" s="84"/>
      <c r="J17" s="85" t="str">
        <f>IF(AND(A17&lt;&gt;"",E17&lt;&gt;""),IF(I17="","⚠️ Enter Code",IF(IFERROR(VLOOKUP(H17,DB_Agents!$B:$I,8,0),"")=I17,IF(C17&gt;=E17,"Successful","Unsuccessful"),"🔒 BLOCKED — Wrong Code")),"—")</f>
        <v>—</v>
      </c>
      <c r="K17" s="86" t="str">
        <f t="shared" ca="1" si="2"/>
        <v>—</v>
      </c>
      <c r="L17" s="87"/>
    </row>
    <row r="18" spans="1:12" x14ac:dyDescent="0.25">
      <c r="A18" s="88"/>
      <c r="B18" s="25" t="str">
        <f>IF(A18="","",IFERROR(VLOOKUP(A18,DB_Customers!$A:$D,4,0),"❌ Account Not Found"))</f>
        <v/>
      </c>
      <c r="C18" s="89" t="str">
        <f>IF(A18="","",IFERROR(VLOOKUP(A18,DB_Customers!$A:$N,14,0),""))</f>
        <v/>
      </c>
      <c r="D18" s="90" t="str">
        <f t="shared" ca="1" si="0"/>
        <v/>
      </c>
      <c r="E18" s="97"/>
      <c r="F18" s="25"/>
      <c r="G18" s="99" t="str">
        <f t="shared" si="1"/>
        <v/>
      </c>
      <c r="H18" s="27"/>
      <c r="I18" s="84"/>
      <c r="J18" s="92" t="str">
        <f>IF(AND(A18&lt;&gt;"",E18&lt;&gt;""),IF(I18="","⚠️ Enter Code",IF(IFERROR(VLOOKUP(H18,DB_Agents!$B:$I,8,0),"")=I18,IF(C18&gt;=E18,"Successful","Unsuccessful"),"🔒 BLOCKED — Wrong Code")),"—")</f>
        <v>—</v>
      </c>
      <c r="K18" s="93" t="str">
        <f t="shared" ca="1" si="2"/>
        <v>—</v>
      </c>
      <c r="L18" s="94"/>
    </row>
    <row r="19" spans="1:12" x14ac:dyDescent="0.25">
      <c r="A19" s="79"/>
      <c r="B19" s="21" t="str">
        <f>IF(A19="","",IFERROR(VLOOKUP(A19,DB_Customers!$A:$D,4,0),"❌ Account Not Found"))</f>
        <v/>
      </c>
      <c r="C19" s="80" t="str">
        <f>IF(A19="","",IFERROR(VLOOKUP(A19,DB_Customers!$A:$N,14,0),""))</f>
        <v/>
      </c>
      <c r="D19" s="81" t="str">
        <f t="shared" ca="1" si="0"/>
        <v/>
      </c>
      <c r="E19" s="97"/>
      <c r="F19" s="21"/>
      <c r="G19" s="98" t="str">
        <f t="shared" si="1"/>
        <v/>
      </c>
      <c r="H19" s="23"/>
      <c r="I19" s="84"/>
      <c r="J19" s="85" t="str">
        <f>IF(AND(A19&lt;&gt;"",E19&lt;&gt;""),IF(I19="","⚠️ Enter Code",IF(IFERROR(VLOOKUP(H19,DB_Agents!$B:$I,8,0),"")=I19,IF(C19&gt;=E19,"Successful","Unsuccessful"),"🔒 BLOCKED — Wrong Code")),"—")</f>
        <v>—</v>
      </c>
      <c r="K19" s="86" t="str">
        <f t="shared" ca="1" si="2"/>
        <v>—</v>
      </c>
      <c r="L19" s="87"/>
    </row>
    <row r="20" spans="1:12" x14ac:dyDescent="0.25">
      <c r="A20" s="88"/>
      <c r="B20" s="25" t="str">
        <f>IF(A20="","",IFERROR(VLOOKUP(A20,DB_Customers!$A:$D,4,0),"❌ Account Not Found"))</f>
        <v/>
      </c>
      <c r="C20" s="89" t="str">
        <f>IF(A20="","",IFERROR(VLOOKUP(A20,DB_Customers!$A:$N,14,0),""))</f>
        <v/>
      </c>
      <c r="D20" s="90" t="str">
        <f t="shared" ca="1" si="0"/>
        <v/>
      </c>
      <c r="E20" s="97"/>
      <c r="F20" s="25"/>
      <c r="G20" s="99" t="str">
        <f t="shared" si="1"/>
        <v/>
      </c>
      <c r="H20" s="27"/>
      <c r="I20" s="84"/>
      <c r="J20" s="92" t="str">
        <f>IF(AND(A20&lt;&gt;"",E20&lt;&gt;""),IF(I20="","⚠️ Enter Code",IF(IFERROR(VLOOKUP(H20,DB_Agents!$B:$I,8,0),"")=I20,IF(C20&gt;=E20,"Successful","Unsuccessful"),"🔒 BLOCKED — Wrong Code")),"—")</f>
        <v>—</v>
      </c>
      <c r="K20" s="93" t="str">
        <f t="shared" ca="1" si="2"/>
        <v>—</v>
      </c>
      <c r="L20" s="94"/>
    </row>
    <row r="21" spans="1:12" x14ac:dyDescent="0.25">
      <c r="A21" s="79"/>
      <c r="B21" s="21" t="str">
        <f>IF(A21="","",IFERROR(VLOOKUP(A21,DB_Customers!$A:$D,4,0),"❌ Account Not Found"))</f>
        <v/>
      </c>
      <c r="C21" s="80" t="str">
        <f>IF(A21="","",IFERROR(VLOOKUP(A21,DB_Customers!$A:$N,14,0),""))</f>
        <v/>
      </c>
      <c r="D21" s="81" t="str">
        <f t="shared" ca="1" si="0"/>
        <v/>
      </c>
      <c r="E21" s="97"/>
      <c r="F21" s="21"/>
      <c r="G21" s="98" t="str">
        <f t="shared" si="1"/>
        <v/>
      </c>
      <c r="H21" s="23"/>
      <c r="I21" s="84"/>
      <c r="J21" s="85" t="str">
        <f>IF(AND(A21&lt;&gt;"",E21&lt;&gt;""),IF(I21="","⚠️ Enter Code",IF(IFERROR(VLOOKUP(H21,DB_Agents!$B:$I,8,0),"")=I21,IF(C21&gt;=E21,"Successful","Unsuccessful"),"🔒 BLOCKED — Wrong Code")),"—")</f>
        <v>—</v>
      </c>
      <c r="K21" s="86" t="str">
        <f t="shared" ca="1" si="2"/>
        <v>—</v>
      </c>
      <c r="L21" s="87"/>
    </row>
    <row r="22" spans="1:12" x14ac:dyDescent="0.25">
      <c r="A22" s="88"/>
      <c r="B22" s="25" t="str">
        <f>IF(A22="","",IFERROR(VLOOKUP(A22,DB_Customers!$A:$D,4,0),"❌ Account Not Found"))</f>
        <v/>
      </c>
      <c r="C22" s="89" t="str">
        <f>IF(A22="","",IFERROR(VLOOKUP(A22,DB_Customers!$A:$N,14,0),""))</f>
        <v/>
      </c>
      <c r="D22" s="90" t="str">
        <f t="shared" ca="1" si="0"/>
        <v/>
      </c>
      <c r="E22" s="97"/>
      <c r="F22" s="25"/>
      <c r="G22" s="99" t="str">
        <f t="shared" si="1"/>
        <v/>
      </c>
      <c r="H22" s="27"/>
      <c r="I22" s="84"/>
      <c r="J22" s="92" t="str">
        <f>IF(AND(A22&lt;&gt;"",E22&lt;&gt;""),IF(I22="","⚠️ Enter Code",IF(IFERROR(VLOOKUP(H22,DB_Agents!$B:$I,8,0),"")=I22,IF(C22&gt;=E22,"Successful","Unsuccessful"),"🔒 BLOCKED — Wrong Code")),"—")</f>
        <v>—</v>
      </c>
      <c r="K22" s="93" t="str">
        <f t="shared" ca="1" si="2"/>
        <v>—</v>
      </c>
      <c r="L22" s="94"/>
    </row>
    <row r="23" spans="1:12" x14ac:dyDescent="0.25">
      <c r="A23" s="79"/>
      <c r="B23" s="21" t="str">
        <f>IF(A23="","",IFERROR(VLOOKUP(A23,DB_Customers!$A:$D,4,0),"❌ Account Not Found"))</f>
        <v/>
      </c>
      <c r="C23" s="80" t="str">
        <f>IF(A23="","",IFERROR(VLOOKUP(A23,DB_Customers!$A:$N,14,0),""))</f>
        <v/>
      </c>
      <c r="D23" s="81" t="str">
        <f t="shared" ca="1" si="0"/>
        <v/>
      </c>
      <c r="E23" s="97"/>
      <c r="F23" s="21"/>
      <c r="G23" s="98" t="str">
        <f t="shared" si="1"/>
        <v/>
      </c>
      <c r="H23" s="23"/>
      <c r="I23" s="84"/>
      <c r="J23" s="85" t="str">
        <f>IF(AND(A23&lt;&gt;"",E23&lt;&gt;""),IF(I23="","⚠️ Enter Code",IF(IFERROR(VLOOKUP(H23,DB_Agents!$B:$I,8,0),"")=I23,IF(C23&gt;=E23,"Successful","Unsuccessful"),"🔒 BLOCKED — Wrong Code")),"—")</f>
        <v>—</v>
      </c>
      <c r="K23" s="86" t="str">
        <f t="shared" ca="1" si="2"/>
        <v>—</v>
      </c>
      <c r="L23" s="87"/>
    </row>
    <row r="24" spans="1:12" x14ac:dyDescent="0.25">
      <c r="A24" s="88"/>
      <c r="B24" s="25" t="str">
        <f>IF(A24="","",IFERROR(VLOOKUP(A24,DB_Customers!$A:$D,4,0),"❌ Account Not Found"))</f>
        <v/>
      </c>
      <c r="C24" s="89" t="str">
        <f>IF(A24="","",IFERROR(VLOOKUP(A24,DB_Customers!$A:$N,14,0),""))</f>
        <v/>
      </c>
      <c r="D24" s="90" t="str">
        <f t="shared" ca="1" si="0"/>
        <v/>
      </c>
      <c r="E24" s="97"/>
      <c r="F24" s="25"/>
      <c r="G24" s="99" t="str">
        <f t="shared" si="1"/>
        <v/>
      </c>
      <c r="H24" s="27"/>
      <c r="I24" s="84"/>
      <c r="J24" s="92" t="str">
        <f>IF(AND(A24&lt;&gt;"",E24&lt;&gt;""),IF(I24="","⚠️ Enter Code",IF(IFERROR(VLOOKUP(H24,DB_Agents!$B:$I,8,0),"")=I24,IF(C24&gt;=E24,"Successful","Unsuccessful"),"🔒 BLOCKED — Wrong Code")),"—")</f>
        <v>—</v>
      </c>
      <c r="K24" s="93" t="str">
        <f t="shared" ca="1" si="2"/>
        <v>—</v>
      </c>
      <c r="L24" s="94"/>
    </row>
    <row r="25" spans="1:12" x14ac:dyDescent="0.25">
      <c r="A25" s="79"/>
      <c r="B25" s="21" t="str">
        <f>IF(A25="","",IFERROR(VLOOKUP(A25,DB_Customers!$A:$D,4,0),"❌ Account Not Found"))</f>
        <v/>
      </c>
      <c r="C25" s="80" t="str">
        <f>IF(A25="","",IFERROR(VLOOKUP(A25,DB_Customers!$A:$N,14,0),""))</f>
        <v/>
      </c>
      <c r="D25" s="81" t="str">
        <f t="shared" ca="1" si="0"/>
        <v/>
      </c>
      <c r="E25" s="97"/>
      <c r="F25" s="21"/>
      <c r="G25" s="98" t="str">
        <f t="shared" si="1"/>
        <v/>
      </c>
      <c r="H25" s="23"/>
      <c r="I25" s="84"/>
      <c r="J25" s="85" t="str">
        <f>IF(AND(A25&lt;&gt;"",E25&lt;&gt;""),IF(I25="","⚠️ Enter Code",IF(IFERROR(VLOOKUP(H25,DB_Agents!$B:$I,8,0),"")=I25,IF(C25&gt;=E25,"Successful","Unsuccessful"),"🔒 BLOCKED — Wrong Code")),"—")</f>
        <v>—</v>
      </c>
      <c r="K25" s="86" t="str">
        <f t="shared" ca="1" si="2"/>
        <v>—</v>
      </c>
      <c r="L25" s="87"/>
    </row>
    <row r="26" spans="1:12" x14ac:dyDescent="0.25">
      <c r="A26" s="88"/>
      <c r="B26" s="25" t="str">
        <f>IF(A26="","",IFERROR(VLOOKUP(A26,DB_Customers!$A:$D,4,0),"❌ Account Not Found"))</f>
        <v/>
      </c>
      <c r="C26" s="89" t="str">
        <f>IF(A26="","",IFERROR(VLOOKUP(A26,DB_Customers!$A:$N,14,0),""))</f>
        <v/>
      </c>
      <c r="D26" s="90" t="str">
        <f t="shared" ca="1" si="0"/>
        <v/>
      </c>
      <c r="E26" s="97"/>
      <c r="F26" s="25"/>
      <c r="G26" s="99" t="str">
        <f t="shared" si="1"/>
        <v/>
      </c>
      <c r="H26" s="27"/>
      <c r="I26" s="84"/>
      <c r="J26" s="92" t="str">
        <f>IF(AND(A26&lt;&gt;"",E26&lt;&gt;""),IF(I26="","⚠️ Enter Code",IF(IFERROR(VLOOKUP(H26,DB_Agents!$B:$I,8,0),"")=I26,IF(C26&gt;=E26,"Successful","Unsuccessful"),"🔒 BLOCKED — Wrong Code")),"—")</f>
        <v>—</v>
      </c>
      <c r="K26" s="93" t="str">
        <f t="shared" ca="1" si="2"/>
        <v>—</v>
      </c>
      <c r="L26" s="94"/>
    </row>
    <row r="27" spans="1:12" x14ac:dyDescent="0.25">
      <c r="A27" s="79"/>
      <c r="B27" s="21" t="str">
        <f>IF(A27="","",IFERROR(VLOOKUP(A27,DB_Customers!$A:$D,4,0),"❌ Account Not Found"))</f>
        <v/>
      </c>
      <c r="C27" s="80" t="str">
        <f>IF(A27="","",IFERROR(VLOOKUP(A27,DB_Customers!$A:$N,14,0),""))</f>
        <v/>
      </c>
      <c r="D27" s="81" t="str">
        <f t="shared" ca="1" si="0"/>
        <v/>
      </c>
      <c r="E27" s="97"/>
      <c r="F27" s="21"/>
      <c r="G27" s="98" t="str">
        <f t="shared" si="1"/>
        <v/>
      </c>
      <c r="H27" s="23"/>
      <c r="I27" s="84"/>
      <c r="J27" s="85" t="str">
        <f>IF(AND(A27&lt;&gt;"",E27&lt;&gt;""),IF(I27="","⚠️ Enter Code",IF(IFERROR(VLOOKUP(H27,DB_Agents!$B:$I,8,0),"")=I27,IF(C27&gt;=E27,"Successful","Unsuccessful"),"🔒 BLOCKED — Wrong Code")),"—")</f>
        <v>—</v>
      </c>
      <c r="K27" s="86" t="str">
        <f t="shared" ca="1" si="2"/>
        <v>—</v>
      </c>
      <c r="L27" s="87"/>
    </row>
    <row r="28" spans="1:12" x14ac:dyDescent="0.25">
      <c r="A28" s="88"/>
      <c r="B28" s="25" t="str">
        <f>IF(A28="","",IFERROR(VLOOKUP(A28,DB_Customers!$A:$D,4,0),"❌ Account Not Found"))</f>
        <v/>
      </c>
      <c r="C28" s="89" t="str">
        <f>IF(A28="","",IFERROR(VLOOKUP(A28,DB_Customers!$A:$N,14,0),""))</f>
        <v/>
      </c>
      <c r="D28" s="90" t="str">
        <f t="shared" ca="1" si="0"/>
        <v/>
      </c>
      <c r="E28" s="97"/>
      <c r="F28" s="25"/>
      <c r="G28" s="99" t="str">
        <f t="shared" si="1"/>
        <v/>
      </c>
      <c r="H28" s="27"/>
      <c r="I28" s="84"/>
      <c r="J28" s="92" t="str">
        <f>IF(AND(A28&lt;&gt;"",E28&lt;&gt;""),IF(I28="","⚠️ Enter Code",IF(IFERROR(VLOOKUP(H28,DB_Agents!$B:$I,8,0),"")=I28,IF(C28&gt;=E28,"Successful","Unsuccessful"),"🔒 BLOCKED — Wrong Code")),"—")</f>
        <v>—</v>
      </c>
      <c r="K28" s="93" t="str">
        <f t="shared" ca="1" si="2"/>
        <v>—</v>
      </c>
      <c r="L28" s="94"/>
    </row>
    <row r="29" spans="1:12" x14ac:dyDescent="0.25">
      <c r="A29" s="79"/>
      <c r="B29" s="21" t="str">
        <f>IF(A29="","",IFERROR(VLOOKUP(A29,DB_Customers!$A:$D,4,0),"❌ Account Not Found"))</f>
        <v/>
      </c>
      <c r="C29" s="80" t="str">
        <f>IF(A29="","",IFERROR(VLOOKUP(A29,DB_Customers!$A:$N,14,0),""))</f>
        <v/>
      </c>
      <c r="D29" s="81" t="str">
        <f t="shared" ca="1" si="0"/>
        <v/>
      </c>
      <c r="E29" s="97"/>
      <c r="F29" s="21"/>
      <c r="G29" s="98" t="str">
        <f t="shared" si="1"/>
        <v/>
      </c>
      <c r="H29" s="23"/>
      <c r="I29" s="84"/>
      <c r="J29" s="85" t="str">
        <f>IF(AND(A29&lt;&gt;"",E29&lt;&gt;""),IF(I29="","⚠️ Enter Code",IF(IFERROR(VLOOKUP(H29,DB_Agents!$B:$I,8,0),"")=I29,IF(C29&gt;=E29,"Successful","Unsuccessful"),"🔒 BLOCKED — Wrong Code")),"—")</f>
        <v>—</v>
      </c>
      <c r="K29" s="86" t="str">
        <f t="shared" ca="1" si="2"/>
        <v>—</v>
      </c>
      <c r="L29" s="87"/>
    </row>
    <row r="30" spans="1:12" x14ac:dyDescent="0.25">
      <c r="A30" s="88"/>
      <c r="B30" s="25" t="str">
        <f>IF(A30="","",IFERROR(VLOOKUP(A30,DB_Customers!$A:$D,4,0),"❌ Account Not Found"))</f>
        <v/>
      </c>
      <c r="C30" s="89" t="str">
        <f>IF(A30="","",IFERROR(VLOOKUP(A30,DB_Customers!$A:$N,14,0),""))</f>
        <v/>
      </c>
      <c r="D30" s="90" t="str">
        <f t="shared" ca="1" si="0"/>
        <v/>
      </c>
      <c r="E30" s="97"/>
      <c r="F30" s="25"/>
      <c r="G30" s="99" t="str">
        <f t="shared" si="1"/>
        <v/>
      </c>
      <c r="H30" s="27"/>
      <c r="I30" s="84"/>
      <c r="J30" s="92" t="str">
        <f>IF(AND(A30&lt;&gt;"",E30&lt;&gt;""),IF(I30="","⚠️ Enter Code",IF(IFERROR(VLOOKUP(H30,DB_Agents!$B:$I,8,0),"")=I30,IF(C30&gt;=E30,"Successful","Unsuccessful"),"🔒 BLOCKED — Wrong Code")),"—")</f>
        <v>—</v>
      </c>
      <c r="K30" s="93" t="str">
        <f t="shared" ca="1" si="2"/>
        <v>—</v>
      </c>
      <c r="L30" s="94"/>
    </row>
    <row r="31" spans="1:12" x14ac:dyDescent="0.25">
      <c r="A31" s="79"/>
      <c r="B31" s="21" t="str">
        <f>IF(A31="","",IFERROR(VLOOKUP(A31,DB_Customers!$A:$D,4,0),"❌ Account Not Found"))</f>
        <v/>
      </c>
      <c r="C31" s="80" t="str">
        <f>IF(A31="","",IFERROR(VLOOKUP(A31,DB_Customers!$A:$N,14,0),""))</f>
        <v/>
      </c>
      <c r="D31" s="81" t="str">
        <f t="shared" ca="1" si="0"/>
        <v/>
      </c>
      <c r="E31" s="97"/>
      <c r="F31" s="21"/>
      <c r="G31" s="98" t="str">
        <f t="shared" si="1"/>
        <v/>
      </c>
      <c r="H31" s="23"/>
      <c r="I31" s="84"/>
      <c r="J31" s="85" t="str">
        <f>IF(AND(A31&lt;&gt;"",E31&lt;&gt;""),IF(I31="","⚠️ Enter Code",IF(IFERROR(VLOOKUP(H31,DB_Agents!$B:$I,8,0),"")=I31,IF(C31&gt;=E31,"Successful","Unsuccessful"),"🔒 BLOCKED — Wrong Code")),"—")</f>
        <v>—</v>
      </c>
      <c r="K31" s="86" t="str">
        <f t="shared" ca="1" si="2"/>
        <v>—</v>
      </c>
      <c r="L31" s="87"/>
    </row>
    <row r="32" spans="1:12" x14ac:dyDescent="0.25">
      <c r="A32" s="88"/>
      <c r="B32" s="25" t="str">
        <f>IF(A32="","",IFERROR(VLOOKUP(A32,DB_Customers!$A:$D,4,0),"❌ Account Not Found"))</f>
        <v/>
      </c>
      <c r="C32" s="89" t="str">
        <f>IF(A32="","",IFERROR(VLOOKUP(A32,DB_Customers!$A:$N,14,0),""))</f>
        <v/>
      </c>
      <c r="D32" s="90" t="str">
        <f t="shared" ca="1" si="0"/>
        <v/>
      </c>
      <c r="E32" s="97"/>
      <c r="F32" s="25"/>
      <c r="G32" s="99" t="str">
        <f t="shared" si="1"/>
        <v/>
      </c>
      <c r="H32" s="27"/>
      <c r="I32" s="84"/>
      <c r="J32" s="92" t="str">
        <f>IF(AND(A32&lt;&gt;"",E32&lt;&gt;""),IF(I32="","⚠️ Enter Code",IF(IFERROR(VLOOKUP(H32,DB_Agents!$B:$I,8,0),"")=I32,IF(C32&gt;=E32,"Successful","Unsuccessful"),"🔒 BLOCKED — Wrong Code")),"—")</f>
        <v>—</v>
      </c>
      <c r="K32" s="93" t="str">
        <f t="shared" ca="1" si="2"/>
        <v>—</v>
      </c>
      <c r="L32" s="94"/>
    </row>
    <row r="33" spans="1:12" x14ac:dyDescent="0.25">
      <c r="A33" s="79"/>
      <c r="B33" s="21" t="str">
        <f>IF(A33="","",IFERROR(VLOOKUP(A33,DB_Customers!$A:$D,4,0),"❌ Account Not Found"))</f>
        <v/>
      </c>
      <c r="C33" s="80" t="str">
        <f>IF(A33="","",IFERROR(VLOOKUP(A33,DB_Customers!$A:$N,14,0),""))</f>
        <v/>
      </c>
      <c r="D33" s="81" t="str">
        <f t="shared" ca="1" si="0"/>
        <v/>
      </c>
      <c r="E33" s="97"/>
      <c r="F33" s="21"/>
      <c r="G33" s="98" t="str">
        <f t="shared" si="1"/>
        <v/>
      </c>
      <c r="H33" s="23"/>
      <c r="I33" s="84"/>
      <c r="J33" s="85" t="str">
        <f>IF(AND(A33&lt;&gt;"",E33&lt;&gt;""),IF(I33="","⚠️ Enter Code",IF(IFERROR(VLOOKUP(H33,DB_Agents!$B:$I,8,0),"")=I33,IF(C33&gt;=E33,"Successful","Unsuccessful"),"🔒 BLOCKED — Wrong Code")),"—")</f>
        <v>—</v>
      </c>
      <c r="K33" s="86" t="str">
        <f t="shared" ca="1" si="2"/>
        <v>—</v>
      </c>
      <c r="L33" s="87"/>
    </row>
    <row r="34" spans="1:12" x14ac:dyDescent="0.25">
      <c r="A34" s="88"/>
      <c r="B34" s="25" t="str">
        <f>IF(A34="","",IFERROR(VLOOKUP(A34,DB_Customers!$A:$D,4,0),"❌ Account Not Found"))</f>
        <v/>
      </c>
      <c r="C34" s="89" t="str">
        <f>IF(A34="","",IFERROR(VLOOKUP(A34,DB_Customers!$A:$N,14,0),""))</f>
        <v/>
      </c>
      <c r="D34" s="90" t="str">
        <f t="shared" ca="1" si="0"/>
        <v/>
      </c>
      <c r="E34" s="97"/>
      <c r="F34" s="25"/>
      <c r="G34" s="99" t="str">
        <f t="shared" si="1"/>
        <v/>
      </c>
      <c r="H34" s="27"/>
      <c r="I34" s="84"/>
      <c r="J34" s="92" t="str">
        <f>IF(AND(A34&lt;&gt;"",E34&lt;&gt;""),IF(I34="","⚠️ Enter Code",IF(IFERROR(VLOOKUP(H34,DB_Agents!$B:$I,8,0),"")=I34,IF(C34&gt;=E34,"Successful","Unsuccessful"),"🔒 BLOCKED — Wrong Code")),"—")</f>
        <v>—</v>
      </c>
      <c r="K34" s="93" t="str">
        <f t="shared" ca="1" si="2"/>
        <v>—</v>
      </c>
      <c r="L34" s="94"/>
    </row>
    <row r="35" spans="1:12" x14ac:dyDescent="0.25">
      <c r="A35" s="79"/>
      <c r="B35" s="21" t="str">
        <f>IF(A35="","",IFERROR(VLOOKUP(A35,DB_Customers!$A:$D,4,0),"❌ Account Not Found"))</f>
        <v/>
      </c>
      <c r="C35" s="80" t="str">
        <f>IF(A35="","",IFERROR(VLOOKUP(A35,DB_Customers!$A:$N,14,0),""))</f>
        <v/>
      </c>
      <c r="D35" s="81" t="str">
        <f t="shared" ca="1" si="0"/>
        <v/>
      </c>
      <c r="E35" s="97"/>
      <c r="F35" s="21"/>
      <c r="G35" s="98" t="str">
        <f t="shared" si="1"/>
        <v/>
      </c>
      <c r="H35" s="23"/>
      <c r="I35" s="84"/>
      <c r="J35" s="85" t="str">
        <f>IF(AND(A35&lt;&gt;"",E35&lt;&gt;""),IF(I35="","⚠️ Enter Code",IF(IFERROR(VLOOKUP(H35,DB_Agents!$B:$I,8,0),"")=I35,IF(C35&gt;=E35,"Successful","Unsuccessful"),"🔒 BLOCKED — Wrong Code")),"—")</f>
        <v>—</v>
      </c>
      <c r="K35" s="86" t="str">
        <f t="shared" ca="1" si="2"/>
        <v>—</v>
      </c>
      <c r="L35" s="87"/>
    </row>
    <row r="36" spans="1:12" x14ac:dyDescent="0.25">
      <c r="A36" s="88"/>
      <c r="B36" s="25" t="str">
        <f>IF(A36="","",IFERROR(VLOOKUP(A36,DB_Customers!$A:$D,4,0),"❌ Account Not Found"))</f>
        <v/>
      </c>
      <c r="C36" s="89" t="str">
        <f>IF(A36="","",IFERROR(VLOOKUP(A36,DB_Customers!$A:$N,14,0),""))</f>
        <v/>
      </c>
      <c r="D36" s="90" t="str">
        <f t="shared" ca="1" si="0"/>
        <v/>
      </c>
      <c r="E36" s="97"/>
      <c r="F36" s="25"/>
      <c r="G36" s="99" t="str">
        <f t="shared" si="1"/>
        <v/>
      </c>
      <c r="H36" s="27"/>
      <c r="I36" s="84"/>
      <c r="J36" s="92" t="str">
        <f>IF(AND(A36&lt;&gt;"",E36&lt;&gt;""),IF(I36="","⚠️ Enter Code",IF(IFERROR(VLOOKUP(H36,DB_Agents!$B:$I,8,0),"")=I36,IF(C36&gt;=E36,"Successful","Unsuccessful"),"🔒 BLOCKED — Wrong Code")),"—")</f>
        <v>—</v>
      </c>
      <c r="K36" s="93" t="str">
        <f t="shared" ca="1" si="2"/>
        <v>—</v>
      </c>
      <c r="L36" s="94"/>
    </row>
    <row r="37" spans="1:12" x14ac:dyDescent="0.25">
      <c r="A37" s="79"/>
      <c r="B37" s="21" t="str">
        <f>IF(A37="","",IFERROR(VLOOKUP(A37,DB_Customers!$A:$D,4,0),"❌ Account Not Found"))</f>
        <v/>
      </c>
      <c r="C37" s="80" t="str">
        <f>IF(A37="","",IFERROR(VLOOKUP(A37,DB_Customers!$A:$N,14,0),""))</f>
        <v/>
      </c>
      <c r="D37" s="81" t="str">
        <f t="shared" ca="1" si="0"/>
        <v/>
      </c>
      <c r="E37" s="97"/>
      <c r="F37" s="21"/>
      <c r="G37" s="98" t="str">
        <f t="shared" si="1"/>
        <v/>
      </c>
      <c r="H37" s="23"/>
      <c r="I37" s="84"/>
      <c r="J37" s="85" t="str">
        <f>IF(AND(A37&lt;&gt;"",E37&lt;&gt;""),IF(I37="","⚠️ Enter Code",IF(IFERROR(VLOOKUP(H37,DB_Agents!$B:$I,8,0),"")=I37,IF(C37&gt;=E37,"Successful","Unsuccessful"),"🔒 BLOCKED — Wrong Code")),"—")</f>
        <v>—</v>
      </c>
      <c r="K37" s="86" t="str">
        <f t="shared" ca="1" si="2"/>
        <v>—</v>
      </c>
      <c r="L37" s="87"/>
    </row>
    <row r="38" spans="1:12" x14ac:dyDescent="0.25">
      <c r="A38" s="88"/>
      <c r="B38" s="25" t="str">
        <f>IF(A38="","",IFERROR(VLOOKUP(A38,DB_Customers!$A:$D,4,0),"❌ Account Not Found"))</f>
        <v/>
      </c>
      <c r="C38" s="89" t="str">
        <f>IF(A38="","",IFERROR(VLOOKUP(A38,DB_Customers!$A:$N,14,0),""))</f>
        <v/>
      </c>
      <c r="D38" s="90" t="str">
        <f t="shared" ca="1" si="0"/>
        <v/>
      </c>
      <c r="E38" s="97"/>
      <c r="F38" s="25"/>
      <c r="G38" s="99" t="str">
        <f t="shared" si="1"/>
        <v/>
      </c>
      <c r="H38" s="27"/>
      <c r="I38" s="84"/>
      <c r="J38" s="92" t="str">
        <f>IF(AND(A38&lt;&gt;"",E38&lt;&gt;""),IF(I38="","⚠️ Enter Code",IF(IFERROR(VLOOKUP(H38,DB_Agents!$B:$I,8,0),"")=I38,IF(C38&gt;=E38,"Successful","Unsuccessful"),"🔒 BLOCKED — Wrong Code")),"—")</f>
        <v>—</v>
      </c>
      <c r="K38" s="93" t="str">
        <f t="shared" ca="1" si="2"/>
        <v>—</v>
      </c>
      <c r="L38" s="94"/>
    </row>
    <row r="39" spans="1:12" x14ac:dyDescent="0.25">
      <c r="A39" s="79"/>
      <c r="B39" s="21" t="str">
        <f>IF(A39="","",IFERROR(VLOOKUP(A39,DB_Customers!$A:$D,4,0),"❌ Account Not Found"))</f>
        <v/>
      </c>
      <c r="C39" s="80" t="str">
        <f>IF(A39="","",IFERROR(VLOOKUP(A39,DB_Customers!$A:$N,14,0),""))</f>
        <v/>
      </c>
      <c r="D39" s="81" t="str">
        <f t="shared" ca="1" si="0"/>
        <v/>
      </c>
      <c r="E39" s="97"/>
      <c r="F39" s="21"/>
      <c r="G39" s="98" t="str">
        <f t="shared" si="1"/>
        <v/>
      </c>
      <c r="H39" s="23"/>
      <c r="I39" s="84"/>
      <c r="J39" s="85" t="str">
        <f>IF(AND(A39&lt;&gt;"",E39&lt;&gt;""),IF(I39="","⚠️ Enter Code",IF(IFERROR(VLOOKUP(H39,DB_Agents!$B:$I,8,0),"")=I39,IF(C39&gt;=E39,"Successful","Unsuccessful"),"🔒 BLOCKED — Wrong Code")),"—")</f>
        <v>—</v>
      </c>
      <c r="K39" s="86" t="str">
        <f t="shared" ca="1" si="2"/>
        <v>—</v>
      </c>
      <c r="L39" s="87"/>
    </row>
    <row r="40" spans="1:12" x14ac:dyDescent="0.25">
      <c r="A40" s="88"/>
      <c r="B40" s="25" t="str">
        <f>IF(A40="","",IFERROR(VLOOKUP(A40,DB_Customers!$A:$D,4,0),"❌ Account Not Found"))</f>
        <v/>
      </c>
      <c r="C40" s="89" t="str">
        <f>IF(A40="","",IFERROR(VLOOKUP(A40,DB_Customers!$A:$N,14,0),""))</f>
        <v/>
      </c>
      <c r="D40" s="90" t="str">
        <f t="shared" ca="1" si="0"/>
        <v/>
      </c>
      <c r="E40" s="97"/>
      <c r="F40" s="25"/>
      <c r="G40" s="99" t="str">
        <f t="shared" si="1"/>
        <v/>
      </c>
      <c r="H40" s="27"/>
      <c r="I40" s="84"/>
      <c r="J40" s="92" t="str">
        <f>IF(AND(A40&lt;&gt;"",E40&lt;&gt;""),IF(I40="","⚠️ Enter Code",IF(IFERROR(VLOOKUP(H40,DB_Agents!$B:$I,8,0),"")=I40,IF(C40&gt;=E40,"Successful","Unsuccessful"),"🔒 BLOCKED — Wrong Code")),"—")</f>
        <v>—</v>
      </c>
      <c r="K40" s="93" t="str">
        <f t="shared" ca="1" si="2"/>
        <v>—</v>
      </c>
      <c r="L40" s="94"/>
    </row>
    <row r="41" spans="1:12" x14ac:dyDescent="0.25">
      <c r="A41" s="79"/>
      <c r="B41" s="21" t="str">
        <f>IF(A41="","",IFERROR(VLOOKUP(A41,DB_Customers!$A:$D,4,0),"❌ Account Not Found"))</f>
        <v/>
      </c>
      <c r="C41" s="80" t="str">
        <f>IF(A41="","",IFERROR(VLOOKUP(A41,DB_Customers!$A:$N,14,0),""))</f>
        <v/>
      </c>
      <c r="D41" s="81" t="str">
        <f t="shared" ref="D41:D72" ca="1" si="3">IF(A41="","",TODAY())</f>
        <v/>
      </c>
      <c r="E41" s="97"/>
      <c r="F41" s="21"/>
      <c r="G41" s="98" t="str">
        <f t="shared" ref="G41:G72" si="4">IF(OR(A41="",E41=""),"",IF(C41="","",C41-E41))</f>
        <v/>
      </c>
      <c r="H41" s="23"/>
      <c r="I41" s="84"/>
      <c r="J41" s="85" t="str">
        <f>IF(AND(A41&lt;&gt;"",E41&lt;&gt;""),IF(I41="","⚠️ Enter Code",IF(IFERROR(VLOOKUP(H41,DB_Agents!$B:$I,8,0),"")=I41,IF(C41&gt;=E41,"Successful","Unsuccessful"),"🔒 BLOCKED — Wrong Code")),"—")</f>
        <v>—</v>
      </c>
      <c r="K41" s="86" t="str">
        <f t="shared" ref="K41:K72" ca="1" si="5">IF(J41="Successful",TEXT(TODAY(),"YYYY-MM-DD")&amp;" Auto","—")</f>
        <v>—</v>
      </c>
      <c r="L41" s="87"/>
    </row>
    <row r="42" spans="1:12" x14ac:dyDescent="0.25">
      <c r="A42" s="88"/>
      <c r="B42" s="25" t="str">
        <f>IF(A42="","",IFERROR(VLOOKUP(A42,DB_Customers!$A:$D,4,0),"❌ Account Not Found"))</f>
        <v/>
      </c>
      <c r="C42" s="89" t="str">
        <f>IF(A42="","",IFERROR(VLOOKUP(A42,DB_Customers!$A:$N,14,0),""))</f>
        <v/>
      </c>
      <c r="D42" s="90" t="str">
        <f t="shared" ca="1" si="3"/>
        <v/>
      </c>
      <c r="E42" s="97"/>
      <c r="F42" s="25"/>
      <c r="G42" s="99" t="str">
        <f t="shared" si="4"/>
        <v/>
      </c>
      <c r="H42" s="27"/>
      <c r="I42" s="84"/>
      <c r="J42" s="92" t="str">
        <f>IF(AND(A42&lt;&gt;"",E42&lt;&gt;""),IF(I42="","⚠️ Enter Code",IF(IFERROR(VLOOKUP(H42,DB_Agents!$B:$I,8,0),"")=I42,IF(C42&gt;=E42,"Successful","Unsuccessful"),"🔒 BLOCKED — Wrong Code")),"—")</f>
        <v>—</v>
      </c>
      <c r="K42" s="93" t="str">
        <f t="shared" ca="1" si="5"/>
        <v>—</v>
      </c>
      <c r="L42" s="94"/>
    </row>
    <row r="43" spans="1:12" x14ac:dyDescent="0.25">
      <c r="A43" s="79"/>
      <c r="B43" s="21" t="str">
        <f>IF(A43="","",IFERROR(VLOOKUP(A43,DB_Customers!$A:$D,4,0),"❌ Account Not Found"))</f>
        <v/>
      </c>
      <c r="C43" s="80" t="str">
        <f>IF(A43="","",IFERROR(VLOOKUP(A43,DB_Customers!$A:$N,14,0),""))</f>
        <v/>
      </c>
      <c r="D43" s="81" t="str">
        <f t="shared" ca="1" si="3"/>
        <v/>
      </c>
      <c r="E43" s="97"/>
      <c r="F43" s="21"/>
      <c r="G43" s="98" t="str">
        <f t="shared" si="4"/>
        <v/>
      </c>
      <c r="H43" s="23"/>
      <c r="I43" s="84"/>
      <c r="J43" s="85" t="str">
        <f>IF(AND(A43&lt;&gt;"",E43&lt;&gt;""),IF(I43="","⚠️ Enter Code",IF(IFERROR(VLOOKUP(H43,DB_Agents!$B:$I,8,0),"")=I43,IF(C43&gt;=E43,"Successful","Unsuccessful"),"🔒 BLOCKED — Wrong Code")),"—")</f>
        <v>—</v>
      </c>
      <c r="K43" s="86" t="str">
        <f t="shared" ca="1" si="5"/>
        <v>—</v>
      </c>
      <c r="L43" s="87"/>
    </row>
    <row r="44" spans="1:12" x14ac:dyDescent="0.25">
      <c r="A44" s="88"/>
      <c r="B44" s="25" t="str">
        <f>IF(A44="","",IFERROR(VLOOKUP(A44,DB_Customers!$A:$D,4,0),"❌ Account Not Found"))</f>
        <v/>
      </c>
      <c r="C44" s="89" t="str">
        <f>IF(A44="","",IFERROR(VLOOKUP(A44,DB_Customers!$A:$N,14,0),""))</f>
        <v/>
      </c>
      <c r="D44" s="90" t="str">
        <f t="shared" ca="1" si="3"/>
        <v/>
      </c>
      <c r="E44" s="97"/>
      <c r="F44" s="25"/>
      <c r="G44" s="99" t="str">
        <f t="shared" si="4"/>
        <v/>
      </c>
      <c r="H44" s="27"/>
      <c r="I44" s="84"/>
      <c r="J44" s="92" t="str">
        <f>IF(AND(A44&lt;&gt;"",E44&lt;&gt;""),IF(I44="","⚠️ Enter Code",IF(IFERROR(VLOOKUP(H44,DB_Agents!$B:$I,8,0),"")=I44,IF(C44&gt;=E44,"Successful","Unsuccessful"),"🔒 BLOCKED — Wrong Code")),"—")</f>
        <v>—</v>
      </c>
      <c r="K44" s="93" t="str">
        <f t="shared" ca="1" si="5"/>
        <v>—</v>
      </c>
      <c r="L44" s="94"/>
    </row>
    <row r="45" spans="1:12" x14ac:dyDescent="0.25">
      <c r="A45" s="79"/>
      <c r="B45" s="21" t="str">
        <f>IF(A45="","",IFERROR(VLOOKUP(A45,DB_Customers!$A:$D,4,0),"❌ Account Not Found"))</f>
        <v/>
      </c>
      <c r="C45" s="80" t="str">
        <f>IF(A45="","",IFERROR(VLOOKUP(A45,DB_Customers!$A:$N,14,0),""))</f>
        <v/>
      </c>
      <c r="D45" s="81" t="str">
        <f t="shared" ca="1" si="3"/>
        <v/>
      </c>
      <c r="E45" s="97"/>
      <c r="F45" s="21"/>
      <c r="G45" s="98" t="str">
        <f t="shared" si="4"/>
        <v/>
      </c>
      <c r="H45" s="23"/>
      <c r="I45" s="84"/>
      <c r="J45" s="85" t="str">
        <f>IF(AND(A45&lt;&gt;"",E45&lt;&gt;""),IF(I45="","⚠️ Enter Code",IF(IFERROR(VLOOKUP(H45,DB_Agents!$B:$I,8,0),"")=I45,IF(C45&gt;=E45,"Successful","Unsuccessful"),"🔒 BLOCKED — Wrong Code")),"—")</f>
        <v>—</v>
      </c>
      <c r="K45" s="86" t="str">
        <f t="shared" ca="1" si="5"/>
        <v>—</v>
      </c>
      <c r="L45" s="87"/>
    </row>
    <row r="46" spans="1:12" x14ac:dyDescent="0.25">
      <c r="A46" s="88"/>
      <c r="B46" s="25" t="str">
        <f>IF(A46="","",IFERROR(VLOOKUP(A46,DB_Customers!$A:$D,4,0),"❌ Account Not Found"))</f>
        <v/>
      </c>
      <c r="C46" s="89" t="str">
        <f>IF(A46="","",IFERROR(VLOOKUP(A46,DB_Customers!$A:$N,14,0),""))</f>
        <v/>
      </c>
      <c r="D46" s="90" t="str">
        <f t="shared" ca="1" si="3"/>
        <v/>
      </c>
      <c r="E46" s="97"/>
      <c r="F46" s="25"/>
      <c r="G46" s="99" t="str">
        <f t="shared" si="4"/>
        <v/>
      </c>
      <c r="H46" s="27"/>
      <c r="I46" s="84"/>
      <c r="J46" s="92" t="str">
        <f>IF(AND(A46&lt;&gt;"",E46&lt;&gt;""),IF(I46="","⚠️ Enter Code",IF(IFERROR(VLOOKUP(H46,DB_Agents!$B:$I,8,0),"")=I46,IF(C46&gt;=E46,"Successful","Unsuccessful"),"🔒 BLOCKED — Wrong Code")),"—")</f>
        <v>—</v>
      </c>
      <c r="K46" s="93" t="str">
        <f t="shared" ca="1" si="5"/>
        <v>—</v>
      </c>
      <c r="L46" s="94"/>
    </row>
    <row r="47" spans="1:12" x14ac:dyDescent="0.25">
      <c r="A47" s="79"/>
      <c r="B47" s="21" t="str">
        <f>IF(A47="","",IFERROR(VLOOKUP(A47,DB_Customers!$A:$D,4,0),"❌ Account Not Found"))</f>
        <v/>
      </c>
      <c r="C47" s="80" t="str">
        <f>IF(A47="","",IFERROR(VLOOKUP(A47,DB_Customers!$A:$N,14,0),""))</f>
        <v/>
      </c>
      <c r="D47" s="81" t="str">
        <f t="shared" ca="1" si="3"/>
        <v/>
      </c>
      <c r="E47" s="97"/>
      <c r="F47" s="21"/>
      <c r="G47" s="98" t="str">
        <f t="shared" si="4"/>
        <v/>
      </c>
      <c r="H47" s="23"/>
      <c r="I47" s="84"/>
      <c r="J47" s="85" t="str">
        <f>IF(AND(A47&lt;&gt;"",E47&lt;&gt;""),IF(I47="","⚠️ Enter Code",IF(IFERROR(VLOOKUP(H47,DB_Agents!$B:$I,8,0),"")=I47,IF(C47&gt;=E47,"Successful","Unsuccessful"),"🔒 BLOCKED — Wrong Code")),"—")</f>
        <v>—</v>
      </c>
      <c r="K47" s="86" t="str">
        <f t="shared" ca="1" si="5"/>
        <v>—</v>
      </c>
      <c r="L47" s="87"/>
    </row>
    <row r="48" spans="1:12" x14ac:dyDescent="0.25">
      <c r="A48" s="88"/>
      <c r="B48" s="25" t="str">
        <f>IF(A48="","",IFERROR(VLOOKUP(A48,DB_Customers!$A:$D,4,0),"❌ Account Not Found"))</f>
        <v/>
      </c>
      <c r="C48" s="89" t="str">
        <f>IF(A48="","",IFERROR(VLOOKUP(A48,DB_Customers!$A:$N,14,0),""))</f>
        <v/>
      </c>
      <c r="D48" s="90" t="str">
        <f t="shared" ca="1" si="3"/>
        <v/>
      </c>
      <c r="E48" s="97"/>
      <c r="F48" s="25"/>
      <c r="G48" s="99" t="str">
        <f t="shared" si="4"/>
        <v/>
      </c>
      <c r="H48" s="27"/>
      <c r="I48" s="84"/>
      <c r="J48" s="92" t="str">
        <f>IF(AND(A48&lt;&gt;"",E48&lt;&gt;""),IF(I48="","⚠️ Enter Code",IF(IFERROR(VLOOKUP(H48,DB_Agents!$B:$I,8,0),"")=I48,IF(C48&gt;=E48,"Successful","Unsuccessful"),"🔒 BLOCKED — Wrong Code")),"—")</f>
        <v>—</v>
      </c>
      <c r="K48" s="93" t="str">
        <f t="shared" ca="1" si="5"/>
        <v>—</v>
      </c>
      <c r="L48" s="94"/>
    </row>
    <row r="49" spans="1:12" x14ac:dyDescent="0.25">
      <c r="A49" s="79"/>
      <c r="B49" s="21" t="str">
        <f>IF(A49="","",IFERROR(VLOOKUP(A49,DB_Customers!$A:$D,4,0),"❌ Account Not Found"))</f>
        <v/>
      </c>
      <c r="C49" s="80" t="str">
        <f>IF(A49="","",IFERROR(VLOOKUP(A49,DB_Customers!$A:$N,14,0),""))</f>
        <v/>
      </c>
      <c r="D49" s="81" t="str">
        <f t="shared" ca="1" si="3"/>
        <v/>
      </c>
      <c r="E49" s="97"/>
      <c r="F49" s="21"/>
      <c r="G49" s="98" t="str">
        <f t="shared" si="4"/>
        <v/>
      </c>
      <c r="H49" s="23"/>
      <c r="I49" s="84"/>
      <c r="J49" s="85" t="str">
        <f>IF(AND(A49&lt;&gt;"",E49&lt;&gt;""),IF(I49="","⚠️ Enter Code",IF(IFERROR(VLOOKUP(H49,DB_Agents!$B:$I,8,0),"")=I49,IF(C49&gt;=E49,"Successful","Unsuccessful"),"🔒 BLOCKED — Wrong Code")),"—")</f>
        <v>—</v>
      </c>
      <c r="K49" s="86" t="str">
        <f t="shared" ca="1" si="5"/>
        <v>—</v>
      </c>
      <c r="L49" s="87"/>
    </row>
    <row r="50" spans="1:12" x14ac:dyDescent="0.25">
      <c r="A50" s="88"/>
      <c r="B50" s="25" t="str">
        <f>IF(A50="","",IFERROR(VLOOKUP(A50,DB_Customers!$A:$D,4,0),"❌ Account Not Found"))</f>
        <v/>
      </c>
      <c r="C50" s="89" t="str">
        <f>IF(A50="","",IFERROR(VLOOKUP(A50,DB_Customers!$A:$N,14,0),""))</f>
        <v/>
      </c>
      <c r="D50" s="90" t="str">
        <f t="shared" ca="1" si="3"/>
        <v/>
      </c>
      <c r="E50" s="97"/>
      <c r="F50" s="25"/>
      <c r="G50" s="99" t="str">
        <f t="shared" si="4"/>
        <v/>
      </c>
      <c r="H50" s="27"/>
      <c r="I50" s="84"/>
      <c r="J50" s="92" t="str">
        <f>IF(AND(A50&lt;&gt;"",E50&lt;&gt;""),IF(I50="","⚠️ Enter Code",IF(IFERROR(VLOOKUP(H50,DB_Agents!$B:$I,8,0),"")=I50,IF(C50&gt;=E50,"Successful","Unsuccessful"),"🔒 BLOCKED — Wrong Code")),"—")</f>
        <v>—</v>
      </c>
      <c r="K50" s="93" t="str">
        <f t="shared" ca="1" si="5"/>
        <v>—</v>
      </c>
      <c r="L50" s="94"/>
    </row>
    <row r="51" spans="1:12" x14ac:dyDescent="0.25">
      <c r="A51" s="79"/>
      <c r="B51" s="21" t="str">
        <f>IF(A51="","",IFERROR(VLOOKUP(A51,DB_Customers!$A:$D,4,0),"❌ Account Not Found"))</f>
        <v/>
      </c>
      <c r="C51" s="80" t="str">
        <f>IF(A51="","",IFERROR(VLOOKUP(A51,DB_Customers!$A:$N,14,0),""))</f>
        <v/>
      </c>
      <c r="D51" s="81" t="str">
        <f t="shared" ca="1" si="3"/>
        <v/>
      </c>
      <c r="E51" s="97"/>
      <c r="F51" s="21"/>
      <c r="G51" s="98" t="str">
        <f t="shared" si="4"/>
        <v/>
      </c>
      <c r="H51" s="23"/>
      <c r="I51" s="84"/>
      <c r="J51" s="85" t="str">
        <f>IF(AND(A51&lt;&gt;"",E51&lt;&gt;""),IF(I51="","⚠️ Enter Code",IF(IFERROR(VLOOKUP(H51,DB_Agents!$B:$I,8,0),"")=I51,IF(C51&gt;=E51,"Successful","Unsuccessful"),"🔒 BLOCKED — Wrong Code")),"—")</f>
        <v>—</v>
      </c>
      <c r="K51" s="86" t="str">
        <f t="shared" ca="1" si="5"/>
        <v>—</v>
      </c>
      <c r="L51" s="87"/>
    </row>
    <row r="52" spans="1:12" x14ac:dyDescent="0.25">
      <c r="A52" s="88"/>
      <c r="B52" s="25" t="str">
        <f>IF(A52="","",IFERROR(VLOOKUP(A52,DB_Customers!$A:$D,4,0),"❌ Account Not Found"))</f>
        <v/>
      </c>
      <c r="C52" s="89" t="str">
        <f>IF(A52="","",IFERROR(VLOOKUP(A52,DB_Customers!$A:$N,14,0),""))</f>
        <v/>
      </c>
      <c r="D52" s="90" t="str">
        <f t="shared" ca="1" si="3"/>
        <v/>
      </c>
      <c r="E52" s="97"/>
      <c r="F52" s="25"/>
      <c r="G52" s="99" t="str">
        <f t="shared" si="4"/>
        <v/>
      </c>
      <c r="H52" s="27"/>
      <c r="I52" s="84"/>
      <c r="J52" s="92" t="str">
        <f>IF(AND(A52&lt;&gt;"",E52&lt;&gt;""),IF(I52="","⚠️ Enter Code",IF(IFERROR(VLOOKUP(H52,DB_Agents!$B:$I,8,0),"")=I52,IF(C52&gt;=E52,"Successful","Unsuccessful"),"🔒 BLOCKED — Wrong Code")),"—")</f>
        <v>—</v>
      </c>
      <c r="K52" s="93" t="str">
        <f t="shared" ca="1" si="5"/>
        <v>—</v>
      </c>
      <c r="L52" s="94"/>
    </row>
    <row r="53" spans="1:12" x14ac:dyDescent="0.25">
      <c r="A53" s="79"/>
      <c r="B53" s="21" t="str">
        <f>IF(A53="","",IFERROR(VLOOKUP(A53,DB_Customers!$A:$D,4,0),"❌ Account Not Found"))</f>
        <v/>
      </c>
      <c r="C53" s="80" t="str">
        <f>IF(A53="","",IFERROR(VLOOKUP(A53,DB_Customers!$A:$N,14,0),""))</f>
        <v/>
      </c>
      <c r="D53" s="81" t="str">
        <f t="shared" ca="1" si="3"/>
        <v/>
      </c>
      <c r="E53" s="97"/>
      <c r="F53" s="21"/>
      <c r="G53" s="98" t="str">
        <f t="shared" si="4"/>
        <v/>
      </c>
      <c r="H53" s="23"/>
      <c r="I53" s="84"/>
      <c r="J53" s="85" t="str">
        <f>IF(AND(A53&lt;&gt;"",E53&lt;&gt;""),IF(I53="","⚠️ Enter Code",IF(IFERROR(VLOOKUP(H53,DB_Agents!$B:$I,8,0),"")=I53,IF(C53&gt;=E53,"Successful","Unsuccessful"),"🔒 BLOCKED — Wrong Code")),"—")</f>
        <v>—</v>
      </c>
      <c r="K53" s="86" t="str">
        <f t="shared" ca="1" si="5"/>
        <v>—</v>
      </c>
      <c r="L53" s="87"/>
    </row>
    <row r="54" spans="1:12" x14ac:dyDescent="0.25">
      <c r="A54" s="88"/>
      <c r="B54" s="25" t="str">
        <f>IF(A54="","",IFERROR(VLOOKUP(A54,DB_Customers!$A:$D,4,0),"❌ Account Not Found"))</f>
        <v/>
      </c>
      <c r="C54" s="89" t="str">
        <f>IF(A54="","",IFERROR(VLOOKUP(A54,DB_Customers!$A:$N,14,0),""))</f>
        <v/>
      </c>
      <c r="D54" s="90" t="str">
        <f t="shared" ca="1" si="3"/>
        <v/>
      </c>
      <c r="E54" s="97"/>
      <c r="F54" s="25"/>
      <c r="G54" s="99" t="str">
        <f t="shared" si="4"/>
        <v/>
      </c>
      <c r="H54" s="27"/>
      <c r="I54" s="84"/>
      <c r="J54" s="92" t="str">
        <f>IF(AND(A54&lt;&gt;"",E54&lt;&gt;""),IF(I54="","⚠️ Enter Code",IF(IFERROR(VLOOKUP(H54,DB_Agents!$B:$I,8,0),"")=I54,IF(C54&gt;=E54,"Successful","Unsuccessful"),"🔒 BLOCKED — Wrong Code")),"—")</f>
        <v>—</v>
      </c>
      <c r="K54" s="93" t="str">
        <f t="shared" ca="1" si="5"/>
        <v>—</v>
      </c>
      <c r="L54" s="94"/>
    </row>
    <row r="55" spans="1:12" x14ac:dyDescent="0.25">
      <c r="A55" s="79"/>
      <c r="B55" s="21" t="str">
        <f>IF(A55="","",IFERROR(VLOOKUP(A55,DB_Customers!$A:$D,4,0),"❌ Account Not Found"))</f>
        <v/>
      </c>
      <c r="C55" s="80" t="str">
        <f>IF(A55="","",IFERROR(VLOOKUP(A55,DB_Customers!$A:$N,14,0),""))</f>
        <v/>
      </c>
      <c r="D55" s="81" t="str">
        <f t="shared" ca="1" si="3"/>
        <v/>
      </c>
      <c r="E55" s="97"/>
      <c r="F55" s="21"/>
      <c r="G55" s="98" t="str">
        <f t="shared" si="4"/>
        <v/>
      </c>
      <c r="H55" s="23"/>
      <c r="I55" s="84"/>
      <c r="J55" s="85" t="str">
        <f>IF(AND(A55&lt;&gt;"",E55&lt;&gt;""),IF(I55="","⚠️ Enter Code",IF(IFERROR(VLOOKUP(H55,DB_Agents!$B:$I,8,0),"")=I55,IF(C55&gt;=E55,"Successful","Unsuccessful"),"🔒 BLOCKED — Wrong Code")),"—")</f>
        <v>—</v>
      </c>
      <c r="K55" s="86" t="str">
        <f t="shared" ca="1" si="5"/>
        <v>—</v>
      </c>
      <c r="L55" s="87"/>
    </row>
    <row r="56" spans="1:12" x14ac:dyDescent="0.25">
      <c r="A56" s="88"/>
      <c r="B56" s="25" t="str">
        <f>IF(A56="","",IFERROR(VLOOKUP(A56,DB_Customers!$A:$D,4,0),"❌ Account Not Found"))</f>
        <v/>
      </c>
      <c r="C56" s="89" t="str">
        <f>IF(A56="","",IFERROR(VLOOKUP(A56,DB_Customers!$A:$N,14,0),""))</f>
        <v/>
      </c>
      <c r="D56" s="90" t="str">
        <f t="shared" ca="1" si="3"/>
        <v/>
      </c>
      <c r="E56" s="97"/>
      <c r="F56" s="25"/>
      <c r="G56" s="99" t="str">
        <f t="shared" si="4"/>
        <v/>
      </c>
      <c r="H56" s="27"/>
      <c r="I56" s="84"/>
      <c r="J56" s="92" t="str">
        <f>IF(AND(A56&lt;&gt;"",E56&lt;&gt;""),IF(I56="","⚠️ Enter Code",IF(IFERROR(VLOOKUP(H56,DB_Agents!$B:$I,8,0),"")=I56,IF(C56&gt;=E56,"Successful","Unsuccessful"),"🔒 BLOCKED — Wrong Code")),"—")</f>
        <v>—</v>
      </c>
      <c r="K56" s="93" t="str">
        <f t="shared" ca="1" si="5"/>
        <v>—</v>
      </c>
      <c r="L56" s="94"/>
    </row>
    <row r="57" spans="1:12" x14ac:dyDescent="0.25">
      <c r="A57" s="79"/>
      <c r="B57" s="21" t="str">
        <f>IF(A57="","",IFERROR(VLOOKUP(A57,DB_Customers!$A:$D,4,0),"❌ Account Not Found"))</f>
        <v/>
      </c>
      <c r="C57" s="80" t="str">
        <f>IF(A57="","",IFERROR(VLOOKUP(A57,DB_Customers!$A:$N,14,0),""))</f>
        <v/>
      </c>
      <c r="D57" s="81" t="str">
        <f t="shared" ca="1" si="3"/>
        <v/>
      </c>
      <c r="E57" s="97"/>
      <c r="F57" s="21"/>
      <c r="G57" s="98" t="str">
        <f t="shared" si="4"/>
        <v/>
      </c>
      <c r="H57" s="23"/>
      <c r="I57" s="84"/>
      <c r="J57" s="85" t="str">
        <f>IF(AND(A57&lt;&gt;"",E57&lt;&gt;""),IF(I57="","⚠️ Enter Code",IF(IFERROR(VLOOKUP(H57,DB_Agents!$B:$I,8,0),"")=I57,IF(C57&gt;=E57,"Successful","Unsuccessful"),"🔒 BLOCKED — Wrong Code")),"—")</f>
        <v>—</v>
      </c>
      <c r="K57" s="86" t="str">
        <f t="shared" ca="1" si="5"/>
        <v>—</v>
      </c>
      <c r="L57" s="87"/>
    </row>
    <row r="58" spans="1:12" x14ac:dyDescent="0.25">
      <c r="A58" s="88"/>
      <c r="B58" s="25" t="str">
        <f>IF(A58="","",IFERROR(VLOOKUP(A58,DB_Customers!$A:$D,4,0),"❌ Account Not Found"))</f>
        <v/>
      </c>
      <c r="C58" s="89" t="str">
        <f>IF(A58="","",IFERROR(VLOOKUP(A58,DB_Customers!$A:$N,14,0),""))</f>
        <v/>
      </c>
      <c r="D58" s="90" t="str">
        <f t="shared" ca="1" si="3"/>
        <v/>
      </c>
      <c r="E58" s="97"/>
      <c r="F58" s="25"/>
      <c r="G58" s="99" t="str">
        <f t="shared" si="4"/>
        <v/>
      </c>
      <c r="H58" s="27"/>
      <c r="I58" s="84"/>
      <c r="J58" s="92" t="str">
        <f>IF(AND(A58&lt;&gt;"",E58&lt;&gt;""),IF(I58="","⚠️ Enter Code",IF(IFERROR(VLOOKUP(H58,DB_Agents!$B:$I,8,0),"")=I58,IF(C58&gt;=E58,"Successful","Unsuccessful"),"🔒 BLOCKED — Wrong Code")),"—")</f>
        <v>—</v>
      </c>
      <c r="K58" s="93" t="str">
        <f t="shared" ca="1" si="5"/>
        <v>—</v>
      </c>
      <c r="L58" s="94"/>
    </row>
    <row r="59" spans="1:12" x14ac:dyDescent="0.25">
      <c r="A59" s="79"/>
      <c r="B59" s="21" t="str">
        <f>IF(A59="","",IFERROR(VLOOKUP(A59,DB_Customers!$A:$D,4,0),"❌ Account Not Found"))</f>
        <v/>
      </c>
      <c r="C59" s="80" t="str">
        <f>IF(A59="","",IFERROR(VLOOKUP(A59,DB_Customers!$A:$N,14,0),""))</f>
        <v/>
      </c>
      <c r="D59" s="81" t="str">
        <f t="shared" ca="1" si="3"/>
        <v/>
      </c>
      <c r="E59" s="97"/>
      <c r="F59" s="21"/>
      <c r="G59" s="98" t="str">
        <f t="shared" si="4"/>
        <v/>
      </c>
      <c r="H59" s="23"/>
      <c r="I59" s="84"/>
      <c r="J59" s="85" t="str">
        <f>IF(AND(A59&lt;&gt;"",E59&lt;&gt;""),IF(I59="","⚠️ Enter Code",IF(IFERROR(VLOOKUP(H59,DB_Agents!$B:$I,8,0),"")=I59,IF(C59&gt;=E59,"Successful","Unsuccessful"),"🔒 BLOCKED — Wrong Code")),"—")</f>
        <v>—</v>
      </c>
      <c r="K59" s="86" t="str">
        <f t="shared" ca="1" si="5"/>
        <v>—</v>
      </c>
      <c r="L59" s="87"/>
    </row>
    <row r="60" spans="1:12" x14ac:dyDescent="0.25">
      <c r="A60" s="88"/>
      <c r="B60" s="25" t="str">
        <f>IF(A60="","",IFERROR(VLOOKUP(A60,DB_Customers!$A:$D,4,0),"❌ Account Not Found"))</f>
        <v/>
      </c>
      <c r="C60" s="89" t="str">
        <f>IF(A60="","",IFERROR(VLOOKUP(A60,DB_Customers!$A:$N,14,0),""))</f>
        <v/>
      </c>
      <c r="D60" s="90" t="str">
        <f t="shared" ca="1" si="3"/>
        <v/>
      </c>
      <c r="E60" s="97"/>
      <c r="F60" s="25"/>
      <c r="G60" s="99" t="str">
        <f t="shared" si="4"/>
        <v/>
      </c>
      <c r="H60" s="27"/>
      <c r="I60" s="84"/>
      <c r="J60" s="92" t="str">
        <f>IF(AND(A60&lt;&gt;"",E60&lt;&gt;""),IF(I60="","⚠️ Enter Code",IF(IFERROR(VLOOKUP(H60,DB_Agents!$B:$I,8,0),"")=I60,IF(C60&gt;=E60,"Successful","Unsuccessful"),"🔒 BLOCKED — Wrong Code")),"—")</f>
        <v>—</v>
      </c>
      <c r="K60" s="93" t="str">
        <f t="shared" ca="1" si="5"/>
        <v>—</v>
      </c>
      <c r="L60" s="94"/>
    </row>
    <row r="61" spans="1:12" x14ac:dyDescent="0.25">
      <c r="A61" s="79"/>
      <c r="B61" s="21" t="str">
        <f>IF(A61="","",IFERROR(VLOOKUP(A61,DB_Customers!$A:$D,4,0),"❌ Account Not Found"))</f>
        <v/>
      </c>
      <c r="C61" s="80" t="str">
        <f>IF(A61="","",IFERROR(VLOOKUP(A61,DB_Customers!$A:$N,14,0),""))</f>
        <v/>
      </c>
      <c r="D61" s="81" t="str">
        <f t="shared" ca="1" si="3"/>
        <v/>
      </c>
      <c r="E61" s="97"/>
      <c r="F61" s="21"/>
      <c r="G61" s="98" t="str">
        <f t="shared" si="4"/>
        <v/>
      </c>
      <c r="H61" s="23"/>
      <c r="I61" s="84"/>
      <c r="J61" s="85" t="str">
        <f>IF(AND(A61&lt;&gt;"",E61&lt;&gt;""),IF(I61="","⚠️ Enter Code",IF(IFERROR(VLOOKUP(H61,DB_Agents!$B:$I,8,0),"")=I61,IF(C61&gt;=E61,"Successful","Unsuccessful"),"🔒 BLOCKED — Wrong Code")),"—")</f>
        <v>—</v>
      </c>
      <c r="K61" s="86" t="str">
        <f t="shared" ca="1" si="5"/>
        <v>—</v>
      </c>
      <c r="L61" s="87"/>
    </row>
    <row r="62" spans="1:12" x14ac:dyDescent="0.25">
      <c r="A62" s="88"/>
      <c r="B62" s="25" t="str">
        <f>IF(A62="","",IFERROR(VLOOKUP(A62,DB_Customers!$A:$D,4,0),"❌ Account Not Found"))</f>
        <v/>
      </c>
      <c r="C62" s="89" t="str">
        <f>IF(A62="","",IFERROR(VLOOKUP(A62,DB_Customers!$A:$N,14,0),""))</f>
        <v/>
      </c>
      <c r="D62" s="90" t="str">
        <f t="shared" ca="1" si="3"/>
        <v/>
      </c>
      <c r="E62" s="97"/>
      <c r="F62" s="25"/>
      <c r="G62" s="99" t="str">
        <f t="shared" si="4"/>
        <v/>
      </c>
      <c r="H62" s="27"/>
      <c r="I62" s="84"/>
      <c r="J62" s="92" t="str">
        <f>IF(AND(A62&lt;&gt;"",E62&lt;&gt;""),IF(I62="","⚠️ Enter Code",IF(IFERROR(VLOOKUP(H62,DB_Agents!$B:$I,8,0),"")=I62,IF(C62&gt;=E62,"Successful","Unsuccessful"),"🔒 BLOCKED — Wrong Code")),"—")</f>
        <v>—</v>
      </c>
      <c r="K62" s="93" t="str">
        <f t="shared" ca="1" si="5"/>
        <v>—</v>
      </c>
      <c r="L62" s="94"/>
    </row>
    <row r="63" spans="1:12" x14ac:dyDescent="0.25">
      <c r="A63" s="79"/>
      <c r="B63" s="21" t="str">
        <f>IF(A63="","",IFERROR(VLOOKUP(A63,DB_Customers!$A:$D,4,0),"❌ Account Not Found"))</f>
        <v/>
      </c>
      <c r="C63" s="80" t="str">
        <f>IF(A63="","",IFERROR(VLOOKUP(A63,DB_Customers!$A:$N,14,0),""))</f>
        <v/>
      </c>
      <c r="D63" s="81" t="str">
        <f t="shared" ca="1" si="3"/>
        <v/>
      </c>
      <c r="E63" s="97"/>
      <c r="F63" s="21"/>
      <c r="G63" s="98" t="str">
        <f t="shared" si="4"/>
        <v/>
      </c>
      <c r="H63" s="23"/>
      <c r="I63" s="84"/>
      <c r="J63" s="85" t="str">
        <f>IF(AND(A63&lt;&gt;"",E63&lt;&gt;""),IF(I63="","⚠️ Enter Code",IF(IFERROR(VLOOKUP(H63,DB_Agents!$B:$I,8,0),"")=I63,IF(C63&gt;=E63,"Successful","Unsuccessful"),"🔒 BLOCKED — Wrong Code")),"—")</f>
        <v>—</v>
      </c>
      <c r="K63" s="86" t="str">
        <f t="shared" ca="1" si="5"/>
        <v>—</v>
      </c>
      <c r="L63" s="87"/>
    </row>
    <row r="64" spans="1:12" x14ac:dyDescent="0.25">
      <c r="A64" s="88"/>
      <c r="B64" s="25" t="str">
        <f>IF(A64="","",IFERROR(VLOOKUP(A64,DB_Customers!$A:$D,4,0),"❌ Account Not Found"))</f>
        <v/>
      </c>
      <c r="C64" s="89" t="str">
        <f>IF(A64="","",IFERROR(VLOOKUP(A64,DB_Customers!$A:$N,14,0),""))</f>
        <v/>
      </c>
      <c r="D64" s="90" t="str">
        <f t="shared" ca="1" si="3"/>
        <v/>
      </c>
      <c r="E64" s="97"/>
      <c r="F64" s="25"/>
      <c r="G64" s="99" t="str">
        <f t="shared" si="4"/>
        <v/>
      </c>
      <c r="H64" s="27"/>
      <c r="I64" s="84"/>
      <c r="J64" s="92" t="str">
        <f>IF(AND(A64&lt;&gt;"",E64&lt;&gt;""),IF(I64="","⚠️ Enter Code",IF(IFERROR(VLOOKUP(H64,DB_Agents!$B:$I,8,0),"")=I64,IF(C64&gt;=E64,"Successful","Unsuccessful"),"🔒 BLOCKED — Wrong Code")),"—")</f>
        <v>—</v>
      </c>
      <c r="K64" s="93" t="str">
        <f t="shared" ca="1" si="5"/>
        <v>—</v>
      </c>
      <c r="L64" s="94"/>
    </row>
    <row r="65" spans="1:12" x14ac:dyDescent="0.25">
      <c r="A65" s="79"/>
      <c r="B65" s="21" t="str">
        <f>IF(A65="","",IFERROR(VLOOKUP(A65,DB_Customers!$A:$D,4,0),"❌ Account Not Found"))</f>
        <v/>
      </c>
      <c r="C65" s="80" t="str">
        <f>IF(A65="","",IFERROR(VLOOKUP(A65,DB_Customers!$A:$N,14,0),""))</f>
        <v/>
      </c>
      <c r="D65" s="81" t="str">
        <f t="shared" ca="1" si="3"/>
        <v/>
      </c>
      <c r="E65" s="97"/>
      <c r="F65" s="21"/>
      <c r="G65" s="98" t="str">
        <f t="shared" si="4"/>
        <v/>
      </c>
      <c r="H65" s="23"/>
      <c r="I65" s="84"/>
      <c r="J65" s="85" t="str">
        <f>IF(AND(A65&lt;&gt;"",E65&lt;&gt;""),IF(I65="","⚠️ Enter Code",IF(IFERROR(VLOOKUP(H65,DB_Agents!$B:$I,8,0),"")=I65,IF(C65&gt;=E65,"Successful","Unsuccessful"),"🔒 BLOCKED — Wrong Code")),"—")</f>
        <v>—</v>
      </c>
      <c r="K65" s="86" t="str">
        <f t="shared" ca="1" si="5"/>
        <v>—</v>
      </c>
      <c r="L65" s="87"/>
    </row>
    <row r="66" spans="1:12" x14ac:dyDescent="0.25">
      <c r="A66" s="88"/>
      <c r="B66" s="25" t="str">
        <f>IF(A66="","",IFERROR(VLOOKUP(A66,DB_Customers!$A:$D,4,0),"❌ Account Not Found"))</f>
        <v/>
      </c>
      <c r="C66" s="89" t="str">
        <f>IF(A66="","",IFERROR(VLOOKUP(A66,DB_Customers!$A:$N,14,0),""))</f>
        <v/>
      </c>
      <c r="D66" s="90" t="str">
        <f t="shared" ca="1" si="3"/>
        <v/>
      </c>
      <c r="E66" s="97"/>
      <c r="F66" s="25"/>
      <c r="G66" s="99" t="str">
        <f t="shared" si="4"/>
        <v/>
      </c>
      <c r="H66" s="27"/>
      <c r="I66" s="84"/>
      <c r="J66" s="92" t="str">
        <f>IF(AND(A66&lt;&gt;"",E66&lt;&gt;""),IF(I66="","⚠️ Enter Code",IF(IFERROR(VLOOKUP(H66,DB_Agents!$B:$I,8,0),"")=I66,IF(C66&gt;=E66,"Successful","Unsuccessful"),"🔒 BLOCKED — Wrong Code")),"—")</f>
        <v>—</v>
      </c>
      <c r="K66" s="93" t="str">
        <f t="shared" ca="1" si="5"/>
        <v>—</v>
      </c>
      <c r="L66" s="94"/>
    </row>
    <row r="67" spans="1:12" x14ac:dyDescent="0.25">
      <c r="A67" s="79"/>
      <c r="B67" s="21" t="str">
        <f>IF(A67="","",IFERROR(VLOOKUP(A67,DB_Customers!$A:$D,4,0),"❌ Account Not Found"))</f>
        <v/>
      </c>
      <c r="C67" s="80" t="str">
        <f>IF(A67="","",IFERROR(VLOOKUP(A67,DB_Customers!$A:$N,14,0),""))</f>
        <v/>
      </c>
      <c r="D67" s="81" t="str">
        <f t="shared" ca="1" si="3"/>
        <v/>
      </c>
      <c r="E67" s="97"/>
      <c r="F67" s="21"/>
      <c r="G67" s="98" t="str">
        <f t="shared" si="4"/>
        <v/>
      </c>
      <c r="H67" s="23"/>
      <c r="I67" s="84"/>
      <c r="J67" s="85" t="str">
        <f>IF(AND(A67&lt;&gt;"",E67&lt;&gt;""),IF(I67="","⚠️ Enter Code",IF(IFERROR(VLOOKUP(H67,DB_Agents!$B:$I,8,0),"")=I67,IF(C67&gt;=E67,"Successful","Unsuccessful"),"🔒 BLOCKED — Wrong Code")),"—")</f>
        <v>—</v>
      </c>
      <c r="K67" s="86" t="str">
        <f t="shared" ca="1" si="5"/>
        <v>—</v>
      </c>
      <c r="L67" s="87"/>
    </row>
    <row r="68" spans="1:12" x14ac:dyDescent="0.25">
      <c r="A68" s="88"/>
      <c r="B68" s="25" t="str">
        <f>IF(A68="","",IFERROR(VLOOKUP(A68,DB_Customers!$A:$D,4,0),"❌ Account Not Found"))</f>
        <v/>
      </c>
      <c r="C68" s="89" t="str">
        <f>IF(A68="","",IFERROR(VLOOKUP(A68,DB_Customers!$A:$N,14,0),""))</f>
        <v/>
      </c>
      <c r="D68" s="90" t="str">
        <f t="shared" ca="1" si="3"/>
        <v/>
      </c>
      <c r="E68" s="97"/>
      <c r="F68" s="25"/>
      <c r="G68" s="99" t="str">
        <f t="shared" si="4"/>
        <v/>
      </c>
      <c r="H68" s="27"/>
      <c r="I68" s="84"/>
      <c r="J68" s="92" t="str">
        <f>IF(AND(A68&lt;&gt;"",E68&lt;&gt;""),IF(I68="","⚠️ Enter Code",IF(IFERROR(VLOOKUP(H68,DB_Agents!$B:$I,8,0),"")=I68,IF(C68&gt;=E68,"Successful","Unsuccessful"),"🔒 BLOCKED — Wrong Code")),"—")</f>
        <v>—</v>
      </c>
      <c r="K68" s="93" t="str">
        <f t="shared" ca="1" si="5"/>
        <v>—</v>
      </c>
      <c r="L68" s="94"/>
    </row>
    <row r="69" spans="1:12" x14ac:dyDescent="0.25">
      <c r="A69" s="79"/>
      <c r="B69" s="21" t="str">
        <f>IF(A69="","",IFERROR(VLOOKUP(A69,DB_Customers!$A:$D,4,0),"❌ Account Not Found"))</f>
        <v/>
      </c>
      <c r="C69" s="80" t="str">
        <f>IF(A69="","",IFERROR(VLOOKUP(A69,DB_Customers!$A:$N,14,0),""))</f>
        <v/>
      </c>
      <c r="D69" s="81" t="str">
        <f t="shared" ca="1" si="3"/>
        <v/>
      </c>
      <c r="E69" s="97"/>
      <c r="F69" s="21"/>
      <c r="G69" s="98" t="str">
        <f t="shared" si="4"/>
        <v/>
      </c>
      <c r="H69" s="23"/>
      <c r="I69" s="84"/>
      <c r="J69" s="85" t="str">
        <f>IF(AND(A69&lt;&gt;"",E69&lt;&gt;""),IF(I69="","⚠️ Enter Code",IF(IFERROR(VLOOKUP(H69,DB_Agents!$B:$I,8,0),"")=I69,IF(C69&gt;=E69,"Successful","Unsuccessful"),"🔒 BLOCKED — Wrong Code")),"—")</f>
        <v>—</v>
      </c>
      <c r="K69" s="86" t="str">
        <f t="shared" ca="1" si="5"/>
        <v>—</v>
      </c>
      <c r="L69" s="87"/>
    </row>
    <row r="70" spans="1:12" x14ac:dyDescent="0.25">
      <c r="A70" s="88"/>
      <c r="B70" s="25" t="str">
        <f>IF(A70="","",IFERROR(VLOOKUP(A70,DB_Customers!$A:$D,4,0),"❌ Account Not Found"))</f>
        <v/>
      </c>
      <c r="C70" s="89" t="str">
        <f>IF(A70="","",IFERROR(VLOOKUP(A70,DB_Customers!$A:$N,14,0),""))</f>
        <v/>
      </c>
      <c r="D70" s="90" t="str">
        <f t="shared" ca="1" si="3"/>
        <v/>
      </c>
      <c r="E70" s="97"/>
      <c r="F70" s="25"/>
      <c r="G70" s="99" t="str">
        <f t="shared" si="4"/>
        <v/>
      </c>
      <c r="H70" s="27"/>
      <c r="I70" s="84"/>
      <c r="J70" s="92" t="str">
        <f>IF(AND(A70&lt;&gt;"",E70&lt;&gt;""),IF(I70="","⚠️ Enter Code",IF(IFERROR(VLOOKUP(H70,DB_Agents!$B:$I,8,0),"")=I70,IF(C70&gt;=E70,"Successful","Unsuccessful"),"🔒 BLOCKED — Wrong Code")),"—")</f>
        <v>—</v>
      </c>
      <c r="K70" s="93" t="str">
        <f t="shared" ca="1" si="5"/>
        <v>—</v>
      </c>
      <c r="L70" s="94"/>
    </row>
    <row r="71" spans="1:12" x14ac:dyDescent="0.25">
      <c r="A71" s="79"/>
      <c r="B71" s="21" t="str">
        <f>IF(A71="","",IFERROR(VLOOKUP(A71,DB_Customers!$A:$D,4,0),"❌ Account Not Found"))</f>
        <v/>
      </c>
      <c r="C71" s="80" t="str">
        <f>IF(A71="","",IFERROR(VLOOKUP(A71,DB_Customers!$A:$N,14,0),""))</f>
        <v/>
      </c>
      <c r="D71" s="81" t="str">
        <f t="shared" ca="1" si="3"/>
        <v/>
      </c>
      <c r="E71" s="97"/>
      <c r="F71" s="21"/>
      <c r="G71" s="98" t="str">
        <f t="shared" si="4"/>
        <v/>
      </c>
      <c r="H71" s="23"/>
      <c r="I71" s="84"/>
      <c r="J71" s="85" t="str">
        <f>IF(AND(A71&lt;&gt;"",E71&lt;&gt;""),IF(I71="","⚠️ Enter Code",IF(IFERROR(VLOOKUP(H71,DB_Agents!$B:$I,8,0),"")=I71,IF(C71&gt;=E71,"Successful","Unsuccessful"),"🔒 BLOCKED — Wrong Code")),"—")</f>
        <v>—</v>
      </c>
      <c r="K71" s="86" t="str">
        <f t="shared" ca="1" si="5"/>
        <v>—</v>
      </c>
      <c r="L71" s="87"/>
    </row>
    <row r="72" spans="1:12" x14ac:dyDescent="0.25">
      <c r="A72" s="88"/>
      <c r="B72" s="25" t="str">
        <f>IF(A72="","",IFERROR(VLOOKUP(A72,DB_Customers!$A:$D,4,0),"❌ Account Not Found"))</f>
        <v/>
      </c>
      <c r="C72" s="89" t="str">
        <f>IF(A72="","",IFERROR(VLOOKUP(A72,DB_Customers!$A:$N,14,0),""))</f>
        <v/>
      </c>
      <c r="D72" s="90" t="str">
        <f t="shared" ca="1" si="3"/>
        <v/>
      </c>
      <c r="E72" s="97"/>
      <c r="F72" s="25"/>
      <c r="G72" s="99" t="str">
        <f t="shared" si="4"/>
        <v/>
      </c>
      <c r="H72" s="27"/>
      <c r="I72" s="84"/>
      <c r="J72" s="92" t="str">
        <f>IF(AND(A72&lt;&gt;"",E72&lt;&gt;""),IF(I72="","⚠️ Enter Code",IF(IFERROR(VLOOKUP(H72,DB_Agents!$B:$I,8,0),"")=I72,IF(C72&gt;=E72,"Successful","Unsuccessful"),"🔒 BLOCKED — Wrong Code")),"—")</f>
        <v>—</v>
      </c>
      <c r="K72" s="93" t="str">
        <f t="shared" ca="1" si="5"/>
        <v>—</v>
      </c>
      <c r="L72" s="94"/>
    </row>
    <row r="73" spans="1:12" x14ac:dyDescent="0.25">
      <c r="A73" s="79"/>
      <c r="B73" s="21" t="str">
        <f>IF(A73="","",IFERROR(VLOOKUP(A73,DB_Customers!$A:$D,4,0),"❌ Account Not Found"))</f>
        <v/>
      </c>
      <c r="C73" s="80" t="str">
        <f>IF(A73="","",IFERROR(VLOOKUP(A73,DB_Customers!$A:$N,14,0),""))</f>
        <v/>
      </c>
      <c r="D73" s="81" t="str">
        <f t="shared" ref="D73:D104" ca="1" si="6">IF(A73="","",TODAY())</f>
        <v/>
      </c>
      <c r="E73" s="97"/>
      <c r="F73" s="21"/>
      <c r="G73" s="98" t="str">
        <f t="shared" ref="G73:G104" si="7">IF(OR(A73="",E73=""),"",IF(C73="","",C73-E73))</f>
        <v/>
      </c>
      <c r="H73" s="23"/>
      <c r="I73" s="84"/>
      <c r="J73" s="85" t="str">
        <f>IF(AND(A73&lt;&gt;"",E73&lt;&gt;""),IF(I73="","⚠️ Enter Code",IF(IFERROR(VLOOKUP(H73,DB_Agents!$B:$I,8,0),"")=I73,IF(C73&gt;=E73,"Successful","Unsuccessful"),"🔒 BLOCKED — Wrong Code")),"—")</f>
        <v>—</v>
      </c>
      <c r="K73" s="86" t="str">
        <f t="shared" ref="K73:K104" ca="1" si="8">IF(J73="Successful",TEXT(TODAY(),"YYYY-MM-DD")&amp;" Auto","—")</f>
        <v>—</v>
      </c>
      <c r="L73" s="87"/>
    </row>
    <row r="74" spans="1:12" x14ac:dyDescent="0.25">
      <c r="A74" s="88"/>
      <c r="B74" s="25" t="str">
        <f>IF(A74="","",IFERROR(VLOOKUP(A74,DB_Customers!$A:$D,4,0),"❌ Account Not Found"))</f>
        <v/>
      </c>
      <c r="C74" s="89" t="str">
        <f>IF(A74="","",IFERROR(VLOOKUP(A74,DB_Customers!$A:$N,14,0),""))</f>
        <v/>
      </c>
      <c r="D74" s="90" t="str">
        <f t="shared" ca="1" si="6"/>
        <v/>
      </c>
      <c r="E74" s="97"/>
      <c r="F74" s="25"/>
      <c r="G74" s="99" t="str">
        <f t="shared" si="7"/>
        <v/>
      </c>
      <c r="H74" s="27"/>
      <c r="I74" s="84"/>
      <c r="J74" s="92" t="str">
        <f>IF(AND(A74&lt;&gt;"",E74&lt;&gt;""),IF(I74="","⚠️ Enter Code",IF(IFERROR(VLOOKUP(H74,DB_Agents!$B:$I,8,0),"")=I74,IF(C74&gt;=E74,"Successful","Unsuccessful"),"🔒 BLOCKED — Wrong Code")),"—")</f>
        <v>—</v>
      </c>
      <c r="K74" s="93" t="str">
        <f t="shared" ca="1" si="8"/>
        <v>—</v>
      </c>
      <c r="L74" s="94"/>
    </row>
    <row r="75" spans="1:12" x14ac:dyDescent="0.25">
      <c r="A75" s="79"/>
      <c r="B75" s="21" t="str">
        <f>IF(A75="","",IFERROR(VLOOKUP(A75,DB_Customers!$A:$D,4,0),"❌ Account Not Found"))</f>
        <v/>
      </c>
      <c r="C75" s="80" t="str">
        <f>IF(A75="","",IFERROR(VLOOKUP(A75,DB_Customers!$A:$N,14,0),""))</f>
        <v/>
      </c>
      <c r="D75" s="81" t="str">
        <f t="shared" ca="1" si="6"/>
        <v/>
      </c>
      <c r="E75" s="97"/>
      <c r="F75" s="21"/>
      <c r="G75" s="98" t="str">
        <f t="shared" si="7"/>
        <v/>
      </c>
      <c r="H75" s="23"/>
      <c r="I75" s="84"/>
      <c r="J75" s="85" t="str">
        <f>IF(AND(A75&lt;&gt;"",E75&lt;&gt;""),IF(I75="","⚠️ Enter Code",IF(IFERROR(VLOOKUP(H75,DB_Agents!$B:$I,8,0),"")=I75,IF(C75&gt;=E75,"Successful","Unsuccessful"),"🔒 BLOCKED — Wrong Code")),"—")</f>
        <v>—</v>
      </c>
      <c r="K75" s="86" t="str">
        <f t="shared" ca="1" si="8"/>
        <v>—</v>
      </c>
      <c r="L75" s="87"/>
    </row>
    <row r="76" spans="1:12" x14ac:dyDescent="0.25">
      <c r="A76" s="88"/>
      <c r="B76" s="25" t="str">
        <f>IF(A76="","",IFERROR(VLOOKUP(A76,DB_Customers!$A:$D,4,0),"❌ Account Not Found"))</f>
        <v/>
      </c>
      <c r="C76" s="89" t="str">
        <f>IF(A76="","",IFERROR(VLOOKUP(A76,DB_Customers!$A:$N,14,0),""))</f>
        <v/>
      </c>
      <c r="D76" s="90" t="str">
        <f t="shared" ca="1" si="6"/>
        <v/>
      </c>
      <c r="E76" s="97"/>
      <c r="F76" s="25"/>
      <c r="G76" s="99" t="str">
        <f t="shared" si="7"/>
        <v/>
      </c>
      <c r="H76" s="27"/>
      <c r="I76" s="84"/>
      <c r="J76" s="92" t="str">
        <f>IF(AND(A76&lt;&gt;"",E76&lt;&gt;""),IF(I76="","⚠️ Enter Code",IF(IFERROR(VLOOKUP(H76,DB_Agents!$B:$I,8,0),"")=I76,IF(C76&gt;=E76,"Successful","Unsuccessful"),"🔒 BLOCKED — Wrong Code")),"—")</f>
        <v>—</v>
      </c>
      <c r="K76" s="93" t="str">
        <f t="shared" ca="1" si="8"/>
        <v>—</v>
      </c>
      <c r="L76" s="94"/>
    </row>
    <row r="77" spans="1:12" x14ac:dyDescent="0.25">
      <c r="A77" s="79"/>
      <c r="B77" s="21" t="str">
        <f>IF(A77="","",IFERROR(VLOOKUP(A77,DB_Customers!$A:$D,4,0),"❌ Account Not Found"))</f>
        <v/>
      </c>
      <c r="C77" s="80" t="str">
        <f>IF(A77="","",IFERROR(VLOOKUP(A77,DB_Customers!$A:$N,14,0),""))</f>
        <v/>
      </c>
      <c r="D77" s="81" t="str">
        <f t="shared" ca="1" si="6"/>
        <v/>
      </c>
      <c r="E77" s="97"/>
      <c r="F77" s="21"/>
      <c r="G77" s="98" t="str">
        <f t="shared" si="7"/>
        <v/>
      </c>
      <c r="H77" s="23"/>
      <c r="I77" s="84"/>
      <c r="J77" s="85" t="str">
        <f>IF(AND(A77&lt;&gt;"",E77&lt;&gt;""),IF(I77="","⚠️ Enter Code",IF(IFERROR(VLOOKUP(H77,DB_Agents!$B:$I,8,0),"")=I77,IF(C77&gt;=E77,"Successful","Unsuccessful"),"🔒 BLOCKED — Wrong Code")),"—")</f>
        <v>—</v>
      </c>
      <c r="K77" s="86" t="str">
        <f t="shared" ca="1" si="8"/>
        <v>—</v>
      </c>
      <c r="L77" s="87"/>
    </row>
    <row r="78" spans="1:12" x14ac:dyDescent="0.25">
      <c r="A78" s="88"/>
      <c r="B78" s="25" t="str">
        <f>IF(A78="","",IFERROR(VLOOKUP(A78,DB_Customers!$A:$D,4,0),"❌ Account Not Found"))</f>
        <v/>
      </c>
      <c r="C78" s="89" t="str">
        <f>IF(A78="","",IFERROR(VLOOKUP(A78,DB_Customers!$A:$N,14,0),""))</f>
        <v/>
      </c>
      <c r="D78" s="90" t="str">
        <f t="shared" ca="1" si="6"/>
        <v/>
      </c>
      <c r="E78" s="97"/>
      <c r="F78" s="25"/>
      <c r="G78" s="99" t="str">
        <f t="shared" si="7"/>
        <v/>
      </c>
      <c r="H78" s="27"/>
      <c r="I78" s="84"/>
      <c r="J78" s="92" t="str">
        <f>IF(AND(A78&lt;&gt;"",E78&lt;&gt;""),IF(I78="","⚠️ Enter Code",IF(IFERROR(VLOOKUP(H78,DB_Agents!$B:$I,8,0),"")=I78,IF(C78&gt;=E78,"Successful","Unsuccessful"),"🔒 BLOCKED — Wrong Code")),"—")</f>
        <v>—</v>
      </c>
      <c r="K78" s="93" t="str">
        <f t="shared" ca="1" si="8"/>
        <v>—</v>
      </c>
      <c r="L78" s="94"/>
    </row>
    <row r="79" spans="1:12" x14ac:dyDescent="0.25">
      <c r="A79" s="79"/>
      <c r="B79" s="21" t="str">
        <f>IF(A79="","",IFERROR(VLOOKUP(A79,DB_Customers!$A:$D,4,0),"❌ Account Not Found"))</f>
        <v/>
      </c>
      <c r="C79" s="80" t="str">
        <f>IF(A79="","",IFERROR(VLOOKUP(A79,DB_Customers!$A:$N,14,0),""))</f>
        <v/>
      </c>
      <c r="D79" s="81" t="str">
        <f t="shared" ca="1" si="6"/>
        <v/>
      </c>
      <c r="E79" s="97"/>
      <c r="F79" s="21"/>
      <c r="G79" s="98" t="str">
        <f t="shared" si="7"/>
        <v/>
      </c>
      <c r="H79" s="23"/>
      <c r="I79" s="84"/>
      <c r="J79" s="85" t="str">
        <f>IF(AND(A79&lt;&gt;"",E79&lt;&gt;""),IF(I79="","⚠️ Enter Code",IF(IFERROR(VLOOKUP(H79,DB_Agents!$B:$I,8,0),"")=I79,IF(C79&gt;=E79,"Successful","Unsuccessful"),"🔒 BLOCKED — Wrong Code")),"—")</f>
        <v>—</v>
      </c>
      <c r="K79" s="86" t="str">
        <f t="shared" ca="1" si="8"/>
        <v>—</v>
      </c>
      <c r="L79" s="87"/>
    </row>
    <row r="80" spans="1:12" x14ac:dyDescent="0.25">
      <c r="A80" s="88"/>
      <c r="B80" s="25" t="str">
        <f>IF(A80="","",IFERROR(VLOOKUP(A80,DB_Customers!$A:$D,4,0),"❌ Account Not Found"))</f>
        <v/>
      </c>
      <c r="C80" s="89" t="str">
        <f>IF(A80="","",IFERROR(VLOOKUP(A80,DB_Customers!$A:$N,14,0),""))</f>
        <v/>
      </c>
      <c r="D80" s="90" t="str">
        <f t="shared" ca="1" si="6"/>
        <v/>
      </c>
      <c r="E80" s="97"/>
      <c r="F80" s="25"/>
      <c r="G80" s="99" t="str">
        <f t="shared" si="7"/>
        <v/>
      </c>
      <c r="H80" s="27"/>
      <c r="I80" s="84"/>
      <c r="J80" s="92" t="str">
        <f>IF(AND(A80&lt;&gt;"",E80&lt;&gt;""),IF(I80="","⚠️ Enter Code",IF(IFERROR(VLOOKUP(H80,DB_Agents!$B:$I,8,0),"")=I80,IF(C80&gt;=E80,"Successful","Unsuccessful"),"🔒 BLOCKED — Wrong Code")),"—")</f>
        <v>—</v>
      </c>
      <c r="K80" s="93" t="str">
        <f t="shared" ca="1" si="8"/>
        <v>—</v>
      </c>
      <c r="L80" s="94"/>
    </row>
    <row r="81" spans="1:12" x14ac:dyDescent="0.25">
      <c r="A81" s="79"/>
      <c r="B81" s="21" t="str">
        <f>IF(A81="","",IFERROR(VLOOKUP(A81,DB_Customers!$A:$D,4,0),"❌ Account Not Found"))</f>
        <v/>
      </c>
      <c r="C81" s="80" t="str">
        <f>IF(A81="","",IFERROR(VLOOKUP(A81,DB_Customers!$A:$N,14,0),""))</f>
        <v/>
      </c>
      <c r="D81" s="81" t="str">
        <f t="shared" ca="1" si="6"/>
        <v/>
      </c>
      <c r="E81" s="97"/>
      <c r="F81" s="21"/>
      <c r="G81" s="98" t="str">
        <f t="shared" si="7"/>
        <v/>
      </c>
      <c r="H81" s="23"/>
      <c r="I81" s="84"/>
      <c r="J81" s="85" t="str">
        <f>IF(AND(A81&lt;&gt;"",E81&lt;&gt;""),IF(I81="","⚠️ Enter Code",IF(IFERROR(VLOOKUP(H81,DB_Agents!$B:$I,8,0),"")=I81,IF(C81&gt;=E81,"Successful","Unsuccessful"),"🔒 BLOCKED — Wrong Code")),"—")</f>
        <v>—</v>
      </c>
      <c r="K81" s="86" t="str">
        <f t="shared" ca="1" si="8"/>
        <v>—</v>
      </c>
      <c r="L81" s="87"/>
    </row>
    <row r="82" spans="1:12" x14ac:dyDescent="0.25">
      <c r="A82" s="88"/>
      <c r="B82" s="25" t="str">
        <f>IF(A82="","",IFERROR(VLOOKUP(A82,DB_Customers!$A:$D,4,0),"❌ Account Not Found"))</f>
        <v/>
      </c>
      <c r="C82" s="89" t="str">
        <f>IF(A82="","",IFERROR(VLOOKUP(A82,DB_Customers!$A:$N,14,0),""))</f>
        <v/>
      </c>
      <c r="D82" s="90" t="str">
        <f t="shared" ca="1" si="6"/>
        <v/>
      </c>
      <c r="E82" s="97"/>
      <c r="F82" s="25"/>
      <c r="G82" s="99" t="str">
        <f t="shared" si="7"/>
        <v/>
      </c>
      <c r="H82" s="27"/>
      <c r="I82" s="84"/>
      <c r="J82" s="92" t="str">
        <f>IF(AND(A82&lt;&gt;"",E82&lt;&gt;""),IF(I82="","⚠️ Enter Code",IF(IFERROR(VLOOKUP(H82,DB_Agents!$B:$I,8,0),"")=I82,IF(C82&gt;=E82,"Successful","Unsuccessful"),"🔒 BLOCKED — Wrong Code")),"—")</f>
        <v>—</v>
      </c>
      <c r="K82" s="93" t="str">
        <f t="shared" ca="1" si="8"/>
        <v>—</v>
      </c>
      <c r="L82" s="94"/>
    </row>
    <row r="83" spans="1:12" x14ac:dyDescent="0.25">
      <c r="A83" s="79"/>
      <c r="B83" s="21" t="str">
        <f>IF(A83="","",IFERROR(VLOOKUP(A83,DB_Customers!$A:$D,4,0),"❌ Account Not Found"))</f>
        <v/>
      </c>
      <c r="C83" s="80" t="str">
        <f>IF(A83="","",IFERROR(VLOOKUP(A83,DB_Customers!$A:$N,14,0),""))</f>
        <v/>
      </c>
      <c r="D83" s="81" t="str">
        <f t="shared" ca="1" si="6"/>
        <v/>
      </c>
      <c r="E83" s="97"/>
      <c r="F83" s="21"/>
      <c r="G83" s="98" t="str">
        <f t="shared" si="7"/>
        <v/>
      </c>
      <c r="H83" s="23"/>
      <c r="I83" s="84"/>
      <c r="J83" s="85" t="str">
        <f>IF(AND(A83&lt;&gt;"",E83&lt;&gt;""),IF(I83="","⚠️ Enter Code",IF(IFERROR(VLOOKUP(H83,DB_Agents!$B:$I,8,0),"")=I83,IF(C83&gt;=E83,"Successful","Unsuccessful"),"🔒 BLOCKED — Wrong Code")),"—")</f>
        <v>—</v>
      </c>
      <c r="K83" s="86" t="str">
        <f t="shared" ca="1" si="8"/>
        <v>—</v>
      </c>
      <c r="L83" s="87"/>
    </row>
    <row r="84" spans="1:12" x14ac:dyDescent="0.25">
      <c r="A84" s="88"/>
      <c r="B84" s="25" t="str">
        <f>IF(A84="","",IFERROR(VLOOKUP(A84,DB_Customers!$A:$D,4,0),"❌ Account Not Found"))</f>
        <v/>
      </c>
      <c r="C84" s="89" t="str">
        <f>IF(A84="","",IFERROR(VLOOKUP(A84,DB_Customers!$A:$N,14,0),""))</f>
        <v/>
      </c>
      <c r="D84" s="90" t="str">
        <f t="shared" ca="1" si="6"/>
        <v/>
      </c>
      <c r="E84" s="97"/>
      <c r="F84" s="25"/>
      <c r="G84" s="99" t="str">
        <f t="shared" si="7"/>
        <v/>
      </c>
      <c r="H84" s="27"/>
      <c r="I84" s="84"/>
      <c r="J84" s="92" t="str">
        <f>IF(AND(A84&lt;&gt;"",E84&lt;&gt;""),IF(I84="","⚠️ Enter Code",IF(IFERROR(VLOOKUP(H84,DB_Agents!$B:$I,8,0),"")=I84,IF(C84&gt;=E84,"Successful","Unsuccessful"),"🔒 BLOCKED — Wrong Code")),"—")</f>
        <v>—</v>
      </c>
      <c r="K84" s="93" t="str">
        <f t="shared" ca="1" si="8"/>
        <v>—</v>
      </c>
      <c r="L84" s="94"/>
    </row>
    <row r="85" spans="1:12" x14ac:dyDescent="0.25">
      <c r="A85" s="79"/>
      <c r="B85" s="21" t="str">
        <f>IF(A85="","",IFERROR(VLOOKUP(A85,DB_Customers!$A:$D,4,0),"❌ Account Not Found"))</f>
        <v/>
      </c>
      <c r="C85" s="80" t="str">
        <f>IF(A85="","",IFERROR(VLOOKUP(A85,DB_Customers!$A:$N,14,0),""))</f>
        <v/>
      </c>
      <c r="D85" s="81" t="str">
        <f t="shared" ca="1" si="6"/>
        <v/>
      </c>
      <c r="E85" s="97"/>
      <c r="F85" s="21"/>
      <c r="G85" s="98" t="str">
        <f t="shared" si="7"/>
        <v/>
      </c>
      <c r="H85" s="23"/>
      <c r="I85" s="84"/>
      <c r="J85" s="85" t="str">
        <f>IF(AND(A85&lt;&gt;"",E85&lt;&gt;""),IF(I85="","⚠️ Enter Code",IF(IFERROR(VLOOKUP(H85,DB_Agents!$B:$I,8,0),"")=I85,IF(C85&gt;=E85,"Successful","Unsuccessful"),"🔒 BLOCKED — Wrong Code")),"—")</f>
        <v>—</v>
      </c>
      <c r="K85" s="86" t="str">
        <f t="shared" ca="1" si="8"/>
        <v>—</v>
      </c>
      <c r="L85" s="87"/>
    </row>
    <row r="86" spans="1:12" x14ac:dyDescent="0.25">
      <c r="A86" s="88"/>
      <c r="B86" s="25" t="str">
        <f>IF(A86="","",IFERROR(VLOOKUP(A86,DB_Customers!$A:$D,4,0),"❌ Account Not Found"))</f>
        <v/>
      </c>
      <c r="C86" s="89" t="str">
        <f>IF(A86="","",IFERROR(VLOOKUP(A86,DB_Customers!$A:$N,14,0),""))</f>
        <v/>
      </c>
      <c r="D86" s="90" t="str">
        <f t="shared" ca="1" si="6"/>
        <v/>
      </c>
      <c r="E86" s="97"/>
      <c r="F86" s="25"/>
      <c r="G86" s="99" t="str">
        <f t="shared" si="7"/>
        <v/>
      </c>
      <c r="H86" s="27"/>
      <c r="I86" s="84"/>
      <c r="J86" s="92" t="str">
        <f>IF(AND(A86&lt;&gt;"",E86&lt;&gt;""),IF(I86="","⚠️ Enter Code",IF(IFERROR(VLOOKUP(H86,DB_Agents!$B:$I,8,0),"")=I86,IF(C86&gt;=E86,"Successful","Unsuccessful"),"🔒 BLOCKED — Wrong Code")),"—")</f>
        <v>—</v>
      </c>
      <c r="K86" s="93" t="str">
        <f t="shared" ca="1" si="8"/>
        <v>—</v>
      </c>
      <c r="L86" s="94"/>
    </row>
    <row r="87" spans="1:12" x14ac:dyDescent="0.25">
      <c r="A87" s="79"/>
      <c r="B87" s="21" t="str">
        <f>IF(A87="","",IFERROR(VLOOKUP(A87,DB_Customers!$A:$D,4,0),"❌ Account Not Found"))</f>
        <v/>
      </c>
      <c r="C87" s="80" t="str">
        <f>IF(A87="","",IFERROR(VLOOKUP(A87,DB_Customers!$A:$N,14,0),""))</f>
        <v/>
      </c>
      <c r="D87" s="81" t="str">
        <f t="shared" ca="1" si="6"/>
        <v/>
      </c>
      <c r="E87" s="97"/>
      <c r="F87" s="21"/>
      <c r="G87" s="98" t="str">
        <f t="shared" si="7"/>
        <v/>
      </c>
      <c r="H87" s="23"/>
      <c r="I87" s="84"/>
      <c r="J87" s="85" t="str">
        <f>IF(AND(A87&lt;&gt;"",E87&lt;&gt;""),IF(I87="","⚠️ Enter Code",IF(IFERROR(VLOOKUP(H87,DB_Agents!$B:$I,8,0),"")=I87,IF(C87&gt;=E87,"Successful","Unsuccessful"),"🔒 BLOCKED — Wrong Code")),"—")</f>
        <v>—</v>
      </c>
      <c r="K87" s="86" t="str">
        <f t="shared" ca="1" si="8"/>
        <v>—</v>
      </c>
      <c r="L87" s="87"/>
    </row>
    <row r="88" spans="1:12" x14ac:dyDescent="0.25">
      <c r="A88" s="88"/>
      <c r="B88" s="25" t="str">
        <f>IF(A88="","",IFERROR(VLOOKUP(A88,DB_Customers!$A:$D,4,0),"❌ Account Not Found"))</f>
        <v/>
      </c>
      <c r="C88" s="89" t="str">
        <f>IF(A88="","",IFERROR(VLOOKUP(A88,DB_Customers!$A:$N,14,0),""))</f>
        <v/>
      </c>
      <c r="D88" s="90" t="str">
        <f t="shared" ca="1" si="6"/>
        <v/>
      </c>
      <c r="E88" s="97"/>
      <c r="F88" s="25"/>
      <c r="G88" s="99" t="str">
        <f t="shared" si="7"/>
        <v/>
      </c>
      <c r="H88" s="27"/>
      <c r="I88" s="84"/>
      <c r="J88" s="92" t="str">
        <f>IF(AND(A88&lt;&gt;"",E88&lt;&gt;""),IF(I88="","⚠️ Enter Code",IF(IFERROR(VLOOKUP(H88,DB_Agents!$B:$I,8,0),"")=I88,IF(C88&gt;=E88,"Successful","Unsuccessful"),"🔒 BLOCKED — Wrong Code")),"—")</f>
        <v>—</v>
      </c>
      <c r="K88" s="93" t="str">
        <f t="shared" ca="1" si="8"/>
        <v>—</v>
      </c>
      <c r="L88" s="94"/>
    </row>
    <row r="89" spans="1:12" x14ac:dyDescent="0.25">
      <c r="A89" s="79"/>
      <c r="B89" s="21" t="str">
        <f>IF(A89="","",IFERROR(VLOOKUP(A89,DB_Customers!$A:$D,4,0),"❌ Account Not Found"))</f>
        <v/>
      </c>
      <c r="C89" s="80" t="str">
        <f>IF(A89="","",IFERROR(VLOOKUP(A89,DB_Customers!$A:$N,14,0),""))</f>
        <v/>
      </c>
      <c r="D89" s="81" t="str">
        <f t="shared" ca="1" si="6"/>
        <v/>
      </c>
      <c r="E89" s="97"/>
      <c r="F89" s="21"/>
      <c r="G89" s="98" t="str">
        <f t="shared" si="7"/>
        <v/>
      </c>
      <c r="H89" s="23"/>
      <c r="I89" s="84"/>
      <c r="J89" s="85" t="str">
        <f>IF(AND(A89&lt;&gt;"",E89&lt;&gt;""),IF(I89="","⚠️ Enter Code",IF(IFERROR(VLOOKUP(H89,DB_Agents!$B:$I,8,0),"")=I89,IF(C89&gt;=E89,"Successful","Unsuccessful"),"🔒 BLOCKED — Wrong Code")),"—")</f>
        <v>—</v>
      </c>
      <c r="K89" s="86" t="str">
        <f t="shared" ca="1" si="8"/>
        <v>—</v>
      </c>
      <c r="L89" s="87"/>
    </row>
    <row r="90" spans="1:12" x14ac:dyDescent="0.25">
      <c r="A90" s="88"/>
      <c r="B90" s="25" t="str">
        <f>IF(A90="","",IFERROR(VLOOKUP(A90,DB_Customers!$A:$D,4,0),"❌ Account Not Found"))</f>
        <v/>
      </c>
      <c r="C90" s="89" t="str">
        <f>IF(A90="","",IFERROR(VLOOKUP(A90,DB_Customers!$A:$N,14,0),""))</f>
        <v/>
      </c>
      <c r="D90" s="90" t="str">
        <f t="shared" ca="1" si="6"/>
        <v/>
      </c>
      <c r="E90" s="97"/>
      <c r="F90" s="25"/>
      <c r="G90" s="99" t="str">
        <f t="shared" si="7"/>
        <v/>
      </c>
      <c r="H90" s="27"/>
      <c r="I90" s="84"/>
      <c r="J90" s="92" t="str">
        <f>IF(AND(A90&lt;&gt;"",E90&lt;&gt;""),IF(I90="","⚠️ Enter Code",IF(IFERROR(VLOOKUP(H90,DB_Agents!$B:$I,8,0),"")=I90,IF(C90&gt;=E90,"Successful","Unsuccessful"),"🔒 BLOCKED — Wrong Code")),"—")</f>
        <v>—</v>
      </c>
      <c r="K90" s="93" t="str">
        <f t="shared" ca="1" si="8"/>
        <v>—</v>
      </c>
      <c r="L90" s="94"/>
    </row>
    <row r="91" spans="1:12" x14ac:dyDescent="0.25">
      <c r="A91" s="79"/>
      <c r="B91" s="21" t="str">
        <f>IF(A91="","",IFERROR(VLOOKUP(A91,DB_Customers!$A:$D,4,0),"❌ Account Not Found"))</f>
        <v/>
      </c>
      <c r="C91" s="80" t="str">
        <f>IF(A91="","",IFERROR(VLOOKUP(A91,DB_Customers!$A:$N,14,0),""))</f>
        <v/>
      </c>
      <c r="D91" s="81" t="str">
        <f t="shared" ca="1" si="6"/>
        <v/>
      </c>
      <c r="E91" s="97"/>
      <c r="F91" s="21"/>
      <c r="G91" s="98" t="str">
        <f t="shared" si="7"/>
        <v/>
      </c>
      <c r="H91" s="23"/>
      <c r="I91" s="84"/>
      <c r="J91" s="85" t="str">
        <f>IF(AND(A91&lt;&gt;"",E91&lt;&gt;""),IF(I91="","⚠️ Enter Code",IF(IFERROR(VLOOKUP(H91,DB_Agents!$B:$I,8,0),"")=I91,IF(C91&gt;=E91,"Successful","Unsuccessful"),"🔒 BLOCKED — Wrong Code")),"—")</f>
        <v>—</v>
      </c>
      <c r="K91" s="86" t="str">
        <f t="shared" ca="1" si="8"/>
        <v>—</v>
      </c>
      <c r="L91" s="87"/>
    </row>
    <row r="92" spans="1:12" x14ac:dyDescent="0.25">
      <c r="A92" s="88"/>
      <c r="B92" s="25" t="str">
        <f>IF(A92="","",IFERROR(VLOOKUP(A92,DB_Customers!$A:$D,4,0),"❌ Account Not Found"))</f>
        <v/>
      </c>
      <c r="C92" s="89" t="str">
        <f>IF(A92="","",IFERROR(VLOOKUP(A92,DB_Customers!$A:$N,14,0),""))</f>
        <v/>
      </c>
      <c r="D92" s="90" t="str">
        <f t="shared" ca="1" si="6"/>
        <v/>
      </c>
      <c r="E92" s="97"/>
      <c r="F92" s="25"/>
      <c r="G92" s="99" t="str">
        <f t="shared" si="7"/>
        <v/>
      </c>
      <c r="H92" s="27"/>
      <c r="I92" s="84"/>
      <c r="J92" s="92" t="str">
        <f>IF(AND(A92&lt;&gt;"",E92&lt;&gt;""),IF(I92="","⚠️ Enter Code",IF(IFERROR(VLOOKUP(H92,DB_Agents!$B:$I,8,0),"")=I92,IF(C92&gt;=E92,"Successful","Unsuccessful"),"🔒 BLOCKED — Wrong Code")),"—")</f>
        <v>—</v>
      </c>
      <c r="K92" s="93" t="str">
        <f t="shared" ca="1" si="8"/>
        <v>—</v>
      </c>
      <c r="L92" s="94"/>
    </row>
    <row r="93" spans="1:12" x14ac:dyDescent="0.25">
      <c r="A93" s="79"/>
      <c r="B93" s="21" t="str">
        <f>IF(A93="","",IFERROR(VLOOKUP(A93,DB_Customers!$A:$D,4,0),"❌ Account Not Found"))</f>
        <v/>
      </c>
      <c r="C93" s="80" t="str">
        <f>IF(A93="","",IFERROR(VLOOKUP(A93,DB_Customers!$A:$N,14,0),""))</f>
        <v/>
      </c>
      <c r="D93" s="81" t="str">
        <f t="shared" ca="1" si="6"/>
        <v/>
      </c>
      <c r="E93" s="97"/>
      <c r="F93" s="21"/>
      <c r="G93" s="98" t="str">
        <f t="shared" si="7"/>
        <v/>
      </c>
      <c r="H93" s="23"/>
      <c r="I93" s="84"/>
      <c r="J93" s="85" t="str">
        <f>IF(AND(A93&lt;&gt;"",E93&lt;&gt;""),IF(I93="","⚠️ Enter Code",IF(IFERROR(VLOOKUP(H93,DB_Agents!$B:$I,8,0),"")=I93,IF(C93&gt;=E93,"Successful","Unsuccessful"),"🔒 BLOCKED — Wrong Code")),"—")</f>
        <v>—</v>
      </c>
      <c r="K93" s="86" t="str">
        <f t="shared" ca="1" si="8"/>
        <v>—</v>
      </c>
      <c r="L93" s="87"/>
    </row>
    <row r="94" spans="1:12" x14ac:dyDescent="0.25">
      <c r="A94" s="88"/>
      <c r="B94" s="25" t="str">
        <f>IF(A94="","",IFERROR(VLOOKUP(A94,DB_Customers!$A:$D,4,0),"❌ Account Not Found"))</f>
        <v/>
      </c>
      <c r="C94" s="89" t="str">
        <f>IF(A94="","",IFERROR(VLOOKUP(A94,DB_Customers!$A:$N,14,0),""))</f>
        <v/>
      </c>
      <c r="D94" s="90" t="str">
        <f t="shared" ca="1" si="6"/>
        <v/>
      </c>
      <c r="E94" s="97"/>
      <c r="F94" s="25"/>
      <c r="G94" s="99" t="str">
        <f t="shared" si="7"/>
        <v/>
      </c>
      <c r="H94" s="27"/>
      <c r="I94" s="84"/>
      <c r="J94" s="92" t="str">
        <f>IF(AND(A94&lt;&gt;"",E94&lt;&gt;""),IF(I94="","⚠️ Enter Code",IF(IFERROR(VLOOKUP(H94,DB_Agents!$B:$I,8,0),"")=I94,IF(C94&gt;=E94,"Successful","Unsuccessful"),"🔒 BLOCKED — Wrong Code")),"—")</f>
        <v>—</v>
      </c>
      <c r="K94" s="93" t="str">
        <f t="shared" ca="1" si="8"/>
        <v>—</v>
      </c>
      <c r="L94" s="94"/>
    </row>
    <row r="95" spans="1:12" x14ac:dyDescent="0.25">
      <c r="A95" s="79"/>
      <c r="B95" s="21" t="str">
        <f>IF(A95="","",IFERROR(VLOOKUP(A95,DB_Customers!$A:$D,4,0),"❌ Account Not Found"))</f>
        <v/>
      </c>
      <c r="C95" s="80" t="str">
        <f>IF(A95="","",IFERROR(VLOOKUP(A95,DB_Customers!$A:$N,14,0),""))</f>
        <v/>
      </c>
      <c r="D95" s="81" t="str">
        <f t="shared" ca="1" si="6"/>
        <v/>
      </c>
      <c r="E95" s="97"/>
      <c r="F95" s="21"/>
      <c r="G95" s="98" t="str">
        <f t="shared" si="7"/>
        <v/>
      </c>
      <c r="H95" s="23"/>
      <c r="I95" s="84"/>
      <c r="J95" s="85" t="str">
        <f>IF(AND(A95&lt;&gt;"",E95&lt;&gt;""),IF(I95="","⚠️ Enter Code",IF(IFERROR(VLOOKUP(H95,DB_Agents!$B:$I,8,0),"")=I95,IF(C95&gt;=E95,"Successful","Unsuccessful"),"🔒 BLOCKED — Wrong Code")),"—")</f>
        <v>—</v>
      </c>
      <c r="K95" s="86" t="str">
        <f t="shared" ca="1" si="8"/>
        <v>—</v>
      </c>
      <c r="L95" s="87"/>
    </row>
    <row r="96" spans="1:12" x14ac:dyDescent="0.25">
      <c r="A96" s="88"/>
      <c r="B96" s="25" t="str">
        <f>IF(A96="","",IFERROR(VLOOKUP(A96,DB_Customers!$A:$D,4,0),"❌ Account Not Found"))</f>
        <v/>
      </c>
      <c r="C96" s="89" t="str">
        <f>IF(A96="","",IFERROR(VLOOKUP(A96,DB_Customers!$A:$N,14,0),""))</f>
        <v/>
      </c>
      <c r="D96" s="90" t="str">
        <f t="shared" ca="1" si="6"/>
        <v/>
      </c>
      <c r="E96" s="97"/>
      <c r="F96" s="25"/>
      <c r="G96" s="99" t="str">
        <f t="shared" si="7"/>
        <v/>
      </c>
      <c r="H96" s="27"/>
      <c r="I96" s="84"/>
      <c r="J96" s="92" t="str">
        <f>IF(AND(A96&lt;&gt;"",E96&lt;&gt;""),IF(I96="","⚠️ Enter Code",IF(IFERROR(VLOOKUP(H96,DB_Agents!$B:$I,8,0),"")=I96,IF(C96&gt;=E96,"Successful","Unsuccessful"),"🔒 BLOCKED — Wrong Code")),"—")</f>
        <v>—</v>
      </c>
      <c r="K96" s="93" t="str">
        <f t="shared" ca="1" si="8"/>
        <v>—</v>
      </c>
      <c r="L96" s="94"/>
    </row>
    <row r="97" spans="1:12" x14ac:dyDescent="0.25">
      <c r="A97" s="79"/>
      <c r="B97" s="21" t="str">
        <f>IF(A97="","",IFERROR(VLOOKUP(A97,DB_Customers!$A:$D,4,0),"❌ Account Not Found"))</f>
        <v/>
      </c>
      <c r="C97" s="80" t="str">
        <f>IF(A97="","",IFERROR(VLOOKUP(A97,DB_Customers!$A:$N,14,0),""))</f>
        <v/>
      </c>
      <c r="D97" s="81" t="str">
        <f t="shared" ca="1" si="6"/>
        <v/>
      </c>
      <c r="E97" s="97"/>
      <c r="F97" s="21"/>
      <c r="G97" s="98" t="str">
        <f t="shared" si="7"/>
        <v/>
      </c>
      <c r="H97" s="23"/>
      <c r="I97" s="84"/>
      <c r="J97" s="85" t="str">
        <f>IF(AND(A97&lt;&gt;"",E97&lt;&gt;""),IF(I97="","⚠️ Enter Code",IF(IFERROR(VLOOKUP(H97,DB_Agents!$B:$I,8,0),"")=I97,IF(C97&gt;=E97,"Successful","Unsuccessful"),"🔒 BLOCKED — Wrong Code")),"—")</f>
        <v>—</v>
      </c>
      <c r="K97" s="86" t="str">
        <f t="shared" ca="1" si="8"/>
        <v>—</v>
      </c>
      <c r="L97" s="87"/>
    </row>
    <row r="98" spans="1:12" x14ac:dyDescent="0.25">
      <c r="A98" s="88"/>
      <c r="B98" s="25" t="str">
        <f>IF(A98="","",IFERROR(VLOOKUP(A98,DB_Customers!$A:$D,4,0),"❌ Account Not Found"))</f>
        <v/>
      </c>
      <c r="C98" s="89" t="str">
        <f>IF(A98="","",IFERROR(VLOOKUP(A98,DB_Customers!$A:$N,14,0),""))</f>
        <v/>
      </c>
      <c r="D98" s="90" t="str">
        <f t="shared" ca="1" si="6"/>
        <v/>
      </c>
      <c r="E98" s="97"/>
      <c r="F98" s="25"/>
      <c r="G98" s="99" t="str">
        <f t="shared" si="7"/>
        <v/>
      </c>
      <c r="H98" s="27"/>
      <c r="I98" s="84"/>
      <c r="J98" s="92" t="str">
        <f>IF(AND(A98&lt;&gt;"",E98&lt;&gt;""),IF(I98="","⚠️ Enter Code",IF(IFERROR(VLOOKUP(H98,DB_Agents!$B:$I,8,0),"")=I98,IF(C98&gt;=E98,"Successful","Unsuccessful"),"🔒 BLOCKED — Wrong Code")),"—")</f>
        <v>—</v>
      </c>
      <c r="K98" s="93" t="str">
        <f t="shared" ca="1" si="8"/>
        <v>—</v>
      </c>
      <c r="L98" s="94"/>
    </row>
    <row r="99" spans="1:12" x14ac:dyDescent="0.25">
      <c r="A99" s="79"/>
      <c r="B99" s="21" t="str">
        <f>IF(A99="","",IFERROR(VLOOKUP(A99,DB_Customers!$A:$D,4,0),"❌ Account Not Found"))</f>
        <v/>
      </c>
      <c r="C99" s="80" t="str">
        <f>IF(A99="","",IFERROR(VLOOKUP(A99,DB_Customers!$A:$N,14,0),""))</f>
        <v/>
      </c>
      <c r="D99" s="81" t="str">
        <f t="shared" ca="1" si="6"/>
        <v/>
      </c>
      <c r="E99" s="97"/>
      <c r="F99" s="21"/>
      <c r="G99" s="98" t="str">
        <f t="shared" si="7"/>
        <v/>
      </c>
      <c r="H99" s="23"/>
      <c r="I99" s="84"/>
      <c r="J99" s="85" t="str">
        <f>IF(AND(A99&lt;&gt;"",E99&lt;&gt;""),IF(I99="","⚠️ Enter Code",IF(IFERROR(VLOOKUP(H99,DB_Agents!$B:$I,8,0),"")=I99,IF(C99&gt;=E99,"Successful","Unsuccessful"),"🔒 BLOCKED — Wrong Code")),"—")</f>
        <v>—</v>
      </c>
      <c r="K99" s="86" t="str">
        <f t="shared" ca="1" si="8"/>
        <v>—</v>
      </c>
      <c r="L99" s="87"/>
    </row>
    <row r="100" spans="1:12" x14ac:dyDescent="0.25">
      <c r="A100" s="88"/>
      <c r="B100" s="25" t="str">
        <f>IF(A100="","",IFERROR(VLOOKUP(A100,DB_Customers!$A:$D,4,0),"❌ Account Not Found"))</f>
        <v/>
      </c>
      <c r="C100" s="89" t="str">
        <f>IF(A100="","",IFERROR(VLOOKUP(A100,DB_Customers!$A:$N,14,0),""))</f>
        <v/>
      </c>
      <c r="D100" s="90" t="str">
        <f t="shared" ca="1" si="6"/>
        <v/>
      </c>
      <c r="E100" s="97"/>
      <c r="F100" s="25"/>
      <c r="G100" s="99" t="str">
        <f t="shared" si="7"/>
        <v/>
      </c>
      <c r="H100" s="27"/>
      <c r="I100" s="84"/>
      <c r="J100" s="92" t="str">
        <f>IF(AND(A100&lt;&gt;"",E100&lt;&gt;""),IF(I100="","⚠️ Enter Code",IF(IFERROR(VLOOKUP(H100,DB_Agents!$B:$I,8,0),"")=I100,IF(C100&gt;=E100,"Successful","Unsuccessful"),"🔒 BLOCKED — Wrong Code")),"—")</f>
        <v>—</v>
      </c>
      <c r="K100" s="93" t="str">
        <f t="shared" ca="1" si="8"/>
        <v>—</v>
      </c>
      <c r="L100" s="94"/>
    </row>
    <row r="101" spans="1:12" x14ac:dyDescent="0.25">
      <c r="A101" s="79"/>
      <c r="B101" s="21" t="str">
        <f>IF(A101="","",IFERROR(VLOOKUP(A101,DB_Customers!$A:$D,4,0),"❌ Account Not Found"))</f>
        <v/>
      </c>
      <c r="C101" s="80" t="str">
        <f>IF(A101="","",IFERROR(VLOOKUP(A101,DB_Customers!$A:$N,14,0),""))</f>
        <v/>
      </c>
      <c r="D101" s="81" t="str">
        <f t="shared" ca="1" si="6"/>
        <v/>
      </c>
      <c r="E101" s="97"/>
      <c r="F101" s="21"/>
      <c r="G101" s="98" t="str">
        <f t="shared" si="7"/>
        <v/>
      </c>
      <c r="H101" s="23"/>
      <c r="I101" s="84"/>
      <c r="J101" s="85" t="str">
        <f>IF(AND(A101&lt;&gt;"",E101&lt;&gt;""),IF(I101="","⚠️ Enter Code",IF(IFERROR(VLOOKUP(H101,DB_Agents!$B:$I,8,0),"")=I101,IF(C101&gt;=E101,"Successful","Unsuccessful"),"🔒 BLOCKED — Wrong Code")),"—")</f>
        <v>—</v>
      </c>
      <c r="K101" s="86" t="str">
        <f t="shared" ca="1" si="8"/>
        <v>—</v>
      </c>
      <c r="L101" s="87"/>
    </row>
    <row r="102" spans="1:12" x14ac:dyDescent="0.25">
      <c r="A102" s="88"/>
      <c r="B102" s="25" t="str">
        <f>IF(A102="","",IFERROR(VLOOKUP(A102,DB_Customers!$A:$D,4,0),"❌ Account Not Found"))</f>
        <v/>
      </c>
      <c r="C102" s="89" t="str">
        <f>IF(A102="","",IFERROR(VLOOKUP(A102,DB_Customers!$A:$N,14,0),""))</f>
        <v/>
      </c>
      <c r="D102" s="90" t="str">
        <f t="shared" ca="1" si="6"/>
        <v/>
      </c>
      <c r="E102" s="97"/>
      <c r="F102" s="25"/>
      <c r="G102" s="99" t="str">
        <f t="shared" si="7"/>
        <v/>
      </c>
      <c r="H102" s="27"/>
      <c r="I102" s="84"/>
      <c r="J102" s="92" t="str">
        <f>IF(AND(A102&lt;&gt;"",E102&lt;&gt;""),IF(I102="","⚠️ Enter Code",IF(IFERROR(VLOOKUP(H102,DB_Agents!$B:$I,8,0),"")=I102,IF(C102&gt;=E102,"Successful","Unsuccessful"),"🔒 BLOCKED — Wrong Code")),"—")</f>
        <v>—</v>
      </c>
      <c r="K102" s="93" t="str">
        <f t="shared" ca="1" si="8"/>
        <v>—</v>
      </c>
      <c r="L102" s="94"/>
    </row>
    <row r="103" spans="1:12" x14ac:dyDescent="0.25">
      <c r="A103" s="79"/>
      <c r="B103" s="21" t="str">
        <f>IF(A103="","",IFERROR(VLOOKUP(A103,DB_Customers!$A:$D,4,0),"❌ Account Not Found"))</f>
        <v/>
      </c>
      <c r="C103" s="80" t="str">
        <f>IF(A103="","",IFERROR(VLOOKUP(A103,DB_Customers!$A:$N,14,0),""))</f>
        <v/>
      </c>
      <c r="D103" s="81" t="str">
        <f t="shared" ca="1" si="6"/>
        <v/>
      </c>
      <c r="E103" s="97"/>
      <c r="F103" s="21"/>
      <c r="G103" s="98" t="str">
        <f t="shared" si="7"/>
        <v/>
      </c>
      <c r="H103" s="23"/>
      <c r="I103" s="84"/>
      <c r="J103" s="85" t="str">
        <f>IF(AND(A103&lt;&gt;"",E103&lt;&gt;""),IF(I103="","⚠️ Enter Code",IF(IFERROR(VLOOKUP(H103,DB_Agents!$B:$I,8,0),"")=I103,IF(C103&gt;=E103,"Successful","Unsuccessful"),"🔒 BLOCKED — Wrong Code")),"—")</f>
        <v>—</v>
      </c>
      <c r="K103" s="86" t="str">
        <f t="shared" ca="1" si="8"/>
        <v>—</v>
      </c>
      <c r="L103" s="87"/>
    </row>
    <row r="104" spans="1:12" x14ac:dyDescent="0.25">
      <c r="A104" s="88"/>
      <c r="B104" s="25" t="str">
        <f>IF(A104="","",IFERROR(VLOOKUP(A104,DB_Customers!$A:$D,4,0),"❌ Account Not Found"))</f>
        <v/>
      </c>
      <c r="C104" s="89" t="str">
        <f>IF(A104="","",IFERROR(VLOOKUP(A104,DB_Customers!$A:$N,14,0),""))</f>
        <v/>
      </c>
      <c r="D104" s="90" t="str">
        <f t="shared" ca="1" si="6"/>
        <v/>
      </c>
      <c r="E104" s="97"/>
      <c r="F104" s="25"/>
      <c r="G104" s="99" t="str">
        <f t="shared" si="7"/>
        <v/>
      </c>
      <c r="H104" s="27"/>
      <c r="I104" s="84"/>
      <c r="J104" s="92" t="str">
        <f>IF(AND(A104&lt;&gt;"",E104&lt;&gt;""),IF(I104="","⚠️ Enter Code",IF(IFERROR(VLOOKUP(H104,DB_Agents!$B:$I,8,0),"")=I104,IF(C104&gt;=E104,"Successful","Unsuccessful"),"🔒 BLOCKED — Wrong Code")),"—")</f>
        <v>—</v>
      </c>
      <c r="K104" s="93" t="str">
        <f t="shared" ca="1" si="8"/>
        <v>—</v>
      </c>
      <c r="L104" s="94"/>
    </row>
    <row r="105" spans="1:12" x14ac:dyDescent="0.25">
      <c r="A105" s="79"/>
      <c r="B105" s="21" t="str">
        <f>IF(A105="","",IFERROR(VLOOKUP(A105,DB_Customers!$A:$D,4,0),"❌ Account Not Found"))</f>
        <v/>
      </c>
      <c r="C105" s="80" t="str">
        <f>IF(A105="","",IFERROR(VLOOKUP(A105,DB_Customers!$A:$N,14,0),""))</f>
        <v/>
      </c>
      <c r="D105" s="81" t="str">
        <f t="shared" ref="D105:D136" ca="1" si="9">IF(A105="","",TODAY())</f>
        <v/>
      </c>
      <c r="E105" s="97"/>
      <c r="F105" s="21"/>
      <c r="G105" s="98" t="str">
        <f t="shared" ref="G105:G136" si="10">IF(OR(A105="",E105=""),"",IF(C105="","",C105-E105))</f>
        <v/>
      </c>
      <c r="H105" s="23"/>
      <c r="I105" s="84"/>
      <c r="J105" s="85" t="str">
        <f>IF(AND(A105&lt;&gt;"",E105&lt;&gt;""),IF(I105="","⚠️ Enter Code",IF(IFERROR(VLOOKUP(H105,DB_Agents!$B:$I,8,0),"")=I105,IF(C105&gt;=E105,"Successful","Unsuccessful"),"🔒 BLOCKED — Wrong Code")),"—")</f>
        <v>—</v>
      </c>
      <c r="K105" s="86" t="str">
        <f t="shared" ref="K105:K136" ca="1" si="11">IF(J105="Successful",TEXT(TODAY(),"YYYY-MM-DD")&amp;" Auto","—")</f>
        <v>—</v>
      </c>
      <c r="L105" s="87"/>
    </row>
    <row r="106" spans="1:12" x14ac:dyDescent="0.25">
      <c r="A106" s="88"/>
      <c r="B106" s="25" t="str">
        <f>IF(A106="","",IFERROR(VLOOKUP(A106,DB_Customers!$A:$D,4,0),"❌ Account Not Found"))</f>
        <v/>
      </c>
      <c r="C106" s="89" t="str">
        <f>IF(A106="","",IFERROR(VLOOKUP(A106,DB_Customers!$A:$N,14,0),""))</f>
        <v/>
      </c>
      <c r="D106" s="90" t="str">
        <f t="shared" ca="1" si="9"/>
        <v/>
      </c>
      <c r="E106" s="97"/>
      <c r="F106" s="25"/>
      <c r="G106" s="99" t="str">
        <f t="shared" si="10"/>
        <v/>
      </c>
      <c r="H106" s="27"/>
      <c r="I106" s="84"/>
      <c r="J106" s="92" t="str">
        <f>IF(AND(A106&lt;&gt;"",E106&lt;&gt;""),IF(I106="","⚠️ Enter Code",IF(IFERROR(VLOOKUP(H106,DB_Agents!$B:$I,8,0),"")=I106,IF(C106&gt;=E106,"Successful","Unsuccessful"),"🔒 BLOCKED — Wrong Code")),"—")</f>
        <v>—</v>
      </c>
      <c r="K106" s="93" t="str">
        <f t="shared" ca="1" si="11"/>
        <v>—</v>
      </c>
      <c r="L106" s="94"/>
    </row>
    <row r="107" spans="1:12" x14ac:dyDescent="0.25">
      <c r="A107" s="79"/>
      <c r="B107" s="21" t="str">
        <f>IF(A107="","",IFERROR(VLOOKUP(A107,DB_Customers!$A:$D,4,0),"❌ Account Not Found"))</f>
        <v/>
      </c>
      <c r="C107" s="80" t="str">
        <f>IF(A107="","",IFERROR(VLOOKUP(A107,DB_Customers!$A:$N,14,0),""))</f>
        <v/>
      </c>
      <c r="D107" s="81" t="str">
        <f t="shared" ca="1" si="9"/>
        <v/>
      </c>
      <c r="E107" s="97"/>
      <c r="F107" s="21"/>
      <c r="G107" s="98" t="str">
        <f t="shared" si="10"/>
        <v/>
      </c>
      <c r="H107" s="23"/>
      <c r="I107" s="84"/>
      <c r="J107" s="85" t="str">
        <f>IF(AND(A107&lt;&gt;"",E107&lt;&gt;""),IF(I107="","⚠️ Enter Code",IF(IFERROR(VLOOKUP(H107,DB_Agents!$B:$I,8,0),"")=I107,IF(C107&gt;=E107,"Successful","Unsuccessful"),"🔒 BLOCKED — Wrong Code")),"—")</f>
        <v>—</v>
      </c>
      <c r="K107" s="86" t="str">
        <f t="shared" ca="1" si="11"/>
        <v>—</v>
      </c>
      <c r="L107" s="87"/>
    </row>
    <row r="108" spans="1:12" x14ac:dyDescent="0.25">
      <c r="A108" s="88"/>
      <c r="B108" s="25" t="str">
        <f>IF(A108="","",IFERROR(VLOOKUP(A108,DB_Customers!$A:$D,4,0),"❌ Account Not Found"))</f>
        <v/>
      </c>
      <c r="C108" s="89" t="str">
        <f>IF(A108="","",IFERROR(VLOOKUP(A108,DB_Customers!$A:$N,14,0),""))</f>
        <v/>
      </c>
      <c r="D108" s="90" t="str">
        <f t="shared" ca="1" si="9"/>
        <v/>
      </c>
      <c r="E108" s="97"/>
      <c r="F108" s="25"/>
      <c r="G108" s="99" t="str">
        <f t="shared" si="10"/>
        <v/>
      </c>
      <c r="H108" s="27"/>
      <c r="I108" s="84"/>
      <c r="J108" s="92" t="str">
        <f>IF(AND(A108&lt;&gt;"",E108&lt;&gt;""),IF(I108="","⚠️ Enter Code",IF(IFERROR(VLOOKUP(H108,DB_Agents!$B:$I,8,0),"")=I108,IF(C108&gt;=E108,"Successful","Unsuccessful"),"🔒 BLOCKED — Wrong Code")),"—")</f>
        <v>—</v>
      </c>
      <c r="K108" s="93" t="str">
        <f t="shared" ca="1" si="11"/>
        <v>—</v>
      </c>
      <c r="L108" s="94"/>
    </row>
    <row r="109" spans="1:12" x14ac:dyDescent="0.25">
      <c r="A109" s="79"/>
      <c r="B109" s="21" t="str">
        <f>IF(A109="","",IFERROR(VLOOKUP(A109,DB_Customers!$A:$D,4,0),"❌ Account Not Found"))</f>
        <v/>
      </c>
      <c r="C109" s="80" t="str">
        <f>IF(A109="","",IFERROR(VLOOKUP(A109,DB_Customers!$A:$N,14,0),""))</f>
        <v/>
      </c>
      <c r="D109" s="81" t="str">
        <f t="shared" ca="1" si="9"/>
        <v/>
      </c>
      <c r="E109" s="97"/>
      <c r="F109" s="21"/>
      <c r="G109" s="98" t="str">
        <f t="shared" si="10"/>
        <v/>
      </c>
      <c r="H109" s="23"/>
      <c r="I109" s="84"/>
      <c r="J109" s="85" t="str">
        <f>IF(AND(A109&lt;&gt;"",E109&lt;&gt;""),IF(I109="","⚠️ Enter Code",IF(IFERROR(VLOOKUP(H109,DB_Agents!$B:$I,8,0),"")=I109,IF(C109&gt;=E109,"Successful","Unsuccessful"),"🔒 BLOCKED — Wrong Code")),"—")</f>
        <v>—</v>
      </c>
      <c r="K109" s="86" t="str">
        <f t="shared" ca="1" si="11"/>
        <v>—</v>
      </c>
      <c r="L109" s="87"/>
    </row>
    <row r="110" spans="1:12" x14ac:dyDescent="0.25">
      <c r="A110" s="88"/>
      <c r="B110" s="25" t="str">
        <f>IF(A110="","",IFERROR(VLOOKUP(A110,DB_Customers!$A:$D,4,0),"❌ Account Not Found"))</f>
        <v/>
      </c>
      <c r="C110" s="89" t="str">
        <f>IF(A110="","",IFERROR(VLOOKUP(A110,DB_Customers!$A:$N,14,0),""))</f>
        <v/>
      </c>
      <c r="D110" s="90" t="str">
        <f t="shared" ca="1" si="9"/>
        <v/>
      </c>
      <c r="E110" s="97"/>
      <c r="F110" s="25"/>
      <c r="G110" s="99" t="str">
        <f t="shared" si="10"/>
        <v/>
      </c>
      <c r="H110" s="27"/>
      <c r="I110" s="84"/>
      <c r="J110" s="92" t="str">
        <f>IF(AND(A110&lt;&gt;"",E110&lt;&gt;""),IF(I110="","⚠️ Enter Code",IF(IFERROR(VLOOKUP(H110,DB_Agents!$B:$I,8,0),"")=I110,IF(C110&gt;=E110,"Successful","Unsuccessful"),"🔒 BLOCKED — Wrong Code")),"—")</f>
        <v>—</v>
      </c>
      <c r="K110" s="93" t="str">
        <f t="shared" ca="1" si="11"/>
        <v>—</v>
      </c>
      <c r="L110" s="94"/>
    </row>
    <row r="111" spans="1:12" x14ac:dyDescent="0.25">
      <c r="A111" s="79"/>
      <c r="B111" s="21" t="str">
        <f>IF(A111="","",IFERROR(VLOOKUP(A111,DB_Customers!$A:$D,4,0),"❌ Account Not Found"))</f>
        <v/>
      </c>
      <c r="C111" s="80" t="str">
        <f>IF(A111="","",IFERROR(VLOOKUP(A111,DB_Customers!$A:$N,14,0),""))</f>
        <v/>
      </c>
      <c r="D111" s="81" t="str">
        <f t="shared" ca="1" si="9"/>
        <v/>
      </c>
      <c r="E111" s="97"/>
      <c r="F111" s="21"/>
      <c r="G111" s="98" t="str">
        <f t="shared" si="10"/>
        <v/>
      </c>
      <c r="H111" s="23"/>
      <c r="I111" s="84"/>
      <c r="J111" s="85" t="str">
        <f>IF(AND(A111&lt;&gt;"",E111&lt;&gt;""),IF(I111="","⚠️ Enter Code",IF(IFERROR(VLOOKUP(H111,DB_Agents!$B:$I,8,0),"")=I111,IF(C111&gt;=E111,"Successful","Unsuccessful"),"🔒 BLOCKED — Wrong Code")),"—")</f>
        <v>—</v>
      </c>
      <c r="K111" s="86" t="str">
        <f t="shared" ca="1" si="11"/>
        <v>—</v>
      </c>
      <c r="L111" s="87"/>
    </row>
    <row r="112" spans="1:12" x14ac:dyDescent="0.25">
      <c r="A112" s="88"/>
      <c r="B112" s="25" t="str">
        <f>IF(A112="","",IFERROR(VLOOKUP(A112,DB_Customers!$A:$D,4,0),"❌ Account Not Found"))</f>
        <v/>
      </c>
      <c r="C112" s="89" t="str">
        <f>IF(A112="","",IFERROR(VLOOKUP(A112,DB_Customers!$A:$N,14,0),""))</f>
        <v/>
      </c>
      <c r="D112" s="90" t="str">
        <f t="shared" ca="1" si="9"/>
        <v/>
      </c>
      <c r="E112" s="97"/>
      <c r="F112" s="25"/>
      <c r="G112" s="99" t="str">
        <f t="shared" si="10"/>
        <v/>
      </c>
      <c r="H112" s="27"/>
      <c r="I112" s="84"/>
      <c r="J112" s="92" t="str">
        <f>IF(AND(A112&lt;&gt;"",E112&lt;&gt;""),IF(I112="","⚠️ Enter Code",IF(IFERROR(VLOOKUP(H112,DB_Agents!$B:$I,8,0),"")=I112,IF(C112&gt;=E112,"Successful","Unsuccessful"),"🔒 BLOCKED — Wrong Code")),"—")</f>
        <v>—</v>
      </c>
      <c r="K112" s="93" t="str">
        <f t="shared" ca="1" si="11"/>
        <v>—</v>
      </c>
      <c r="L112" s="94"/>
    </row>
    <row r="113" spans="1:12" x14ac:dyDescent="0.25">
      <c r="A113" s="79"/>
      <c r="B113" s="21" t="str">
        <f>IF(A113="","",IFERROR(VLOOKUP(A113,DB_Customers!$A:$D,4,0),"❌ Account Not Found"))</f>
        <v/>
      </c>
      <c r="C113" s="80" t="str">
        <f>IF(A113="","",IFERROR(VLOOKUP(A113,DB_Customers!$A:$N,14,0),""))</f>
        <v/>
      </c>
      <c r="D113" s="81" t="str">
        <f t="shared" ca="1" si="9"/>
        <v/>
      </c>
      <c r="E113" s="97"/>
      <c r="F113" s="21"/>
      <c r="G113" s="98" t="str">
        <f t="shared" si="10"/>
        <v/>
      </c>
      <c r="H113" s="23"/>
      <c r="I113" s="84"/>
      <c r="J113" s="85" t="str">
        <f>IF(AND(A113&lt;&gt;"",E113&lt;&gt;""),IF(I113="","⚠️ Enter Code",IF(IFERROR(VLOOKUP(H113,DB_Agents!$B:$I,8,0),"")=I113,IF(C113&gt;=E113,"Successful","Unsuccessful"),"🔒 BLOCKED — Wrong Code")),"—")</f>
        <v>—</v>
      </c>
      <c r="K113" s="86" t="str">
        <f t="shared" ca="1" si="11"/>
        <v>—</v>
      </c>
      <c r="L113" s="87"/>
    </row>
    <row r="114" spans="1:12" x14ac:dyDescent="0.25">
      <c r="A114" s="88"/>
      <c r="B114" s="25" t="str">
        <f>IF(A114="","",IFERROR(VLOOKUP(A114,DB_Customers!$A:$D,4,0),"❌ Account Not Found"))</f>
        <v/>
      </c>
      <c r="C114" s="89" t="str">
        <f>IF(A114="","",IFERROR(VLOOKUP(A114,DB_Customers!$A:$N,14,0),""))</f>
        <v/>
      </c>
      <c r="D114" s="90" t="str">
        <f t="shared" ca="1" si="9"/>
        <v/>
      </c>
      <c r="E114" s="97"/>
      <c r="F114" s="25"/>
      <c r="G114" s="99" t="str">
        <f t="shared" si="10"/>
        <v/>
      </c>
      <c r="H114" s="27"/>
      <c r="I114" s="84"/>
      <c r="J114" s="92" t="str">
        <f>IF(AND(A114&lt;&gt;"",E114&lt;&gt;""),IF(I114="","⚠️ Enter Code",IF(IFERROR(VLOOKUP(H114,DB_Agents!$B:$I,8,0),"")=I114,IF(C114&gt;=E114,"Successful","Unsuccessful"),"🔒 BLOCKED — Wrong Code")),"—")</f>
        <v>—</v>
      </c>
      <c r="K114" s="93" t="str">
        <f t="shared" ca="1" si="11"/>
        <v>—</v>
      </c>
      <c r="L114" s="94"/>
    </row>
    <row r="115" spans="1:12" x14ac:dyDescent="0.25">
      <c r="A115" s="79"/>
      <c r="B115" s="21" t="str">
        <f>IF(A115="","",IFERROR(VLOOKUP(A115,DB_Customers!$A:$D,4,0),"❌ Account Not Found"))</f>
        <v/>
      </c>
      <c r="C115" s="80" t="str">
        <f>IF(A115="","",IFERROR(VLOOKUP(A115,DB_Customers!$A:$N,14,0),""))</f>
        <v/>
      </c>
      <c r="D115" s="81" t="str">
        <f t="shared" ca="1" si="9"/>
        <v/>
      </c>
      <c r="E115" s="97"/>
      <c r="F115" s="21"/>
      <c r="G115" s="98" t="str">
        <f t="shared" si="10"/>
        <v/>
      </c>
      <c r="H115" s="23"/>
      <c r="I115" s="84"/>
      <c r="J115" s="85" t="str">
        <f>IF(AND(A115&lt;&gt;"",E115&lt;&gt;""),IF(I115="","⚠️ Enter Code",IF(IFERROR(VLOOKUP(H115,DB_Agents!$B:$I,8,0),"")=I115,IF(C115&gt;=E115,"Successful","Unsuccessful"),"🔒 BLOCKED — Wrong Code")),"—")</f>
        <v>—</v>
      </c>
      <c r="K115" s="86" t="str">
        <f t="shared" ca="1" si="11"/>
        <v>—</v>
      </c>
      <c r="L115" s="87"/>
    </row>
    <row r="116" spans="1:12" x14ac:dyDescent="0.25">
      <c r="A116" s="88"/>
      <c r="B116" s="25" t="str">
        <f>IF(A116="","",IFERROR(VLOOKUP(A116,DB_Customers!$A:$D,4,0),"❌ Account Not Found"))</f>
        <v/>
      </c>
      <c r="C116" s="89" t="str">
        <f>IF(A116="","",IFERROR(VLOOKUP(A116,DB_Customers!$A:$N,14,0),""))</f>
        <v/>
      </c>
      <c r="D116" s="90" t="str">
        <f t="shared" ca="1" si="9"/>
        <v/>
      </c>
      <c r="E116" s="97"/>
      <c r="F116" s="25"/>
      <c r="G116" s="99" t="str">
        <f t="shared" si="10"/>
        <v/>
      </c>
      <c r="H116" s="27"/>
      <c r="I116" s="84"/>
      <c r="J116" s="92" t="str">
        <f>IF(AND(A116&lt;&gt;"",E116&lt;&gt;""),IF(I116="","⚠️ Enter Code",IF(IFERROR(VLOOKUP(H116,DB_Agents!$B:$I,8,0),"")=I116,IF(C116&gt;=E116,"Successful","Unsuccessful"),"🔒 BLOCKED — Wrong Code")),"—")</f>
        <v>—</v>
      </c>
      <c r="K116" s="93" t="str">
        <f t="shared" ca="1" si="11"/>
        <v>—</v>
      </c>
      <c r="L116" s="94"/>
    </row>
    <row r="117" spans="1:12" x14ac:dyDescent="0.25">
      <c r="A117" s="79"/>
      <c r="B117" s="21" t="str">
        <f>IF(A117="","",IFERROR(VLOOKUP(A117,DB_Customers!$A:$D,4,0),"❌ Account Not Found"))</f>
        <v/>
      </c>
      <c r="C117" s="80" t="str">
        <f>IF(A117="","",IFERROR(VLOOKUP(A117,DB_Customers!$A:$N,14,0),""))</f>
        <v/>
      </c>
      <c r="D117" s="81" t="str">
        <f t="shared" ca="1" si="9"/>
        <v/>
      </c>
      <c r="E117" s="97"/>
      <c r="F117" s="21"/>
      <c r="G117" s="98" t="str">
        <f t="shared" si="10"/>
        <v/>
      </c>
      <c r="H117" s="23"/>
      <c r="I117" s="84"/>
      <c r="J117" s="85" t="str">
        <f>IF(AND(A117&lt;&gt;"",E117&lt;&gt;""),IF(I117="","⚠️ Enter Code",IF(IFERROR(VLOOKUP(H117,DB_Agents!$B:$I,8,0),"")=I117,IF(C117&gt;=E117,"Successful","Unsuccessful"),"🔒 BLOCKED — Wrong Code")),"—")</f>
        <v>—</v>
      </c>
      <c r="K117" s="86" t="str">
        <f t="shared" ca="1" si="11"/>
        <v>—</v>
      </c>
      <c r="L117" s="87"/>
    </row>
    <row r="118" spans="1:12" x14ac:dyDescent="0.25">
      <c r="A118" s="88"/>
      <c r="B118" s="25" t="str">
        <f>IF(A118="","",IFERROR(VLOOKUP(A118,DB_Customers!$A:$D,4,0),"❌ Account Not Found"))</f>
        <v/>
      </c>
      <c r="C118" s="89" t="str">
        <f>IF(A118="","",IFERROR(VLOOKUP(A118,DB_Customers!$A:$N,14,0),""))</f>
        <v/>
      </c>
      <c r="D118" s="90" t="str">
        <f t="shared" ca="1" si="9"/>
        <v/>
      </c>
      <c r="E118" s="97"/>
      <c r="F118" s="25"/>
      <c r="G118" s="99" t="str">
        <f t="shared" si="10"/>
        <v/>
      </c>
      <c r="H118" s="27"/>
      <c r="I118" s="84"/>
      <c r="J118" s="92" t="str">
        <f>IF(AND(A118&lt;&gt;"",E118&lt;&gt;""),IF(I118="","⚠️ Enter Code",IF(IFERROR(VLOOKUP(H118,DB_Agents!$B:$I,8,0),"")=I118,IF(C118&gt;=E118,"Successful","Unsuccessful"),"🔒 BLOCKED — Wrong Code")),"—")</f>
        <v>—</v>
      </c>
      <c r="K118" s="93" t="str">
        <f t="shared" ca="1" si="11"/>
        <v>—</v>
      </c>
      <c r="L118" s="94"/>
    </row>
    <row r="119" spans="1:12" x14ac:dyDescent="0.25">
      <c r="A119" s="79"/>
      <c r="B119" s="21" t="str">
        <f>IF(A119="","",IFERROR(VLOOKUP(A119,DB_Customers!$A:$D,4,0),"❌ Account Not Found"))</f>
        <v/>
      </c>
      <c r="C119" s="80" t="str">
        <f>IF(A119="","",IFERROR(VLOOKUP(A119,DB_Customers!$A:$N,14,0),""))</f>
        <v/>
      </c>
      <c r="D119" s="81" t="str">
        <f t="shared" ca="1" si="9"/>
        <v/>
      </c>
      <c r="E119" s="97"/>
      <c r="F119" s="21"/>
      <c r="G119" s="98" t="str">
        <f t="shared" si="10"/>
        <v/>
      </c>
      <c r="H119" s="23"/>
      <c r="I119" s="84"/>
      <c r="J119" s="85" t="str">
        <f>IF(AND(A119&lt;&gt;"",E119&lt;&gt;""),IF(I119="","⚠️ Enter Code",IF(IFERROR(VLOOKUP(H119,DB_Agents!$B:$I,8,0),"")=I119,IF(C119&gt;=E119,"Successful","Unsuccessful"),"🔒 BLOCKED — Wrong Code")),"—")</f>
        <v>—</v>
      </c>
      <c r="K119" s="86" t="str">
        <f t="shared" ca="1" si="11"/>
        <v>—</v>
      </c>
      <c r="L119" s="87"/>
    </row>
    <row r="120" spans="1:12" x14ac:dyDescent="0.25">
      <c r="A120" s="88"/>
      <c r="B120" s="25" t="str">
        <f>IF(A120="","",IFERROR(VLOOKUP(A120,DB_Customers!$A:$D,4,0),"❌ Account Not Found"))</f>
        <v/>
      </c>
      <c r="C120" s="89" t="str">
        <f>IF(A120="","",IFERROR(VLOOKUP(A120,DB_Customers!$A:$N,14,0),""))</f>
        <v/>
      </c>
      <c r="D120" s="90" t="str">
        <f t="shared" ca="1" si="9"/>
        <v/>
      </c>
      <c r="E120" s="97"/>
      <c r="F120" s="25"/>
      <c r="G120" s="99" t="str">
        <f t="shared" si="10"/>
        <v/>
      </c>
      <c r="H120" s="27"/>
      <c r="I120" s="84"/>
      <c r="J120" s="92" t="str">
        <f>IF(AND(A120&lt;&gt;"",E120&lt;&gt;""),IF(I120="","⚠️ Enter Code",IF(IFERROR(VLOOKUP(H120,DB_Agents!$B:$I,8,0),"")=I120,IF(C120&gt;=E120,"Successful","Unsuccessful"),"🔒 BLOCKED — Wrong Code")),"—")</f>
        <v>—</v>
      </c>
      <c r="K120" s="93" t="str">
        <f t="shared" ca="1" si="11"/>
        <v>—</v>
      </c>
      <c r="L120" s="94"/>
    </row>
    <row r="121" spans="1:12" x14ac:dyDescent="0.25">
      <c r="A121" s="79"/>
      <c r="B121" s="21" t="str">
        <f>IF(A121="","",IFERROR(VLOOKUP(A121,DB_Customers!$A:$D,4,0),"❌ Account Not Found"))</f>
        <v/>
      </c>
      <c r="C121" s="80" t="str">
        <f>IF(A121="","",IFERROR(VLOOKUP(A121,DB_Customers!$A:$N,14,0),""))</f>
        <v/>
      </c>
      <c r="D121" s="81" t="str">
        <f t="shared" ca="1" si="9"/>
        <v/>
      </c>
      <c r="E121" s="97"/>
      <c r="F121" s="21"/>
      <c r="G121" s="98" t="str">
        <f t="shared" si="10"/>
        <v/>
      </c>
      <c r="H121" s="23"/>
      <c r="I121" s="84"/>
      <c r="J121" s="85" t="str">
        <f>IF(AND(A121&lt;&gt;"",E121&lt;&gt;""),IF(I121="","⚠️ Enter Code",IF(IFERROR(VLOOKUP(H121,DB_Agents!$B:$I,8,0),"")=I121,IF(C121&gt;=E121,"Successful","Unsuccessful"),"🔒 BLOCKED — Wrong Code")),"—")</f>
        <v>—</v>
      </c>
      <c r="K121" s="86" t="str">
        <f t="shared" ca="1" si="11"/>
        <v>—</v>
      </c>
      <c r="L121" s="87"/>
    </row>
    <row r="122" spans="1:12" x14ac:dyDescent="0.25">
      <c r="A122" s="88"/>
      <c r="B122" s="25" t="str">
        <f>IF(A122="","",IFERROR(VLOOKUP(A122,DB_Customers!$A:$D,4,0),"❌ Account Not Found"))</f>
        <v/>
      </c>
      <c r="C122" s="89" t="str">
        <f>IF(A122="","",IFERROR(VLOOKUP(A122,DB_Customers!$A:$N,14,0),""))</f>
        <v/>
      </c>
      <c r="D122" s="90" t="str">
        <f t="shared" ca="1" si="9"/>
        <v/>
      </c>
      <c r="E122" s="97"/>
      <c r="F122" s="25"/>
      <c r="G122" s="99" t="str">
        <f t="shared" si="10"/>
        <v/>
      </c>
      <c r="H122" s="27"/>
      <c r="I122" s="84"/>
      <c r="J122" s="92" t="str">
        <f>IF(AND(A122&lt;&gt;"",E122&lt;&gt;""),IF(I122="","⚠️ Enter Code",IF(IFERROR(VLOOKUP(H122,DB_Agents!$B:$I,8,0),"")=I122,IF(C122&gt;=E122,"Successful","Unsuccessful"),"🔒 BLOCKED — Wrong Code")),"—")</f>
        <v>—</v>
      </c>
      <c r="K122" s="93" t="str">
        <f t="shared" ca="1" si="11"/>
        <v>—</v>
      </c>
      <c r="L122" s="94"/>
    </row>
    <row r="123" spans="1:12" x14ac:dyDescent="0.25">
      <c r="A123" s="79"/>
      <c r="B123" s="21" t="str">
        <f>IF(A123="","",IFERROR(VLOOKUP(A123,DB_Customers!$A:$D,4,0),"❌ Account Not Found"))</f>
        <v/>
      </c>
      <c r="C123" s="80" t="str">
        <f>IF(A123="","",IFERROR(VLOOKUP(A123,DB_Customers!$A:$N,14,0),""))</f>
        <v/>
      </c>
      <c r="D123" s="81" t="str">
        <f t="shared" ca="1" si="9"/>
        <v/>
      </c>
      <c r="E123" s="97"/>
      <c r="F123" s="21"/>
      <c r="G123" s="98" t="str">
        <f t="shared" si="10"/>
        <v/>
      </c>
      <c r="H123" s="23"/>
      <c r="I123" s="84"/>
      <c r="J123" s="85" t="str">
        <f>IF(AND(A123&lt;&gt;"",E123&lt;&gt;""),IF(I123="","⚠️ Enter Code",IF(IFERROR(VLOOKUP(H123,DB_Agents!$B:$I,8,0),"")=I123,IF(C123&gt;=E123,"Successful","Unsuccessful"),"🔒 BLOCKED — Wrong Code")),"—")</f>
        <v>—</v>
      </c>
      <c r="K123" s="86" t="str">
        <f t="shared" ca="1" si="11"/>
        <v>—</v>
      </c>
      <c r="L123" s="87"/>
    </row>
    <row r="124" spans="1:12" x14ac:dyDescent="0.25">
      <c r="A124" s="88"/>
      <c r="B124" s="25" t="str">
        <f>IF(A124="","",IFERROR(VLOOKUP(A124,DB_Customers!$A:$D,4,0),"❌ Account Not Found"))</f>
        <v/>
      </c>
      <c r="C124" s="89" t="str">
        <f>IF(A124="","",IFERROR(VLOOKUP(A124,DB_Customers!$A:$N,14,0),""))</f>
        <v/>
      </c>
      <c r="D124" s="90" t="str">
        <f t="shared" ca="1" si="9"/>
        <v/>
      </c>
      <c r="E124" s="97"/>
      <c r="F124" s="25"/>
      <c r="G124" s="99" t="str">
        <f t="shared" si="10"/>
        <v/>
      </c>
      <c r="H124" s="27"/>
      <c r="I124" s="84"/>
      <c r="J124" s="92" t="str">
        <f>IF(AND(A124&lt;&gt;"",E124&lt;&gt;""),IF(I124="","⚠️ Enter Code",IF(IFERROR(VLOOKUP(H124,DB_Agents!$B:$I,8,0),"")=I124,IF(C124&gt;=E124,"Successful","Unsuccessful"),"🔒 BLOCKED — Wrong Code")),"—")</f>
        <v>—</v>
      </c>
      <c r="K124" s="93" t="str">
        <f t="shared" ca="1" si="11"/>
        <v>—</v>
      </c>
      <c r="L124" s="94"/>
    </row>
    <row r="125" spans="1:12" x14ac:dyDescent="0.25">
      <c r="A125" s="79"/>
      <c r="B125" s="21" t="str">
        <f>IF(A125="","",IFERROR(VLOOKUP(A125,DB_Customers!$A:$D,4,0),"❌ Account Not Found"))</f>
        <v/>
      </c>
      <c r="C125" s="80" t="str">
        <f>IF(A125="","",IFERROR(VLOOKUP(A125,DB_Customers!$A:$N,14,0),""))</f>
        <v/>
      </c>
      <c r="D125" s="81" t="str">
        <f t="shared" ca="1" si="9"/>
        <v/>
      </c>
      <c r="E125" s="97"/>
      <c r="F125" s="21"/>
      <c r="G125" s="98" t="str">
        <f t="shared" si="10"/>
        <v/>
      </c>
      <c r="H125" s="23"/>
      <c r="I125" s="84"/>
      <c r="J125" s="85" t="str">
        <f>IF(AND(A125&lt;&gt;"",E125&lt;&gt;""),IF(I125="","⚠️ Enter Code",IF(IFERROR(VLOOKUP(H125,DB_Agents!$B:$I,8,0),"")=I125,IF(C125&gt;=E125,"Successful","Unsuccessful"),"🔒 BLOCKED — Wrong Code")),"—")</f>
        <v>—</v>
      </c>
      <c r="K125" s="86" t="str">
        <f t="shared" ca="1" si="11"/>
        <v>—</v>
      </c>
      <c r="L125" s="87"/>
    </row>
    <row r="126" spans="1:12" x14ac:dyDescent="0.25">
      <c r="A126" s="88"/>
      <c r="B126" s="25" t="str">
        <f>IF(A126="","",IFERROR(VLOOKUP(A126,DB_Customers!$A:$D,4,0),"❌ Account Not Found"))</f>
        <v/>
      </c>
      <c r="C126" s="89" t="str">
        <f>IF(A126="","",IFERROR(VLOOKUP(A126,DB_Customers!$A:$N,14,0),""))</f>
        <v/>
      </c>
      <c r="D126" s="90" t="str">
        <f t="shared" ca="1" si="9"/>
        <v/>
      </c>
      <c r="E126" s="97"/>
      <c r="F126" s="25"/>
      <c r="G126" s="99" t="str">
        <f t="shared" si="10"/>
        <v/>
      </c>
      <c r="H126" s="27"/>
      <c r="I126" s="84"/>
      <c r="J126" s="92" t="str">
        <f>IF(AND(A126&lt;&gt;"",E126&lt;&gt;""),IF(I126="","⚠️ Enter Code",IF(IFERROR(VLOOKUP(H126,DB_Agents!$B:$I,8,0),"")=I126,IF(C126&gt;=E126,"Successful","Unsuccessful"),"🔒 BLOCKED — Wrong Code")),"—")</f>
        <v>—</v>
      </c>
      <c r="K126" s="93" t="str">
        <f t="shared" ca="1" si="11"/>
        <v>—</v>
      </c>
      <c r="L126" s="94"/>
    </row>
    <row r="127" spans="1:12" x14ac:dyDescent="0.25">
      <c r="A127" s="79"/>
      <c r="B127" s="21" t="str">
        <f>IF(A127="","",IFERROR(VLOOKUP(A127,DB_Customers!$A:$D,4,0),"❌ Account Not Found"))</f>
        <v/>
      </c>
      <c r="C127" s="80" t="str">
        <f>IF(A127="","",IFERROR(VLOOKUP(A127,DB_Customers!$A:$N,14,0),""))</f>
        <v/>
      </c>
      <c r="D127" s="81" t="str">
        <f t="shared" ca="1" si="9"/>
        <v/>
      </c>
      <c r="E127" s="97"/>
      <c r="F127" s="21"/>
      <c r="G127" s="98" t="str">
        <f t="shared" si="10"/>
        <v/>
      </c>
      <c r="H127" s="23"/>
      <c r="I127" s="84"/>
      <c r="J127" s="85" t="str">
        <f>IF(AND(A127&lt;&gt;"",E127&lt;&gt;""),IF(I127="","⚠️ Enter Code",IF(IFERROR(VLOOKUP(H127,DB_Agents!$B:$I,8,0),"")=I127,IF(C127&gt;=E127,"Successful","Unsuccessful"),"🔒 BLOCKED — Wrong Code")),"—")</f>
        <v>—</v>
      </c>
      <c r="K127" s="86" t="str">
        <f t="shared" ca="1" si="11"/>
        <v>—</v>
      </c>
      <c r="L127" s="87"/>
    </row>
    <row r="128" spans="1:12" x14ac:dyDescent="0.25">
      <c r="A128" s="88"/>
      <c r="B128" s="25" t="str">
        <f>IF(A128="","",IFERROR(VLOOKUP(A128,DB_Customers!$A:$D,4,0),"❌ Account Not Found"))</f>
        <v/>
      </c>
      <c r="C128" s="89" t="str">
        <f>IF(A128="","",IFERROR(VLOOKUP(A128,DB_Customers!$A:$N,14,0),""))</f>
        <v/>
      </c>
      <c r="D128" s="90" t="str">
        <f t="shared" ca="1" si="9"/>
        <v/>
      </c>
      <c r="E128" s="97"/>
      <c r="F128" s="25"/>
      <c r="G128" s="99" t="str">
        <f t="shared" si="10"/>
        <v/>
      </c>
      <c r="H128" s="27"/>
      <c r="I128" s="84"/>
      <c r="J128" s="92" t="str">
        <f>IF(AND(A128&lt;&gt;"",E128&lt;&gt;""),IF(I128="","⚠️ Enter Code",IF(IFERROR(VLOOKUP(H128,DB_Agents!$B:$I,8,0),"")=I128,IF(C128&gt;=E128,"Successful","Unsuccessful"),"🔒 BLOCKED — Wrong Code")),"—")</f>
        <v>—</v>
      </c>
      <c r="K128" s="93" t="str">
        <f t="shared" ca="1" si="11"/>
        <v>—</v>
      </c>
      <c r="L128" s="94"/>
    </row>
    <row r="129" spans="1:12" x14ac:dyDescent="0.25">
      <c r="A129" s="79"/>
      <c r="B129" s="21" t="str">
        <f>IF(A129="","",IFERROR(VLOOKUP(A129,DB_Customers!$A:$D,4,0),"❌ Account Not Found"))</f>
        <v/>
      </c>
      <c r="C129" s="80" t="str">
        <f>IF(A129="","",IFERROR(VLOOKUP(A129,DB_Customers!$A:$N,14,0),""))</f>
        <v/>
      </c>
      <c r="D129" s="81" t="str">
        <f t="shared" ca="1" si="9"/>
        <v/>
      </c>
      <c r="E129" s="97"/>
      <c r="F129" s="21"/>
      <c r="G129" s="98" t="str">
        <f t="shared" si="10"/>
        <v/>
      </c>
      <c r="H129" s="23"/>
      <c r="I129" s="84"/>
      <c r="J129" s="85" t="str">
        <f>IF(AND(A129&lt;&gt;"",E129&lt;&gt;""),IF(I129="","⚠️ Enter Code",IF(IFERROR(VLOOKUP(H129,DB_Agents!$B:$I,8,0),"")=I129,IF(C129&gt;=E129,"Successful","Unsuccessful"),"🔒 BLOCKED — Wrong Code")),"—")</f>
        <v>—</v>
      </c>
      <c r="K129" s="86" t="str">
        <f t="shared" ca="1" si="11"/>
        <v>—</v>
      </c>
      <c r="L129" s="87"/>
    </row>
    <row r="130" spans="1:12" x14ac:dyDescent="0.25">
      <c r="A130" s="88"/>
      <c r="B130" s="25" t="str">
        <f>IF(A130="","",IFERROR(VLOOKUP(A130,DB_Customers!$A:$D,4,0),"❌ Account Not Found"))</f>
        <v/>
      </c>
      <c r="C130" s="89" t="str">
        <f>IF(A130="","",IFERROR(VLOOKUP(A130,DB_Customers!$A:$N,14,0),""))</f>
        <v/>
      </c>
      <c r="D130" s="90" t="str">
        <f t="shared" ca="1" si="9"/>
        <v/>
      </c>
      <c r="E130" s="97"/>
      <c r="F130" s="25"/>
      <c r="G130" s="99" t="str">
        <f t="shared" si="10"/>
        <v/>
      </c>
      <c r="H130" s="27"/>
      <c r="I130" s="84"/>
      <c r="J130" s="92" t="str">
        <f>IF(AND(A130&lt;&gt;"",E130&lt;&gt;""),IF(I130="","⚠️ Enter Code",IF(IFERROR(VLOOKUP(H130,DB_Agents!$B:$I,8,0),"")=I130,IF(C130&gt;=E130,"Successful","Unsuccessful"),"🔒 BLOCKED — Wrong Code")),"—")</f>
        <v>—</v>
      </c>
      <c r="K130" s="93" t="str">
        <f t="shared" ca="1" si="11"/>
        <v>—</v>
      </c>
      <c r="L130" s="94"/>
    </row>
    <row r="131" spans="1:12" x14ac:dyDescent="0.25">
      <c r="A131" s="79"/>
      <c r="B131" s="21" t="str">
        <f>IF(A131="","",IFERROR(VLOOKUP(A131,DB_Customers!$A:$D,4,0),"❌ Account Not Found"))</f>
        <v/>
      </c>
      <c r="C131" s="80" t="str">
        <f>IF(A131="","",IFERROR(VLOOKUP(A131,DB_Customers!$A:$N,14,0),""))</f>
        <v/>
      </c>
      <c r="D131" s="81" t="str">
        <f t="shared" ca="1" si="9"/>
        <v/>
      </c>
      <c r="E131" s="97"/>
      <c r="F131" s="21"/>
      <c r="G131" s="98" t="str">
        <f t="shared" si="10"/>
        <v/>
      </c>
      <c r="H131" s="23"/>
      <c r="I131" s="84"/>
      <c r="J131" s="85" t="str">
        <f>IF(AND(A131&lt;&gt;"",E131&lt;&gt;""),IF(I131="","⚠️ Enter Code",IF(IFERROR(VLOOKUP(H131,DB_Agents!$B:$I,8,0),"")=I131,IF(C131&gt;=E131,"Successful","Unsuccessful"),"🔒 BLOCKED — Wrong Code")),"—")</f>
        <v>—</v>
      </c>
      <c r="K131" s="86" t="str">
        <f t="shared" ca="1" si="11"/>
        <v>—</v>
      </c>
      <c r="L131" s="87"/>
    </row>
    <row r="132" spans="1:12" x14ac:dyDescent="0.25">
      <c r="A132" s="88"/>
      <c r="B132" s="25" t="str">
        <f>IF(A132="","",IFERROR(VLOOKUP(A132,DB_Customers!$A:$D,4,0),"❌ Account Not Found"))</f>
        <v/>
      </c>
      <c r="C132" s="89" t="str">
        <f>IF(A132="","",IFERROR(VLOOKUP(A132,DB_Customers!$A:$N,14,0),""))</f>
        <v/>
      </c>
      <c r="D132" s="90" t="str">
        <f t="shared" ca="1" si="9"/>
        <v/>
      </c>
      <c r="E132" s="97"/>
      <c r="F132" s="25"/>
      <c r="G132" s="99" t="str">
        <f t="shared" si="10"/>
        <v/>
      </c>
      <c r="H132" s="27"/>
      <c r="I132" s="84"/>
      <c r="J132" s="92" t="str">
        <f>IF(AND(A132&lt;&gt;"",E132&lt;&gt;""),IF(I132="","⚠️ Enter Code",IF(IFERROR(VLOOKUP(H132,DB_Agents!$B:$I,8,0),"")=I132,IF(C132&gt;=E132,"Successful","Unsuccessful"),"🔒 BLOCKED — Wrong Code")),"—")</f>
        <v>—</v>
      </c>
      <c r="K132" s="93" t="str">
        <f t="shared" ca="1" si="11"/>
        <v>—</v>
      </c>
      <c r="L132" s="94"/>
    </row>
    <row r="133" spans="1:12" x14ac:dyDescent="0.25">
      <c r="A133" s="79"/>
      <c r="B133" s="21" t="str">
        <f>IF(A133="","",IFERROR(VLOOKUP(A133,DB_Customers!$A:$D,4,0),"❌ Account Not Found"))</f>
        <v/>
      </c>
      <c r="C133" s="80" t="str">
        <f>IF(A133="","",IFERROR(VLOOKUP(A133,DB_Customers!$A:$N,14,0),""))</f>
        <v/>
      </c>
      <c r="D133" s="81" t="str">
        <f t="shared" ca="1" si="9"/>
        <v/>
      </c>
      <c r="E133" s="97"/>
      <c r="F133" s="21"/>
      <c r="G133" s="98" t="str">
        <f t="shared" si="10"/>
        <v/>
      </c>
      <c r="H133" s="23"/>
      <c r="I133" s="84"/>
      <c r="J133" s="85" t="str">
        <f>IF(AND(A133&lt;&gt;"",E133&lt;&gt;""),IF(I133="","⚠️ Enter Code",IF(IFERROR(VLOOKUP(H133,DB_Agents!$B:$I,8,0),"")=I133,IF(C133&gt;=E133,"Successful","Unsuccessful"),"🔒 BLOCKED — Wrong Code")),"—")</f>
        <v>—</v>
      </c>
      <c r="K133" s="86" t="str">
        <f t="shared" ca="1" si="11"/>
        <v>—</v>
      </c>
      <c r="L133" s="87"/>
    </row>
    <row r="134" spans="1:12" x14ac:dyDescent="0.25">
      <c r="A134" s="88"/>
      <c r="B134" s="25" t="str">
        <f>IF(A134="","",IFERROR(VLOOKUP(A134,DB_Customers!$A:$D,4,0),"❌ Account Not Found"))</f>
        <v/>
      </c>
      <c r="C134" s="89" t="str">
        <f>IF(A134="","",IFERROR(VLOOKUP(A134,DB_Customers!$A:$N,14,0),""))</f>
        <v/>
      </c>
      <c r="D134" s="90" t="str">
        <f t="shared" ca="1" si="9"/>
        <v/>
      </c>
      <c r="E134" s="97"/>
      <c r="F134" s="25"/>
      <c r="G134" s="99" t="str">
        <f t="shared" si="10"/>
        <v/>
      </c>
      <c r="H134" s="27"/>
      <c r="I134" s="84"/>
      <c r="J134" s="92" t="str">
        <f>IF(AND(A134&lt;&gt;"",E134&lt;&gt;""),IF(I134="","⚠️ Enter Code",IF(IFERROR(VLOOKUP(H134,DB_Agents!$B:$I,8,0),"")=I134,IF(C134&gt;=E134,"Successful","Unsuccessful"),"🔒 BLOCKED — Wrong Code")),"—")</f>
        <v>—</v>
      </c>
      <c r="K134" s="93" t="str">
        <f t="shared" ca="1" si="11"/>
        <v>—</v>
      </c>
      <c r="L134" s="94"/>
    </row>
    <row r="135" spans="1:12" x14ac:dyDescent="0.25">
      <c r="A135" s="79"/>
      <c r="B135" s="21" t="str">
        <f>IF(A135="","",IFERROR(VLOOKUP(A135,DB_Customers!$A:$D,4,0),"❌ Account Not Found"))</f>
        <v/>
      </c>
      <c r="C135" s="80" t="str">
        <f>IF(A135="","",IFERROR(VLOOKUP(A135,DB_Customers!$A:$N,14,0),""))</f>
        <v/>
      </c>
      <c r="D135" s="81" t="str">
        <f t="shared" ca="1" si="9"/>
        <v/>
      </c>
      <c r="E135" s="97"/>
      <c r="F135" s="21"/>
      <c r="G135" s="98" t="str">
        <f t="shared" si="10"/>
        <v/>
      </c>
      <c r="H135" s="23"/>
      <c r="I135" s="84"/>
      <c r="J135" s="85" t="str">
        <f>IF(AND(A135&lt;&gt;"",E135&lt;&gt;""),IF(I135="","⚠️ Enter Code",IF(IFERROR(VLOOKUP(H135,DB_Agents!$B:$I,8,0),"")=I135,IF(C135&gt;=E135,"Successful","Unsuccessful"),"🔒 BLOCKED — Wrong Code")),"—")</f>
        <v>—</v>
      </c>
      <c r="K135" s="86" t="str">
        <f t="shared" ca="1" si="11"/>
        <v>—</v>
      </c>
      <c r="L135" s="87"/>
    </row>
    <row r="136" spans="1:12" x14ac:dyDescent="0.25">
      <c r="A136" s="88"/>
      <c r="B136" s="25" t="str">
        <f>IF(A136="","",IFERROR(VLOOKUP(A136,DB_Customers!$A:$D,4,0),"❌ Account Not Found"))</f>
        <v/>
      </c>
      <c r="C136" s="89" t="str">
        <f>IF(A136="","",IFERROR(VLOOKUP(A136,DB_Customers!$A:$N,14,0),""))</f>
        <v/>
      </c>
      <c r="D136" s="90" t="str">
        <f t="shared" ca="1" si="9"/>
        <v/>
      </c>
      <c r="E136" s="97"/>
      <c r="F136" s="25"/>
      <c r="G136" s="99" t="str">
        <f t="shared" si="10"/>
        <v/>
      </c>
      <c r="H136" s="27"/>
      <c r="I136" s="84"/>
      <c r="J136" s="92" t="str">
        <f>IF(AND(A136&lt;&gt;"",E136&lt;&gt;""),IF(I136="","⚠️ Enter Code",IF(IFERROR(VLOOKUP(H136,DB_Agents!$B:$I,8,0),"")=I136,IF(C136&gt;=E136,"Successful","Unsuccessful"),"🔒 BLOCKED — Wrong Code")),"—")</f>
        <v>—</v>
      </c>
      <c r="K136" s="93" t="str">
        <f t="shared" ca="1" si="11"/>
        <v>—</v>
      </c>
      <c r="L136" s="94"/>
    </row>
    <row r="137" spans="1:12" x14ac:dyDescent="0.25">
      <c r="A137" s="79"/>
      <c r="B137" s="21" t="str">
        <f>IF(A137="","",IFERROR(VLOOKUP(A137,DB_Customers!$A:$D,4,0),"❌ Account Not Found"))</f>
        <v/>
      </c>
      <c r="C137" s="80" t="str">
        <f>IF(A137="","",IFERROR(VLOOKUP(A137,DB_Customers!$A:$N,14,0),""))</f>
        <v/>
      </c>
      <c r="D137" s="81" t="str">
        <f t="shared" ref="D137:D168" ca="1" si="12">IF(A137="","",TODAY())</f>
        <v/>
      </c>
      <c r="E137" s="97"/>
      <c r="F137" s="21"/>
      <c r="G137" s="98" t="str">
        <f t="shared" ref="G137:G168" si="13">IF(OR(A137="",E137=""),"",IF(C137="","",C137-E137))</f>
        <v/>
      </c>
      <c r="H137" s="23"/>
      <c r="I137" s="84"/>
      <c r="J137" s="85" t="str">
        <f>IF(AND(A137&lt;&gt;"",E137&lt;&gt;""),IF(I137="","⚠️ Enter Code",IF(IFERROR(VLOOKUP(H137,DB_Agents!$B:$I,8,0),"")=I137,IF(C137&gt;=E137,"Successful","Unsuccessful"),"🔒 BLOCKED — Wrong Code")),"—")</f>
        <v>—</v>
      </c>
      <c r="K137" s="86" t="str">
        <f t="shared" ref="K137:K168" ca="1" si="14">IF(J137="Successful",TEXT(TODAY(),"YYYY-MM-DD")&amp;" Auto","—")</f>
        <v>—</v>
      </c>
      <c r="L137" s="87"/>
    </row>
    <row r="138" spans="1:12" x14ac:dyDescent="0.25">
      <c r="A138" s="88"/>
      <c r="B138" s="25" t="str">
        <f>IF(A138="","",IFERROR(VLOOKUP(A138,DB_Customers!$A:$D,4,0),"❌ Account Not Found"))</f>
        <v/>
      </c>
      <c r="C138" s="89" t="str">
        <f>IF(A138="","",IFERROR(VLOOKUP(A138,DB_Customers!$A:$N,14,0),""))</f>
        <v/>
      </c>
      <c r="D138" s="90" t="str">
        <f t="shared" ca="1" si="12"/>
        <v/>
      </c>
      <c r="E138" s="97"/>
      <c r="F138" s="25"/>
      <c r="G138" s="99" t="str">
        <f t="shared" si="13"/>
        <v/>
      </c>
      <c r="H138" s="27"/>
      <c r="I138" s="84"/>
      <c r="J138" s="92" t="str">
        <f>IF(AND(A138&lt;&gt;"",E138&lt;&gt;""),IF(I138="","⚠️ Enter Code",IF(IFERROR(VLOOKUP(H138,DB_Agents!$B:$I,8,0),"")=I138,IF(C138&gt;=E138,"Successful","Unsuccessful"),"🔒 BLOCKED — Wrong Code")),"—")</f>
        <v>—</v>
      </c>
      <c r="K138" s="93" t="str">
        <f t="shared" ca="1" si="14"/>
        <v>—</v>
      </c>
      <c r="L138" s="94"/>
    </row>
    <row r="139" spans="1:12" x14ac:dyDescent="0.25">
      <c r="A139" s="79"/>
      <c r="B139" s="21" t="str">
        <f>IF(A139="","",IFERROR(VLOOKUP(A139,DB_Customers!$A:$D,4,0),"❌ Account Not Found"))</f>
        <v/>
      </c>
      <c r="C139" s="80" t="str">
        <f>IF(A139="","",IFERROR(VLOOKUP(A139,DB_Customers!$A:$N,14,0),""))</f>
        <v/>
      </c>
      <c r="D139" s="81" t="str">
        <f t="shared" ca="1" si="12"/>
        <v/>
      </c>
      <c r="E139" s="97"/>
      <c r="F139" s="21"/>
      <c r="G139" s="98" t="str">
        <f t="shared" si="13"/>
        <v/>
      </c>
      <c r="H139" s="23"/>
      <c r="I139" s="84"/>
      <c r="J139" s="85" t="str">
        <f>IF(AND(A139&lt;&gt;"",E139&lt;&gt;""),IF(I139="","⚠️ Enter Code",IF(IFERROR(VLOOKUP(H139,DB_Agents!$B:$I,8,0),"")=I139,IF(C139&gt;=E139,"Successful","Unsuccessful"),"🔒 BLOCKED — Wrong Code")),"—")</f>
        <v>—</v>
      </c>
      <c r="K139" s="86" t="str">
        <f t="shared" ca="1" si="14"/>
        <v>—</v>
      </c>
      <c r="L139" s="87"/>
    </row>
    <row r="140" spans="1:12" x14ac:dyDescent="0.25">
      <c r="A140" s="88"/>
      <c r="B140" s="25" t="str">
        <f>IF(A140="","",IFERROR(VLOOKUP(A140,DB_Customers!$A:$D,4,0),"❌ Account Not Found"))</f>
        <v/>
      </c>
      <c r="C140" s="89" t="str">
        <f>IF(A140="","",IFERROR(VLOOKUP(A140,DB_Customers!$A:$N,14,0),""))</f>
        <v/>
      </c>
      <c r="D140" s="90" t="str">
        <f t="shared" ca="1" si="12"/>
        <v/>
      </c>
      <c r="E140" s="97"/>
      <c r="F140" s="25"/>
      <c r="G140" s="99" t="str">
        <f t="shared" si="13"/>
        <v/>
      </c>
      <c r="H140" s="27"/>
      <c r="I140" s="84"/>
      <c r="J140" s="92" t="str">
        <f>IF(AND(A140&lt;&gt;"",E140&lt;&gt;""),IF(I140="","⚠️ Enter Code",IF(IFERROR(VLOOKUP(H140,DB_Agents!$B:$I,8,0),"")=I140,IF(C140&gt;=E140,"Successful","Unsuccessful"),"🔒 BLOCKED — Wrong Code")),"—")</f>
        <v>—</v>
      </c>
      <c r="K140" s="93" t="str">
        <f t="shared" ca="1" si="14"/>
        <v>—</v>
      </c>
      <c r="L140" s="94"/>
    </row>
    <row r="141" spans="1:12" x14ac:dyDescent="0.25">
      <c r="A141" s="79"/>
      <c r="B141" s="21" t="str">
        <f>IF(A141="","",IFERROR(VLOOKUP(A141,DB_Customers!$A:$D,4,0),"❌ Account Not Found"))</f>
        <v/>
      </c>
      <c r="C141" s="80" t="str">
        <f>IF(A141="","",IFERROR(VLOOKUP(A141,DB_Customers!$A:$N,14,0),""))</f>
        <v/>
      </c>
      <c r="D141" s="81" t="str">
        <f t="shared" ca="1" si="12"/>
        <v/>
      </c>
      <c r="E141" s="97"/>
      <c r="F141" s="21"/>
      <c r="G141" s="98" t="str">
        <f t="shared" si="13"/>
        <v/>
      </c>
      <c r="H141" s="23"/>
      <c r="I141" s="84"/>
      <c r="J141" s="85" t="str">
        <f>IF(AND(A141&lt;&gt;"",E141&lt;&gt;""),IF(I141="","⚠️ Enter Code",IF(IFERROR(VLOOKUP(H141,DB_Agents!$B:$I,8,0),"")=I141,IF(C141&gt;=E141,"Successful","Unsuccessful"),"🔒 BLOCKED — Wrong Code")),"—")</f>
        <v>—</v>
      </c>
      <c r="K141" s="86" t="str">
        <f t="shared" ca="1" si="14"/>
        <v>—</v>
      </c>
      <c r="L141" s="87"/>
    </row>
    <row r="142" spans="1:12" x14ac:dyDescent="0.25">
      <c r="A142" s="88"/>
      <c r="B142" s="25" t="str">
        <f>IF(A142="","",IFERROR(VLOOKUP(A142,DB_Customers!$A:$D,4,0),"❌ Account Not Found"))</f>
        <v/>
      </c>
      <c r="C142" s="89" t="str">
        <f>IF(A142="","",IFERROR(VLOOKUP(A142,DB_Customers!$A:$N,14,0),""))</f>
        <v/>
      </c>
      <c r="D142" s="90" t="str">
        <f t="shared" ca="1" si="12"/>
        <v/>
      </c>
      <c r="E142" s="97"/>
      <c r="F142" s="25"/>
      <c r="G142" s="99" t="str">
        <f t="shared" si="13"/>
        <v/>
      </c>
      <c r="H142" s="27"/>
      <c r="I142" s="84"/>
      <c r="J142" s="92" t="str">
        <f>IF(AND(A142&lt;&gt;"",E142&lt;&gt;""),IF(I142="","⚠️ Enter Code",IF(IFERROR(VLOOKUP(H142,DB_Agents!$B:$I,8,0),"")=I142,IF(C142&gt;=E142,"Successful","Unsuccessful"),"🔒 BLOCKED — Wrong Code")),"—")</f>
        <v>—</v>
      </c>
      <c r="K142" s="93" t="str">
        <f t="shared" ca="1" si="14"/>
        <v>—</v>
      </c>
      <c r="L142" s="94"/>
    </row>
    <row r="143" spans="1:12" x14ac:dyDescent="0.25">
      <c r="A143" s="79"/>
      <c r="B143" s="21" t="str">
        <f>IF(A143="","",IFERROR(VLOOKUP(A143,DB_Customers!$A:$D,4,0),"❌ Account Not Found"))</f>
        <v/>
      </c>
      <c r="C143" s="80" t="str">
        <f>IF(A143="","",IFERROR(VLOOKUP(A143,DB_Customers!$A:$N,14,0),""))</f>
        <v/>
      </c>
      <c r="D143" s="81" t="str">
        <f t="shared" ca="1" si="12"/>
        <v/>
      </c>
      <c r="E143" s="97"/>
      <c r="F143" s="21"/>
      <c r="G143" s="98" t="str">
        <f t="shared" si="13"/>
        <v/>
      </c>
      <c r="H143" s="23"/>
      <c r="I143" s="84"/>
      <c r="J143" s="85" t="str">
        <f>IF(AND(A143&lt;&gt;"",E143&lt;&gt;""),IF(I143="","⚠️ Enter Code",IF(IFERROR(VLOOKUP(H143,DB_Agents!$B:$I,8,0),"")=I143,IF(C143&gt;=E143,"Successful","Unsuccessful"),"🔒 BLOCKED — Wrong Code")),"—")</f>
        <v>—</v>
      </c>
      <c r="K143" s="86" t="str">
        <f t="shared" ca="1" si="14"/>
        <v>—</v>
      </c>
      <c r="L143" s="87"/>
    </row>
    <row r="144" spans="1:12" x14ac:dyDescent="0.25">
      <c r="A144" s="88"/>
      <c r="B144" s="25" t="str">
        <f>IF(A144="","",IFERROR(VLOOKUP(A144,DB_Customers!$A:$D,4,0),"❌ Account Not Found"))</f>
        <v/>
      </c>
      <c r="C144" s="89" t="str">
        <f>IF(A144="","",IFERROR(VLOOKUP(A144,DB_Customers!$A:$N,14,0),""))</f>
        <v/>
      </c>
      <c r="D144" s="90" t="str">
        <f t="shared" ca="1" si="12"/>
        <v/>
      </c>
      <c r="E144" s="97"/>
      <c r="F144" s="25"/>
      <c r="G144" s="99" t="str">
        <f t="shared" si="13"/>
        <v/>
      </c>
      <c r="H144" s="27"/>
      <c r="I144" s="84"/>
      <c r="J144" s="92" t="str">
        <f>IF(AND(A144&lt;&gt;"",E144&lt;&gt;""),IF(I144="","⚠️ Enter Code",IF(IFERROR(VLOOKUP(H144,DB_Agents!$B:$I,8,0),"")=I144,IF(C144&gt;=E144,"Successful","Unsuccessful"),"🔒 BLOCKED — Wrong Code")),"—")</f>
        <v>—</v>
      </c>
      <c r="K144" s="93" t="str">
        <f t="shared" ca="1" si="14"/>
        <v>—</v>
      </c>
      <c r="L144" s="94"/>
    </row>
    <row r="145" spans="1:12" x14ac:dyDescent="0.25">
      <c r="A145" s="79"/>
      <c r="B145" s="21" t="str">
        <f>IF(A145="","",IFERROR(VLOOKUP(A145,DB_Customers!$A:$D,4,0),"❌ Account Not Found"))</f>
        <v/>
      </c>
      <c r="C145" s="80" t="str">
        <f>IF(A145="","",IFERROR(VLOOKUP(A145,DB_Customers!$A:$N,14,0),""))</f>
        <v/>
      </c>
      <c r="D145" s="81" t="str">
        <f t="shared" ca="1" si="12"/>
        <v/>
      </c>
      <c r="E145" s="97"/>
      <c r="F145" s="21"/>
      <c r="G145" s="98" t="str">
        <f t="shared" si="13"/>
        <v/>
      </c>
      <c r="H145" s="23"/>
      <c r="I145" s="84"/>
      <c r="J145" s="85" t="str">
        <f>IF(AND(A145&lt;&gt;"",E145&lt;&gt;""),IF(I145="","⚠️ Enter Code",IF(IFERROR(VLOOKUP(H145,DB_Agents!$B:$I,8,0),"")=I145,IF(C145&gt;=E145,"Successful","Unsuccessful"),"🔒 BLOCKED — Wrong Code")),"—")</f>
        <v>—</v>
      </c>
      <c r="K145" s="86" t="str">
        <f t="shared" ca="1" si="14"/>
        <v>—</v>
      </c>
      <c r="L145" s="87"/>
    </row>
    <row r="146" spans="1:12" x14ac:dyDescent="0.25">
      <c r="A146" s="88"/>
      <c r="B146" s="25" t="str">
        <f>IF(A146="","",IFERROR(VLOOKUP(A146,DB_Customers!$A:$D,4,0),"❌ Account Not Found"))</f>
        <v/>
      </c>
      <c r="C146" s="89" t="str">
        <f>IF(A146="","",IFERROR(VLOOKUP(A146,DB_Customers!$A:$N,14,0),""))</f>
        <v/>
      </c>
      <c r="D146" s="90" t="str">
        <f t="shared" ca="1" si="12"/>
        <v/>
      </c>
      <c r="E146" s="97"/>
      <c r="F146" s="25"/>
      <c r="G146" s="99" t="str">
        <f t="shared" si="13"/>
        <v/>
      </c>
      <c r="H146" s="27"/>
      <c r="I146" s="84"/>
      <c r="J146" s="92" t="str">
        <f>IF(AND(A146&lt;&gt;"",E146&lt;&gt;""),IF(I146="","⚠️ Enter Code",IF(IFERROR(VLOOKUP(H146,DB_Agents!$B:$I,8,0),"")=I146,IF(C146&gt;=E146,"Successful","Unsuccessful"),"🔒 BLOCKED — Wrong Code")),"—")</f>
        <v>—</v>
      </c>
      <c r="K146" s="93" t="str">
        <f t="shared" ca="1" si="14"/>
        <v>—</v>
      </c>
      <c r="L146" s="94"/>
    </row>
    <row r="147" spans="1:12" x14ac:dyDescent="0.25">
      <c r="A147" s="79"/>
      <c r="B147" s="21" t="str">
        <f>IF(A147="","",IFERROR(VLOOKUP(A147,DB_Customers!$A:$D,4,0),"❌ Account Not Found"))</f>
        <v/>
      </c>
      <c r="C147" s="80" t="str">
        <f>IF(A147="","",IFERROR(VLOOKUP(A147,DB_Customers!$A:$N,14,0),""))</f>
        <v/>
      </c>
      <c r="D147" s="81" t="str">
        <f t="shared" ca="1" si="12"/>
        <v/>
      </c>
      <c r="E147" s="97"/>
      <c r="F147" s="21"/>
      <c r="G147" s="98" t="str">
        <f t="shared" si="13"/>
        <v/>
      </c>
      <c r="H147" s="23"/>
      <c r="I147" s="84"/>
      <c r="J147" s="85" t="str">
        <f>IF(AND(A147&lt;&gt;"",E147&lt;&gt;""),IF(I147="","⚠️ Enter Code",IF(IFERROR(VLOOKUP(H147,DB_Agents!$B:$I,8,0),"")=I147,IF(C147&gt;=E147,"Successful","Unsuccessful"),"🔒 BLOCKED — Wrong Code")),"—")</f>
        <v>—</v>
      </c>
      <c r="K147" s="86" t="str">
        <f t="shared" ca="1" si="14"/>
        <v>—</v>
      </c>
      <c r="L147" s="87"/>
    </row>
    <row r="148" spans="1:12" x14ac:dyDescent="0.25">
      <c r="A148" s="88"/>
      <c r="B148" s="25" t="str">
        <f>IF(A148="","",IFERROR(VLOOKUP(A148,DB_Customers!$A:$D,4,0),"❌ Account Not Found"))</f>
        <v/>
      </c>
      <c r="C148" s="89" t="str">
        <f>IF(A148="","",IFERROR(VLOOKUP(A148,DB_Customers!$A:$N,14,0),""))</f>
        <v/>
      </c>
      <c r="D148" s="90" t="str">
        <f t="shared" ca="1" si="12"/>
        <v/>
      </c>
      <c r="E148" s="97"/>
      <c r="F148" s="25"/>
      <c r="G148" s="99" t="str">
        <f t="shared" si="13"/>
        <v/>
      </c>
      <c r="H148" s="27"/>
      <c r="I148" s="84"/>
      <c r="J148" s="92" t="str">
        <f>IF(AND(A148&lt;&gt;"",E148&lt;&gt;""),IF(I148="","⚠️ Enter Code",IF(IFERROR(VLOOKUP(H148,DB_Agents!$B:$I,8,0),"")=I148,IF(C148&gt;=E148,"Successful","Unsuccessful"),"🔒 BLOCKED — Wrong Code")),"—")</f>
        <v>—</v>
      </c>
      <c r="K148" s="93" t="str">
        <f t="shared" ca="1" si="14"/>
        <v>—</v>
      </c>
      <c r="L148" s="94"/>
    </row>
    <row r="149" spans="1:12" x14ac:dyDescent="0.25">
      <c r="A149" s="79"/>
      <c r="B149" s="21" t="str">
        <f>IF(A149="","",IFERROR(VLOOKUP(A149,DB_Customers!$A:$D,4,0),"❌ Account Not Found"))</f>
        <v/>
      </c>
      <c r="C149" s="80" t="str">
        <f>IF(A149="","",IFERROR(VLOOKUP(A149,DB_Customers!$A:$N,14,0),""))</f>
        <v/>
      </c>
      <c r="D149" s="81" t="str">
        <f t="shared" ca="1" si="12"/>
        <v/>
      </c>
      <c r="E149" s="97"/>
      <c r="F149" s="21"/>
      <c r="G149" s="98" t="str">
        <f t="shared" si="13"/>
        <v/>
      </c>
      <c r="H149" s="23"/>
      <c r="I149" s="84"/>
      <c r="J149" s="85" t="str">
        <f>IF(AND(A149&lt;&gt;"",E149&lt;&gt;""),IF(I149="","⚠️ Enter Code",IF(IFERROR(VLOOKUP(H149,DB_Agents!$B:$I,8,0),"")=I149,IF(C149&gt;=E149,"Successful","Unsuccessful"),"🔒 BLOCKED — Wrong Code")),"—")</f>
        <v>—</v>
      </c>
      <c r="K149" s="86" t="str">
        <f t="shared" ca="1" si="14"/>
        <v>—</v>
      </c>
      <c r="L149" s="87"/>
    </row>
    <row r="150" spans="1:12" x14ac:dyDescent="0.25">
      <c r="A150" s="88"/>
      <c r="B150" s="25" t="str">
        <f>IF(A150="","",IFERROR(VLOOKUP(A150,DB_Customers!$A:$D,4,0),"❌ Account Not Found"))</f>
        <v/>
      </c>
      <c r="C150" s="89" t="str">
        <f>IF(A150="","",IFERROR(VLOOKUP(A150,DB_Customers!$A:$N,14,0),""))</f>
        <v/>
      </c>
      <c r="D150" s="90" t="str">
        <f t="shared" ca="1" si="12"/>
        <v/>
      </c>
      <c r="E150" s="97"/>
      <c r="F150" s="25"/>
      <c r="G150" s="99" t="str">
        <f t="shared" si="13"/>
        <v/>
      </c>
      <c r="H150" s="27"/>
      <c r="I150" s="84"/>
      <c r="J150" s="92" t="str">
        <f>IF(AND(A150&lt;&gt;"",E150&lt;&gt;""),IF(I150="","⚠️ Enter Code",IF(IFERROR(VLOOKUP(H150,DB_Agents!$B:$I,8,0),"")=I150,IF(C150&gt;=E150,"Successful","Unsuccessful"),"🔒 BLOCKED — Wrong Code")),"—")</f>
        <v>—</v>
      </c>
      <c r="K150" s="93" t="str">
        <f t="shared" ca="1" si="14"/>
        <v>—</v>
      </c>
      <c r="L150" s="94"/>
    </row>
    <row r="151" spans="1:12" x14ac:dyDescent="0.25">
      <c r="A151" s="79"/>
      <c r="B151" s="21" t="str">
        <f>IF(A151="","",IFERROR(VLOOKUP(A151,DB_Customers!$A:$D,4,0),"❌ Account Not Found"))</f>
        <v/>
      </c>
      <c r="C151" s="80" t="str">
        <f>IF(A151="","",IFERROR(VLOOKUP(A151,DB_Customers!$A:$N,14,0),""))</f>
        <v/>
      </c>
      <c r="D151" s="81" t="str">
        <f t="shared" ca="1" si="12"/>
        <v/>
      </c>
      <c r="E151" s="97"/>
      <c r="F151" s="21"/>
      <c r="G151" s="98" t="str">
        <f t="shared" si="13"/>
        <v/>
      </c>
      <c r="H151" s="23"/>
      <c r="I151" s="84"/>
      <c r="J151" s="85" t="str">
        <f>IF(AND(A151&lt;&gt;"",E151&lt;&gt;""),IF(I151="","⚠️ Enter Code",IF(IFERROR(VLOOKUP(H151,DB_Agents!$B:$I,8,0),"")=I151,IF(C151&gt;=E151,"Successful","Unsuccessful"),"🔒 BLOCKED — Wrong Code")),"—")</f>
        <v>—</v>
      </c>
      <c r="K151" s="86" t="str">
        <f t="shared" ca="1" si="14"/>
        <v>—</v>
      </c>
      <c r="L151" s="87"/>
    </row>
    <row r="152" spans="1:12" x14ac:dyDescent="0.25">
      <c r="A152" s="88"/>
      <c r="B152" s="25" t="str">
        <f>IF(A152="","",IFERROR(VLOOKUP(A152,DB_Customers!$A:$D,4,0),"❌ Account Not Found"))</f>
        <v/>
      </c>
      <c r="C152" s="89" t="str">
        <f>IF(A152="","",IFERROR(VLOOKUP(A152,DB_Customers!$A:$N,14,0),""))</f>
        <v/>
      </c>
      <c r="D152" s="90" t="str">
        <f t="shared" ca="1" si="12"/>
        <v/>
      </c>
      <c r="E152" s="97"/>
      <c r="F152" s="25"/>
      <c r="G152" s="99" t="str">
        <f t="shared" si="13"/>
        <v/>
      </c>
      <c r="H152" s="27"/>
      <c r="I152" s="84"/>
      <c r="J152" s="92" t="str">
        <f>IF(AND(A152&lt;&gt;"",E152&lt;&gt;""),IF(I152="","⚠️ Enter Code",IF(IFERROR(VLOOKUP(H152,DB_Agents!$B:$I,8,0),"")=I152,IF(C152&gt;=E152,"Successful","Unsuccessful"),"🔒 BLOCKED — Wrong Code")),"—")</f>
        <v>—</v>
      </c>
      <c r="K152" s="93" t="str">
        <f t="shared" ca="1" si="14"/>
        <v>—</v>
      </c>
      <c r="L152" s="94"/>
    </row>
    <row r="153" spans="1:12" x14ac:dyDescent="0.25">
      <c r="A153" s="79"/>
      <c r="B153" s="21" t="str">
        <f>IF(A153="","",IFERROR(VLOOKUP(A153,DB_Customers!$A:$D,4,0),"❌ Account Not Found"))</f>
        <v/>
      </c>
      <c r="C153" s="80" t="str">
        <f>IF(A153="","",IFERROR(VLOOKUP(A153,DB_Customers!$A:$N,14,0),""))</f>
        <v/>
      </c>
      <c r="D153" s="81" t="str">
        <f t="shared" ca="1" si="12"/>
        <v/>
      </c>
      <c r="E153" s="97"/>
      <c r="F153" s="21"/>
      <c r="G153" s="98" t="str">
        <f t="shared" si="13"/>
        <v/>
      </c>
      <c r="H153" s="23"/>
      <c r="I153" s="84"/>
      <c r="J153" s="85" t="str">
        <f>IF(AND(A153&lt;&gt;"",E153&lt;&gt;""),IF(I153="","⚠️ Enter Code",IF(IFERROR(VLOOKUP(H153,DB_Agents!$B:$I,8,0),"")=I153,IF(C153&gt;=E153,"Successful","Unsuccessful"),"🔒 BLOCKED — Wrong Code")),"—")</f>
        <v>—</v>
      </c>
      <c r="K153" s="86" t="str">
        <f t="shared" ca="1" si="14"/>
        <v>—</v>
      </c>
      <c r="L153" s="87"/>
    </row>
    <row r="154" spans="1:12" x14ac:dyDescent="0.25">
      <c r="A154" s="88"/>
      <c r="B154" s="25" t="str">
        <f>IF(A154="","",IFERROR(VLOOKUP(A154,DB_Customers!$A:$D,4,0),"❌ Account Not Found"))</f>
        <v/>
      </c>
      <c r="C154" s="89" t="str">
        <f>IF(A154="","",IFERROR(VLOOKUP(A154,DB_Customers!$A:$N,14,0),""))</f>
        <v/>
      </c>
      <c r="D154" s="90" t="str">
        <f t="shared" ca="1" si="12"/>
        <v/>
      </c>
      <c r="E154" s="97"/>
      <c r="F154" s="25"/>
      <c r="G154" s="99" t="str">
        <f t="shared" si="13"/>
        <v/>
      </c>
      <c r="H154" s="27"/>
      <c r="I154" s="84"/>
      <c r="J154" s="92" t="str">
        <f>IF(AND(A154&lt;&gt;"",E154&lt;&gt;""),IF(I154="","⚠️ Enter Code",IF(IFERROR(VLOOKUP(H154,DB_Agents!$B:$I,8,0),"")=I154,IF(C154&gt;=E154,"Successful","Unsuccessful"),"🔒 BLOCKED — Wrong Code")),"—")</f>
        <v>—</v>
      </c>
      <c r="K154" s="93" t="str">
        <f t="shared" ca="1" si="14"/>
        <v>—</v>
      </c>
      <c r="L154" s="94"/>
    </row>
    <row r="155" spans="1:12" x14ac:dyDescent="0.25">
      <c r="A155" s="79"/>
      <c r="B155" s="21" t="str">
        <f>IF(A155="","",IFERROR(VLOOKUP(A155,DB_Customers!$A:$D,4,0),"❌ Account Not Found"))</f>
        <v/>
      </c>
      <c r="C155" s="80" t="str">
        <f>IF(A155="","",IFERROR(VLOOKUP(A155,DB_Customers!$A:$N,14,0),""))</f>
        <v/>
      </c>
      <c r="D155" s="81" t="str">
        <f t="shared" ca="1" si="12"/>
        <v/>
      </c>
      <c r="E155" s="97"/>
      <c r="F155" s="21"/>
      <c r="G155" s="98" t="str">
        <f t="shared" si="13"/>
        <v/>
      </c>
      <c r="H155" s="23"/>
      <c r="I155" s="84"/>
      <c r="J155" s="85" t="str">
        <f>IF(AND(A155&lt;&gt;"",E155&lt;&gt;""),IF(I155="","⚠️ Enter Code",IF(IFERROR(VLOOKUP(H155,DB_Agents!$B:$I,8,0),"")=I155,IF(C155&gt;=E155,"Successful","Unsuccessful"),"🔒 BLOCKED — Wrong Code")),"—")</f>
        <v>—</v>
      </c>
      <c r="K155" s="86" t="str">
        <f t="shared" ca="1" si="14"/>
        <v>—</v>
      </c>
      <c r="L155" s="87"/>
    </row>
    <row r="156" spans="1:12" x14ac:dyDescent="0.25">
      <c r="A156" s="88"/>
      <c r="B156" s="25" t="str">
        <f>IF(A156="","",IFERROR(VLOOKUP(A156,DB_Customers!$A:$D,4,0),"❌ Account Not Found"))</f>
        <v/>
      </c>
      <c r="C156" s="89" t="str">
        <f>IF(A156="","",IFERROR(VLOOKUP(A156,DB_Customers!$A:$N,14,0),""))</f>
        <v/>
      </c>
      <c r="D156" s="90" t="str">
        <f t="shared" ca="1" si="12"/>
        <v/>
      </c>
      <c r="E156" s="97"/>
      <c r="F156" s="25"/>
      <c r="G156" s="99" t="str">
        <f t="shared" si="13"/>
        <v/>
      </c>
      <c r="H156" s="27"/>
      <c r="I156" s="84"/>
      <c r="J156" s="92" t="str">
        <f>IF(AND(A156&lt;&gt;"",E156&lt;&gt;""),IF(I156="","⚠️ Enter Code",IF(IFERROR(VLOOKUP(H156,DB_Agents!$B:$I,8,0),"")=I156,IF(C156&gt;=E156,"Successful","Unsuccessful"),"🔒 BLOCKED — Wrong Code")),"—")</f>
        <v>—</v>
      </c>
      <c r="K156" s="93" t="str">
        <f t="shared" ca="1" si="14"/>
        <v>—</v>
      </c>
      <c r="L156" s="94"/>
    </row>
    <row r="157" spans="1:12" x14ac:dyDescent="0.25">
      <c r="A157" s="79"/>
      <c r="B157" s="21" t="str">
        <f>IF(A157="","",IFERROR(VLOOKUP(A157,DB_Customers!$A:$D,4,0),"❌ Account Not Found"))</f>
        <v/>
      </c>
      <c r="C157" s="80" t="str">
        <f>IF(A157="","",IFERROR(VLOOKUP(A157,DB_Customers!$A:$N,14,0),""))</f>
        <v/>
      </c>
      <c r="D157" s="81" t="str">
        <f t="shared" ca="1" si="12"/>
        <v/>
      </c>
      <c r="E157" s="97"/>
      <c r="F157" s="21"/>
      <c r="G157" s="98" t="str">
        <f t="shared" si="13"/>
        <v/>
      </c>
      <c r="H157" s="23"/>
      <c r="I157" s="84"/>
      <c r="J157" s="85" t="str">
        <f>IF(AND(A157&lt;&gt;"",E157&lt;&gt;""),IF(I157="","⚠️ Enter Code",IF(IFERROR(VLOOKUP(H157,DB_Agents!$B:$I,8,0),"")=I157,IF(C157&gt;=E157,"Successful","Unsuccessful"),"🔒 BLOCKED — Wrong Code")),"—")</f>
        <v>—</v>
      </c>
      <c r="K157" s="86" t="str">
        <f t="shared" ca="1" si="14"/>
        <v>—</v>
      </c>
      <c r="L157" s="87"/>
    </row>
    <row r="158" spans="1:12" x14ac:dyDescent="0.25">
      <c r="A158" s="88"/>
      <c r="B158" s="25" t="str">
        <f>IF(A158="","",IFERROR(VLOOKUP(A158,DB_Customers!$A:$D,4,0),"❌ Account Not Found"))</f>
        <v/>
      </c>
      <c r="C158" s="89" t="str">
        <f>IF(A158="","",IFERROR(VLOOKUP(A158,DB_Customers!$A:$N,14,0),""))</f>
        <v/>
      </c>
      <c r="D158" s="90" t="str">
        <f t="shared" ca="1" si="12"/>
        <v/>
      </c>
      <c r="E158" s="97"/>
      <c r="F158" s="25"/>
      <c r="G158" s="99" t="str">
        <f t="shared" si="13"/>
        <v/>
      </c>
      <c r="H158" s="27"/>
      <c r="I158" s="84"/>
      <c r="J158" s="92" t="str">
        <f>IF(AND(A158&lt;&gt;"",E158&lt;&gt;""),IF(I158="","⚠️ Enter Code",IF(IFERROR(VLOOKUP(H158,DB_Agents!$B:$I,8,0),"")=I158,IF(C158&gt;=E158,"Successful","Unsuccessful"),"🔒 BLOCKED — Wrong Code")),"—")</f>
        <v>—</v>
      </c>
      <c r="K158" s="93" t="str">
        <f t="shared" ca="1" si="14"/>
        <v>—</v>
      </c>
      <c r="L158" s="94"/>
    </row>
    <row r="159" spans="1:12" x14ac:dyDescent="0.25">
      <c r="A159" s="79"/>
      <c r="B159" s="21" t="str">
        <f>IF(A159="","",IFERROR(VLOOKUP(A159,DB_Customers!$A:$D,4,0),"❌ Account Not Found"))</f>
        <v/>
      </c>
      <c r="C159" s="80" t="str">
        <f>IF(A159="","",IFERROR(VLOOKUP(A159,DB_Customers!$A:$N,14,0),""))</f>
        <v/>
      </c>
      <c r="D159" s="81" t="str">
        <f t="shared" ca="1" si="12"/>
        <v/>
      </c>
      <c r="E159" s="97"/>
      <c r="F159" s="21"/>
      <c r="G159" s="98" t="str">
        <f t="shared" si="13"/>
        <v/>
      </c>
      <c r="H159" s="23"/>
      <c r="I159" s="84"/>
      <c r="J159" s="85" t="str">
        <f>IF(AND(A159&lt;&gt;"",E159&lt;&gt;""),IF(I159="","⚠️ Enter Code",IF(IFERROR(VLOOKUP(H159,DB_Agents!$B:$I,8,0),"")=I159,IF(C159&gt;=E159,"Successful","Unsuccessful"),"🔒 BLOCKED — Wrong Code")),"—")</f>
        <v>—</v>
      </c>
      <c r="K159" s="86" t="str">
        <f t="shared" ca="1" si="14"/>
        <v>—</v>
      </c>
      <c r="L159" s="87"/>
    </row>
    <row r="160" spans="1:12" x14ac:dyDescent="0.25">
      <c r="A160" s="88"/>
      <c r="B160" s="25" t="str">
        <f>IF(A160="","",IFERROR(VLOOKUP(A160,DB_Customers!$A:$D,4,0),"❌ Account Not Found"))</f>
        <v/>
      </c>
      <c r="C160" s="89" t="str">
        <f>IF(A160="","",IFERROR(VLOOKUP(A160,DB_Customers!$A:$N,14,0),""))</f>
        <v/>
      </c>
      <c r="D160" s="90" t="str">
        <f t="shared" ca="1" si="12"/>
        <v/>
      </c>
      <c r="E160" s="97"/>
      <c r="F160" s="25"/>
      <c r="G160" s="99" t="str">
        <f t="shared" si="13"/>
        <v/>
      </c>
      <c r="H160" s="27"/>
      <c r="I160" s="84"/>
      <c r="J160" s="92" t="str">
        <f>IF(AND(A160&lt;&gt;"",E160&lt;&gt;""),IF(I160="","⚠️ Enter Code",IF(IFERROR(VLOOKUP(H160,DB_Agents!$B:$I,8,0),"")=I160,IF(C160&gt;=E160,"Successful","Unsuccessful"),"🔒 BLOCKED — Wrong Code")),"—")</f>
        <v>—</v>
      </c>
      <c r="K160" s="93" t="str">
        <f t="shared" ca="1" si="14"/>
        <v>—</v>
      </c>
      <c r="L160" s="94"/>
    </row>
    <row r="161" spans="1:12" x14ac:dyDescent="0.25">
      <c r="A161" s="79"/>
      <c r="B161" s="21" t="str">
        <f>IF(A161="","",IFERROR(VLOOKUP(A161,DB_Customers!$A:$D,4,0),"❌ Account Not Found"))</f>
        <v/>
      </c>
      <c r="C161" s="80" t="str">
        <f>IF(A161="","",IFERROR(VLOOKUP(A161,DB_Customers!$A:$N,14,0),""))</f>
        <v/>
      </c>
      <c r="D161" s="81" t="str">
        <f t="shared" ca="1" si="12"/>
        <v/>
      </c>
      <c r="E161" s="97"/>
      <c r="F161" s="21"/>
      <c r="G161" s="98" t="str">
        <f t="shared" si="13"/>
        <v/>
      </c>
      <c r="H161" s="23"/>
      <c r="I161" s="84"/>
      <c r="J161" s="85" t="str">
        <f>IF(AND(A161&lt;&gt;"",E161&lt;&gt;""),IF(I161="","⚠️ Enter Code",IF(IFERROR(VLOOKUP(H161,DB_Agents!$B:$I,8,0),"")=I161,IF(C161&gt;=E161,"Successful","Unsuccessful"),"🔒 BLOCKED — Wrong Code")),"—")</f>
        <v>—</v>
      </c>
      <c r="K161" s="86" t="str">
        <f t="shared" ca="1" si="14"/>
        <v>—</v>
      </c>
      <c r="L161" s="87"/>
    </row>
    <row r="162" spans="1:12" x14ac:dyDescent="0.25">
      <c r="A162" s="88"/>
      <c r="B162" s="25" t="str">
        <f>IF(A162="","",IFERROR(VLOOKUP(A162,DB_Customers!$A:$D,4,0),"❌ Account Not Found"))</f>
        <v/>
      </c>
      <c r="C162" s="89" t="str">
        <f>IF(A162="","",IFERROR(VLOOKUP(A162,DB_Customers!$A:$N,14,0),""))</f>
        <v/>
      </c>
      <c r="D162" s="90" t="str">
        <f t="shared" ca="1" si="12"/>
        <v/>
      </c>
      <c r="E162" s="97"/>
      <c r="F162" s="25"/>
      <c r="G162" s="99" t="str">
        <f t="shared" si="13"/>
        <v/>
      </c>
      <c r="H162" s="27"/>
      <c r="I162" s="84"/>
      <c r="J162" s="92" t="str">
        <f>IF(AND(A162&lt;&gt;"",E162&lt;&gt;""),IF(I162="","⚠️ Enter Code",IF(IFERROR(VLOOKUP(H162,DB_Agents!$B:$I,8,0),"")=I162,IF(C162&gt;=E162,"Successful","Unsuccessful"),"🔒 BLOCKED — Wrong Code")),"—")</f>
        <v>—</v>
      </c>
      <c r="K162" s="93" t="str">
        <f t="shared" ca="1" si="14"/>
        <v>—</v>
      </c>
      <c r="L162" s="94"/>
    </row>
    <row r="163" spans="1:12" x14ac:dyDescent="0.25">
      <c r="A163" s="79"/>
      <c r="B163" s="21" t="str">
        <f>IF(A163="","",IFERROR(VLOOKUP(A163,DB_Customers!$A:$D,4,0),"❌ Account Not Found"))</f>
        <v/>
      </c>
      <c r="C163" s="80" t="str">
        <f>IF(A163="","",IFERROR(VLOOKUP(A163,DB_Customers!$A:$N,14,0),""))</f>
        <v/>
      </c>
      <c r="D163" s="81" t="str">
        <f t="shared" ca="1" si="12"/>
        <v/>
      </c>
      <c r="E163" s="97"/>
      <c r="F163" s="21"/>
      <c r="G163" s="98" t="str">
        <f t="shared" si="13"/>
        <v/>
      </c>
      <c r="H163" s="23"/>
      <c r="I163" s="84"/>
      <c r="J163" s="85" t="str">
        <f>IF(AND(A163&lt;&gt;"",E163&lt;&gt;""),IF(I163="","⚠️ Enter Code",IF(IFERROR(VLOOKUP(H163,DB_Agents!$B:$I,8,0),"")=I163,IF(C163&gt;=E163,"Successful","Unsuccessful"),"🔒 BLOCKED — Wrong Code")),"—")</f>
        <v>—</v>
      </c>
      <c r="K163" s="86" t="str">
        <f t="shared" ca="1" si="14"/>
        <v>—</v>
      </c>
      <c r="L163" s="87"/>
    </row>
    <row r="164" spans="1:12" x14ac:dyDescent="0.25">
      <c r="A164" s="88"/>
      <c r="B164" s="25" t="str">
        <f>IF(A164="","",IFERROR(VLOOKUP(A164,DB_Customers!$A:$D,4,0),"❌ Account Not Found"))</f>
        <v/>
      </c>
      <c r="C164" s="89" t="str">
        <f>IF(A164="","",IFERROR(VLOOKUP(A164,DB_Customers!$A:$N,14,0),""))</f>
        <v/>
      </c>
      <c r="D164" s="90" t="str">
        <f t="shared" ca="1" si="12"/>
        <v/>
      </c>
      <c r="E164" s="97"/>
      <c r="F164" s="25"/>
      <c r="G164" s="99" t="str">
        <f t="shared" si="13"/>
        <v/>
      </c>
      <c r="H164" s="27"/>
      <c r="I164" s="84"/>
      <c r="J164" s="92" t="str">
        <f>IF(AND(A164&lt;&gt;"",E164&lt;&gt;""),IF(I164="","⚠️ Enter Code",IF(IFERROR(VLOOKUP(H164,DB_Agents!$B:$I,8,0),"")=I164,IF(C164&gt;=E164,"Successful","Unsuccessful"),"🔒 BLOCKED — Wrong Code")),"—")</f>
        <v>—</v>
      </c>
      <c r="K164" s="93" t="str">
        <f t="shared" ca="1" si="14"/>
        <v>—</v>
      </c>
      <c r="L164" s="94"/>
    </row>
    <row r="165" spans="1:12" x14ac:dyDescent="0.25">
      <c r="A165" s="79"/>
      <c r="B165" s="21" t="str">
        <f>IF(A165="","",IFERROR(VLOOKUP(A165,DB_Customers!$A:$D,4,0),"❌ Account Not Found"))</f>
        <v/>
      </c>
      <c r="C165" s="80" t="str">
        <f>IF(A165="","",IFERROR(VLOOKUP(A165,DB_Customers!$A:$N,14,0),""))</f>
        <v/>
      </c>
      <c r="D165" s="81" t="str">
        <f t="shared" ca="1" si="12"/>
        <v/>
      </c>
      <c r="E165" s="97"/>
      <c r="F165" s="21"/>
      <c r="G165" s="98" t="str">
        <f t="shared" si="13"/>
        <v/>
      </c>
      <c r="H165" s="23"/>
      <c r="I165" s="84"/>
      <c r="J165" s="85" t="str">
        <f>IF(AND(A165&lt;&gt;"",E165&lt;&gt;""),IF(I165="","⚠️ Enter Code",IF(IFERROR(VLOOKUP(H165,DB_Agents!$B:$I,8,0),"")=I165,IF(C165&gt;=E165,"Successful","Unsuccessful"),"🔒 BLOCKED — Wrong Code")),"—")</f>
        <v>—</v>
      </c>
      <c r="K165" s="86" t="str">
        <f t="shared" ca="1" si="14"/>
        <v>—</v>
      </c>
      <c r="L165" s="87"/>
    </row>
    <row r="166" spans="1:12" x14ac:dyDescent="0.25">
      <c r="A166" s="88"/>
      <c r="B166" s="25" t="str">
        <f>IF(A166="","",IFERROR(VLOOKUP(A166,DB_Customers!$A:$D,4,0),"❌ Account Not Found"))</f>
        <v/>
      </c>
      <c r="C166" s="89" t="str">
        <f>IF(A166="","",IFERROR(VLOOKUP(A166,DB_Customers!$A:$N,14,0),""))</f>
        <v/>
      </c>
      <c r="D166" s="90" t="str">
        <f t="shared" ca="1" si="12"/>
        <v/>
      </c>
      <c r="E166" s="97"/>
      <c r="F166" s="25"/>
      <c r="G166" s="99" t="str">
        <f t="shared" si="13"/>
        <v/>
      </c>
      <c r="H166" s="27"/>
      <c r="I166" s="84"/>
      <c r="J166" s="92" t="str">
        <f>IF(AND(A166&lt;&gt;"",E166&lt;&gt;""),IF(I166="","⚠️ Enter Code",IF(IFERROR(VLOOKUP(H166,DB_Agents!$B:$I,8,0),"")=I166,IF(C166&gt;=E166,"Successful","Unsuccessful"),"🔒 BLOCKED — Wrong Code")),"—")</f>
        <v>—</v>
      </c>
      <c r="K166" s="93" t="str">
        <f t="shared" ca="1" si="14"/>
        <v>—</v>
      </c>
      <c r="L166" s="94"/>
    </row>
    <row r="167" spans="1:12" x14ac:dyDescent="0.25">
      <c r="A167" s="79"/>
      <c r="B167" s="21" t="str">
        <f>IF(A167="","",IFERROR(VLOOKUP(A167,DB_Customers!$A:$D,4,0),"❌ Account Not Found"))</f>
        <v/>
      </c>
      <c r="C167" s="80" t="str">
        <f>IF(A167="","",IFERROR(VLOOKUP(A167,DB_Customers!$A:$N,14,0),""))</f>
        <v/>
      </c>
      <c r="D167" s="81" t="str">
        <f t="shared" ca="1" si="12"/>
        <v/>
      </c>
      <c r="E167" s="97"/>
      <c r="F167" s="21"/>
      <c r="G167" s="98" t="str">
        <f t="shared" si="13"/>
        <v/>
      </c>
      <c r="H167" s="23"/>
      <c r="I167" s="84"/>
      <c r="J167" s="85" t="str">
        <f>IF(AND(A167&lt;&gt;"",E167&lt;&gt;""),IF(I167="","⚠️ Enter Code",IF(IFERROR(VLOOKUP(H167,DB_Agents!$B:$I,8,0),"")=I167,IF(C167&gt;=E167,"Successful","Unsuccessful"),"🔒 BLOCKED — Wrong Code")),"—")</f>
        <v>—</v>
      </c>
      <c r="K167" s="86" t="str">
        <f t="shared" ca="1" si="14"/>
        <v>—</v>
      </c>
      <c r="L167" s="87"/>
    </row>
    <row r="168" spans="1:12" x14ac:dyDescent="0.25">
      <c r="A168" s="88"/>
      <c r="B168" s="25" t="str">
        <f>IF(A168="","",IFERROR(VLOOKUP(A168,DB_Customers!$A:$D,4,0),"❌ Account Not Found"))</f>
        <v/>
      </c>
      <c r="C168" s="89" t="str">
        <f>IF(A168="","",IFERROR(VLOOKUP(A168,DB_Customers!$A:$N,14,0),""))</f>
        <v/>
      </c>
      <c r="D168" s="90" t="str">
        <f t="shared" ca="1" si="12"/>
        <v/>
      </c>
      <c r="E168" s="97"/>
      <c r="F168" s="25"/>
      <c r="G168" s="99" t="str">
        <f t="shared" si="13"/>
        <v/>
      </c>
      <c r="H168" s="27"/>
      <c r="I168" s="84"/>
      <c r="J168" s="92" t="str">
        <f>IF(AND(A168&lt;&gt;"",E168&lt;&gt;""),IF(I168="","⚠️ Enter Code",IF(IFERROR(VLOOKUP(H168,DB_Agents!$B:$I,8,0),"")=I168,IF(C168&gt;=E168,"Successful","Unsuccessful"),"🔒 BLOCKED — Wrong Code")),"—")</f>
        <v>—</v>
      </c>
      <c r="K168" s="93" t="str">
        <f t="shared" ca="1" si="14"/>
        <v>—</v>
      </c>
      <c r="L168" s="94"/>
    </row>
    <row r="169" spans="1:12" x14ac:dyDescent="0.25">
      <c r="A169" s="79"/>
      <c r="B169" s="21" t="str">
        <f>IF(A169="","",IFERROR(VLOOKUP(A169,DB_Customers!$A:$D,4,0),"❌ Account Not Found"))</f>
        <v/>
      </c>
      <c r="C169" s="80" t="str">
        <f>IF(A169="","",IFERROR(VLOOKUP(A169,DB_Customers!$A:$N,14,0),""))</f>
        <v/>
      </c>
      <c r="D169" s="81" t="str">
        <f t="shared" ref="D169:D200" ca="1" si="15">IF(A169="","",TODAY())</f>
        <v/>
      </c>
      <c r="E169" s="97"/>
      <c r="F169" s="21"/>
      <c r="G169" s="98" t="str">
        <f t="shared" ref="G169:G200" si="16">IF(OR(A169="",E169=""),"",IF(C169="","",C169-E169))</f>
        <v/>
      </c>
      <c r="H169" s="23"/>
      <c r="I169" s="84"/>
      <c r="J169" s="85" t="str">
        <f>IF(AND(A169&lt;&gt;"",E169&lt;&gt;""),IF(I169="","⚠️ Enter Code",IF(IFERROR(VLOOKUP(H169,DB_Agents!$B:$I,8,0),"")=I169,IF(C169&gt;=E169,"Successful","Unsuccessful"),"🔒 BLOCKED — Wrong Code")),"—")</f>
        <v>—</v>
      </c>
      <c r="K169" s="86" t="str">
        <f t="shared" ref="K169:K200" ca="1" si="17">IF(J169="Successful",TEXT(TODAY(),"YYYY-MM-DD")&amp;" Auto","—")</f>
        <v>—</v>
      </c>
      <c r="L169" s="87"/>
    </row>
    <row r="170" spans="1:12" x14ac:dyDescent="0.25">
      <c r="A170" s="88"/>
      <c r="B170" s="25" t="str">
        <f>IF(A170="","",IFERROR(VLOOKUP(A170,DB_Customers!$A:$D,4,0),"❌ Account Not Found"))</f>
        <v/>
      </c>
      <c r="C170" s="89" t="str">
        <f>IF(A170="","",IFERROR(VLOOKUP(A170,DB_Customers!$A:$N,14,0),""))</f>
        <v/>
      </c>
      <c r="D170" s="90" t="str">
        <f t="shared" ca="1" si="15"/>
        <v/>
      </c>
      <c r="E170" s="97"/>
      <c r="F170" s="25"/>
      <c r="G170" s="99" t="str">
        <f t="shared" si="16"/>
        <v/>
      </c>
      <c r="H170" s="27"/>
      <c r="I170" s="84"/>
      <c r="J170" s="92" t="str">
        <f>IF(AND(A170&lt;&gt;"",E170&lt;&gt;""),IF(I170="","⚠️ Enter Code",IF(IFERROR(VLOOKUP(H170,DB_Agents!$B:$I,8,0),"")=I170,IF(C170&gt;=E170,"Successful","Unsuccessful"),"🔒 BLOCKED — Wrong Code")),"—")</f>
        <v>—</v>
      </c>
      <c r="K170" s="93" t="str">
        <f t="shared" ca="1" si="17"/>
        <v>—</v>
      </c>
      <c r="L170" s="94"/>
    </row>
    <row r="171" spans="1:12" x14ac:dyDescent="0.25">
      <c r="A171" s="79"/>
      <c r="B171" s="21" t="str">
        <f>IF(A171="","",IFERROR(VLOOKUP(A171,DB_Customers!$A:$D,4,0),"❌ Account Not Found"))</f>
        <v/>
      </c>
      <c r="C171" s="80" t="str">
        <f>IF(A171="","",IFERROR(VLOOKUP(A171,DB_Customers!$A:$N,14,0),""))</f>
        <v/>
      </c>
      <c r="D171" s="81" t="str">
        <f t="shared" ca="1" si="15"/>
        <v/>
      </c>
      <c r="E171" s="97"/>
      <c r="F171" s="21"/>
      <c r="G171" s="98" t="str">
        <f t="shared" si="16"/>
        <v/>
      </c>
      <c r="H171" s="23"/>
      <c r="I171" s="84"/>
      <c r="J171" s="85" t="str">
        <f>IF(AND(A171&lt;&gt;"",E171&lt;&gt;""),IF(I171="","⚠️ Enter Code",IF(IFERROR(VLOOKUP(H171,DB_Agents!$B:$I,8,0),"")=I171,IF(C171&gt;=E171,"Successful","Unsuccessful"),"🔒 BLOCKED — Wrong Code")),"—")</f>
        <v>—</v>
      </c>
      <c r="K171" s="86" t="str">
        <f t="shared" ca="1" si="17"/>
        <v>—</v>
      </c>
      <c r="L171" s="87"/>
    </row>
    <row r="172" spans="1:12" x14ac:dyDescent="0.25">
      <c r="A172" s="88"/>
      <c r="B172" s="25" t="str">
        <f>IF(A172="","",IFERROR(VLOOKUP(A172,DB_Customers!$A:$D,4,0),"❌ Account Not Found"))</f>
        <v/>
      </c>
      <c r="C172" s="89" t="str">
        <f>IF(A172="","",IFERROR(VLOOKUP(A172,DB_Customers!$A:$N,14,0),""))</f>
        <v/>
      </c>
      <c r="D172" s="90" t="str">
        <f t="shared" ca="1" si="15"/>
        <v/>
      </c>
      <c r="E172" s="97"/>
      <c r="F172" s="25"/>
      <c r="G172" s="99" t="str">
        <f t="shared" si="16"/>
        <v/>
      </c>
      <c r="H172" s="27"/>
      <c r="I172" s="84"/>
      <c r="J172" s="92" t="str">
        <f>IF(AND(A172&lt;&gt;"",E172&lt;&gt;""),IF(I172="","⚠️ Enter Code",IF(IFERROR(VLOOKUP(H172,DB_Agents!$B:$I,8,0),"")=I172,IF(C172&gt;=E172,"Successful","Unsuccessful"),"🔒 BLOCKED — Wrong Code")),"—")</f>
        <v>—</v>
      </c>
      <c r="K172" s="93" t="str">
        <f t="shared" ca="1" si="17"/>
        <v>—</v>
      </c>
      <c r="L172" s="94"/>
    </row>
    <row r="173" spans="1:12" x14ac:dyDescent="0.25">
      <c r="A173" s="79"/>
      <c r="B173" s="21" t="str">
        <f>IF(A173="","",IFERROR(VLOOKUP(A173,DB_Customers!$A:$D,4,0),"❌ Account Not Found"))</f>
        <v/>
      </c>
      <c r="C173" s="80" t="str">
        <f>IF(A173="","",IFERROR(VLOOKUP(A173,DB_Customers!$A:$N,14,0),""))</f>
        <v/>
      </c>
      <c r="D173" s="81" t="str">
        <f t="shared" ca="1" si="15"/>
        <v/>
      </c>
      <c r="E173" s="97"/>
      <c r="F173" s="21"/>
      <c r="G173" s="98" t="str">
        <f t="shared" si="16"/>
        <v/>
      </c>
      <c r="H173" s="23"/>
      <c r="I173" s="84"/>
      <c r="J173" s="85" t="str">
        <f>IF(AND(A173&lt;&gt;"",E173&lt;&gt;""),IF(I173="","⚠️ Enter Code",IF(IFERROR(VLOOKUP(H173,DB_Agents!$B:$I,8,0),"")=I173,IF(C173&gt;=E173,"Successful","Unsuccessful"),"🔒 BLOCKED — Wrong Code")),"—")</f>
        <v>—</v>
      </c>
      <c r="K173" s="86" t="str">
        <f t="shared" ca="1" si="17"/>
        <v>—</v>
      </c>
      <c r="L173" s="87"/>
    </row>
    <row r="174" spans="1:12" x14ac:dyDescent="0.25">
      <c r="A174" s="88"/>
      <c r="B174" s="25" t="str">
        <f>IF(A174="","",IFERROR(VLOOKUP(A174,DB_Customers!$A:$D,4,0),"❌ Account Not Found"))</f>
        <v/>
      </c>
      <c r="C174" s="89" t="str">
        <f>IF(A174="","",IFERROR(VLOOKUP(A174,DB_Customers!$A:$N,14,0),""))</f>
        <v/>
      </c>
      <c r="D174" s="90" t="str">
        <f t="shared" ca="1" si="15"/>
        <v/>
      </c>
      <c r="E174" s="97"/>
      <c r="F174" s="25"/>
      <c r="G174" s="99" t="str">
        <f t="shared" si="16"/>
        <v/>
      </c>
      <c r="H174" s="27"/>
      <c r="I174" s="84"/>
      <c r="J174" s="92" t="str">
        <f>IF(AND(A174&lt;&gt;"",E174&lt;&gt;""),IF(I174="","⚠️ Enter Code",IF(IFERROR(VLOOKUP(H174,DB_Agents!$B:$I,8,0),"")=I174,IF(C174&gt;=E174,"Successful","Unsuccessful"),"🔒 BLOCKED — Wrong Code")),"—")</f>
        <v>—</v>
      </c>
      <c r="K174" s="93" t="str">
        <f t="shared" ca="1" si="17"/>
        <v>—</v>
      </c>
      <c r="L174" s="94"/>
    </row>
    <row r="175" spans="1:12" x14ac:dyDescent="0.25">
      <c r="A175" s="79"/>
      <c r="B175" s="21" t="str">
        <f>IF(A175="","",IFERROR(VLOOKUP(A175,DB_Customers!$A:$D,4,0),"❌ Account Not Found"))</f>
        <v/>
      </c>
      <c r="C175" s="80" t="str">
        <f>IF(A175="","",IFERROR(VLOOKUP(A175,DB_Customers!$A:$N,14,0),""))</f>
        <v/>
      </c>
      <c r="D175" s="81" t="str">
        <f t="shared" ca="1" si="15"/>
        <v/>
      </c>
      <c r="E175" s="97"/>
      <c r="F175" s="21"/>
      <c r="G175" s="98" t="str">
        <f t="shared" si="16"/>
        <v/>
      </c>
      <c r="H175" s="23"/>
      <c r="I175" s="84"/>
      <c r="J175" s="85" t="str">
        <f>IF(AND(A175&lt;&gt;"",E175&lt;&gt;""),IF(I175="","⚠️ Enter Code",IF(IFERROR(VLOOKUP(H175,DB_Agents!$B:$I,8,0),"")=I175,IF(C175&gt;=E175,"Successful","Unsuccessful"),"🔒 BLOCKED — Wrong Code")),"—")</f>
        <v>—</v>
      </c>
      <c r="K175" s="86" t="str">
        <f t="shared" ca="1" si="17"/>
        <v>—</v>
      </c>
      <c r="L175" s="87"/>
    </row>
    <row r="176" spans="1:12" x14ac:dyDescent="0.25">
      <c r="A176" s="88"/>
      <c r="B176" s="25" t="str">
        <f>IF(A176="","",IFERROR(VLOOKUP(A176,DB_Customers!$A:$D,4,0),"❌ Account Not Found"))</f>
        <v/>
      </c>
      <c r="C176" s="89" t="str">
        <f>IF(A176="","",IFERROR(VLOOKUP(A176,DB_Customers!$A:$N,14,0),""))</f>
        <v/>
      </c>
      <c r="D176" s="90" t="str">
        <f t="shared" ca="1" si="15"/>
        <v/>
      </c>
      <c r="E176" s="97"/>
      <c r="F176" s="25"/>
      <c r="G176" s="99" t="str">
        <f t="shared" si="16"/>
        <v/>
      </c>
      <c r="H176" s="27"/>
      <c r="I176" s="84"/>
      <c r="J176" s="92" t="str">
        <f>IF(AND(A176&lt;&gt;"",E176&lt;&gt;""),IF(I176="","⚠️ Enter Code",IF(IFERROR(VLOOKUP(H176,DB_Agents!$B:$I,8,0),"")=I176,IF(C176&gt;=E176,"Successful","Unsuccessful"),"🔒 BLOCKED — Wrong Code")),"—")</f>
        <v>—</v>
      </c>
      <c r="K176" s="93" t="str">
        <f t="shared" ca="1" si="17"/>
        <v>—</v>
      </c>
      <c r="L176" s="94"/>
    </row>
    <row r="177" spans="1:12" x14ac:dyDescent="0.25">
      <c r="A177" s="79"/>
      <c r="B177" s="21" t="str">
        <f>IF(A177="","",IFERROR(VLOOKUP(A177,DB_Customers!$A:$D,4,0),"❌ Account Not Found"))</f>
        <v/>
      </c>
      <c r="C177" s="80" t="str">
        <f>IF(A177="","",IFERROR(VLOOKUP(A177,DB_Customers!$A:$N,14,0),""))</f>
        <v/>
      </c>
      <c r="D177" s="81" t="str">
        <f t="shared" ca="1" si="15"/>
        <v/>
      </c>
      <c r="E177" s="97"/>
      <c r="F177" s="21"/>
      <c r="G177" s="98" t="str">
        <f t="shared" si="16"/>
        <v/>
      </c>
      <c r="H177" s="23"/>
      <c r="I177" s="84"/>
      <c r="J177" s="85" t="str">
        <f>IF(AND(A177&lt;&gt;"",E177&lt;&gt;""),IF(I177="","⚠️ Enter Code",IF(IFERROR(VLOOKUP(H177,DB_Agents!$B:$I,8,0),"")=I177,IF(C177&gt;=E177,"Successful","Unsuccessful"),"🔒 BLOCKED — Wrong Code")),"—")</f>
        <v>—</v>
      </c>
      <c r="K177" s="86" t="str">
        <f t="shared" ca="1" si="17"/>
        <v>—</v>
      </c>
      <c r="L177" s="87"/>
    </row>
    <row r="178" spans="1:12" x14ac:dyDescent="0.25">
      <c r="A178" s="88"/>
      <c r="B178" s="25" t="str">
        <f>IF(A178="","",IFERROR(VLOOKUP(A178,DB_Customers!$A:$D,4,0),"❌ Account Not Found"))</f>
        <v/>
      </c>
      <c r="C178" s="89" t="str">
        <f>IF(A178="","",IFERROR(VLOOKUP(A178,DB_Customers!$A:$N,14,0),""))</f>
        <v/>
      </c>
      <c r="D178" s="90" t="str">
        <f t="shared" ca="1" si="15"/>
        <v/>
      </c>
      <c r="E178" s="97"/>
      <c r="F178" s="25"/>
      <c r="G178" s="99" t="str">
        <f t="shared" si="16"/>
        <v/>
      </c>
      <c r="H178" s="27"/>
      <c r="I178" s="84"/>
      <c r="J178" s="92" t="str">
        <f>IF(AND(A178&lt;&gt;"",E178&lt;&gt;""),IF(I178="","⚠️ Enter Code",IF(IFERROR(VLOOKUP(H178,DB_Agents!$B:$I,8,0),"")=I178,IF(C178&gt;=E178,"Successful","Unsuccessful"),"🔒 BLOCKED — Wrong Code")),"—")</f>
        <v>—</v>
      </c>
      <c r="K178" s="93" t="str">
        <f t="shared" ca="1" si="17"/>
        <v>—</v>
      </c>
      <c r="L178" s="94"/>
    </row>
    <row r="179" spans="1:12" x14ac:dyDescent="0.25">
      <c r="A179" s="79"/>
      <c r="B179" s="21" t="str">
        <f>IF(A179="","",IFERROR(VLOOKUP(A179,DB_Customers!$A:$D,4,0),"❌ Account Not Found"))</f>
        <v/>
      </c>
      <c r="C179" s="80" t="str">
        <f>IF(A179="","",IFERROR(VLOOKUP(A179,DB_Customers!$A:$N,14,0),""))</f>
        <v/>
      </c>
      <c r="D179" s="81" t="str">
        <f t="shared" ca="1" si="15"/>
        <v/>
      </c>
      <c r="E179" s="97"/>
      <c r="F179" s="21"/>
      <c r="G179" s="98" t="str">
        <f t="shared" si="16"/>
        <v/>
      </c>
      <c r="H179" s="23"/>
      <c r="I179" s="84"/>
      <c r="J179" s="85" t="str">
        <f>IF(AND(A179&lt;&gt;"",E179&lt;&gt;""),IF(I179="","⚠️ Enter Code",IF(IFERROR(VLOOKUP(H179,DB_Agents!$B:$I,8,0),"")=I179,IF(C179&gt;=E179,"Successful","Unsuccessful"),"🔒 BLOCKED — Wrong Code")),"—")</f>
        <v>—</v>
      </c>
      <c r="K179" s="86" t="str">
        <f t="shared" ca="1" si="17"/>
        <v>—</v>
      </c>
      <c r="L179" s="87"/>
    </row>
    <row r="180" spans="1:12" x14ac:dyDescent="0.25">
      <c r="A180" s="88"/>
      <c r="B180" s="25" t="str">
        <f>IF(A180="","",IFERROR(VLOOKUP(A180,DB_Customers!$A:$D,4,0),"❌ Account Not Found"))</f>
        <v/>
      </c>
      <c r="C180" s="89" t="str">
        <f>IF(A180="","",IFERROR(VLOOKUP(A180,DB_Customers!$A:$N,14,0),""))</f>
        <v/>
      </c>
      <c r="D180" s="90" t="str">
        <f t="shared" ca="1" si="15"/>
        <v/>
      </c>
      <c r="E180" s="97"/>
      <c r="F180" s="25"/>
      <c r="G180" s="99" t="str">
        <f t="shared" si="16"/>
        <v/>
      </c>
      <c r="H180" s="27"/>
      <c r="I180" s="84"/>
      <c r="J180" s="92" t="str">
        <f>IF(AND(A180&lt;&gt;"",E180&lt;&gt;""),IF(I180="","⚠️ Enter Code",IF(IFERROR(VLOOKUP(H180,DB_Agents!$B:$I,8,0),"")=I180,IF(C180&gt;=E180,"Successful","Unsuccessful"),"🔒 BLOCKED — Wrong Code")),"—")</f>
        <v>—</v>
      </c>
      <c r="K180" s="93" t="str">
        <f t="shared" ca="1" si="17"/>
        <v>—</v>
      </c>
      <c r="L180" s="94"/>
    </row>
    <row r="181" spans="1:12" x14ac:dyDescent="0.25">
      <c r="A181" s="79"/>
      <c r="B181" s="21" t="str">
        <f>IF(A181="","",IFERROR(VLOOKUP(A181,DB_Customers!$A:$D,4,0),"❌ Account Not Found"))</f>
        <v/>
      </c>
      <c r="C181" s="80" t="str">
        <f>IF(A181="","",IFERROR(VLOOKUP(A181,DB_Customers!$A:$N,14,0),""))</f>
        <v/>
      </c>
      <c r="D181" s="81" t="str">
        <f t="shared" ca="1" si="15"/>
        <v/>
      </c>
      <c r="E181" s="97"/>
      <c r="F181" s="21"/>
      <c r="G181" s="98" t="str">
        <f t="shared" si="16"/>
        <v/>
      </c>
      <c r="H181" s="23"/>
      <c r="I181" s="84"/>
      <c r="J181" s="85" t="str">
        <f>IF(AND(A181&lt;&gt;"",E181&lt;&gt;""),IF(I181="","⚠️ Enter Code",IF(IFERROR(VLOOKUP(H181,DB_Agents!$B:$I,8,0),"")=I181,IF(C181&gt;=E181,"Successful","Unsuccessful"),"🔒 BLOCKED — Wrong Code")),"—")</f>
        <v>—</v>
      </c>
      <c r="K181" s="86" t="str">
        <f t="shared" ca="1" si="17"/>
        <v>—</v>
      </c>
      <c r="L181" s="87"/>
    </row>
    <row r="182" spans="1:12" x14ac:dyDescent="0.25">
      <c r="A182" s="88"/>
      <c r="B182" s="25" t="str">
        <f>IF(A182="","",IFERROR(VLOOKUP(A182,DB_Customers!$A:$D,4,0),"❌ Account Not Found"))</f>
        <v/>
      </c>
      <c r="C182" s="89" t="str">
        <f>IF(A182="","",IFERROR(VLOOKUP(A182,DB_Customers!$A:$N,14,0),""))</f>
        <v/>
      </c>
      <c r="D182" s="90" t="str">
        <f t="shared" ca="1" si="15"/>
        <v/>
      </c>
      <c r="E182" s="97"/>
      <c r="F182" s="25"/>
      <c r="G182" s="99" t="str">
        <f t="shared" si="16"/>
        <v/>
      </c>
      <c r="H182" s="27"/>
      <c r="I182" s="84"/>
      <c r="J182" s="92" t="str">
        <f>IF(AND(A182&lt;&gt;"",E182&lt;&gt;""),IF(I182="","⚠️ Enter Code",IF(IFERROR(VLOOKUP(H182,DB_Agents!$B:$I,8,0),"")=I182,IF(C182&gt;=E182,"Successful","Unsuccessful"),"🔒 BLOCKED — Wrong Code")),"—")</f>
        <v>—</v>
      </c>
      <c r="K182" s="93" t="str">
        <f t="shared" ca="1" si="17"/>
        <v>—</v>
      </c>
      <c r="L182" s="94"/>
    </row>
    <row r="183" spans="1:12" x14ac:dyDescent="0.25">
      <c r="A183" s="79"/>
      <c r="B183" s="21" t="str">
        <f>IF(A183="","",IFERROR(VLOOKUP(A183,DB_Customers!$A:$D,4,0),"❌ Account Not Found"))</f>
        <v/>
      </c>
      <c r="C183" s="80" t="str">
        <f>IF(A183="","",IFERROR(VLOOKUP(A183,DB_Customers!$A:$N,14,0),""))</f>
        <v/>
      </c>
      <c r="D183" s="81" t="str">
        <f t="shared" ca="1" si="15"/>
        <v/>
      </c>
      <c r="E183" s="97"/>
      <c r="F183" s="21"/>
      <c r="G183" s="98" t="str">
        <f t="shared" si="16"/>
        <v/>
      </c>
      <c r="H183" s="23"/>
      <c r="I183" s="84"/>
      <c r="J183" s="85" t="str">
        <f>IF(AND(A183&lt;&gt;"",E183&lt;&gt;""),IF(I183="","⚠️ Enter Code",IF(IFERROR(VLOOKUP(H183,DB_Agents!$B:$I,8,0),"")=I183,IF(C183&gt;=E183,"Successful","Unsuccessful"),"🔒 BLOCKED — Wrong Code")),"—")</f>
        <v>—</v>
      </c>
      <c r="K183" s="86" t="str">
        <f t="shared" ca="1" si="17"/>
        <v>—</v>
      </c>
      <c r="L183" s="87"/>
    </row>
    <row r="184" spans="1:12" x14ac:dyDescent="0.25">
      <c r="A184" s="88"/>
      <c r="B184" s="25" t="str">
        <f>IF(A184="","",IFERROR(VLOOKUP(A184,DB_Customers!$A:$D,4,0),"❌ Account Not Found"))</f>
        <v/>
      </c>
      <c r="C184" s="89" t="str">
        <f>IF(A184="","",IFERROR(VLOOKUP(A184,DB_Customers!$A:$N,14,0),""))</f>
        <v/>
      </c>
      <c r="D184" s="90" t="str">
        <f t="shared" ca="1" si="15"/>
        <v/>
      </c>
      <c r="E184" s="97"/>
      <c r="F184" s="25"/>
      <c r="G184" s="99" t="str">
        <f t="shared" si="16"/>
        <v/>
      </c>
      <c r="H184" s="27"/>
      <c r="I184" s="84"/>
      <c r="J184" s="92" t="str">
        <f>IF(AND(A184&lt;&gt;"",E184&lt;&gt;""),IF(I184="","⚠️ Enter Code",IF(IFERROR(VLOOKUP(H184,DB_Agents!$B:$I,8,0),"")=I184,IF(C184&gt;=E184,"Successful","Unsuccessful"),"🔒 BLOCKED — Wrong Code")),"—")</f>
        <v>—</v>
      </c>
      <c r="K184" s="93" t="str">
        <f t="shared" ca="1" si="17"/>
        <v>—</v>
      </c>
      <c r="L184" s="94"/>
    </row>
    <row r="185" spans="1:12" x14ac:dyDescent="0.25">
      <c r="A185" s="79"/>
      <c r="B185" s="21" t="str">
        <f>IF(A185="","",IFERROR(VLOOKUP(A185,DB_Customers!$A:$D,4,0),"❌ Account Not Found"))</f>
        <v/>
      </c>
      <c r="C185" s="80" t="str">
        <f>IF(A185="","",IFERROR(VLOOKUP(A185,DB_Customers!$A:$N,14,0),""))</f>
        <v/>
      </c>
      <c r="D185" s="81" t="str">
        <f t="shared" ca="1" si="15"/>
        <v/>
      </c>
      <c r="E185" s="97"/>
      <c r="F185" s="21"/>
      <c r="G185" s="98" t="str">
        <f t="shared" si="16"/>
        <v/>
      </c>
      <c r="H185" s="23"/>
      <c r="I185" s="84"/>
      <c r="J185" s="85" t="str">
        <f>IF(AND(A185&lt;&gt;"",E185&lt;&gt;""),IF(I185="","⚠️ Enter Code",IF(IFERROR(VLOOKUP(H185,DB_Agents!$B:$I,8,0),"")=I185,IF(C185&gt;=E185,"Successful","Unsuccessful"),"🔒 BLOCKED — Wrong Code")),"—")</f>
        <v>—</v>
      </c>
      <c r="K185" s="86" t="str">
        <f t="shared" ca="1" si="17"/>
        <v>—</v>
      </c>
      <c r="L185" s="87"/>
    </row>
    <row r="186" spans="1:12" x14ac:dyDescent="0.25">
      <c r="A186" s="88"/>
      <c r="B186" s="25" t="str">
        <f>IF(A186="","",IFERROR(VLOOKUP(A186,DB_Customers!$A:$D,4,0),"❌ Account Not Found"))</f>
        <v/>
      </c>
      <c r="C186" s="89" t="str">
        <f>IF(A186="","",IFERROR(VLOOKUP(A186,DB_Customers!$A:$N,14,0),""))</f>
        <v/>
      </c>
      <c r="D186" s="90" t="str">
        <f t="shared" ca="1" si="15"/>
        <v/>
      </c>
      <c r="E186" s="97"/>
      <c r="F186" s="25"/>
      <c r="G186" s="99" t="str">
        <f t="shared" si="16"/>
        <v/>
      </c>
      <c r="H186" s="27"/>
      <c r="I186" s="84"/>
      <c r="J186" s="92" t="str">
        <f>IF(AND(A186&lt;&gt;"",E186&lt;&gt;""),IF(I186="","⚠️ Enter Code",IF(IFERROR(VLOOKUP(H186,DB_Agents!$B:$I,8,0),"")=I186,IF(C186&gt;=E186,"Successful","Unsuccessful"),"🔒 BLOCKED — Wrong Code")),"—")</f>
        <v>—</v>
      </c>
      <c r="K186" s="93" t="str">
        <f t="shared" ca="1" si="17"/>
        <v>—</v>
      </c>
      <c r="L186" s="94"/>
    </row>
    <row r="187" spans="1:12" x14ac:dyDescent="0.25">
      <c r="A187" s="79"/>
      <c r="B187" s="21" t="str">
        <f>IF(A187="","",IFERROR(VLOOKUP(A187,DB_Customers!$A:$D,4,0),"❌ Account Not Found"))</f>
        <v/>
      </c>
      <c r="C187" s="80" t="str">
        <f>IF(A187="","",IFERROR(VLOOKUP(A187,DB_Customers!$A:$N,14,0),""))</f>
        <v/>
      </c>
      <c r="D187" s="81" t="str">
        <f t="shared" ca="1" si="15"/>
        <v/>
      </c>
      <c r="E187" s="97"/>
      <c r="F187" s="21"/>
      <c r="G187" s="98" t="str">
        <f t="shared" si="16"/>
        <v/>
      </c>
      <c r="H187" s="23"/>
      <c r="I187" s="84"/>
      <c r="J187" s="85" t="str">
        <f>IF(AND(A187&lt;&gt;"",E187&lt;&gt;""),IF(I187="","⚠️ Enter Code",IF(IFERROR(VLOOKUP(H187,DB_Agents!$B:$I,8,0),"")=I187,IF(C187&gt;=E187,"Successful","Unsuccessful"),"🔒 BLOCKED — Wrong Code")),"—")</f>
        <v>—</v>
      </c>
      <c r="K187" s="86" t="str">
        <f t="shared" ca="1" si="17"/>
        <v>—</v>
      </c>
      <c r="L187" s="87"/>
    </row>
    <row r="188" spans="1:12" x14ac:dyDescent="0.25">
      <c r="A188" s="88"/>
      <c r="B188" s="25" t="str">
        <f>IF(A188="","",IFERROR(VLOOKUP(A188,DB_Customers!$A:$D,4,0),"❌ Account Not Found"))</f>
        <v/>
      </c>
      <c r="C188" s="89" t="str">
        <f>IF(A188="","",IFERROR(VLOOKUP(A188,DB_Customers!$A:$N,14,0),""))</f>
        <v/>
      </c>
      <c r="D188" s="90" t="str">
        <f t="shared" ca="1" si="15"/>
        <v/>
      </c>
      <c r="E188" s="97"/>
      <c r="F188" s="25"/>
      <c r="G188" s="99" t="str">
        <f t="shared" si="16"/>
        <v/>
      </c>
      <c r="H188" s="27"/>
      <c r="I188" s="84"/>
      <c r="J188" s="92" t="str">
        <f>IF(AND(A188&lt;&gt;"",E188&lt;&gt;""),IF(I188="","⚠️ Enter Code",IF(IFERROR(VLOOKUP(H188,DB_Agents!$B:$I,8,0),"")=I188,IF(C188&gt;=E188,"Successful","Unsuccessful"),"🔒 BLOCKED — Wrong Code")),"—")</f>
        <v>—</v>
      </c>
      <c r="K188" s="93" t="str">
        <f t="shared" ca="1" si="17"/>
        <v>—</v>
      </c>
      <c r="L188" s="94"/>
    </row>
    <row r="189" spans="1:12" x14ac:dyDescent="0.25">
      <c r="A189" s="79"/>
      <c r="B189" s="21" t="str">
        <f>IF(A189="","",IFERROR(VLOOKUP(A189,DB_Customers!$A:$D,4,0),"❌ Account Not Found"))</f>
        <v/>
      </c>
      <c r="C189" s="80" t="str">
        <f>IF(A189="","",IFERROR(VLOOKUP(A189,DB_Customers!$A:$N,14,0),""))</f>
        <v/>
      </c>
      <c r="D189" s="81" t="str">
        <f t="shared" ca="1" si="15"/>
        <v/>
      </c>
      <c r="E189" s="97"/>
      <c r="F189" s="21"/>
      <c r="G189" s="98" t="str">
        <f t="shared" si="16"/>
        <v/>
      </c>
      <c r="H189" s="23"/>
      <c r="I189" s="84"/>
      <c r="J189" s="85" t="str">
        <f>IF(AND(A189&lt;&gt;"",E189&lt;&gt;""),IF(I189="","⚠️ Enter Code",IF(IFERROR(VLOOKUP(H189,DB_Agents!$B:$I,8,0),"")=I189,IF(C189&gt;=E189,"Successful","Unsuccessful"),"🔒 BLOCKED — Wrong Code")),"—")</f>
        <v>—</v>
      </c>
      <c r="K189" s="86" t="str">
        <f t="shared" ca="1" si="17"/>
        <v>—</v>
      </c>
      <c r="L189" s="87"/>
    </row>
    <row r="190" spans="1:12" x14ac:dyDescent="0.25">
      <c r="A190" s="88"/>
      <c r="B190" s="25" t="str">
        <f>IF(A190="","",IFERROR(VLOOKUP(A190,DB_Customers!$A:$D,4,0),"❌ Account Not Found"))</f>
        <v/>
      </c>
      <c r="C190" s="89" t="str">
        <f>IF(A190="","",IFERROR(VLOOKUP(A190,DB_Customers!$A:$N,14,0),""))</f>
        <v/>
      </c>
      <c r="D190" s="90" t="str">
        <f t="shared" ca="1" si="15"/>
        <v/>
      </c>
      <c r="E190" s="97"/>
      <c r="F190" s="25"/>
      <c r="G190" s="99" t="str">
        <f t="shared" si="16"/>
        <v/>
      </c>
      <c r="H190" s="27"/>
      <c r="I190" s="84"/>
      <c r="J190" s="92" t="str">
        <f>IF(AND(A190&lt;&gt;"",E190&lt;&gt;""),IF(I190="","⚠️ Enter Code",IF(IFERROR(VLOOKUP(H190,DB_Agents!$B:$I,8,0),"")=I190,IF(C190&gt;=E190,"Successful","Unsuccessful"),"🔒 BLOCKED — Wrong Code")),"—")</f>
        <v>—</v>
      </c>
      <c r="K190" s="93" t="str">
        <f t="shared" ca="1" si="17"/>
        <v>—</v>
      </c>
      <c r="L190" s="94"/>
    </row>
    <row r="191" spans="1:12" x14ac:dyDescent="0.25">
      <c r="A191" s="79"/>
      <c r="B191" s="21" t="str">
        <f>IF(A191="","",IFERROR(VLOOKUP(A191,DB_Customers!$A:$D,4,0),"❌ Account Not Found"))</f>
        <v/>
      </c>
      <c r="C191" s="80" t="str">
        <f>IF(A191="","",IFERROR(VLOOKUP(A191,DB_Customers!$A:$N,14,0),""))</f>
        <v/>
      </c>
      <c r="D191" s="81" t="str">
        <f t="shared" ca="1" si="15"/>
        <v/>
      </c>
      <c r="E191" s="97"/>
      <c r="F191" s="21"/>
      <c r="G191" s="98" t="str">
        <f t="shared" si="16"/>
        <v/>
      </c>
      <c r="H191" s="23"/>
      <c r="I191" s="84"/>
      <c r="J191" s="85" t="str">
        <f>IF(AND(A191&lt;&gt;"",E191&lt;&gt;""),IF(I191="","⚠️ Enter Code",IF(IFERROR(VLOOKUP(H191,DB_Agents!$B:$I,8,0),"")=I191,IF(C191&gt;=E191,"Successful","Unsuccessful"),"🔒 BLOCKED — Wrong Code")),"—")</f>
        <v>—</v>
      </c>
      <c r="K191" s="86" t="str">
        <f t="shared" ca="1" si="17"/>
        <v>—</v>
      </c>
      <c r="L191" s="87"/>
    </row>
    <row r="192" spans="1:12" x14ac:dyDescent="0.25">
      <c r="A192" s="88"/>
      <c r="B192" s="25" t="str">
        <f>IF(A192="","",IFERROR(VLOOKUP(A192,DB_Customers!$A:$D,4,0),"❌ Account Not Found"))</f>
        <v/>
      </c>
      <c r="C192" s="89" t="str">
        <f>IF(A192="","",IFERROR(VLOOKUP(A192,DB_Customers!$A:$N,14,0),""))</f>
        <v/>
      </c>
      <c r="D192" s="90" t="str">
        <f t="shared" ca="1" si="15"/>
        <v/>
      </c>
      <c r="E192" s="97"/>
      <c r="F192" s="25"/>
      <c r="G192" s="99" t="str">
        <f t="shared" si="16"/>
        <v/>
      </c>
      <c r="H192" s="27"/>
      <c r="I192" s="84"/>
      <c r="J192" s="92" t="str">
        <f>IF(AND(A192&lt;&gt;"",E192&lt;&gt;""),IF(I192="","⚠️ Enter Code",IF(IFERROR(VLOOKUP(H192,DB_Agents!$B:$I,8,0),"")=I192,IF(C192&gt;=E192,"Successful","Unsuccessful"),"🔒 BLOCKED — Wrong Code")),"—")</f>
        <v>—</v>
      </c>
      <c r="K192" s="93" t="str">
        <f t="shared" ca="1" si="17"/>
        <v>—</v>
      </c>
      <c r="L192" s="94"/>
    </row>
    <row r="193" spans="1:12" x14ac:dyDescent="0.25">
      <c r="A193" s="79"/>
      <c r="B193" s="21" t="str">
        <f>IF(A193="","",IFERROR(VLOOKUP(A193,DB_Customers!$A:$D,4,0),"❌ Account Not Found"))</f>
        <v/>
      </c>
      <c r="C193" s="80" t="str">
        <f>IF(A193="","",IFERROR(VLOOKUP(A193,DB_Customers!$A:$N,14,0),""))</f>
        <v/>
      </c>
      <c r="D193" s="81" t="str">
        <f t="shared" ca="1" si="15"/>
        <v/>
      </c>
      <c r="E193" s="97"/>
      <c r="F193" s="21"/>
      <c r="G193" s="98" t="str">
        <f t="shared" si="16"/>
        <v/>
      </c>
      <c r="H193" s="23"/>
      <c r="I193" s="84"/>
      <c r="J193" s="85" t="str">
        <f>IF(AND(A193&lt;&gt;"",E193&lt;&gt;""),IF(I193="","⚠️ Enter Code",IF(IFERROR(VLOOKUP(H193,DB_Agents!$B:$I,8,0),"")=I193,IF(C193&gt;=E193,"Successful","Unsuccessful"),"🔒 BLOCKED — Wrong Code")),"—")</f>
        <v>—</v>
      </c>
      <c r="K193" s="86" t="str">
        <f t="shared" ca="1" si="17"/>
        <v>—</v>
      </c>
      <c r="L193" s="87"/>
    </row>
    <row r="194" spans="1:12" x14ac:dyDescent="0.25">
      <c r="A194" s="88"/>
      <c r="B194" s="25" t="str">
        <f>IF(A194="","",IFERROR(VLOOKUP(A194,DB_Customers!$A:$D,4,0),"❌ Account Not Found"))</f>
        <v/>
      </c>
      <c r="C194" s="89" t="str">
        <f>IF(A194="","",IFERROR(VLOOKUP(A194,DB_Customers!$A:$N,14,0),""))</f>
        <v/>
      </c>
      <c r="D194" s="90" t="str">
        <f t="shared" ca="1" si="15"/>
        <v/>
      </c>
      <c r="E194" s="97"/>
      <c r="F194" s="25"/>
      <c r="G194" s="99" t="str">
        <f t="shared" si="16"/>
        <v/>
      </c>
      <c r="H194" s="27"/>
      <c r="I194" s="84"/>
      <c r="J194" s="92" t="str">
        <f>IF(AND(A194&lt;&gt;"",E194&lt;&gt;""),IF(I194="","⚠️ Enter Code",IF(IFERROR(VLOOKUP(H194,DB_Agents!$B:$I,8,0),"")=I194,IF(C194&gt;=E194,"Successful","Unsuccessful"),"🔒 BLOCKED — Wrong Code")),"—")</f>
        <v>—</v>
      </c>
      <c r="K194" s="93" t="str">
        <f t="shared" ca="1" si="17"/>
        <v>—</v>
      </c>
      <c r="L194" s="94"/>
    </row>
    <row r="195" spans="1:12" x14ac:dyDescent="0.25">
      <c r="A195" s="79"/>
      <c r="B195" s="21" t="str">
        <f>IF(A195="","",IFERROR(VLOOKUP(A195,DB_Customers!$A:$D,4,0),"❌ Account Not Found"))</f>
        <v/>
      </c>
      <c r="C195" s="80" t="str">
        <f>IF(A195="","",IFERROR(VLOOKUP(A195,DB_Customers!$A:$N,14,0),""))</f>
        <v/>
      </c>
      <c r="D195" s="81" t="str">
        <f t="shared" ca="1" si="15"/>
        <v/>
      </c>
      <c r="E195" s="97"/>
      <c r="F195" s="21"/>
      <c r="G195" s="98" t="str">
        <f t="shared" si="16"/>
        <v/>
      </c>
      <c r="H195" s="23"/>
      <c r="I195" s="84"/>
      <c r="J195" s="85" t="str">
        <f>IF(AND(A195&lt;&gt;"",E195&lt;&gt;""),IF(I195="","⚠️ Enter Code",IF(IFERROR(VLOOKUP(H195,DB_Agents!$B:$I,8,0),"")=I195,IF(C195&gt;=E195,"Successful","Unsuccessful"),"🔒 BLOCKED — Wrong Code")),"—")</f>
        <v>—</v>
      </c>
      <c r="K195" s="86" t="str">
        <f t="shared" ca="1" si="17"/>
        <v>—</v>
      </c>
      <c r="L195" s="87"/>
    </row>
    <row r="196" spans="1:12" x14ac:dyDescent="0.25">
      <c r="A196" s="88"/>
      <c r="B196" s="25" t="str">
        <f>IF(A196="","",IFERROR(VLOOKUP(A196,DB_Customers!$A:$D,4,0),"❌ Account Not Found"))</f>
        <v/>
      </c>
      <c r="C196" s="89" t="str">
        <f>IF(A196="","",IFERROR(VLOOKUP(A196,DB_Customers!$A:$N,14,0),""))</f>
        <v/>
      </c>
      <c r="D196" s="90" t="str">
        <f t="shared" ca="1" si="15"/>
        <v/>
      </c>
      <c r="E196" s="97"/>
      <c r="F196" s="25"/>
      <c r="G196" s="99" t="str">
        <f t="shared" si="16"/>
        <v/>
      </c>
      <c r="H196" s="27"/>
      <c r="I196" s="84"/>
      <c r="J196" s="92" t="str">
        <f>IF(AND(A196&lt;&gt;"",E196&lt;&gt;""),IF(I196="","⚠️ Enter Code",IF(IFERROR(VLOOKUP(H196,DB_Agents!$B:$I,8,0),"")=I196,IF(C196&gt;=E196,"Successful","Unsuccessful"),"🔒 BLOCKED — Wrong Code")),"—")</f>
        <v>—</v>
      </c>
      <c r="K196" s="93" t="str">
        <f t="shared" ca="1" si="17"/>
        <v>—</v>
      </c>
      <c r="L196" s="94"/>
    </row>
    <row r="197" spans="1:12" x14ac:dyDescent="0.25">
      <c r="A197" s="79"/>
      <c r="B197" s="21" t="str">
        <f>IF(A197="","",IFERROR(VLOOKUP(A197,DB_Customers!$A:$D,4,0),"❌ Account Not Found"))</f>
        <v/>
      </c>
      <c r="C197" s="80" t="str">
        <f>IF(A197="","",IFERROR(VLOOKUP(A197,DB_Customers!$A:$N,14,0),""))</f>
        <v/>
      </c>
      <c r="D197" s="81" t="str">
        <f t="shared" ca="1" si="15"/>
        <v/>
      </c>
      <c r="E197" s="97"/>
      <c r="F197" s="21"/>
      <c r="G197" s="98" t="str">
        <f t="shared" si="16"/>
        <v/>
      </c>
      <c r="H197" s="23"/>
      <c r="I197" s="84"/>
      <c r="J197" s="85" t="str">
        <f>IF(AND(A197&lt;&gt;"",E197&lt;&gt;""),IF(I197="","⚠️ Enter Code",IF(IFERROR(VLOOKUP(H197,DB_Agents!$B:$I,8,0),"")=I197,IF(C197&gt;=E197,"Successful","Unsuccessful"),"🔒 BLOCKED — Wrong Code")),"—")</f>
        <v>—</v>
      </c>
      <c r="K197" s="86" t="str">
        <f t="shared" ca="1" si="17"/>
        <v>—</v>
      </c>
      <c r="L197" s="87"/>
    </row>
    <row r="198" spans="1:12" x14ac:dyDescent="0.25">
      <c r="A198" s="88"/>
      <c r="B198" s="25" t="str">
        <f>IF(A198="","",IFERROR(VLOOKUP(A198,DB_Customers!$A:$D,4,0),"❌ Account Not Found"))</f>
        <v/>
      </c>
      <c r="C198" s="89" t="str">
        <f>IF(A198="","",IFERROR(VLOOKUP(A198,DB_Customers!$A:$N,14,0),""))</f>
        <v/>
      </c>
      <c r="D198" s="90" t="str">
        <f t="shared" ca="1" si="15"/>
        <v/>
      </c>
      <c r="E198" s="97"/>
      <c r="F198" s="25"/>
      <c r="G198" s="99" t="str">
        <f t="shared" si="16"/>
        <v/>
      </c>
      <c r="H198" s="27"/>
      <c r="I198" s="84"/>
      <c r="J198" s="92" t="str">
        <f>IF(AND(A198&lt;&gt;"",E198&lt;&gt;""),IF(I198="","⚠️ Enter Code",IF(IFERROR(VLOOKUP(H198,DB_Agents!$B:$I,8,0),"")=I198,IF(C198&gt;=E198,"Successful","Unsuccessful"),"🔒 BLOCKED — Wrong Code")),"—")</f>
        <v>—</v>
      </c>
      <c r="K198" s="93" t="str">
        <f t="shared" ca="1" si="17"/>
        <v>—</v>
      </c>
      <c r="L198" s="94"/>
    </row>
    <row r="199" spans="1:12" x14ac:dyDescent="0.25">
      <c r="A199" s="79"/>
      <c r="B199" s="21" t="str">
        <f>IF(A199="","",IFERROR(VLOOKUP(A199,DB_Customers!$A:$D,4,0),"❌ Account Not Found"))</f>
        <v/>
      </c>
      <c r="C199" s="80" t="str">
        <f>IF(A199="","",IFERROR(VLOOKUP(A199,DB_Customers!$A:$N,14,0),""))</f>
        <v/>
      </c>
      <c r="D199" s="81" t="str">
        <f t="shared" ca="1" si="15"/>
        <v/>
      </c>
      <c r="E199" s="97"/>
      <c r="F199" s="21"/>
      <c r="G199" s="98" t="str">
        <f t="shared" si="16"/>
        <v/>
      </c>
      <c r="H199" s="23"/>
      <c r="I199" s="84"/>
      <c r="J199" s="85" t="str">
        <f>IF(AND(A199&lt;&gt;"",E199&lt;&gt;""),IF(I199="","⚠️ Enter Code",IF(IFERROR(VLOOKUP(H199,DB_Agents!$B:$I,8,0),"")=I199,IF(C199&gt;=E199,"Successful","Unsuccessful"),"🔒 BLOCKED — Wrong Code")),"—")</f>
        <v>—</v>
      </c>
      <c r="K199" s="86" t="str">
        <f t="shared" ca="1" si="17"/>
        <v>—</v>
      </c>
      <c r="L199" s="87"/>
    </row>
    <row r="200" spans="1:12" x14ac:dyDescent="0.25">
      <c r="A200" s="88"/>
      <c r="B200" s="25" t="str">
        <f>IF(A200="","",IFERROR(VLOOKUP(A200,DB_Customers!$A:$D,4,0),"❌ Account Not Found"))</f>
        <v/>
      </c>
      <c r="C200" s="89" t="str">
        <f>IF(A200="","",IFERROR(VLOOKUP(A200,DB_Customers!$A:$N,14,0),""))</f>
        <v/>
      </c>
      <c r="D200" s="90" t="str">
        <f t="shared" ca="1" si="15"/>
        <v/>
      </c>
      <c r="E200" s="97"/>
      <c r="F200" s="25"/>
      <c r="G200" s="99" t="str">
        <f t="shared" si="16"/>
        <v/>
      </c>
      <c r="H200" s="27"/>
      <c r="I200" s="84"/>
      <c r="J200" s="92" t="str">
        <f>IF(AND(A200&lt;&gt;"",E200&lt;&gt;""),IF(I200="","⚠️ Enter Code",IF(IFERROR(VLOOKUP(H200,DB_Agents!$B:$I,8,0),"")=I200,IF(C200&gt;=E200,"Successful","Unsuccessful"),"🔒 BLOCKED — Wrong Code")),"—")</f>
        <v>—</v>
      </c>
      <c r="K200" s="93" t="str">
        <f t="shared" ca="1" si="17"/>
        <v>—</v>
      </c>
      <c r="L200" s="94"/>
    </row>
    <row r="201" spans="1:12" x14ac:dyDescent="0.25">
      <c r="A201" s="79"/>
      <c r="B201" s="21" t="str">
        <f>IF(A201="","",IFERROR(VLOOKUP(A201,DB_Customers!$A:$D,4,0),"❌ Account Not Found"))</f>
        <v/>
      </c>
      <c r="C201" s="80" t="str">
        <f>IF(A201="","",IFERROR(VLOOKUP(A201,DB_Customers!$A:$N,14,0),""))</f>
        <v/>
      </c>
      <c r="D201" s="81" t="str">
        <f t="shared" ref="D201:D208" ca="1" si="18">IF(A201="","",TODAY())</f>
        <v/>
      </c>
      <c r="E201" s="97"/>
      <c r="F201" s="21"/>
      <c r="G201" s="98" t="str">
        <f t="shared" ref="G201:G208" si="19">IF(OR(A201="",E201=""),"",IF(C201="","",C201-E201))</f>
        <v/>
      </c>
      <c r="H201" s="23"/>
      <c r="I201" s="84"/>
      <c r="J201" s="85" t="str">
        <f>IF(AND(A201&lt;&gt;"",E201&lt;&gt;""),IF(I201="","⚠️ Enter Code",IF(IFERROR(VLOOKUP(H201,DB_Agents!$B:$I,8,0),"")=I201,IF(C201&gt;=E201,"Successful","Unsuccessful"),"🔒 BLOCKED — Wrong Code")),"—")</f>
        <v>—</v>
      </c>
      <c r="K201" s="86" t="str">
        <f t="shared" ref="K201:K232" ca="1" si="20">IF(J201="Successful",TEXT(TODAY(),"YYYY-MM-DD")&amp;" Auto","—")</f>
        <v>—</v>
      </c>
      <c r="L201" s="87"/>
    </row>
    <row r="202" spans="1:12" x14ac:dyDescent="0.25">
      <c r="A202" s="88"/>
      <c r="B202" s="25" t="str">
        <f>IF(A202="","",IFERROR(VLOOKUP(A202,DB_Customers!$A:$D,4,0),"❌ Account Not Found"))</f>
        <v/>
      </c>
      <c r="C202" s="89" t="str">
        <f>IF(A202="","",IFERROR(VLOOKUP(A202,DB_Customers!$A:$N,14,0),""))</f>
        <v/>
      </c>
      <c r="D202" s="90" t="str">
        <f t="shared" ca="1" si="18"/>
        <v/>
      </c>
      <c r="E202" s="97"/>
      <c r="F202" s="25"/>
      <c r="G202" s="99" t="str">
        <f t="shared" si="19"/>
        <v/>
      </c>
      <c r="H202" s="27"/>
      <c r="I202" s="84"/>
      <c r="J202" s="92" t="str">
        <f>IF(AND(A202&lt;&gt;"",E202&lt;&gt;""),IF(I202="","⚠️ Enter Code",IF(IFERROR(VLOOKUP(H202,DB_Agents!$B:$I,8,0),"")=I202,IF(C202&gt;=E202,"Successful","Unsuccessful"),"🔒 BLOCKED — Wrong Code")),"—")</f>
        <v>—</v>
      </c>
      <c r="K202" s="93" t="str">
        <f t="shared" ca="1" si="20"/>
        <v>—</v>
      </c>
      <c r="L202" s="94"/>
    </row>
    <row r="203" spans="1:12" x14ac:dyDescent="0.25">
      <c r="A203" s="79"/>
      <c r="B203" s="21" t="str">
        <f>IF(A203="","",IFERROR(VLOOKUP(A203,DB_Customers!$A:$D,4,0),"❌ Account Not Found"))</f>
        <v/>
      </c>
      <c r="C203" s="80" t="str">
        <f>IF(A203="","",IFERROR(VLOOKUP(A203,DB_Customers!$A:$N,14,0),""))</f>
        <v/>
      </c>
      <c r="D203" s="81" t="str">
        <f t="shared" ca="1" si="18"/>
        <v/>
      </c>
      <c r="E203" s="97"/>
      <c r="F203" s="21"/>
      <c r="G203" s="98" t="str">
        <f t="shared" si="19"/>
        <v/>
      </c>
      <c r="H203" s="23"/>
      <c r="I203" s="84"/>
      <c r="J203" s="85" t="str">
        <f>IF(AND(A203&lt;&gt;"",E203&lt;&gt;""),IF(I203="","⚠️ Enter Code",IF(IFERROR(VLOOKUP(H203,DB_Agents!$B:$I,8,0),"")=I203,IF(C203&gt;=E203,"Successful","Unsuccessful"),"🔒 BLOCKED — Wrong Code")),"—")</f>
        <v>—</v>
      </c>
      <c r="K203" s="86" t="str">
        <f t="shared" ca="1" si="20"/>
        <v>—</v>
      </c>
      <c r="L203" s="87"/>
    </row>
    <row r="204" spans="1:12" x14ac:dyDescent="0.25">
      <c r="A204" s="88"/>
      <c r="B204" s="25" t="str">
        <f>IF(A204="","",IFERROR(VLOOKUP(A204,DB_Customers!$A:$D,4,0),"❌ Account Not Found"))</f>
        <v/>
      </c>
      <c r="C204" s="89" t="str">
        <f>IF(A204="","",IFERROR(VLOOKUP(A204,DB_Customers!$A:$N,14,0),""))</f>
        <v/>
      </c>
      <c r="D204" s="90" t="str">
        <f t="shared" ca="1" si="18"/>
        <v/>
      </c>
      <c r="E204" s="97"/>
      <c r="F204" s="25"/>
      <c r="G204" s="99" t="str">
        <f t="shared" si="19"/>
        <v/>
      </c>
      <c r="H204" s="27"/>
      <c r="I204" s="84"/>
      <c r="J204" s="92" t="str">
        <f>IF(AND(A204&lt;&gt;"",E204&lt;&gt;""),IF(I204="","⚠️ Enter Code",IF(IFERROR(VLOOKUP(H204,DB_Agents!$B:$I,8,0),"")=I204,IF(C204&gt;=E204,"Successful","Unsuccessful"),"🔒 BLOCKED — Wrong Code")),"—")</f>
        <v>—</v>
      </c>
      <c r="K204" s="93" t="str">
        <f t="shared" ca="1" si="20"/>
        <v>—</v>
      </c>
      <c r="L204" s="94"/>
    </row>
    <row r="205" spans="1:12" x14ac:dyDescent="0.25">
      <c r="A205" s="79"/>
      <c r="B205" s="21" t="str">
        <f>IF(A205="","",IFERROR(VLOOKUP(A205,DB_Customers!$A:$D,4,0),"❌ Account Not Found"))</f>
        <v/>
      </c>
      <c r="C205" s="80" t="str">
        <f>IF(A205="","",IFERROR(VLOOKUP(A205,DB_Customers!$A:$N,14,0),""))</f>
        <v/>
      </c>
      <c r="D205" s="81" t="str">
        <f t="shared" ca="1" si="18"/>
        <v/>
      </c>
      <c r="E205" s="97"/>
      <c r="F205" s="21"/>
      <c r="G205" s="98" t="str">
        <f t="shared" si="19"/>
        <v/>
      </c>
      <c r="H205" s="23"/>
      <c r="I205" s="84"/>
      <c r="J205" s="85" t="str">
        <f>IF(AND(A205&lt;&gt;"",E205&lt;&gt;""),IF(I205="","⚠️ Enter Code",IF(IFERROR(VLOOKUP(H205,DB_Agents!$B:$I,8,0),"")=I205,IF(C205&gt;=E205,"Successful","Unsuccessful"),"🔒 BLOCKED — Wrong Code")),"—")</f>
        <v>—</v>
      </c>
      <c r="K205" s="86" t="str">
        <f t="shared" ca="1" si="20"/>
        <v>—</v>
      </c>
      <c r="L205" s="87"/>
    </row>
    <row r="206" spans="1:12" x14ac:dyDescent="0.25">
      <c r="A206" s="88"/>
      <c r="B206" s="25" t="str">
        <f>IF(A206="","",IFERROR(VLOOKUP(A206,DB_Customers!$A:$D,4,0),"❌ Account Not Found"))</f>
        <v/>
      </c>
      <c r="C206" s="89" t="str">
        <f>IF(A206="","",IFERROR(VLOOKUP(A206,DB_Customers!$A:$N,14,0),""))</f>
        <v/>
      </c>
      <c r="D206" s="90" t="str">
        <f t="shared" ca="1" si="18"/>
        <v/>
      </c>
      <c r="E206" s="97"/>
      <c r="F206" s="25"/>
      <c r="G206" s="99" t="str">
        <f t="shared" si="19"/>
        <v/>
      </c>
      <c r="H206" s="27"/>
      <c r="I206" s="84"/>
      <c r="J206" s="92" t="str">
        <f>IF(AND(A206&lt;&gt;"",E206&lt;&gt;""),IF(I206="","⚠️ Enter Code",IF(IFERROR(VLOOKUP(H206,DB_Agents!$B:$I,8,0),"")=I206,IF(C206&gt;=E206,"Successful","Unsuccessful"),"🔒 BLOCKED — Wrong Code")),"—")</f>
        <v>—</v>
      </c>
      <c r="K206" s="93" t="str">
        <f t="shared" ca="1" si="20"/>
        <v>—</v>
      </c>
      <c r="L206" s="94"/>
    </row>
    <row r="207" spans="1:12" x14ac:dyDescent="0.25">
      <c r="A207" s="79"/>
      <c r="B207" s="21" t="str">
        <f>IF(A207="","",IFERROR(VLOOKUP(A207,DB_Customers!$A:$D,4,0),"❌ Account Not Found"))</f>
        <v/>
      </c>
      <c r="C207" s="80" t="str">
        <f>IF(A207="","",IFERROR(VLOOKUP(A207,DB_Customers!$A:$N,14,0),""))</f>
        <v/>
      </c>
      <c r="D207" s="81" t="str">
        <f t="shared" ca="1" si="18"/>
        <v/>
      </c>
      <c r="E207" s="97"/>
      <c r="F207" s="21"/>
      <c r="G207" s="98" t="str">
        <f t="shared" si="19"/>
        <v/>
      </c>
      <c r="H207" s="23"/>
      <c r="I207" s="84"/>
      <c r="J207" s="85" t="str">
        <f>IF(AND(A207&lt;&gt;"",E207&lt;&gt;""),IF(I207="","⚠️ Enter Code",IF(IFERROR(VLOOKUP(H207,DB_Agents!$B:$I,8,0),"")=I207,IF(C207&gt;=E207,"Successful","Unsuccessful"),"🔒 BLOCKED — Wrong Code")),"—")</f>
        <v>—</v>
      </c>
      <c r="K207" s="86" t="str">
        <f t="shared" ca="1" si="20"/>
        <v>—</v>
      </c>
      <c r="L207" s="87"/>
    </row>
    <row r="208" spans="1:12" x14ac:dyDescent="0.25">
      <c r="A208" s="88"/>
      <c r="B208" s="25" t="str">
        <f>IF(A208="","",IFERROR(VLOOKUP(A208,DB_Customers!$A:$D,4,0),"❌ Account Not Found"))</f>
        <v/>
      </c>
      <c r="C208" s="89" t="str">
        <f>IF(A208="","",IFERROR(VLOOKUP(A208,DB_Customers!$A:$N,14,0),""))</f>
        <v/>
      </c>
      <c r="D208" s="90" t="str">
        <f t="shared" ca="1" si="18"/>
        <v/>
      </c>
      <c r="E208" s="97"/>
      <c r="F208" s="25"/>
      <c r="G208" s="99" t="str">
        <f t="shared" si="19"/>
        <v/>
      </c>
      <c r="H208" s="27"/>
      <c r="I208" s="84"/>
      <c r="J208" s="92" t="str">
        <f>IF(AND(A208&lt;&gt;"",E208&lt;&gt;""),IF(I208="","⚠️ Enter Code",IF(IFERROR(VLOOKUP(H208,DB_Agents!$B:$I,8,0),"")=I208,IF(C208&gt;=E208,"Successful","Unsuccessful"),"🔒 BLOCKED — Wrong Code")),"—")</f>
        <v>—</v>
      </c>
      <c r="K208" s="93" t="str">
        <f t="shared" ca="1" si="20"/>
        <v>—</v>
      </c>
      <c r="L208" s="94"/>
    </row>
  </sheetData>
  <mergeCells count="8">
    <mergeCell ref="A5:M5"/>
    <mergeCell ref="A7:M7"/>
    <mergeCell ref="A1:M1"/>
    <mergeCell ref="A2:M2"/>
    <mergeCell ref="A3:C3"/>
    <mergeCell ref="D3:F3"/>
    <mergeCell ref="A4:C4"/>
    <mergeCell ref="D4:F4"/>
  </mergeCells>
  <conditionalFormatting sqref="I9:I208">
    <cfRule type="cellIs" dxfId="99" priority="2" operator="equal">
      <formula>"Successful"</formula>
    </cfRule>
    <cfRule type="cellIs" dxfId="98" priority="3" operator="equal">
      <formula>"Unsuccessful"</formula>
    </cfRule>
  </conditionalFormatting>
  <conditionalFormatting sqref="A9:K208">
    <cfRule type="expression" dxfId="97" priority="4">
      <formula>$I9="Unsuccessful"</formula>
    </cfRule>
  </conditionalFormatting>
  <conditionalFormatting sqref="G9:G208">
    <cfRule type="cellIs" dxfId="96" priority="5" operator="lessThan">
      <formula>0</formula>
    </cfRule>
  </conditionalFormatting>
  <dataValidations count="1">
    <dataValidation type="list" sqref="H9:H208" xr:uid="{00000000-0002-0000-0600-000000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E67E22"/>
  </sheetPr>
  <dimension ref="A1:N213"/>
  <sheetViews>
    <sheetView zoomScaleNormal="100" workbookViewId="0">
      <pane ySplit="13" topLeftCell="A14" activePane="bottomLeft" state="frozen"/>
      <selection pane="bottomLeft" activeCell="B6" sqref="B6"/>
    </sheetView>
  </sheetViews>
  <sheetFormatPr defaultColWidth="8.7109375" defaultRowHeight="15" x14ac:dyDescent="0.25"/>
  <cols>
    <col min="1" max="1" width="22" customWidth="1"/>
    <col min="2" max="2" width="16" customWidth="1"/>
    <col min="3" max="3" width="22" customWidth="1"/>
    <col min="4" max="4" width="13" customWidth="1"/>
    <col min="5" max="5" width="14" customWidth="1"/>
    <col min="6" max="6" width="22" customWidth="1"/>
    <col min="7" max="7" width="9" customWidth="1"/>
    <col min="8" max="8" width="8" customWidth="1"/>
    <col min="9" max="9" width="16" customWidth="1"/>
    <col min="10" max="10" width="15" customWidth="1"/>
    <col min="11" max="11" width="14" customWidth="1"/>
    <col min="12" max="12" width="12" customWidth="1"/>
    <col min="13" max="13" width="14" customWidth="1"/>
  </cols>
  <sheetData>
    <row r="1" spans="1:14" ht="31.5" customHeight="1" x14ac:dyDescent="0.25">
      <c r="A1" s="216" t="s">
        <v>188</v>
      </c>
      <c r="B1" s="216"/>
      <c r="C1" s="216"/>
      <c r="D1" s="216"/>
      <c r="E1" s="216"/>
      <c r="F1" s="216"/>
      <c r="G1" s="216"/>
      <c r="H1" s="216"/>
      <c r="I1" s="216"/>
      <c r="J1" s="216"/>
      <c r="K1" s="216"/>
      <c r="L1" s="216"/>
      <c r="M1" s="216"/>
      <c r="N1" s="216"/>
    </row>
    <row r="2" spans="1:14" ht="19.5" customHeight="1" x14ac:dyDescent="0.25">
      <c r="A2" s="217" t="s">
        <v>189</v>
      </c>
      <c r="B2" s="217"/>
      <c r="C2" s="217"/>
      <c r="D2" s="217"/>
      <c r="E2" s="217"/>
      <c r="F2" s="217"/>
      <c r="G2" s="217"/>
      <c r="H2" s="217"/>
      <c r="I2" s="217"/>
      <c r="J2" s="217"/>
      <c r="K2" s="217"/>
      <c r="L2" s="217"/>
      <c r="M2" s="217"/>
      <c r="N2" s="217"/>
    </row>
    <row r="4" spans="1:14" ht="21.75" customHeight="1" x14ac:dyDescent="0.25">
      <c r="A4" s="218" t="s">
        <v>190</v>
      </c>
      <c r="B4" s="218"/>
      <c r="C4" s="218"/>
      <c r="D4" s="218"/>
    </row>
    <row r="5" spans="1:14" ht="19.5" customHeight="1" x14ac:dyDescent="0.25">
      <c r="A5" s="101" t="s">
        <v>191</v>
      </c>
      <c r="B5" s="219"/>
      <c r="C5" s="219"/>
      <c r="D5" s="219"/>
    </row>
    <row r="6" spans="1:14" ht="19.5" customHeight="1" x14ac:dyDescent="0.25">
      <c r="A6" s="101" t="s">
        <v>192</v>
      </c>
      <c r="B6" s="219"/>
      <c r="C6" s="219"/>
      <c r="D6" s="219"/>
    </row>
    <row r="7" spans="1:14" ht="19.5" customHeight="1" x14ac:dyDescent="0.25">
      <c r="A7" s="102" t="s">
        <v>193</v>
      </c>
      <c r="B7" s="220">
        <v>2.5</v>
      </c>
      <c r="C7" s="220"/>
      <c r="D7" s="220"/>
    </row>
    <row r="8" spans="1:14" ht="19.5" customHeight="1" x14ac:dyDescent="0.25">
      <c r="A8" s="102" t="s">
        <v>194</v>
      </c>
      <c r="B8" s="221" t="str">
        <f>IF(B5="","",B5*B7/100*B6)</f>
        <v/>
      </c>
      <c r="C8" s="221"/>
      <c r="D8" s="221"/>
    </row>
    <row r="9" spans="1:14" ht="19.5" customHeight="1" x14ac:dyDescent="0.25">
      <c r="A9" s="102"/>
      <c r="B9" s="222" t="str">
        <f>IF(B5="","",B5+(B5*B7/100*B6))</f>
        <v/>
      </c>
      <c r="C9" s="222"/>
      <c r="D9" s="222"/>
    </row>
    <row r="10" spans="1:14" ht="19.5" customHeight="1" x14ac:dyDescent="0.25">
      <c r="A10" s="102"/>
      <c r="B10" s="222" t="str">
        <f>IFERROR(B9/B6,"")</f>
        <v/>
      </c>
      <c r="C10" s="222"/>
      <c r="D10" s="222"/>
    </row>
    <row r="11" spans="1:14" ht="7.5" customHeight="1" x14ac:dyDescent="0.25"/>
    <row r="12" spans="1:14" ht="21.75" customHeight="1" x14ac:dyDescent="0.25">
      <c r="A12" s="223"/>
      <c r="B12" s="223"/>
      <c r="C12" s="223"/>
      <c r="D12" s="223"/>
      <c r="E12" s="223"/>
      <c r="F12" s="223"/>
      <c r="G12" s="223"/>
      <c r="H12" s="223"/>
      <c r="I12" s="223"/>
      <c r="J12" s="223"/>
      <c r="K12" s="223"/>
      <c r="L12" s="223"/>
      <c r="M12" s="223"/>
      <c r="N12" s="223"/>
    </row>
    <row r="13" spans="1:14" ht="19.5" customHeight="1" x14ac:dyDescent="0.25">
      <c r="A13" s="103"/>
      <c r="B13" s="103"/>
      <c r="C13" s="103"/>
      <c r="D13" s="103"/>
      <c r="E13" s="103"/>
      <c r="F13" s="103"/>
      <c r="G13" s="103"/>
      <c r="H13" s="103"/>
      <c r="I13" s="103"/>
      <c r="J13" s="103"/>
      <c r="K13" s="103"/>
      <c r="L13" s="103" t="s">
        <v>32</v>
      </c>
      <c r="M13" s="78"/>
      <c r="N13" s="103"/>
    </row>
    <row r="14" spans="1:14" x14ac:dyDescent="0.25">
      <c r="A14" s="92" t="str">
        <f t="shared" ref="A14:A45" si="0">IF(B14="","",IF(C14="❌ Account Not Found","INVALID","LN"&amp;TEXT(D14,"YYYYMMDD")&amp;TEXT(ROW()-13,"0000")))</f>
        <v/>
      </c>
      <c r="B14" s="88"/>
      <c r="C14" s="25" t="str">
        <f>IF(B14="","",IFERROR(VLOOKUP(B14,DB_Customers!$A:$D,4,0),"❌ Account Not Found"))</f>
        <v/>
      </c>
      <c r="D14" s="90" t="str">
        <f t="shared" ref="D14:D45" ca="1" si="1">IF(B14="","",TODAY())</f>
        <v/>
      </c>
      <c r="E14" s="104"/>
      <c r="F14" s="25"/>
      <c r="G14" s="105"/>
      <c r="H14" s="106"/>
      <c r="I14" s="107" t="str">
        <f t="shared" ref="I14:I45" si="2">IF(E14="","",E14+(E14*H14/100*G14))</f>
        <v/>
      </c>
      <c r="J14" s="108" t="str">
        <f t="shared" ref="J14:J45" si="3">IFERROR(I14/G14,"")</f>
        <v/>
      </c>
      <c r="K14" s="109" t="str">
        <f>IF(B14="","Pending",IF(M14="","⚠️ Enter Code",IF(IFERROR(VLOOKUP(L14,DB_Agents!$B:$I,8,0),"")=M14,"Pending","🔒 BLOCKED — Wrong Code")))</f>
        <v>Pending</v>
      </c>
      <c r="L14" s="27" t="s">
        <v>41</v>
      </c>
      <c r="M14" s="84"/>
      <c r="N14" s="94"/>
    </row>
    <row r="15" spans="1:14" x14ac:dyDescent="0.25">
      <c r="A15" s="85" t="str">
        <f t="shared" si="0"/>
        <v/>
      </c>
      <c r="B15" s="79"/>
      <c r="C15" s="21" t="str">
        <f>IF(B15="","",IFERROR(VLOOKUP(B15,DB_Customers!$A:$D,4,0),"❌ Account Not Found"))</f>
        <v/>
      </c>
      <c r="D15" s="81" t="str">
        <f t="shared" ca="1" si="1"/>
        <v/>
      </c>
      <c r="E15" s="104"/>
      <c r="F15" s="21"/>
      <c r="G15" s="110"/>
      <c r="H15" s="111"/>
      <c r="I15" s="107" t="str">
        <f t="shared" si="2"/>
        <v/>
      </c>
      <c r="J15" s="112" t="str">
        <f t="shared" si="3"/>
        <v/>
      </c>
      <c r="K15" s="113" t="str">
        <f>IF(B15="","Pending",IF(M15="","⚠️ Enter Code",IF(IFERROR(VLOOKUP(L15,DB_Agents!$B:$I,8,0),"")=M15,"Pending","🔒 BLOCKED — Wrong Code")))</f>
        <v>Pending</v>
      </c>
      <c r="L15" s="23" t="s">
        <v>41</v>
      </c>
      <c r="M15" s="84"/>
      <c r="N15" s="87"/>
    </row>
    <row r="16" spans="1:14" x14ac:dyDescent="0.25">
      <c r="A16" s="92" t="str">
        <f t="shared" si="0"/>
        <v/>
      </c>
      <c r="B16" s="88"/>
      <c r="C16" s="25" t="str">
        <f>IF(B16="","",IFERROR(VLOOKUP(B16,DB_Customers!$A:$D,4,0),"❌ Account Not Found"))</f>
        <v/>
      </c>
      <c r="D16" s="90" t="str">
        <f t="shared" ca="1" si="1"/>
        <v/>
      </c>
      <c r="E16" s="104"/>
      <c r="F16" s="25"/>
      <c r="G16" s="105"/>
      <c r="H16" s="106"/>
      <c r="I16" s="107" t="str">
        <f t="shared" si="2"/>
        <v/>
      </c>
      <c r="J16" s="108" t="str">
        <f t="shared" si="3"/>
        <v/>
      </c>
      <c r="K16" s="109" t="str">
        <f>IF(B16="","Pending",IF(M16="","⚠️ Enter Code",IF(IFERROR(VLOOKUP(L16,DB_Agents!$B:$I,8,0),"")=M16,"Pending","🔒 BLOCKED — Wrong Code")))</f>
        <v>Pending</v>
      </c>
      <c r="L16" s="27" t="s">
        <v>41</v>
      </c>
      <c r="M16" s="84"/>
      <c r="N16" s="94"/>
    </row>
    <row r="17" spans="1:14" x14ac:dyDescent="0.25">
      <c r="A17" s="85" t="str">
        <f t="shared" si="0"/>
        <v/>
      </c>
      <c r="B17" s="79"/>
      <c r="C17" s="21" t="str">
        <f>IF(B17="","",IFERROR(VLOOKUP(B17,DB_Customers!$A:$D,4,0),"❌ Account Not Found"))</f>
        <v/>
      </c>
      <c r="D17" s="81" t="str">
        <f t="shared" ca="1" si="1"/>
        <v/>
      </c>
      <c r="E17" s="104"/>
      <c r="F17" s="21"/>
      <c r="G17" s="110"/>
      <c r="H17" s="111"/>
      <c r="I17" s="107" t="str">
        <f t="shared" si="2"/>
        <v/>
      </c>
      <c r="J17" s="112" t="str">
        <f t="shared" si="3"/>
        <v/>
      </c>
      <c r="K17" s="113" t="str">
        <f>IF(B17="","Pending",IF(M17="","⚠️ Enter Code",IF(IFERROR(VLOOKUP(L17,DB_Agents!$B:$I,8,0),"")=M17,"Pending","🔒 BLOCKED — Wrong Code")))</f>
        <v>Pending</v>
      </c>
      <c r="L17" s="23" t="s">
        <v>41</v>
      </c>
      <c r="M17" s="84"/>
      <c r="N17" s="87"/>
    </row>
    <row r="18" spans="1:14" x14ac:dyDescent="0.25">
      <c r="A18" s="92" t="str">
        <f t="shared" si="0"/>
        <v/>
      </c>
      <c r="B18" s="88"/>
      <c r="C18" s="25" t="str">
        <f>IF(B18="","",IFERROR(VLOOKUP(B18,DB_Customers!$A:$D,4,0),"❌ Account Not Found"))</f>
        <v/>
      </c>
      <c r="D18" s="90" t="str">
        <f t="shared" ca="1" si="1"/>
        <v/>
      </c>
      <c r="E18" s="104"/>
      <c r="F18" s="25"/>
      <c r="G18" s="105"/>
      <c r="H18" s="106"/>
      <c r="I18" s="107" t="str">
        <f t="shared" si="2"/>
        <v/>
      </c>
      <c r="J18" s="108" t="str">
        <f t="shared" si="3"/>
        <v/>
      </c>
      <c r="K18" s="109" t="str">
        <f>IF(B18="","Pending",IF(M18="","⚠️ Enter Code",IF(IFERROR(VLOOKUP(L18,DB_Agents!$B:$I,8,0),"")=M18,"Pending","🔒 BLOCKED — Wrong Code")))</f>
        <v>Pending</v>
      </c>
      <c r="L18" s="27" t="s">
        <v>41</v>
      </c>
      <c r="M18" s="84"/>
      <c r="N18" s="94"/>
    </row>
    <row r="19" spans="1:14" x14ac:dyDescent="0.25">
      <c r="A19" s="85" t="str">
        <f t="shared" si="0"/>
        <v/>
      </c>
      <c r="B19" s="79"/>
      <c r="C19" s="21" t="str">
        <f>IF(B19="","",IFERROR(VLOOKUP(B19,DB_Customers!$A:$D,4,0),"❌ Account Not Found"))</f>
        <v/>
      </c>
      <c r="D19" s="81" t="str">
        <f t="shared" ca="1" si="1"/>
        <v/>
      </c>
      <c r="E19" s="104"/>
      <c r="F19" s="21"/>
      <c r="G19" s="110"/>
      <c r="H19" s="111"/>
      <c r="I19" s="107" t="str">
        <f t="shared" si="2"/>
        <v/>
      </c>
      <c r="J19" s="112" t="str">
        <f t="shared" si="3"/>
        <v/>
      </c>
      <c r="K19" s="113" t="str">
        <f>IF(B19="","Pending",IF(M19="","⚠️ Enter Code",IF(IFERROR(VLOOKUP(L19,DB_Agents!$B:$I,8,0),"")=M19,"Pending","🔒 BLOCKED — Wrong Code")))</f>
        <v>Pending</v>
      </c>
      <c r="L19" s="23"/>
      <c r="M19" s="84"/>
      <c r="N19" s="87"/>
    </row>
    <row r="20" spans="1:14" x14ac:dyDescent="0.25">
      <c r="A20" s="92" t="str">
        <f t="shared" si="0"/>
        <v/>
      </c>
      <c r="B20" s="88"/>
      <c r="C20" s="25" t="str">
        <f>IF(B20="","",IFERROR(VLOOKUP(B20,DB_Customers!$A:$D,4,0),"❌ Account Not Found"))</f>
        <v/>
      </c>
      <c r="D20" s="90" t="str">
        <f t="shared" ca="1" si="1"/>
        <v/>
      </c>
      <c r="E20" s="104"/>
      <c r="F20" s="25"/>
      <c r="G20" s="105"/>
      <c r="H20" s="106"/>
      <c r="I20" s="107" t="str">
        <f t="shared" si="2"/>
        <v/>
      </c>
      <c r="J20" s="108" t="str">
        <f t="shared" si="3"/>
        <v/>
      </c>
      <c r="K20" s="109" t="str">
        <f>IF(B20="","Pending",IF(M20="","⚠️ Enter Code",IF(IFERROR(VLOOKUP(L20,DB_Agents!$B:$I,8,0),"")=M20,"Pending","🔒 BLOCKED — Wrong Code")))</f>
        <v>Pending</v>
      </c>
      <c r="L20" s="27"/>
      <c r="M20" s="84"/>
      <c r="N20" s="94"/>
    </row>
    <row r="21" spans="1:14" x14ac:dyDescent="0.25">
      <c r="A21" s="85" t="str">
        <f t="shared" si="0"/>
        <v/>
      </c>
      <c r="B21" s="79"/>
      <c r="C21" s="21" t="str">
        <f>IF(B21="","",IFERROR(VLOOKUP(B21,DB_Customers!$A:$D,4,0),"❌ Account Not Found"))</f>
        <v/>
      </c>
      <c r="D21" s="81" t="str">
        <f t="shared" ca="1" si="1"/>
        <v/>
      </c>
      <c r="E21" s="104"/>
      <c r="F21" s="21"/>
      <c r="G21" s="110"/>
      <c r="H21" s="111"/>
      <c r="I21" s="107" t="str">
        <f t="shared" si="2"/>
        <v/>
      </c>
      <c r="J21" s="112" t="str">
        <f t="shared" si="3"/>
        <v/>
      </c>
      <c r="K21" s="113" t="str">
        <f>IF(B21="","Pending",IF(M21="","⚠️ Enter Code",IF(IFERROR(VLOOKUP(L21,DB_Agents!$B:$I,8,0),"")=M21,"Pending","🔒 BLOCKED — Wrong Code")))</f>
        <v>Pending</v>
      </c>
      <c r="L21" s="23"/>
      <c r="M21" s="84"/>
      <c r="N21" s="87"/>
    </row>
    <row r="22" spans="1:14" x14ac:dyDescent="0.25">
      <c r="A22" s="92" t="str">
        <f t="shared" si="0"/>
        <v/>
      </c>
      <c r="B22" s="88"/>
      <c r="C22" s="25" t="str">
        <f>IF(B22="","",IFERROR(VLOOKUP(B22,DB_Customers!$A:$D,4,0),"❌ Account Not Found"))</f>
        <v/>
      </c>
      <c r="D22" s="90" t="str">
        <f t="shared" ca="1" si="1"/>
        <v/>
      </c>
      <c r="E22" s="104"/>
      <c r="F22" s="25"/>
      <c r="G22" s="105"/>
      <c r="H22" s="106"/>
      <c r="I22" s="107" t="str">
        <f t="shared" si="2"/>
        <v/>
      </c>
      <c r="J22" s="108" t="str">
        <f t="shared" si="3"/>
        <v/>
      </c>
      <c r="K22" s="109" t="str">
        <f>IF(B22="","Pending",IF(M22="","⚠️ Enter Code",IF(IFERROR(VLOOKUP(L22,DB_Agents!$B:$I,8,0),"")=M22,"Pending","🔒 BLOCKED — Wrong Code")))</f>
        <v>Pending</v>
      </c>
      <c r="L22" s="27"/>
      <c r="M22" s="84"/>
      <c r="N22" s="94"/>
    </row>
    <row r="23" spans="1:14" x14ac:dyDescent="0.25">
      <c r="A23" s="85" t="str">
        <f t="shared" si="0"/>
        <v/>
      </c>
      <c r="B23" s="79"/>
      <c r="C23" s="21" t="str">
        <f>IF(B23="","",IFERROR(VLOOKUP(B23,DB_Customers!$A:$D,4,0),"❌ Account Not Found"))</f>
        <v/>
      </c>
      <c r="D23" s="81" t="str">
        <f t="shared" ca="1" si="1"/>
        <v/>
      </c>
      <c r="E23" s="104"/>
      <c r="F23" s="21"/>
      <c r="G23" s="110"/>
      <c r="H23" s="111"/>
      <c r="I23" s="107" t="str">
        <f t="shared" si="2"/>
        <v/>
      </c>
      <c r="J23" s="112" t="str">
        <f t="shared" si="3"/>
        <v/>
      </c>
      <c r="K23" s="113" t="str">
        <f>IF(B23="","Pending",IF(M23="","⚠️ Enter Code",IF(IFERROR(VLOOKUP(L23,DB_Agents!$B:$I,8,0),"")=M23,"Pending","🔒 BLOCKED — Wrong Code")))</f>
        <v>Pending</v>
      </c>
      <c r="L23" s="23"/>
      <c r="M23" s="84"/>
      <c r="N23" s="87"/>
    </row>
    <row r="24" spans="1:14" x14ac:dyDescent="0.25">
      <c r="A24" s="92" t="str">
        <f t="shared" si="0"/>
        <v/>
      </c>
      <c r="B24" s="88"/>
      <c r="C24" s="25" t="str">
        <f>IF(B24="","",IFERROR(VLOOKUP(B24,DB_Customers!$A:$D,4,0),"❌ Account Not Found"))</f>
        <v/>
      </c>
      <c r="D24" s="90" t="str">
        <f t="shared" ca="1" si="1"/>
        <v/>
      </c>
      <c r="E24" s="104"/>
      <c r="F24" s="25"/>
      <c r="G24" s="105"/>
      <c r="H24" s="106"/>
      <c r="I24" s="107" t="str">
        <f t="shared" si="2"/>
        <v/>
      </c>
      <c r="J24" s="108" t="str">
        <f t="shared" si="3"/>
        <v/>
      </c>
      <c r="K24" s="109" t="str">
        <f>IF(B24="","Pending",IF(M24="","⚠️ Enter Code",IF(IFERROR(VLOOKUP(L24,DB_Agents!$B:$I,8,0),"")=M24,"Pending","🔒 BLOCKED — Wrong Code")))</f>
        <v>Pending</v>
      </c>
      <c r="L24" s="27"/>
      <c r="M24" s="84"/>
      <c r="N24" s="94"/>
    </row>
    <row r="25" spans="1:14" x14ac:dyDescent="0.25">
      <c r="A25" s="85" t="str">
        <f t="shared" si="0"/>
        <v/>
      </c>
      <c r="B25" s="79"/>
      <c r="C25" s="21" t="str">
        <f>IF(B25="","",IFERROR(VLOOKUP(B25,DB_Customers!$A:$D,4,0),"❌ Account Not Found"))</f>
        <v/>
      </c>
      <c r="D25" s="81" t="str">
        <f t="shared" ca="1" si="1"/>
        <v/>
      </c>
      <c r="E25" s="104"/>
      <c r="F25" s="21"/>
      <c r="G25" s="110"/>
      <c r="H25" s="111"/>
      <c r="I25" s="107" t="str">
        <f t="shared" si="2"/>
        <v/>
      </c>
      <c r="J25" s="112" t="str">
        <f t="shared" si="3"/>
        <v/>
      </c>
      <c r="K25" s="113" t="str">
        <f>IF(B25="","Pending",IF(M25="","⚠️ Enter Code",IF(IFERROR(VLOOKUP(L25,DB_Agents!$B:$I,8,0),"")=M25,"Pending","🔒 BLOCKED — Wrong Code")))</f>
        <v>Pending</v>
      </c>
      <c r="L25" s="23"/>
      <c r="M25" s="84"/>
      <c r="N25" s="87"/>
    </row>
    <row r="26" spans="1:14" x14ac:dyDescent="0.25">
      <c r="A26" s="92" t="str">
        <f t="shared" si="0"/>
        <v/>
      </c>
      <c r="B26" s="88"/>
      <c r="C26" s="25" t="str">
        <f>IF(B26="","",IFERROR(VLOOKUP(B26,DB_Customers!$A:$D,4,0),"❌ Account Not Found"))</f>
        <v/>
      </c>
      <c r="D26" s="90" t="str">
        <f t="shared" ca="1" si="1"/>
        <v/>
      </c>
      <c r="E26" s="104"/>
      <c r="F26" s="25"/>
      <c r="G26" s="105"/>
      <c r="H26" s="106"/>
      <c r="I26" s="107" t="str">
        <f t="shared" si="2"/>
        <v/>
      </c>
      <c r="J26" s="108" t="str">
        <f t="shared" si="3"/>
        <v/>
      </c>
      <c r="K26" s="109" t="str">
        <f>IF(B26="","Pending",IF(M26="","⚠️ Enter Code",IF(IFERROR(VLOOKUP(L26,DB_Agents!$B:$I,8,0),"")=M26,"Pending","🔒 BLOCKED — Wrong Code")))</f>
        <v>Pending</v>
      </c>
      <c r="L26" s="27"/>
      <c r="M26" s="84"/>
      <c r="N26" s="94"/>
    </row>
    <row r="27" spans="1:14" x14ac:dyDescent="0.25">
      <c r="A27" s="85" t="str">
        <f t="shared" si="0"/>
        <v/>
      </c>
      <c r="B27" s="79"/>
      <c r="C27" s="21" t="str">
        <f>IF(B27="","",IFERROR(VLOOKUP(B27,DB_Customers!$A:$D,4,0),"❌ Account Not Found"))</f>
        <v/>
      </c>
      <c r="D27" s="81" t="str">
        <f t="shared" ca="1" si="1"/>
        <v/>
      </c>
      <c r="E27" s="104"/>
      <c r="F27" s="21"/>
      <c r="G27" s="110"/>
      <c r="H27" s="111"/>
      <c r="I27" s="107" t="str">
        <f t="shared" si="2"/>
        <v/>
      </c>
      <c r="J27" s="112" t="str">
        <f t="shared" si="3"/>
        <v/>
      </c>
      <c r="K27" s="113" t="str">
        <f>IF(B27="","Pending",IF(M27="","⚠️ Enter Code",IF(IFERROR(VLOOKUP(L27,DB_Agents!$B:$I,8,0),"")=M27,"Pending","🔒 BLOCKED — Wrong Code")))</f>
        <v>Pending</v>
      </c>
      <c r="L27" s="23"/>
      <c r="M27" s="84"/>
      <c r="N27" s="87"/>
    </row>
    <row r="28" spans="1:14" x14ac:dyDescent="0.25">
      <c r="A28" s="92" t="str">
        <f t="shared" si="0"/>
        <v/>
      </c>
      <c r="B28" s="88"/>
      <c r="C28" s="25" t="str">
        <f>IF(B28="","",IFERROR(VLOOKUP(B28,DB_Customers!$A:$D,4,0),"❌ Account Not Found"))</f>
        <v/>
      </c>
      <c r="D28" s="90" t="str">
        <f t="shared" ca="1" si="1"/>
        <v/>
      </c>
      <c r="E28" s="104"/>
      <c r="F28" s="25"/>
      <c r="G28" s="105"/>
      <c r="H28" s="106"/>
      <c r="I28" s="107" t="str">
        <f t="shared" si="2"/>
        <v/>
      </c>
      <c r="J28" s="108" t="str">
        <f t="shared" si="3"/>
        <v/>
      </c>
      <c r="K28" s="109" t="str">
        <f>IF(B28="","Pending",IF(M28="","⚠️ Enter Code",IF(IFERROR(VLOOKUP(L28,DB_Agents!$B:$I,8,0),"")=M28,"Pending","🔒 BLOCKED — Wrong Code")))</f>
        <v>Pending</v>
      </c>
      <c r="L28" s="27"/>
      <c r="M28" s="84"/>
      <c r="N28" s="94"/>
    </row>
    <row r="29" spans="1:14" x14ac:dyDescent="0.25">
      <c r="A29" s="85" t="str">
        <f t="shared" si="0"/>
        <v/>
      </c>
      <c r="B29" s="79"/>
      <c r="C29" s="21" t="str">
        <f>IF(B29="","",IFERROR(VLOOKUP(B29,DB_Customers!$A:$D,4,0),"❌ Account Not Found"))</f>
        <v/>
      </c>
      <c r="D29" s="81" t="str">
        <f t="shared" ca="1" si="1"/>
        <v/>
      </c>
      <c r="E29" s="104"/>
      <c r="F29" s="21"/>
      <c r="G29" s="110"/>
      <c r="H29" s="111"/>
      <c r="I29" s="107" t="str">
        <f t="shared" si="2"/>
        <v/>
      </c>
      <c r="J29" s="112" t="str">
        <f t="shared" si="3"/>
        <v/>
      </c>
      <c r="K29" s="113" t="str">
        <f>IF(B29="","Pending",IF(M29="","⚠️ Enter Code",IF(IFERROR(VLOOKUP(L29,DB_Agents!$B:$I,8,0),"")=M29,"Pending","🔒 BLOCKED — Wrong Code")))</f>
        <v>Pending</v>
      </c>
      <c r="L29" s="23"/>
      <c r="M29" s="84"/>
      <c r="N29" s="87"/>
    </row>
    <row r="30" spans="1:14" x14ac:dyDescent="0.25">
      <c r="A30" s="92" t="str">
        <f t="shared" si="0"/>
        <v/>
      </c>
      <c r="B30" s="88"/>
      <c r="C30" s="25" t="str">
        <f>IF(B30="","",IFERROR(VLOOKUP(B30,DB_Customers!$A:$D,4,0),"❌ Account Not Found"))</f>
        <v/>
      </c>
      <c r="D30" s="90" t="str">
        <f t="shared" ca="1" si="1"/>
        <v/>
      </c>
      <c r="E30" s="104"/>
      <c r="F30" s="25"/>
      <c r="G30" s="105"/>
      <c r="H30" s="106"/>
      <c r="I30" s="107" t="str">
        <f t="shared" si="2"/>
        <v/>
      </c>
      <c r="J30" s="108" t="str">
        <f t="shared" si="3"/>
        <v/>
      </c>
      <c r="K30" s="109" t="str">
        <f>IF(B30="","Pending",IF(M30="","⚠️ Enter Code",IF(IFERROR(VLOOKUP(L30,DB_Agents!$B:$I,8,0),"")=M30,"Pending","🔒 BLOCKED — Wrong Code")))</f>
        <v>Pending</v>
      </c>
      <c r="L30" s="27"/>
      <c r="M30" s="84"/>
      <c r="N30" s="94"/>
    </row>
    <row r="31" spans="1:14" x14ac:dyDescent="0.25">
      <c r="A31" s="85" t="str">
        <f t="shared" si="0"/>
        <v/>
      </c>
      <c r="B31" s="79"/>
      <c r="C31" s="21" t="str">
        <f>IF(B31="","",IFERROR(VLOOKUP(B31,DB_Customers!$A:$D,4,0),"❌ Account Not Found"))</f>
        <v/>
      </c>
      <c r="D31" s="81" t="str">
        <f t="shared" ca="1" si="1"/>
        <v/>
      </c>
      <c r="E31" s="104"/>
      <c r="F31" s="21"/>
      <c r="G31" s="110"/>
      <c r="H31" s="111"/>
      <c r="I31" s="107" t="str">
        <f t="shared" si="2"/>
        <v/>
      </c>
      <c r="J31" s="112" t="str">
        <f t="shared" si="3"/>
        <v/>
      </c>
      <c r="K31" s="113" t="str">
        <f>IF(B31="","Pending",IF(M31="","⚠️ Enter Code",IF(IFERROR(VLOOKUP(L31,DB_Agents!$B:$I,8,0),"")=M31,"Pending","🔒 BLOCKED — Wrong Code")))</f>
        <v>Pending</v>
      </c>
      <c r="L31" s="23"/>
      <c r="M31" s="84"/>
      <c r="N31" s="87"/>
    </row>
    <row r="32" spans="1:14" x14ac:dyDescent="0.25">
      <c r="A32" s="92" t="str">
        <f t="shared" si="0"/>
        <v/>
      </c>
      <c r="B32" s="88"/>
      <c r="C32" s="25" t="str">
        <f>IF(B32="","",IFERROR(VLOOKUP(B32,DB_Customers!$A:$D,4,0),"❌ Account Not Found"))</f>
        <v/>
      </c>
      <c r="D32" s="90" t="str">
        <f t="shared" ca="1" si="1"/>
        <v/>
      </c>
      <c r="E32" s="104"/>
      <c r="F32" s="25"/>
      <c r="G32" s="105"/>
      <c r="H32" s="106"/>
      <c r="I32" s="107" t="str">
        <f t="shared" si="2"/>
        <v/>
      </c>
      <c r="J32" s="108" t="str">
        <f t="shared" si="3"/>
        <v/>
      </c>
      <c r="K32" s="109" t="str">
        <f>IF(B32="","Pending",IF(M32="","⚠️ Enter Code",IF(IFERROR(VLOOKUP(L32,DB_Agents!$B:$I,8,0),"")=M32,"Pending","🔒 BLOCKED — Wrong Code")))</f>
        <v>Pending</v>
      </c>
      <c r="L32" s="27"/>
      <c r="M32" s="84"/>
      <c r="N32" s="94"/>
    </row>
    <row r="33" spans="1:14" x14ac:dyDescent="0.25">
      <c r="A33" s="85" t="str">
        <f t="shared" si="0"/>
        <v/>
      </c>
      <c r="B33" s="79"/>
      <c r="C33" s="21" t="str">
        <f>IF(B33="","",IFERROR(VLOOKUP(B33,DB_Customers!$A:$D,4,0),"❌ Account Not Found"))</f>
        <v/>
      </c>
      <c r="D33" s="81" t="str">
        <f t="shared" ca="1" si="1"/>
        <v/>
      </c>
      <c r="E33" s="104"/>
      <c r="F33" s="21"/>
      <c r="G33" s="110"/>
      <c r="H33" s="111"/>
      <c r="I33" s="107" t="str">
        <f t="shared" si="2"/>
        <v/>
      </c>
      <c r="J33" s="112" t="str">
        <f t="shared" si="3"/>
        <v/>
      </c>
      <c r="K33" s="113" t="str">
        <f>IF(B33="","Pending",IF(M33="","⚠️ Enter Code",IF(IFERROR(VLOOKUP(L33,DB_Agents!$B:$I,8,0),"")=M33,"Pending","🔒 BLOCKED — Wrong Code")))</f>
        <v>Pending</v>
      </c>
      <c r="L33" s="23"/>
      <c r="M33" s="84"/>
      <c r="N33" s="87"/>
    </row>
    <row r="34" spans="1:14" x14ac:dyDescent="0.25">
      <c r="A34" s="92" t="str">
        <f t="shared" si="0"/>
        <v/>
      </c>
      <c r="B34" s="88"/>
      <c r="C34" s="25" t="str">
        <f>IF(B34="","",IFERROR(VLOOKUP(B34,DB_Customers!$A:$D,4,0),"❌ Account Not Found"))</f>
        <v/>
      </c>
      <c r="D34" s="90" t="str">
        <f t="shared" ca="1" si="1"/>
        <v/>
      </c>
      <c r="E34" s="104"/>
      <c r="F34" s="25"/>
      <c r="G34" s="105"/>
      <c r="H34" s="106"/>
      <c r="I34" s="107" t="str">
        <f t="shared" si="2"/>
        <v/>
      </c>
      <c r="J34" s="108" t="str">
        <f t="shared" si="3"/>
        <v/>
      </c>
      <c r="K34" s="109" t="str">
        <f>IF(B34="","Pending",IF(M34="","⚠️ Enter Code",IF(IFERROR(VLOOKUP(L34,DB_Agents!$B:$I,8,0),"")=M34,"Pending","🔒 BLOCKED — Wrong Code")))</f>
        <v>Pending</v>
      </c>
      <c r="L34" s="27"/>
      <c r="M34" s="84"/>
      <c r="N34" s="94"/>
    </row>
    <row r="35" spans="1:14" x14ac:dyDescent="0.25">
      <c r="A35" s="85" t="str">
        <f t="shared" si="0"/>
        <v/>
      </c>
      <c r="B35" s="79"/>
      <c r="C35" s="21" t="str">
        <f>IF(B35="","",IFERROR(VLOOKUP(B35,DB_Customers!$A:$D,4,0),"❌ Account Not Found"))</f>
        <v/>
      </c>
      <c r="D35" s="81" t="str">
        <f t="shared" ca="1" si="1"/>
        <v/>
      </c>
      <c r="E35" s="104"/>
      <c r="F35" s="21"/>
      <c r="G35" s="110"/>
      <c r="H35" s="111"/>
      <c r="I35" s="107" t="str">
        <f t="shared" si="2"/>
        <v/>
      </c>
      <c r="J35" s="112" t="str">
        <f t="shared" si="3"/>
        <v/>
      </c>
      <c r="K35" s="113" t="str">
        <f>IF(B35="","Pending",IF(M35="","⚠️ Enter Code",IF(IFERROR(VLOOKUP(L35,DB_Agents!$B:$I,8,0),"")=M35,"Pending","🔒 BLOCKED — Wrong Code")))</f>
        <v>Pending</v>
      </c>
      <c r="L35" s="23"/>
      <c r="M35" s="84"/>
      <c r="N35" s="87"/>
    </row>
    <row r="36" spans="1:14" x14ac:dyDescent="0.25">
      <c r="A36" s="92" t="str">
        <f t="shared" si="0"/>
        <v/>
      </c>
      <c r="B36" s="88"/>
      <c r="C36" s="25" t="str">
        <f>IF(B36="","",IFERROR(VLOOKUP(B36,DB_Customers!$A:$D,4,0),"❌ Account Not Found"))</f>
        <v/>
      </c>
      <c r="D36" s="90" t="str">
        <f t="shared" ca="1" si="1"/>
        <v/>
      </c>
      <c r="E36" s="104"/>
      <c r="F36" s="25"/>
      <c r="G36" s="105"/>
      <c r="H36" s="106"/>
      <c r="I36" s="107" t="str">
        <f t="shared" si="2"/>
        <v/>
      </c>
      <c r="J36" s="108" t="str">
        <f t="shared" si="3"/>
        <v/>
      </c>
      <c r="K36" s="109" t="str">
        <f>IF(B36="","Pending",IF(M36="","⚠️ Enter Code",IF(IFERROR(VLOOKUP(L36,DB_Agents!$B:$I,8,0),"")=M36,"Pending","🔒 BLOCKED — Wrong Code")))</f>
        <v>Pending</v>
      </c>
      <c r="L36" s="27"/>
      <c r="M36" s="84"/>
      <c r="N36" s="94"/>
    </row>
    <row r="37" spans="1:14" x14ac:dyDescent="0.25">
      <c r="A37" s="85" t="str">
        <f t="shared" si="0"/>
        <v/>
      </c>
      <c r="B37" s="79"/>
      <c r="C37" s="21" t="str">
        <f>IF(B37="","",IFERROR(VLOOKUP(B37,DB_Customers!$A:$D,4,0),"❌ Account Not Found"))</f>
        <v/>
      </c>
      <c r="D37" s="81" t="str">
        <f t="shared" ca="1" si="1"/>
        <v/>
      </c>
      <c r="E37" s="104"/>
      <c r="F37" s="21"/>
      <c r="G37" s="110"/>
      <c r="H37" s="111"/>
      <c r="I37" s="107" t="str">
        <f t="shared" si="2"/>
        <v/>
      </c>
      <c r="J37" s="112" t="str">
        <f t="shared" si="3"/>
        <v/>
      </c>
      <c r="K37" s="113" t="str">
        <f>IF(B37="","Pending",IF(M37="","⚠️ Enter Code",IF(IFERROR(VLOOKUP(L37,DB_Agents!$B:$I,8,0),"")=M37,"Pending","🔒 BLOCKED — Wrong Code")))</f>
        <v>Pending</v>
      </c>
      <c r="L37" s="23"/>
      <c r="M37" s="84"/>
      <c r="N37" s="87"/>
    </row>
    <row r="38" spans="1:14" x14ac:dyDescent="0.25">
      <c r="A38" s="92" t="str">
        <f t="shared" si="0"/>
        <v/>
      </c>
      <c r="B38" s="88"/>
      <c r="C38" s="25" t="str">
        <f>IF(B38="","",IFERROR(VLOOKUP(B38,DB_Customers!$A:$D,4,0),"❌ Account Not Found"))</f>
        <v/>
      </c>
      <c r="D38" s="90" t="str">
        <f t="shared" ca="1" si="1"/>
        <v/>
      </c>
      <c r="E38" s="104"/>
      <c r="F38" s="25"/>
      <c r="G38" s="105"/>
      <c r="H38" s="106"/>
      <c r="I38" s="107" t="str">
        <f t="shared" si="2"/>
        <v/>
      </c>
      <c r="J38" s="108" t="str">
        <f t="shared" si="3"/>
        <v/>
      </c>
      <c r="K38" s="109" t="str">
        <f>IF(B38="","Pending",IF(M38="","⚠️ Enter Code",IF(IFERROR(VLOOKUP(L38,DB_Agents!$B:$I,8,0),"")=M38,"Pending","🔒 BLOCKED — Wrong Code")))</f>
        <v>Pending</v>
      </c>
      <c r="L38" s="27"/>
      <c r="M38" s="84"/>
      <c r="N38" s="94"/>
    </row>
    <row r="39" spans="1:14" x14ac:dyDescent="0.25">
      <c r="A39" s="85" t="str">
        <f t="shared" si="0"/>
        <v/>
      </c>
      <c r="B39" s="79"/>
      <c r="C39" s="21" t="str">
        <f>IF(B39="","",IFERROR(VLOOKUP(B39,DB_Customers!$A:$D,4,0),"❌ Account Not Found"))</f>
        <v/>
      </c>
      <c r="D39" s="81" t="str">
        <f t="shared" ca="1" si="1"/>
        <v/>
      </c>
      <c r="E39" s="104"/>
      <c r="F39" s="21"/>
      <c r="G39" s="110"/>
      <c r="H39" s="111"/>
      <c r="I39" s="107" t="str">
        <f t="shared" si="2"/>
        <v/>
      </c>
      <c r="J39" s="112" t="str">
        <f t="shared" si="3"/>
        <v/>
      </c>
      <c r="K39" s="113" t="str">
        <f>IF(B39="","Pending",IF(M39="","⚠️ Enter Code",IF(IFERROR(VLOOKUP(L39,DB_Agents!$B:$I,8,0),"")=M39,"Pending","🔒 BLOCKED — Wrong Code")))</f>
        <v>Pending</v>
      </c>
      <c r="L39" s="23"/>
      <c r="M39" s="84"/>
      <c r="N39" s="87"/>
    </row>
    <row r="40" spans="1:14" x14ac:dyDescent="0.25">
      <c r="A40" s="92" t="str">
        <f t="shared" si="0"/>
        <v/>
      </c>
      <c r="B40" s="88"/>
      <c r="C40" s="25" t="str">
        <f>IF(B40="","",IFERROR(VLOOKUP(B40,DB_Customers!$A:$D,4,0),"❌ Account Not Found"))</f>
        <v/>
      </c>
      <c r="D40" s="90" t="str">
        <f t="shared" ca="1" si="1"/>
        <v/>
      </c>
      <c r="E40" s="104"/>
      <c r="F40" s="25"/>
      <c r="G40" s="105"/>
      <c r="H40" s="106"/>
      <c r="I40" s="107" t="str">
        <f t="shared" si="2"/>
        <v/>
      </c>
      <c r="J40" s="108" t="str">
        <f t="shared" si="3"/>
        <v/>
      </c>
      <c r="K40" s="109" t="str">
        <f>IF(B40="","Pending",IF(M40="","⚠️ Enter Code",IF(IFERROR(VLOOKUP(L40,DB_Agents!$B:$I,8,0),"")=M40,"Pending","🔒 BLOCKED — Wrong Code")))</f>
        <v>Pending</v>
      </c>
      <c r="L40" s="27"/>
      <c r="M40" s="84"/>
      <c r="N40" s="94"/>
    </row>
    <row r="41" spans="1:14" x14ac:dyDescent="0.25">
      <c r="A41" s="85" t="str">
        <f t="shared" si="0"/>
        <v/>
      </c>
      <c r="B41" s="79"/>
      <c r="C41" s="21" t="str">
        <f>IF(B41="","",IFERROR(VLOOKUP(B41,DB_Customers!$A:$D,4,0),"❌ Account Not Found"))</f>
        <v/>
      </c>
      <c r="D41" s="81" t="str">
        <f t="shared" ca="1" si="1"/>
        <v/>
      </c>
      <c r="E41" s="104"/>
      <c r="F41" s="21"/>
      <c r="G41" s="110"/>
      <c r="H41" s="111"/>
      <c r="I41" s="107" t="str">
        <f t="shared" si="2"/>
        <v/>
      </c>
      <c r="J41" s="112" t="str">
        <f t="shared" si="3"/>
        <v/>
      </c>
      <c r="K41" s="113" t="str">
        <f>IF(B41="","Pending",IF(M41="","⚠️ Enter Code",IF(IFERROR(VLOOKUP(L41,DB_Agents!$B:$I,8,0),"")=M41,"Pending","🔒 BLOCKED — Wrong Code")))</f>
        <v>Pending</v>
      </c>
      <c r="L41" s="23"/>
      <c r="M41" s="84"/>
      <c r="N41" s="87"/>
    </row>
    <row r="42" spans="1:14" x14ac:dyDescent="0.25">
      <c r="A42" s="92" t="str">
        <f t="shared" si="0"/>
        <v/>
      </c>
      <c r="B42" s="88"/>
      <c r="C42" s="25" t="str">
        <f>IF(B42="","",IFERROR(VLOOKUP(B42,DB_Customers!$A:$D,4,0),"❌ Account Not Found"))</f>
        <v/>
      </c>
      <c r="D42" s="90" t="str">
        <f t="shared" ca="1" si="1"/>
        <v/>
      </c>
      <c r="E42" s="104"/>
      <c r="F42" s="25"/>
      <c r="G42" s="105"/>
      <c r="H42" s="106"/>
      <c r="I42" s="107" t="str">
        <f t="shared" si="2"/>
        <v/>
      </c>
      <c r="J42" s="108" t="str">
        <f t="shared" si="3"/>
        <v/>
      </c>
      <c r="K42" s="109" t="str">
        <f>IF(B42="","Pending",IF(M42="","⚠️ Enter Code",IF(IFERROR(VLOOKUP(L42,DB_Agents!$B:$I,8,0),"")=M42,"Pending","🔒 BLOCKED — Wrong Code")))</f>
        <v>Pending</v>
      </c>
      <c r="L42" s="27"/>
      <c r="M42" s="84"/>
      <c r="N42" s="94"/>
    </row>
    <row r="43" spans="1:14" x14ac:dyDescent="0.25">
      <c r="A43" s="85" t="str">
        <f t="shared" si="0"/>
        <v/>
      </c>
      <c r="B43" s="79"/>
      <c r="C43" s="21" t="str">
        <f>IF(B43="","",IFERROR(VLOOKUP(B43,DB_Customers!$A:$D,4,0),"❌ Account Not Found"))</f>
        <v/>
      </c>
      <c r="D43" s="81" t="str">
        <f t="shared" ca="1" si="1"/>
        <v/>
      </c>
      <c r="E43" s="104"/>
      <c r="F43" s="21"/>
      <c r="G43" s="110"/>
      <c r="H43" s="111"/>
      <c r="I43" s="107" t="str">
        <f t="shared" si="2"/>
        <v/>
      </c>
      <c r="J43" s="112" t="str">
        <f t="shared" si="3"/>
        <v/>
      </c>
      <c r="K43" s="113" t="str">
        <f>IF(B43="","Pending",IF(M43="","⚠️ Enter Code",IF(IFERROR(VLOOKUP(L43,DB_Agents!$B:$I,8,0),"")=M43,"Pending","🔒 BLOCKED — Wrong Code")))</f>
        <v>Pending</v>
      </c>
      <c r="L43" s="23"/>
      <c r="M43" s="84"/>
      <c r="N43" s="87"/>
    </row>
    <row r="44" spans="1:14" x14ac:dyDescent="0.25">
      <c r="A44" s="92" t="str">
        <f t="shared" si="0"/>
        <v/>
      </c>
      <c r="B44" s="88"/>
      <c r="C44" s="25" t="str">
        <f>IF(B44="","",IFERROR(VLOOKUP(B44,DB_Customers!$A:$D,4,0),"❌ Account Not Found"))</f>
        <v/>
      </c>
      <c r="D44" s="90" t="str">
        <f t="shared" ca="1" si="1"/>
        <v/>
      </c>
      <c r="E44" s="104"/>
      <c r="F44" s="25"/>
      <c r="G44" s="105"/>
      <c r="H44" s="106"/>
      <c r="I44" s="107" t="str">
        <f t="shared" si="2"/>
        <v/>
      </c>
      <c r="J44" s="108" t="str">
        <f t="shared" si="3"/>
        <v/>
      </c>
      <c r="K44" s="109" t="str">
        <f>IF(B44="","Pending",IF(M44="","⚠️ Enter Code",IF(IFERROR(VLOOKUP(L44,DB_Agents!$B:$I,8,0),"")=M44,"Pending","🔒 BLOCKED — Wrong Code")))</f>
        <v>Pending</v>
      </c>
      <c r="L44" s="27"/>
      <c r="M44" s="84"/>
      <c r="N44" s="94"/>
    </row>
    <row r="45" spans="1:14" x14ac:dyDescent="0.25">
      <c r="A45" s="85" t="str">
        <f t="shared" si="0"/>
        <v/>
      </c>
      <c r="B45" s="79"/>
      <c r="C45" s="21" t="str">
        <f>IF(B45="","",IFERROR(VLOOKUP(B45,DB_Customers!$A:$D,4,0),"❌ Account Not Found"))</f>
        <v/>
      </c>
      <c r="D45" s="81" t="str">
        <f t="shared" ca="1" si="1"/>
        <v/>
      </c>
      <c r="E45" s="104"/>
      <c r="F45" s="21"/>
      <c r="G45" s="110"/>
      <c r="H45" s="111"/>
      <c r="I45" s="107" t="str">
        <f t="shared" si="2"/>
        <v/>
      </c>
      <c r="J45" s="112" t="str">
        <f t="shared" si="3"/>
        <v/>
      </c>
      <c r="K45" s="113" t="str">
        <f>IF(B45="","Pending",IF(M45="","⚠️ Enter Code",IF(IFERROR(VLOOKUP(L45,DB_Agents!$B:$I,8,0),"")=M45,"Pending","🔒 BLOCKED — Wrong Code")))</f>
        <v>Pending</v>
      </c>
      <c r="L45" s="23"/>
      <c r="M45" s="84"/>
      <c r="N45" s="87"/>
    </row>
    <row r="46" spans="1:14" x14ac:dyDescent="0.25">
      <c r="A46" s="92" t="str">
        <f t="shared" ref="A46:A77" si="4">IF(B46="","",IF(C46="❌ Account Not Found","INVALID","LN"&amp;TEXT(D46,"YYYYMMDD")&amp;TEXT(ROW()-13,"0000")))</f>
        <v/>
      </c>
      <c r="B46" s="88"/>
      <c r="C46" s="25" t="str">
        <f>IF(B46="","",IFERROR(VLOOKUP(B46,DB_Customers!$A:$D,4,0),"❌ Account Not Found"))</f>
        <v/>
      </c>
      <c r="D46" s="90" t="str">
        <f t="shared" ref="D46:D77" ca="1" si="5">IF(B46="","",TODAY())</f>
        <v/>
      </c>
      <c r="E46" s="104"/>
      <c r="F46" s="25"/>
      <c r="G46" s="105"/>
      <c r="H46" s="106"/>
      <c r="I46" s="107" t="str">
        <f t="shared" ref="I46:I77" si="6">IF(E46="","",E46+(E46*H46/100*G46))</f>
        <v/>
      </c>
      <c r="J46" s="108" t="str">
        <f t="shared" ref="J46:J77" si="7">IFERROR(I46/G46,"")</f>
        <v/>
      </c>
      <c r="K46" s="109" t="str">
        <f>IF(B46="","Pending",IF(M46="","⚠️ Enter Code",IF(IFERROR(VLOOKUP(L46,DB_Agents!$B:$I,8,0),"")=M46,"Pending","🔒 BLOCKED — Wrong Code")))</f>
        <v>Pending</v>
      </c>
      <c r="L46" s="27"/>
      <c r="M46" s="84"/>
      <c r="N46" s="94"/>
    </row>
    <row r="47" spans="1:14" x14ac:dyDescent="0.25">
      <c r="A47" s="85" t="str">
        <f t="shared" si="4"/>
        <v/>
      </c>
      <c r="B47" s="79"/>
      <c r="C47" s="21" t="str">
        <f>IF(B47="","",IFERROR(VLOOKUP(B47,DB_Customers!$A:$D,4,0),"❌ Account Not Found"))</f>
        <v/>
      </c>
      <c r="D47" s="81" t="str">
        <f t="shared" ca="1" si="5"/>
        <v/>
      </c>
      <c r="E47" s="104"/>
      <c r="F47" s="21"/>
      <c r="G47" s="110"/>
      <c r="H47" s="111"/>
      <c r="I47" s="107" t="str">
        <f t="shared" si="6"/>
        <v/>
      </c>
      <c r="J47" s="112" t="str">
        <f t="shared" si="7"/>
        <v/>
      </c>
      <c r="K47" s="113" t="str">
        <f>IF(B47="","Pending",IF(M47="","⚠️ Enter Code",IF(IFERROR(VLOOKUP(L47,DB_Agents!$B:$I,8,0),"")=M47,"Pending","🔒 BLOCKED — Wrong Code")))</f>
        <v>Pending</v>
      </c>
      <c r="L47" s="23"/>
      <c r="M47" s="84"/>
      <c r="N47" s="87"/>
    </row>
    <row r="48" spans="1:14" x14ac:dyDescent="0.25">
      <c r="A48" s="92" t="str">
        <f t="shared" si="4"/>
        <v/>
      </c>
      <c r="B48" s="88"/>
      <c r="C48" s="25" t="str">
        <f>IF(B48="","",IFERROR(VLOOKUP(B48,DB_Customers!$A:$D,4,0),"❌ Account Not Found"))</f>
        <v/>
      </c>
      <c r="D48" s="90" t="str">
        <f t="shared" ca="1" si="5"/>
        <v/>
      </c>
      <c r="E48" s="104"/>
      <c r="F48" s="25"/>
      <c r="G48" s="105"/>
      <c r="H48" s="106"/>
      <c r="I48" s="107" t="str">
        <f t="shared" si="6"/>
        <v/>
      </c>
      <c r="J48" s="108" t="str">
        <f t="shared" si="7"/>
        <v/>
      </c>
      <c r="K48" s="109" t="str">
        <f>IF(B48="","Pending",IF(M48="","⚠️ Enter Code",IF(IFERROR(VLOOKUP(L48,DB_Agents!$B:$I,8,0),"")=M48,"Pending","🔒 BLOCKED — Wrong Code")))</f>
        <v>Pending</v>
      </c>
      <c r="L48" s="27"/>
      <c r="M48" s="84"/>
      <c r="N48" s="94"/>
    </row>
    <row r="49" spans="1:14" x14ac:dyDescent="0.25">
      <c r="A49" s="85" t="str">
        <f t="shared" si="4"/>
        <v/>
      </c>
      <c r="B49" s="79"/>
      <c r="C49" s="21" t="str">
        <f>IF(B49="","",IFERROR(VLOOKUP(B49,DB_Customers!$A:$D,4,0),"❌ Account Not Found"))</f>
        <v/>
      </c>
      <c r="D49" s="81" t="str">
        <f t="shared" ca="1" si="5"/>
        <v/>
      </c>
      <c r="E49" s="104"/>
      <c r="F49" s="21"/>
      <c r="G49" s="110"/>
      <c r="H49" s="111"/>
      <c r="I49" s="107" t="str">
        <f t="shared" si="6"/>
        <v/>
      </c>
      <c r="J49" s="112" t="str">
        <f t="shared" si="7"/>
        <v/>
      </c>
      <c r="K49" s="113" t="str">
        <f>IF(B49="","Pending",IF(M49="","⚠️ Enter Code",IF(IFERROR(VLOOKUP(L49,DB_Agents!$B:$I,8,0),"")=M49,"Pending","🔒 BLOCKED — Wrong Code")))</f>
        <v>Pending</v>
      </c>
      <c r="L49" s="23"/>
      <c r="M49" s="84"/>
      <c r="N49" s="87"/>
    </row>
    <row r="50" spans="1:14" x14ac:dyDescent="0.25">
      <c r="A50" s="92" t="str">
        <f t="shared" si="4"/>
        <v/>
      </c>
      <c r="B50" s="88"/>
      <c r="C50" s="25" t="str">
        <f>IF(B50="","",IFERROR(VLOOKUP(B50,DB_Customers!$A:$D,4,0),"❌ Account Not Found"))</f>
        <v/>
      </c>
      <c r="D50" s="90" t="str">
        <f t="shared" ca="1" si="5"/>
        <v/>
      </c>
      <c r="E50" s="104"/>
      <c r="F50" s="25"/>
      <c r="G50" s="105"/>
      <c r="H50" s="106"/>
      <c r="I50" s="107" t="str">
        <f t="shared" si="6"/>
        <v/>
      </c>
      <c r="J50" s="108" t="str">
        <f t="shared" si="7"/>
        <v/>
      </c>
      <c r="K50" s="109" t="str">
        <f>IF(B50="","Pending",IF(M50="","⚠️ Enter Code",IF(IFERROR(VLOOKUP(L50,DB_Agents!$B:$I,8,0),"")=M50,"Pending","🔒 BLOCKED — Wrong Code")))</f>
        <v>Pending</v>
      </c>
      <c r="L50" s="27"/>
      <c r="M50" s="84"/>
      <c r="N50" s="94"/>
    </row>
    <row r="51" spans="1:14" x14ac:dyDescent="0.25">
      <c r="A51" s="85" t="str">
        <f t="shared" si="4"/>
        <v/>
      </c>
      <c r="B51" s="79"/>
      <c r="C51" s="21" t="str">
        <f>IF(B51="","",IFERROR(VLOOKUP(B51,DB_Customers!$A:$D,4,0),"❌ Account Not Found"))</f>
        <v/>
      </c>
      <c r="D51" s="81" t="str">
        <f t="shared" ca="1" si="5"/>
        <v/>
      </c>
      <c r="E51" s="104"/>
      <c r="F51" s="21"/>
      <c r="G51" s="110"/>
      <c r="H51" s="111"/>
      <c r="I51" s="107" t="str">
        <f t="shared" si="6"/>
        <v/>
      </c>
      <c r="J51" s="112" t="str">
        <f t="shared" si="7"/>
        <v/>
      </c>
      <c r="K51" s="113" t="str">
        <f>IF(B51="","Pending",IF(M51="","⚠️ Enter Code",IF(IFERROR(VLOOKUP(L51,DB_Agents!$B:$I,8,0),"")=M51,"Pending","🔒 BLOCKED — Wrong Code")))</f>
        <v>Pending</v>
      </c>
      <c r="L51" s="23"/>
      <c r="M51" s="84"/>
      <c r="N51" s="87"/>
    </row>
    <row r="52" spans="1:14" x14ac:dyDescent="0.25">
      <c r="A52" s="92" t="str">
        <f t="shared" si="4"/>
        <v/>
      </c>
      <c r="B52" s="88"/>
      <c r="C52" s="25" t="str">
        <f>IF(B52="","",IFERROR(VLOOKUP(B52,DB_Customers!$A:$D,4,0),"❌ Account Not Found"))</f>
        <v/>
      </c>
      <c r="D52" s="90" t="str">
        <f t="shared" ca="1" si="5"/>
        <v/>
      </c>
      <c r="E52" s="104"/>
      <c r="F52" s="25"/>
      <c r="G52" s="105"/>
      <c r="H52" s="106"/>
      <c r="I52" s="107" t="str">
        <f t="shared" si="6"/>
        <v/>
      </c>
      <c r="J52" s="108" t="str">
        <f t="shared" si="7"/>
        <v/>
      </c>
      <c r="K52" s="109" t="str">
        <f>IF(B52="","Pending",IF(M52="","⚠️ Enter Code",IF(IFERROR(VLOOKUP(L52,DB_Agents!$B:$I,8,0),"")=M52,"Pending","🔒 BLOCKED — Wrong Code")))</f>
        <v>Pending</v>
      </c>
      <c r="L52" s="27"/>
      <c r="M52" s="84"/>
      <c r="N52" s="94"/>
    </row>
    <row r="53" spans="1:14" x14ac:dyDescent="0.25">
      <c r="A53" s="85" t="str">
        <f t="shared" si="4"/>
        <v/>
      </c>
      <c r="B53" s="79"/>
      <c r="C53" s="21" t="str">
        <f>IF(B53="","",IFERROR(VLOOKUP(B53,DB_Customers!$A:$D,4,0),"❌ Account Not Found"))</f>
        <v/>
      </c>
      <c r="D53" s="81" t="str">
        <f t="shared" ca="1" si="5"/>
        <v/>
      </c>
      <c r="E53" s="104"/>
      <c r="F53" s="21"/>
      <c r="G53" s="110"/>
      <c r="H53" s="111"/>
      <c r="I53" s="107" t="str">
        <f t="shared" si="6"/>
        <v/>
      </c>
      <c r="J53" s="112" t="str">
        <f t="shared" si="7"/>
        <v/>
      </c>
      <c r="K53" s="113" t="str">
        <f>IF(B53="","Pending",IF(M53="","⚠️ Enter Code",IF(IFERROR(VLOOKUP(L53,DB_Agents!$B:$I,8,0),"")=M53,"Pending","🔒 BLOCKED — Wrong Code")))</f>
        <v>Pending</v>
      </c>
      <c r="L53" s="23"/>
      <c r="M53" s="84"/>
      <c r="N53" s="87"/>
    </row>
    <row r="54" spans="1:14" x14ac:dyDescent="0.25">
      <c r="A54" s="92" t="str">
        <f t="shared" si="4"/>
        <v/>
      </c>
      <c r="B54" s="88"/>
      <c r="C54" s="25" t="str">
        <f>IF(B54="","",IFERROR(VLOOKUP(B54,DB_Customers!$A:$D,4,0),"❌ Account Not Found"))</f>
        <v/>
      </c>
      <c r="D54" s="90" t="str">
        <f t="shared" ca="1" si="5"/>
        <v/>
      </c>
      <c r="E54" s="104"/>
      <c r="F54" s="25"/>
      <c r="G54" s="105"/>
      <c r="H54" s="106"/>
      <c r="I54" s="107" t="str">
        <f t="shared" si="6"/>
        <v/>
      </c>
      <c r="J54" s="108" t="str">
        <f t="shared" si="7"/>
        <v/>
      </c>
      <c r="K54" s="109" t="str">
        <f>IF(B54="","Pending",IF(M54="","⚠️ Enter Code",IF(IFERROR(VLOOKUP(L54,DB_Agents!$B:$I,8,0),"")=M54,"Pending","🔒 BLOCKED — Wrong Code")))</f>
        <v>Pending</v>
      </c>
      <c r="L54" s="27"/>
      <c r="M54" s="84"/>
      <c r="N54" s="94"/>
    </row>
    <row r="55" spans="1:14" x14ac:dyDescent="0.25">
      <c r="A55" s="85" t="str">
        <f t="shared" si="4"/>
        <v/>
      </c>
      <c r="B55" s="79"/>
      <c r="C55" s="21" t="str">
        <f>IF(B55="","",IFERROR(VLOOKUP(B55,DB_Customers!$A:$D,4,0),"❌ Account Not Found"))</f>
        <v/>
      </c>
      <c r="D55" s="81" t="str">
        <f t="shared" ca="1" si="5"/>
        <v/>
      </c>
      <c r="E55" s="104"/>
      <c r="F55" s="21"/>
      <c r="G55" s="110"/>
      <c r="H55" s="111"/>
      <c r="I55" s="107" t="str">
        <f t="shared" si="6"/>
        <v/>
      </c>
      <c r="J55" s="112" t="str">
        <f t="shared" si="7"/>
        <v/>
      </c>
      <c r="K55" s="113" t="str">
        <f>IF(B55="","Pending",IF(M55="","⚠️ Enter Code",IF(IFERROR(VLOOKUP(L55,DB_Agents!$B:$I,8,0),"")=M55,"Pending","🔒 BLOCKED — Wrong Code")))</f>
        <v>Pending</v>
      </c>
      <c r="L55" s="23"/>
      <c r="M55" s="84"/>
      <c r="N55" s="87"/>
    </row>
    <row r="56" spans="1:14" x14ac:dyDescent="0.25">
      <c r="A56" s="92" t="str">
        <f t="shared" si="4"/>
        <v/>
      </c>
      <c r="B56" s="88"/>
      <c r="C56" s="25" t="str">
        <f>IF(B56="","",IFERROR(VLOOKUP(B56,DB_Customers!$A:$D,4,0),"❌ Account Not Found"))</f>
        <v/>
      </c>
      <c r="D56" s="90" t="str">
        <f t="shared" ca="1" si="5"/>
        <v/>
      </c>
      <c r="E56" s="104"/>
      <c r="F56" s="25"/>
      <c r="G56" s="105"/>
      <c r="H56" s="106"/>
      <c r="I56" s="107" t="str">
        <f t="shared" si="6"/>
        <v/>
      </c>
      <c r="J56" s="108" t="str">
        <f t="shared" si="7"/>
        <v/>
      </c>
      <c r="K56" s="109" t="str">
        <f>IF(B56="","Pending",IF(M56="","⚠️ Enter Code",IF(IFERROR(VLOOKUP(L56,DB_Agents!$B:$I,8,0),"")=M56,"Pending","🔒 BLOCKED — Wrong Code")))</f>
        <v>Pending</v>
      </c>
      <c r="L56" s="27"/>
      <c r="M56" s="84"/>
      <c r="N56" s="94"/>
    </row>
    <row r="57" spans="1:14" x14ac:dyDescent="0.25">
      <c r="A57" s="85" t="str">
        <f t="shared" si="4"/>
        <v/>
      </c>
      <c r="B57" s="79"/>
      <c r="C57" s="21" t="str">
        <f>IF(B57="","",IFERROR(VLOOKUP(B57,DB_Customers!$A:$D,4,0),"❌ Account Not Found"))</f>
        <v/>
      </c>
      <c r="D57" s="81" t="str">
        <f t="shared" ca="1" si="5"/>
        <v/>
      </c>
      <c r="E57" s="104"/>
      <c r="F57" s="21"/>
      <c r="G57" s="110"/>
      <c r="H57" s="111"/>
      <c r="I57" s="107" t="str">
        <f t="shared" si="6"/>
        <v/>
      </c>
      <c r="J57" s="112" t="str">
        <f t="shared" si="7"/>
        <v/>
      </c>
      <c r="K57" s="113" t="str">
        <f>IF(B57="","Pending",IF(M57="","⚠️ Enter Code",IF(IFERROR(VLOOKUP(L57,DB_Agents!$B:$I,8,0),"")=M57,"Pending","🔒 BLOCKED — Wrong Code")))</f>
        <v>Pending</v>
      </c>
      <c r="L57" s="23"/>
      <c r="M57" s="84"/>
      <c r="N57" s="87"/>
    </row>
    <row r="58" spans="1:14" x14ac:dyDescent="0.25">
      <c r="A58" s="92" t="str">
        <f t="shared" si="4"/>
        <v/>
      </c>
      <c r="B58" s="88"/>
      <c r="C58" s="25" t="str">
        <f>IF(B58="","",IFERROR(VLOOKUP(B58,DB_Customers!$A:$D,4,0),"❌ Account Not Found"))</f>
        <v/>
      </c>
      <c r="D58" s="90" t="str">
        <f t="shared" ca="1" si="5"/>
        <v/>
      </c>
      <c r="E58" s="104"/>
      <c r="F58" s="25"/>
      <c r="G58" s="105"/>
      <c r="H58" s="106"/>
      <c r="I58" s="107" t="str">
        <f t="shared" si="6"/>
        <v/>
      </c>
      <c r="J58" s="108" t="str">
        <f t="shared" si="7"/>
        <v/>
      </c>
      <c r="K58" s="109" t="str">
        <f>IF(B58="","Pending",IF(M58="","⚠️ Enter Code",IF(IFERROR(VLOOKUP(L58,DB_Agents!$B:$I,8,0),"")=M58,"Pending","🔒 BLOCKED — Wrong Code")))</f>
        <v>Pending</v>
      </c>
      <c r="L58" s="27"/>
      <c r="M58" s="84"/>
      <c r="N58" s="94"/>
    </row>
    <row r="59" spans="1:14" x14ac:dyDescent="0.25">
      <c r="A59" s="85" t="str">
        <f t="shared" si="4"/>
        <v/>
      </c>
      <c r="B59" s="79"/>
      <c r="C59" s="21" t="str">
        <f>IF(B59="","",IFERROR(VLOOKUP(B59,DB_Customers!$A:$D,4,0),"❌ Account Not Found"))</f>
        <v/>
      </c>
      <c r="D59" s="81" t="str">
        <f t="shared" ca="1" si="5"/>
        <v/>
      </c>
      <c r="E59" s="104"/>
      <c r="F59" s="21"/>
      <c r="G59" s="110"/>
      <c r="H59" s="111"/>
      <c r="I59" s="107" t="str">
        <f t="shared" si="6"/>
        <v/>
      </c>
      <c r="J59" s="112" t="str">
        <f t="shared" si="7"/>
        <v/>
      </c>
      <c r="K59" s="113" t="str">
        <f>IF(B59="","Pending",IF(M59="","⚠️ Enter Code",IF(IFERROR(VLOOKUP(L59,DB_Agents!$B:$I,8,0),"")=M59,"Pending","🔒 BLOCKED — Wrong Code")))</f>
        <v>Pending</v>
      </c>
      <c r="L59" s="23"/>
      <c r="M59" s="84"/>
      <c r="N59" s="87"/>
    </row>
    <row r="60" spans="1:14" x14ac:dyDescent="0.25">
      <c r="A60" s="92" t="str">
        <f t="shared" si="4"/>
        <v/>
      </c>
      <c r="B60" s="88"/>
      <c r="C60" s="25" t="str">
        <f>IF(B60="","",IFERROR(VLOOKUP(B60,DB_Customers!$A:$D,4,0),"❌ Account Not Found"))</f>
        <v/>
      </c>
      <c r="D60" s="90" t="str">
        <f t="shared" ca="1" si="5"/>
        <v/>
      </c>
      <c r="E60" s="104"/>
      <c r="F60" s="25"/>
      <c r="G60" s="105"/>
      <c r="H60" s="106"/>
      <c r="I60" s="107" t="str">
        <f t="shared" si="6"/>
        <v/>
      </c>
      <c r="J60" s="108" t="str">
        <f t="shared" si="7"/>
        <v/>
      </c>
      <c r="K60" s="109" t="str">
        <f>IF(B60="","Pending",IF(M60="","⚠️ Enter Code",IF(IFERROR(VLOOKUP(L60,DB_Agents!$B:$I,8,0),"")=M60,"Pending","🔒 BLOCKED — Wrong Code")))</f>
        <v>Pending</v>
      </c>
      <c r="L60" s="27"/>
      <c r="M60" s="84"/>
      <c r="N60" s="94"/>
    </row>
    <row r="61" spans="1:14" x14ac:dyDescent="0.25">
      <c r="A61" s="85" t="str">
        <f t="shared" si="4"/>
        <v/>
      </c>
      <c r="B61" s="79"/>
      <c r="C61" s="21" t="str">
        <f>IF(B61="","",IFERROR(VLOOKUP(B61,DB_Customers!$A:$D,4,0),"❌ Account Not Found"))</f>
        <v/>
      </c>
      <c r="D61" s="81" t="str">
        <f t="shared" ca="1" si="5"/>
        <v/>
      </c>
      <c r="E61" s="104"/>
      <c r="F61" s="21"/>
      <c r="G61" s="110"/>
      <c r="H61" s="111"/>
      <c r="I61" s="107" t="str">
        <f t="shared" si="6"/>
        <v/>
      </c>
      <c r="J61" s="112" t="str">
        <f t="shared" si="7"/>
        <v/>
      </c>
      <c r="K61" s="113" t="str">
        <f>IF(B61="","Pending",IF(M61="","⚠️ Enter Code",IF(IFERROR(VLOOKUP(L61,DB_Agents!$B:$I,8,0),"")=M61,"Pending","🔒 BLOCKED — Wrong Code")))</f>
        <v>Pending</v>
      </c>
      <c r="L61" s="23"/>
      <c r="M61" s="84"/>
      <c r="N61" s="87"/>
    </row>
    <row r="62" spans="1:14" x14ac:dyDescent="0.25">
      <c r="A62" s="92" t="str">
        <f t="shared" si="4"/>
        <v/>
      </c>
      <c r="B62" s="88"/>
      <c r="C62" s="25" t="str">
        <f>IF(B62="","",IFERROR(VLOOKUP(B62,DB_Customers!$A:$D,4,0),"❌ Account Not Found"))</f>
        <v/>
      </c>
      <c r="D62" s="90" t="str">
        <f t="shared" ca="1" si="5"/>
        <v/>
      </c>
      <c r="E62" s="104"/>
      <c r="F62" s="25"/>
      <c r="G62" s="105"/>
      <c r="H62" s="106"/>
      <c r="I62" s="107" t="str">
        <f t="shared" si="6"/>
        <v/>
      </c>
      <c r="J62" s="108" t="str">
        <f t="shared" si="7"/>
        <v/>
      </c>
      <c r="K62" s="109" t="str">
        <f>IF(B62="","Pending",IF(M62="","⚠️ Enter Code",IF(IFERROR(VLOOKUP(L62,DB_Agents!$B:$I,8,0),"")=M62,"Pending","🔒 BLOCKED — Wrong Code")))</f>
        <v>Pending</v>
      </c>
      <c r="L62" s="27"/>
      <c r="M62" s="84"/>
      <c r="N62" s="94"/>
    </row>
    <row r="63" spans="1:14" x14ac:dyDescent="0.25">
      <c r="A63" s="85" t="str">
        <f t="shared" si="4"/>
        <v/>
      </c>
      <c r="B63" s="79"/>
      <c r="C63" s="21" t="str">
        <f>IF(B63="","",IFERROR(VLOOKUP(B63,DB_Customers!$A:$D,4,0),"❌ Account Not Found"))</f>
        <v/>
      </c>
      <c r="D63" s="81" t="str">
        <f t="shared" ca="1" si="5"/>
        <v/>
      </c>
      <c r="E63" s="104"/>
      <c r="F63" s="21"/>
      <c r="G63" s="110"/>
      <c r="H63" s="111"/>
      <c r="I63" s="107" t="str">
        <f t="shared" si="6"/>
        <v/>
      </c>
      <c r="J63" s="112" t="str">
        <f t="shared" si="7"/>
        <v/>
      </c>
      <c r="K63" s="113" t="str">
        <f>IF(B63="","Pending",IF(M63="","⚠️ Enter Code",IF(IFERROR(VLOOKUP(L63,DB_Agents!$B:$I,8,0),"")=M63,"Pending","🔒 BLOCKED — Wrong Code")))</f>
        <v>Pending</v>
      </c>
      <c r="L63" s="23"/>
      <c r="M63" s="84"/>
      <c r="N63" s="87"/>
    </row>
    <row r="64" spans="1:14" x14ac:dyDescent="0.25">
      <c r="A64" s="92" t="str">
        <f t="shared" si="4"/>
        <v/>
      </c>
      <c r="B64" s="88"/>
      <c r="C64" s="25" t="str">
        <f>IF(B64="","",IFERROR(VLOOKUP(B64,DB_Customers!$A:$D,4,0),"❌ Account Not Found"))</f>
        <v/>
      </c>
      <c r="D64" s="90" t="str">
        <f t="shared" ca="1" si="5"/>
        <v/>
      </c>
      <c r="E64" s="104"/>
      <c r="F64" s="25"/>
      <c r="G64" s="105"/>
      <c r="H64" s="106"/>
      <c r="I64" s="107" t="str">
        <f t="shared" si="6"/>
        <v/>
      </c>
      <c r="J64" s="108" t="str">
        <f t="shared" si="7"/>
        <v/>
      </c>
      <c r="K64" s="109" t="str">
        <f>IF(B64="","Pending",IF(M64="","⚠️ Enter Code",IF(IFERROR(VLOOKUP(L64,DB_Agents!$B:$I,8,0),"")=M64,"Pending","🔒 BLOCKED — Wrong Code")))</f>
        <v>Pending</v>
      </c>
      <c r="L64" s="27"/>
      <c r="M64" s="84"/>
      <c r="N64" s="94"/>
    </row>
    <row r="65" spans="1:14" x14ac:dyDescent="0.25">
      <c r="A65" s="85" t="str">
        <f t="shared" si="4"/>
        <v/>
      </c>
      <c r="B65" s="79"/>
      <c r="C65" s="21" t="str">
        <f>IF(B65="","",IFERROR(VLOOKUP(B65,DB_Customers!$A:$D,4,0),"❌ Account Not Found"))</f>
        <v/>
      </c>
      <c r="D65" s="81" t="str">
        <f t="shared" ca="1" si="5"/>
        <v/>
      </c>
      <c r="E65" s="104"/>
      <c r="F65" s="21"/>
      <c r="G65" s="110"/>
      <c r="H65" s="111"/>
      <c r="I65" s="107" t="str">
        <f t="shared" si="6"/>
        <v/>
      </c>
      <c r="J65" s="112" t="str">
        <f t="shared" si="7"/>
        <v/>
      </c>
      <c r="K65" s="113" t="str">
        <f>IF(B65="","Pending",IF(M65="","⚠️ Enter Code",IF(IFERROR(VLOOKUP(L65,DB_Agents!$B:$I,8,0),"")=M65,"Pending","🔒 BLOCKED — Wrong Code")))</f>
        <v>Pending</v>
      </c>
      <c r="L65" s="23"/>
      <c r="M65" s="84"/>
      <c r="N65" s="87"/>
    </row>
    <row r="66" spans="1:14" x14ac:dyDescent="0.25">
      <c r="A66" s="92" t="str">
        <f t="shared" si="4"/>
        <v/>
      </c>
      <c r="B66" s="88"/>
      <c r="C66" s="25" t="str">
        <f>IF(B66="","",IFERROR(VLOOKUP(B66,DB_Customers!$A:$D,4,0),"❌ Account Not Found"))</f>
        <v/>
      </c>
      <c r="D66" s="90" t="str">
        <f t="shared" ca="1" si="5"/>
        <v/>
      </c>
      <c r="E66" s="104"/>
      <c r="F66" s="25"/>
      <c r="G66" s="105"/>
      <c r="H66" s="106"/>
      <c r="I66" s="107" t="str">
        <f t="shared" si="6"/>
        <v/>
      </c>
      <c r="J66" s="108" t="str">
        <f t="shared" si="7"/>
        <v/>
      </c>
      <c r="K66" s="109" t="str">
        <f>IF(B66="","Pending",IF(M66="","⚠️ Enter Code",IF(IFERROR(VLOOKUP(L66,DB_Agents!$B:$I,8,0),"")=M66,"Pending","🔒 BLOCKED — Wrong Code")))</f>
        <v>Pending</v>
      </c>
      <c r="L66" s="27"/>
      <c r="M66" s="84"/>
      <c r="N66" s="94"/>
    </row>
    <row r="67" spans="1:14" x14ac:dyDescent="0.25">
      <c r="A67" s="85" t="str">
        <f t="shared" si="4"/>
        <v/>
      </c>
      <c r="B67" s="79"/>
      <c r="C67" s="21" t="str">
        <f>IF(B67="","",IFERROR(VLOOKUP(B67,DB_Customers!$A:$D,4,0),"❌ Account Not Found"))</f>
        <v/>
      </c>
      <c r="D67" s="81" t="str">
        <f t="shared" ca="1" si="5"/>
        <v/>
      </c>
      <c r="E67" s="104"/>
      <c r="F67" s="21"/>
      <c r="G67" s="110"/>
      <c r="H67" s="111"/>
      <c r="I67" s="107" t="str">
        <f t="shared" si="6"/>
        <v/>
      </c>
      <c r="J67" s="112" t="str">
        <f t="shared" si="7"/>
        <v/>
      </c>
      <c r="K67" s="113" t="str">
        <f>IF(B67="","Pending",IF(M67="","⚠️ Enter Code",IF(IFERROR(VLOOKUP(L67,DB_Agents!$B:$I,8,0),"")=M67,"Pending","🔒 BLOCKED — Wrong Code")))</f>
        <v>Pending</v>
      </c>
      <c r="L67" s="23"/>
      <c r="M67" s="84"/>
      <c r="N67" s="87"/>
    </row>
    <row r="68" spans="1:14" x14ac:dyDescent="0.25">
      <c r="A68" s="92" t="str">
        <f t="shared" si="4"/>
        <v/>
      </c>
      <c r="B68" s="88"/>
      <c r="C68" s="25" t="str">
        <f>IF(B68="","",IFERROR(VLOOKUP(B68,DB_Customers!$A:$D,4,0),"❌ Account Not Found"))</f>
        <v/>
      </c>
      <c r="D68" s="90" t="str">
        <f t="shared" ca="1" si="5"/>
        <v/>
      </c>
      <c r="E68" s="104"/>
      <c r="F68" s="25"/>
      <c r="G68" s="105"/>
      <c r="H68" s="106"/>
      <c r="I68" s="107" t="str">
        <f t="shared" si="6"/>
        <v/>
      </c>
      <c r="J68" s="108" t="str">
        <f t="shared" si="7"/>
        <v/>
      </c>
      <c r="K68" s="109" t="str">
        <f>IF(B68="","Pending",IF(M68="","⚠️ Enter Code",IF(IFERROR(VLOOKUP(L68,DB_Agents!$B:$I,8,0),"")=M68,"Pending","🔒 BLOCKED — Wrong Code")))</f>
        <v>Pending</v>
      </c>
      <c r="L68" s="27"/>
      <c r="M68" s="84"/>
      <c r="N68" s="94"/>
    </row>
    <row r="69" spans="1:14" x14ac:dyDescent="0.25">
      <c r="A69" s="85" t="str">
        <f t="shared" si="4"/>
        <v/>
      </c>
      <c r="B69" s="79"/>
      <c r="C69" s="21" t="str">
        <f>IF(B69="","",IFERROR(VLOOKUP(B69,DB_Customers!$A:$D,4,0),"❌ Account Not Found"))</f>
        <v/>
      </c>
      <c r="D69" s="81" t="str">
        <f t="shared" ca="1" si="5"/>
        <v/>
      </c>
      <c r="E69" s="104"/>
      <c r="F69" s="21"/>
      <c r="G69" s="110"/>
      <c r="H69" s="111"/>
      <c r="I69" s="107" t="str">
        <f t="shared" si="6"/>
        <v/>
      </c>
      <c r="J69" s="112" t="str">
        <f t="shared" si="7"/>
        <v/>
      </c>
      <c r="K69" s="113" t="str">
        <f>IF(B69="","Pending",IF(M69="","⚠️ Enter Code",IF(IFERROR(VLOOKUP(L69,DB_Agents!$B:$I,8,0),"")=M69,"Pending","🔒 BLOCKED — Wrong Code")))</f>
        <v>Pending</v>
      </c>
      <c r="L69" s="23"/>
      <c r="M69" s="84"/>
      <c r="N69" s="87"/>
    </row>
    <row r="70" spans="1:14" x14ac:dyDescent="0.25">
      <c r="A70" s="92" t="str">
        <f t="shared" si="4"/>
        <v/>
      </c>
      <c r="B70" s="88"/>
      <c r="C70" s="25" t="str">
        <f>IF(B70="","",IFERROR(VLOOKUP(B70,DB_Customers!$A:$D,4,0),"❌ Account Not Found"))</f>
        <v/>
      </c>
      <c r="D70" s="90" t="str">
        <f t="shared" ca="1" si="5"/>
        <v/>
      </c>
      <c r="E70" s="104"/>
      <c r="F70" s="25"/>
      <c r="G70" s="105"/>
      <c r="H70" s="106"/>
      <c r="I70" s="107" t="str">
        <f t="shared" si="6"/>
        <v/>
      </c>
      <c r="J70" s="108" t="str">
        <f t="shared" si="7"/>
        <v/>
      </c>
      <c r="K70" s="109" t="str">
        <f>IF(B70="","Pending",IF(M70="","⚠️ Enter Code",IF(IFERROR(VLOOKUP(L70,DB_Agents!$B:$I,8,0),"")=M70,"Pending","🔒 BLOCKED — Wrong Code")))</f>
        <v>Pending</v>
      </c>
      <c r="L70" s="27"/>
      <c r="M70" s="84"/>
      <c r="N70" s="94"/>
    </row>
    <row r="71" spans="1:14" x14ac:dyDescent="0.25">
      <c r="A71" s="85" t="str">
        <f t="shared" si="4"/>
        <v/>
      </c>
      <c r="B71" s="79"/>
      <c r="C71" s="21" t="str">
        <f>IF(B71="","",IFERROR(VLOOKUP(B71,DB_Customers!$A:$D,4,0),"❌ Account Not Found"))</f>
        <v/>
      </c>
      <c r="D71" s="81" t="str">
        <f t="shared" ca="1" si="5"/>
        <v/>
      </c>
      <c r="E71" s="104"/>
      <c r="F71" s="21"/>
      <c r="G71" s="110"/>
      <c r="H71" s="111"/>
      <c r="I71" s="107" t="str">
        <f t="shared" si="6"/>
        <v/>
      </c>
      <c r="J71" s="112" t="str">
        <f t="shared" si="7"/>
        <v/>
      </c>
      <c r="K71" s="113" t="str">
        <f>IF(B71="","Pending",IF(M71="","⚠️ Enter Code",IF(IFERROR(VLOOKUP(L71,DB_Agents!$B:$I,8,0),"")=M71,"Pending","🔒 BLOCKED — Wrong Code")))</f>
        <v>Pending</v>
      </c>
      <c r="L71" s="23"/>
      <c r="M71" s="84"/>
      <c r="N71" s="87"/>
    </row>
    <row r="72" spans="1:14" x14ac:dyDescent="0.25">
      <c r="A72" s="92" t="str">
        <f t="shared" si="4"/>
        <v/>
      </c>
      <c r="B72" s="88"/>
      <c r="C72" s="25" t="str">
        <f>IF(B72="","",IFERROR(VLOOKUP(B72,DB_Customers!$A:$D,4,0),"❌ Account Not Found"))</f>
        <v/>
      </c>
      <c r="D72" s="90" t="str">
        <f t="shared" ca="1" si="5"/>
        <v/>
      </c>
      <c r="E72" s="104"/>
      <c r="F72" s="25"/>
      <c r="G72" s="105"/>
      <c r="H72" s="106"/>
      <c r="I72" s="107" t="str">
        <f t="shared" si="6"/>
        <v/>
      </c>
      <c r="J72" s="108" t="str">
        <f t="shared" si="7"/>
        <v/>
      </c>
      <c r="K72" s="109" t="str">
        <f>IF(B72="","Pending",IF(M72="","⚠️ Enter Code",IF(IFERROR(VLOOKUP(L72,DB_Agents!$B:$I,8,0),"")=M72,"Pending","🔒 BLOCKED — Wrong Code")))</f>
        <v>Pending</v>
      </c>
      <c r="L72" s="27"/>
      <c r="M72" s="84"/>
      <c r="N72" s="94"/>
    </row>
    <row r="73" spans="1:14" x14ac:dyDescent="0.25">
      <c r="A73" s="85" t="str">
        <f t="shared" si="4"/>
        <v/>
      </c>
      <c r="B73" s="79"/>
      <c r="C73" s="21" t="str">
        <f>IF(B73="","",IFERROR(VLOOKUP(B73,DB_Customers!$A:$D,4,0),"❌ Account Not Found"))</f>
        <v/>
      </c>
      <c r="D73" s="81" t="str">
        <f t="shared" ca="1" si="5"/>
        <v/>
      </c>
      <c r="E73" s="104"/>
      <c r="F73" s="21"/>
      <c r="G73" s="110"/>
      <c r="H73" s="111"/>
      <c r="I73" s="107" t="str">
        <f t="shared" si="6"/>
        <v/>
      </c>
      <c r="J73" s="112" t="str">
        <f t="shared" si="7"/>
        <v/>
      </c>
      <c r="K73" s="113" t="str">
        <f>IF(B73="","Pending",IF(M73="","⚠️ Enter Code",IF(IFERROR(VLOOKUP(L73,DB_Agents!$B:$I,8,0),"")=M73,"Pending","🔒 BLOCKED — Wrong Code")))</f>
        <v>Pending</v>
      </c>
      <c r="L73" s="23"/>
      <c r="M73" s="84"/>
      <c r="N73" s="87"/>
    </row>
    <row r="74" spans="1:14" x14ac:dyDescent="0.25">
      <c r="A74" s="92" t="str">
        <f t="shared" si="4"/>
        <v/>
      </c>
      <c r="B74" s="88"/>
      <c r="C74" s="25" t="str">
        <f>IF(B74="","",IFERROR(VLOOKUP(B74,DB_Customers!$A:$D,4,0),"❌ Account Not Found"))</f>
        <v/>
      </c>
      <c r="D74" s="90" t="str">
        <f t="shared" ca="1" si="5"/>
        <v/>
      </c>
      <c r="E74" s="104"/>
      <c r="F74" s="25"/>
      <c r="G74" s="105"/>
      <c r="H74" s="106"/>
      <c r="I74" s="107" t="str">
        <f t="shared" si="6"/>
        <v/>
      </c>
      <c r="J74" s="108" t="str">
        <f t="shared" si="7"/>
        <v/>
      </c>
      <c r="K74" s="109" t="str">
        <f>IF(B74="","Pending",IF(M74="","⚠️ Enter Code",IF(IFERROR(VLOOKUP(L74,DB_Agents!$B:$I,8,0),"")=M74,"Pending","🔒 BLOCKED — Wrong Code")))</f>
        <v>Pending</v>
      </c>
      <c r="L74" s="27"/>
      <c r="M74" s="84"/>
      <c r="N74" s="94"/>
    </row>
    <row r="75" spans="1:14" x14ac:dyDescent="0.25">
      <c r="A75" s="85" t="str">
        <f t="shared" si="4"/>
        <v/>
      </c>
      <c r="B75" s="79"/>
      <c r="C75" s="21" t="str">
        <f>IF(B75="","",IFERROR(VLOOKUP(B75,DB_Customers!$A:$D,4,0),"❌ Account Not Found"))</f>
        <v/>
      </c>
      <c r="D75" s="81" t="str">
        <f t="shared" ca="1" si="5"/>
        <v/>
      </c>
      <c r="E75" s="104"/>
      <c r="F75" s="21"/>
      <c r="G75" s="110"/>
      <c r="H75" s="111"/>
      <c r="I75" s="107" t="str">
        <f t="shared" si="6"/>
        <v/>
      </c>
      <c r="J75" s="112" t="str">
        <f t="shared" si="7"/>
        <v/>
      </c>
      <c r="K75" s="113" t="str">
        <f>IF(B75="","Pending",IF(M75="","⚠️ Enter Code",IF(IFERROR(VLOOKUP(L75,DB_Agents!$B:$I,8,0),"")=M75,"Pending","🔒 BLOCKED — Wrong Code")))</f>
        <v>Pending</v>
      </c>
      <c r="L75" s="23"/>
      <c r="M75" s="84"/>
      <c r="N75" s="87"/>
    </row>
    <row r="76" spans="1:14" x14ac:dyDescent="0.25">
      <c r="A76" s="92" t="str">
        <f t="shared" si="4"/>
        <v/>
      </c>
      <c r="B76" s="88"/>
      <c r="C76" s="25" t="str">
        <f>IF(B76="","",IFERROR(VLOOKUP(B76,DB_Customers!$A:$D,4,0),"❌ Account Not Found"))</f>
        <v/>
      </c>
      <c r="D76" s="90" t="str">
        <f t="shared" ca="1" si="5"/>
        <v/>
      </c>
      <c r="E76" s="104"/>
      <c r="F76" s="25"/>
      <c r="G76" s="105"/>
      <c r="H76" s="106"/>
      <c r="I76" s="107" t="str">
        <f t="shared" si="6"/>
        <v/>
      </c>
      <c r="J76" s="108" t="str">
        <f t="shared" si="7"/>
        <v/>
      </c>
      <c r="K76" s="109" t="str">
        <f>IF(B76="","Pending",IF(M76="","⚠️ Enter Code",IF(IFERROR(VLOOKUP(L76,DB_Agents!$B:$I,8,0),"")=M76,"Pending","🔒 BLOCKED — Wrong Code")))</f>
        <v>Pending</v>
      </c>
      <c r="L76" s="27"/>
      <c r="M76" s="84"/>
      <c r="N76" s="94"/>
    </row>
    <row r="77" spans="1:14" x14ac:dyDescent="0.25">
      <c r="A77" s="85" t="str">
        <f t="shared" si="4"/>
        <v/>
      </c>
      <c r="B77" s="79"/>
      <c r="C77" s="21" t="str">
        <f>IF(B77="","",IFERROR(VLOOKUP(B77,DB_Customers!$A:$D,4,0),"❌ Account Not Found"))</f>
        <v/>
      </c>
      <c r="D77" s="81" t="str">
        <f t="shared" ca="1" si="5"/>
        <v/>
      </c>
      <c r="E77" s="104"/>
      <c r="F77" s="21"/>
      <c r="G77" s="110"/>
      <c r="H77" s="111"/>
      <c r="I77" s="107" t="str">
        <f t="shared" si="6"/>
        <v/>
      </c>
      <c r="J77" s="112" t="str">
        <f t="shared" si="7"/>
        <v/>
      </c>
      <c r="K77" s="113" t="str">
        <f>IF(B77="","Pending",IF(M77="","⚠️ Enter Code",IF(IFERROR(VLOOKUP(L77,DB_Agents!$B:$I,8,0),"")=M77,"Pending","🔒 BLOCKED — Wrong Code")))</f>
        <v>Pending</v>
      </c>
      <c r="L77" s="23"/>
      <c r="M77" s="84"/>
      <c r="N77" s="87"/>
    </row>
    <row r="78" spans="1:14" x14ac:dyDescent="0.25">
      <c r="A78" s="92" t="str">
        <f t="shared" ref="A78:A109" si="8">IF(B78="","",IF(C78="❌ Account Not Found","INVALID","LN"&amp;TEXT(D78,"YYYYMMDD")&amp;TEXT(ROW()-13,"0000")))</f>
        <v/>
      </c>
      <c r="B78" s="88"/>
      <c r="C78" s="25" t="str">
        <f>IF(B78="","",IFERROR(VLOOKUP(B78,DB_Customers!$A:$D,4,0),"❌ Account Not Found"))</f>
        <v/>
      </c>
      <c r="D78" s="90" t="str">
        <f t="shared" ref="D78:D113" ca="1" si="9">IF(B78="","",TODAY())</f>
        <v/>
      </c>
      <c r="E78" s="104"/>
      <c r="F78" s="25"/>
      <c r="G78" s="105"/>
      <c r="H78" s="106"/>
      <c r="I78" s="107" t="str">
        <f t="shared" ref="I78:I109" si="10">IF(E78="","",E78+(E78*H78/100*G78))</f>
        <v/>
      </c>
      <c r="J78" s="108" t="str">
        <f t="shared" ref="J78:J109" si="11">IFERROR(I78/G78,"")</f>
        <v/>
      </c>
      <c r="K78" s="109" t="str">
        <f>IF(B78="","Pending",IF(M78="","⚠️ Enter Code",IF(IFERROR(VLOOKUP(L78,DB_Agents!$B:$I,8,0),"")=M78,"Pending","🔒 BLOCKED — Wrong Code")))</f>
        <v>Pending</v>
      </c>
      <c r="L78" s="27"/>
      <c r="M78" s="84"/>
      <c r="N78" s="94"/>
    </row>
    <row r="79" spans="1:14" x14ac:dyDescent="0.25">
      <c r="A79" s="85" t="str">
        <f t="shared" si="8"/>
        <v/>
      </c>
      <c r="B79" s="79"/>
      <c r="C79" s="21" t="str">
        <f>IF(B79="","",IFERROR(VLOOKUP(B79,DB_Customers!$A:$D,4,0),"❌ Account Not Found"))</f>
        <v/>
      </c>
      <c r="D79" s="81" t="str">
        <f t="shared" ca="1" si="9"/>
        <v/>
      </c>
      <c r="E79" s="104"/>
      <c r="F79" s="21"/>
      <c r="G79" s="110"/>
      <c r="H79" s="111"/>
      <c r="I79" s="107" t="str">
        <f t="shared" si="10"/>
        <v/>
      </c>
      <c r="J79" s="112" t="str">
        <f t="shared" si="11"/>
        <v/>
      </c>
      <c r="K79" s="113" t="str">
        <f>IF(B79="","Pending",IF(M79="","⚠️ Enter Code",IF(IFERROR(VLOOKUP(L79,DB_Agents!$B:$I,8,0),"")=M79,"Pending","🔒 BLOCKED — Wrong Code")))</f>
        <v>Pending</v>
      </c>
      <c r="L79" s="23"/>
      <c r="M79" s="84"/>
      <c r="N79" s="87"/>
    </row>
    <row r="80" spans="1:14" x14ac:dyDescent="0.25">
      <c r="A80" s="92" t="str">
        <f t="shared" si="8"/>
        <v/>
      </c>
      <c r="B80" s="88"/>
      <c r="C80" s="25" t="str">
        <f>IF(B80="","",IFERROR(VLOOKUP(B80,DB_Customers!$A:$D,4,0),"❌ Account Not Found"))</f>
        <v/>
      </c>
      <c r="D80" s="90" t="str">
        <f t="shared" ca="1" si="9"/>
        <v/>
      </c>
      <c r="E80" s="104"/>
      <c r="F80" s="25"/>
      <c r="G80" s="105"/>
      <c r="H80" s="106"/>
      <c r="I80" s="107" t="str">
        <f t="shared" si="10"/>
        <v/>
      </c>
      <c r="J80" s="108" t="str">
        <f t="shared" si="11"/>
        <v/>
      </c>
      <c r="K80" s="109" t="str">
        <f>IF(B80="","Pending",IF(M80="","⚠️ Enter Code",IF(IFERROR(VLOOKUP(L80,DB_Agents!$B:$I,8,0),"")=M80,"Pending","🔒 BLOCKED — Wrong Code")))</f>
        <v>Pending</v>
      </c>
      <c r="L80" s="27"/>
      <c r="M80" s="84"/>
      <c r="N80" s="94"/>
    </row>
    <row r="81" spans="1:14" x14ac:dyDescent="0.25">
      <c r="A81" s="85" t="str">
        <f t="shared" si="8"/>
        <v/>
      </c>
      <c r="B81" s="79"/>
      <c r="C81" s="21" t="str">
        <f>IF(B81="","",IFERROR(VLOOKUP(B81,DB_Customers!$A:$D,4,0),"❌ Account Not Found"))</f>
        <v/>
      </c>
      <c r="D81" s="81" t="str">
        <f t="shared" ca="1" si="9"/>
        <v/>
      </c>
      <c r="E81" s="104"/>
      <c r="F81" s="21"/>
      <c r="G81" s="110"/>
      <c r="H81" s="111"/>
      <c r="I81" s="107" t="str">
        <f t="shared" si="10"/>
        <v/>
      </c>
      <c r="J81" s="112" t="str">
        <f t="shared" si="11"/>
        <v/>
      </c>
      <c r="K81" s="113" t="str">
        <f>IF(B81="","Pending",IF(M81="","⚠️ Enter Code",IF(IFERROR(VLOOKUP(L81,DB_Agents!$B:$I,8,0),"")=M81,"Pending","🔒 BLOCKED — Wrong Code")))</f>
        <v>Pending</v>
      </c>
      <c r="L81" s="23"/>
      <c r="M81" s="84"/>
      <c r="N81" s="87"/>
    </row>
    <row r="82" spans="1:14" x14ac:dyDescent="0.25">
      <c r="A82" s="92" t="str">
        <f t="shared" si="8"/>
        <v/>
      </c>
      <c r="B82" s="88"/>
      <c r="C82" s="25" t="str">
        <f>IF(B82="","",IFERROR(VLOOKUP(B82,DB_Customers!$A:$D,4,0),"❌ Account Not Found"))</f>
        <v/>
      </c>
      <c r="D82" s="90" t="str">
        <f t="shared" ca="1" si="9"/>
        <v/>
      </c>
      <c r="E82" s="104"/>
      <c r="F82" s="25"/>
      <c r="G82" s="105"/>
      <c r="H82" s="106"/>
      <c r="I82" s="107" t="str">
        <f t="shared" si="10"/>
        <v/>
      </c>
      <c r="J82" s="108" t="str">
        <f t="shared" si="11"/>
        <v/>
      </c>
      <c r="K82" s="109" t="str">
        <f>IF(B82="","Pending",IF(M82="","⚠️ Enter Code",IF(IFERROR(VLOOKUP(L82,DB_Agents!$B:$I,8,0),"")=M82,"Pending","🔒 BLOCKED — Wrong Code")))</f>
        <v>Pending</v>
      </c>
      <c r="L82" s="27"/>
      <c r="M82" s="84"/>
      <c r="N82" s="94"/>
    </row>
    <row r="83" spans="1:14" x14ac:dyDescent="0.25">
      <c r="A83" s="85" t="str">
        <f t="shared" si="8"/>
        <v/>
      </c>
      <c r="B83" s="79"/>
      <c r="C83" s="21" t="str">
        <f>IF(B83="","",IFERROR(VLOOKUP(B83,DB_Customers!$A:$D,4,0),"❌ Account Not Found"))</f>
        <v/>
      </c>
      <c r="D83" s="81" t="str">
        <f t="shared" ca="1" si="9"/>
        <v/>
      </c>
      <c r="E83" s="104"/>
      <c r="F83" s="21"/>
      <c r="G83" s="110"/>
      <c r="H83" s="111"/>
      <c r="I83" s="107" t="str">
        <f t="shared" si="10"/>
        <v/>
      </c>
      <c r="J83" s="112" t="str">
        <f t="shared" si="11"/>
        <v/>
      </c>
      <c r="K83" s="113" t="str">
        <f>IF(B83="","Pending",IF(M83="","⚠️ Enter Code",IF(IFERROR(VLOOKUP(L83,DB_Agents!$B:$I,8,0),"")=M83,"Pending","🔒 BLOCKED — Wrong Code")))</f>
        <v>Pending</v>
      </c>
      <c r="L83" s="23"/>
      <c r="M83" s="84"/>
      <c r="N83" s="87"/>
    </row>
    <row r="84" spans="1:14" x14ac:dyDescent="0.25">
      <c r="A84" s="92" t="str">
        <f t="shared" si="8"/>
        <v/>
      </c>
      <c r="B84" s="88"/>
      <c r="C84" s="25" t="str">
        <f>IF(B84="","",IFERROR(VLOOKUP(B84,DB_Customers!$A:$D,4,0),"❌ Account Not Found"))</f>
        <v/>
      </c>
      <c r="D84" s="90" t="str">
        <f t="shared" ca="1" si="9"/>
        <v/>
      </c>
      <c r="E84" s="104"/>
      <c r="F84" s="25"/>
      <c r="G84" s="105"/>
      <c r="H84" s="106"/>
      <c r="I84" s="107" t="str">
        <f t="shared" si="10"/>
        <v/>
      </c>
      <c r="J84" s="108" t="str">
        <f t="shared" si="11"/>
        <v/>
      </c>
      <c r="K84" s="109" t="str">
        <f>IF(B84="","Pending",IF(M84="","⚠️ Enter Code",IF(IFERROR(VLOOKUP(L84,DB_Agents!$B:$I,8,0),"")=M84,"Pending","🔒 BLOCKED — Wrong Code")))</f>
        <v>Pending</v>
      </c>
      <c r="L84" s="27"/>
      <c r="M84" s="84"/>
      <c r="N84" s="94"/>
    </row>
    <row r="85" spans="1:14" x14ac:dyDescent="0.25">
      <c r="A85" s="85" t="str">
        <f t="shared" si="8"/>
        <v/>
      </c>
      <c r="B85" s="79"/>
      <c r="C85" s="21" t="str">
        <f>IF(B85="","",IFERROR(VLOOKUP(B85,DB_Customers!$A:$D,4,0),"❌ Account Not Found"))</f>
        <v/>
      </c>
      <c r="D85" s="81" t="str">
        <f t="shared" ca="1" si="9"/>
        <v/>
      </c>
      <c r="E85" s="104"/>
      <c r="F85" s="21"/>
      <c r="G85" s="110"/>
      <c r="H85" s="111"/>
      <c r="I85" s="107" t="str">
        <f t="shared" si="10"/>
        <v/>
      </c>
      <c r="J85" s="112" t="str">
        <f t="shared" si="11"/>
        <v/>
      </c>
      <c r="K85" s="113" t="str">
        <f>IF(B85="","Pending",IF(M85="","⚠️ Enter Code",IF(IFERROR(VLOOKUP(L85,DB_Agents!$B:$I,8,0),"")=M85,"Pending","🔒 BLOCKED — Wrong Code")))</f>
        <v>Pending</v>
      </c>
      <c r="L85" s="23"/>
      <c r="M85" s="84"/>
      <c r="N85" s="87"/>
    </row>
    <row r="86" spans="1:14" x14ac:dyDescent="0.25">
      <c r="A86" s="92" t="str">
        <f t="shared" si="8"/>
        <v/>
      </c>
      <c r="B86" s="88"/>
      <c r="C86" s="25" t="str">
        <f>IF(B86="","",IFERROR(VLOOKUP(B86,DB_Customers!$A:$D,4,0),"❌ Account Not Found"))</f>
        <v/>
      </c>
      <c r="D86" s="90" t="str">
        <f t="shared" ca="1" si="9"/>
        <v/>
      </c>
      <c r="E86" s="104"/>
      <c r="F86" s="25"/>
      <c r="G86" s="105"/>
      <c r="H86" s="106"/>
      <c r="I86" s="107" t="str">
        <f t="shared" si="10"/>
        <v/>
      </c>
      <c r="J86" s="108" t="str">
        <f t="shared" si="11"/>
        <v/>
      </c>
      <c r="K86" s="109" t="str">
        <f>IF(B86="","Pending",IF(M86="","⚠️ Enter Code",IF(IFERROR(VLOOKUP(L86,DB_Agents!$B:$I,8,0),"")=M86,"Pending","🔒 BLOCKED — Wrong Code")))</f>
        <v>Pending</v>
      </c>
      <c r="L86" s="27"/>
      <c r="M86" s="84"/>
      <c r="N86" s="94"/>
    </row>
    <row r="87" spans="1:14" x14ac:dyDescent="0.25">
      <c r="A87" s="85" t="str">
        <f t="shared" si="8"/>
        <v/>
      </c>
      <c r="B87" s="79"/>
      <c r="C87" s="21" t="str">
        <f>IF(B87="","",IFERROR(VLOOKUP(B87,DB_Customers!$A:$D,4,0),"❌ Account Not Found"))</f>
        <v/>
      </c>
      <c r="D87" s="81" t="str">
        <f t="shared" ca="1" si="9"/>
        <v/>
      </c>
      <c r="E87" s="104"/>
      <c r="F87" s="21"/>
      <c r="G87" s="110"/>
      <c r="H87" s="111"/>
      <c r="I87" s="107" t="str">
        <f t="shared" si="10"/>
        <v/>
      </c>
      <c r="J87" s="112" t="str">
        <f t="shared" si="11"/>
        <v/>
      </c>
      <c r="K87" s="113" t="str">
        <f>IF(B87="","Pending",IF(M87="","⚠️ Enter Code",IF(IFERROR(VLOOKUP(L87,DB_Agents!$B:$I,8,0),"")=M87,"Pending","🔒 BLOCKED — Wrong Code")))</f>
        <v>Pending</v>
      </c>
      <c r="L87" s="23"/>
      <c r="M87" s="84"/>
      <c r="N87" s="87"/>
    </row>
    <row r="88" spans="1:14" x14ac:dyDescent="0.25">
      <c r="A88" s="92" t="str">
        <f t="shared" si="8"/>
        <v/>
      </c>
      <c r="B88" s="88"/>
      <c r="C88" s="25" t="str">
        <f>IF(B88="","",IFERROR(VLOOKUP(B88,DB_Customers!$A:$D,4,0),"❌ Account Not Found"))</f>
        <v/>
      </c>
      <c r="D88" s="90" t="str">
        <f t="shared" ca="1" si="9"/>
        <v/>
      </c>
      <c r="E88" s="104"/>
      <c r="F88" s="25"/>
      <c r="G88" s="105"/>
      <c r="H88" s="106"/>
      <c r="I88" s="107" t="str">
        <f t="shared" si="10"/>
        <v/>
      </c>
      <c r="J88" s="108" t="str">
        <f t="shared" si="11"/>
        <v/>
      </c>
      <c r="K88" s="109" t="str">
        <f>IF(B88="","Pending",IF(M88="","⚠️ Enter Code",IF(IFERROR(VLOOKUP(L88,DB_Agents!$B:$I,8,0),"")=M88,"Pending","🔒 BLOCKED — Wrong Code")))</f>
        <v>Pending</v>
      </c>
      <c r="L88" s="27"/>
      <c r="M88" s="84"/>
      <c r="N88" s="94"/>
    </row>
    <row r="89" spans="1:14" x14ac:dyDescent="0.25">
      <c r="A89" s="85" t="str">
        <f t="shared" si="8"/>
        <v/>
      </c>
      <c r="B89" s="79"/>
      <c r="C89" s="21" t="str">
        <f>IF(B89="","",IFERROR(VLOOKUP(B89,DB_Customers!$A:$D,4,0),"❌ Account Not Found"))</f>
        <v/>
      </c>
      <c r="D89" s="81" t="str">
        <f t="shared" ca="1" si="9"/>
        <v/>
      </c>
      <c r="E89" s="104"/>
      <c r="F89" s="21"/>
      <c r="G89" s="110"/>
      <c r="H89" s="111"/>
      <c r="I89" s="107" t="str">
        <f t="shared" si="10"/>
        <v/>
      </c>
      <c r="J89" s="112" t="str">
        <f t="shared" si="11"/>
        <v/>
      </c>
      <c r="K89" s="113" t="str">
        <f>IF(B89="","Pending",IF(M89="","⚠️ Enter Code",IF(IFERROR(VLOOKUP(L89,DB_Agents!$B:$I,8,0),"")=M89,"Pending","🔒 BLOCKED — Wrong Code")))</f>
        <v>Pending</v>
      </c>
      <c r="L89" s="23"/>
      <c r="M89" s="84"/>
      <c r="N89" s="87"/>
    </row>
    <row r="90" spans="1:14" x14ac:dyDescent="0.25">
      <c r="A90" s="92" t="str">
        <f t="shared" si="8"/>
        <v/>
      </c>
      <c r="B90" s="88"/>
      <c r="C90" s="25" t="str">
        <f>IF(B90="","",IFERROR(VLOOKUP(B90,DB_Customers!$A:$D,4,0),"❌ Account Not Found"))</f>
        <v/>
      </c>
      <c r="D90" s="90" t="str">
        <f t="shared" ca="1" si="9"/>
        <v/>
      </c>
      <c r="E90" s="104"/>
      <c r="F90" s="25"/>
      <c r="G90" s="105"/>
      <c r="H90" s="106"/>
      <c r="I90" s="107" t="str">
        <f t="shared" si="10"/>
        <v/>
      </c>
      <c r="J90" s="108" t="str">
        <f t="shared" si="11"/>
        <v/>
      </c>
      <c r="K90" s="109" t="str">
        <f>IF(B90="","Pending",IF(M90="","⚠️ Enter Code",IF(IFERROR(VLOOKUP(L90,DB_Agents!$B:$I,8,0),"")=M90,"Pending","🔒 BLOCKED — Wrong Code")))</f>
        <v>Pending</v>
      </c>
      <c r="L90" s="27"/>
      <c r="M90" s="84"/>
      <c r="N90" s="94"/>
    </row>
    <row r="91" spans="1:14" x14ac:dyDescent="0.25">
      <c r="A91" s="85" t="str">
        <f t="shared" si="8"/>
        <v/>
      </c>
      <c r="B91" s="79"/>
      <c r="C91" s="21" t="str">
        <f>IF(B91="","",IFERROR(VLOOKUP(B91,DB_Customers!$A:$D,4,0),"❌ Account Not Found"))</f>
        <v/>
      </c>
      <c r="D91" s="81" t="str">
        <f t="shared" ca="1" si="9"/>
        <v/>
      </c>
      <c r="E91" s="104"/>
      <c r="F91" s="21"/>
      <c r="G91" s="110"/>
      <c r="H91" s="111"/>
      <c r="I91" s="107" t="str">
        <f t="shared" si="10"/>
        <v/>
      </c>
      <c r="J91" s="112" t="str">
        <f t="shared" si="11"/>
        <v/>
      </c>
      <c r="K91" s="113" t="str">
        <f>IF(B91="","Pending",IF(M91="","⚠️ Enter Code",IF(IFERROR(VLOOKUP(L91,DB_Agents!$B:$I,8,0),"")=M91,"Pending","🔒 BLOCKED — Wrong Code")))</f>
        <v>Pending</v>
      </c>
      <c r="L91" s="23"/>
      <c r="M91" s="84"/>
      <c r="N91" s="87"/>
    </row>
    <row r="92" spans="1:14" x14ac:dyDescent="0.25">
      <c r="A92" s="92" t="str">
        <f t="shared" si="8"/>
        <v/>
      </c>
      <c r="B92" s="88"/>
      <c r="C92" s="25" t="str">
        <f>IF(B92="","",IFERROR(VLOOKUP(B92,DB_Customers!$A:$D,4,0),"❌ Account Not Found"))</f>
        <v/>
      </c>
      <c r="D92" s="90" t="str">
        <f t="shared" ca="1" si="9"/>
        <v/>
      </c>
      <c r="E92" s="104"/>
      <c r="F92" s="25"/>
      <c r="G92" s="105"/>
      <c r="H92" s="106"/>
      <c r="I92" s="107" t="str">
        <f t="shared" si="10"/>
        <v/>
      </c>
      <c r="J92" s="108" t="str">
        <f t="shared" si="11"/>
        <v/>
      </c>
      <c r="K92" s="109" t="str">
        <f>IF(B92="","Pending",IF(M92="","⚠️ Enter Code",IF(IFERROR(VLOOKUP(L92,DB_Agents!$B:$I,8,0),"")=M92,"Pending","🔒 BLOCKED — Wrong Code")))</f>
        <v>Pending</v>
      </c>
      <c r="L92" s="27"/>
      <c r="M92" s="84"/>
      <c r="N92" s="94"/>
    </row>
    <row r="93" spans="1:14" x14ac:dyDescent="0.25">
      <c r="A93" s="85" t="str">
        <f t="shared" si="8"/>
        <v/>
      </c>
      <c r="B93" s="79"/>
      <c r="C93" s="21" t="str">
        <f>IF(B93="","",IFERROR(VLOOKUP(B93,DB_Customers!$A:$D,4,0),"❌ Account Not Found"))</f>
        <v/>
      </c>
      <c r="D93" s="81" t="str">
        <f t="shared" ca="1" si="9"/>
        <v/>
      </c>
      <c r="E93" s="104"/>
      <c r="F93" s="21"/>
      <c r="G93" s="110"/>
      <c r="H93" s="111"/>
      <c r="I93" s="107" t="str">
        <f t="shared" si="10"/>
        <v/>
      </c>
      <c r="J93" s="112" t="str">
        <f t="shared" si="11"/>
        <v/>
      </c>
      <c r="K93" s="113" t="str">
        <f>IF(B93="","Pending",IF(M93="","⚠️ Enter Code",IF(IFERROR(VLOOKUP(L93,DB_Agents!$B:$I,8,0),"")=M93,"Pending","🔒 BLOCKED — Wrong Code")))</f>
        <v>Pending</v>
      </c>
      <c r="L93" s="23"/>
      <c r="M93" s="84"/>
      <c r="N93" s="87"/>
    </row>
    <row r="94" spans="1:14" x14ac:dyDescent="0.25">
      <c r="A94" s="92" t="str">
        <f t="shared" si="8"/>
        <v/>
      </c>
      <c r="B94" s="88"/>
      <c r="C94" s="25" t="str">
        <f>IF(B94="","",IFERROR(VLOOKUP(B94,DB_Customers!$A:$D,4,0),"❌ Account Not Found"))</f>
        <v/>
      </c>
      <c r="D94" s="90" t="str">
        <f t="shared" ca="1" si="9"/>
        <v/>
      </c>
      <c r="E94" s="104"/>
      <c r="F94" s="25"/>
      <c r="G94" s="105"/>
      <c r="H94" s="106"/>
      <c r="I94" s="107" t="str">
        <f t="shared" si="10"/>
        <v/>
      </c>
      <c r="J94" s="108" t="str">
        <f t="shared" si="11"/>
        <v/>
      </c>
      <c r="K94" s="109" t="str">
        <f>IF(B94="","Pending",IF(M94="","⚠️ Enter Code",IF(IFERROR(VLOOKUP(L94,DB_Agents!$B:$I,8,0),"")=M94,"Pending","🔒 BLOCKED — Wrong Code")))</f>
        <v>Pending</v>
      </c>
      <c r="L94" s="27"/>
      <c r="M94" s="84"/>
      <c r="N94" s="94"/>
    </row>
    <row r="95" spans="1:14" x14ac:dyDescent="0.25">
      <c r="A95" s="85" t="str">
        <f t="shared" si="8"/>
        <v/>
      </c>
      <c r="B95" s="79"/>
      <c r="C95" s="21" t="str">
        <f>IF(B95="","",IFERROR(VLOOKUP(B95,DB_Customers!$A:$D,4,0),"❌ Account Not Found"))</f>
        <v/>
      </c>
      <c r="D95" s="81" t="str">
        <f t="shared" ca="1" si="9"/>
        <v/>
      </c>
      <c r="E95" s="104"/>
      <c r="F95" s="21"/>
      <c r="G95" s="110"/>
      <c r="H95" s="111"/>
      <c r="I95" s="107" t="str">
        <f t="shared" si="10"/>
        <v/>
      </c>
      <c r="J95" s="112" t="str">
        <f t="shared" si="11"/>
        <v/>
      </c>
      <c r="K95" s="113" t="str">
        <f>IF(B95="","Pending",IF(M95="","⚠️ Enter Code",IF(IFERROR(VLOOKUP(L95,DB_Agents!$B:$I,8,0),"")=M95,"Pending","🔒 BLOCKED — Wrong Code")))</f>
        <v>Pending</v>
      </c>
      <c r="L95" s="23"/>
      <c r="M95" s="84"/>
      <c r="N95" s="87"/>
    </row>
    <row r="96" spans="1:14" x14ac:dyDescent="0.25">
      <c r="A96" s="92" t="str">
        <f t="shared" si="8"/>
        <v/>
      </c>
      <c r="B96" s="88"/>
      <c r="C96" s="25" t="str">
        <f>IF(B96="","",IFERROR(VLOOKUP(B96,DB_Customers!$A:$D,4,0),"❌ Account Not Found"))</f>
        <v/>
      </c>
      <c r="D96" s="90" t="str">
        <f t="shared" ca="1" si="9"/>
        <v/>
      </c>
      <c r="E96" s="104"/>
      <c r="F96" s="25"/>
      <c r="G96" s="105"/>
      <c r="H96" s="106"/>
      <c r="I96" s="107" t="str">
        <f t="shared" si="10"/>
        <v/>
      </c>
      <c r="J96" s="108" t="str">
        <f t="shared" si="11"/>
        <v/>
      </c>
      <c r="K96" s="109" t="str">
        <f>IF(B96="","Pending",IF(M96="","⚠️ Enter Code",IF(IFERROR(VLOOKUP(L96,DB_Agents!$B:$I,8,0),"")=M96,"Pending","🔒 BLOCKED — Wrong Code")))</f>
        <v>Pending</v>
      </c>
      <c r="L96" s="27"/>
      <c r="M96" s="84"/>
      <c r="N96" s="94"/>
    </row>
    <row r="97" spans="1:14" x14ac:dyDescent="0.25">
      <c r="A97" s="85" t="str">
        <f t="shared" si="8"/>
        <v/>
      </c>
      <c r="B97" s="79"/>
      <c r="C97" s="21" t="str">
        <f>IF(B97="","",IFERROR(VLOOKUP(B97,DB_Customers!$A:$D,4,0),"❌ Account Not Found"))</f>
        <v/>
      </c>
      <c r="D97" s="81" t="str">
        <f t="shared" ca="1" si="9"/>
        <v/>
      </c>
      <c r="E97" s="104"/>
      <c r="F97" s="21"/>
      <c r="G97" s="110"/>
      <c r="H97" s="111"/>
      <c r="I97" s="107" t="str">
        <f t="shared" si="10"/>
        <v/>
      </c>
      <c r="J97" s="112" t="str">
        <f t="shared" si="11"/>
        <v/>
      </c>
      <c r="K97" s="113" t="str">
        <f>IF(B97="","Pending",IF(M97="","⚠️ Enter Code",IF(IFERROR(VLOOKUP(L97,DB_Agents!$B:$I,8,0),"")=M97,"Pending","🔒 BLOCKED — Wrong Code")))</f>
        <v>Pending</v>
      </c>
      <c r="L97" s="23"/>
      <c r="M97" s="84"/>
      <c r="N97" s="87"/>
    </row>
    <row r="98" spans="1:14" x14ac:dyDescent="0.25">
      <c r="A98" s="92" t="str">
        <f t="shared" si="8"/>
        <v/>
      </c>
      <c r="B98" s="88"/>
      <c r="C98" s="25" t="str">
        <f>IF(B98="","",IFERROR(VLOOKUP(B98,DB_Customers!$A:$D,4,0),"❌ Account Not Found"))</f>
        <v/>
      </c>
      <c r="D98" s="90" t="str">
        <f t="shared" ca="1" si="9"/>
        <v/>
      </c>
      <c r="E98" s="104"/>
      <c r="F98" s="25"/>
      <c r="G98" s="105"/>
      <c r="H98" s="106"/>
      <c r="I98" s="107" t="str">
        <f t="shared" si="10"/>
        <v/>
      </c>
      <c r="J98" s="108" t="str">
        <f t="shared" si="11"/>
        <v/>
      </c>
      <c r="K98" s="109" t="str">
        <f>IF(B98="","Pending",IF(M98="","⚠️ Enter Code",IF(IFERROR(VLOOKUP(L98,DB_Agents!$B:$I,8,0),"")=M98,"Pending","🔒 BLOCKED — Wrong Code")))</f>
        <v>Pending</v>
      </c>
      <c r="L98" s="27"/>
      <c r="M98" s="84"/>
      <c r="N98" s="94"/>
    </row>
    <row r="99" spans="1:14" x14ac:dyDescent="0.25">
      <c r="A99" s="85" t="str">
        <f t="shared" si="8"/>
        <v/>
      </c>
      <c r="B99" s="79"/>
      <c r="C99" s="21" t="str">
        <f>IF(B99="","",IFERROR(VLOOKUP(B99,DB_Customers!$A:$D,4,0),"❌ Account Not Found"))</f>
        <v/>
      </c>
      <c r="D99" s="81" t="str">
        <f t="shared" ca="1" si="9"/>
        <v/>
      </c>
      <c r="E99" s="104"/>
      <c r="F99" s="21"/>
      <c r="G99" s="110"/>
      <c r="H99" s="111"/>
      <c r="I99" s="107" t="str">
        <f t="shared" si="10"/>
        <v/>
      </c>
      <c r="J99" s="112" t="str">
        <f t="shared" si="11"/>
        <v/>
      </c>
      <c r="K99" s="113" t="str">
        <f>IF(B99="","Pending",IF(M99="","⚠️ Enter Code",IF(IFERROR(VLOOKUP(L99,DB_Agents!$B:$I,8,0),"")=M99,"Pending","🔒 BLOCKED — Wrong Code")))</f>
        <v>Pending</v>
      </c>
      <c r="L99" s="23"/>
      <c r="M99" s="84"/>
      <c r="N99" s="87"/>
    </row>
    <row r="100" spans="1:14" x14ac:dyDescent="0.25">
      <c r="A100" s="92" t="str">
        <f t="shared" si="8"/>
        <v/>
      </c>
      <c r="B100" s="88"/>
      <c r="C100" s="25" t="str">
        <f>IF(B100="","",IFERROR(VLOOKUP(B100,DB_Customers!$A:$D,4,0),"❌ Account Not Found"))</f>
        <v/>
      </c>
      <c r="D100" s="90" t="str">
        <f t="shared" ca="1" si="9"/>
        <v/>
      </c>
      <c r="E100" s="104"/>
      <c r="F100" s="25"/>
      <c r="G100" s="105"/>
      <c r="H100" s="106"/>
      <c r="I100" s="107" t="str">
        <f t="shared" si="10"/>
        <v/>
      </c>
      <c r="J100" s="108" t="str">
        <f t="shared" si="11"/>
        <v/>
      </c>
      <c r="K100" s="109" t="str">
        <f>IF(B100="","Pending",IF(M100="","⚠️ Enter Code",IF(IFERROR(VLOOKUP(L100,DB_Agents!$B:$I,8,0),"")=M100,"Pending","🔒 BLOCKED — Wrong Code")))</f>
        <v>Pending</v>
      </c>
      <c r="L100" s="27"/>
      <c r="M100" s="84"/>
      <c r="N100" s="94"/>
    </row>
    <row r="101" spans="1:14" x14ac:dyDescent="0.25">
      <c r="A101" s="85" t="str">
        <f t="shared" si="8"/>
        <v/>
      </c>
      <c r="B101" s="79"/>
      <c r="C101" s="21" t="str">
        <f>IF(B101="","",IFERROR(VLOOKUP(B101,DB_Customers!$A:$D,4,0),"❌ Account Not Found"))</f>
        <v/>
      </c>
      <c r="D101" s="81" t="str">
        <f t="shared" ca="1" si="9"/>
        <v/>
      </c>
      <c r="E101" s="104"/>
      <c r="F101" s="21"/>
      <c r="G101" s="110"/>
      <c r="H101" s="111"/>
      <c r="I101" s="107" t="str">
        <f t="shared" si="10"/>
        <v/>
      </c>
      <c r="J101" s="112" t="str">
        <f t="shared" si="11"/>
        <v/>
      </c>
      <c r="K101" s="113" t="str">
        <f>IF(B101="","Pending",IF(M101="","⚠️ Enter Code",IF(IFERROR(VLOOKUP(L101,DB_Agents!$B:$I,8,0),"")=M101,"Pending","🔒 BLOCKED — Wrong Code")))</f>
        <v>Pending</v>
      </c>
      <c r="L101" s="23"/>
      <c r="M101" s="84"/>
      <c r="N101" s="87"/>
    </row>
    <row r="102" spans="1:14" x14ac:dyDescent="0.25">
      <c r="A102" s="92" t="str">
        <f t="shared" si="8"/>
        <v/>
      </c>
      <c r="B102" s="88"/>
      <c r="C102" s="25" t="str">
        <f>IF(B102="","",IFERROR(VLOOKUP(B102,DB_Customers!$A:$D,4,0),"❌ Account Not Found"))</f>
        <v/>
      </c>
      <c r="D102" s="90" t="str">
        <f t="shared" ca="1" si="9"/>
        <v/>
      </c>
      <c r="E102" s="104"/>
      <c r="F102" s="25"/>
      <c r="G102" s="105"/>
      <c r="H102" s="106"/>
      <c r="I102" s="107" t="str">
        <f t="shared" si="10"/>
        <v/>
      </c>
      <c r="J102" s="108" t="str">
        <f t="shared" si="11"/>
        <v/>
      </c>
      <c r="K102" s="109" t="str">
        <f>IF(B102="","Pending",IF(M102="","⚠️ Enter Code",IF(IFERROR(VLOOKUP(L102,DB_Agents!$B:$I,8,0),"")=M102,"Pending","🔒 BLOCKED — Wrong Code")))</f>
        <v>Pending</v>
      </c>
      <c r="L102" s="27"/>
      <c r="M102" s="84"/>
      <c r="N102" s="94"/>
    </row>
    <row r="103" spans="1:14" x14ac:dyDescent="0.25">
      <c r="A103" s="85" t="str">
        <f t="shared" si="8"/>
        <v/>
      </c>
      <c r="B103" s="79"/>
      <c r="C103" s="21" t="str">
        <f>IF(B103="","",IFERROR(VLOOKUP(B103,DB_Customers!$A:$D,4,0),"❌ Account Not Found"))</f>
        <v/>
      </c>
      <c r="D103" s="81" t="str">
        <f t="shared" ca="1" si="9"/>
        <v/>
      </c>
      <c r="E103" s="104"/>
      <c r="F103" s="21"/>
      <c r="G103" s="110"/>
      <c r="H103" s="111"/>
      <c r="I103" s="107" t="str">
        <f t="shared" si="10"/>
        <v/>
      </c>
      <c r="J103" s="112" t="str">
        <f t="shared" si="11"/>
        <v/>
      </c>
      <c r="K103" s="113" t="str">
        <f>IF(B103="","Pending",IF(M103="","⚠️ Enter Code",IF(IFERROR(VLOOKUP(L103,DB_Agents!$B:$I,8,0),"")=M103,"Pending","🔒 BLOCKED — Wrong Code")))</f>
        <v>Pending</v>
      </c>
      <c r="L103" s="23"/>
      <c r="M103" s="84"/>
      <c r="N103" s="87"/>
    </row>
    <row r="104" spans="1:14" x14ac:dyDescent="0.25">
      <c r="A104" s="92" t="str">
        <f t="shared" si="8"/>
        <v/>
      </c>
      <c r="B104" s="88"/>
      <c r="C104" s="25" t="str">
        <f>IF(B104="","",IFERROR(VLOOKUP(B104,DB_Customers!$A:$D,4,0),"❌ Account Not Found"))</f>
        <v/>
      </c>
      <c r="D104" s="90" t="str">
        <f t="shared" ca="1" si="9"/>
        <v/>
      </c>
      <c r="E104" s="104"/>
      <c r="F104" s="25"/>
      <c r="G104" s="105"/>
      <c r="H104" s="106"/>
      <c r="I104" s="107" t="str">
        <f t="shared" si="10"/>
        <v/>
      </c>
      <c r="J104" s="108" t="str">
        <f t="shared" si="11"/>
        <v/>
      </c>
      <c r="K104" s="109" t="str">
        <f>IF(B104="","Pending",IF(M104="","⚠️ Enter Code",IF(IFERROR(VLOOKUP(L104,DB_Agents!$B:$I,8,0),"")=M104,"Pending","🔒 BLOCKED — Wrong Code")))</f>
        <v>Pending</v>
      </c>
      <c r="L104" s="27"/>
      <c r="M104" s="84"/>
      <c r="N104" s="94"/>
    </row>
    <row r="105" spans="1:14" x14ac:dyDescent="0.25">
      <c r="A105" s="85" t="str">
        <f t="shared" si="8"/>
        <v/>
      </c>
      <c r="B105" s="79"/>
      <c r="C105" s="21" t="str">
        <f>IF(B105="","",IFERROR(VLOOKUP(B105,DB_Customers!$A:$D,4,0),"❌ Account Not Found"))</f>
        <v/>
      </c>
      <c r="D105" s="81" t="str">
        <f t="shared" ca="1" si="9"/>
        <v/>
      </c>
      <c r="E105" s="104"/>
      <c r="F105" s="21"/>
      <c r="G105" s="110"/>
      <c r="H105" s="111"/>
      <c r="I105" s="107" t="str">
        <f t="shared" si="10"/>
        <v/>
      </c>
      <c r="J105" s="112" t="str">
        <f t="shared" si="11"/>
        <v/>
      </c>
      <c r="K105" s="113" t="str">
        <f>IF(B105="","Pending",IF(M105="","⚠️ Enter Code",IF(IFERROR(VLOOKUP(L105,DB_Agents!$B:$I,8,0),"")=M105,"Pending","🔒 BLOCKED — Wrong Code")))</f>
        <v>Pending</v>
      </c>
      <c r="L105" s="23"/>
      <c r="M105" s="84"/>
      <c r="N105" s="87"/>
    </row>
    <row r="106" spans="1:14" x14ac:dyDescent="0.25">
      <c r="A106" s="92" t="str">
        <f t="shared" si="8"/>
        <v/>
      </c>
      <c r="B106" s="88"/>
      <c r="C106" s="25" t="str">
        <f>IF(B106="","",IFERROR(VLOOKUP(B106,DB_Customers!$A:$D,4,0),"❌ Account Not Found"))</f>
        <v/>
      </c>
      <c r="D106" s="90" t="str">
        <f t="shared" ca="1" si="9"/>
        <v/>
      </c>
      <c r="E106" s="104"/>
      <c r="F106" s="25"/>
      <c r="G106" s="105"/>
      <c r="H106" s="106"/>
      <c r="I106" s="107" t="str">
        <f t="shared" si="10"/>
        <v/>
      </c>
      <c r="J106" s="108" t="str">
        <f t="shared" si="11"/>
        <v/>
      </c>
      <c r="K106" s="109" t="str">
        <f>IF(B106="","Pending",IF(M106="","⚠️ Enter Code",IF(IFERROR(VLOOKUP(L106,DB_Agents!$B:$I,8,0),"")=M106,"Pending","🔒 BLOCKED — Wrong Code")))</f>
        <v>Pending</v>
      </c>
      <c r="L106" s="27"/>
      <c r="M106" s="84"/>
      <c r="N106" s="94"/>
    </row>
    <row r="107" spans="1:14" x14ac:dyDescent="0.25">
      <c r="A107" s="85" t="str">
        <f t="shared" si="8"/>
        <v/>
      </c>
      <c r="B107" s="79"/>
      <c r="C107" s="21" t="str">
        <f>IF(B107="","",IFERROR(VLOOKUP(B107,DB_Customers!$A:$D,4,0),"❌ Account Not Found"))</f>
        <v/>
      </c>
      <c r="D107" s="81" t="str">
        <f t="shared" ca="1" si="9"/>
        <v/>
      </c>
      <c r="E107" s="104"/>
      <c r="F107" s="21"/>
      <c r="G107" s="110"/>
      <c r="H107" s="111"/>
      <c r="I107" s="107" t="str">
        <f t="shared" si="10"/>
        <v/>
      </c>
      <c r="J107" s="112" t="str">
        <f t="shared" si="11"/>
        <v/>
      </c>
      <c r="K107" s="113" t="str">
        <f>IF(B107="","Pending",IF(M107="","⚠️ Enter Code",IF(IFERROR(VLOOKUP(L107,DB_Agents!$B:$I,8,0),"")=M107,"Pending","🔒 BLOCKED — Wrong Code")))</f>
        <v>Pending</v>
      </c>
      <c r="L107" s="23"/>
      <c r="M107" s="84"/>
      <c r="N107" s="87"/>
    </row>
    <row r="108" spans="1:14" x14ac:dyDescent="0.25">
      <c r="A108" s="92" t="str">
        <f t="shared" si="8"/>
        <v/>
      </c>
      <c r="B108" s="88"/>
      <c r="C108" s="25" t="str">
        <f>IF(B108="","",IFERROR(VLOOKUP(B108,DB_Customers!$A:$D,4,0),"❌ Account Not Found"))</f>
        <v/>
      </c>
      <c r="D108" s="90" t="str">
        <f t="shared" ca="1" si="9"/>
        <v/>
      </c>
      <c r="E108" s="104"/>
      <c r="F108" s="25"/>
      <c r="G108" s="105"/>
      <c r="H108" s="106"/>
      <c r="I108" s="107" t="str">
        <f t="shared" si="10"/>
        <v/>
      </c>
      <c r="J108" s="108" t="str">
        <f t="shared" si="11"/>
        <v/>
      </c>
      <c r="K108" s="109" t="str">
        <f>IF(B108="","Pending",IF(M108="","⚠️ Enter Code",IF(IFERROR(VLOOKUP(L108,DB_Agents!$B:$I,8,0),"")=M108,"Pending","🔒 BLOCKED — Wrong Code")))</f>
        <v>Pending</v>
      </c>
      <c r="L108" s="27"/>
      <c r="M108" s="84"/>
      <c r="N108" s="94"/>
    </row>
    <row r="109" spans="1:14" x14ac:dyDescent="0.25">
      <c r="A109" s="85" t="str">
        <f t="shared" si="8"/>
        <v/>
      </c>
      <c r="B109" s="79"/>
      <c r="C109" s="21" t="str">
        <f>IF(B109="","",IFERROR(VLOOKUP(B109,DB_Customers!$A:$D,4,0),"❌ Account Not Found"))</f>
        <v/>
      </c>
      <c r="D109" s="81" t="str">
        <f t="shared" ca="1" si="9"/>
        <v/>
      </c>
      <c r="E109" s="104"/>
      <c r="F109" s="21"/>
      <c r="G109" s="110"/>
      <c r="H109" s="111"/>
      <c r="I109" s="107" t="str">
        <f t="shared" si="10"/>
        <v/>
      </c>
      <c r="J109" s="112" t="str">
        <f t="shared" si="11"/>
        <v/>
      </c>
      <c r="K109" s="113" t="str">
        <f>IF(B109="","Pending",IF(M109="","⚠️ Enter Code",IF(IFERROR(VLOOKUP(L109,DB_Agents!$B:$I,8,0),"")=M109,"Pending","🔒 BLOCKED — Wrong Code")))</f>
        <v>Pending</v>
      </c>
      <c r="L109" s="23"/>
      <c r="M109" s="84"/>
      <c r="N109" s="87"/>
    </row>
    <row r="110" spans="1:14" x14ac:dyDescent="0.25">
      <c r="A110" s="92" t="str">
        <f t="shared" ref="A110:A141" si="12">IF(B110="","",IF(C110="❌ Account Not Found","INVALID","LN"&amp;TEXT(D110,"YYYYMMDD")&amp;TEXT(ROW()-13,"0000")))</f>
        <v/>
      </c>
      <c r="B110" s="88"/>
      <c r="C110" s="25" t="str">
        <f>IF(B110="","",IFERROR(VLOOKUP(B110,DB_Customers!$A:$D,4,0),"❌ Account Not Found"))</f>
        <v/>
      </c>
      <c r="D110" s="90" t="str">
        <f t="shared" ca="1" si="9"/>
        <v/>
      </c>
      <c r="E110" s="104"/>
      <c r="F110" s="25"/>
      <c r="G110" s="105"/>
      <c r="H110" s="106"/>
      <c r="I110" s="107" t="str">
        <f t="shared" ref="I110:I141" si="13">IF(E110="","",E110+(E110*H110/100*G110))</f>
        <v/>
      </c>
      <c r="J110" s="108" t="str">
        <f t="shared" ref="J110:J141" si="14">IFERROR(I110/G110,"")</f>
        <v/>
      </c>
      <c r="K110" s="109" t="str">
        <f>IF(B110="","Pending",IF(M110="","⚠️ Enter Code",IF(IFERROR(VLOOKUP(L110,DB_Agents!$B:$I,8,0),"")=M110,"Pending","🔒 BLOCKED — Wrong Code")))</f>
        <v>Pending</v>
      </c>
      <c r="L110" s="27"/>
      <c r="M110" s="84"/>
      <c r="N110" s="94"/>
    </row>
    <row r="111" spans="1:14" x14ac:dyDescent="0.25">
      <c r="A111" s="85" t="str">
        <f t="shared" si="12"/>
        <v/>
      </c>
      <c r="B111" s="79"/>
      <c r="C111" s="21" t="str">
        <f>IF(B111="","",IFERROR(VLOOKUP(B111,DB_Customers!$A:$D,4,0),"❌ Account Not Found"))</f>
        <v/>
      </c>
      <c r="D111" s="81" t="str">
        <f t="shared" ca="1" si="9"/>
        <v/>
      </c>
      <c r="E111" s="104"/>
      <c r="F111" s="21"/>
      <c r="G111" s="110"/>
      <c r="H111" s="111"/>
      <c r="I111" s="107" t="str">
        <f t="shared" si="13"/>
        <v/>
      </c>
      <c r="J111" s="112" t="str">
        <f t="shared" si="14"/>
        <v/>
      </c>
      <c r="K111" s="113" t="str">
        <f>IF(B111="","Pending",IF(M111="","⚠️ Enter Code",IF(IFERROR(VLOOKUP(L111,DB_Agents!$B:$I,8,0),"")=M111,"Pending","🔒 BLOCKED — Wrong Code")))</f>
        <v>Pending</v>
      </c>
      <c r="L111" s="23"/>
      <c r="M111" s="84"/>
      <c r="N111" s="87"/>
    </row>
    <row r="112" spans="1:14" x14ac:dyDescent="0.25">
      <c r="A112" s="92" t="str">
        <f t="shared" si="12"/>
        <v/>
      </c>
      <c r="B112" s="88"/>
      <c r="C112" s="25" t="str">
        <f>IF(B112="","",IFERROR(VLOOKUP(B112,DB_Customers!$A:$D,4,0),"❌ Account Not Found"))</f>
        <v/>
      </c>
      <c r="D112" s="90" t="str">
        <f t="shared" ca="1" si="9"/>
        <v/>
      </c>
      <c r="E112" s="104"/>
      <c r="F112" s="25"/>
      <c r="G112" s="105"/>
      <c r="H112" s="106"/>
      <c r="I112" s="107" t="str">
        <f t="shared" si="13"/>
        <v/>
      </c>
      <c r="J112" s="108" t="str">
        <f t="shared" si="14"/>
        <v/>
      </c>
      <c r="K112" s="109" t="str">
        <f>IF(B112="","Pending",IF(M112="","⚠️ Enter Code",IF(IFERROR(VLOOKUP(L112,DB_Agents!$B:$I,8,0),"")=M112,"Pending","🔒 BLOCKED — Wrong Code")))</f>
        <v>Pending</v>
      </c>
      <c r="L112" s="27"/>
      <c r="M112" s="84"/>
      <c r="N112" s="94"/>
    </row>
    <row r="113" spans="1:14" x14ac:dyDescent="0.25">
      <c r="A113" s="85" t="str">
        <f t="shared" si="12"/>
        <v/>
      </c>
      <c r="B113" s="79"/>
      <c r="C113" s="21" t="str">
        <f>IF(B113="","",IFERROR(VLOOKUP(B113,DB_Customers!$A:$D,4,0),"❌ Account Not Found"))</f>
        <v/>
      </c>
      <c r="D113" s="81" t="str">
        <f t="shared" ca="1" si="9"/>
        <v/>
      </c>
      <c r="E113" s="104"/>
      <c r="F113" s="21"/>
      <c r="G113" s="110"/>
      <c r="H113" s="111"/>
      <c r="I113" s="107" t="str">
        <f t="shared" si="13"/>
        <v/>
      </c>
      <c r="J113" s="112" t="str">
        <f t="shared" si="14"/>
        <v/>
      </c>
      <c r="K113" s="113" t="str">
        <f>IF(B113="","Pending",IF(M113="","⚠️ Enter Code",IF(IFERROR(VLOOKUP(L113,DB_Agents!$B:$I,8,0),"")=M113,"Pending","🔒 BLOCKED — Wrong Code")))</f>
        <v>Pending</v>
      </c>
      <c r="L113" s="23"/>
      <c r="M113" s="84"/>
      <c r="N113" s="87"/>
    </row>
    <row r="114" spans="1:14" x14ac:dyDescent="0.25">
      <c r="H114" s="114"/>
      <c r="K114" s="115" t="str">
        <f>IF(B114="","Pending",IF(M114="","⚠️ Enter Code",IF(IFERROR(VLOOKUP(L114,DB_Agents!$B:$I,8,0),"")=M114,"Pending","🔒 BLOCKED — Wrong Code")))</f>
        <v>Pending</v>
      </c>
      <c r="M114" s="84"/>
    </row>
    <row r="115" spans="1:14" x14ac:dyDescent="0.25">
      <c r="H115" s="114"/>
      <c r="K115" s="15" t="str">
        <f>IF(B115="","Pending",IF(M115="","⚠️ Enter Code",IF(IFERROR(VLOOKUP(L115,DB_Agents!$B:$I,8,0),"")=M115,"Pending","🔒 BLOCKED — Wrong Code")))</f>
        <v>Pending</v>
      </c>
      <c r="M115" s="84"/>
    </row>
    <row r="116" spans="1:14" x14ac:dyDescent="0.25">
      <c r="H116" s="114"/>
      <c r="K116" s="115" t="str">
        <f>IF(B116="","Pending",IF(M116="","⚠️ Enter Code",IF(IFERROR(VLOOKUP(L116,DB_Agents!$B:$I,8,0),"")=M116,"Pending","🔒 BLOCKED — Wrong Code")))</f>
        <v>Pending</v>
      </c>
      <c r="M116" s="84"/>
    </row>
    <row r="117" spans="1:14" x14ac:dyDescent="0.25">
      <c r="H117" s="114"/>
      <c r="K117" s="15" t="str">
        <f>IF(B117="","Pending",IF(M117="","⚠️ Enter Code",IF(IFERROR(VLOOKUP(L117,DB_Agents!$B:$I,8,0),"")=M117,"Pending","🔒 BLOCKED — Wrong Code")))</f>
        <v>Pending</v>
      </c>
      <c r="M117" s="84"/>
    </row>
    <row r="118" spans="1:14" x14ac:dyDescent="0.25">
      <c r="H118" s="114"/>
      <c r="K118" s="115" t="str">
        <f>IF(B118="","Pending",IF(M118="","⚠️ Enter Code",IF(IFERROR(VLOOKUP(L118,DB_Agents!$B:$I,8,0),"")=M118,"Pending","🔒 BLOCKED — Wrong Code")))</f>
        <v>Pending</v>
      </c>
      <c r="M118" s="84"/>
    </row>
    <row r="119" spans="1:14" x14ac:dyDescent="0.25">
      <c r="H119" s="114"/>
      <c r="K119" s="15" t="str">
        <f>IF(B119="","Pending",IF(M119="","⚠️ Enter Code",IF(IFERROR(VLOOKUP(L119,DB_Agents!$B:$I,8,0),"")=M119,"Pending","🔒 BLOCKED — Wrong Code")))</f>
        <v>Pending</v>
      </c>
      <c r="M119" s="84"/>
    </row>
    <row r="120" spans="1:14" x14ac:dyDescent="0.25">
      <c r="H120" s="114"/>
      <c r="K120" s="115" t="str">
        <f>IF(B120="","Pending",IF(M120="","⚠️ Enter Code",IF(IFERROR(VLOOKUP(L120,DB_Agents!$B:$I,8,0),"")=M120,"Pending","🔒 BLOCKED — Wrong Code")))</f>
        <v>Pending</v>
      </c>
      <c r="M120" s="84"/>
    </row>
    <row r="121" spans="1:14" x14ac:dyDescent="0.25">
      <c r="H121" s="114"/>
      <c r="K121" s="15" t="str">
        <f>IF(B121="","Pending",IF(M121="","⚠️ Enter Code",IF(IFERROR(VLOOKUP(L121,DB_Agents!$B:$I,8,0),"")=M121,"Pending","🔒 BLOCKED — Wrong Code")))</f>
        <v>Pending</v>
      </c>
      <c r="M121" s="84"/>
    </row>
    <row r="122" spans="1:14" x14ac:dyDescent="0.25">
      <c r="H122" s="114"/>
      <c r="K122" s="115" t="str">
        <f>IF(B122="","Pending",IF(M122="","⚠️ Enter Code",IF(IFERROR(VLOOKUP(L122,DB_Agents!$B:$I,8,0),"")=M122,"Pending","🔒 BLOCKED — Wrong Code")))</f>
        <v>Pending</v>
      </c>
      <c r="M122" s="84"/>
    </row>
    <row r="123" spans="1:14" x14ac:dyDescent="0.25">
      <c r="H123" s="114"/>
      <c r="K123" s="15" t="str">
        <f>IF(B123="","Pending",IF(M123="","⚠️ Enter Code",IF(IFERROR(VLOOKUP(L123,DB_Agents!$B:$I,8,0),"")=M123,"Pending","🔒 BLOCKED — Wrong Code")))</f>
        <v>Pending</v>
      </c>
      <c r="M123" s="84"/>
    </row>
    <row r="124" spans="1:14" x14ac:dyDescent="0.25">
      <c r="H124" s="114"/>
      <c r="K124" s="115" t="str">
        <f>IF(B124="","Pending",IF(M124="","⚠️ Enter Code",IF(IFERROR(VLOOKUP(L124,DB_Agents!$B:$I,8,0),"")=M124,"Pending","🔒 BLOCKED — Wrong Code")))</f>
        <v>Pending</v>
      </c>
      <c r="M124" s="84"/>
    </row>
    <row r="125" spans="1:14" x14ac:dyDescent="0.25">
      <c r="H125" s="114"/>
      <c r="K125" s="15" t="str">
        <f>IF(B125="","Pending",IF(M125="","⚠️ Enter Code",IF(IFERROR(VLOOKUP(L125,DB_Agents!$B:$I,8,0),"")=M125,"Pending","🔒 BLOCKED — Wrong Code")))</f>
        <v>Pending</v>
      </c>
      <c r="M125" s="84"/>
    </row>
    <row r="126" spans="1:14" x14ac:dyDescent="0.25">
      <c r="H126" s="114"/>
      <c r="K126" s="115" t="str">
        <f>IF(B126="","Pending",IF(M126="","⚠️ Enter Code",IF(IFERROR(VLOOKUP(L126,DB_Agents!$B:$I,8,0),"")=M126,"Pending","🔒 BLOCKED — Wrong Code")))</f>
        <v>Pending</v>
      </c>
      <c r="M126" s="84"/>
    </row>
    <row r="127" spans="1:14" x14ac:dyDescent="0.25">
      <c r="H127" s="114"/>
      <c r="K127" s="15" t="str">
        <f>IF(B127="","Pending",IF(M127="","⚠️ Enter Code",IF(IFERROR(VLOOKUP(L127,DB_Agents!$B:$I,8,0),"")=M127,"Pending","🔒 BLOCKED — Wrong Code")))</f>
        <v>Pending</v>
      </c>
      <c r="M127" s="84"/>
    </row>
    <row r="128" spans="1:14" x14ac:dyDescent="0.25">
      <c r="H128" s="114"/>
      <c r="K128" s="115" t="str">
        <f>IF(B128="","Pending",IF(M128="","⚠️ Enter Code",IF(IFERROR(VLOOKUP(L128,DB_Agents!$B:$I,8,0),"")=M128,"Pending","🔒 BLOCKED — Wrong Code")))</f>
        <v>Pending</v>
      </c>
      <c r="M128" s="84"/>
    </row>
    <row r="129" spans="8:13" x14ac:dyDescent="0.25">
      <c r="H129" s="114"/>
      <c r="K129" s="15" t="str">
        <f>IF(B129="","Pending",IF(M129="","⚠️ Enter Code",IF(IFERROR(VLOOKUP(L129,DB_Agents!$B:$I,8,0),"")=M129,"Pending","🔒 BLOCKED — Wrong Code")))</f>
        <v>Pending</v>
      </c>
      <c r="M129" s="84"/>
    </row>
    <row r="130" spans="8:13" x14ac:dyDescent="0.25">
      <c r="H130" s="114"/>
      <c r="K130" s="115" t="str">
        <f>IF(B130="","Pending",IF(M130="","⚠️ Enter Code",IF(IFERROR(VLOOKUP(L130,DB_Agents!$B:$I,8,0),"")=M130,"Pending","🔒 BLOCKED — Wrong Code")))</f>
        <v>Pending</v>
      </c>
      <c r="M130" s="84"/>
    </row>
    <row r="131" spans="8:13" x14ac:dyDescent="0.25">
      <c r="H131" s="114"/>
      <c r="K131" s="15" t="str">
        <f>IF(B131="","Pending",IF(M131="","⚠️ Enter Code",IF(IFERROR(VLOOKUP(L131,DB_Agents!$B:$I,8,0),"")=M131,"Pending","🔒 BLOCKED — Wrong Code")))</f>
        <v>Pending</v>
      </c>
      <c r="M131" s="84"/>
    </row>
    <row r="132" spans="8:13" x14ac:dyDescent="0.25">
      <c r="H132" s="114"/>
      <c r="K132" s="115" t="str">
        <f>IF(B132="","Pending",IF(M132="","⚠️ Enter Code",IF(IFERROR(VLOOKUP(L132,DB_Agents!$B:$I,8,0),"")=M132,"Pending","🔒 BLOCKED — Wrong Code")))</f>
        <v>Pending</v>
      </c>
      <c r="M132" s="84"/>
    </row>
    <row r="133" spans="8:13" x14ac:dyDescent="0.25">
      <c r="H133" s="114"/>
      <c r="K133" s="15" t="str">
        <f>IF(B133="","Pending",IF(M133="","⚠️ Enter Code",IF(IFERROR(VLOOKUP(L133,DB_Agents!$B:$I,8,0),"")=M133,"Pending","🔒 BLOCKED — Wrong Code")))</f>
        <v>Pending</v>
      </c>
      <c r="M133" s="84"/>
    </row>
    <row r="134" spans="8:13" x14ac:dyDescent="0.25">
      <c r="H134" s="114"/>
      <c r="K134" s="115" t="str">
        <f>IF(B134="","Pending",IF(M134="","⚠️ Enter Code",IF(IFERROR(VLOOKUP(L134,DB_Agents!$B:$I,8,0),"")=M134,"Pending","🔒 BLOCKED — Wrong Code")))</f>
        <v>Pending</v>
      </c>
      <c r="M134" s="84"/>
    </row>
    <row r="135" spans="8:13" x14ac:dyDescent="0.25">
      <c r="H135" s="114"/>
      <c r="K135" s="15" t="str">
        <f>IF(B135="","Pending",IF(M135="","⚠️ Enter Code",IF(IFERROR(VLOOKUP(L135,DB_Agents!$B:$I,8,0),"")=M135,"Pending","🔒 BLOCKED — Wrong Code")))</f>
        <v>Pending</v>
      </c>
      <c r="M135" s="84"/>
    </row>
    <row r="136" spans="8:13" x14ac:dyDescent="0.25">
      <c r="H136" s="114"/>
      <c r="K136" s="115" t="str">
        <f>IF(B136="","Pending",IF(M136="","⚠️ Enter Code",IF(IFERROR(VLOOKUP(L136,DB_Agents!$B:$I,8,0),"")=M136,"Pending","🔒 BLOCKED — Wrong Code")))</f>
        <v>Pending</v>
      </c>
      <c r="M136" s="84"/>
    </row>
    <row r="137" spans="8:13" x14ac:dyDescent="0.25">
      <c r="H137" s="114"/>
      <c r="K137" s="15" t="str">
        <f>IF(B137="","Pending",IF(M137="","⚠️ Enter Code",IF(IFERROR(VLOOKUP(L137,DB_Agents!$B:$I,8,0),"")=M137,"Pending","🔒 BLOCKED — Wrong Code")))</f>
        <v>Pending</v>
      </c>
      <c r="M137" s="84"/>
    </row>
    <row r="138" spans="8:13" x14ac:dyDescent="0.25">
      <c r="H138" s="114"/>
      <c r="K138" s="115" t="str">
        <f>IF(B138="","Pending",IF(M138="","⚠️ Enter Code",IF(IFERROR(VLOOKUP(L138,DB_Agents!$B:$I,8,0),"")=M138,"Pending","🔒 BLOCKED — Wrong Code")))</f>
        <v>Pending</v>
      </c>
      <c r="M138" s="84"/>
    </row>
    <row r="139" spans="8:13" x14ac:dyDescent="0.25">
      <c r="H139" s="114"/>
      <c r="K139" s="15" t="str">
        <f>IF(B139="","Pending",IF(M139="","⚠️ Enter Code",IF(IFERROR(VLOOKUP(L139,DB_Agents!$B:$I,8,0),"")=M139,"Pending","🔒 BLOCKED — Wrong Code")))</f>
        <v>Pending</v>
      </c>
      <c r="M139" s="84"/>
    </row>
    <row r="140" spans="8:13" x14ac:dyDescent="0.25">
      <c r="H140" s="114"/>
      <c r="K140" s="115" t="str">
        <f>IF(B140="","Pending",IF(M140="","⚠️ Enter Code",IF(IFERROR(VLOOKUP(L140,DB_Agents!$B:$I,8,0),"")=M140,"Pending","🔒 BLOCKED — Wrong Code")))</f>
        <v>Pending</v>
      </c>
      <c r="M140" s="84"/>
    </row>
    <row r="141" spans="8:13" x14ac:dyDescent="0.25">
      <c r="H141" s="114"/>
      <c r="K141" s="15" t="str">
        <f>IF(B141="","Pending",IF(M141="","⚠️ Enter Code",IF(IFERROR(VLOOKUP(L141,DB_Agents!$B:$I,8,0),"")=M141,"Pending","🔒 BLOCKED — Wrong Code")))</f>
        <v>Pending</v>
      </c>
      <c r="M141" s="84"/>
    </row>
    <row r="142" spans="8:13" x14ac:dyDescent="0.25">
      <c r="H142" s="114"/>
      <c r="K142" s="115" t="str">
        <f>IF(B142="","Pending",IF(M142="","⚠️ Enter Code",IF(IFERROR(VLOOKUP(L142,DB_Agents!$B:$I,8,0),"")=M142,"Pending","🔒 BLOCKED — Wrong Code")))</f>
        <v>Pending</v>
      </c>
      <c r="M142" s="84"/>
    </row>
    <row r="143" spans="8:13" x14ac:dyDescent="0.25">
      <c r="H143" s="114"/>
      <c r="K143" s="15" t="str">
        <f>IF(B143="","Pending",IF(M143="","⚠️ Enter Code",IF(IFERROR(VLOOKUP(L143,DB_Agents!$B:$I,8,0),"")=M143,"Pending","🔒 BLOCKED — Wrong Code")))</f>
        <v>Pending</v>
      </c>
      <c r="M143" s="84"/>
    </row>
    <row r="144" spans="8:13" x14ac:dyDescent="0.25">
      <c r="H144" s="114"/>
      <c r="K144" s="115" t="str">
        <f>IF(B144="","Pending",IF(M144="","⚠️ Enter Code",IF(IFERROR(VLOOKUP(L144,DB_Agents!$B:$I,8,0),"")=M144,"Pending","🔒 BLOCKED — Wrong Code")))</f>
        <v>Pending</v>
      </c>
      <c r="M144" s="84"/>
    </row>
    <row r="145" spans="8:13" x14ac:dyDescent="0.25">
      <c r="H145" s="114"/>
      <c r="K145" s="15" t="str">
        <f>IF(B145="","Pending",IF(M145="","⚠️ Enter Code",IF(IFERROR(VLOOKUP(L145,DB_Agents!$B:$I,8,0),"")=M145,"Pending","🔒 BLOCKED — Wrong Code")))</f>
        <v>Pending</v>
      </c>
      <c r="M145" s="84"/>
    </row>
    <row r="146" spans="8:13" x14ac:dyDescent="0.25">
      <c r="H146" s="114"/>
      <c r="K146" s="115" t="str">
        <f>IF(B146="","Pending",IF(M146="","⚠️ Enter Code",IF(IFERROR(VLOOKUP(L146,DB_Agents!$B:$I,8,0),"")=M146,"Pending","🔒 BLOCKED — Wrong Code")))</f>
        <v>Pending</v>
      </c>
      <c r="M146" s="84"/>
    </row>
    <row r="147" spans="8:13" x14ac:dyDescent="0.25">
      <c r="H147" s="114"/>
      <c r="K147" s="15" t="str">
        <f>IF(B147="","Pending",IF(M147="","⚠️ Enter Code",IF(IFERROR(VLOOKUP(L147,DB_Agents!$B:$I,8,0),"")=M147,"Pending","🔒 BLOCKED — Wrong Code")))</f>
        <v>Pending</v>
      </c>
      <c r="M147" s="84"/>
    </row>
    <row r="148" spans="8:13" x14ac:dyDescent="0.25">
      <c r="H148" s="114"/>
      <c r="K148" s="115" t="str">
        <f>IF(B148="","Pending",IF(M148="","⚠️ Enter Code",IF(IFERROR(VLOOKUP(L148,DB_Agents!$B:$I,8,0),"")=M148,"Pending","🔒 BLOCKED — Wrong Code")))</f>
        <v>Pending</v>
      </c>
      <c r="M148" s="84"/>
    </row>
    <row r="149" spans="8:13" x14ac:dyDescent="0.25">
      <c r="H149" s="114"/>
      <c r="K149" s="15" t="str">
        <f>IF(B149="","Pending",IF(M149="","⚠️ Enter Code",IF(IFERROR(VLOOKUP(L149,DB_Agents!$B:$I,8,0),"")=M149,"Pending","🔒 BLOCKED — Wrong Code")))</f>
        <v>Pending</v>
      </c>
      <c r="M149" s="84"/>
    </row>
    <row r="150" spans="8:13" x14ac:dyDescent="0.25">
      <c r="H150" s="114"/>
      <c r="K150" s="115" t="str">
        <f>IF(B150="","Pending",IF(M150="","⚠️ Enter Code",IF(IFERROR(VLOOKUP(L150,DB_Agents!$B:$I,8,0),"")=M150,"Pending","🔒 BLOCKED — Wrong Code")))</f>
        <v>Pending</v>
      </c>
      <c r="M150" s="84"/>
    </row>
    <row r="151" spans="8:13" x14ac:dyDescent="0.25">
      <c r="H151" s="114"/>
      <c r="K151" s="15" t="str">
        <f>IF(B151="","Pending",IF(M151="","⚠️ Enter Code",IF(IFERROR(VLOOKUP(L151,DB_Agents!$B:$I,8,0),"")=M151,"Pending","🔒 BLOCKED — Wrong Code")))</f>
        <v>Pending</v>
      </c>
      <c r="M151" s="84"/>
    </row>
    <row r="152" spans="8:13" x14ac:dyDescent="0.25">
      <c r="H152" s="114"/>
      <c r="K152" s="115" t="str">
        <f>IF(B152="","Pending",IF(M152="","⚠️ Enter Code",IF(IFERROR(VLOOKUP(L152,DB_Agents!$B:$I,8,0),"")=M152,"Pending","🔒 BLOCKED — Wrong Code")))</f>
        <v>Pending</v>
      </c>
      <c r="M152" s="84"/>
    </row>
    <row r="153" spans="8:13" x14ac:dyDescent="0.25">
      <c r="H153" s="114"/>
      <c r="K153" s="15" t="str">
        <f>IF(B153="","Pending",IF(M153="","⚠️ Enter Code",IF(IFERROR(VLOOKUP(L153,DB_Agents!$B:$I,8,0),"")=M153,"Pending","🔒 BLOCKED — Wrong Code")))</f>
        <v>Pending</v>
      </c>
      <c r="M153" s="84"/>
    </row>
    <row r="154" spans="8:13" x14ac:dyDescent="0.25">
      <c r="H154" s="114"/>
      <c r="K154" s="115" t="str">
        <f>IF(B154="","Pending",IF(M154="","⚠️ Enter Code",IF(IFERROR(VLOOKUP(L154,DB_Agents!$B:$I,8,0),"")=M154,"Pending","🔒 BLOCKED — Wrong Code")))</f>
        <v>Pending</v>
      </c>
      <c r="M154" s="84"/>
    </row>
    <row r="155" spans="8:13" x14ac:dyDescent="0.25">
      <c r="H155" s="114"/>
      <c r="K155" s="15" t="str">
        <f>IF(B155="","Pending",IF(M155="","⚠️ Enter Code",IF(IFERROR(VLOOKUP(L155,DB_Agents!$B:$I,8,0),"")=M155,"Pending","🔒 BLOCKED — Wrong Code")))</f>
        <v>Pending</v>
      </c>
      <c r="M155" s="84"/>
    </row>
    <row r="156" spans="8:13" x14ac:dyDescent="0.25">
      <c r="H156" s="114"/>
      <c r="K156" s="115" t="str">
        <f>IF(B156="","Pending",IF(M156="","⚠️ Enter Code",IF(IFERROR(VLOOKUP(L156,DB_Agents!$B:$I,8,0),"")=M156,"Pending","🔒 BLOCKED — Wrong Code")))</f>
        <v>Pending</v>
      </c>
      <c r="M156" s="84"/>
    </row>
    <row r="157" spans="8:13" x14ac:dyDescent="0.25">
      <c r="H157" s="114"/>
      <c r="K157" s="15" t="str">
        <f>IF(B157="","Pending",IF(M157="","⚠️ Enter Code",IF(IFERROR(VLOOKUP(L157,DB_Agents!$B:$I,8,0),"")=M157,"Pending","🔒 BLOCKED — Wrong Code")))</f>
        <v>Pending</v>
      </c>
      <c r="M157" s="84"/>
    </row>
    <row r="158" spans="8:13" x14ac:dyDescent="0.25">
      <c r="H158" s="114"/>
      <c r="K158" s="115" t="str">
        <f>IF(B158="","Pending",IF(M158="","⚠️ Enter Code",IF(IFERROR(VLOOKUP(L158,DB_Agents!$B:$I,8,0),"")=M158,"Pending","🔒 BLOCKED — Wrong Code")))</f>
        <v>Pending</v>
      </c>
      <c r="M158" s="84"/>
    </row>
    <row r="159" spans="8:13" x14ac:dyDescent="0.25">
      <c r="H159" s="114"/>
      <c r="K159" s="15" t="str">
        <f>IF(B159="","Pending",IF(M159="","⚠️ Enter Code",IF(IFERROR(VLOOKUP(L159,DB_Agents!$B:$I,8,0),"")=M159,"Pending","🔒 BLOCKED — Wrong Code")))</f>
        <v>Pending</v>
      </c>
      <c r="M159" s="84"/>
    </row>
    <row r="160" spans="8:13" x14ac:dyDescent="0.25">
      <c r="H160" s="114"/>
      <c r="K160" s="115" t="str">
        <f>IF(B160="","Pending",IF(M160="","⚠️ Enter Code",IF(IFERROR(VLOOKUP(L160,DB_Agents!$B:$I,8,0),"")=M160,"Pending","🔒 BLOCKED — Wrong Code")))</f>
        <v>Pending</v>
      </c>
      <c r="M160" s="84"/>
    </row>
    <row r="161" spans="8:13" x14ac:dyDescent="0.25">
      <c r="H161" s="114"/>
      <c r="K161" s="15" t="str">
        <f>IF(B161="","Pending",IF(M161="","⚠️ Enter Code",IF(IFERROR(VLOOKUP(L161,DB_Agents!$B:$I,8,0),"")=M161,"Pending","🔒 BLOCKED — Wrong Code")))</f>
        <v>Pending</v>
      </c>
      <c r="M161" s="84"/>
    </row>
    <row r="162" spans="8:13" x14ac:dyDescent="0.25">
      <c r="H162" s="114"/>
      <c r="K162" s="115" t="str">
        <f>IF(B162="","Pending",IF(M162="","⚠️ Enter Code",IF(IFERROR(VLOOKUP(L162,DB_Agents!$B:$I,8,0),"")=M162,"Pending","🔒 BLOCKED — Wrong Code")))</f>
        <v>Pending</v>
      </c>
      <c r="M162" s="84"/>
    </row>
    <row r="163" spans="8:13" x14ac:dyDescent="0.25">
      <c r="H163" s="114"/>
      <c r="K163" s="15" t="str">
        <f>IF(B163="","Pending",IF(M163="","⚠️ Enter Code",IF(IFERROR(VLOOKUP(L163,DB_Agents!$B:$I,8,0),"")=M163,"Pending","🔒 BLOCKED — Wrong Code")))</f>
        <v>Pending</v>
      </c>
      <c r="M163" s="84"/>
    </row>
    <row r="164" spans="8:13" x14ac:dyDescent="0.25">
      <c r="H164" s="114"/>
      <c r="K164" s="115" t="str">
        <f>IF(B164="","Pending",IF(M164="","⚠️ Enter Code",IF(IFERROR(VLOOKUP(L164,DB_Agents!$B:$I,8,0),"")=M164,"Pending","🔒 BLOCKED — Wrong Code")))</f>
        <v>Pending</v>
      </c>
      <c r="M164" s="84"/>
    </row>
    <row r="165" spans="8:13" x14ac:dyDescent="0.25">
      <c r="H165" s="114"/>
      <c r="K165" s="15" t="str">
        <f>IF(B165="","Pending",IF(M165="","⚠️ Enter Code",IF(IFERROR(VLOOKUP(L165,DB_Agents!$B:$I,8,0),"")=M165,"Pending","🔒 BLOCKED — Wrong Code")))</f>
        <v>Pending</v>
      </c>
      <c r="M165" s="84"/>
    </row>
    <row r="166" spans="8:13" x14ac:dyDescent="0.25">
      <c r="H166" s="114"/>
      <c r="K166" s="115" t="str">
        <f>IF(B166="","Pending",IF(M166="","⚠️ Enter Code",IF(IFERROR(VLOOKUP(L166,DB_Agents!$B:$I,8,0),"")=M166,"Pending","🔒 BLOCKED — Wrong Code")))</f>
        <v>Pending</v>
      </c>
      <c r="M166" s="84"/>
    </row>
    <row r="167" spans="8:13" x14ac:dyDescent="0.25">
      <c r="H167" s="114"/>
      <c r="K167" s="15" t="str">
        <f>IF(B167="","Pending",IF(M167="","⚠️ Enter Code",IF(IFERROR(VLOOKUP(L167,DB_Agents!$B:$I,8,0),"")=M167,"Pending","🔒 BLOCKED — Wrong Code")))</f>
        <v>Pending</v>
      </c>
      <c r="M167" s="84"/>
    </row>
    <row r="168" spans="8:13" x14ac:dyDescent="0.25">
      <c r="H168" s="114"/>
      <c r="K168" s="115" t="str">
        <f>IF(B168="","Pending",IF(M168="","⚠️ Enter Code",IF(IFERROR(VLOOKUP(L168,DB_Agents!$B:$I,8,0),"")=M168,"Pending","🔒 BLOCKED — Wrong Code")))</f>
        <v>Pending</v>
      </c>
      <c r="M168" s="84"/>
    </row>
    <row r="169" spans="8:13" x14ac:dyDescent="0.25">
      <c r="H169" s="114"/>
      <c r="K169" s="15" t="str">
        <f>IF(B169="","Pending",IF(M169="","⚠️ Enter Code",IF(IFERROR(VLOOKUP(L169,DB_Agents!$B:$I,8,0),"")=M169,"Pending","🔒 BLOCKED — Wrong Code")))</f>
        <v>Pending</v>
      </c>
      <c r="M169" s="84"/>
    </row>
    <row r="170" spans="8:13" x14ac:dyDescent="0.25">
      <c r="H170" s="114"/>
      <c r="K170" s="115" t="str">
        <f>IF(B170="","Pending",IF(M170="","⚠️ Enter Code",IF(IFERROR(VLOOKUP(L170,DB_Agents!$B:$I,8,0),"")=M170,"Pending","🔒 BLOCKED — Wrong Code")))</f>
        <v>Pending</v>
      </c>
      <c r="M170" s="84"/>
    </row>
    <row r="171" spans="8:13" x14ac:dyDescent="0.25">
      <c r="H171" s="114"/>
      <c r="K171" s="15" t="str">
        <f>IF(B171="","Pending",IF(M171="","⚠️ Enter Code",IF(IFERROR(VLOOKUP(L171,DB_Agents!$B:$I,8,0),"")=M171,"Pending","🔒 BLOCKED — Wrong Code")))</f>
        <v>Pending</v>
      </c>
      <c r="M171" s="84"/>
    </row>
    <row r="172" spans="8:13" x14ac:dyDescent="0.25">
      <c r="H172" s="114"/>
      <c r="K172" s="115" t="str">
        <f>IF(B172="","Pending",IF(M172="","⚠️ Enter Code",IF(IFERROR(VLOOKUP(L172,DB_Agents!$B:$I,8,0),"")=M172,"Pending","🔒 BLOCKED — Wrong Code")))</f>
        <v>Pending</v>
      </c>
      <c r="M172" s="84"/>
    </row>
    <row r="173" spans="8:13" x14ac:dyDescent="0.25">
      <c r="H173" s="114"/>
      <c r="K173" s="15" t="str">
        <f>IF(B173="","Pending",IF(M173="","⚠️ Enter Code",IF(IFERROR(VLOOKUP(L173,DB_Agents!$B:$I,8,0),"")=M173,"Pending","🔒 BLOCKED — Wrong Code")))</f>
        <v>Pending</v>
      </c>
      <c r="M173" s="84"/>
    </row>
    <row r="174" spans="8:13" x14ac:dyDescent="0.25">
      <c r="H174" s="114"/>
      <c r="K174" s="115" t="str">
        <f>IF(B174="","Pending",IF(M174="","⚠️ Enter Code",IF(IFERROR(VLOOKUP(L174,DB_Agents!$B:$I,8,0),"")=M174,"Pending","🔒 BLOCKED — Wrong Code")))</f>
        <v>Pending</v>
      </c>
      <c r="M174" s="84"/>
    </row>
    <row r="175" spans="8:13" x14ac:dyDescent="0.25">
      <c r="H175" s="114"/>
      <c r="K175" s="15" t="str">
        <f>IF(B175="","Pending",IF(M175="","⚠️ Enter Code",IF(IFERROR(VLOOKUP(L175,DB_Agents!$B:$I,8,0),"")=M175,"Pending","🔒 BLOCKED — Wrong Code")))</f>
        <v>Pending</v>
      </c>
      <c r="M175" s="84"/>
    </row>
    <row r="176" spans="8:13" x14ac:dyDescent="0.25">
      <c r="H176" s="114"/>
      <c r="K176" s="115" t="str">
        <f>IF(B176="","Pending",IF(M176="","⚠️ Enter Code",IF(IFERROR(VLOOKUP(L176,DB_Agents!$B:$I,8,0),"")=M176,"Pending","🔒 BLOCKED — Wrong Code")))</f>
        <v>Pending</v>
      </c>
      <c r="M176" s="84"/>
    </row>
    <row r="177" spans="8:13" x14ac:dyDescent="0.25">
      <c r="H177" s="114"/>
      <c r="K177" s="15" t="str">
        <f>IF(B177="","Pending",IF(M177="","⚠️ Enter Code",IF(IFERROR(VLOOKUP(L177,DB_Agents!$B:$I,8,0),"")=M177,"Pending","🔒 BLOCKED — Wrong Code")))</f>
        <v>Pending</v>
      </c>
      <c r="M177" s="84"/>
    </row>
    <row r="178" spans="8:13" x14ac:dyDescent="0.25">
      <c r="H178" s="114"/>
      <c r="K178" s="115" t="str">
        <f>IF(B178="","Pending",IF(M178="","⚠️ Enter Code",IF(IFERROR(VLOOKUP(L178,DB_Agents!$B:$I,8,0),"")=M178,"Pending","🔒 BLOCKED — Wrong Code")))</f>
        <v>Pending</v>
      </c>
      <c r="M178" s="84"/>
    </row>
    <row r="179" spans="8:13" x14ac:dyDescent="0.25">
      <c r="H179" s="114"/>
      <c r="K179" s="15" t="str">
        <f>IF(B179="","Pending",IF(M179="","⚠️ Enter Code",IF(IFERROR(VLOOKUP(L179,DB_Agents!$B:$I,8,0),"")=M179,"Pending","🔒 BLOCKED — Wrong Code")))</f>
        <v>Pending</v>
      </c>
      <c r="M179" s="84"/>
    </row>
    <row r="180" spans="8:13" x14ac:dyDescent="0.25">
      <c r="H180" s="114"/>
      <c r="K180" s="115" t="str">
        <f>IF(B180="","Pending",IF(M180="","⚠️ Enter Code",IF(IFERROR(VLOOKUP(L180,DB_Agents!$B:$I,8,0),"")=M180,"Pending","🔒 BLOCKED — Wrong Code")))</f>
        <v>Pending</v>
      </c>
      <c r="M180" s="84"/>
    </row>
    <row r="181" spans="8:13" x14ac:dyDescent="0.25">
      <c r="H181" s="114"/>
      <c r="K181" s="15" t="str">
        <f>IF(B181="","Pending",IF(M181="","⚠️ Enter Code",IF(IFERROR(VLOOKUP(L181,DB_Agents!$B:$I,8,0),"")=M181,"Pending","🔒 BLOCKED — Wrong Code")))</f>
        <v>Pending</v>
      </c>
      <c r="M181" s="84"/>
    </row>
    <row r="182" spans="8:13" x14ac:dyDescent="0.25">
      <c r="H182" s="114"/>
      <c r="K182" s="115" t="str">
        <f>IF(B182="","Pending",IF(M182="","⚠️ Enter Code",IF(IFERROR(VLOOKUP(L182,DB_Agents!$B:$I,8,0),"")=M182,"Pending","🔒 BLOCKED — Wrong Code")))</f>
        <v>Pending</v>
      </c>
      <c r="M182" s="84"/>
    </row>
    <row r="183" spans="8:13" x14ac:dyDescent="0.25">
      <c r="H183" s="114"/>
      <c r="K183" s="15" t="str">
        <f>IF(B183="","Pending",IF(M183="","⚠️ Enter Code",IF(IFERROR(VLOOKUP(L183,DB_Agents!$B:$I,8,0),"")=M183,"Pending","🔒 BLOCKED — Wrong Code")))</f>
        <v>Pending</v>
      </c>
      <c r="M183" s="84"/>
    </row>
    <row r="184" spans="8:13" x14ac:dyDescent="0.25">
      <c r="H184" s="114"/>
      <c r="K184" s="115" t="str">
        <f>IF(B184="","Pending",IF(M184="","⚠️ Enter Code",IF(IFERROR(VLOOKUP(L184,DB_Agents!$B:$I,8,0),"")=M184,"Pending","🔒 BLOCKED — Wrong Code")))</f>
        <v>Pending</v>
      </c>
      <c r="M184" s="84"/>
    </row>
    <row r="185" spans="8:13" x14ac:dyDescent="0.25">
      <c r="H185" s="114"/>
      <c r="K185" s="15" t="str">
        <f>IF(B185="","Pending",IF(M185="","⚠️ Enter Code",IF(IFERROR(VLOOKUP(L185,DB_Agents!$B:$I,8,0),"")=M185,"Pending","🔒 BLOCKED — Wrong Code")))</f>
        <v>Pending</v>
      </c>
      <c r="M185" s="84"/>
    </row>
    <row r="186" spans="8:13" x14ac:dyDescent="0.25">
      <c r="H186" s="114"/>
      <c r="K186" s="115" t="str">
        <f>IF(B186="","Pending",IF(M186="","⚠️ Enter Code",IF(IFERROR(VLOOKUP(L186,DB_Agents!$B:$I,8,0),"")=M186,"Pending","🔒 BLOCKED — Wrong Code")))</f>
        <v>Pending</v>
      </c>
      <c r="M186" s="84"/>
    </row>
    <row r="187" spans="8:13" x14ac:dyDescent="0.25">
      <c r="H187" s="114"/>
      <c r="K187" s="15" t="str">
        <f>IF(B187="","Pending",IF(M187="","⚠️ Enter Code",IF(IFERROR(VLOOKUP(L187,DB_Agents!$B:$I,8,0),"")=M187,"Pending","🔒 BLOCKED — Wrong Code")))</f>
        <v>Pending</v>
      </c>
      <c r="M187" s="84"/>
    </row>
    <row r="188" spans="8:13" x14ac:dyDescent="0.25">
      <c r="H188" s="114"/>
      <c r="K188" s="115" t="str">
        <f>IF(B188="","Pending",IF(M188="","⚠️ Enter Code",IF(IFERROR(VLOOKUP(L188,DB_Agents!$B:$I,8,0),"")=M188,"Pending","🔒 BLOCKED — Wrong Code")))</f>
        <v>Pending</v>
      </c>
      <c r="M188" s="84"/>
    </row>
    <row r="189" spans="8:13" x14ac:dyDescent="0.25">
      <c r="H189" s="114"/>
      <c r="K189" s="15" t="str">
        <f>IF(B189="","Pending",IF(M189="","⚠️ Enter Code",IF(IFERROR(VLOOKUP(L189,DB_Agents!$B:$I,8,0),"")=M189,"Pending","🔒 BLOCKED — Wrong Code")))</f>
        <v>Pending</v>
      </c>
      <c r="M189" s="84"/>
    </row>
    <row r="190" spans="8:13" x14ac:dyDescent="0.25">
      <c r="H190" s="114"/>
      <c r="K190" s="115" t="str">
        <f>IF(B190="","Pending",IF(M190="","⚠️ Enter Code",IF(IFERROR(VLOOKUP(L190,DB_Agents!$B:$I,8,0),"")=M190,"Pending","🔒 BLOCKED — Wrong Code")))</f>
        <v>Pending</v>
      </c>
      <c r="M190" s="84"/>
    </row>
    <row r="191" spans="8:13" x14ac:dyDescent="0.25">
      <c r="H191" s="114"/>
      <c r="K191" s="15" t="str">
        <f>IF(B191="","Pending",IF(M191="","⚠️ Enter Code",IF(IFERROR(VLOOKUP(L191,DB_Agents!$B:$I,8,0),"")=M191,"Pending","🔒 BLOCKED — Wrong Code")))</f>
        <v>Pending</v>
      </c>
      <c r="M191" s="84"/>
    </row>
    <row r="192" spans="8:13" x14ac:dyDescent="0.25">
      <c r="H192" s="114"/>
      <c r="K192" s="115" t="str">
        <f>IF(B192="","Pending",IF(M192="","⚠️ Enter Code",IF(IFERROR(VLOOKUP(L192,DB_Agents!$B:$I,8,0),"")=M192,"Pending","🔒 BLOCKED — Wrong Code")))</f>
        <v>Pending</v>
      </c>
      <c r="M192" s="84"/>
    </row>
    <row r="193" spans="8:13" x14ac:dyDescent="0.25">
      <c r="H193" s="114"/>
      <c r="K193" s="15" t="str">
        <f>IF(B193="","Pending",IF(M193="","⚠️ Enter Code",IF(IFERROR(VLOOKUP(L193,DB_Agents!$B:$I,8,0),"")=M193,"Pending","🔒 BLOCKED — Wrong Code")))</f>
        <v>Pending</v>
      </c>
      <c r="M193" s="84"/>
    </row>
    <row r="194" spans="8:13" x14ac:dyDescent="0.25">
      <c r="H194" s="114"/>
      <c r="K194" s="115" t="str">
        <f>IF(B194="","Pending",IF(M194="","⚠️ Enter Code",IF(IFERROR(VLOOKUP(L194,DB_Agents!$B:$I,8,0),"")=M194,"Pending","🔒 BLOCKED — Wrong Code")))</f>
        <v>Pending</v>
      </c>
      <c r="M194" s="84"/>
    </row>
    <row r="195" spans="8:13" x14ac:dyDescent="0.25">
      <c r="H195" s="114"/>
      <c r="K195" s="15" t="str">
        <f>IF(B195="","Pending",IF(M195="","⚠️ Enter Code",IF(IFERROR(VLOOKUP(L195,DB_Agents!$B:$I,8,0),"")=M195,"Pending","🔒 BLOCKED — Wrong Code")))</f>
        <v>Pending</v>
      </c>
      <c r="M195" s="84"/>
    </row>
    <row r="196" spans="8:13" x14ac:dyDescent="0.25">
      <c r="H196" s="114"/>
      <c r="K196" s="115" t="str">
        <f>IF(B196="","Pending",IF(M196="","⚠️ Enter Code",IF(IFERROR(VLOOKUP(L196,DB_Agents!$B:$I,8,0),"")=M196,"Pending","🔒 BLOCKED — Wrong Code")))</f>
        <v>Pending</v>
      </c>
      <c r="M196" s="84"/>
    </row>
    <row r="197" spans="8:13" x14ac:dyDescent="0.25">
      <c r="H197" s="114"/>
      <c r="K197" s="15" t="str">
        <f>IF(B197="","Pending",IF(M197="","⚠️ Enter Code",IF(IFERROR(VLOOKUP(L197,DB_Agents!$B:$I,8,0),"")=M197,"Pending","🔒 BLOCKED — Wrong Code")))</f>
        <v>Pending</v>
      </c>
      <c r="M197" s="84"/>
    </row>
    <row r="198" spans="8:13" x14ac:dyDescent="0.25">
      <c r="H198" s="114"/>
      <c r="K198" s="115" t="str">
        <f>IF(B198="","Pending",IF(M198="","⚠️ Enter Code",IF(IFERROR(VLOOKUP(L198,DB_Agents!$B:$I,8,0),"")=M198,"Pending","🔒 BLOCKED — Wrong Code")))</f>
        <v>Pending</v>
      </c>
      <c r="M198" s="84"/>
    </row>
    <row r="199" spans="8:13" x14ac:dyDescent="0.25">
      <c r="H199" s="114"/>
      <c r="K199" s="15" t="str">
        <f>IF(B199="","Pending",IF(M199="","⚠️ Enter Code",IF(IFERROR(VLOOKUP(L199,DB_Agents!$B:$I,8,0),"")=M199,"Pending","🔒 BLOCKED — Wrong Code")))</f>
        <v>Pending</v>
      </c>
      <c r="M199" s="84"/>
    </row>
    <row r="200" spans="8:13" x14ac:dyDescent="0.25">
      <c r="H200" s="114"/>
      <c r="K200" s="115" t="str">
        <f>IF(B200="","Pending",IF(M200="","⚠️ Enter Code",IF(IFERROR(VLOOKUP(L200,DB_Agents!$B:$I,8,0),"")=M200,"Pending","🔒 BLOCKED — Wrong Code")))</f>
        <v>Pending</v>
      </c>
      <c r="M200" s="84"/>
    </row>
    <row r="201" spans="8:13" x14ac:dyDescent="0.25">
      <c r="K201" s="15" t="str">
        <f>IF(B201="","Pending",IF(M201="","⚠️ Enter Code",IF(IFERROR(VLOOKUP(L201,DB_Agents!$B:$I,8,0),"")=M201,"Pending","🔒 BLOCKED — Wrong Code")))</f>
        <v>Pending</v>
      </c>
      <c r="M201" s="84"/>
    </row>
    <row r="202" spans="8:13" x14ac:dyDescent="0.25">
      <c r="K202" s="115" t="str">
        <f>IF(B202="","Pending",IF(M202="","⚠️ Enter Code",IF(IFERROR(VLOOKUP(L202,DB_Agents!$B:$I,8,0),"")=M202,"Pending","🔒 BLOCKED — Wrong Code")))</f>
        <v>Pending</v>
      </c>
      <c r="M202" s="84"/>
    </row>
    <row r="203" spans="8:13" x14ac:dyDescent="0.25">
      <c r="K203" s="15" t="str">
        <f>IF(B203="","Pending",IF(M203="","⚠️ Enter Code",IF(IFERROR(VLOOKUP(L203,DB_Agents!$B:$I,8,0),"")=M203,"Pending","🔒 BLOCKED — Wrong Code")))</f>
        <v>Pending</v>
      </c>
      <c r="M203" s="84"/>
    </row>
    <row r="204" spans="8:13" x14ac:dyDescent="0.25">
      <c r="K204" s="115" t="str">
        <f>IF(B204="","Pending",IF(M204="","⚠️ Enter Code",IF(IFERROR(VLOOKUP(L204,DB_Agents!$B:$I,8,0),"")=M204,"Pending","🔒 BLOCKED — Wrong Code")))</f>
        <v>Pending</v>
      </c>
      <c r="M204" s="84"/>
    </row>
    <row r="205" spans="8:13" x14ac:dyDescent="0.25">
      <c r="K205" s="15" t="str">
        <f>IF(B205="","Pending",IF(M205="","⚠️ Enter Code",IF(IFERROR(VLOOKUP(L205,DB_Agents!$B:$I,8,0),"")=M205,"Pending","🔒 BLOCKED — Wrong Code")))</f>
        <v>Pending</v>
      </c>
      <c r="M205" s="84"/>
    </row>
    <row r="206" spans="8:13" x14ac:dyDescent="0.25">
      <c r="K206" s="115" t="str">
        <f>IF(B206="","Pending",IF(M206="","⚠️ Enter Code",IF(IFERROR(VLOOKUP(L206,DB_Agents!$B:$I,8,0),"")=M206,"Pending","🔒 BLOCKED — Wrong Code")))</f>
        <v>Pending</v>
      </c>
      <c r="M206" s="84"/>
    </row>
    <row r="207" spans="8:13" x14ac:dyDescent="0.25">
      <c r="K207" s="15" t="str">
        <f>IF(B207="","Pending",IF(M207="","⚠️ Enter Code",IF(IFERROR(VLOOKUP(L207,DB_Agents!$B:$I,8,0),"")=M207,"Pending","🔒 BLOCKED — Wrong Code")))</f>
        <v>Pending</v>
      </c>
      <c r="M207" s="84"/>
    </row>
    <row r="208" spans="8:13" x14ac:dyDescent="0.25">
      <c r="K208" s="115" t="str">
        <f>IF(B208="","Pending",IF(M208="","⚠️ Enter Code",IF(IFERROR(VLOOKUP(L208,DB_Agents!$B:$I,8,0),"")=M208,"Pending","🔒 BLOCKED — Wrong Code")))</f>
        <v>Pending</v>
      </c>
      <c r="M208" s="84"/>
    </row>
    <row r="209" spans="11:13" x14ac:dyDescent="0.25">
      <c r="K209" s="15" t="str">
        <f>IF(B209="","Pending",IF(M209="","⚠️ Enter Code",IF(IFERROR(VLOOKUP(L209,DB_Agents!$B:$I,8,0),"")=M209,"Pending","🔒 BLOCKED — Wrong Code")))</f>
        <v>Pending</v>
      </c>
      <c r="M209" s="84"/>
    </row>
    <row r="210" spans="11:13" x14ac:dyDescent="0.25">
      <c r="K210" s="115" t="str">
        <f>IF(B210="","Pending",IF(M210="","⚠️ Enter Code",IF(IFERROR(VLOOKUP(L210,DB_Agents!$B:$I,8,0),"")=M210,"Pending","🔒 BLOCKED — Wrong Code")))</f>
        <v>Pending</v>
      </c>
      <c r="M210" s="84"/>
    </row>
    <row r="211" spans="11:13" x14ac:dyDescent="0.25">
      <c r="K211" s="15" t="str">
        <f>IF(B211="","Pending",IF(M211="","⚠️ Enter Code",IF(IFERROR(VLOOKUP(L211,DB_Agents!$B:$I,8,0),"")=M211,"Pending","🔒 BLOCKED — Wrong Code")))</f>
        <v>Pending</v>
      </c>
      <c r="M211" s="84"/>
    </row>
    <row r="212" spans="11:13" x14ac:dyDescent="0.25">
      <c r="K212" s="115" t="str">
        <f>IF(B212="","Pending",IF(M212="","⚠️ Enter Code",IF(IFERROR(VLOOKUP(L212,DB_Agents!$B:$I,8,0),"")=M212,"Pending","🔒 BLOCKED — Wrong Code")))</f>
        <v>Pending</v>
      </c>
      <c r="M212" s="84"/>
    </row>
    <row r="213" spans="11:13" x14ac:dyDescent="0.25">
      <c r="K213" s="15" t="str">
        <f>IF(B213="","Pending",IF(M213="","⚠️ Enter Code",IF(IFERROR(VLOOKUP(L213,DB_Agents!$B:$I,8,0),"")=M213,"Pending","🔒 BLOCKED — Wrong Code")))</f>
        <v>Pending</v>
      </c>
      <c r="M213" s="84"/>
    </row>
  </sheetData>
  <mergeCells count="10">
    <mergeCell ref="B7:D7"/>
    <mergeCell ref="B8:D8"/>
    <mergeCell ref="B9:D9"/>
    <mergeCell ref="B10:D10"/>
    <mergeCell ref="A12:N12"/>
    <mergeCell ref="A1:N1"/>
    <mergeCell ref="A2:N2"/>
    <mergeCell ref="A4:D4"/>
    <mergeCell ref="B5:D5"/>
    <mergeCell ref="B6:D6"/>
  </mergeCells>
  <conditionalFormatting sqref="K14:K113">
    <cfRule type="cellIs" dxfId="95" priority="2" operator="equal">
      <formula>"Approved"</formula>
    </cfRule>
    <cfRule type="cellIs" dxfId="94" priority="3" operator="equal">
      <formula>"Pending"</formula>
    </cfRule>
    <cfRule type="cellIs" dxfId="93" priority="4" operator="equal">
      <formula>"Rejected"</formula>
    </cfRule>
  </conditionalFormatting>
  <dataValidations count="2">
    <dataValidation type="whole" showErrorMessage="1" error="Enter 1-36 months" sqref="G14:G113" xr:uid="{00000000-0002-0000-0700-000000000000}">
      <formula1>1</formula1>
      <formula2>36</formula2>
    </dataValidation>
    <dataValidation type="list" sqref="L14:L113" xr:uid="{00000000-0002-0000-07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27AE60"/>
  </sheetPr>
  <dimension ref="A1:L208"/>
  <sheetViews>
    <sheetView zoomScaleNormal="100" workbookViewId="0">
      <pane ySplit="8" topLeftCell="A9" activePane="bottomLeft" state="frozen"/>
      <selection pane="bottomLeft"/>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2" customWidth="1"/>
    <col min="8" max="8" width="14" customWidth="1"/>
    <col min="9" max="10" width="22" customWidth="1"/>
  </cols>
  <sheetData>
    <row r="1" spans="1:12" ht="31.5" customHeight="1" x14ac:dyDescent="0.25">
      <c r="A1" s="14" t="s">
        <v>195</v>
      </c>
      <c r="B1" s="14"/>
      <c r="C1" s="14"/>
      <c r="D1" s="14"/>
      <c r="E1" s="14"/>
      <c r="F1" s="14"/>
      <c r="G1" s="14"/>
      <c r="H1" s="14"/>
      <c r="I1" s="14"/>
      <c r="J1" s="14"/>
      <c r="K1" s="14"/>
      <c r="L1" s="14"/>
    </row>
    <row r="2" spans="1:12" ht="19.5" customHeight="1" x14ac:dyDescent="0.25">
      <c r="A2" s="204" t="s">
        <v>196</v>
      </c>
      <c r="B2" s="204"/>
      <c r="C2" s="204"/>
      <c r="D2" s="204"/>
      <c r="E2" s="204"/>
      <c r="F2" s="204"/>
      <c r="G2" s="204"/>
      <c r="H2" s="204"/>
      <c r="I2" s="204"/>
      <c r="J2" s="204"/>
      <c r="K2" s="204"/>
      <c r="L2" s="204"/>
    </row>
    <row r="3" spans="1:12" ht="18" customHeight="1" x14ac:dyDescent="0.25">
      <c r="A3" s="177" t="s">
        <v>167</v>
      </c>
      <c r="B3" s="177"/>
      <c r="C3" s="177"/>
      <c r="D3" s="180" t="s">
        <v>168</v>
      </c>
      <c r="E3" s="180"/>
      <c r="F3" s="180"/>
      <c r="G3" s="154" t="s">
        <v>169</v>
      </c>
      <c r="H3" s="154"/>
      <c r="I3" s="154"/>
      <c r="J3" s="2"/>
      <c r="K3" s="2"/>
      <c r="L3" s="2"/>
    </row>
    <row r="4" spans="1:12" ht="27.75" customHeight="1" x14ac:dyDescent="0.25">
      <c r="A4" s="205">
        <f ca="1">SUMIFS(DB_Savings!$F:$F,DB_Savings!$G:$G,"Agent 02",DB_Savings!$E:$E,TODAY())</f>
        <v>0</v>
      </c>
      <c r="B4" s="205"/>
      <c r="C4" s="205"/>
      <c r="D4" s="206">
        <f ca="1">COUNTIFS(DB_Savings!$G:$G,"Agent 02",DB_Savings!$E:$E,TODAY())</f>
        <v>0</v>
      </c>
      <c r="E4" s="206"/>
      <c r="F4" s="206"/>
      <c r="G4" s="207" t="str">
        <f ca="1">TEXT(TODAY(),"DDDD, DD MMMM YYYY")</f>
        <v>Sunday, 19 April 2026</v>
      </c>
      <c r="H4" s="207"/>
      <c r="I4" s="207"/>
      <c r="J4" s="2"/>
      <c r="K4" s="2"/>
      <c r="L4" s="2"/>
    </row>
    <row r="5" spans="1:12" ht="21.75" customHeight="1" x14ac:dyDescent="0.25">
      <c r="A5" s="208" t="str">
        <f ca="1">IF(SUMIFS(DB_Savings!$F:$F,DB_Savings!$G:$G,"Agent 02",DB_Savings!$E:$E,TODAY())&gt;=J4,"✅ DAILY TARGET ACHIEVED! Well done Agent 02!","⏳ Collection in progress — Keep going! Remaining: GHC "&amp;TEXT(J4-SUMIFS(DB_Savings!$F:$F,DB_Savings!$G:$G,"Agent 02",DB_Savings!$E:$E,TODAY()),"#,##0.00"))</f>
        <v>✅ DAILY TARGET ACHIEVED! Well done Agent 02!</v>
      </c>
      <c r="B5" s="208"/>
      <c r="C5" s="208"/>
      <c r="D5" s="208"/>
      <c r="E5" s="208"/>
      <c r="F5" s="208"/>
      <c r="G5" s="208"/>
      <c r="H5" s="208"/>
      <c r="I5" s="208"/>
      <c r="J5" s="208"/>
      <c r="K5" s="208"/>
      <c r="L5" s="208"/>
    </row>
    <row r="6" spans="1:12" ht="7.5" customHeight="1" x14ac:dyDescent="0.25"/>
    <row r="7" spans="1:12" ht="19.5" customHeight="1" x14ac:dyDescent="0.25">
      <c r="A7" s="209" t="s">
        <v>170</v>
      </c>
      <c r="B7" s="209"/>
      <c r="C7" s="209"/>
      <c r="D7" s="209"/>
      <c r="E7" s="209"/>
      <c r="F7" s="209"/>
      <c r="G7" s="209"/>
      <c r="H7" s="209"/>
      <c r="I7" s="209"/>
      <c r="J7" s="209"/>
      <c r="K7" s="209"/>
      <c r="L7" s="209"/>
    </row>
    <row r="8" spans="1:12" ht="19.5" customHeight="1" x14ac:dyDescent="0.25">
      <c r="A8" s="20" t="s">
        <v>171</v>
      </c>
      <c r="B8" s="20" t="s">
        <v>118</v>
      </c>
      <c r="C8" s="20" t="s">
        <v>172</v>
      </c>
      <c r="D8" s="20" t="s">
        <v>111</v>
      </c>
      <c r="E8" s="20" t="s">
        <v>173</v>
      </c>
      <c r="F8" s="20" t="s">
        <v>174</v>
      </c>
      <c r="G8" s="20" t="s">
        <v>32</v>
      </c>
      <c r="H8" s="78" t="s">
        <v>175</v>
      </c>
      <c r="I8" s="20" t="s">
        <v>155</v>
      </c>
      <c r="J8" s="20" t="s">
        <v>176</v>
      </c>
      <c r="K8" s="20" t="s">
        <v>177</v>
      </c>
    </row>
    <row r="9" spans="1:12" x14ac:dyDescent="0.25">
      <c r="A9" s="79"/>
      <c r="B9" s="21" t="str">
        <f>IF(A9="","",IFERROR(VLOOKUP(A9,DB_Customers!$A:$D,4,0),"❌ Account Not Found"))</f>
        <v/>
      </c>
      <c r="C9" s="80" t="str">
        <f>IF(A9="","",IFERROR(VLOOKUP(A9,DB_Customers!$A:$N,14,0),""))</f>
        <v/>
      </c>
      <c r="D9" s="81" t="str">
        <f t="shared" ref="D9:D40" ca="1" si="0">IF(A9="","",TODAY())</f>
        <v/>
      </c>
      <c r="E9" s="82"/>
      <c r="F9" s="83" t="str">
        <f t="shared" ref="F9:F40" si="1">IF(OR(A9="",E9=""),"",IF(C9="","",C9+E9))</f>
        <v/>
      </c>
      <c r="G9" s="23" t="s">
        <v>42</v>
      </c>
      <c r="H9" s="84"/>
      <c r="I9" s="85" t="str">
        <f>IF(A9="","Pending",IF(H9="","⚠️ Enter Code",IF(IFERROR(VLOOKUP(G9,DB_Agents!$B:$I,8,0),"")=H9,IF(AND(A9&lt;&gt;"",E9&lt;&gt;""),"Saved","Pending"),"🔒 BLOCKED — Wrong Code")))</f>
        <v>Pending</v>
      </c>
      <c r="J9" s="86" t="str">
        <f t="shared" ref="J9:J40" ca="1" si="2">IF(I9="Saved",TEXT(TODAY(),"YYYY-MM-DD")&amp;" Auto","—")</f>
        <v>—</v>
      </c>
      <c r="K9" s="87"/>
    </row>
    <row r="10" spans="1:12" x14ac:dyDescent="0.25">
      <c r="A10" s="88"/>
      <c r="B10" s="25" t="str">
        <f>IF(A10="","",IFERROR(VLOOKUP(A10,DB_Customers!$A:$D,4,0),"❌ Account Not Found"))</f>
        <v/>
      </c>
      <c r="C10" s="89" t="str">
        <f>IF(A10="","",IFERROR(VLOOKUP(A10,DB_Customers!$A:$N,14,0),""))</f>
        <v/>
      </c>
      <c r="D10" s="90" t="str">
        <f t="shared" ca="1" si="0"/>
        <v/>
      </c>
      <c r="E10" s="82"/>
      <c r="F10" s="91" t="str">
        <f t="shared" si="1"/>
        <v/>
      </c>
      <c r="G10" s="27" t="s">
        <v>42</v>
      </c>
      <c r="H10" s="84"/>
      <c r="I10" s="92" t="str">
        <f>IF(A10="","Pending",IF(H10="","⚠️ Enter Code",IF(IFERROR(VLOOKUP(G10,DB_Agents!$B:$I,8,0),"")=H10,IF(AND(A10&lt;&gt;"",E10&lt;&gt;""),"Saved","Pending"),"🔒 BLOCKED — Wrong Code")))</f>
        <v>Pending</v>
      </c>
      <c r="J10" s="93" t="str">
        <f t="shared" ca="1" si="2"/>
        <v>—</v>
      </c>
      <c r="K10" s="94"/>
    </row>
    <row r="11" spans="1:12" x14ac:dyDescent="0.25">
      <c r="A11" s="79"/>
      <c r="B11" s="21" t="str">
        <f>IF(A11="","",IFERROR(VLOOKUP(A11,DB_Customers!$A:$D,4,0),"❌ Account Not Found"))</f>
        <v/>
      </c>
      <c r="C11" s="80" t="str">
        <f>IF(A11="","",IFERROR(VLOOKUP(A11,DB_Customers!$A:$N,14,0),""))</f>
        <v/>
      </c>
      <c r="D11" s="81" t="str">
        <f t="shared" ca="1" si="0"/>
        <v/>
      </c>
      <c r="E11" s="82"/>
      <c r="F11" s="83" t="str">
        <f t="shared" si="1"/>
        <v/>
      </c>
      <c r="G11" s="23" t="s">
        <v>42</v>
      </c>
      <c r="H11" s="84"/>
      <c r="I11" s="85" t="str">
        <f>IF(A11="","Pending",IF(H11="","⚠️ Enter Code",IF(IFERROR(VLOOKUP(G11,DB_Agents!$B:$I,8,0),"")=H11,IF(AND(A11&lt;&gt;"",E11&lt;&gt;""),"Saved","Pending"),"🔒 BLOCKED — Wrong Code")))</f>
        <v>Pending</v>
      </c>
      <c r="J11" s="86" t="str">
        <f t="shared" ca="1" si="2"/>
        <v>—</v>
      </c>
      <c r="K11" s="87"/>
    </row>
    <row r="12" spans="1:12" x14ac:dyDescent="0.25">
      <c r="A12" s="88"/>
      <c r="B12" s="25" t="str">
        <f>IF(A12="","",IFERROR(VLOOKUP(A12,DB_Customers!$A:$D,4,0),"❌ Account Not Found"))</f>
        <v/>
      </c>
      <c r="C12" s="89" t="str">
        <f>IF(A12="","",IFERROR(VLOOKUP(A12,DB_Customers!$A:$N,14,0),""))</f>
        <v/>
      </c>
      <c r="D12" s="90" t="str">
        <f t="shared" ca="1" si="0"/>
        <v/>
      </c>
      <c r="E12" s="82"/>
      <c r="F12" s="91" t="str">
        <f t="shared" si="1"/>
        <v/>
      </c>
      <c r="G12" s="27" t="s">
        <v>42</v>
      </c>
      <c r="H12" s="84"/>
      <c r="I12" s="92" t="str">
        <f>IF(A12="","Pending",IF(H12="","⚠️ Enter Code",IF(IFERROR(VLOOKUP(G12,DB_Agents!$B:$I,8,0),"")=H12,IF(AND(A12&lt;&gt;"",E12&lt;&gt;""),"Saved","Pending"),"🔒 BLOCKED — Wrong Code")))</f>
        <v>Pending</v>
      </c>
      <c r="J12" s="93" t="str">
        <f t="shared" ca="1" si="2"/>
        <v>—</v>
      </c>
      <c r="K12" s="94"/>
    </row>
    <row r="13" spans="1:12" x14ac:dyDescent="0.25">
      <c r="A13" s="79"/>
      <c r="B13" s="21" t="str">
        <f>IF(A13="","",IFERROR(VLOOKUP(A13,DB_Customers!$A:$D,4,0),"❌ Account Not Found"))</f>
        <v/>
      </c>
      <c r="C13" s="80" t="str">
        <f>IF(A13="","",IFERROR(VLOOKUP(A13,DB_Customers!$A:$N,14,0),""))</f>
        <v/>
      </c>
      <c r="D13" s="81" t="str">
        <f t="shared" ca="1" si="0"/>
        <v/>
      </c>
      <c r="E13" s="82"/>
      <c r="F13" s="83" t="str">
        <f t="shared" si="1"/>
        <v/>
      </c>
      <c r="G13" s="23" t="s">
        <v>42</v>
      </c>
      <c r="H13" s="84"/>
      <c r="I13" s="85" t="str">
        <f>IF(A13="","Pending",IF(H13="","⚠️ Enter Code",IF(IFERROR(VLOOKUP(G13,DB_Agents!$B:$I,8,0),"")=H13,IF(AND(A13&lt;&gt;"",E13&lt;&gt;""),"Saved","Pending"),"🔒 BLOCKED — Wrong Code")))</f>
        <v>Pending</v>
      </c>
      <c r="J13" s="86" t="str">
        <f t="shared" ca="1" si="2"/>
        <v>—</v>
      </c>
      <c r="K13" s="87"/>
    </row>
    <row r="14" spans="1:12" x14ac:dyDescent="0.25">
      <c r="A14" s="88"/>
      <c r="B14" s="25" t="str">
        <f>IF(A14="","",IFERROR(VLOOKUP(A14,DB_Customers!$A:$D,4,0),"❌ Account Not Found"))</f>
        <v/>
      </c>
      <c r="C14" s="89" t="str">
        <f>IF(A14="","",IFERROR(VLOOKUP(A14,DB_Customers!$A:$N,14,0),""))</f>
        <v/>
      </c>
      <c r="D14" s="90" t="str">
        <f t="shared" ca="1" si="0"/>
        <v/>
      </c>
      <c r="E14" s="82"/>
      <c r="F14" s="91" t="str">
        <f t="shared" si="1"/>
        <v/>
      </c>
      <c r="G14" s="27"/>
      <c r="H14" s="84"/>
      <c r="I14" s="92" t="str">
        <f>IF(A14="","Pending",IF(H14="","⚠️ Enter Code",IF(IFERROR(VLOOKUP(G14,DB_Agents!$B:$I,8,0),"")=H14,IF(AND(A14&lt;&gt;"",E14&lt;&gt;""),"Saved","Pending"),"🔒 BLOCKED — Wrong Code")))</f>
        <v>Pending</v>
      </c>
      <c r="J14" s="93" t="str">
        <f t="shared" ca="1" si="2"/>
        <v>—</v>
      </c>
      <c r="K14" s="94"/>
    </row>
    <row r="15" spans="1:12" x14ac:dyDescent="0.25">
      <c r="A15" s="79"/>
      <c r="B15" s="21" t="str">
        <f>IF(A15="","",IFERROR(VLOOKUP(A15,DB_Customers!$A:$D,4,0),"❌ Account Not Found"))</f>
        <v/>
      </c>
      <c r="C15" s="80" t="str">
        <f>IF(A15="","",IFERROR(VLOOKUP(A15,DB_Customers!$A:$N,14,0),""))</f>
        <v/>
      </c>
      <c r="D15" s="81" t="str">
        <f t="shared" ca="1" si="0"/>
        <v/>
      </c>
      <c r="E15" s="82"/>
      <c r="F15" s="83" t="str">
        <f t="shared" si="1"/>
        <v/>
      </c>
      <c r="G15" s="23"/>
      <c r="H15" s="84"/>
      <c r="I15" s="85" t="str">
        <f>IF(A15="","Pending",IF(H15="","⚠️ Enter Code",IF(IFERROR(VLOOKUP(G15,DB_Agents!$B:$I,8,0),"")=H15,IF(AND(A15&lt;&gt;"",E15&lt;&gt;""),"Saved","Pending"),"🔒 BLOCKED — Wrong Code")))</f>
        <v>Pending</v>
      </c>
      <c r="J15" s="86" t="str">
        <f t="shared" ca="1" si="2"/>
        <v>—</v>
      </c>
      <c r="K15" s="87"/>
    </row>
    <row r="16" spans="1:12" x14ac:dyDescent="0.25">
      <c r="A16" s="88"/>
      <c r="B16" s="25" t="str">
        <f>IF(A16="","",IFERROR(VLOOKUP(A16,DB_Customers!$A:$D,4,0),"❌ Account Not Found"))</f>
        <v/>
      </c>
      <c r="C16" s="89" t="str">
        <f>IF(A16="","",IFERROR(VLOOKUP(A16,DB_Customers!$A:$N,14,0),""))</f>
        <v/>
      </c>
      <c r="D16" s="90" t="str">
        <f t="shared" ca="1" si="0"/>
        <v/>
      </c>
      <c r="E16" s="82"/>
      <c r="F16" s="91" t="str">
        <f t="shared" si="1"/>
        <v/>
      </c>
      <c r="G16" s="27"/>
      <c r="H16" s="84"/>
      <c r="I16" s="92" t="str">
        <f>IF(A16="","Pending",IF(H16="","⚠️ Enter Code",IF(IFERROR(VLOOKUP(G16,DB_Agents!$B:$I,8,0),"")=H16,IF(AND(A16&lt;&gt;"",E16&lt;&gt;""),"Saved","Pending"),"🔒 BLOCKED — Wrong Code")))</f>
        <v>Pending</v>
      </c>
      <c r="J16" s="93" t="str">
        <f t="shared" ca="1" si="2"/>
        <v>—</v>
      </c>
      <c r="K16" s="94"/>
    </row>
    <row r="17" spans="1:11" x14ac:dyDescent="0.25">
      <c r="A17" s="79"/>
      <c r="B17" s="21" t="str">
        <f>IF(A17="","",IFERROR(VLOOKUP(A17,DB_Customers!$A:$D,4,0),"❌ Account Not Found"))</f>
        <v/>
      </c>
      <c r="C17" s="80" t="str">
        <f>IF(A17="","",IFERROR(VLOOKUP(A17,DB_Customers!$A:$N,14,0),""))</f>
        <v/>
      </c>
      <c r="D17" s="81" t="str">
        <f t="shared" ca="1" si="0"/>
        <v/>
      </c>
      <c r="E17" s="82"/>
      <c r="F17" s="83" t="str">
        <f t="shared" si="1"/>
        <v/>
      </c>
      <c r="G17" s="23"/>
      <c r="H17" s="84"/>
      <c r="I17" s="85" t="str">
        <f>IF(A17="","Pending",IF(H17="","⚠️ Enter Code",IF(IFERROR(VLOOKUP(G17,DB_Agents!$B:$I,8,0),"")=H17,IF(AND(A17&lt;&gt;"",E17&lt;&gt;""),"Saved","Pending"),"🔒 BLOCKED — Wrong Code")))</f>
        <v>Pending</v>
      </c>
      <c r="J17" s="86" t="str">
        <f t="shared" ca="1" si="2"/>
        <v>—</v>
      </c>
      <c r="K17" s="87"/>
    </row>
    <row r="18" spans="1:11" x14ac:dyDescent="0.25">
      <c r="A18" s="88"/>
      <c r="B18" s="25" t="str">
        <f>IF(A18="","",IFERROR(VLOOKUP(A18,DB_Customers!$A:$D,4,0),"❌ Account Not Found"))</f>
        <v/>
      </c>
      <c r="C18" s="89" t="str">
        <f>IF(A18="","",IFERROR(VLOOKUP(A18,DB_Customers!$A:$N,14,0),""))</f>
        <v/>
      </c>
      <c r="D18" s="90" t="str">
        <f t="shared" ca="1" si="0"/>
        <v/>
      </c>
      <c r="E18" s="82"/>
      <c r="F18" s="91" t="str">
        <f t="shared" si="1"/>
        <v/>
      </c>
      <c r="G18" s="27"/>
      <c r="H18" s="84"/>
      <c r="I18" s="92" t="str">
        <f>IF(A18="","Pending",IF(H18="","⚠️ Enter Code",IF(IFERROR(VLOOKUP(G18,DB_Agents!$B:$I,8,0),"")=H18,IF(AND(A18&lt;&gt;"",E18&lt;&gt;""),"Saved","Pending"),"🔒 BLOCKED — Wrong Code")))</f>
        <v>Pending</v>
      </c>
      <c r="J18" s="93" t="str">
        <f t="shared" ca="1" si="2"/>
        <v>—</v>
      </c>
      <c r="K18" s="94"/>
    </row>
    <row r="19" spans="1:11" x14ac:dyDescent="0.25">
      <c r="A19" s="79"/>
      <c r="B19" s="21" t="str">
        <f>IF(A19="","",IFERROR(VLOOKUP(A19,DB_Customers!$A:$D,4,0),"❌ Account Not Found"))</f>
        <v/>
      </c>
      <c r="C19" s="80" t="str">
        <f>IF(A19="","",IFERROR(VLOOKUP(A19,DB_Customers!$A:$N,14,0),""))</f>
        <v/>
      </c>
      <c r="D19" s="81" t="str">
        <f t="shared" ca="1" si="0"/>
        <v/>
      </c>
      <c r="E19" s="82"/>
      <c r="F19" s="83" t="str">
        <f t="shared" si="1"/>
        <v/>
      </c>
      <c r="G19" s="23"/>
      <c r="H19" s="84"/>
      <c r="I19" s="85" t="str">
        <f>IF(A19="","Pending",IF(H19="","⚠️ Enter Code",IF(IFERROR(VLOOKUP(G19,DB_Agents!$B:$I,8,0),"")=H19,IF(AND(A19&lt;&gt;"",E19&lt;&gt;""),"Saved","Pending"),"🔒 BLOCKED — Wrong Code")))</f>
        <v>Pending</v>
      </c>
      <c r="J19" s="86" t="str">
        <f t="shared" ca="1" si="2"/>
        <v>—</v>
      </c>
      <c r="K19" s="87"/>
    </row>
    <row r="20" spans="1:11" x14ac:dyDescent="0.25">
      <c r="A20" s="88"/>
      <c r="B20" s="25" t="str">
        <f>IF(A20="","",IFERROR(VLOOKUP(A20,DB_Customers!$A:$D,4,0),"❌ Account Not Found"))</f>
        <v/>
      </c>
      <c r="C20" s="89" t="str">
        <f>IF(A20="","",IFERROR(VLOOKUP(A20,DB_Customers!$A:$N,14,0),""))</f>
        <v/>
      </c>
      <c r="D20" s="90" t="str">
        <f t="shared" ca="1" si="0"/>
        <v/>
      </c>
      <c r="E20" s="82"/>
      <c r="F20" s="91" t="str">
        <f t="shared" si="1"/>
        <v/>
      </c>
      <c r="G20" s="27"/>
      <c r="H20" s="84"/>
      <c r="I20" s="92" t="str">
        <f>IF(A20="","Pending",IF(H20="","⚠️ Enter Code",IF(IFERROR(VLOOKUP(G20,DB_Agents!$B:$I,8,0),"")=H20,IF(AND(A20&lt;&gt;"",E20&lt;&gt;""),"Saved","Pending"),"🔒 BLOCKED — Wrong Code")))</f>
        <v>Pending</v>
      </c>
      <c r="J20" s="93" t="str">
        <f t="shared" ca="1" si="2"/>
        <v>—</v>
      </c>
      <c r="K20" s="94"/>
    </row>
    <row r="21" spans="1:11" x14ac:dyDescent="0.25">
      <c r="A21" s="79"/>
      <c r="B21" s="21" t="str">
        <f>IF(A21="","",IFERROR(VLOOKUP(A21,DB_Customers!$A:$D,4,0),"❌ Account Not Found"))</f>
        <v/>
      </c>
      <c r="C21" s="80" t="str">
        <f>IF(A21="","",IFERROR(VLOOKUP(A21,DB_Customers!$A:$N,14,0),""))</f>
        <v/>
      </c>
      <c r="D21" s="81" t="str">
        <f t="shared" ca="1" si="0"/>
        <v/>
      </c>
      <c r="E21" s="82"/>
      <c r="F21" s="83" t="str">
        <f t="shared" si="1"/>
        <v/>
      </c>
      <c r="G21" s="23"/>
      <c r="H21" s="84"/>
      <c r="I21" s="85" t="str">
        <f>IF(A21="","Pending",IF(H21="","⚠️ Enter Code",IF(IFERROR(VLOOKUP(G21,DB_Agents!$B:$I,8,0),"")=H21,IF(AND(A21&lt;&gt;"",E21&lt;&gt;""),"Saved","Pending"),"🔒 BLOCKED — Wrong Code")))</f>
        <v>Pending</v>
      </c>
      <c r="J21" s="86" t="str">
        <f t="shared" ca="1" si="2"/>
        <v>—</v>
      </c>
      <c r="K21" s="87"/>
    </row>
    <row r="22" spans="1:11" x14ac:dyDescent="0.25">
      <c r="A22" s="88"/>
      <c r="B22" s="25" t="str">
        <f>IF(A22="","",IFERROR(VLOOKUP(A22,DB_Customers!$A:$D,4,0),"❌ Account Not Found"))</f>
        <v/>
      </c>
      <c r="C22" s="89" t="str">
        <f>IF(A22="","",IFERROR(VLOOKUP(A22,DB_Customers!$A:$N,14,0),""))</f>
        <v/>
      </c>
      <c r="D22" s="90" t="str">
        <f t="shared" ca="1" si="0"/>
        <v/>
      </c>
      <c r="E22" s="82"/>
      <c r="F22" s="91" t="str">
        <f t="shared" si="1"/>
        <v/>
      </c>
      <c r="G22" s="27"/>
      <c r="H22" s="84"/>
      <c r="I22" s="92" t="str">
        <f>IF(A22="","Pending",IF(H22="","⚠️ Enter Code",IF(IFERROR(VLOOKUP(G22,DB_Agents!$B:$I,8,0),"")=H22,IF(AND(A22&lt;&gt;"",E22&lt;&gt;""),"Saved","Pending"),"🔒 BLOCKED — Wrong Code")))</f>
        <v>Pending</v>
      </c>
      <c r="J22" s="93" t="str">
        <f t="shared" ca="1" si="2"/>
        <v>—</v>
      </c>
      <c r="K22" s="94"/>
    </row>
    <row r="23" spans="1:11" x14ac:dyDescent="0.25">
      <c r="A23" s="79"/>
      <c r="B23" s="21" t="str">
        <f>IF(A23="","",IFERROR(VLOOKUP(A23,DB_Customers!$A:$D,4,0),"❌ Account Not Found"))</f>
        <v/>
      </c>
      <c r="C23" s="80" t="str">
        <f>IF(A23="","",IFERROR(VLOOKUP(A23,DB_Customers!$A:$N,14,0),""))</f>
        <v/>
      </c>
      <c r="D23" s="81" t="str">
        <f t="shared" ca="1" si="0"/>
        <v/>
      </c>
      <c r="E23" s="82"/>
      <c r="F23" s="83" t="str">
        <f t="shared" si="1"/>
        <v/>
      </c>
      <c r="G23" s="23"/>
      <c r="H23" s="84"/>
      <c r="I23" s="85" t="str">
        <f>IF(A23="","Pending",IF(H23="","⚠️ Enter Code",IF(IFERROR(VLOOKUP(G23,DB_Agents!$B:$I,8,0),"")=H23,IF(AND(A23&lt;&gt;"",E23&lt;&gt;""),"Saved","Pending"),"🔒 BLOCKED — Wrong Code")))</f>
        <v>Pending</v>
      </c>
      <c r="J23" s="86" t="str">
        <f t="shared" ca="1" si="2"/>
        <v>—</v>
      </c>
      <c r="K23" s="87"/>
    </row>
    <row r="24" spans="1:11" x14ac:dyDescent="0.25">
      <c r="A24" s="88"/>
      <c r="B24" s="25" t="str">
        <f>IF(A24="","",IFERROR(VLOOKUP(A24,DB_Customers!$A:$D,4,0),"❌ Account Not Found"))</f>
        <v/>
      </c>
      <c r="C24" s="89" t="str">
        <f>IF(A24="","",IFERROR(VLOOKUP(A24,DB_Customers!$A:$N,14,0),""))</f>
        <v/>
      </c>
      <c r="D24" s="90" t="str">
        <f t="shared" ca="1" si="0"/>
        <v/>
      </c>
      <c r="E24" s="82"/>
      <c r="F24" s="91" t="str">
        <f t="shared" si="1"/>
        <v/>
      </c>
      <c r="G24" s="27"/>
      <c r="H24" s="84"/>
      <c r="I24" s="92" t="str">
        <f>IF(A24="","Pending",IF(H24="","⚠️ Enter Code",IF(IFERROR(VLOOKUP(G24,DB_Agents!$B:$I,8,0),"")=H24,IF(AND(A24&lt;&gt;"",E24&lt;&gt;""),"Saved","Pending"),"🔒 BLOCKED — Wrong Code")))</f>
        <v>Pending</v>
      </c>
      <c r="J24" s="93" t="str">
        <f t="shared" ca="1" si="2"/>
        <v>—</v>
      </c>
      <c r="K24" s="94"/>
    </row>
    <row r="25" spans="1:11" x14ac:dyDescent="0.25">
      <c r="A25" s="79"/>
      <c r="B25" s="21" t="str">
        <f>IF(A25="","",IFERROR(VLOOKUP(A25,DB_Customers!$A:$D,4,0),"❌ Account Not Found"))</f>
        <v/>
      </c>
      <c r="C25" s="80" t="str">
        <f>IF(A25="","",IFERROR(VLOOKUP(A25,DB_Customers!$A:$N,14,0),""))</f>
        <v/>
      </c>
      <c r="D25" s="81" t="str">
        <f t="shared" ca="1" si="0"/>
        <v/>
      </c>
      <c r="E25" s="82"/>
      <c r="F25" s="83" t="str">
        <f t="shared" si="1"/>
        <v/>
      </c>
      <c r="G25" s="23"/>
      <c r="H25" s="84"/>
      <c r="I25" s="85" t="str">
        <f>IF(A25="","Pending",IF(H25="","⚠️ Enter Code",IF(IFERROR(VLOOKUP(G25,DB_Agents!$B:$I,8,0),"")=H25,IF(AND(A25&lt;&gt;"",E25&lt;&gt;""),"Saved","Pending"),"🔒 BLOCKED — Wrong Code")))</f>
        <v>Pending</v>
      </c>
      <c r="J25" s="86" t="str">
        <f t="shared" ca="1" si="2"/>
        <v>—</v>
      </c>
      <c r="K25" s="87"/>
    </row>
    <row r="26" spans="1:11" x14ac:dyDescent="0.25">
      <c r="A26" s="88"/>
      <c r="B26" s="25" t="str">
        <f>IF(A26="","",IFERROR(VLOOKUP(A26,DB_Customers!$A:$D,4,0),"❌ Account Not Found"))</f>
        <v/>
      </c>
      <c r="C26" s="89" t="str">
        <f>IF(A26="","",IFERROR(VLOOKUP(A26,DB_Customers!$A:$N,14,0),""))</f>
        <v/>
      </c>
      <c r="D26" s="90" t="str">
        <f t="shared" ca="1" si="0"/>
        <v/>
      </c>
      <c r="E26" s="82"/>
      <c r="F26" s="91" t="str">
        <f t="shared" si="1"/>
        <v/>
      </c>
      <c r="G26" s="27"/>
      <c r="H26" s="84"/>
      <c r="I26" s="92" t="str">
        <f>IF(A26="","Pending",IF(H26="","⚠️ Enter Code",IF(IFERROR(VLOOKUP(G26,DB_Agents!$B:$I,8,0),"")=H26,IF(AND(A26&lt;&gt;"",E26&lt;&gt;""),"Saved","Pending"),"🔒 BLOCKED — Wrong Code")))</f>
        <v>Pending</v>
      </c>
      <c r="J26" s="93" t="str">
        <f t="shared" ca="1" si="2"/>
        <v>—</v>
      </c>
      <c r="K26" s="94"/>
    </row>
    <row r="27" spans="1:11" x14ac:dyDescent="0.25">
      <c r="A27" s="79"/>
      <c r="B27" s="21" t="str">
        <f>IF(A27="","",IFERROR(VLOOKUP(A27,DB_Customers!$A:$D,4,0),"❌ Account Not Found"))</f>
        <v/>
      </c>
      <c r="C27" s="80" t="str">
        <f>IF(A27="","",IFERROR(VLOOKUP(A27,DB_Customers!$A:$N,14,0),""))</f>
        <v/>
      </c>
      <c r="D27" s="81" t="str">
        <f t="shared" ca="1" si="0"/>
        <v/>
      </c>
      <c r="E27" s="82"/>
      <c r="F27" s="83" t="str">
        <f t="shared" si="1"/>
        <v/>
      </c>
      <c r="G27" s="23"/>
      <c r="H27" s="84"/>
      <c r="I27" s="85" t="str">
        <f>IF(A27="","Pending",IF(H27="","⚠️ Enter Code",IF(IFERROR(VLOOKUP(G27,DB_Agents!$B:$I,8,0),"")=H27,IF(AND(A27&lt;&gt;"",E27&lt;&gt;""),"Saved","Pending"),"🔒 BLOCKED — Wrong Code")))</f>
        <v>Pending</v>
      </c>
      <c r="J27" s="86" t="str">
        <f t="shared" ca="1" si="2"/>
        <v>—</v>
      </c>
      <c r="K27" s="87"/>
    </row>
    <row r="28" spans="1:11" x14ac:dyDescent="0.25">
      <c r="A28" s="88"/>
      <c r="B28" s="25" t="str">
        <f>IF(A28="","",IFERROR(VLOOKUP(A28,DB_Customers!$A:$D,4,0),"❌ Account Not Found"))</f>
        <v/>
      </c>
      <c r="C28" s="89" t="str">
        <f>IF(A28="","",IFERROR(VLOOKUP(A28,DB_Customers!$A:$N,14,0),""))</f>
        <v/>
      </c>
      <c r="D28" s="90" t="str">
        <f t="shared" ca="1" si="0"/>
        <v/>
      </c>
      <c r="E28" s="82"/>
      <c r="F28" s="91" t="str">
        <f t="shared" si="1"/>
        <v/>
      </c>
      <c r="G28" s="27"/>
      <c r="H28" s="84"/>
      <c r="I28" s="92" t="str">
        <f>IF(A28="","Pending",IF(H28="","⚠️ Enter Code",IF(IFERROR(VLOOKUP(G28,DB_Agents!$B:$I,8,0),"")=H28,IF(AND(A28&lt;&gt;"",E28&lt;&gt;""),"Saved","Pending"),"🔒 BLOCKED — Wrong Code")))</f>
        <v>Pending</v>
      </c>
      <c r="J28" s="93" t="str">
        <f t="shared" ca="1" si="2"/>
        <v>—</v>
      </c>
      <c r="K28" s="94"/>
    </row>
    <row r="29" spans="1:11" x14ac:dyDescent="0.25">
      <c r="A29" s="79"/>
      <c r="B29" s="21" t="str">
        <f>IF(A29="","",IFERROR(VLOOKUP(A29,DB_Customers!$A:$D,4,0),"❌ Account Not Found"))</f>
        <v/>
      </c>
      <c r="C29" s="80" t="str">
        <f>IF(A29="","",IFERROR(VLOOKUP(A29,DB_Customers!$A:$N,14,0),""))</f>
        <v/>
      </c>
      <c r="D29" s="81" t="str">
        <f t="shared" ca="1" si="0"/>
        <v/>
      </c>
      <c r="E29" s="82"/>
      <c r="F29" s="83" t="str">
        <f t="shared" si="1"/>
        <v/>
      </c>
      <c r="G29" s="23"/>
      <c r="H29" s="84"/>
      <c r="I29" s="85" t="str">
        <f>IF(A29="","Pending",IF(H29="","⚠️ Enter Code",IF(IFERROR(VLOOKUP(G29,DB_Agents!$B:$I,8,0),"")=H29,IF(AND(A29&lt;&gt;"",E29&lt;&gt;""),"Saved","Pending"),"🔒 BLOCKED — Wrong Code")))</f>
        <v>Pending</v>
      </c>
      <c r="J29" s="86" t="str">
        <f t="shared" ca="1" si="2"/>
        <v>—</v>
      </c>
      <c r="K29" s="87"/>
    </row>
    <row r="30" spans="1:11" x14ac:dyDescent="0.25">
      <c r="A30" s="88"/>
      <c r="B30" s="25" t="str">
        <f>IF(A30="","",IFERROR(VLOOKUP(A30,DB_Customers!$A:$D,4,0),"❌ Account Not Found"))</f>
        <v/>
      </c>
      <c r="C30" s="89" t="str">
        <f>IF(A30="","",IFERROR(VLOOKUP(A30,DB_Customers!$A:$N,14,0),""))</f>
        <v/>
      </c>
      <c r="D30" s="90" t="str">
        <f t="shared" ca="1" si="0"/>
        <v/>
      </c>
      <c r="E30" s="82"/>
      <c r="F30" s="91" t="str">
        <f t="shared" si="1"/>
        <v/>
      </c>
      <c r="G30" s="27"/>
      <c r="H30" s="84"/>
      <c r="I30" s="92" t="str">
        <f>IF(A30="","Pending",IF(H30="","⚠️ Enter Code",IF(IFERROR(VLOOKUP(G30,DB_Agents!$B:$I,8,0),"")=H30,IF(AND(A30&lt;&gt;"",E30&lt;&gt;""),"Saved","Pending"),"🔒 BLOCKED — Wrong Code")))</f>
        <v>Pending</v>
      </c>
      <c r="J30" s="93" t="str">
        <f t="shared" ca="1" si="2"/>
        <v>—</v>
      </c>
      <c r="K30" s="94"/>
    </row>
    <row r="31" spans="1:11" x14ac:dyDescent="0.25">
      <c r="A31" s="79"/>
      <c r="B31" s="21" t="str">
        <f>IF(A31="","",IFERROR(VLOOKUP(A31,DB_Customers!$A:$D,4,0),"❌ Account Not Found"))</f>
        <v/>
      </c>
      <c r="C31" s="80" t="str">
        <f>IF(A31="","",IFERROR(VLOOKUP(A31,DB_Customers!$A:$N,14,0),""))</f>
        <v/>
      </c>
      <c r="D31" s="81" t="str">
        <f t="shared" ca="1" si="0"/>
        <v/>
      </c>
      <c r="E31" s="82"/>
      <c r="F31" s="83" t="str">
        <f t="shared" si="1"/>
        <v/>
      </c>
      <c r="G31" s="23"/>
      <c r="H31" s="84"/>
      <c r="I31" s="85" t="str">
        <f>IF(A31="","Pending",IF(H31="","⚠️ Enter Code",IF(IFERROR(VLOOKUP(G31,DB_Agents!$B:$I,8,0),"")=H31,IF(AND(A31&lt;&gt;"",E31&lt;&gt;""),"Saved","Pending"),"🔒 BLOCKED — Wrong Code")))</f>
        <v>Pending</v>
      </c>
      <c r="J31" s="86" t="str">
        <f t="shared" ca="1" si="2"/>
        <v>—</v>
      </c>
      <c r="K31" s="87"/>
    </row>
    <row r="32" spans="1:11" x14ac:dyDescent="0.25">
      <c r="A32" s="88"/>
      <c r="B32" s="25" t="str">
        <f>IF(A32="","",IFERROR(VLOOKUP(A32,DB_Customers!$A:$D,4,0),"❌ Account Not Found"))</f>
        <v/>
      </c>
      <c r="C32" s="89" t="str">
        <f>IF(A32="","",IFERROR(VLOOKUP(A32,DB_Customers!$A:$N,14,0),""))</f>
        <v/>
      </c>
      <c r="D32" s="90" t="str">
        <f t="shared" ca="1" si="0"/>
        <v/>
      </c>
      <c r="E32" s="82"/>
      <c r="F32" s="91" t="str">
        <f t="shared" si="1"/>
        <v/>
      </c>
      <c r="G32" s="27"/>
      <c r="H32" s="84"/>
      <c r="I32" s="92" t="str">
        <f>IF(A32="","Pending",IF(H32="","⚠️ Enter Code",IF(IFERROR(VLOOKUP(G32,DB_Agents!$B:$I,8,0),"")=H32,IF(AND(A32&lt;&gt;"",E32&lt;&gt;""),"Saved","Pending"),"🔒 BLOCKED — Wrong Code")))</f>
        <v>Pending</v>
      </c>
      <c r="J32" s="93" t="str">
        <f t="shared" ca="1" si="2"/>
        <v>—</v>
      </c>
      <c r="K32" s="94"/>
    </row>
    <row r="33" spans="1:11" x14ac:dyDescent="0.25">
      <c r="A33" s="79"/>
      <c r="B33" s="21" t="str">
        <f>IF(A33="","",IFERROR(VLOOKUP(A33,DB_Customers!$A:$D,4,0),"❌ Account Not Found"))</f>
        <v/>
      </c>
      <c r="C33" s="80" t="str">
        <f>IF(A33="","",IFERROR(VLOOKUP(A33,DB_Customers!$A:$N,14,0),""))</f>
        <v/>
      </c>
      <c r="D33" s="81" t="str">
        <f t="shared" ca="1" si="0"/>
        <v/>
      </c>
      <c r="E33" s="82"/>
      <c r="F33" s="83" t="str">
        <f t="shared" si="1"/>
        <v/>
      </c>
      <c r="G33" s="23"/>
      <c r="H33" s="84"/>
      <c r="I33" s="85" t="str">
        <f>IF(A33="","Pending",IF(H33="","⚠️ Enter Code",IF(IFERROR(VLOOKUP(G33,DB_Agents!$B:$I,8,0),"")=H33,IF(AND(A33&lt;&gt;"",E33&lt;&gt;""),"Saved","Pending"),"🔒 BLOCKED — Wrong Code")))</f>
        <v>Pending</v>
      </c>
      <c r="J33" s="86" t="str">
        <f t="shared" ca="1" si="2"/>
        <v>—</v>
      </c>
      <c r="K33" s="87"/>
    </row>
    <row r="34" spans="1:11" x14ac:dyDescent="0.25">
      <c r="A34" s="88"/>
      <c r="B34" s="25" t="str">
        <f>IF(A34="","",IFERROR(VLOOKUP(A34,DB_Customers!$A:$D,4,0),"❌ Account Not Found"))</f>
        <v/>
      </c>
      <c r="C34" s="89" t="str">
        <f>IF(A34="","",IFERROR(VLOOKUP(A34,DB_Customers!$A:$N,14,0),""))</f>
        <v/>
      </c>
      <c r="D34" s="90" t="str">
        <f t="shared" ca="1" si="0"/>
        <v/>
      </c>
      <c r="E34" s="82"/>
      <c r="F34" s="91" t="str">
        <f t="shared" si="1"/>
        <v/>
      </c>
      <c r="G34" s="27"/>
      <c r="H34" s="84"/>
      <c r="I34" s="92" t="str">
        <f>IF(A34="","Pending",IF(H34="","⚠️ Enter Code",IF(IFERROR(VLOOKUP(G34,DB_Agents!$B:$I,8,0),"")=H34,IF(AND(A34&lt;&gt;"",E34&lt;&gt;""),"Saved","Pending"),"🔒 BLOCKED — Wrong Code")))</f>
        <v>Pending</v>
      </c>
      <c r="J34" s="93" t="str">
        <f t="shared" ca="1" si="2"/>
        <v>—</v>
      </c>
      <c r="K34" s="94"/>
    </row>
    <row r="35" spans="1:11" x14ac:dyDescent="0.25">
      <c r="A35" s="79"/>
      <c r="B35" s="21" t="str">
        <f>IF(A35="","",IFERROR(VLOOKUP(A35,DB_Customers!$A:$D,4,0),"❌ Account Not Found"))</f>
        <v/>
      </c>
      <c r="C35" s="80" t="str">
        <f>IF(A35="","",IFERROR(VLOOKUP(A35,DB_Customers!$A:$N,14,0),""))</f>
        <v/>
      </c>
      <c r="D35" s="81" t="str">
        <f t="shared" ca="1" si="0"/>
        <v/>
      </c>
      <c r="E35" s="82"/>
      <c r="F35" s="83" t="str">
        <f t="shared" si="1"/>
        <v/>
      </c>
      <c r="G35" s="23"/>
      <c r="H35" s="84"/>
      <c r="I35" s="85" t="str">
        <f>IF(A35="","Pending",IF(H35="","⚠️ Enter Code",IF(IFERROR(VLOOKUP(G35,DB_Agents!$B:$I,8,0),"")=H35,IF(AND(A35&lt;&gt;"",E35&lt;&gt;""),"Saved","Pending"),"🔒 BLOCKED — Wrong Code")))</f>
        <v>Pending</v>
      </c>
      <c r="J35" s="86" t="str">
        <f t="shared" ca="1" si="2"/>
        <v>—</v>
      </c>
      <c r="K35" s="87"/>
    </row>
    <row r="36" spans="1:11" x14ac:dyDescent="0.25">
      <c r="A36" s="88"/>
      <c r="B36" s="25" t="str">
        <f>IF(A36="","",IFERROR(VLOOKUP(A36,DB_Customers!$A:$D,4,0),"❌ Account Not Found"))</f>
        <v/>
      </c>
      <c r="C36" s="89" t="str">
        <f>IF(A36="","",IFERROR(VLOOKUP(A36,DB_Customers!$A:$N,14,0),""))</f>
        <v/>
      </c>
      <c r="D36" s="90" t="str">
        <f t="shared" ca="1" si="0"/>
        <v/>
      </c>
      <c r="E36" s="82"/>
      <c r="F36" s="91" t="str">
        <f t="shared" si="1"/>
        <v/>
      </c>
      <c r="G36" s="27"/>
      <c r="H36" s="84"/>
      <c r="I36" s="92" t="str">
        <f>IF(A36="","Pending",IF(H36="","⚠️ Enter Code",IF(IFERROR(VLOOKUP(G36,DB_Agents!$B:$I,8,0),"")=H36,IF(AND(A36&lt;&gt;"",E36&lt;&gt;""),"Saved","Pending"),"🔒 BLOCKED — Wrong Code")))</f>
        <v>Pending</v>
      </c>
      <c r="J36" s="93" t="str">
        <f t="shared" ca="1" si="2"/>
        <v>—</v>
      </c>
      <c r="K36" s="94"/>
    </row>
    <row r="37" spans="1:11" x14ac:dyDescent="0.25">
      <c r="A37" s="79"/>
      <c r="B37" s="21" t="str">
        <f>IF(A37="","",IFERROR(VLOOKUP(A37,DB_Customers!$A:$D,4,0),"❌ Account Not Found"))</f>
        <v/>
      </c>
      <c r="C37" s="80" t="str">
        <f>IF(A37="","",IFERROR(VLOOKUP(A37,DB_Customers!$A:$N,14,0),""))</f>
        <v/>
      </c>
      <c r="D37" s="81" t="str">
        <f t="shared" ca="1" si="0"/>
        <v/>
      </c>
      <c r="E37" s="82"/>
      <c r="F37" s="83" t="str">
        <f t="shared" si="1"/>
        <v/>
      </c>
      <c r="G37" s="23"/>
      <c r="H37" s="84"/>
      <c r="I37" s="85" t="str">
        <f>IF(A37="","Pending",IF(H37="","⚠️ Enter Code",IF(IFERROR(VLOOKUP(G37,DB_Agents!$B:$I,8,0),"")=H37,IF(AND(A37&lt;&gt;"",E37&lt;&gt;""),"Saved","Pending"),"🔒 BLOCKED — Wrong Code")))</f>
        <v>Pending</v>
      </c>
      <c r="J37" s="86" t="str">
        <f t="shared" ca="1" si="2"/>
        <v>—</v>
      </c>
      <c r="K37" s="87"/>
    </row>
    <row r="38" spans="1:11" x14ac:dyDescent="0.25">
      <c r="A38" s="88"/>
      <c r="B38" s="25" t="str">
        <f>IF(A38="","",IFERROR(VLOOKUP(A38,DB_Customers!$A:$D,4,0),"❌ Account Not Found"))</f>
        <v/>
      </c>
      <c r="C38" s="89" t="str">
        <f>IF(A38="","",IFERROR(VLOOKUP(A38,DB_Customers!$A:$N,14,0),""))</f>
        <v/>
      </c>
      <c r="D38" s="90" t="str">
        <f t="shared" ca="1" si="0"/>
        <v/>
      </c>
      <c r="E38" s="82"/>
      <c r="F38" s="91" t="str">
        <f t="shared" si="1"/>
        <v/>
      </c>
      <c r="G38" s="27"/>
      <c r="H38" s="84"/>
      <c r="I38" s="92" t="str">
        <f>IF(A38="","Pending",IF(H38="","⚠️ Enter Code",IF(IFERROR(VLOOKUP(G38,DB_Agents!$B:$I,8,0),"")=H38,IF(AND(A38&lt;&gt;"",E38&lt;&gt;""),"Saved","Pending"),"🔒 BLOCKED — Wrong Code")))</f>
        <v>Pending</v>
      </c>
      <c r="J38" s="93" t="str">
        <f t="shared" ca="1" si="2"/>
        <v>—</v>
      </c>
      <c r="K38" s="94"/>
    </row>
    <row r="39" spans="1:11" x14ac:dyDescent="0.25">
      <c r="A39" s="79"/>
      <c r="B39" s="21" t="str">
        <f>IF(A39="","",IFERROR(VLOOKUP(A39,DB_Customers!$A:$D,4,0),"❌ Account Not Found"))</f>
        <v/>
      </c>
      <c r="C39" s="80" t="str">
        <f>IF(A39="","",IFERROR(VLOOKUP(A39,DB_Customers!$A:$N,14,0),""))</f>
        <v/>
      </c>
      <c r="D39" s="81" t="str">
        <f t="shared" ca="1" si="0"/>
        <v/>
      </c>
      <c r="E39" s="82"/>
      <c r="F39" s="83" t="str">
        <f t="shared" si="1"/>
        <v/>
      </c>
      <c r="G39" s="23"/>
      <c r="H39" s="84"/>
      <c r="I39" s="85" t="str">
        <f>IF(A39="","Pending",IF(H39="","⚠️ Enter Code",IF(IFERROR(VLOOKUP(G39,DB_Agents!$B:$I,8,0),"")=H39,IF(AND(A39&lt;&gt;"",E39&lt;&gt;""),"Saved","Pending"),"🔒 BLOCKED — Wrong Code")))</f>
        <v>Pending</v>
      </c>
      <c r="J39" s="86" t="str">
        <f t="shared" ca="1" si="2"/>
        <v>—</v>
      </c>
      <c r="K39" s="87"/>
    </row>
    <row r="40" spans="1:11" x14ac:dyDescent="0.25">
      <c r="A40" s="88"/>
      <c r="B40" s="25" t="str">
        <f>IF(A40="","",IFERROR(VLOOKUP(A40,DB_Customers!$A:$D,4,0),"❌ Account Not Found"))</f>
        <v/>
      </c>
      <c r="C40" s="89" t="str">
        <f>IF(A40="","",IFERROR(VLOOKUP(A40,DB_Customers!$A:$N,14,0),""))</f>
        <v/>
      </c>
      <c r="D40" s="90" t="str">
        <f t="shared" ca="1" si="0"/>
        <v/>
      </c>
      <c r="E40" s="82"/>
      <c r="F40" s="91" t="str">
        <f t="shared" si="1"/>
        <v/>
      </c>
      <c r="G40" s="27"/>
      <c r="H40" s="84"/>
      <c r="I40" s="92" t="str">
        <f>IF(A40="","Pending",IF(H40="","⚠️ Enter Code",IF(IFERROR(VLOOKUP(G40,DB_Agents!$B:$I,8,0),"")=H40,IF(AND(A40&lt;&gt;"",E40&lt;&gt;""),"Saved","Pending"),"🔒 BLOCKED — Wrong Code")))</f>
        <v>Pending</v>
      </c>
      <c r="J40" s="93" t="str">
        <f t="shared" ca="1" si="2"/>
        <v>—</v>
      </c>
      <c r="K40" s="94"/>
    </row>
    <row r="41" spans="1:11" x14ac:dyDescent="0.25">
      <c r="A41" s="79"/>
      <c r="B41" s="21" t="str">
        <f>IF(A41="","",IFERROR(VLOOKUP(A41,DB_Customers!$A:$D,4,0),"❌ Account Not Found"))</f>
        <v/>
      </c>
      <c r="C41" s="80" t="str">
        <f>IF(A41="","",IFERROR(VLOOKUP(A41,DB_Customers!$A:$N,14,0),""))</f>
        <v/>
      </c>
      <c r="D41" s="81" t="str">
        <f t="shared" ref="D41:D72" ca="1" si="3">IF(A41="","",TODAY())</f>
        <v/>
      </c>
      <c r="E41" s="82"/>
      <c r="F41" s="83" t="str">
        <f t="shared" ref="F41:F72" si="4">IF(OR(A41="",E41=""),"",IF(C41="","",C41+E41))</f>
        <v/>
      </c>
      <c r="G41" s="23"/>
      <c r="H41" s="84"/>
      <c r="I41" s="85" t="str">
        <f>IF(A41="","Pending",IF(H41="","⚠️ Enter Code",IF(IFERROR(VLOOKUP(G41,DB_Agents!$B:$I,8,0),"")=H41,IF(AND(A41&lt;&gt;"",E41&lt;&gt;""),"Saved","Pending"),"🔒 BLOCKED — Wrong Code")))</f>
        <v>Pending</v>
      </c>
      <c r="J41" s="86" t="str">
        <f t="shared" ref="J41:J72" ca="1" si="5">IF(I41="Saved",TEXT(TODAY(),"YYYY-MM-DD")&amp;" Auto","—")</f>
        <v>—</v>
      </c>
      <c r="K41" s="87"/>
    </row>
    <row r="42" spans="1:11" x14ac:dyDescent="0.25">
      <c r="A42" s="88"/>
      <c r="B42" s="25" t="str">
        <f>IF(A42="","",IFERROR(VLOOKUP(A42,DB_Customers!$A:$D,4,0),"❌ Account Not Found"))</f>
        <v/>
      </c>
      <c r="C42" s="89" t="str">
        <f>IF(A42="","",IFERROR(VLOOKUP(A42,DB_Customers!$A:$N,14,0),""))</f>
        <v/>
      </c>
      <c r="D42" s="90" t="str">
        <f t="shared" ca="1" si="3"/>
        <v/>
      </c>
      <c r="E42" s="82"/>
      <c r="F42" s="91" t="str">
        <f t="shared" si="4"/>
        <v/>
      </c>
      <c r="G42" s="27"/>
      <c r="H42" s="84"/>
      <c r="I42" s="92" t="str">
        <f>IF(A42="","Pending",IF(H42="","⚠️ Enter Code",IF(IFERROR(VLOOKUP(G42,DB_Agents!$B:$I,8,0),"")=H42,IF(AND(A42&lt;&gt;"",E42&lt;&gt;""),"Saved","Pending"),"🔒 BLOCKED — Wrong Code")))</f>
        <v>Pending</v>
      </c>
      <c r="J42" s="93" t="str">
        <f t="shared" ca="1" si="5"/>
        <v>—</v>
      </c>
      <c r="K42" s="94"/>
    </row>
    <row r="43" spans="1:11" x14ac:dyDescent="0.25">
      <c r="A43" s="79"/>
      <c r="B43" s="21" t="str">
        <f>IF(A43="","",IFERROR(VLOOKUP(A43,DB_Customers!$A:$D,4,0),"❌ Account Not Found"))</f>
        <v/>
      </c>
      <c r="C43" s="80" t="str">
        <f>IF(A43="","",IFERROR(VLOOKUP(A43,DB_Customers!$A:$N,14,0),""))</f>
        <v/>
      </c>
      <c r="D43" s="81" t="str">
        <f t="shared" ca="1" si="3"/>
        <v/>
      </c>
      <c r="E43" s="82"/>
      <c r="F43" s="83" t="str">
        <f t="shared" si="4"/>
        <v/>
      </c>
      <c r="G43" s="23"/>
      <c r="H43" s="84"/>
      <c r="I43" s="85" t="str">
        <f>IF(A43="","Pending",IF(H43="","⚠️ Enter Code",IF(IFERROR(VLOOKUP(G43,DB_Agents!$B:$I,8,0),"")=H43,IF(AND(A43&lt;&gt;"",E43&lt;&gt;""),"Saved","Pending"),"🔒 BLOCKED — Wrong Code")))</f>
        <v>Pending</v>
      </c>
      <c r="J43" s="86" t="str">
        <f t="shared" ca="1" si="5"/>
        <v>—</v>
      </c>
      <c r="K43" s="87"/>
    </row>
    <row r="44" spans="1:11" x14ac:dyDescent="0.25">
      <c r="A44" s="88"/>
      <c r="B44" s="25" t="str">
        <f>IF(A44="","",IFERROR(VLOOKUP(A44,DB_Customers!$A:$D,4,0),"❌ Account Not Found"))</f>
        <v/>
      </c>
      <c r="C44" s="89" t="str">
        <f>IF(A44="","",IFERROR(VLOOKUP(A44,DB_Customers!$A:$N,14,0),""))</f>
        <v/>
      </c>
      <c r="D44" s="90" t="str">
        <f t="shared" ca="1" si="3"/>
        <v/>
      </c>
      <c r="E44" s="82"/>
      <c r="F44" s="91" t="str">
        <f t="shared" si="4"/>
        <v/>
      </c>
      <c r="G44" s="27"/>
      <c r="H44" s="84"/>
      <c r="I44" s="92" t="str">
        <f>IF(A44="","Pending",IF(H44="","⚠️ Enter Code",IF(IFERROR(VLOOKUP(G44,DB_Agents!$B:$I,8,0),"")=H44,IF(AND(A44&lt;&gt;"",E44&lt;&gt;""),"Saved","Pending"),"🔒 BLOCKED — Wrong Code")))</f>
        <v>Pending</v>
      </c>
      <c r="J44" s="93" t="str">
        <f t="shared" ca="1" si="5"/>
        <v>—</v>
      </c>
      <c r="K44" s="94"/>
    </row>
    <row r="45" spans="1:11" x14ac:dyDescent="0.25">
      <c r="A45" s="79"/>
      <c r="B45" s="21" t="str">
        <f>IF(A45="","",IFERROR(VLOOKUP(A45,DB_Customers!$A:$D,4,0),"❌ Account Not Found"))</f>
        <v/>
      </c>
      <c r="C45" s="80" t="str">
        <f>IF(A45="","",IFERROR(VLOOKUP(A45,DB_Customers!$A:$N,14,0),""))</f>
        <v/>
      </c>
      <c r="D45" s="81" t="str">
        <f t="shared" ca="1" si="3"/>
        <v/>
      </c>
      <c r="E45" s="82"/>
      <c r="F45" s="83" t="str">
        <f t="shared" si="4"/>
        <v/>
      </c>
      <c r="G45" s="23"/>
      <c r="H45" s="84"/>
      <c r="I45" s="85" t="str">
        <f>IF(A45="","Pending",IF(H45="","⚠️ Enter Code",IF(IFERROR(VLOOKUP(G45,DB_Agents!$B:$I,8,0),"")=H45,IF(AND(A45&lt;&gt;"",E45&lt;&gt;""),"Saved","Pending"),"🔒 BLOCKED — Wrong Code")))</f>
        <v>Pending</v>
      </c>
      <c r="J45" s="86" t="str">
        <f t="shared" ca="1" si="5"/>
        <v>—</v>
      </c>
      <c r="K45" s="87"/>
    </row>
    <row r="46" spans="1:11" x14ac:dyDescent="0.25">
      <c r="A46" s="88"/>
      <c r="B46" s="25" t="str">
        <f>IF(A46="","",IFERROR(VLOOKUP(A46,DB_Customers!$A:$D,4,0),"❌ Account Not Found"))</f>
        <v/>
      </c>
      <c r="C46" s="89" t="str">
        <f>IF(A46="","",IFERROR(VLOOKUP(A46,DB_Customers!$A:$N,14,0),""))</f>
        <v/>
      </c>
      <c r="D46" s="90" t="str">
        <f t="shared" ca="1" si="3"/>
        <v/>
      </c>
      <c r="E46" s="82"/>
      <c r="F46" s="91" t="str">
        <f t="shared" si="4"/>
        <v/>
      </c>
      <c r="G46" s="27"/>
      <c r="H46" s="84"/>
      <c r="I46" s="92" t="str">
        <f>IF(A46="","Pending",IF(H46="","⚠️ Enter Code",IF(IFERROR(VLOOKUP(G46,DB_Agents!$B:$I,8,0),"")=H46,IF(AND(A46&lt;&gt;"",E46&lt;&gt;""),"Saved","Pending"),"🔒 BLOCKED — Wrong Code")))</f>
        <v>Pending</v>
      </c>
      <c r="J46" s="93" t="str">
        <f t="shared" ca="1" si="5"/>
        <v>—</v>
      </c>
      <c r="K46" s="94"/>
    </row>
    <row r="47" spans="1:11" x14ac:dyDescent="0.25">
      <c r="A47" s="79"/>
      <c r="B47" s="21" t="str">
        <f>IF(A47="","",IFERROR(VLOOKUP(A47,DB_Customers!$A:$D,4,0),"❌ Account Not Found"))</f>
        <v/>
      </c>
      <c r="C47" s="80" t="str">
        <f>IF(A47="","",IFERROR(VLOOKUP(A47,DB_Customers!$A:$N,14,0),""))</f>
        <v/>
      </c>
      <c r="D47" s="81" t="str">
        <f t="shared" ca="1" si="3"/>
        <v/>
      </c>
      <c r="E47" s="82"/>
      <c r="F47" s="83" t="str">
        <f t="shared" si="4"/>
        <v/>
      </c>
      <c r="G47" s="23"/>
      <c r="H47" s="84"/>
      <c r="I47" s="85" t="str">
        <f>IF(A47="","Pending",IF(H47="","⚠️ Enter Code",IF(IFERROR(VLOOKUP(G47,DB_Agents!$B:$I,8,0),"")=H47,IF(AND(A47&lt;&gt;"",E47&lt;&gt;""),"Saved","Pending"),"🔒 BLOCKED — Wrong Code")))</f>
        <v>Pending</v>
      </c>
      <c r="J47" s="86" t="str">
        <f t="shared" ca="1" si="5"/>
        <v>—</v>
      </c>
      <c r="K47" s="87"/>
    </row>
    <row r="48" spans="1:11" x14ac:dyDescent="0.25">
      <c r="A48" s="88"/>
      <c r="B48" s="25" t="str">
        <f>IF(A48="","",IFERROR(VLOOKUP(A48,DB_Customers!$A:$D,4,0),"❌ Account Not Found"))</f>
        <v/>
      </c>
      <c r="C48" s="89" t="str">
        <f>IF(A48="","",IFERROR(VLOOKUP(A48,DB_Customers!$A:$N,14,0),""))</f>
        <v/>
      </c>
      <c r="D48" s="90" t="str">
        <f t="shared" ca="1" si="3"/>
        <v/>
      </c>
      <c r="E48" s="82"/>
      <c r="F48" s="91" t="str">
        <f t="shared" si="4"/>
        <v/>
      </c>
      <c r="G48" s="27"/>
      <c r="H48" s="84"/>
      <c r="I48" s="92" t="str">
        <f>IF(A48="","Pending",IF(H48="","⚠️ Enter Code",IF(IFERROR(VLOOKUP(G48,DB_Agents!$B:$I,8,0),"")=H48,IF(AND(A48&lt;&gt;"",E48&lt;&gt;""),"Saved","Pending"),"🔒 BLOCKED — Wrong Code")))</f>
        <v>Pending</v>
      </c>
      <c r="J48" s="93" t="str">
        <f t="shared" ca="1" si="5"/>
        <v>—</v>
      </c>
      <c r="K48" s="94"/>
    </row>
    <row r="49" spans="1:11" x14ac:dyDescent="0.25">
      <c r="A49" s="79"/>
      <c r="B49" s="21" t="str">
        <f>IF(A49="","",IFERROR(VLOOKUP(A49,DB_Customers!$A:$D,4,0),"❌ Account Not Found"))</f>
        <v/>
      </c>
      <c r="C49" s="80" t="str">
        <f>IF(A49="","",IFERROR(VLOOKUP(A49,DB_Customers!$A:$N,14,0),""))</f>
        <v/>
      </c>
      <c r="D49" s="81" t="str">
        <f t="shared" ca="1" si="3"/>
        <v/>
      </c>
      <c r="E49" s="82"/>
      <c r="F49" s="83" t="str">
        <f t="shared" si="4"/>
        <v/>
      </c>
      <c r="G49" s="23"/>
      <c r="H49" s="84"/>
      <c r="I49" s="85" t="str">
        <f>IF(A49="","Pending",IF(H49="","⚠️ Enter Code",IF(IFERROR(VLOOKUP(G49,DB_Agents!$B:$I,8,0),"")=H49,IF(AND(A49&lt;&gt;"",E49&lt;&gt;""),"Saved","Pending"),"🔒 BLOCKED — Wrong Code")))</f>
        <v>Pending</v>
      </c>
      <c r="J49" s="86" t="str">
        <f t="shared" ca="1" si="5"/>
        <v>—</v>
      </c>
      <c r="K49" s="87"/>
    </row>
    <row r="50" spans="1:11" x14ac:dyDescent="0.25">
      <c r="A50" s="88"/>
      <c r="B50" s="25" t="str">
        <f>IF(A50="","",IFERROR(VLOOKUP(A50,DB_Customers!$A:$D,4,0),"❌ Account Not Found"))</f>
        <v/>
      </c>
      <c r="C50" s="89" t="str">
        <f>IF(A50="","",IFERROR(VLOOKUP(A50,DB_Customers!$A:$N,14,0),""))</f>
        <v/>
      </c>
      <c r="D50" s="90" t="str">
        <f t="shared" ca="1" si="3"/>
        <v/>
      </c>
      <c r="E50" s="82"/>
      <c r="F50" s="91" t="str">
        <f t="shared" si="4"/>
        <v/>
      </c>
      <c r="G50" s="27"/>
      <c r="H50" s="84"/>
      <c r="I50" s="92" t="str">
        <f>IF(A50="","Pending",IF(H50="","⚠️ Enter Code",IF(IFERROR(VLOOKUP(G50,DB_Agents!$B:$I,8,0),"")=H50,IF(AND(A50&lt;&gt;"",E50&lt;&gt;""),"Saved","Pending"),"🔒 BLOCKED — Wrong Code")))</f>
        <v>Pending</v>
      </c>
      <c r="J50" s="93" t="str">
        <f t="shared" ca="1" si="5"/>
        <v>—</v>
      </c>
      <c r="K50" s="94"/>
    </row>
    <row r="51" spans="1:11" x14ac:dyDescent="0.25">
      <c r="A51" s="79"/>
      <c r="B51" s="21" t="str">
        <f>IF(A51="","",IFERROR(VLOOKUP(A51,DB_Customers!$A:$D,4,0),"❌ Account Not Found"))</f>
        <v/>
      </c>
      <c r="C51" s="80" t="str">
        <f>IF(A51="","",IFERROR(VLOOKUP(A51,DB_Customers!$A:$N,14,0),""))</f>
        <v/>
      </c>
      <c r="D51" s="81" t="str">
        <f t="shared" ca="1" si="3"/>
        <v/>
      </c>
      <c r="E51" s="82"/>
      <c r="F51" s="83" t="str">
        <f t="shared" si="4"/>
        <v/>
      </c>
      <c r="G51" s="23"/>
      <c r="H51" s="84"/>
      <c r="I51" s="85" t="str">
        <f>IF(A51="","Pending",IF(H51="","⚠️ Enter Code",IF(IFERROR(VLOOKUP(G51,DB_Agents!$B:$I,8,0),"")=H51,IF(AND(A51&lt;&gt;"",E51&lt;&gt;""),"Saved","Pending"),"🔒 BLOCKED — Wrong Code")))</f>
        <v>Pending</v>
      </c>
      <c r="J51" s="86" t="str">
        <f t="shared" ca="1" si="5"/>
        <v>—</v>
      </c>
      <c r="K51" s="87"/>
    </row>
    <row r="52" spans="1:11" x14ac:dyDescent="0.25">
      <c r="A52" s="88"/>
      <c r="B52" s="25" t="str">
        <f>IF(A52="","",IFERROR(VLOOKUP(A52,DB_Customers!$A:$D,4,0),"❌ Account Not Found"))</f>
        <v/>
      </c>
      <c r="C52" s="89" t="str">
        <f>IF(A52="","",IFERROR(VLOOKUP(A52,DB_Customers!$A:$N,14,0),""))</f>
        <v/>
      </c>
      <c r="D52" s="90" t="str">
        <f t="shared" ca="1" si="3"/>
        <v/>
      </c>
      <c r="E52" s="82"/>
      <c r="F52" s="91" t="str">
        <f t="shared" si="4"/>
        <v/>
      </c>
      <c r="G52" s="27"/>
      <c r="H52" s="84"/>
      <c r="I52" s="92" t="str">
        <f>IF(A52="","Pending",IF(H52="","⚠️ Enter Code",IF(IFERROR(VLOOKUP(G52,DB_Agents!$B:$I,8,0),"")=H52,IF(AND(A52&lt;&gt;"",E52&lt;&gt;""),"Saved","Pending"),"🔒 BLOCKED — Wrong Code")))</f>
        <v>Pending</v>
      </c>
      <c r="J52" s="93" t="str">
        <f t="shared" ca="1" si="5"/>
        <v>—</v>
      </c>
      <c r="K52" s="94"/>
    </row>
    <row r="53" spans="1:11" x14ac:dyDescent="0.25">
      <c r="A53" s="79"/>
      <c r="B53" s="21" t="str">
        <f>IF(A53="","",IFERROR(VLOOKUP(A53,DB_Customers!$A:$D,4,0),"❌ Account Not Found"))</f>
        <v/>
      </c>
      <c r="C53" s="80" t="str">
        <f>IF(A53="","",IFERROR(VLOOKUP(A53,DB_Customers!$A:$N,14,0),""))</f>
        <v/>
      </c>
      <c r="D53" s="81" t="str">
        <f t="shared" ca="1" si="3"/>
        <v/>
      </c>
      <c r="E53" s="82"/>
      <c r="F53" s="83" t="str">
        <f t="shared" si="4"/>
        <v/>
      </c>
      <c r="G53" s="23"/>
      <c r="H53" s="84"/>
      <c r="I53" s="85" t="str">
        <f>IF(A53="","Pending",IF(H53="","⚠️ Enter Code",IF(IFERROR(VLOOKUP(G53,DB_Agents!$B:$I,8,0),"")=H53,IF(AND(A53&lt;&gt;"",E53&lt;&gt;""),"Saved","Pending"),"🔒 BLOCKED — Wrong Code")))</f>
        <v>Pending</v>
      </c>
      <c r="J53" s="86" t="str">
        <f t="shared" ca="1" si="5"/>
        <v>—</v>
      </c>
      <c r="K53" s="87"/>
    </row>
    <row r="54" spans="1:11" x14ac:dyDescent="0.25">
      <c r="A54" s="88"/>
      <c r="B54" s="25" t="str">
        <f>IF(A54="","",IFERROR(VLOOKUP(A54,DB_Customers!$A:$D,4,0),"❌ Account Not Found"))</f>
        <v/>
      </c>
      <c r="C54" s="89" t="str">
        <f>IF(A54="","",IFERROR(VLOOKUP(A54,DB_Customers!$A:$N,14,0),""))</f>
        <v/>
      </c>
      <c r="D54" s="90" t="str">
        <f t="shared" ca="1" si="3"/>
        <v/>
      </c>
      <c r="E54" s="82"/>
      <c r="F54" s="91" t="str">
        <f t="shared" si="4"/>
        <v/>
      </c>
      <c r="G54" s="27"/>
      <c r="H54" s="84"/>
      <c r="I54" s="92" t="str">
        <f>IF(A54="","Pending",IF(H54="","⚠️ Enter Code",IF(IFERROR(VLOOKUP(G54,DB_Agents!$B:$I,8,0),"")=H54,IF(AND(A54&lt;&gt;"",E54&lt;&gt;""),"Saved","Pending"),"🔒 BLOCKED — Wrong Code")))</f>
        <v>Pending</v>
      </c>
      <c r="J54" s="93" t="str">
        <f t="shared" ca="1" si="5"/>
        <v>—</v>
      </c>
      <c r="K54" s="94"/>
    </row>
    <row r="55" spans="1:11" x14ac:dyDescent="0.25">
      <c r="A55" s="79"/>
      <c r="B55" s="21" t="str">
        <f>IF(A55="","",IFERROR(VLOOKUP(A55,DB_Customers!$A:$D,4,0),"❌ Account Not Found"))</f>
        <v/>
      </c>
      <c r="C55" s="80" t="str">
        <f>IF(A55="","",IFERROR(VLOOKUP(A55,DB_Customers!$A:$N,14,0),""))</f>
        <v/>
      </c>
      <c r="D55" s="81" t="str">
        <f t="shared" ca="1" si="3"/>
        <v/>
      </c>
      <c r="E55" s="82"/>
      <c r="F55" s="83" t="str">
        <f t="shared" si="4"/>
        <v/>
      </c>
      <c r="G55" s="23"/>
      <c r="H55" s="84"/>
      <c r="I55" s="85" t="str">
        <f>IF(A55="","Pending",IF(H55="","⚠️ Enter Code",IF(IFERROR(VLOOKUP(G55,DB_Agents!$B:$I,8,0),"")=H55,IF(AND(A55&lt;&gt;"",E55&lt;&gt;""),"Saved","Pending"),"🔒 BLOCKED — Wrong Code")))</f>
        <v>Pending</v>
      </c>
      <c r="J55" s="86" t="str">
        <f t="shared" ca="1" si="5"/>
        <v>—</v>
      </c>
      <c r="K55" s="87"/>
    </row>
    <row r="56" spans="1:11" x14ac:dyDescent="0.25">
      <c r="A56" s="88"/>
      <c r="B56" s="25" t="str">
        <f>IF(A56="","",IFERROR(VLOOKUP(A56,DB_Customers!$A:$D,4,0),"❌ Account Not Found"))</f>
        <v/>
      </c>
      <c r="C56" s="89" t="str">
        <f>IF(A56="","",IFERROR(VLOOKUP(A56,DB_Customers!$A:$N,14,0),""))</f>
        <v/>
      </c>
      <c r="D56" s="90" t="str">
        <f t="shared" ca="1" si="3"/>
        <v/>
      </c>
      <c r="E56" s="82"/>
      <c r="F56" s="91" t="str">
        <f t="shared" si="4"/>
        <v/>
      </c>
      <c r="G56" s="27"/>
      <c r="H56" s="84"/>
      <c r="I56" s="92" t="str">
        <f>IF(A56="","Pending",IF(H56="","⚠️ Enter Code",IF(IFERROR(VLOOKUP(G56,DB_Agents!$B:$I,8,0),"")=H56,IF(AND(A56&lt;&gt;"",E56&lt;&gt;""),"Saved","Pending"),"🔒 BLOCKED — Wrong Code")))</f>
        <v>Pending</v>
      </c>
      <c r="J56" s="93" t="str">
        <f t="shared" ca="1" si="5"/>
        <v>—</v>
      </c>
      <c r="K56" s="94"/>
    </row>
    <row r="57" spans="1:11" x14ac:dyDescent="0.25">
      <c r="A57" s="79"/>
      <c r="B57" s="21" t="str">
        <f>IF(A57="","",IFERROR(VLOOKUP(A57,DB_Customers!$A:$D,4,0),"❌ Account Not Found"))</f>
        <v/>
      </c>
      <c r="C57" s="80" t="str">
        <f>IF(A57="","",IFERROR(VLOOKUP(A57,DB_Customers!$A:$N,14,0),""))</f>
        <v/>
      </c>
      <c r="D57" s="81" t="str">
        <f t="shared" ca="1" si="3"/>
        <v/>
      </c>
      <c r="E57" s="82"/>
      <c r="F57" s="83" t="str">
        <f t="shared" si="4"/>
        <v/>
      </c>
      <c r="G57" s="23"/>
      <c r="H57" s="84"/>
      <c r="I57" s="85" t="str">
        <f>IF(A57="","Pending",IF(H57="","⚠️ Enter Code",IF(IFERROR(VLOOKUP(G57,DB_Agents!$B:$I,8,0),"")=H57,IF(AND(A57&lt;&gt;"",E57&lt;&gt;""),"Saved","Pending"),"🔒 BLOCKED — Wrong Code")))</f>
        <v>Pending</v>
      </c>
      <c r="J57" s="86" t="str">
        <f t="shared" ca="1" si="5"/>
        <v>—</v>
      </c>
      <c r="K57" s="87"/>
    </row>
    <row r="58" spans="1:11" x14ac:dyDescent="0.25">
      <c r="A58" s="88"/>
      <c r="B58" s="25" t="str">
        <f>IF(A58="","",IFERROR(VLOOKUP(A58,DB_Customers!$A:$D,4,0),"❌ Account Not Found"))</f>
        <v/>
      </c>
      <c r="C58" s="89" t="str">
        <f>IF(A58="","",IFERROR(VLOOKUP(A58,DB_Customers!$A:$N,14,0),""))</f>
        <v/>
      </c>
      <c r="D58" s="90" t="str">
        <f t="shared" ca="1" si="3"/>
        <v/>
      </c>
      <c r="E58" s="82"/>
      <c r="F58" s="91" t="str">
        <f t="shared" si="4"/>
        <v/>
      </c>
      <c r="G58" s="27"/>
      <c r="H58" s="84"/>
      <c r="I58" s="92" t="str">
        <f>IF(A58="","Pending",IF(H58="","⚠️ Enter Code",IF(IFERROR(VLOOKUP(G58,DB_Agents!$B:$I,8,0),"")=H58,IF(AND(A58&lt;&gt;"",E58&lt;&gt;""),"Saved","Pending"),"🔒 BLOCKED — Wrong Code")))</f>
        <v>Pending</v>
      </c>
      <c r="J58" s="93" t="str">
        <f t="shared" ca="1" si="5"/>
        <v>—</v>
      </c>
      <c r="K58" s="94"/>
    </row>
    <row r="59" spans="1:11" x14ac:dyDescent="0.25">
      <c r="A59" s="79"/>
      <c r="B59" s="21" t="str">
        <f>IF(A59="","",IFERROR(VLOOKUP(A59,DB_Customers!$A:$D,4,0),"❌ Account Not Found"))</f>
        <v/>
      </c>
      <c r="C59" s="80" t="str">
        <f>IF(A59="","",IFERROR(VLOOKUP(A59,DB_Customers!$A:$N,14,0),""))</f>
        <v/>
      </c>
      <c r="D59" s="81" t="str">
        <f t="shared" ca="1" si="3"/>
        <v/>
      </c>
      <c r="E59" s="82"/>
      <c r="F59" s="83" t="str">
        <f t="shared" si="4"/>
        <v/>
      </c>
      <c r="G59" s="23"/>
      <c r="H59" s="84"/>
      <c r="I59" s="85" t="str">
        <f>IF(A59="","Pending",IF(H59="","⚠️ Enter Code",IF(IFERROR(VLOOKUP(G59,DB_Agents!$B:$I,8,0),"")=H59,IF(AND(A59&lt;&gt;"",E59&lt;&gt;""),"Saved","Pending"),"🔒 BLOCKED — Wrong Code")))</f>
        <v>Pending</v>
      </c>
      <c r="J59" s="86" t="str">
        <f t="shared" ca="1" si="5"/>
        <v>—</v>
      </c>
      <c r="K59" s="87"/>
    </row>
    <row r="60" spans="1:11" x14ac:dyDescent="0.25">
      <c r="A60" s="88"/>
      <c r="B60" s="25" t="str">
        <f>IF(A60="","",IFERROR(VLOOKUP(A60,DB_Customers!$A:$D,4,0),"❌ Account Not Found"))</f>
        <v/>
      </c>
      <c r="C60" s="89" t="str">
        <f>IF(A60="","",IFERROR(VLOOKUP(A60,DB_Customers!$A:$N,14,0),""))</f>
        <v/>
      </c>
      <c r="D60" s="90" t="str">
        <f t="shared" ca="1" si="3"/>
        <v/>
      </c>
      <c r="E60" s="82"/>
      <c r="F60" s="91" t="str">
        <f t="shared" si="4"/>
        <v/>
      </c>
      <c r="G60" s="27"/>
      <c r="H60" s="84"/>
      <c r="I60" s="92" t="str">
        <f>IF(A60="","Pending",IF(H60="","⚠️ Enter Code",IF(IFERROR(VLOOKUP(G60,DB_Agents!$B:$I,8,0),"")=H60,IF(AND(A60&lt;&gt;"",E60&lt;&gt;""),"Saved","Pending"),"🔒 BLOCKED — Wrong Code")))</f>
        <v>Pending</v>
      </c>
      <c r="J60" s="93" t="str">
        <f t="shared" ca="1" si="5"/>
        <v>—</v>
      </c>
      <c r="K60" s="94"/>
    </row>
    <row r="61" spans="1:11" x14ac:dyDescent="0.25">
      <c r="A61" s="79"/>
      <c r="B61" s="21" t="str">
        <f>IF(A61="","",IFERROR(VLOOKUP(A61,DB_Customers!$A:$D,4,0),"❌ Account Not Found"))</f>
        <v/>
      </c>
      <c r="C61" s="80" t="str">
        <f>IF(A61="","",IFERROR(VLOOKUP(A61,DB_Customers!$A:$N,14,0),""))</f>
        <v/>
      </c>
      <c r="D61" s="81" t="str">
        <f t="shared" ca="1" si="3"/>
        <v/>
      </c>
      <c r="E61" s="82"/>
      <c r="F61" s="83" t="str">
        <f t="shared" si="4"/>
        <v/>
      </c>
      <c r="G61" s="23"/>
      <c r="H61" s="84"/>
      <c r="I61" s="85" t="str">
        <f>IF(A61="","Pending",IF(H61="","⚠️ Enter Code",IF(IFERROR(VLOOKUP(G61,DB_Agents!$B:$I,8,0),"")=H61,IF(AND(A61&lt;&gt;"",E61&lt;&gt;""),"Saved","Pending"),"🔒 BLOCKED — Wrong Code")))</f>
        <v>Pending</v>
      </c>
      <c r="J61" s="86" t="str">
        <f t="shared" ca="1" si="5"/>
        <v>—</v>
      </c>
      <c r="K61" s="87"/>
    </row>
    <row r="62" spans="1:11" x14ac:dyDescent="0.25">
      <c r="A62" s="88"/>
      <c r="B62" s="25" t="str">
        <f>IF(A62="","",IFERROR(VLOOKUP(A62,DB_Customers!$A:$D,4,0),"❌ Account Not Found"))</f>
        <v/>
      </c>
      <c r="C62" s="89" t="str">
        <f>IF(A62="","",IFERROR(VLOOKUP(A62,DB_Customers!$A:$N,14,0),""))</f>
        <v/>
      </c>
      <c r="D62" s="90" t="str">
        <f t="shared" ca="1" si="3"/>
        <v/>
      </c>
      <c r="E62" s="82"/>
      <c r="F62" s="91" t="str">
        <f t="shared" si="4"/>
        <v/>
      </c>
      <c r="G62" s="27"/>
      <c r="H62" s="84"/>
      <c r="I62" s="92" t="str">
        <f>IF(A62="","Pending",IF(H62="","⚠️ Enter Code",IF(IFERROR(VLOOKUP(G62,DB_Agents!$B:$I,8,0),"")=H62,IF(AND(A62&lt;&gt;"",E62&lt;&gt;""),"Saved","Pending"),"🔒 BLOCKED — Wrong Code")))</f>
        <v>Pending</v>
      </c>
      <c r="J62" s="93" t="str">
        <f t="shared" ca="1" si="5"/>
        <v>—</v>
      </c>
      <c r="K62" s="94"/>
    </row>
    <row r="63" spans="1:11" x14ac:dyDescent="0.25">
      <c r="A63" s="79"/>
      <c r="B63" s="21" t="str">
        <f>IF(A63="","",IFERROR(VLOOKUP(A63,DB_Customers!$A:$D,4,0),"❌ Account Not Found"))</f>
        <v/>
      </c>
      <c r="C63" s="80" t="str">
        <f>IF(A63="","",IFERROR(VLOOKUP(A63,DB_Customers!$A:$N,14,0),""))</f>
        <v/>
      </c>
      <c r="D63" s="81" t="str">
        <f t="shared" ca="1" si="3"/>
        <v/>
      </c>
      <c r="E63" s="82"/>
      <c r="F63" s="83" t="str">
        <f t="shared" si="4"/>
        <v/>
      </c>
      <c r="G63" s="23"/>
      <c r="H63" s="84"/>
      <c r="I63" s="85" t="str">
        <f>IF(A63="","Pending",IF(H63="","⚠️ Enter Code",IF(IFERROR(VLOOKUP(G63,DB_Agents!$B:$I,8,0),"")=H63,IF(AND(A63&lt;&gt;"",E63&lt;&gt;""),"Saved","Pending"),"🔒 BLOCKED — Wrong Code")))</f>
        <v>Pending</v>
      </c>
      <c r="J63" s="86" t="str">
        <f t="shared" ca="1" si="5"/>
        <v>—</v>
      </c>
      <c r="K63" s="87"/>
    </row>
    <row r="64" spans="1:11" x14ac:dyDescent="0.25">
      <c r="A64" s="88"/>
      <c r="B64" s="25" t="str">
        <f>IF(A64="","",IFERROR(VLOOKUP(A64,DB_Customers!$A:$D,4,0),"❌ Account Not Found"))</f>
        <v/>
      </c>
      <c r="C64" s="89" t="str">
        <f>IF(A64="","",IFERROR(VLOOKUP(A64,DB_Customers!$A:$N,14,0),""))</f>
        <v/>
      </c>
      <c r="D64" s="90" t="str">
        <f t="shared" ca="1" si="3"/>
        <v/>
      </c>
      <c r="E64" s="82"/>
      <c r="F64" s="91" t="str">
        <f t="shared" si="4"/>
        <v/>
      </c>
      <c r="G64" s="27"/>
      <c r="H64" s="84"/>
      <c r="I64" s="92" t="str">
        <f>IF(A64="","Pending",IF(H64="","⚠️ Enter Code",IF(IFERROR(VLOOKUP(G64,DB_Agents!$B:$I,8,0),"")=H64,IF(AND(A64&lt;&gt;"",E64&lt;&gt;""),"Saved","Pending"),"🔒 BLOCKED — Wrong Code")))</f>
        <v>Pending</v>
      </c>
      <c r="J64" s="93" t="str">
        <f t="shared" ca="1" si="5"/>
        <v>—</v>
      </c>
      <c r="K64" s="94"/>
    </row>
    <row r="65" spans="1:11" x14ac:dyDescent="0.25">
      <c r="A65" s="79"/>
      <c r="B65" s="21" t="str">
        <f>IF(A65="","",IFERROR(VLOOKUP(A65,DB_Customers!$A:$D,4,0),"❌ Account Not Found"))</f>
        <v/>
      </c>
      <c r="C65" s="80" t="str">
        <f>IF(A65="","",IFERROR(VLOOKUP(A65,DB_Customers!$A:$N,14,0),""))</f>
        <v/>
      </c>
      <c r="D65" s="81" t="str">
        <f t="shared" ca="1" si="3"/>
        <v/>
      </c>
      <c r="E65" s="82"/>
      <c r="F65" s="83" t="str">
        <f t="shared" si="4"/>
        <v/>
      </c>
      <c r="G65" s="23"/>
      <c r="H65" s="84"/>
      <c r="I65" s="85" t="str">
        <f>IF(A65="","Pending",IF(H65="","⚠️ Enter Code",IF(IFERROR(VLOOKUP(G65,DB_Agents!$B:$I,8,0),"")=H65,IF(AND(A65&lt;&gt;"",E65&lt;&gt;""),"Saved","Pending"),"🔒 BLOCKED — Wrong Code")))</f>
        <v>Pending</v>
      </c>
      <c r="J65" s="86" t="str">
        <f t="shared" ca="1" si="5"/>
        <v>—</v>
      </c>
      <c r="K65" s="87"/>
    </row>
    <row r="66" spans="1:11" x14ac:dyDescent="0.25">
      <c r="A66" s="88"/>
      <c r="B66" s="25" t="str">
        <f>IF(A66="","",IFERROR(VLOOKUP(A66,DB_Customers!$A:$D,4,0),"❌ Account Not Found"))</f>
        <v/>
      </c>
      <c r="C66" s="89" t="str">
        <f>IF(A66="","",IFERROR(VLOOKUP(A66,DB_Customers!$A:$N,14,0),""))</f>
        <v/>
      </c>
      <c r="D66" s="90" t="str">
        <f t="shared" ca="1" si="3"/>
        <v/>
      </c>
      <c r="E66" s="82"/>
      <c r="F66" s="91" t="str">
        <f t="shared" si="4"/>
        <v/>
      </c>
      <c r="G66" s="27"/>
      <c r="H66" s="84"/>
      <c r="I66" s="92" t="str">
        <f>IF(A66="","Pending",IF(H66="","⚠️ Enter Code",IF(IFERROR(VLOOKUP(G66,DB_Agents!$B:$I,8,0),"")=H66,IF(AND(A66&lt;&gt;"",E66&lt;&gt;""),"Saved","Pending"),"🔒 BLOCKED — Wrong Code")))</f>
        <v>Pending</v>
      </c>
      <c r="J66" s="93" t="str">
        <f t="shared" ca="1" si="5"/>
        <v>—</v>
      </c>
      <c r="K66" s="94"/>
    </row>
    <row r="67" spans="1:11" x14ac:dyDescent="0.25">
      <c r="A67" s="79"/>
      <c r="B67" s="21" t="str">
        <f>IF(A67="","",IFERROR(VLOOKUP(A67,DB_Customers!$A:$D,4,0),"❌ Account Not Found"))</f>
        <v/>
      </c>
      <c r="C67" s="80" t="str">
        <f>IF(A67="","",IFERROR(VLOOKUP(A67,DB_Customers!$A:$N,14,0),""))</f>
        <v/>
      </c>
      <c r="D67" s="81" t="str">
        <f t="shared" ca="1" si="3"/>
        <v/>
      </c>
      <c r="E67" s="82"/>
      <c r="F67" s="83" t="str">
        <f t="shared" si="4"/>
        <v/>
      </c>
      <c r="G67" s="23"/>
      <c r="H67" s="84"/>
      <c r="I67" s="85" t="str">
        <f>IF(A67="","Pending",IF(H67="","⚠️ Enter Code",IF(IFERROR(VLOOKUP(G67,DB_Agents!$B:$I,8,0),"")=H67,IF(AND(A67&lt;&gt;"",E67&lt;&gt;""),"Saved","Pending"),"🔒 BLOCKED — Wrong Code")))</f>
        <v>Pending</v>
      </c>
      <c r="J67" s="86" t="str">
        <f t="shared" ca="1" si="5"/>
        <v>—</v>
      </c>
      <c r="K67" s="87"/>
    </row>
    <row r="68" spans="1:11" x14ac:dyDescent="0.25">
      <c r="A68" s="88"/>
      <c r="B68" s="25" t="str">
        <f>IF(A68="","",IFERROR(VLOOKUP(A68,DB_Customers!$A:$D,4,0),"❌ Account Not Found"))</f>
        <v/>
      </c>
      <c r="C68" s="89" t="str">
        <f>IF(A68="","",IFERROR(VLOOKUP(A68,DB_Customers!$A:$N,14,0),""))</f>
        <v/>
      </c>
      <c r="D68" s="90" t="str">
        <f t="shared" ca="1" si="3"/>
        <v/>
      </c>
      <c r="E68" s="82"/>
      <c r="F68" s="91" t="str">
        <f t="shared" si="4"/>
        <v/>
      </c>
      <c r="G68" s="27"/>
      <c r="H68" s="84"/>
      <c r="I68" s="92" t="str">
        <f>IF(A68="","Pending",IF(H68="","⚠️ Enter Code",IF(IFERROR(VLOOKUP(G68,DB_Agents!$B:$I,8,0),"")=H68,IF(AND(A68&lt;&gt;"",E68&lt;&gt;""),"Saved","Pending"),"🔒 BLOCKED — Wrong Code")))</f>
        <v>Pending</v>
      </c>
      <c r="J68" s="93" t="str">
        <f t="shared" ca="1" si="5"/>
        <v>—</v>
      </c>
      <c r="K68" s="94"/>
    </row>
    <row r="69" spans="1:11" x14ac:dyDescent="0.25">
      <c r="A69" s="79"/>
      <c r="B69" s="21" t="str">
        <f>IF(A69="","",IFERROR(VLOOKUP(A69,DB_Customers!$A:$D,4,0),"❌ Account Not Found"))</f>
        <v/>
      </c>
      <c r="C69" s="80" t="str">
        <f>IF(A69="","",IFERROR(VLOOKUP(A69,DB_Customers!$A:$N,14,0),""))</f>
        <v/>
      </c>
      <c r="D69" s="81" t="str">
        <f t="shared" ca="1" si="3"/>
        <v/>
      </c>
      <c r="E69" s="82"/>
      <c r="F69" s="83" t="str">
        <f t="shared" si="4"/>
        <v/>
      </c>
      <c r="G69" s="23"/>
      <c r="H69" s="84"/>
      <c r="I69" s="85" t="str">
        <f>IF(A69="","Pending",IF(H69="","⚠️ Enter Code",IF(IFERROR(VLOOKUP(G69,DB_Agents!$B:$I,8,0),"")=H69,IF(AND(A69&lt;&gt;"",E69&lt;&gt;""),"Saved","Pending"),"🔒 BLOCKED — Wrong Code")))</f>
        <v>Pending</v>
      </c>
      <c r="J69" s="86" t="str">
        <f t="shared" ca="1" si="5"/>
        <v>—</v>
      </c>
      <c r="K69" s="87"/>
    </row>
    <row r="70" spans="1:11" x14ac:dyDescent="0.25">
      <c r="A70" s="88"/>
      <c r="B70" s="25" t="str">
        <f>IF(A70="","",IFERROR(VLOOKUP(A70,DB_Customers!$A:$D,4,0),"❌ Account Not Found"))</f>
        <v/>
      </c>
      <c r="C70" s="89" t="str">
        <f>IF(A70="","",IFERROR(VLOOKUP(A70,DB_Customers!$A:$N,14,0),""))</f>
        <v/>
      </c>
      <c r="D70" s="90" t="str">
        <f t="shared" ca="1" si="3"/>
        <v/>
      </c>
      <c r="E70" s="82"/>
      <c r="F70" s="91" t="str">
        <f t="shared" si="4"/>
        <v/>
      </c>
      <c r="G70" s="27"/>
      <c r="H70" s="84"/>
      <c r="I70" s="92" t="str">
        <f>IF(A70="","Pending",IF(H70="","⚠️ Enter Code",IF(IFERROR(VLOOKUP(G70,DB_Agents!$B:$I,8,0),"")=H70,IF(AND(A70&lt;&gt;"",E70&lt;&gt;""),"Saved","Pending"),"🔒 BLOCKED — Wrong Code")))</f>
        <v>Pending</v>
      </c>
      <c r="J70" s="93" t="str">
        <f t="shared" ca="1" si="5"/>
        <v>—</v>
      </c>
      <c r="K70" s="94"/>
    </row>
    <row r="71" spans="1:11" x14ac:dyDescent="0.25">
      <c r="A71" s="79"/>
      <c r="B71" s="21" t="str">
        <f>IF(A71="","",IFERROR(VLOOKUP(A71,DB_Customers!$A:$D,4,0),"❌ Account Not Found"))</f>
        <v/>
      </c>
      <c r="C71" s="80" t="str">
        <f>IF(A71="","",IFERROR(VLOOKUP(A71,DB_Customers!$A:$N,14,0),""))</f>
        <v/>
      </c>
      <c r="D71" s="81" t="str">
        <f t="shared" ca="1" si="3"/>
        <v/>
      </c>
      <c r="E71" s="82"/>
      <c r="F71" s="83" t="str">
        <f t="shared" si="4"/>
        <v/>
      </c>
      <c r="G71" s="23"/>
      <c r="H71" s="84"/>
      <c r="I71" s="85" t="str">
        <f>IF(A71="","Pending",IF(H71="","⚠️ Enter Code",IF(IFERROR(VLOOKUP(G71,DB_Agents!$B:$I,8,0),"")=H71,IF(AND(A71&lt;&gt;"",E71&lt;&gt;""),"Saved","Pending"),"🔒 BLOCKED — Wrong Code")))</f>
        <v>Pending</v>
      </c>
      <c r="J71" s="86" t="str">
        <f t="shared" ca="1" si="5"/>
        <v>—</v>
      </c>
      <c r="K71" s="87"/>
    </row>
    <row r="72" spans="1:11" x14ac:dyDescent="0.25">
      <c r="A72" s="88"/>
      <c r="B72" s="25" t="str">
        <f>IF(A72="","",IFERROR(VLOOKUP(A72,DB_Customers!$A:$D,4,0),"❌ Account Not Found"))</f>
        <v/>
      </c>
      <c r="C72" s="89" t="str">
        <f>IF(A72="","",IFERROR(VLOOKUP(A72,DB_Customers!$A:$N,14,0),""))</f>
        <v/>
      </c>
      <c r="D72" s="90" t="str">
        <f t="shared" ca="1" si="3"/>
        <v/>
      </c>
      <c r="E72" s="82"/>
      <c r="F72" s="91" t="str">
        <f t="shared" si="4"/>
        <v/>
      </c>
      <c r="G72" s="27"/>
      <c r="H72" s="84"/>
      <c r="I72" s="92" t="str">
        <f>IF(A72="","Pending",IF(H72="","⚠️ Enter Code",IF(IFERROR(VLOOKUP(G72,DB_Agents!$B:$I,8,0),"")=H72,IF(AND(A72&lt;&gt;"",E72&lt;&gt;""),"Saved","Pending"),"🔒 BLOCKED — Wrong Code")))</f>
        <v>Pending</v>
      </c>
      <c r="J72" s="93" t="str">
        <f t="shared" ca="1" si="5"/>
        <v>—</v>
      </c>
      <c r="K72" s="94"/>
    </row>
    <row r="73" spans="1:11" x14ac:dyDescent="0.25">
      <c r="A73" s="79"/>
      <c r="B73" s="21" t="str">
        <f>IF(A73="","",IFERROR(VLOOKUP(A73,DB_Customers!$A:$D,4,0),"❌ Account Not Found"))</f>
        <v/>
      </c>
      <c r="C73" s="80" t="str">
        <f>IF(A73="","",IFERROR(VLOOKUP(A73,DB_Customers!$A:$N,14,0),""))</f>
        <v/>
      </c>
      <c r="D73" s="81" t="str">
        <f t="shared" ref="D73:D104" ca="1" si="6">IF(A73="","",TODAY())</f>
        <v/>
      </c>
      <c r="E73" s="82"/>
      <c r="F73" s="83" t="str">
        <f t="shared" ref="F73:F104" si="7">IF(OR(A73="",E73=""),"",IF(C73="","",C73+E73))</f>
        <v/>
      </c>
      <c r="G73" s="23"/>
      <c r="H73" s="84"/>
      <c r="I73" s="85" t="str">
        <f>IF(A73="","Pending",IF(H73="","⚠️ Enter Code",IF(IFERROR(VLOOKUP(G73,DB_Agents!$B:$I,8,0),"")=H73,IF(AND(A73&lt;&gt;"",E73&lt;&gt;""),"Saved","Pending"),"🔒 BLOCKED — Wrong Code")))</f>
        <v>Pending</v>
      </c>
      <c r="J73" s="86" t="str">
        <f t="shared" ref="J73:J104" ca="1" si="8">IF(I73="Saved",TEXT(TODAY(),"YYYY-MM-DD")&amp;" Auto","—")</f>
        <v>—</v>
      </c>
      <c r="K73" s="87"/>
    </row>
    <row r="74" spans="1:11" x14ac:dyDescent="0.25">
      <c r="A74" s="88"/>
      <c r="B74" s="25" t="str">
        <f>IF(A74="","",IFERROR(VLOOKUP(A74,DB_Customers!$A:$D,4,0),"❌ Account Not Found"))</f>
        <v/>
      </c>
      <c r="C74" s="89" t="str">
        <f>IF(A74="","",IFERROR(VLOOKUP(A74,DB_Customers!$A:$N,14,0),""))</f>
        <v/>
      </c>
      <c r="D74" s="90" t="str">
        <f t="shared" ca="1" si="6"/>
        <v/>
      </c>
      <c r="E74" s="82"/>
      <c r="F74" s="91" t="str">
        <f t="shared" si="7"/>
        <v/>
      </c>
      <c r="G74" s="27"/>
      <c r="H74" s="84"/>
      <c r="I74" s="92" t="str">
        <f>IF(A74="","Pending",IF(H74="","⚠️ Enter Code",IF(IFERROR(VLOOKUP(G74,DB_Agents!$B:$I,8,0),"")=H74,IF(AND(A74&lt;&gt;"",E74&lt;&gt;""),"Saved","Pending"),"🔒 BLOCKED — Wrong Code")))</f>
        <v>Pending</v>
      </c>
      <c r="J74" s="93" t="str">
        <f t="shared" ca="1" si="8"/>
        <v>—</v>
      </c>
      <c r="K74" s="94"/>
    </row>
    <row r="75" spans="1:11" x14ac:dyDescent="0.25">
      <c r="A75" s="79"/>
      <c r="B75" s="21" t="str">
        <f>IF(A75="","",IFERROR(VLOOKUP(A75,DB_Customers!$A:$D,4,0),"❌ Account Not Found"))</f>
        <v/>
      </c>
      <c r="C75" s="80" t="str">
        <f>IF(A75="","",IFERROR(VLOOKUP(A75,DB_Customers!$A:$N,14,0),""))</f>
        <v/>
      </c>
      <c r="D75" s="81" t="str">
        <f t="shared" ca="1" si="6"/>
        <v/>
      </c>
      <c r="E75" s="82"/>
      <c r="F75" s="83" t="str">
        <f t="shared" si="7"/>
        <v/>
      </c>
      <c r="G75" s="23"/>
      <c r="H75" s="84"/>
      <c r="I75" s="85" t="str">
        <f>IF(A75="","Pending",IF(H75="","⚠️ Enter Code",IF(IFERROR(VLOOKUP(G75,DB_Agents!$B:$I,8,0),"")=H75,IF(AND(A75&lt;&gt;"",E75&lt;&gt;""),"Saved","Pending"),"🔒 BLOCKED — Wrong Code")))</f>
        <v>Pending</v>
      </c>
      <c r="J75" s="86" t="str">
        <f t="shared" ca="1" si="8"/>
        <v>—</v>
      </c>
      <c r="K75" s="87"/>
    </row>
    <row r="76" spans="1:11" x14ac:dyDescent="0.25">
      <c r="A76" s="88"/>
      <c r="B76" s="25" t="str">
        <f>IF(A76="","",IFERROR(VLOOKUP(A76,DB_Customers!$A:$D,4,0),"❌ Account Not Found"))</f>
        <v/>
      </c>
      <c r="C76" s="89" t="str">
        <f>IF(A76="","",IFERROR(VLOOKUP(A76,DB_Customers!$A:$N,14,0),""))</f>
        <v/>
      </c>
      <c r="D76" s="90" t="str">
        <f t="shared" ca="1" si="6"/>
        <v/>
      </c>
      <c r="E76" s="82"/>
      <c r="F76" s="91" t="str">
        <f t="shared" si="7"/>
        <v/>
      </c>
      <c r="G76" s="27"/>
      <c r="H76" s="84"/>
      <c r="I76" s="92" t="str">
        <f>IF(A76="","Pending",IF(H76="","⚠️ Enter Code",IF(IFERROR(VLOOKUP(G76,DB_Agents!$B:$I,8,0),"")=H76,IF(AND(A76&lt;&gt;"",E76&lt;&gt;""),"Saved","Pending"),"🔒 BLOCKED — Wrong Code")))</f>
        <v>Pending</v>
      </c>
      <c r="J76" s="93" t="str">
        <f t="shared" ca="1" si="8"/>
        <v>—</v>
      </c>
      <c r="K76" s="94"/>
    </row>
    <row r="77" spans="1:11" x14ac:dyDescent="0.25">
      <c r="A77" s="79"/>
      <c r="B77" s="21" t="str">
        <f>IF(A77="","",IFERROR(VLOOKUP(A77,DB_Customers!$A:$D,4,0),"❌ Account Not Found"))</f>
        <v/>
      </c>
      <c r="C77" s="80" t="str">
        <f>IF(A77="","",IFERROR(VLOOKUP(A77,DB_Customers!$A:$N,14,0),""))</f>
        <v/>
      </c>
      <c r="D77" s="81" t="str">
        <f t="shared" ca="1" si="6"/>
        <v/>
      </c>
      <c r="E77" s="82"/>
      <c r="F77" s="83" t="str">
        <f t="shared" si="7"/>
        <v/>
      </c>
      <c r="G77" s="23"/>
      <c r="H77" s="84"/>
      <c r="I77" s="85" t="str">
        <f>IF(A77="","Pending",IF(H77="","⚠️ Enter Code",IF(IFERROR(VLOOKUP(G77,DB_Agents!$B:$I,8,0),"")=H77,IF(AND(A77&lt;&gt;"",E77&lt;&gt;""),"Saved","Pending"),"🔒 BLOCKED — Wrong Code")))</f>
        <v>Pending</v>
      </c>
      <c r="J77" s="86" t="str">
        <f t="shared" ca="1" si="8"/>
        <v>—</v>
      </c>
      <c r="K77" s="87"/>
    </row>
    <row r="78" spans="1:11" x14ac:dyDescent="0.25">
      <c r="A78" s="88"/>
      <c r="B78" s="25" t="str">
        <f>IF(A78="","",IFERROR(VLOOKUP(A78,DB_Customers!$A:$D,4,0),"❌ Account Not Found"))</f>
        <v/>
      </c>
      <c r="C78" s="89" t="str">
        <f>IF(A78="","",IFERROR(VLOOKUP(A78,DB_Customers!$A:$N,14,0),""))</f>
        <v/>
      </c>
      <c r="D78" s="90" t="str">
        <f t="shared" ca="1" si="6"/>
        <v/>
      </c>
      <c r="E78" s="82"/>
      <c r="F78" s="91" t="str">
        <f t="shared" si="7"/>
        <v/>
      </c>
      <c r="G78" s="27"/>
      <c r="H78" s="84"/>
      <c r="I78" s="92" t="str">
        <f>IF(A78="","Pending",IF(H78="","⚠️ Enter Code",IF(IFERROR(VLOOKUP(G78,DB_Agents!$B:$I,8,0),"")=H78,IF(AND(A78&lt;&gt;"",E78&lt;&gt;""),"Saved","Pending"),"🔒 BLOCKED — Wrong Code")))</f>
        <v>Pending</v>
      </c>
      <c r="J78" s="93" t="str">
        <f t="shared" ca="1" si="8"/>
        <v>—</v>
      </c>
      <c r="K78" s="94"/>
    </row>
    <row r="79" spans="1:11" x14ac:dyDescent="0.25">
      <c r="A79" s="79"/>
      <c r="B79" s="21" t="str">
        <f>IF(A79="","",IFERROR(VLOOKUP(A79,DB_Customers!$A:$D,4,0),"❌ Account Not Found"))</f>
        <v/>
      </c>
      <c r="C79" s="80" t="str">
        <f>IF(A79="","",IFERROR(VLOOKUP(A79,DB_Customers!$A:$N,14,0),""))</f>
        <v/>
      </c>
      <c r="D79" s="81" t="str">
        <f t="shared" ca="1" si="6"/>
        <v/>
      </c>
      <c r="E79" s="82"/>
      <c r="F79" s="83" t="str">
        <f t="shared" si="7"/>
        <v/>
      </c>
      <c r="G79" s="23"/>
      <c r="H79" s="84"/>
      <c r="I79" s="85" t="str">
        <f>IF(A79="","Pending",IF(H79="","⚠️ Enter Code",IF(IFERROR(VLOOKUP(G79,DB_Agents!$B:$I,8,0),"")=H79,IF(AND(A79&lt;&gt;"",E79&lt;&gt;""),"Saved","Pending"),"🔒 BLOCKED — Wrong Code")))</f>
        <v>Pending</v>
      </c>
      <c r="J79" s="86" t="str">
        <f t="shared" ca="1" si="8"/>
        <v>—</v>
      </c>
      <c r="K79" s="87"/>
    </row>
    <row r="80" spans="1:11" x14ac:dyDescent="0.25">
      <c r="A80" s="88"/>
      <c r="B80" s="25" t="str">
        <f>IF(A80="","",IFERROR(VLOOKUP(A80,DB_Customers!$A:$D,4,0),"❌ Account Not Found"))</f>
        <v/>
      </c>
      <c r="C80" s="89" t="str">
        <f>IF(A80="","",IFERROR(VLOOKUP(A80,DB_Customers!$A:$N,14,0),""))</f>
        <v/>
      </c>
      <c r="D80" s="90" t="str">
        <f t="shared" ca="1" si="6"/>
        <v/>
      </c>
      <c r="E80" s="82"/>
      <c r="F80" s="91" t="str">
        <f t="shared" si="7"/>
        <v/>
      </c>
      <c r="G80" s="27"/>
      <c r="H80" s="84"/>
      <c r="I80" s="92" t="str">
        <f>IF(A80="","Pending",IF(H80="","⚠️ Enter Code",IF(IFERROR(VLOOKUP(G80,DB_Agents!$B:$I,8,0),"")=H80,IF(AND(A80&lt;&gt;"",E80&lt;&gt;""),"Saved","Pending"),"🔒 BLOCKED — Wrong Code")))</f>
        <v>Pending</v>
      </c>
      <c r="J80" s="93" t="str">
        <f t="shared" ca="1" si="8"/>
        <v>—</v>
      </c>
      <c r="K80" s="94"/>
    </row>
    <row r="81" spans="1:11" x14ac:dyDescent="0.25">
      <c r="A81" s="79"/>
      <c r="B81" s="21" t="str">
        <f>IF(A81="","",IFERROR(VLOOKUP(A81,DB_Customers!$A:$D,4,0),"❌ Account Not Found"))</f>
        <v/>
      </c>
      <c r="C81" s="80" t="str">
        <f>IF(A81="","",IFERROR(VLOOKUP(A81,DB_Customers!$A:$N,14,0),""))</f>
        <v/>
      </c>
      <c r="D81" s="81" t="str">
        <f t="shared" ca="1" si="6"/>
        <v/>
      </c>
      <c r="E81" s="82"/>
      <c r="F81" s="83" t="str">
        <f t="shared" si="7"/>
        <v/>
      </c>
      <c r="G81" s="23"/>
      <c r="H81" s="84"/>
      <c r="I81" s="85" t="str">
        <f>IF(A81="","Pending",IF(H81="","⚠️ Enter Code",IF(IFERROR(VLOOKUP(G81,DB_Agents!$B:$I,8,0),"")=H81,IF(AND(A81&lt;&gt;"",E81&lt;&gt;""),"Saved","Pending"),"🔒 BLOCKED — Wrong Code")))</f>
        <v>Pending</v>
      </c>
      <c r="J81" s="86" t="str">
        <f t="shared" ca="1" si="8"/>
        <v>—</v>
      </c>
      <c r="K81" s="87"/>
    </row>
    <row r="82" spans="1:11" x14ac:dyDescent="0.25">
      <c r="A82" s="88"/>
      <c r="B82" s="25" t="str">
        <f>IF(A82="","",IFERROR(VLOOKUP(A82,DB_Customers!$A:$D,4,0),"❌ Account Not Found"))</f>
        <v/>
      </c>
      <c r="C82" s="89" t="str">
        <f>IF(A82="","",IFERROR(VLOOKUP(A82,DB_Customers!$A:$N,14,0),""))</f>
        <v/>
      </c>
      <c r="D82" s="90" t="str">
        <f t="shared" ca="1" si="6"/>
        <v/>
      </c>
      <c r="E82" s="82"/>
      <c r="F82" s="91" t="str">
        <f t="shared" si="7"/>
        <v/>
      </c>
      <c r="G82" s="27"/>
      <c r="H82" s="84"/>
      <c r="I82" s="92" t="str">
        <f>IF(A82="","Pending",IF(H82="","⚠️ Enter Code",IF(IFERROR(VLOOKUP(G82,DB_Agents!$B:$I,8,0),"")=H82,IF(AND(A82&lt;&gt;"",E82&lt;&gt;""),"Saved","Pending"),"🔒 BLOCKED — Wrong Code")))</f>
        <v>Pending</v>
      </c>
      <c r="J82" s="93" t="str">
        <f t="shared" ca="1" si="8"/>
        <v>—</v>
      </c>
      <c r="K82" s="94"/>
    </row>
    <row r="83" spans="1:11" x14ac:dyDescent="0.25">
      <c r="A83" s="79"/>
      <c r="B83" s="21" t="str">
        <f>IF(A83="","",IFERROR(VLOOKUP(A83,DB_Customers!$A:$D,4,0),"❌ Account Not Found"))</f>
        <v/>
      </c>
      <c r="C83" s="80" t="str">
        <f>IF(A83="","",IFERROR(VLOOKUP(A83,DB_Customers!$A:$N,14,0),""))</f>
        <v/>
      </c>
      <c r="D83" s="81" t="str">
        <f t="shared" ca="1" si="6"/>
        <v/>
      </c>
      <c r="E83" s="82"/>
      <c r="F83" s="83" t="str">
        <f t="shared" si="7"/>
        <v/>
      </c>
      <c r="G83" s="23"/>
      <c r="H83" s="84"/>
      <c r="I83" s="85" t="str">
        <f>IF(A83="","Pending",IF(H83="","⚠️ Enter Code",IF(IFERROR(VLOOKUP(G83,DB_Agents!$B:$I,8,0),"")=H83,IF(AND(A83&lt;&gt;"",E83&lt;&gt;""),"Saved","Pending"),"🔒 BLOCKED — Wrong Code")))</f>
        <v>Pending</v>
      </c>
      <c r="J83" s="86" t="str">
        <f t="shared" ca="1" si="8"/>
        <v>—</v>
      </c>
      <c r="K83" s="87"/>
    </row>
    <row r="84" spans="1:11" x14ac:dyDescent="0.25">
      <c r="A84" s="88"/>
      <c r="B84" s="25" t="str">
        <f>IF(A84="","",IFERROR(VLOOKUP(A84,DB_Customers!$A:$D,4,0),"❌ Account Not Found"))</f>
        <v/>
      </c>
      <c r="C84" s="89" t="str">
        <f>IF(A84="","",IFERROR(VLOOKUP(A84,DB_Customers!$A:$N,14,0),""))</f>
        <v/>
      </c>
      <c r="D84" s="90" t="str">
        <f t="shared" ca="1" si="6"/>
        <v/>
      </c>
      <c r="E84" s="82"/>
      <c r="F84" s="91" t="str">
        <f t="shared" si="7"/>
        <v/>
      </c>
      <c r="G84" s="27"/>
      <c r="H84" s="84"/>
      <c r="I84" s="92" t="str">
        <f>IF(A84="","Pending",IF(H84="","⚠️ Enter Code",IF(IFERROR(VLOOKUP(G84,DB_Agents!$B:$I,8,0),"")=H84,IF(AND(A84&lt;&gt;"",E84&lt;&gt;""),"Saved","Pending"),"🔒 BLOCKED — Wrong Code")))</f>
        <v>Pending</v>
      </c>
      <c r="J84" s="93" t="str">
        <f t="shared" ca="1" si="8"/>
        <v>—</v>
      </c>
      <c r="K84" s="94"/>
    </row>
    <row r="85" spans="1:11" x14ac:dyDescent="0.25">
      <c r="A85" s="79"/>
      <c r="B85" s="21" t="str">
        <f>IF(A85="","",IFERROR(VLOOKUP(A85,DB_Customers!$A:$D,4,0),"❌ Account Not Found"))</f>
        <v/>
      </c>
      <c r="C85" s="80" t="str">
        <f>IF(A85="","",IFERROR(VLOOKUP(A85,DB_Customers!$A:$N,14,0),""))</f>
        <v/>
      </c>
      <c r="D85" s="81" t="str">
        <f t="shared" ca="1" si="6"/>
        <v/>
      </c>
      <c r="E85" s="82"/>
      <c r="F85" s="83" t="str">
        <f t="shared" si="7"/>
        <v/>
      </c>
      <c r="G85" s="23"/>
      <c r="H85" s="84"/>
      <c r="I85" s="85" t="str">
        <f>IF(A85="","Pending",IF(H85="","⚠️ Enter Code",IF(IFERROR(VLOOKUP(G85,DB_Agents!$B:$I,8,0),"")=H85,IF(AND(A85&lt;&gt;"",E85&lt;&gt;""),"Saved","Pending"),"🔒 BLOCKED — Wrong Code")))</f>
        <v>Pending</v>
      </c>
      <c r="J85" s="86" t="str">
        <f t="shared" ca="1" si="8"/>
        <v>—</v>
      </c>
      <c r="K85" s="87"/>
    </row>
    <row r="86" spans="1:11" x14ac:dyDescent="0.25">
      <c r="A86" s="88"/>
      <c r="B86" s="25" t="str">
        <f>IF(A86="","",IFERROR(VLOOKUP(A86,DB_Customers!$A:$D,4,0),"❌ Account Not Found"))</f>
        <v/>
      </c>
      <c r="C86" s="89" t="str">
        <f>IF(A86="","",IFERROR(VLOOKUP(A86,DB_Customers!$A:$N,14,0),""))</f>
        <v/>
      </c>
      <c r="D86" s="90" t="str">
        <f t="shared" ca="1" si="6"/>
        <v/>
      </c>
      <c r="E86" s="82"/>
      <c r="F86" s="91" t="str">
        <f t="shared" si="7"/>
        <v/>
      </c>
      <c r="G86" s="27"/>
      <c r="H86" s="84"/>
      <c r="I86" s="92" t="str">
        <f>IF(A86="","Pending",IF(H86="","⚠️ Enter Code",IF(IFERROR(VLOOKUP(G86,DB_Agents!$B:$I,8,0),"")=H86,IF(AND(A86&lt;&gt;"",E86&lt;&gt;""),"Saved","Pending"),"🔒 BLOCKED — Wrong Code")))</f>
        <v>Pending</v>
      </c>
      <c r="J86" s="93" t="str">
        <f t="shared" ca="1" si="8"/>
        <v>—</v>
      </c>
      <c r="K86" s="94"/>
    </row>
    <row r="87" spans="1:11" x14ac:dyDescent="0.25">
      <c r="A87" s="79"/>
      <c r="B87" s="21" t="str">
        <f>IF(A87="","",IFERROR(VLOOKUP(A87,DB_Customers!$A:$D,4,0),"❌ Account Not Found"))</f>
        <v/>
      </c>
      <c r="C87" s="80" t="str">
        <f>IF(A87="","",IFERROR(VLOOKUP(A87,DB_Customers!$A:$N,14,0),""))</f>
        <v/>
      </c>
      <c r="D87" s="81" t="str">
        <f t="shared" ca="1" si="6"/>
        <v/>
      </c>
      <c r="E87" s="82"/>
      <c r="F87" s="83" t="str">
        <f t="shared" si="7"/>
        <v/>
      </c>
      <c r="G87" s="23"/>
      <c r="H87" s="84"/>
      <c r="I87" s="85" t="str">
        <f>IF(A87="","Pending",IF(H87="","⚠️ Enter Code",IF(IFERROR(VLOOKUP(G87,DB_Agents!$B:$I,8,0),"")=H87,IF(AND(A87&lt;&gt;"",E87&lt;&gt;""),"Saved","Pending"),"🔒 BLOCKED — Wrong Code")))</f>
        <v>Pending</v>
      </c>
      <c r="J87" s="86" t="str">
        <f t="shared" ca="1" si="8"/>
        <v>—</v>
      </c>
      <c r="K87" s="87"/>
    </row>
    <row r="88" spans="1:11" x14ac:dyDescent="0.25">
      <c r="A88" s="88"/>
      <c r="B88" s="25" t="str">
        <f>IF(A88="","",IFERROR(VLOOKUP(A88,DB_Customers!$A:$D,4,0),"❌ Account Not Found"))</f>
        <v/>
      </c>
      <c r="C88" s="89" t="str">
        <f>IF(A88="","",IFERROR(VLOOKUP(A88,DB_Customers!$A:$N,14,0),""))</f>
        <v/>
      </c>
      <c r="D88" s="90" t="str">
        <f t="shared" ca="1" si="6"/>
        <v/>
      </c>
      <c r="E88" s="82"/>
      <c r="F88" s="91" t="str">
        <f t="shared" si="7"/>
        <v/>
      </c>
      <c r="G88" s="27"/>
      <c r="H88" s="84"/>
      <c r="I88" s="92" t="str">
        <f>IF(A88="","Pending",IF(H88="","⚠️ Enter Code",IF(IFERROR(VLOOKUP(G88,DB_Agents!$B:$I,8,0),"")=H88,IF(AND(A88&lt;&gt;"",E88&lt;&gt;""),"Saved","Pending"),"🔒 BLOCKED — Wrong Code")))</f>
        <v>Pending</v>
      </c>
      <c r="J88" s="93" t="str">
        <f t="shared" ca="1" si="8"/>
        <v>—</v>
      </c>
      <c r="K88" s="94"/>
    </row>
    <row r="89" spans="1:11" x14ac:dyDescent="0.25">
      <c r="A89" s="79"/>
      <c r="B89" s="21" t="str">
        <f>IF(A89="","",IFERROR(VLOOKUP(A89,DB_Customers!$A:$D,4,0),"❌ Account Not Found"))</f>
        <v/>
      </c>
      <c r="C89" s="80" t="str">
        <f>IF(A89="","",IFERROR(VLOOKUP(A89,DB_Customers!$A:$N,14,0),""))</f>
        <v/>
      </c>
      <c r="D89" s="81" t="str">
        <f t="shared" ca="1" si="6"/>
        <v/>
      </c>
      <c r="E89" s="82"/>
      <c r="F89" s="83" t="str">
        <f t="shared" si="7"/>
        <v/>
      </c>
      <c r="G89" s="23"/>
      <c r="H89" s="84"/>
      <c r="I89" s="85" t="str">
        <f>IF(A89="","Pending",IF(H89="","⚠️ Enter Code",IF(IFERROR(VLOOKUP(G89,DB_Agents!$B:$I,8,0),"")=H89,IF(AND(A89&lt;&gt;"",E89&lt;&gt;""),"Saved","Pending"),"🔒 BLOCKED — Wrong Code")))</f>
        <v>Pending</v>
      </c>
      <c r="J89" s="86" t="str">
        <f t="shared" ca="1" si="8"/>
        <v>—</v>
      </c>
      <c r="K89" s="87"/>
    </row>
    <row r="90" spans="1:11" x14ac:dyDescent="0.25">
      <c r="A90" s="88"/>
      <c r="B90" s="25" t="str">
        <f>IF(A90="","",IFERROR(VLOOKUP(A90,DB_Customers!$A:$D,4,0),"❌ Account Not Found"))</f>
        <v/>
      </c>
      <c r="C90" s="89" t="str">
        <f>IF(A90="","",IFERROR(VLOOKUP(A90,DB_Customers!$A:$N,14,0),""))</f>
        <v/>
      </c>
      <c r="D90" s="90" t="str">
        <f t="shared" ca="1" si="6"/>
        <v/>
      </c>
      <c r="E90" s="82"/>
      <c r="F90" s="91" t="str">
        <f t="shared" si="7"/>
        <v/>
      </c>
      <c r="G90" s="27"/>
      <c r="H90" s="84"/>
      <c r="I90" s="92" t="str">
        <f>IF(A90="","Pending",IF(H90="","⚠️ Enter Code",IF(IFERROR(VLOOKUP(G90,DB_Agents!$B:$I,8,0),"")=H90,IF(AND(A90&lt;&gt;"",E90&lt;&gt;""),"Saved","Pending"),"🔒 BLOCKED — Wrong Code")))</f>
        <v>Pending</v>
      </c>
      <c r="J90" s="93" t="str">
        <f t="shared" ca="1" si="8"/>
        <v>—</v>
      </c>
      <c r="K90" s="94"/>
    </row>
    <row r="91" spans="1:11" x14ac:dyDescent="0.25">
      <c r="A91" s="79"/>
      <c r="B91" s="21" t="str">
        <f>IF(A91="","",IFERROR(VLOOKUP(A91,DB_Customers!$A:$D,4,0),"❌ Account Not Found"))</f>
        <v/>
      </c>
      <c r="C91" s="80" t="str">
        <f>IF(A91="","",IFERROR(VLOOKUP(A91,DB_Customers!$A:$N,14,0),""))</f>
        <v/>
      </c>
      <c r="D91" s="81" t="str">
        <f t="shared" ca="1" si="6"/>
        <v/>
      </c>
      <c r="E91" s="82"/>
      <c r="F91" s="83" t="str">
        <f t="shared" si="7"/>
        <v/>
      </c>
      <c r="G91" s="23"/>
      <c r="H91" s="84"/>
      <c r="I91" s="85" t="str">
        <f>IF(A91="","Pending",IF(H91="","⚠️ Enter Code",IF(IFERROR(VLOOKUP(G91,DB_Agents!$B:$I,8,0),"")=H91,IF(AND(A91&lt;&gt;"",E91&lt;&gt;""),"Saved","Pending"),"🔒 BLOCKED — Wrong Code")))</f>
        <v>Pending</v>
      </c>
      <c r="J91" s="86" t="str">
        <f t="shared" ca="1" si="8"/>
        <v>—</v>
      </c>
      <c r="K91" s="87"/>
    </row>
    <row r="92" spans="1:11" x14ac:dyDescent="0.25">
      <c r="A92" s="88"/>
      <c r="B92" s="25" t="str">
        <f>IF(A92="","",IFERROR(VLOOKUP(A92,DB_Customers!$A:$D,4,0),"❌ Account Not Found"))</f>
        <v/>
      </c>
      <c r="C92" s="89" t="str">
        <f>IF(A92="","",IFERROR(VLOOKUP(A92,DB_Customers!$A:$N,14,0),""))</f>
        <v/>
      </c>
      <c r="D92" s="90" t="str">
        <f t="shared" ca="1" si="6"/>
        <v/>
      </c>
      <c r="E92" s="82"/>
      <c r="F92" s="91" t="str">
        <f t="shared" si="7"/>
        <v/>
      </c>
      <c r="G92" s="27"/>
      <c r="H92" s="84"/>
      <c r="I92" s="92" t="str">
        <f>IF(A92="","Pending",IF(H92="","⚠️ Enter Code",IF(IFERROR(VLOOKUP(G92,DB_Agents!$B:$I,8,0),"")=H92,IF(AND(A92&lt;&gt;"",E92&lt;&gt;""),"Saved","Pending"),"🔒 BLOCKED — Wrong Code")))</f>
        <v>Pending</v>
      </c>
      <c r="J92" s="93" t="str">
        <f t="shared" ca="1" si="8"/>
        <v>—</v>
      </c>
      <c r="K92" s="94"/>
    </row>
    <row r="93" spans="1:11" x14ac:dyDescent="0.25">
      <c r="A93" s="79"/>
      <c r="B93" s="21" t="str">
        <f>IF(A93="","",IFERROR(VLOOKUP(A93,DB_Customers!$A:$D,4,0),"❌ Account Not Found"))</f>
        <v/>
      </c>
      <c r="C93" s="80" t="str">
        <f>IF(A93="","",IFERROR(VLOOKUP(A93,DB_Customers!$A:$N,14,0),""))</f>
        <v/>
      </c>
      <c r="D93" s="81" t="str">
        <f t="shared" ca="1" si="6"/>
        <v/>
      </c>
      <c r="E93" s="82"/>
      <c r="F93" s="83" t="str">
        <f t="shared" si="7"/>
        <v/>
      </c>
      <c r="G93" s="23"/>
      <c r="H93" s="84"/>
      <c r="I93" s="85" t="str">
        <f>IF(A93="","Pending",IF(H93="","⚠️ Enter Code",IF(IFERROR(VLOOKUP(G93,DB_Agents!$B:$I,8,0),"")=H93,IF(AND(A93&lt;&gt;"",E93&lt;&gt;""),"Saved","Pending"),"🔒 BLOCKED — Wrong Code")))</f>
        <v>Pending</v>
      </c>
      <c r="J93" s="86" t="str">
        <f t="shared" ca="1" si="8"/>
        <v>—</v>
      </c>
      <c r="K93" s="87"/>
    </row>
    <row r="94" spans="1:11" x14ac:dyDescent="0.25">
      <c r="A94" s="88"/>
      <c r="B94" s="25" t="str">
        <f>IF(A94="","",IFERROR(VLOOKUP(A94,DB_Customers!$A:$D,4,0),"❌ Account Not Found"))</f>
        <v/>
      </c>
      <c r="C94" s="89" t="str">
        <f>IF(A94="","",IFERROR(VLOOKUP(A94,DB_Customers!$A:$N,14,0),""))</f>
        <v/>
      </c>
      <c r="D94" s="90" t="str">
        <f t="shared" ca="1" si="6"/>
        <v/>
      </c>
      <c r="E94" s="82"/>
      <c r="F94" s="91" t="str">
        <f t="shared" si="7"/>
        <v/>
      </c>
      <c r="G94" s="27"/>
      <c r="H94" s="84"/>
      <c r="I94" s="92" t="str">
        <f>IF(A94="","Pending",IF(H94="","⚠️ Enter Code",IF(IFERROR(VLOOKUP(G94,DB_Agents!$B:$I,8,0),"")=H94,IF(AND(A94&lt;&gt;"",E94&lt;&gt;""),"Saved","Pending"),"🔒 BLOCKED — Wrong Code")))</f>
        <v>Pending</v>
      </c>
      <c r="J94" s="93" t="str">
        <f t="shared" ca="1" si="8"/>
        <v>—</v>
      </c>
      <c r="K94" s="94"/>
    </row>
    <row r="95" spans="1:11" x14ac:dyDescent="0.25">
      <c r="A95" s="79"/>
      <c r="B95" s="21" t="str">
        <f>IF(A95="","",IFERROR(VLOOKUP(A95,DB_Customers!$A:$D,4,0),"❌ Account Not Found"))</f>
        <v/>
      </c>
      <c r="C95" s="80" t="str">
        <f>IF(A95="","",IFERROR(VLOOKUP(A95,DB_Customers!$A:$N,14,0),""))</f>
        <v/>
      </c>
      <c r="D95" s="81" t="str">
        <f t="shared" ca="1" si="6"/>
        <v/>
      </c>
      <c r="E95" s="82"/>
      <c r="F95" s="83" t="str">
        <f t="shared" si="7"/>
        <v/>
      </c>
      <c r="G95" s="23"/>
      <c r="H95" s="84"/>
      <c r="I95" s="85" t="str">
        <f>IF(A95="","Pending",IF(H95="","⚠️ Enter Code",IF(IFERROR(VLOOKUP(G95,DB_Agents!$B:$I,8,0),"")=H95,IF(AND(A95&lt;&gt;"",E95&lt;&gt;""),"Saved","Pending"),"🔒 BLOCKED — Wrong Code")))</f>
        <v>Pending</v>
      </c>
      <c r="J95" s="86" t="str">
        <f t="shared" ca="1" si="8"/>
        <v>—</v>
      </c>
      <c r="K95" s="87"/>
    </row>
    <row r="96" spans="1:11" x14ac:dyDescent="0.25">
      <c r="A96" s="88"/>
      <c r="B96" s="25" t="str">
        <f>IF(A96="","",IFERROR(VLOOKUP(A96,DB_Customers!$A:$D,4,0),"❌ Account Not Found"))</f>
        <v/>
      </c>
      <c r="C96" s="89" t="str">
        <f>IF(A96="","",IFERROR(VLOOKUP(A96,DB_Customers!$A:$N,14,0),""))</f>
        <v/>
      </c>
      <c r="D96" s="90" t="str">
        <f t="shared" ca="1" si="6"/>
        <v/>
      </c>
      <c r="E96" s="82"/>
      <c r="F96" s="91" t="str">
        <f t="shared" si="7"/>
        <v/>
      </c>
      <c r="G96" s="27"/>
      <c r="H96" s="84"/>
      <c r="I96" s="92" t="str">
        <f>IF(A96="","Pending",IF(H96="","⚠️ Enter Code",IF(IFERROR(VLOOKUP(G96,DB_Agents!$B:$I,8,0),"")=H96,IF(AND(A96&lt;&gt;"",E96&lt;&gt;""),"Saved","Pending"),"🔒 BLOCKED — Wrong Code")))</f>
        <v>Pending</v>
      </c>
      <c r="J96" s="93" t="str">
        <f t="shared" ca="1" si="8"/>
        <v>—</v>
      </c>
      <c r="K96" s="94"/>
    </row>
    <row r="97" spans="1:11" x14ac:dyDescent="0.25">
      <c r="A97" s="79"/>
      <c r="B97" s="21" t="str">
        <f>IF(A97="","",IFERROR(VLOOKUP(A97,DB_Customers!$A:$D,4,0),"❌ Account Not Found"))</f>
        <v/>
      </c>
      <c r="C97" s="80" t="str">
        <f>IF(A97="","",IFERROR(VLOOKUP(A97,DB_Customers!$A:$N,14,0),""))</f>
        <v/>
      </c>
      <c r="D97" s="81" t="str">
        <f t="shared" ca="1" si="6"/>
        <v/>
      </c>
      <c r="E97" s="82"/>
      <c r="F97" s="83" t="str">
        <f t="shared" si="7"/>
        <v/>
      </c>
      <c r="G97" s="23"/>
      <c r="H97" s="84"/>
      <c r="I97" s="85" t="str">
        <f>IF(A97="","Pending",IF(H97="","⚠️ Enter Code",IF(IFERROR(VLOOKUP(G97,DB_Agents!$B:$I,8,0),"")=H97,IF(AND(A97&lt;&gt;"",E97&lt;&gt;""),"Saved","Pending"),"🔒 BLOCKED — Wrong Code")))</f>
        <v>Pending</v>
      </c>
      <c r="J97" s="86" t="str">
        <f t="shared" ca="1" si="8"/>
        <v>—</v>
      </c>
      <c r="K97" s="87"/>
    </row>
    <row r="98" spans="1:11" x14ac:dyDescent="0.25">
      <c r="A98" s="88"/>
      <c r="B98" s="25" t="str">
        <f>IF(A98="","",IFERROR(VLOOKUP(A98,DB_Customers!$A:$D,4,0),"❌ Account Not Found"))</f>
        <v/>
      </c>
      <c r="C98" s="89" t="str">
        <f>IF(A98="","",IFERROR(VLOOKUP(A98,DB_Customers!$A:$N,14,0),""))</f>
        <v/>
      </c>
      <c r="D98" s="90" t="str">
        <f t="shared" ca="1" si="6"/>
        <v/>
      </c>
      <c r="E98" s="82"/>
      <c r="F98" s="91" t="str">
        <f t="shared" si="7"/>
        <v/>
      </c>
      <c r="G98" s="27"/>
      <c r="H98" s="84"/>
      <c r="I98" s="92" t="str">
        <f>IF(A98="","Pending",IF(H98="","⚠️ Enter Code",IF(IFERROR(VLOOKUP(G98,DB_Agents!$B:$I,8,0),"")=H98,IF(AND(A98&lt;&gt;"",E98&lt;&gt;""),"Saved","Pending"),"🔒 BLOCKED — Wrong Code")))</f>
        <v>Pending</v>
      </c>
      <c r="J98" s="93" t="str">
        <f t="shared" ca="1" si="8"/>
        <v>—</v>
      </c>
      <c r="K98" s="94"/>
    </row>
    <row r="99" spans="1:11" x14ac:dyDescent="0.25">
      <c r="A99" s="79"/>
      <c r="B99" s="21" t="str">
        <f>IF(A99="","",IFERROR(VLOOKUP(A99,DB_Customers!$A:$D,4,0),"❌ Account Not Found"))</f>
        <v/>
      </c>
      <c r="C99" s="80" t="str">
        <f>IF(A99="","",IFERROR(VLOOKUP(A99,DB_Customers!$A:$N,14,0),""))</f>
        <v/>
      </c>
      <c r="D99" s="81" t="str">
        <f t="shared" ca="1" si="6"/>
        <v/>
      </c>
      <c r="E99" s="82"/>
      <c r="F99" s="83" t="str">
        <f t="shared" si="7"/>
        <v/>
      </c>
      <c r="G99" s="23"/>
      <c r="H99" s="84"/>
      <c r="I99" s="85" t="str">
        <f>IF(A99="","Pending",IF(H99="","⚠️ Enter Code",IF(IFERROR(VLOOKUP(G99,DB_Agents!$B:$I,8,0),"")=H99,IF(AND(A99&lt;&gt;"",E99&lt;&gt;""),"Saved","Pending"),"🔒 BLOCKED — Wrong Code")))</f>
        <v>Pending</v>
      </c>
      <c r="J99" s="86" t="str">
        <f t="shared" ca="1" si="8"/>
        <v>—</v>
      </c>
      <c r="K99" s="87"/>
    </row>
    <row r="100" spans="1:11" x14ac:dyDescent="0.25">
      <c r="A100" s="88"/>
      <c r="B100" s="25" t="str">
        <f>IF(A100="","",IFERROR(VLOOKUP(A100,DB_Customers!$A:$D,4,0),"❌ Account Not Found"))</f>
        <v/>
      </c>
      <c r="C100" s="89" t="str">
        <f>IF(A100="","",IFERROR(VLOOKUP(A100,DB_Customers!$A:$N,14,0),""))</f>
        <v/>
      </c>
      <c r="D100" s="90" t="str">
        <f t="shared" ca="1" si="6"/>
        <v/>
      </c>
      <c r="E100" s="82"/>
      <c r="F100" s="91" t="str">
        <f t="shared" si="7"/>
        <v/>
      </c>
      <c r="G100" s="27"/>
      <c r="H100" s="84"/>
      <c r="I100" s="92" t="str">
        <f>IF(A100="","Pending",IF(H100="","⚠️ Enter Code",IF(IFERROR(VLOOKUP(G100,DB_Agents!$B:$I,8,0),"")=H100,IF(AND(A100&lt;&gt;"",E100&lt;&gt;""),"Saved","Pending"),"🔒 BLOCKED — Wrong Code")))</f>
        <v>Pending</v>
      </c>
      <c r="J100" s="93" t="str">
        <f t="shared" ca="1" si="8"/>
        <v>—</v>
      </c>
      <c r="K100" s="94"/>
    </row>
    <row r="101" spans="1:11" x14ac:dyDescent="0.25">
      <c r="A101" s="79"/>
      <c r="B101" s="21" t="str">
        <f>IF(A101="","",IFERROR(VLOOKUP(A101,DB_Customers!$A:$D,4,0),"❌ Account Not Found"))</f>
        <v/>
      </c>
      <c r="C101" s="80" t="str">
        <f>IF(A101="","",IFERROR(VLOOKUP(A101,DB_Customers!$A:$N,14,0),""))</f>
        <v/>
      </c>
      <c r="D101" s="81" t="str">
        <f t="shared" ca="1" si="6"/>
        <v/>
      </c>
      <c r="E101" s="82"/>
      <c r="F101" s="83" t="str">
        <f t="shared" si="7"/>
        <v/>
      </c>
      <c r="G101" s="23"/>
      <c r="H101" s="84"/>
      <c r="I101" s="85" t="str">
        <f>IF(A101="","Pending",IF(H101="","⚠️ Enter Code",IF(IFERROR(VLOOKUP(G101,DB_Agents!$B:$I,8,0),"")=H101,IF(AND(A101&lt;&gt;"",E101&lt;&gt;""),"Saved","Pending"),"🔒 BLOCKED — Wrong Code")))</f>
        <v>Pending</v>
      </c>
      <c r="J101" s="86" t="str">
        <f t="shared" ca="1" si="8"/>
        <v>—</v>
      </c>
      <c r="K101" s="87"/>
    </row>
    <row r="102" spans="1:11" x14ac:dyDescent="0.25">
      <c r="A102" s="88"/>
      <c r="B102" s="25" t="str">
        <f>IF(A102="","",IFERROR(VLOOKUP(A102,DB_Customers!$A:$D,4,0),"❌ Account Not Found"))</f>
        <v/>
      </c>
      <c r="C102" s="89" t="str">
        <f>IF(A102="","",IFERROR(VLOOKUP(A102,DB_Customers!$A:$N,14,0),""))</f>
        <v/>
      </c>
      <c r="D102" s="90" t="str">
        <f t="shared" ca="1" si="6"/>
        <v/>
      </c>
      <c r="E102" s="82"/>
      <c r="F102" s="91" t="str">
        <f t="shared" si="7"/>
        <v/>
      </c>
      <c r="G102" s="27"/>
      <c r="H102" s="84"/>
      <c r="I102" s="92" t="str">
        <f>IF(A102="","Pending",IF(H102="","⚠️ Enter Code",IF(IFERROR(VLOOKUP(G102,DB_Agents!$B:$I,8,0),"")=H102,IF(AND(A102&lt;&gt;"",E102&lt;&gt;""),"Saved","Pending"),"🔒 BLOCKED — Wrong Code")))</f>
        <v>Pending</v>
      </c>
      <c r="J102" s="93" t="str">
        <f t="shared" ca="1" si="8"/>
        <v>—</v>
      </c>
      <c r="K102" s="94"/>
    </row>
    <row r="103" spans="1:11" x14ac:dyDescent="0.25">
      <c r="A103" s="79"/>
      <c r="B103" s="21" t="str">
        <f>IF(A103="","",IFERROR(VLOOKUP(A103,DB_Customers!$A:$D,4,0),"❌ Account Not Found"))</f>
        <v/>
      </c>
      <c r="C103" s="80" t="str">
        <f>IF(A103="","",IFERROR(VLOOKUP(A103,DB_Customers!$A:$N,14,0),""))</f>
        <v/>
      </c>
      <c r="D103" s="81" t="str">
        <f t="shared" ca="1" si="6"/>
        <v/>
      </c>
      <c r="E103" s="82"/>
      <c r="F103" s="83" t="str">
        <f t="shared" si="7"/>
        <v/>
      </c>
      <c r="G103" s="23"/>
      <c r="H103" s="84"/>
      <c r="I103" s="85" t="str">
        <f>IF(A103="","Pending",IF(H103="","⚠️ Enter Code",IF(IFERROR(VLOOKUP(G103,DB_Agents!$B:$I,8,0),"")=H103,IF(AND(A103&lt;&gt;"",E103&lt;&gt;""),"Saved","Pending"),"🔒 BLOCKED — Wrong Code")))</f>
        <v>Pending</v>
      </c>
      <c r="J103" s="86" t="str">
        <f t="shared" ca="1" si="8"/>
        <v>—</v>
      </c>
      <c r="K103" s="87"/>
    </row>
    <row r="104" spans="1:11" x14ac:dyDescent="0.25">
      <c r="A104" s="88"/>
      <c r="B104" s="25" t="str">
        <f>IF(A104="","",IFERROR(VLOOKUP(A104,DB_Customers!$A:$D,4,0),"❌ Account Not Found"))</f>
        <v/>
      </c>
      <c r="C104" s="89" t="str">
        <f>IF(A104="","",IFERROR(VLOOKUP(A104,DB_Customers!$A:$N,14,0),""))</f>
        <v/>
      </c>
      <c r="D104" s="90" t="str">
        <f t="shared" ca="1" si="6"/>
        <v/>
      </c>
      <c r="E104" s="82"/>
      <c r="F104" s="91" t="str">
        <f t="shared" si="7"/>
        <v/>
      </c>
      <c r="G104" s="27"/>
      <c r="H104" s="84"/>
      <c r="I104" s="92" t="str">
        <f>IF(A104="","Pending",IF(H104="","⚠️ Enter Code",IF(IFERROR(VLOOKUP(G104,DB_Agents!$B:$I,8,0),"")=H104,IF(AND(A104&lt;&gt;"",E104&lt;&gt;""),"Saved","Pending"),"🔒 BLOCKED — Wrong Code")))</f>
        <v>Pending</v>
      </c>
      <c r="J104" s="93" t="str">
        <f t="shared" ca="1" si="8"/>
        <v>—</v>
      </c>
      <c r="K104" s="94"/>
    </row>
    <row r="105" spans="1:11" x14ac:dyDescent="0.25">
      <c r="A105" s="79"/>
      <c r="B105" s="21" t="str">
        <f>IF(A105="","",IFERROR(VLOOKUP(A105,DB_Customers!$A:$D,4,0),"❌ Account Not Found"))</f>
        <v/>
      </c>
      <c r="C105" s="80" t="str">
        <f>IF(A105="","",IFERROR(VLOOKUP(A105,DB_Customers!$A:$N,14,0),""))</f>
        <v/>
      </c>
      <c r="D105" s="81" t="str">
        <f t="shared" ref="D105:D136" ca="1" si="9">IF(A105="","",TODAY())</f>
        <v/>
      </c>
      <c r="E105" s="82"/>
      <c r="F105" s="83" t="str">
        <f t="shared" ref="F105:F136" si="10">IF(OR(A105="",E105=""),"",IF(C105="","",C105+E105))</f>
        <v/>
      </c>
      <c r="G105" s="23"/>
      <c r="H105" s="84"/>
      <c r="I105" s="85" t="str">
        <f>IF(A105="","Pending",IF(H105="","⚠️ Enter Code",IF(IFERROR(VLOOKUP(G105,DB_Agents!$B:$I,8,0),"")=H105,IF(AND(A105&lt;&gt;"",E105&lt;&gt;""),"Saved","Pending"),"🔒 BLOCKED — Wrong Code")))</f>
        <v>Pending</v>
      </c>
      <c r="J105" s="86" t="str">
        <f t="shared" ref="J105:J136" ca="1" si="11">IF(I105="Saved",TEXT(TODAY(),"YYYY-MM-DD")&amp;" Auto","—")</f>
        <v>—</v>
      </c>
      <c r="K105" s="87"/>
    </row>
    <row r="106" spans="1:11" x14ac:dyDescent="0.25">
      <c r="A106" s="88"/>
      <c r="B106" s="25" t="str">
        <f>IF(A106="","",IFERROR(VLOOKUP(A106,DB_Customers!$A:$D,4,0),"❌ Account Not Found"))</f>
        <v/>
      </c>
      <c r="C106" s="89" t="str">
        <f>IF(A106="","",IFERROR(VLOOKUP(A106,DB_Customers!$A:$N,14,0),""))</f>
        <v/>
      </c>
      <c r="D106" s="90" t="str">
        <f t="shared" ca="1" si="9"/>
        <v/>
      </c>
      <c r="E106" s="82"/>
      <c r="F106" s="91" t="str">
        <f t="shared" si="10"/>
        <v/>
      </c>
      <c r="G106" s="27"/>
      <c r="H106" s="84"/>
      <c r="I106" s="92" t="str">
        <f>IF(A106="","Pending",IF(H106="","⚠️ Enter Code",IF(IFERROR(VLOOKUP(G106,DB_Agents!$B:$I,8,0),"")=H106,IF(AND(A106&lt;&gt;"",E106&lt;&gt;""),"Saved","Pending"),"🔒 BLOCKED — Wrong Code")))</f>
        <v>Pending</v>
      </c>
      <c r="J106" s="93" t="str">
        <f t="shared" ca="1" si="11"/>
        <v>—</v>
      </c>
      <c r="K106" s="94"/>
    </row>
    <row r="107" spans="1:11" x14ac:dyDescent="0.25">
      <c r="A107" s="79"/>
      <c r="B107" s="21" t="str">
        <f>IF(A107="","",IFERROR(VLOOKUP(A107,DB_Customers!$A:$D,4,0),"❌ Account Not Found"))</f>
        <v/>
      </c>
      <c r="C107" s="80" t="str">
        <f>IF(A107="","",IFERROR(VLOOKUP(A107,DB_Customers!$A:$N,14,0),""))</f>
        <v/>
      </c>
      <c r="D107" s="81" t="str">
        <f t="shared" ca="1" si="9"/>
        <v/>
      </c>
      <c r="E107" s="82"/>
      <c r="F107" s="83" t="str">
        <f t="shared" si="10"/>
        <v/>
      </c>
      <c r="G107" s="23"/>
      <c r="H107" s="84"/>
      <c r="I107" s="85" t="str">
        <f>IF(A107="","Pending",IF(H107="","⚠️ Enter Code",IF(IFERROR(VLOOKUP(G107,DB_Agents!$B:$I,8,0),"")=H107,IF(AND(A107&lt;&gt;"",E107&lt;&gt;""),"Saved","Pending"),"🔒 BLOCKED — Wrong Code")))</f>
        <v>Pending</v>
      </c>
      <c r="J107" s="86" t="str">
        <f t="shared" ca="1" si="11"/>
        <v>—</v>
      </c>
      <c r="K107" s="87"/>
    </row>
    <row r="108" spans="1:11" x14ac:dyDescent="0.25">
      <c r="A108" s="88"/>
      <c r="B108" s="25" t="str">
        <f>IF(A108="","",IFERROR(VLOOKUP(A108,DB_Customers!$A:$D,4,0),"❌ Account Not Found"))</f>
        <v/>
      </c>
      <c r="C108" s="89" t="str">
        <f>IF(A108="","",IFERROR(VLOOKUP(A108,DB_Customers!$A:$N,14,0),""))</f>
        <v/>
      </c>
      <c r="D108" s="90" t="str">
        <f t="shared" ca="1" si="9"/>
        <v/>
      </c>
      <c r="E108" s="82"/>
      <c r="F108" s="91" t="str">
        <f t="shared" si="10"/>
        <v/>
      </c>
      <c r="G108" s="27"/>
      <c r="H108" s="84"/>
      <c r="I108" s="92" t="str">
        <f>IF(A108="","Pending",IF(H108="","⚠️ Enter Code",IF(IFERROR(VLOOKUP(G108,DB_Agents!$B:$I,8,0),"")=H108,IF(AND(A108&lt;&gt;"",E108&lt;&gt;""),"Saved","Pending"),"🔒 BLOCKED — Wrong Code")))</f>
        <v>Pending</v>
      </c>
      <c r="J108" s="93" t="str">
        <f t="shared" ca="1" si="11"/>
        <v>—</v>
      </c>
      <c r="K108" s="94"/>
    </row>
    <row r="109" spans="1:11" x14ac:dyDescent="0.25">
      <c r="A109" s="79"/>
      <c r="B109" s="21" t="str">
        <f>IF(A109="","",IFERROR(VLOOKUP(A109,DB_Customers!$A:$D,4,0),"❌ Account Not Found"))</f>
        <v/>
      </c>
      <c r="C109" s="80" t="str">
        <f>IF(A109="","",IFERROR(VLOOKUP(A109,DB_Customers!$A:$N,14,0),""))</f>
        <v/>
      </c>
      <c r="D109" s="81" t="str">
        <f t="shared" ca="1" si="9"/>
        <v/>
      </c>
      <c r="E109" s="82"/>
      <c r="F109" s="83" t="str">
        <f t="shared" si="10"/>
        <v/>
      </c>
      <c r="G109" s="23"/>
      <c r="H109" s="84"/>
      <c r="I109" s="85" t="str">
        <f>IF(A109="","Pending",IF(H109="","⚠️ Enter Code",IF(IFERROR(VLOOKUP(G109,DB_Agents!$B:$I,8,0),"")=H109,IF(AND(A109&lt;&gt;"",E109&lt;&gt;""),"Saved","Pending"),"🔒 BLOCKED — Wrong Code")))</f>
        <v>Pending</v>
      </c>
      <c r="J109" s="86" t="str">
        <f t="shared" ca="1" si="11"/>
        <v>—</v>
      </c>
      <c r="K109" s="87"/>
    </row>
    <row r="110" spans="1:11" x14ac:dyDescent="0.25">
      <c r="A110" s="88"/>
      <c r="B110" s="25" t="str">
        <f>IF(A110="","",IFERROR(VLOOKUP(A110,DB_Customers!$A:$D,4,0),"❌ Account Not Found"))</f>
        <v/>
      </c>
      <c r="C110" s="89" t="str">
        <f>IF(A110="","",IFERROR(VLOOKUP(A110,DB_Customers!$A:$N,14,0),""))</f>
        <v/>
      </c>
      <c r="D110" s="90" t="str">
        <f t="shared" ca="1" si="9"/>
        <v/>
      </c>
      <c r="E110" s="82"/>
      <c r="F110" s="91" t="str">
        <f t="shared" si="10"/>
        <v/>
      </c>
      <c r="G110" s="27"/>
      <c r="H110" s="84"/>
      <c r="I110" s="92" t="str">
        <f>IF(A110="","Pending",IF(H110="","⚠️ Enter Code",IF(IFERROR(VLOOKUP(G110,DB_Agents!$B:$I,8,0),"")=H110,IF(AND(A110&lt;&gt;"",E110&lt;&gt;""),"Saved","Pending"),"🔒 BLOCKED — Wrong Code")))</f>
        <v>Pending</v>
      </c>
      <c r="J110" s="93" t="str">
        <f t="shared" ca="1" si="11"/>
        <v>—</v>
      </c>
      <c r="K110" s="94"/>
    </row>
    <row r="111" spans="1:11" x14ac:dyDescent="0.25">
      <c r="A111" s="79"/>
      <c r="B111" s="21" t="str">
        <f>IF(A111="","",IFERROR(VLOOKUP(A111,DB_Customers!$A:$D,4,0),"❌ Account Not Found"))</f>
        <v/>
      </c>
      <c r="C111" s="80" t="str">
        <f>IF(A111="","",IFERROR(VLOOKUP(A111,DB_Customers!$A:$N,14,0),""))</f>
        <v/>
      </c>
      <c r="D111" s="81" t="str">
        <f t="shared" ca="1" si="9"/>
        <v/>
      </c>
      <c r="E111" s="82"/>
      <c r="F111" s="83" t="str">
        <f t="shared" si="10"/>
        <v/>
      </c>
      <c r="G111" s="23"/>
      <c r="H111" s="84"/>
      <c r="I111" s="85" t="str">
        <f>IF(A111="","Pending",IF(H111="","⚠️ Enter Code",IF(IFERROR(VLOOKUP(G111,DB_Agents!$B:$I,8,0),"")=H111,IF(AND(A111&lt;&gt;"",E111&lt;&gt;""),"Saved","Pending"),"🔒 BLOCKED — Wrong Code")))</f>
        <v>Pending</v>
      </c>
      <c r="J111" s="86" t="str">
        <f t="shared" ca="1" si="11"/>
        <v>—</v>
      </c>
      <c r="K111" s="87"/>
    </row>
    <row r="112" spans="1:11" x14ac:dyDescent="0.25">
      <c r="A112" s="88"/>
      <c r="B112" s="25" t="str">
        <f>IF(A112="","",IFERROR(VLOOKUP(A112,DB_Customers!$A:$D,4,0),"❌ Account Not Found"))</f>
        <v/>
      </c>
      <c r="C112" s="89" t="str">
        <f>IF(A112="","",IFERROR(VLOOKUP(A112,DB_Customers!$A:$N,14,0),""))</f>
        <v/>
      </c>
      <c r="D112" s="90" t="str">
        <f t="shared" ca="1" si="9"/>
        <v/>
      </c>
      <c r="E112" s="82"/>
      <c r="F112" s="91" t="str">
        <f t="shared" si="10"/>
        <v/>
      </c>
      <c r="G112" s="27"/>
      <c r="H112" s="84"/>
      <c r="I112" s="92" t="str">
        <f>IF(A112="","Pending",IF(H112="","⚠️ Enter Code",IF(IFERROR(VLOOKUP(G112,DB_Agents!$B:$I,8,0),"")=H112,IF(AND(A112&lt;&gt;"",E112&lt;&gt;""),"Saved","Pending"),"🔒 BLOCKED — Wrong Code")))</f>
        <v>Pending</v>
      </c>
      <c r="J112" s="93" t="str">
        <f t="shared" ca="1" si="11"/>
        <v>—</v>
      </c>
      <c r="K112" s="94"/>
    </row>
    <row r="113" spans="1:11" x14ac:dyDescent="0.25">
      <c r="A113" s="79"/>
      <c r="B113" s="21" t="str">
        <f>IF(A113="","",IFERROR(VLOOKUP(A113,DB_Customers!$A:$D,4,0),"❌ Account Not Found"))</f>
        <v/>
      </c>
      <c r="C113" s="80" t="str">
        <f>IF(A113="","",IFERROR(VLOOKUP(A113,DB_Customers!$A:$N,14,0),""))</f>
        <v/>
      </c>
      <c r="D113" s="81" t="str">
        <f t="shared" ca="1" si="9"/>
        <v/>
      </c>
      <c r="E113" s="82"/>
      <c r="F113" s="83" t="str">
        <f t="shared" si="10"/>
        <v/>
      </c>
      <c r="G113" s="23"/>
      <c r="H113" s="84"/>
      <c r="I113" s="85" t="str">
        <f>IF(A113="","Pending",IF(H113="","⚠️ Enter Code",IF(IFERROR(VLOOKUP(G113,DB_Agents!$B:$I,8,0),"")=H113,IF(AND(A113&lt;&gt;"",E113&lt;&gt;""),"Saved","Pending"),"🔒 BLOCKED — Wrong Code")))</f>
        <v>Pending</v>
      </c>
      <c r="J113" s="86" t="str">
        <f t="shared" ca="1" si="11"/>
        <v>—</v>
      </c>
      <c r="K113" s="87"/>
    </row>
    <row r="114" spans="1:11" x14ac:dyDescent="0.25">
      <c r="A114" s="88"/>
      <c r="B114" s="25" t="str">
        <f>IF(A114="","",IFERROR(VLOOKUP(A114,DB_Customers!$A:$D,4,0),"❌ Account Not Found"))</f>
        <v/>
      </c>
      <c r="C114" s="89" t="str">
        <f>IF(A114="","",IFERROR(VLOOKUP(A114,DB_Customers!$A:$N,14,0),""))</f>
        <v/>
      </c>
      <c r="D114" s="90" t="str">
        <f t="shared" ca="1" si="9"/>
        <v/>
      </c>
      <c r="E114" s="82"/>
      <c r="F114" s="91" t="str">
        <f t="shared" si="10"/>
        <v/>
      </c>
      <c r="G114" s="27"/>
      <c r="H114" s="84"/>
      <c r="I114" s="92" t="str">
        <f>IF(A114="","Pending",IF(H114="","⚠️ Enter Code",IF(IFERROR(VLOOKUP(G114,DB_Agents!$B:$I,8,0),"")=H114,IF(AND(A114&lt;&gt;"",E114&lt;&gt;""),"Saved","Pending"),"🔒 BLOCKED — Wrong Code")))</f>
        <v>Pending</v>
      </c>
      <c r="J114" s="93" t="str">
        <f t="shared" ca="1" si="11"/>
        <v>—</v>
      </c>
      <c r="K114" s="94"/>
    </row>
    <row r="115" spans="1:11" x14ac:dyDescent="0.25">
      <c r="A115" s="79"/>
      <c r="B115" s="21" t="str">
        <f>IF(A115="","",IFERROR(VLOOKUP(A115,DB_Customers!$A:$D,4,0),"❌ Account Not Found"))</f>
        <v/>
      </c>
      <c r="C115" s="80" t="str">
        <f>IF(A115="","",IFERROR(VLOOKUP(A115,DB_Customers!$A:$N,14,0),""))</f>
        <v/>
      </c>
      <c r="D115" s="81" t="str">
        <f t="shared" ca="1" si="9"/>
        <v/>
      </c>
      <c r="E115" s="82"/>
      <c r="F115" s="83" t="str">
        <f t="shared" si="10"/>
        <v/>
      </c>
      <c r="G115" s="23"/>
      <c r="H115" s="84"/>
      <c r="I115" s="85" t="str">
        <f>IF(A115="","Pending",IF(H115="","⚠️ Enter Code",IF(IFERROR(VLOOKUP(G115,DB_Agents!$B:$I,8,0),"")=H115,IF(AND(A115&lt;&gt;"",E115&lt;&gt;""),"Saved","Pending"),"🔒 BLOCKED — Wrong Code")))</f>
        <v>Pending</v>
      </c>
      <c r="J115" s="86" t="str">
        <f t="shared" ca="1" si="11"/>
        <v>—</v>
      </c>
      <c r="K115" s="87"/>
    </row>
    <row r="116" spans="1:11" x14ac:dyDescent="0.25">
      <c r="A116" s="88"/>
      <c r="B116" s="25" t="str">
        <f>IF(A116="","",IFERROR(VLOOKUP(A116,DB_Customers!$A:$D,4,0),"❌ Account Not Found"))</f>
        <v/>
      </c>
      <c r="C116" s="89" t="str">
        <f>IF(A116="","",IFERROR(VLOOKUP(A116,DB_Customers!$A:$N,14,0),""))</f>
        <v/>
      </c>
      <c r="D116" s="90" t="str">
        <f t="shared" ca="1" si="9"/>
        <v/>
      </c>
      <c r="E116" s="82"/>
      <c r="F116" s="91" t="str">
        <f t="shared" si="10"/>
        <v/>
      </c>
      <c r="G116" s="27"/>
      <c r="H116" s="84"/>
      <c r="I116" s="92" t="str">
        <f>IF(A116="","Pending",IF(H116="","⚠️ Enter Code",IF(IFERROR(VLOOKUP(G116,DB_Agents!$B:$I,8,0),"")=H116,IF(AND(A116&lt;&gt;"",E116&lt;&gt;""),"Saved","Pending"),"🔒 BLOCKED — Wrong Code")))</f>
        <v>Pending</v>
      </c>
      <c r="J116" s="93" t="str">
        <f t="shared" ca="1" si="11"/>
        <v>—</v>
      </c>
      <c r="K116" s="94"/>
    </row>
    <row r="117" spans="1:11" x14ac:dyDescent="0.25">
      <c r="A117" s="79"/>
      <c r="B117" s="21" t="str">
        <f>IF(A117="","",IFERROR(VLOOKUP(A117,DB_Customers!$A:$D,4,0),"❌ Account Not Found"))</f>
        <v/>
      </c>
      <c r="C117" s="80" t="str">
        <f>IF(A117="","",IFERROR(VLOOKUP(A117,DB_Customers!$A:$N,14,0),""))</f>
        <v/>
      </c>
      <c r="D117" s="81" t="str">
        <f t="shared" ca="1" si="9"/>
        <v/>
      </c>
      <c r="E117" s="82"/>
      <c r="F117" s="83" t="str">
        <f t="shared" si="10"/>
        <v/>
      </c>
      <c r="G117" s="23"/>
      <c r="H117" s="84"/>
      <c r="I117" s="85" t="str">
        <f>IF(A117="","Pending",IF(H117="","⚠️ Enter Code",IF(IFERROR(VLOOKUP(G117,DB_Agents!$B:$I,8,0),"")=H117,IF(AND(A117&lt;&gt;"",E117&lt;&gt;""),"Saved","Pending"),"🔒 BLOCKED — Wrong Code")))</f>
        <v>Pending</v>
      </c>
      <c r="J117" s="86" t="str">
        <f t="shared" ca="1" si="11"/>
        <v>—</v>
      </c>
      <c r="K117" s="87"/>
    </row>
    <row r="118" spans="1:11" x14ac:dyDescent="0.25">
      <c r="A118" s="88"/>
      <c r="B118" s="25" t="str">
        <f>IF(A118="","",IFERROR(VLOOKUP(A118,DB_Customers!$A:$D,4,0),"❌ Account Not Found"))</f>
        <v/>
      </c>
      <c r="C118" s="89" t="str">
        <f>IF(A118="","",IFERROR(VLOOKUP(A118,DB_Customers!$A:$N,14,0),""))</f>
        <v/>
      </c>
      <c r="D118" s="90" t="str">
        <f t="shared" ca="1" si="9"/>
        <v/>
      </c>
      <c r="E118" s="82"/>
      <c r="F118" s="91" t="str">
        <f t="shared" si="10"/>
        <v/>
      </c>
      <c r="G118" s="27"/>
      <c r="H118" s="84"/>
      <c r="I118" s="92" t="str">
        <f>IF(A118="","Pending",IF(H118="","⚠️ Enter Code",IF(IFERROR(VLOOKUP(G118,DB_Agents!$B:$I,8,0),"")=H118,IF(AND(A118&lt;&gt;"",E118&lt;&gt;""),"Saved","Pending"),"🔒 BLOCKED — Wrong Code")))</f>
        <v>Pending</v>
      </c>
      <c r="J118" s="93" t="str">
        <f t="shared" ca="1" si="11"/>
        <v>—</v>
      </c>
      <c r="K118" s="94"/>
    </row>
    <row r="119" spans="1:11" x14ac:dyDescent="0.25">
      <c r="A119" s="79"/>
      <c r="B119" s="21" t="str">
        <f>IF(A119="","",IFERROR(VLOOKUP(A119,DB_Customers!$A:$D,4,0),"❌ Account Not Found"))</f>
        <v/>
      </c>
      <c r="C119" s="80" t="str">
        <f>IF(A119="","",IFERROR(VLOOKUP(A119,DB_Customers!$A:$N,14,0),""))</f>
        <v/>
      </c>
      <c r="D119" s="81" t="str">
        <f t="shared" ca="1" si="9"/>
        <v/>
      </c>
      <c r="E119" s="82"/>
      <c r="F119" s="83" t="str">
        <f t="shared" si="10"/>
        <v/>
      </c>
      <c r="G119" s="23"/>
      <c r="H119" s="84"/>
      <c r="I119" s="85" t="str">
        <f>IF(A119="","Pending",IF(H119="","⚠️ Enter Code",IF(IFERROR(VLOOKUP(G119,DB_Agents!$B:$I,8,0),"")=H119,IF(AND(A119&lt;&gt;"",E119&lt;&gt;""),"Saved","Pending"),"🔒 BLOCKED — Wrong Code")))</f>
        <v>Pending</v>
      </c>
      <c r="J119" s="86" t="str">
        <f t="shared" ca="1" si="11"/>
        <v>—</v>
      </c>
      <c r="K119" s="87"/>
    </row>
    <row r="120" spans="1:11" x14ac:dyDescent="0.25">
      <c r="A120" s="88"/>
      <c r="B120" s="25" t="str">
        <f>IF(A120="","",IFERROR(VLOOKUP(A120,DB_Customers!$A:$D,4,0),"❌ Account Not Found"))</f>
        <v/>
      </c>
      <c r="C120" s="89" t="str">
        <f>IF(A120="","",IFERROR(VLOOKUP(A120,DB_Customers!$A:$N,14,0),""))</f>
        <v/>
      </c>
      <c r="D120" s="90" t="str">
        <f t="shared" ca="1" si="9"/>
        <v/>
      </c>
      <c r="E120" s="82"/>
      <c r="F120" s="91" t="str">
        <f t="shared" si="10"/>
        <v/>
      </c>
      <c r="G120" s="27"/>
      <c r="H120" s="84"/>
      <c r="I120" s="92" t="str">
        <f>IF(A120="","Pending",IF(H120="","⚠️ Enter Code",IF(IFERROR(VLOOKUP(G120,DB_Agents!$B:$I,8,0),"")=H120,IF(AND(A120&lt;&gt;"",E120&lt;&gt;""),"Saved","Pending"),"🔒 BLOCKED — Wrong Code")))</f>
        <v>Pending</v>
      </c>
      <c r="J120" s="93" t="str">
        <f t="shared" ca="1" si="11"/>
        <v>—</v>
      </c>
      <c r="K120" s="94"/>
    </row>
    <row r="121" spans="1:11" x14ac:dyDescent="0.25">
      <c r="A121" s="79"/>
      <c r="B121" s="21" t="str">
        <f>IF(A121="","",IFERROR(VLOOKUP(A121,DB_Customers!$A:$D,4,0),"❌ Account Not Found"))</f>
        <v/>
      </c>
      <c r="C121" s="80" t="str">
        <f>IF(A121="","",IFERROR(VLOOKUP(A121,DB_Customers!$A:$N,14,0),""))</f>
        <v/>
      </c>
      <c r="D121" s="81" t="str">
        <f t="shared" ca="1" si="9"/>
        <v/>
      </c>
      <c r="E121" s="82"/>
      <c r="F121" s="83" t="str">
        <f t="shared" si="10"/>
        <v/>
      </c>
      <c r="G121" s="23"/>
      <c r="H121" s="84"/>
      <c r="I121" s="85" t="str">
        <f>IF(A121="","Pending",IF(H121="","⚠️ Enter Code",IF(IFERROR(VLOOKUP(G121,DB_Agents!$B:$I,8,0),"")=H121,IF(AND(A121&lt;&gt;"",E121&lt;&gt;""),"Saved","Pending"),"🔒 BLOCKED — Wrong Code")))</f>
        <v>Pending</v>
      </c>
      <c r="J121" s="86" t="str">
        <f t="shared" ca="1" si="11"/>
        <v>—</v>
      </c>
      <c r="K121" s="87"/>
    </row>
    <row r="122" spans="1:11" x14ac:dyDescent="0.25">
      <c r="A122" s="88"/>
      <c r="B122" s="25" t="str">
        <f>IF(A122="","",IFERROR(VLOOKUP(A122,DB_Customers!$A:$D,4,0),"❌ Account Not Found"))</f>
        <v/>
      </c>
      <c r="C122" s="89" t="str">
        <f>IF(A122="","",IFERROR(VLOOKUP(A122,DB_Customers!$A:$N,14,0),""))</f>
        <v/>
      </c>
      <c r="D122" s="90" t="str">
        <f t="shared" ca="1" si="9"/>
        <v/>
      </c>
      <c r="E122" s="82"/>
      <c r="F122" s="91" t="str">
        <f t="shared" si="10"/>
        <v/>
      </c>
      <c r="G122" s="27"/>
      <c r="H122" s="84"/>
      <c r="I122" s="92" t="str">
        <f>IF(A122="","Pending",IF(H122="","⚠️ Enter Code",IF(IFERROR(VLOOKUP(G122,DB_Agents!$B:$I,8,0),"")=H122,IF(AND(A122&lt;&gt;"",E122&lt;&gt;""),"Saved","Pending"),"🔒 BLOCKED — Wrong Code")))</f>
        <v>Pending</v>
      </c>
      <c r="J122" s="93" t="str">
        <f t="shared" ca="1" si="11"/>
        <v>—</v>
      </c>
      <c r="K122" s="94"/>
    </row>
    <row r="123" spans="1:11" x14ac:dyDescent="0.25">
      <c r="A123" s="79"/>
      <c r="B123" s="21" t="str">
        <f>IF(A123="","",IFERROR(VLOOKUP(A123,DB_Customers!$A:$D,4,0),"❌ Account Not Found"))</f>
        <v/>
      </c>
      <c r="C123" s="80" t="str">
        <f>IF(A123="","",IFERROR(VLOOKUP(A123,DB_Customers!$A:$N,14,0),""))</f>
        <v/>
      </c>
      <c r="D123" s="81" t="str">
        <f t="shared" ca="1" si="9"/>
        <v/>
      </c>
      <c r="E123" s="82"/>
      <c r="F123" s="83" t="str">
        <f t="shared" si="10"/>
        <v/>
      </c>
      <c r="G123" s="23"/>
      <c r="H123" s="84"/>
      <c r="I123" s="85" t="str">
        <f>IF(A123="","Pending",IF(H123="","⚠️ Enter Code",IF(IFERROR(VLOOKUP(G123,DB_Agents!$B:$I,8,0),"")=H123,IF(AND(A123&lt;&gt;"",E123&lt;&gt;""),"Saved","Pending"),"🔒 BLOCKED — Wrong Code")))</f>
        <v>Pending</v>
      </c>
      <c r="J123" s="86" t="str">
        <f t="shared" ca="1" si="11"/>
        <v>—</v>
      </c>
      <c r="K123" s="87"/>
    </row>
    <row r="124" spans="1:11" x14ac:dyDescent="0.25">
      <c r="A124" s="88"/>
      <c r="B124" s="25" t="str">
        <f>IF(A124="","",IFERROR(VLOOKUP(A124,DB_Customers!$A:$D,4,0),"❌ Account Not Found"))</f>
        <v/>
      </c>
      <c r="C124" s="89" t="str">
        <f>IF(A124="","",IFERROR(VLOOKUP(A124,DB_Customers!$A:$N,14,0),""))</f>
        <v/>
      </c>
      <c r="D124" s="90" t="str">
        <f t="shared" ca="1" si="9"/>
        <v/>
      </c>
      <c r="E124" s="82"/>
      <c r="F124" s="91" t="str">
        <f t="shared" si="10"/>
        <v/>
      </c>
      <c r="G124" s="27"/>
      <c r="H124" s="84"/>
      <c r="I124" s="92" t="str">
        <f>IF(A124="","Pending",IF(H124="","⚠️ Enter Code",IF(IFERROR(VLOOKUP(G124,DB_Agents!$B:$I,8,0),"")=H124,IF(AND(A124&lt;&gt;"",E124&lt;&gt;""),"Saved","Pending"),"🔒 BLOCKED — Wrong Code")))</f>
        <v>Pending</v>
      </c>
      <c r="J124" s="93" t="str">
        <f t="shared" ca="1" si="11"/>
        <v>—</v>
      </c>
      <c r="K124" s="94"/>
    </row>
    <row r="125" spans="1:11" x14ac:dyDescent="0.25">
      <c r="A125" s="79"/>
      <c r="B125" s="21" t="str">
        <f>IF(A125="","",IFERROR(VLOOKUP(A125,DB_Customers!$A:$D,4,0),"❌ Account Not Found"))</f>
        <v/>
      </c>
      <c r="C125" s="80" t="str">
        <f>IF(A125="","",IFERROR(VLOOKUP(A125,DB_Customers!$A:$N,14,0),""))</f>
        <v/>
      </c>
      <c r="D125" s="81" t="str">
        <f t="shared" ca="1" si="9"/>
        <v/>
      </c>
      <c r="E125" s="82"/>
      <c r="F125" s="83" t="str">
        <f t="shared" si="10"/>
        <v/>
      </c>
      <c r="G125" s="23"/>
      <c r="H125" s="84"/>
      <c r="I125" s="85" t="str">
        <f>IF(A125="","Pending",IF(H125="","⚠️ Enter Code",IF(IFERROR(VLOOKUP(G125,DB_Agents!$B:$I,8,0),"")=H125,IF(AND(A125&lt;&gt;"",E125&lt;&gt;""),"Saved","Pending"),"🔒 BLOCKED — Wrong Code")))</f>
        <v>Pending</v>
      </c>
      <c r="J125" s="86" t="str">
        <f t="shared" ca="1" si="11"/>
        <v>—</v>
      </c>
      <c r="K125" s="87"/>
    </row>
    <row r="126" spans="1:11" x14ac:dyDescent="0.25">
      <c r="A126" s="88"/>
      <c r="B126" s="25" t="str">
        <f>IF(A126="","",IFERROR(VLOOKUP(A126,DB_Customers!$A:$D,4,0),"❌ Account Not Found"))</f>
        <v/>
      </c>
      <c r="C126" s="89" t="str">
        <f>IF(A126="","",IFERROR(VLOOKUP(A126,DB_Customers!$A:$N,14,0),""))</f>
        <v/>
      </c>
      <c r="D126" s="90" t="str">
        <f t="shared" ca="1" si="9"/>
        <v/>
      </c>
      <c r="E126" s="82"/>
      <c r="F126" s="91" t="str">
        <f t="shared" si="10"/>
        <v/>
      </c>
      <c r="G126" s="27"/>
      <c r="H126" s="84"/>
      <c r="I126" s="92" t="str">
        <f>IF(A126="","Pending",IF(H126="","⚠️ Enter Code",IF(IFERROR(VLOOKUP(G126,DB_Agents!$B:$I,8,0),"")=H126,IF(AND(A126&lt;&gt;"",E126&lt;&gt;""),"Saved","Pending"),"🔒 BLOCKED — Wrong Code")))</f>
        <v>Pending</v>
      </c>
      <c r="J126" s="93" t="str">
        <f t="shared" ca="1" si="11"/>
        <v>—</v>
      </c>
      <c r="K126" s="94"/>
    </row>
    <row r="127" spans="1:11" x14ac:dyDescent="0.25">
      <c r="A127" s="79"/>
      <c r="B127" s="21" t="str">
        <f>IF(A127="","",IFERROR(VLOOKUP(A127,DB_Customers!$A:$D,4,0),"❌ Account Not Found"))</f>
        <v/>
      </c>
      <c r="C127" s="80" t="str">
        <f>IF(A127="","",IFERROR(VLOOKUP(A127,DB_Customers!$A:$N,14,0),""))</f>
        <v/>
      </c>
      <c r="D127" s="81" t="str">
        <f t="shared" ca="1" si="9"/>
        <v/>
      </c>
      <c r="E127" s="82"/>
      <c r="F127" s="83" t="str">
        <f t="shared" si="10"/>
        <v/>
      </c>
      <c r="G127" s="23"/>
      <c r="H127" s="84"/>
      <c r="I127" s="85" t="str">
        <f>IF(A127="","Pending",IF(H127="","⚠️ Enter Code",IF(IFERROR(VLOOKUP(G127,DB_Agents!$B:$I,8,0),"")=H127,IF(AND(A127&lt;&gt;"",E127&lt;&gt;""),"Saved","Pending"),"🔒 BLOCKED — Wrong Code")))</f>
        <v>Pending</v>
      </c>
      <c r="J127" s="86" t="str">
        <f t="shared" ca="1" si="11"/>
        <v>—</v>
      </c>
      <c r="K127" s="87"/>
    </row>
    <row r="128" spans="1:11" x14ac:dyDescent="0.25">
      <c r="A128" s="88"/>
      <c r="B128" s="25" t="str">
        <f>IF(A128="","",IFERROR(VLOOKUP(A128,DB_Customers!$A:$D,4,0),"❌ Account Not Found"))</f>
        <v/>
      </c>
      <c r="C128" s="89" t="str">
        <f>IF(A128="","",IFERROR(VLOOKUP(A128,DB_Customers!$A:$N,14,0),""))</f>
        <v/>
      </c>
      <c r="D128" s="90" t="str">
        <f t="shared" ca="1" si="9"/>
        <v/>
      </c>
      <c r="E128" s="82"/>
      <c r="F128" s="91" t="str">
        <f t="shared" si="10"/>
        <v/>
      </c>
      <c r="G128" s="27"/>
      <c r="H128" s="84"/>
      <c r="I128" s="92" t="str">
        <f>IF(A128="","Pending",IF(H128="","⚠️ Enter Code",IF(IFERROR(VLOOKUP(G128,DB_Agents!$B:$I,8,0),"")=H128,IF(AND(A128&lt;&gt;"",E128&lt;&gt;""),"Saved","Pending"),"🔒 BLOCKED — Wrong Code")))</f>
        <v>Pending</v>
      </c>
      <c r="J128" s="93" t="str">
        <f t="shared" ca="1" si="11"/>
        <v>—</v>
      </c>
      <c r="K128" s="94"/>
    </row>
    <row r="129" spans="1:11" x14ac:dyDescent="0.25">
      <c r="A129" s="79"/>
      <c r="B129" s="21" t="str">
        <f>IF(A129="","",IFERROR(VLOOKUP(A129,DB_Customers!$A:$D,4,0),"❌ Account Not Found"))</f>
        <v/>
      </c>
      <c r="C129" s="80" t="str">
        <f>IF(A129="","",IFERROR(VLOOKUP(A129,DB_Customers!$A:$N,14,0),""))</f>
        <v/>
      </c>
      <c r="D129" s="81" t="str">
        <f t="shared" ca="1" si="9"/>
        <v/>
      </c>
      <c r="E129" s="82"/>
      <c r="F129" s="83" t="str">
        <f t="shared" si="10"/>
        <v/>
      </c>
      <c r="G129" s="23"/>
      <c r="H129" s="84"/>
      <c r="I129" s="85" t="str">
        <f>IF(A129="","Pending",IF(H129="","⚠️ Enter Code",IF(IFERROR(VLOOKUP(G129,DB_Agents!$B:$I,8,0),"")=H129,IF(AND(A129&lt;&gt;"",E129&lt;&gt;""),"Saved","Pending"),"🔒 BLOCKED — Wrong Code")))</f>
        <v>Pending</v>
      </c>
      <c r="J129" s="86" t="str">
        <f t="shared" ca="1" si="11"/>
        <v>—</v>
      </c>
      <c r="K129" s="87"/>
    </row>
    <row r="130" spans="1:11" x14ac:dyDescent="0.25">
      <c r="A130" s="88"/>
      <c r="B130" s="25" t="str">
        <f>IF(A130="","",IFERROR(VLOOKUP(A130,DB_Customers!$A:$D,4,0),"❌ Account Not Found"))</f>
        <v/>
      </c>
      <c r="C130" s="89" t="str">
        <f>IF(A130="","",IFERROR(VLOOKUP(A130,DB_Customers!$A:$N,14,0),""))</f>
        <v/>
      </c>
      <c r="D130" s="90" t="str">
        <f t="shared" ca="1" si="9"/>
        <v/>
      </c>
      <c r="E130" s="82"/>
      <c r="F130" s="91" t="str">
        <f t="shared" si="10"/>
        <v/>
      </c>
      <c r="G130" s="27"/>
      <c r="H130" s="84"/>
      <c r="I130" s="92" t="str">
        <f>IF(A130="","Pending",IF(H130="","⚠️ Enter Code",IF(IFERROR(VLOOKUP(G130,DB_Agents!$B:$I,8,0),"")=H130,IF(AND(A130&lt;&gt;"",E130&lt;&gt;""),"Saved","Pending"),"🔒 BLOCKED — Wrong Code")))</f>
        <v>Pending</v>
      </c>
      <c r="J130" s="93" t="str">
        <f t="shared" ca="1" si="11"/>
        <v>—</v>
      </c>
      <c r="K130" s="94"/>
    </row>
    <row r="131" spans="1:11" x14ac:dyDescent="0.25">
      <c r="A131" s="79"/>
      <c r="B131" s="21" t="str">
        <f>IF(A131="","",IFERROR(VLOOKUP(A131,DB_Customers!$A:$D,4,0),"❌ Account Not Found"))</f>
        <v/>
      </c>
      <c r="C131" s="80" t="str">
        <f>IF(A131="","",IFERROR(VLOOKUP(A131,DB_Customers!$A:$N,14,0),""))</f>
        <v/>
      </c>
      <c r="D131" s="81" t="str">
        <f t="shared" ca="1" si="9"/>
        <v/>
      </c>
      <c r="E131" s="82"/>
      <c r="F131" s="83" t="str">
        <f t="shared" si="10"/>
        <v/>
      </c>
      <c r="G131" s="23"/>
      <c r="H131" s="84"/>
      <c r="I131" s="85" t="str">
        <f>IF(A131="","Pending",IF(H131="","⚠️ Enter Code",IF(IFERROR(VLOOKUP(G131,DB_Agents!$B:$I,8,0),"")=H131,IF(AND(A131&lt;&gt;"",E131&lt;&gt;""),"Saved","Pending"),"🔒 BLOCKED — Wrong Code")))</f>
        <v>Pending</v>
      </c>
      <c r="J131" s="86" t="str">
        <f t="shared" ca="1" si="11"/>
        <v>—</v>
      </c>
      <c r="K131" s="87"/>
    </row>
    <row r="132" spans="1:11" x14ac:dyDescent="0.25">
      <c r="A132" s="88"/>
      <c r="B132" s="25" t="str">
        <f>IF(A132="","",IFERROR(VLOOKUP(A132,DB_Customers!$A:$D,4,0),"❌ Account Not Found"))</f>
        <v/>
      </c>
      <c r="C132" s="89" t="str">
        <f>IF(A132="","",IFERROR(VLOOKUP(A132,DB_Customers!$A:$N,14,0),""))</f>
        <v/>
      </c>
      <c r="D132" s="90" t="str">
        <f t="shared" ca="1" si="9"/>
        <v/>
      </c>
      <c r="E132" s="82"/>
      <c r="F132" s="91" t="str">
        <f t="shared" si="10"/>
        <v/>
      </c>
      <c r="G132" s="27"/>
      <c r="H132" s="84"/>
      <c r="I132" s="92" t="str">
        <f>IF(A132="","Pending",IF(H132="","⚠️ Enter Code",IF(IFERROR(VLOOKUP(G132,DB_Agents!$B:$I,8,0),"")=H132,IF(AND(A132&lt;&gt;"",E132&lt;&gt;""),"Saved","Pending"),"🔒 BLOCKED — Wrong Code")))</f>
        <v>Pending</v>
      </c>
      <c r="J132" s="93" t="str">
        <f t="shared" ca="1" si="11"/>
        <v>—</v>
      </c>
      <c r="K132" s="94"/>
    </row>
    <row r="133" spans="1:11" x14ac:dyDescent="0.25">
      <c r="A133" s="79"/>
      <c r="B133" s="21" t="str">
        <f>IF(A133="","",IFERROR(VLOOKUP(A133,DB_Customers!$A:$D,4,0),"❌ Account Not Found"))</f>
        <v/>
      </c>
      <c r="C133" s="80" t="str">
        <f>IF(A133="","",IFERROR(VLOOKUP(A133,DB_Customers!$A:$N,14,0),""))</f>
        <v/>
      </c>
      <c r="D133" s="81" t="str">
        <f t="shared" ca="1" si="9"/>
        <v/>
      </c>
      <c r="E133" s="82"/>
      <c r="F133" s="83" t="str">
        <f t="shared" si="10"/>
        <v/>
      </c>
      <c r="G133" s="23"/>
      <c r="H133" s="84"/>
      <c r="I133" s="85" t="str">
        <f>IF(A133="","Pending",IF(H133="","⚠️ Enter Code",IF(IFERROR(VLOOKUP(G133,DB_Agents!$B:$I,8,0),"")=H133,IF(AND(A133&lt;&gt;"",E133&lt;&gt;""),"Saved","Pending"),"🔒 BLOCKED — Wrong Code")))</f>
        <v>Pending</v>
      </c>
      <c r="J133" s="86" t="str">
        <f t="shared" ca="1" si="11"/>
        <v>—</v>
      </c>
      <c r="K133" s="87"/>
    </row>
    <row r="134" spans="1:11" x14ac:dyDescent="0.25">
      <c r="A134" s="88"/>
      <c r="B134" s="25" t="str">
        <f>IF(A134="","",IFERROR(VLOOKUP(A134,DB_Customers!$A:$D,4,0),"❌ Account Not Found"))</f>
        <v/>
      </c>
      <c r="C134" s="89" t="str">
        <f>IF(A134="","",IFERROR(VLOOKUP(A134,DB_Customers!$A:$N,14,0),""))</f>
        <v/>
      </c>
      <c r="D134" s="90" t="str">
        <f t="shared" ca="1" si="9"/>
        <v/>
      </c>
      <c r="E134" s="82"/>
      <c r="F134" s="91" t="str">
        <f t="shared" si="10"/>
        <v/>
      </c>
      <c r="G134" s="27"/>
      <c r="H134" s="84"/>
      <c r="I134" s="92" t="str">
        <f>IF(A134="","Pending",IF(H134="","⚠️ Enter Code",IF(IFERROR(VLOOKUP(G134,DB_Agents!$B:$I,8,0),"")=H134,IF(AND(A134&lt;&gt;"",E134&lt;&gt;""),"Saved","Pending"),"🔒 BLOCKED — Wrong Code")))</f>
        <v>Pending</v>
      </c>
      <c r="J134" s="93" t="str">
        <f t="shared" ca="1" si="11"/>
        <v>—</v>
      </c>
      <c r="K134" s="94"/>
    </row>
    <row r="135" spans="1:11" x14ac:dyDescent="0.25">
      <c r="A135" s="79"/>
      <c r="B135" s="21" t="str">
        <f>IF(A135="","",IFERROR(VLOOKUP(A135,DB_Customers!$A:$D,4,0),"❌ Account Not Found"))</f>
        <v/>
      </c>
      <c r="C135" s="80" t="str">
        <f>IF(A135="","",IFERROR(VLOOKUP(A135,DB_Customers!$A:$N,14,0),""))</f>
        <v/>
      </c>
      <c r="D135" s="81" t="str">
        <f t="shared" ca="1" si="9"/>
        <v/>
      </c>
      <c r="E135" s="82"/>
      <c r="F135" s="83" t="str">
        <f t="shared" si="10"/>
        <v/>
      </c>
      <c r="G135" s="23"/>
      <c r="H135" s="84"/>
      <c r="I135" s="85" t="str">
        <f>IF(A135="","Pending",IF(H135="","⚠️ Enter Code",IF(IFERROR(VLOOKUP(G135,DB_Agents!$B:$I,8,0),"")=H135,IF(AND(A135&lt;&gt;"",E135&lt;&gt;""),"Saved","Pending"),"🔒 BLOCKED — Wrong Code")))</f>
        <v>Pending</v>
      </c>
      <c r="J135" s="86" t="str">
        <f t="shared" ca="1" si="11"/>
        <v>—</v>
      </c>
      <c r="K135" s="87"/>
    </row>
    <row r="136" spans="1:11" x14ac:dyDescent="0.25">
      <c r="A136" s="88"/>
      <c r="B136" s="25" t="str">
        <f>IF(A136="","",IFERROR(VLOOKUP(A136,DB_Customers!$A:$D,4,0),"❌ Account Not Found"))</f>
        <v/>
      </c>
      <c r="C136" s="89" t="str">
        <f>IF(A136="","",IFERROR(VLOOKUP(A136,DB_Customers!$A:$N,14,0),""))</f>
        <v/>
      </c>
      <c r="D136" s="90" t="str">
        <f t="shared" ca="1" si="9"/>
        <v/>
      </c>
      <c r="E136" s="82"/>
      <c r="F136" s="91" t="str">
        <f t="shared" si="10"/>
        <v/>
      </c>
      <c r="G136" s="27"/>
      <c r="H136" s="84"/>
      <c r="I136" s="92" t="str">
        <f>IF(A136="","Pending",IF(H136="","⚠️ Enter Code",IF(IFERROR(VLOOKUP(G136,DB_Agents!$B:$I,8,0),"")=H136,IF(AND(A136&lt;&gt;"",E136&lt;&gt;""),"Saved","Pending"),"🔒 BLOCKED — Wrong Code")))</f>
        <v>Pending</v>
      </c>
      <c r="J136" s="93" t="str">
        <f t="shared" ca="1" si="11"/>
        <v>—</v>
      </c>
      <c r="K136" s="94"/>
    </row>
    <row r="137" spans="1:11" x14ac:dyDescent="0.25">
      <c r="A137" s="79"/>
      <c r="B137" s="21" t="str">
        <f>IF(A137="","",IFERROR(VLOOKUP(A137,DB_Customers!$A:$D,4,0),"❌ Account Not Found"))</f>
        <v/>
      </c>
      <c r="C137" s="80" t="str">
        <f>IF(A137="","",IFERROR(VLOOKUP(A137,DB_Customers!$A:$N,14,0),""))</f>
        <v/>
      </c>
      <c r="D137" s="81" t="str">
        <f t="shared" ref="D137:D168" ca="1" si="12">IF(A137="","",TODAY())</f>
        <v/>
      </c>
      <c r="E137" s="82"/>
      <c r="F137" s="83" t="str">
        <f t="shared" ref="F137:F168" si="13">IF(OR(A137="",E137=""),"",IF(C137="","",C137+E137))</f>
        <v/>
      </c>
      <c r="G137" s="23"/>
      <c r="H137" s="84"/>
      <c r="I137" s="85" t="str">
        <f>IF(A137="","Pending",IF(H137="","⚠️ Enter Code",IF(IFERROR(VLOOKUP(G137,DB_Agents!$B:$I,8,0),"")=H137,IF(AND(A137&lt;&gt;"",E137&lt;&gt;""),"Saved","Pending"),"🔒 BLOCKED — Wrong Code")))</f>
        <v>Pending</v>
      </c>
      <c r="J137" s="86" t="str">
        <f t="shared" ref="J137:J168" ca="1" si="14">IF(I137="Saved",TEXT(TODAY(),"YYYY-MM-DD")&amp;" Auto","—")</f>
        <v>—</v>
      </c>
      <c r="K137" s="87"/>
    </row>
    <row r="138" spans="1:11" x14ac:dyDescent="0.25">
      <c r="A138" s="88"/>
      <c r="B138" s="25" t="str">
        <f>IF(A138="","",IFERROR(VLOOKUP(A138,DB_Customers!$A:$D,4,0),"❌ Account Not Found"))</f>
        <v/>
      </c>
      <c r="C138" s="89" t="str">
        <f>IF(A138="","",IFERROR(VLOOKUP(A138,DB_Customers!$A:$N,14,0),""))</f>
        <v/>
      </c>
      <c r="D138" s="90" t="str">
        <f t="shared" ca="1" si="12"/>
        <v/>
      </c>
      <c r="E138" s="82"/>
      <c r="F138" s="91" t="str">
        <f t="shared" si="13"/>
        <v/>
      </c>
      <c r="G138" s="27"/>
      <c r="H138" s="84"/>
      <c r="I138" s="92" t="str">
        <f>IF(A138="","Pending",IF(H138="","⚠️ Enter Code",IF(IFERROR(VLOOKUP(G138,DB_Agents!$B:$I,8,0),"")=H138,IF(AND(A138&lt;&gt;"",E138&lt;&gt;""),"Saved","Pending"),"🔒 BLOCKED — Wrong Code")))</f>
        <v>Pending</v>
      </c>
      <c r="J138" s="93" t="str">
        <f t="shared" ca="1" si="14"/>
        <v>—</v>
      </c>
      <c r="K138" s="94"/>
    </row>
    <row r="139" spans="1:11" x14ac:dyDescent="0.25">
      <c r="A139" s="79"/>
      <c r="B139" s="21" t="str">
        <f>IF(A139="","",IFERROR(VLOOKUP(A139,DB_Customers!$A:$D,4,0),"❌ Account Not Found"))</f>
        <v/>
      </c>
      <c r="C139" s="80" t="str">
        <f>IF(A139="","",IFERROR(VLOOKUP(A139,DB_Customers!$A:$N,14,0),""))</f>
        <v/>
      </c>
      <c r="D139" s="81" t="str">
        <f t="shared" ca="1" si="12"/>
        <v/>
      </c>
      <c r="E139" s="82"/>
      <c r="F139" s="83" t="str">
        <f t="shared" si="13"/>
        <v/>
      </c>
      <c r="G139" s="23"/>
      <c r="H139" s="84"/>
      <c r="I139" s="85" t="str">
        <f>IF(A139="","Pending",IF(H139="","⚠️ Enter Code",IF(IFERROR(VLOOKUP(G139,DB_Agents!$B:$I,8,0),"")=H139,IF(AND(A139&lt;&gt;"",E139&lt;&gt;""),"Saved","Pending"),"🔒 BLOCKED — Wrong Code")))</f>
        <v>Pending</v>
      </c>
      <c r="J139" s="86" t="str">
        <f t="shared" ca="1" si="14"/>
        <v>—</v>
      </c>
      <c r="K139" s="87"/>
    </row>
    <row r="140" spans="1:11" x14ac:dyDescent="0.25">
      <c r="A140" s="88"/>
      <c r="B140" s="25" t="str">
        <f>IF(A140="","",IFERROR(VLOOKUP(A140,DB_Customers!$A:$D,4,0),"❌ Account Not Found"))</f>
        <v/>
      </c>
      <c r="C140" s="89" t="str">
        <f>IF(A140="","",IFERROR(VLOOKUP(A140,DB_Customers!$A:$N,14,0),""))</f>
        <v/>
      </c>
      <c r="D140" s="90" t="str">
        <f t="shared" ca="1" si="12"/>
        <v/>
      </c>
      <c r="E140" s="82"/>
      <c r="F140" s="91" t="str">
        <f t="shared" si="13"/>
        <v/>
      </c>
      <c r="G140" s="27"/>
      <c r="H140" s="84"/>
      <c r="I140" s="92" t="str">
        <f>IF(A140="","Pending",IF(H140="","⚠️ Enter Code",IF(IFERROR(VLOOKUP(G140,DB_Agents!$B:$I,8,0),"")=H140,IF(AND(A140&lt;&gt;"",E140&lt;&gt;""),"Saved","Pending"),"🔒 BLOCKED — Wrong Code")))</f>
        <v>Pending</v>
      </c>
      <c r="J140" s="93" t="str">
        <f t="shared" ca="1" si="14"/>
        <v>—</v>
      </c>
      <c r="K140" s="94"/>
    </row>
    <row r="141" spans="1:11" x14ac:dyDescent="0.25">
      <c r="A141" s="79"/>
      <c r="B141" s="21" t="str">
        <f>IF(A141="","",IFERROR(VLOOKUP(A141,DB_Customers!$A:$D,4,0),"❌ Account Not Found"))</f>
        <v/>
      </c>
      <c r="C141" s="80" t="str">
        <f>IF(A141="","",IFERROR(VLOOKUP(A141,DB_Customers!$A:$N,14,0),""))</f>
        <v/>
      </c>
      <c r="D141" s="81" t="str">
        <f t="shared" ca="1" si="12"/>
        <v/>
      </c>
      <c r="E141" s="82"/>
      <c r="F141" s="83" t="str">
        <f t="shared" si="13"/>
        <v/>
      </c>
      <c r="G141" s="23"/>
      <c r="H141" s="84"/>
      <c r="I141" s="85" t="str">
        <f>IF(A141="","Pending",IF(H141="","⚠️ Enter Code",IF(IFERROR(VLOOKUP(G141,DB_Agents!$B:$I,8,0),"")=H141,IF(AND(A141&lt;&gt;"",E141&lt;&gt;""),"Saved","Pending"),"🔒 BLOCKED — Wrong Code")))</f>
        <v>Pending</v>
      </c>
      <c r="J141" s="86" t="str">
        <f t="shared" ca="1" si="14"/>
        <v>—</v>
      </c>
      <c r="K141" s="87"/>
    </row>
    <row r="142" spans="1:11" x14ac:dyDescent="0.25">
      <c r="A142" s="88"/>
      <c r="B142" s="25" t="str">
        <f>IF(A142="","",IFERROR(VLOOKUP(A142,DB_Customers!$A:$D,4,0),"❌ Account Not Found"))</f>
        <v/>
      </c>
      <c r="C142" s="89" t="str">
        <f>IF(A142="","",IFERROR(VLOOKUP(A142,DB_Customers!$A:$N,14,0),""))</f>
        <v/>
      </c>
      <c r="D142" s="90" t="str">
        <f t="shared" ca="1" si="12"/>
        <v/>
      </c>
      <c r="E142" s="82"/>
      <c r="F142" s="91" t="str">
        <f t="shared" si="13"/>
        <v/>
      </c>
      <c r="G142" s="27"/>
      <c r="H142" s="84"/>
      <c r="I142" s="92" t="str">
        <f>IF(A142="","Pending",IF(H142="","⚠️ Enter Code",IF(IFERROR(VLOOKUP(G142,DB_Agents!$B:$I,8,0),"")=H142,IF(AND(A142&lt;&gt;"",E142&lt;&gt;""),"Saved","Pending"),"🔒 BLOCKED — Wrong Code")))</f>
        <v>Pending</v>
      </c>
      <c r="J142" s="93" t="str">
        <f t="shared" ca="1" si="14"/>
        <v>—</v>
      </c>
      <c r="K142" s="94"/>
    </row>
    <row r="143" spans="1:11" x14ac:dyDescent="0.25">
      <c r="A143" s="79"/>
      <c r="B143" s="21" t="str">
        <f>IF(A143="","",IFERROR(VLOOKUP(A143,DB_Customers!$A:$D,4,0),"❌ Account Not Found"))</f>
        <v/>
      </c>
      <c r="C143" s="80" t="str">
        <f>IF(A143="","",IFERROR(VLOOKUP(A143,DB_Customers!$A:$N,14,0),""))</f>
        <v/>
      </c>
      <c r="D143" s="81" t="str">
        <f t="shared" ca="1" si="12"/>
        <v/>
      </c>
      <c r="E143" s="82"/>
      <c r="F143" s="83" t="str">
        <f t="shared" si="13"/>
        <v/>
      </c>
      <c r="G143" s="23"/>
      <c r="H143" s="84"/>
      <c r="I143" s="85" t="str">
        <f>IF(A143="","Pending",IF(H143="","⚠️ Enter Code",IF(IFERROR(VLOOKUP(G143,DB_Agents!$B:$I,8,0),"")=H143,IF(AND(A143&lt;&gt;"",E143&lt;&gt;""),"Saved","Pending"),"🔒 BLOCKED — Wrong Code")))</f>
        <v>Pending</v>
      </c>
      <c r="J143" s="86" t="str">
        <f t="shared" ca="1" si="14"/>
        <v>—</v>
      </c>
      <c r="K143" s="87"/>
    </row>
    <row r="144" spans="1:11" x14ac:dyDescent="0.25">
      <c r="A144" s="88"/>
      <c r="B144" s="25" t="str">
        <f>IF(A144="","",IFERROR(VLOOKUP(A144,DB_Customers!$A:$D,4,0),"❌ Account Not Found"))</f>
        <v/>
      </c>
      <c r="C144" s="89" t="str">
        <f>IF(A144="","",IFERROR(VLOOKUP(A144,DB_Customers!$A:$N,14,0),""))</f>
        <v/>
      </c>
      <c r="D144" s="90" t="str">
        <f t="shared" ca="1" si="12"/>
        <v/>
      </c>
      <c r="E144" s="82"/>
      <c r="F144" s="91" t="str">
        <f t="shared" si="13"/>
        <v/>
      </c>
      <c r="G144" s="27"/>
      <c r="H144" s="84"/>
      <c r="I144" s="92" t="str">
        <f>IF(A144="","Pending",IF(H144="","⚠️ Enter Code",IF(IFERROR(VLOOKUP(G144,DB_Agents!$B:$I,8,0),"")=H144,IF(AND(A144&lt;&gt;"",E144&lt;&gt;""),"Saved","Pending"),"🔒 BLOCKED — Wrong Code")))</f>
        <v>Pending</v>
      </c>
      <c r="J144" s="93" t="str">
        <f t="shared" ca="1" si="14"/>
        <v>—</v>
      </c>
      <c r="K144" s="94"/>
    </row>
    <row r="145" spans="1:11" x14ac:dyDescent="0.25">
      <c r="A145" s="79"/>
      <c r="B145" s="21" t="str">
        <f>IF(A145="","",IFERROR(VLOOKUP(A145,DB_Customers!$A:$D,4,0),"❌ Account Not Found"))</f>
        <v/>
      </c>
      <c r="C145" s="80" t="str">
        <f>IF(A145="","",IFERROR(VLOOKUP(A145,DB_Customers!$A:$N,14,0),""))</f>
        <v/>
      </c>
      <c r="D145" s="81" t="str">
        <f t="shared" ca="1" si="12"/>
        <v/>
      </c>
      <c r="E145" s="82"/>
      <c r="F145" s="83" t="str">
        <f t="shared" si="13"/>
        <v/>
      </c>
      <c r="G145" s="23"/>
      <c r="H145" s="84"/>
      <c r="I145" s="85" t="str">
        <f>IF(A145="","Pending",IF(H145="","⚠️ Enter Code",IF(IFERROR(VLOOKUP(G145,DB_Agents!$B:$I,8,0),"")=H145,IF(AND(A145&lt;&gt;"",E145&lt;&gt;""),"Saved","Pending"),"🔒 BLOCKED — Wrong Code")))</f>
        <v>Pending</v>
      </c>
      <c r="J145" s="86" t="str">
        <f t="shared" ca="1" si="14"/>
        <v>—</v>
      </c>
      <c r="K145" s="87"/>
    </row>
    <row r="146" spans="1:11" x14ac:dyDescent="0.25">
      <c r="A146" s="88"/>
      <c r="B146" s="25" t="str">
        <f>IF(A146="","",IFERROR(VLOOKUP(A146,DB_Customers!$A:$D,4,0),"❌ Account Not Found"))</f>
        <v/>
      </c>
      <c r="C146" s="89" t="str">
        <f>IF(A146="","",IFERROR(VLOOKUP(A146,DB_Customers!$A:$N,14,0),""))</f>
        <v/>
      </c>
      <c r="D146" s="90" t="str">
        <f t="shared" ca="1" si="12"/>
        <v/>
      </c>
      <c r="E146" s="82"/>
      <c r="F146" s="91" t="str">
        <f t="shared" si="13"/>
        <v/>
      </c>
      <c r="G146" s="27"/>
      <c r="H146" s="84"/>
      <c r="I146" s="92" t="str">
        <f>IF(A146="","Pending",IF(H146="","⚠️ Enter Code",IF(IFERROR(VLOOKUP(G146,DB_Agents!$B:$I,8,0),"")=H146,IF(AND(A146&lt;&gt;"",E146&lt;&gt;""),"Saved","Pending"),"🔒 BLOCKED — Wrong Code")))</f>
        <v>Pending</v>
      </c>
      <c r="J146" s="93" t="str">
        <f t="shared" ca="1" si="14"/>
        <v>—</v>
      </c>
      <c r="K146" s="94"/>
    </row>
    <row r="147" spans="1:11" x14ac:dyDescent="0.25">
      <c r="A147" s="79"/>
      <c r="B147" s="21" t="str">
        <f>IF(A147="","",IFERROR(VLOOKUP(A147,DB_Customers!$A:$D,4,0),"❌ Account Not Found"))</f>
        <v/>
      </c>
      <c r="C147" s="80" t="str">
        <f>IF(A147="","",IFERROR(VLOOKUP(A147,DB_Customers!$A:$N,14,0),""))</f>
        <v/>
      </c>
      <c r="D147" s="81" t="str">
        <f t="shared" ca="1" si="12"/>
        <v/>
      </c>
      <c r="E147" s="82"/>
      <c r="F147" s="83" t="str">
        <f t="shared" si="13"/>
        <v/>
      </c>
      <c r="G147" s="23"/>
      <c r="H147" s="84"/>
      <c r="I147" s="85" t="str">
        <f>IF(A147="","Pending",IF(H147="","⚠️ Enter Code",IF(IFERROR(VLOOKUP(G147,DB_Agents!$B:$I,8,0),"")=H147,IF(AND(A147&lt;&gt;"",E147&lt;&gt;""),"Saved","Pending"),"🔒 BLOCKED — Wrong Code")))</f>
        <v>Pending</v>
      </c>
      <c r="J147" s="86" t="str">
        <f t="shared" ca="1" si="14"/>
        <v>—</v>
      </c>
      <c r="K147" s="87"/>
    </row>
    <row r="148" spans="1:11" x14ac:dyDescent="0.25">
      <c r="A148" s="88"/>
      <c r="B148" s="25" t="str">
        <f>IF(A148="","",IFERROR(VLOOKUP(A148,DB_Customers!$A:$D,4,0),"❌ Account Not Found"))</f>
        <v/>
      </c>
      <c r="C148" s="89" t="str">
        <f>IF(A148="","",IFERROR(VLOOKUP(A148,DB_Customers!$A:$N,14,0),""))</f>
        <v/>
      </c>
      <c r="D148" s="90" t="str">
        <f t="shared" ca="1" si="12"/>
        <v/>
      </c>
      <c r="E148" s="82"/>
      <c r="F148" s="91" t="str">
        <f t="shared" si="13"/>
        <v/>
      </c>
      <c r="G148" s="27"/>
      <c r="H148" s="84"/>
      <c r="I148" s="92" t="str">
        <f>IF(A148="","Pending",IF(H148="","⚠️ Enter Code",IF(IFERROR(VLOOKUP(G148,DB_Agents!$B:$I,8,0),"")=H148,IF(AND(A148&lt;&gt;"",E148&lt;&gt;""),"Saved","Pending"),"🔒 BLOCKED — Wrong Code")))</f>
        <v>Pending</v>
      </c>
      <c r="J148" s="93" t="str">
        <f t="shared" ca="1" si="14"/>
        <v>—</v>
      </c>
      <c r="K148" s="94"/>
    </row>
    <row r="149" spans="1:11" x14ac:dyDescent="0.25">
      <c r="A149" s="79"/>
      <c r="B149" s="21" t="str">
        <f>IF(A149="","",IFERROR(VLOOKUP(A149,DB_Customers!$A:$D,4,0),"❌ Account Not Found"))</f>
        <v/>
      </c>
      <c r="C149" s="80" t="str">
        <f>IF(A149="","",IFERROR(VLOOKUP(A149,DB_Customers!$A:$N,14,0),""))</f>
        <v/>
      </c>
      <c r="D149" s="81" t="str">
        <f t="shared" ca="1" si="12"/>
        <v/>
      </c>
      <c r="E149" s="82"/>
      <c r="F149" s="83" t="str">
        <f t="shared" si="13"/>
        <v/>
      </c>
      <c r="G149" s="23"/>
      <c r="H149" s="84"/>
      <c r="I149" s="85" t="str">
        <f>IF(A149="","Pending",IF(H149="","⚠️ Enter Code",IF(IFERROR(VLOOKUP(G149,DB_Agents!$B:$I,8,0),"")=H149,IF(AND(A149&lt;&gt;"",E149&lt;&gt;""),"Saved","Pending"),"🔒 BLOCKED — Wrong Code")))</f>
        <v>Pending</v>
      </c>
      <c r="J149" s="86" t="str">
        <f t="shared" ca="1" si="14"/>
        <v>—</v>
      </c>
      <c r="K149" s="87"/>
    </row>
    <row r="150" spans="1:11" x14ac:dyDescent="0.25">
      <c r="A150" s="88"/>
      <c r="B150" s="25" t="str">
        <f>IF(A150="","",IFERROR(VLOOKUP(A150,DB_Customers!$A:$D,4,0),"❌ Account Not Found"))</f>
        <v/>
      </c>
      <c r="C150" s="89" t="str">
        <f>IF(A150="","",IFERROR(VLOOKUP(A150,DB_Customers!$A:$N,14,0),""))</f>
        <v/>
      </c>
      <c r="D150" s="90" t="str">
        <f t="shared" ca="1" si="12"/>
        <v/>
      </c>
      <c r="E150" s="82"/>
      <c r="F150" s="91" t="str">
        <f t="shared" si="13"/>
        <v/>
      </c>
      <c r="G150" s="27"/>
      <c r="H150" s="84"/>
      <c r="I150" s="92" t="str">
        <f>IF(A150="","Pending",IF(H150="","⚠️ Enter Code",IF(IFERROR(VLOOKUP(G150,DB_Agents!$B:$I,8,0),"")=H150,IF(AND(A150&lt;&gt;"",E150&lt;&gt;""),"Saved","Pending"),"🔒 BLOCKED — Wrong Code")))</f>
        <v>Pending</v>
      </c>
      <c r="J150" s="93" t="str">
        <f t="shared" ca="1" si="14"/>
        <v>—</v>
      </c>
      <c r="K150" s="94"/>
    </row>
    <row r="151" spans="1:11" x14ac:dyDescent="0.25">
      <c r="A151" s="79"/>
      <c r="B151" s="21" t="str">
        <f>IF(A151="","",IFERROR(VLOOKUP(A151,DB_Customers!$A:$D,4,0),"❌ Account Not Found"))</f>
        <v/>
      </c>
      <c r="C151" s="80" t="str">
        <f>IF(A151="","",IFERROR(VLOOKUP(A151,DB_Customers!$A:$N,14,0),""))</f>
        <v/>
      </c>
      <c r="D151" s="81" t="str">
        <f t="shared" ca="1" si="12"/>
        <v/>
      </c>
      <c r="E151" s="82"/>
      <c r="F151" s="83" t="str">
        <f t="shared" si="13"/>
        <v/>
      </c>
      <c r="G151" s="23"/>
      <c r="H151" s="84"/>
      <c r="I151" s="85" t="str">
        <f>IF(A151="","Pending",IF(H151="","⚠️ Enter Code",IF(IFERROR(VLOOKUP(G151,DB_Agents!$B:$I,8,0),"")=H151,IF(AND(A151&lt;&gt;"",E151&lt;&gt;""),"Saved","Pending"),"🔒 BLOCKED — Wrong Code")))</f>
        <v>Pending</v>
      </c>
      <c r="J151" s="86" t="str">
        <f t="shared" ca="1" si="14"/>
        <v>—</v>
      </c>
      <c r="K151" s="87"/>
    </row>
    <row r="152" spans="1:11" x14ac:dyDescent="0.25">
      <c r="A152" s="88"/>
      <c r="B152" s="25" t="str">
        <f>IF(A152="","",IFERROR(VLOOKUP(A152,DB_Customers!$A:$D,4,0),"❌ Account Not Found"))</f>
        <v/>
      </c>
      <c r="C152" s="89" t="str">
        <f>IF(A152="","",IFERROR(VLOOKUP(A152,DB_Customers!$A:$N,14,0),""))</f>
        <v/>
      </c>
      <c r="D152" s="90" t="str">
        <f t="shared" ca="1" si="12"/>
        <v/>
      </c>
      <c r="E152" s="82"/>
      <c r="F152" s="91" t="str">
        <f t="shared" si="13"/>
        <v/>
      </c>
      <c r="G152" s="27"/>
      <c r="H152" s="84"/>
      <c r="I152" s="92" t="str">
        <f>IF(A152="","Pending",IF(H152="","⚠️ Enter Code",IF(IFERROR(VLOOKUP(G152,DB_Agents!$B:$I,8,0),"")=H152,IF(AND(A152&lt;&gt;"",E152&lt;&gt;""),"Saved","Pending"),"🔒 BLOCKED — Wrong Code")))</f>
        <v>Pending</v>
      </c>
      <c r="J152" s="93" t="str">
        <f t="shared" ca="1" si="14"/>
        <v>—</v>
      </c>
      <c r="K152" s="94"/>
    </row>
    <row r="153" spans="1:11" x14ac:dyDescent="0.25">
      <c r="A153" s="79"/>
      <c r="B153" s="21" t="str">
        <f>IF(A153="","",IFERROR(VLOOKUP(A153,DB_Customers!$A:$D,4,0),"❌ Account Not Found"))</f>
        <v/>
      </c>
      <c r="C153" s="80" t="str">
        <f>IF(A153="","",IFERROR(VLOOKUP(A153,DB_Customers!$A:$N,14,0),""))</f>
        <v/>
      </c>
      <c r="D153" s="81" t="str">
        <f t="shared" ca="1" si="12"/>
        <v/>
      </c>
      <c r="E153" s="82"/>
      <c r="F153" s="83" t="str">
        <f t="shared" si="13"/>
        <v/>
      </c>
      <c r="G153" s="23"/>
      <c r="H153" s="84"/>
      <c r="I153" s="85" t="str">
        <f>IF(A153="","Pending",IF(H153="","⚠️ Enter Code",IF(IFERROR(VLOOKUP(G153,DB_Agents!$B:$I,8,0),"")=H153,IF(AND(A153&lt;&gt;"",E153&lt;&gt;""),"Saved","Pending"),"🔒 BLOCKED — Wrong Code")))</f>
        <v>Pending</v>
      </c>
      <c r="J153" s="86" t="str">
        <f t="shared" ca="1" si="14"/>
        <v>—</v>
      </c>
      <c r="K153" s="87"/>
    </row>
    <row r="154" spans="1:11" x14ac:dyDescent="0.25">
      <c r="A154" s="88"/>
      <c r="B154" s="25" t="str">
        <f>IF(A154="","",IFERROR(VLOOKUP(A154,DB_Customers!$A:$D,4,0),"❌ Account Not Found"))</f>
        <v/>
      </c>
      <c r="C154" s="89" t="str">
        <f>IF(A154="","",IFERROR(VLOOKUP(A154,DB_Customers!$A:$N,14,0),""))</f>
        <v/>
      </c>
      <c r="D154" s="90" t="str">
        <f t="shared" ca="1" si="12"/>
        <v/>
      </c>
      <c r="E154" s="82"/>
      <c r="F154" s="91" t="str">
        <f t="shared" si="13"/>
        <v/>
      </c>
      <c r="G154" s="27"/>
      <c r="H154" s="84"/>
      <c r="I154" s="92" t="str">
        <f>IF(A154="","Pending",IF(H154="","⚠️ Enter Code",IF(IFERROR(VLOOKUP(G154,DB_Agents!$B:$I,8,0),"")=H154,IF(AND(A154&lt;&gt;"",E154&lt;&gt;""),"Saved","Pending"),"🔒 BLOCKED — Wrong Code")))</f>
        <v>Pending</v>
      </c>
      <c r="J154" s="93" t="str">
        <f t="shared" ca="1" si="14"/>
        <v>—</v>
      </c>
      <c r="K154" s="94"/>
    </row>
    <row r="155" spans="1:11" x14ac:dyDescent="0.25">
      <c r="A155" s="79"/>
      <c r="B155" s="21" t="str">
        <f>IF(A155="","",IFERROR(VLOOKUP(A155,DB_Customers!$A:$D,4,0),"❌ Account Not Found"))</f>
        <v/>
      </c>
      <c r="C155" s="80" t="str">
        <f>IF(A155="","",IFERROR(VLOOKUP(A155,DB_Customers!$A:$N,14,0),""))</f>
        <v/>
      </c>
      <c r="D155" s="81" t="str">
        <f t="shared" ca="1" si="12"/>
        <v/>
      </c>
      <c r="E155" s="82"/>
      <c r="F155" s="83" t="str">
        <f t="shared" si="13"/>
        <v/>
      </c>
      <c r="G155" s="23"/>
      <c r="H155" s="84"/>
      <c r="I155" s="85" t="str">
        <f>IF(A155="","Pending",IF(H155="","⚠️ Enter Code",IF(IFERROR(VLOOKUP(G155,DB_Agents!$B:$I,8,0),"")=H155,IF(AND(A155&lt;&gt;"",E155&lt;&gt;""),"Saved","Pending"),"🔒 BLOCKED — Wrong Code")))</f>
        <v>Pending</v>
      </c>
      <c r="J155" s="86" t="str">
        <f t="shared" ca="1" si="14"/>
        <v>—</v>
      </c>
      <c r="K155" s="87"/>
    </row>
    <row r="156" spans="1:11" x14ac:dyDescent="0.25">
      <c r="A156" s="88"/>
      <c r="B156" s="25" t="str">
        <f>IF(A156="","",IFERROR(VLOOKUP(A156,DB_Customers!$A:$D,4,0),"❌ Account Not Found"))</f>
        <v/>
      </c>
      <c r="C156" s="89" t="str">
        <f>IF(A156="","",IFERROR(VLOOKUP(A156,DB_Customers!$A:$N,14,0),""))</f>
        <v/>
      </c>
      <c r="D156" s="90" t="str">
        <f t="shared" ca="1" si="12"/>
        <v/>
      </c>
      <c r="E156" s="82"/>
      <c r="F156" s="91" t="str">
        <f t="shared" si="13"/>
        <v/>
      </c>
      <c r="G156" s="27"/>
      <c r="H156" s="84"/>
      <c r="I156" s="92" t="str">
        <f>IF(A156="","Pending",IF(H156="","⚠️ Enter Code",IF(IFERROR(VLOOKUP(G156,DB_Agents!$B:$I,8,0),"")=H156,IF(AND(A156&lt;&gt;"",E156&lt;&gt;""),"Saved","Pending"),"🔒 BLOCKED — Wrong Code")))</f>
        <v>Pending</v>
      </c>
      <c r="J156" s="93" t="str">
        <f t="shared" ca="1" si="14"/>
        <v>—</v>
      </c>
      <c r="K156" s="94"/>
    </row>
    <row r="157" spans="1:11" x14ac:dyDescent="0.25">
      <c r="A157" s="79"/>
      <c r="B157" s="21" t="str">
        <f>IF(A157="","",IFERROR(VLOOKUP(A157,DB_Customers!$A:$D,4,0),"❌ Account Not Found"))</f>
        <v/>
      </c>
      <c r="C157" s="80" t="str">
        <f>IF(A157="","",IFERROR(VLOOKUP(A157,DB_Customers!$A:$N,14,0),""))</f>
        <v/>
      </c>
      <c r="D157" s="81" t="str">
        <f t="shared" ca="1" si="12"/>
        <v/>
      </c>
      <c r="E157" s="82"/>
      <c r="F157" s="83" t="str">
        <f t="shared" si="13"/>
        <v/>
      </c>
      <c r="G157" s="23"/>
      <c r="H157" s="84"/>
      <c r="I157" s="85" t="str">
        <f>IF(A157="","Pending",IF(H157="","⚠️ Enter Code",IF(IFERROR(VLOOKUP(G157,DB_Agents!$B:$I,8,0),"")=H157,IF(AND(A157&lt;&gt;"",E157&lt;&gt;""),"Saved","Pending"),"🔒 BLOCKED — Wrong Code")))</f>
        <v>Pending</v>
      </c>
      <c r="J157" s="86" t="str">
        <f t="shared" ca="1" si="14"/>
        <v>—</v>
      </c>
      <c r="K157" s="87"/>
    </row>
    <row r="158" spans="1:11" x14ac:dyDescent="0.25">
      <c r="A158" s="88"/>
      <c r="B158" s="25" t="str">
        <f>IF(A158="","",IFERROR(VLOOKUP(A158,DB_Customers!$A:$D,4,0),"❌ Account Not Found"))</f>
        <v/>
      </c>
      <c r="C158" s="89" t="str">
        <f>IF(A158="","",IFERROR(VLOOKUP(A158,DB_Customers!$A:$N,14,0),""))</f>
        <v/>
      </c>
      <c r="D158" s="90" t="str">
        <f t="shared" ca="1" si="12"/>
        <v/>
      </c>
      <c r="E158" s="82"/>
      <c r="F158" s="91" t="str">
        <f t="shared" si="13"/>
        <v/>
      </c>
      <c r="G158" s="27"/>
      <c r="H158" s="84"/>
      <c r="I158" s="92" t="str">
        <f>IF(A158="","Pending",IF(H158="","⚠️ Enter Code",IF(IFERROR(VLOOKUP(G158,DB_Agents!$B:$I,8,0),"")=H158,IF(AND(A158&lt;&gt;"",E158&lt;&gt;""),"Saved","Pending"),"🔒 BLOCKED — Wrong Code")))</f>
        <v>Pending</v>
      </c>
      <c r="J158" s="93" t="str">
        <f t="shared" ca="1" si="14"/>
        <v>—</v>
      </c>
      <c r="K158" s="94"/>
    </row>
    <row r="159" spans="1:11" x14ac:dyDescent="0.25">
      <c r="A159" s="79"/>
      <c r="B159" s="21" t="str">
        <f>IF(A159="","",IFERROR(VLOOKUP(A159,DB_Customers!$A:$D,4,0),"❌ Account Not Found"))</f>
        <v/>
      </c>
      <c r="C159" s="80" t="str">
        <f>IF(A159="","",IFERROR(VLOOKUP(A159,DB_Customers!$A:$N,14,0),""))</f>
        <v/>
      </c>
      <c r="D159" s="81" t="str">
        <f t="shared" ca="1" si="12"/>
        <v/>
      </c>
      <c r="E159" s="82"/>
      <c r="F159" s="83" t="str">
        <f t="shared" si="13"/>
        <v/>
      </c>
      <c r="G159" s="23"/>
      <c r="H159" s="84"/>
      <c r="I159" s="85" t="str">
        <f>IF(A159="","Pending",IF(H159="","⚠️ Enter Code",IF(IFERROR(VLOOKUP(G159,DB_Agents!$B:$I,8,0),"")=H159,IF(AND(A159&lt;&gt;"",E159&lt;&gt;""),"Saved","Pending"),"🔒 BLOCKED — Wrong Code")))</f>
        <v>Pending</v>
      </c>
      <c r="J159" s="86" t="str">
        <f t="shared" ca="1" si="14"/>
        <v>—</v>
      </c>
      <c r="K159" s="87"/>
    </row>
    <row r="160" spans="1:11" x14ac:dyDescent="0.25">
      <c r="A160" s="88"/>
      <c r="B160" s="25" t="str">
        <f>IF(A160="","",IFERROR(VLOOKUP(A160,DB_Customers!$A:$D,4,0),"❌ Account Not Found"))</f>
        <v/>
      </c>
      <c r="C160" s="89" t="str">
        <f>IF(A160="","",IFERROR(VLOOKUP(A160,DB_Customers!$A:$N,14,0),""))</f>
        <v/>
      </c>
      <c r="D160" s="90" t="str">
        <f t="shared" ca="1" si="12"/>
        <v/>
      </c>
      <c r="E160" s="82"/>
      <c r="F160" s="91" t="str">
        <f t="shared" si="13"/>
        <v/>
      </c>
      <c r="G160" s="27"/>
      <c r="H160" s="84"/>
      <c r="I160" s="92" t="str">
        <f>IF(A160="","Pending",IF(H160="","⚠️ Enter Code",IF(IFERROR(VLOOKUP(G160,DB_Agents!$B:$I,8,0),"")=H160,IF(AND(A160&lt;&gt;"",E160&lt;&gt;""),"Saved","Pending"),"🔒 BLOCKED — Wrong Code")))</f>
        <v>Pending</v>
      </c>
      <c r="J160" s="93" t="str">
        <f t="shared" ca="1" si="14"/>
        <v>—</v>
      </c>
      <c r="K160" s="94"/>
    </row>
    <row r="161" spans="1:11" x14ac:dyDescent="0.25">
      <c r="A161" s="79"/>
      <c r="B161" s="21" t="str">
        <f>IF(A161="","",IFERROR(VLOOKUP(A161,DB_Customers!$A:$D,4,0),"❌ Account Not Found"))</f>
        <v/>
      </c>
      <c r="C161" s="80" t="str">
        <f>IF(A161="","",IFERROR(VLOOKUP(A161,DB_Customers!$A:$N,14,0),""))</f>
        <v/>
      </c>
      <c r="D161" s="81" t="str">
        <f t="shared" ca="1" si="12"/>
        <v/>
      </c>
      <c r="E161" s="82"/>
      <c r="F161" s="83" t="str">
        <f t="shared" si="13"/>
        <v/>
      </c>
      <c r="G161" s="23"/>
      <c r="H161" s="84"/>
      <c r="I161" s="85" t="str">
        <f>IF(A161="","Pending",IF(H161="","⚠️ Enter Code",IF(IFERROR(VLOOKUP(G161,DB_Agents!$B:$I,8,0),"")=H161,IF(AND(A161&lt;&gt;"",E161&lt;&gt;""),"Saved","Pending"),"🔒 BLOCKED — Wrong Code")))</f>
        <v>Pending</v>
      </c>
      <c r="J161" s="86" t="str">
        <f t="shared" ca="1" si="14"/>
        <v>—</v>
      </c>
      <c r="K161" s="87"/>
    </row>
    <row r="162" spans="1:11" x14ac:dyDescent="0.25">
      <c r="A162" s="88"/>
      <c r="B162" s="25" t="str">
        <f>IF(A162="","",IFERROR(VLOOKUP(A162,DB_Customers!$A:$D,4,0),"❌ Account Not Found"))</f>
        <v/>
      </c>
      <c r="C162" s="89" t="str">
        <f>IF(A162="","",IFERROR(VLOOKUP(A162,DB_Customers!$A:$N,14,0),""))</f>
        <v/>
      </c>
      <c r="D162" s="90" t="str">
        <f t="shared" ca="1" si="12"/>
        <v/>
      </c>
      <c r="E162" s="82"/>
      <c r="F162" s="91" t="str">
        <f t="shared" si="13"/>
        <v/>
      </c>
      <c r="G162" s="27"/>
      <c r="H162" s="84"/>
      <c r="I162" s="92" t="str">
        <f>IF(A162="","Pending",IF(H162="","⚠️ Enter Code",IF(IFERROR(VLOOKUP(G162,DB_Agents!$B:$I,8,0),"")=H162,IF(AND(A162&lt;&gt;"",E162&lt;&gt;""),"Saved","Pending"),"🔒 BLOCKED — Wrong Code")))</f>
        <v>Pending</v>
      </c>
      <c r="J162" s="93" t="str">
        <f t="shared" ca="1" si="14"/>
        <v>—</v>
      </c>
      <c r="K162" s="94"/>
    </row>
    <row r="163" spans="1:11" x14ac:dyDescent="0.25">
      <c r="A163" s="79"/>
      <c r="B163" s="21" t="str">
        <f>IF(A163="","",IFERROR(VLOOKUP(A163,DB_Customers!$A:$D,4,0),"❌ Account Not Found"))</f>
        <v/>
      </c>
      <c r="C163" s="80" t="str">
        <f>IF(A163="","",IFERROR(VLOOKUP(A163,DB_Customers!$A:$N,14,0),""))</f>
        <v/>
      </c>
      <c r="D163" s="81" t="str">
        <f t="shared" ca="1" si="12"/>
        <v/>
      </c>
      <c r="E163" s="82"/>
      <c r="F163" s="83" t="str">
        <f t="shared" si="13"/>
        <v/>
      </c>
      <c r="G163" s="23"/>
      <c r="H163" s="84"/>
      <c r="I163" s="85" t="str">
        <f>IF(A163="","Pending",IF(H163="","⚠️ Enter Code",IF(IFERROR(VLOOKUP(G163,DB_Agents!$B:$I,8,0),"")=H163,IF(AND(A163&lt;&gt;"",E163&lt;&gt;""),"Saved","Pending"),"🔒 BLOCKED — Wrong Code")))</f>
        <v>Pending</v>
      </c>
      <c r="J163" s="86" t="str">
        <f t="shared" ca="1" si="14"/>
        <v>—</v>
      </c>
      <c r="K163" s="87"/>
    </row>
    <row r="164" spans="1:11" x14ac:dyDescent="0.25">
      <c r="A164" s="88"/>
      <c r="B164" s="25" t="str">
        <f>IF(A164="","",IFERROR(VLOOKUP(A164,DB_Customers!$A:$D,4,0),"❌ Account Not Found"))</f>
        <v/>
      </c>
      <c r="C164" s="89" t="str">
        <f>IF(A164="","",IFERROR(VLOOKUP(A164,DB_Customers!$A:$N,14,0),""))</f>
        <v/>
      </c>
      <c r="D164" s="90" t="str">
        <f t="shared" ca="1" si="12"/>
        <v/>
      </c>
      <c r="E164" s="82"/>
      <c r="F164" s="91" t="str">
        <f t="shared" si="13"/>
        <v/>
      </c>
      <c r="G164" s="27"/>
      <c r="H164" s="84"/>
      <c r="I164" s="92" t="str">
        <f>IF(A164="","Pending",IF(H164="","⚠️ Enter Code",IF(IFERROR(VLOOKUP(G164,DB_Agents!$B:$I,8,0),"")=H164,IF(AND(A164&lt;&gt;"",E164&lt;&gt;""),"Saved","Pending"),"🔒 BLOCKED — Wrong Code")))</f>
        <v>Pending</v>
      </c>
      <c r="J164" s="93" t="str">
        <f t="shared" ca="1" si="14"/>
        <v>—</v>
      </c>
      <c r="K164" s="94"/>
    </row>
    <row r="165" spans="1:11" x14ac:dyDescent="0.25">
      <c r="A165" s="79"/>
      <c r="B165" s="21" t="str">
        <f>IF(A165="","",IFERROR(VLOOKUP(A165,DB_Customers!$A:$D,4,0),"❌ Account Not Found"))</f>
        <v/>
      </c>
      <c r="C165" s="80" t="str">
        <f>IF(A165="","",IFERROR(VLOOKUP(A165,DB_Customers!$A:$N,14,0),""))</f>
        <v/>
      </c>
      <c r="D165" s="81" t="str">
        <f t="shared" ca="1" si="12"/>
        <v/>
      </c>
      <c r="E165" s="82"/>
      <c r="F165" s="83" t="str">
        <f t="shared" si="13"/>
        <v/>
      </c>
      <c r="G165" s="23"/>
      <c r="H165" s="84"/>
      <c r="I165" s="85" t="str">
        <f>IF(A165="","Pending",IF(H165="","⚠️ Enter Code",IF(IFERROR(VLOOKUP(G165,DB_Agents!$B:$I,8,0),"")=H165,IF(AND(A165&lt;&gt;"",E165&lt;&gt;""),"Saved","Pending"),"🔒 BLOCKED — Wrong Code")))</f>
        <v>Pending</v>
      </c>
      <c r="J165" s="86" t="str">
        <f t="shared" ca="1" si="14"/>
        <v>—</v>
      </c>
      <c r="K165" s="87"/>
    </row>
    <row r="166" spans="1:11" x14ac:dyDescent="0.25">
      <c r="A166" s="88"/>
      <c r="B166" s="25" t="str">
        <f>IF(A166="","",IFERROR(VLOOKUP(A166,DB_Customers!$A:$D,4,0),"❌ Account Not Found"))</f>
        <v/>
      </c>
      <c r="C166" s="89" t="str">
        <f>IF(A166="","",IFERROR(VLOOKUP(A166,DB_Customers!$A:$N,14,0),""))</f>
        <v/>
      </c>
      <c r="D166" s="90" t="str">
        <f t="shared" ca="1" si="12"/>
        <v/>
      </c>
      <c r="E166" s="82"/>
      <c r="F166" s="91" t="str">
        <f t="shared" si="13"/>
        <v/>
      </c>
      <c r="G166" s="27"/>
      <c r="H166" s="84"/>
      <c r="I166" s="92" t="str">
        <f>IF(A166="","Pending",IF(H166="","⚠️ Enter Code",IF(IFERROR(VLOOKUP(G166,DB_Agents!$B:$I,8,0),"")=H166,IF(AND(A166&lt;&gt;"",E166&lt;&gt;""),"Saved","Pending"),"🔒 BLOCKED — Wrong Code")))</f>
        <v>Pending</v>
      </c>
      <c r="J166" s="93" t="str">
        <f t="shared" ca="1" si="14"/>
        <v>—</v>
      </c>
      <c r="K166" s="94"/>
    </row>
    <row r="167" spans="1:11" x14ac:dyDescent="0.25">
      <c r="A167" s="79"/>
      <c r="B167" s="21" t="str">
        <f>IF(A167="","",IFERROR(VLOOKUP(A167,DB_Customers!$A:$D,4,0),"❌ Account Not Found"))</f>
        <v/>
      </c>
      <c r="C167" s="80" t="str">
        <f>IF(A167="","",IFERROR(VLOOKUP(A167,DB_Customers!$A:$N,14,0),""))</f>
        <v/>
      </c>
      <c r="D167" s="81" t="str">
        <f t="shared" ca="1" si="12"/>
        <v/>
      </c>
      <c r="E167" s="82"/>
      <c r="F167" s="83" t="str">
        <f t="shared" si="13"/>
        <v/>
      </c>
      <c r="G167" s="23"/>
      <c r="H167" s="84"/>
      <c r="I167" s="85" t="str">
        <f>IF(A167="","Pending",IF(H167="","⚠️ Enter Code",IF(IFERROR(VLOOKUP(G167,DB_Agents!$B:$I,8,0),"")=H167,IF(AND(A167&lt;&gt;"",E167&lt;&gt;""),"Saved","Pending"),"🔒 BLOCKED — Wrong Code")))</f>
        <v>Pending</v>
      </c>
      <c r="J167" s="86" t="str">
        <f t="shared" ca="1" si="14"/>
        <v>—</v>
      </c>
      <c r="K167" s="87"/>
    </row>
    <row r="168" spans="1:11" x14ac:dyDescent="0.25">
      <c r="A168" s="88"/>
      <c r="B168" s="25" t="str">
        <f>IF(A168="","",IFERROR(VLOOKUP(A168,DB_Customers!$A:$D,4,0),"❌ Account Not Found"))</f>
        <v/>
      </c>
      <c r="C168" s="89" t="str">
        <f>IF(A168="","",IFERROR(VLOOKUP(A168,DB_Customers!$A:$N,14,0),""))</f>
        <v/>
      </c>
      <c r="D168" s="90" t="str">
        <f t="shared" ca="1" si="12"/>
        <v/>
      </c>
      <c r="E168" s="82"/>
      <c r="F168" s="91" t="str">
        <f t="shared" si="13"/>
        <v/>
      </c>
      <c r="G168" s="27"/>
      <c r="H168" s="84"/>
      <c r="I168" s="92" t="str">
        <f>IF(A168="","Pending",IF(H168="","⚠️ Enter Code",IF(IFERROR(VLOOKUP(G168,DB_Agents!$B:$I,8,0),"")=H168,IF(AND(A168&lt;&gt;"",E168&lt;&gt;""),"Saved","Pending"),"🔒 BLOCKED — Wrong Code")))</f>
        <v>Pending</v>
      </c>
      <c r="J168" s="93" t="str">
        <f t="shared" ca="1" si="14"/>
        <v>—</v>
      </c>
      <c r="K168" s="94"/>
    </row>
    <row r="169" spans="1:11" x14ac:dyDescent="0.25">
      <c r="A169" s="79"/>
      <c r="B169" s="21" t="str">
        <f>IF(A169="","",IFERROR(VLOOKUP(A169,DB_Customers!$A:$D,4,0),"❌ Account Not Found"))</f>
        <v/>
      </c>
      <c r="C169" s="80" t="str">
        <f>IF(A169="","",IFERROR(VLOOKUP(A169,DB_Customers!$A:$N,14,0),""))</f>
        <v/>
      </c>
      <c r="D169" s="81" t="str">
        <f t="shared" ref="D169:D200" ca="1" si="15">IF(A169="","",TODAY())</f>
        <v/>
      </c>
      <c r="E169" s="82"/>
      <c r="F169" s="83" t="str">
        <f t="shared" ref="F169:F200" si="16">IF(OR(A169="",E169=""),"",IF(C169="","",C169+E169))</f>
        <v/>
      </c>
      <c r="G169" s="23"/>
      <c r="H169" s="84"/>
      <c r="I169" s="85" t="str">
        <f>IF(A169="","Pending",IF(H169="","⚠️ Enter Code",IF(IFERROR(VLOOKUP(G169,DB_Agents!$B:$I,8,0),"")=H169,IF(AND(A169&lt;&gt;"",E169&lt;&gt;""),"Saved","Pending"),"🔒 BLOCKED — Wrong Code")))</f>
        <v>Pending</v>
      </c>
      <c r="J169" s="86" t="str">
        <f t="shared" ref="J169:J200" ca="1" si="17">IF(I169="Saved",TEXT(TODAY(),"YYYY-MM-DD")&amp;" Auto","—")</f>
        <v>—</v>
      </c>
      <c r="K169" s="87"/>
    </row>
    <row r="170" spans="1:11" x14ac:dyDescent="0.25">
      <c r="A170" s="88"/>
      <c r="B170" s="25" t="str">
        <f>IF(A170="","",IFERROR(VLOOKUP(A170,DB_Customers!$A:$D,4,0),"❌ Account Not Found"))</f>
        <v/>
      </c>
      <c r="C170" s="89" t="str">
        <f>IF(A170="","",IFERROR(VLOOKUP(A170,DB_Customers!$A:$N,14,0),""))</f>
        <v/>
      </c>
      <c r="D170" s="90" t="str">
        <f t="shared" ca="1" si="15"/>
        <v/>
      </c>
      <c r="E170" s="82"/>
      <c r="F170" s="91" t="str">
        <f t="shared" si="16"/>
        <v/>
      </c>
      <c r="G170" s="27"/>
      <c r="H170" s="84"/>
      <c r="I170" s="92" t="str">
        <f>IF(A170="","Pending",IF(H170="","⚠️ Enter Code",IF(IFERROR(VLOOKUP(G170,DB_Agents!$B:$I,8,0),"")=H170,IF(AND(A170&lt;&gt;"",E170&lt;&gt;""),"Saved","Pending"),"🔒 BLOCKED — Wrong Code")))</f>
        <v>Pending</v>
      </c>
      <c r="J170" s="93" t="str">
        <f t="shared" ca="1" si="17"/>
        <v>—</v>
      </c>
      <c r="K170" s="94"/>
    </row>
    <row r="171" spans="1:11" x14ac:dyDescent="0.25">
      <c r="A171" s="79"/>
      <c r="B171" s="21" t="str">
        <f>IF(A171="","",IFERROR(VLOOKUP(A171,DB_Customers!$A:$D,4,0),"❌ Account Not Found"))</f>
        <v/>
      </c>
      <c r="C171" s="80" t="str">
        <f>IF(A171="","",IFERROR(VLOOKUP(A171,DB_Customers!$A:$N,14,0),""))</f>
        <v/>
      </c>
      <c r="D171" s="81" t="str">
        <f t="shared" ca="1" si="15"/>
        <v/>
      </c>
      <c r="E171" s="82"/>
      <c r="F171" s="83" t="str">
        <f t="shared" si="16"/>
        <v/>
      </c>
      <c r="G171" s="23"/>
      <c r="H171" s="84"/>
      <c r="I171" s="85" t="str">
        <f>IF(A171="","Pending",IF(H171="","⚠️ Enter Code",IF(IFERROR(VLOOKUP(G171,DB_Agents!$B:$I,8,0),"")=H171,IF(AND(A171&lt;&gt;"",E171&lt;&gt;""),"Saved","Pending"),"🔒 BLOCKED — Wrong Code")))</f>
        <v>Pending</v>
      </c>
      <c r="J171" s="86" t="str">
        <f t="shared" ca="1" si="17"/>
        <v>—</v>
      </c>
      <c r="K171" s="87"/>
    </row>
    <row r="172" spans="1:11" x14ac:dyDescent="0.25">
      <c r="A172" s="88"/>
      <c r="B172" s="25" t="str">
        <f>IF(A172="","",IFERROR(VLOOKUP(A172,DB_Customers!$A:$D,4,0),"❌ Account Not Found"))</f>
        <v/>
      </c>
      <c r="C172" s="89" t="str">
        <f>IF(A172="","",IFERROR(VLOOKUP(A172,DB_Customers!$A:$N,14,0),""))</f>
        <v/>
      </c>
      <c r="D172" s="90" t="str">
        <f t="shared" ca="1" si="15"/>
        <v/>
      </c>
      <c r="E172" s="82"/>
      <c r="F172" s="91" t="str">
        <f t="shared" si="16"/>
        <v/>
      </c>
      <c r="G172" s="27"/>
      <c r="H172" s="84"/>
      <c r="I172" s="92" t="str">
        <f>IF(A172="","Pending",IF(H172="","⚠️ Enter Code",IF(IFERROR(VLOOKUP(G172,DB_Agents!$B:$I,8,0),"")=H172,IF(AND(A172&lt;&gt;"",E172&lt;&gt;""),"Saved","Pending"),"🔒 BLOCKED — Wrong Code")))</f>
        <v>Pending</v>
      </c>
      <c r="J172" s="93" t="str">
        <f t="shared" ca="1" si="17"/>
        <v>—</v>
      </c>
      <c r="K172" s="94"/>
    </row>
    <row r="173" spans="1:11" x14ac:dyDescent="0.25">
      <c r="A173" s="79"/>
      <c r="B173" s="21" t="str">
        <f>IF(A173="","",IFERROR(VLOOKUP(A173,DB_Customers!$A:$D,4,0),"❌ Account Not Found"))</f>
        <v/>
      </c>
      <c r="C173" s="80" t="str">
        <f>IF(A173="","",IFERROR(VLOOKUP(A173,DB_Customers!$A:$N,14,0),""))</f>
        <v/>
      </c>
      <c r="D173" s="81" t="str">
        <f t="shared" ca="1" si="15"/>
        <v/>
      </c>
      <c r="E173" s="82"/>
      <c r="F173" s="83" t="str">
        <f t="shared" si="16"/>
        <v/>
      </c>
      <c r="G173" s="23"/>
      <c r="H173" s="84"/>
      <c r="I173" s="85" t="str">
        <f>IF(A173="","Pending",IF(H173="","⚠️ Enter Code",IF(IFERROR(VLOOKUP(G173,DB_Agents!$B:$I,8,0),"")=H173,IF(AND(A173&lt;&gt;"",E173&lt;&gt;""),"Saved","Pending"),"🔒 BLOCKED — Wrong Code")))</f>
        <v>Pending</v>
      </c>
      <c r="J173" s="86" t="str">
        <f t="shared" ca="1" si="17"/>
        <v>—</v>
      </c>
      <c r="K173" s="87"/>
    </row>
    <row r="174" spans="1:11" x14ac:dyDescent="0.25">
      <c r="A174" s="88"/>
      <c r="B174" s="25" t="str">
        <f>IF(A174="","",IFERROR(VLOOKUP(A174,DB_Customers!$A:$D,4,0),"❌ Account Not Found"))</f>
        <v/>
      </c>
      <c r="C174" s="89" t="str">
        <f>IF(A174="","",IFERROR(VLOOKUP(A174,DB_Customers!$A:$N,14,0),""))</f>
        <v/>
      </c>
      <c r="D174" s="90" t="str">
        <f t="shared" ca="1" si="15"/>
        <v/>
      </c>
      <c r="E174" s="82"/>
      <c r="F174" s="91" t="str">
        <f t="shared" si="16"/>
        <v/>
      </c>
      <c r="G174" s="27"/>
      <c r="H174" s="84"/>
      <c r="I174" s="92" t="str">
        <f>IF(A174="","Pending",IF(H174="","⚠️ Enter Code",IF(IFERROR(VLOOKUP(G174,DB_Agents!$B:$I,8,0),"")=H174,IF(AND(A174&lt;&gt;"",E174&lt;&gt;""),"Saved","Pending"),"🔒 BLOCKED — Wrong Code")))</f>
        <v>Pending</v>
      </c>
      <c r="J174" s="93" t="str">
        <f t="shared" ca="1" si="17"/>
        <v>—</v>
      </c>
      <c r="K174" s="94"/>
    </row>
    <row r="175" spans="1:11" x14ac:dyDescent="0.25">
      <c r="A175" s="79"/>
      <c r="B175" s="21" t="str">
        <f>IF(A175="","",IFERROR(VLOOKUP(A175,DB_Customers!$A:$D,4,0),"❌ Account Not Found"))</f>
        <v/>
      </c>
      <c r="C175" s="80" t="str">
        <f>IF(A175="","",IFERROR(VLOOKUP(A175,DB_Customers!$A:$N,14,0),""))</f>
        <v/>
      </c>
      <c r="D175" s="81" t="str">
        <f t="shared" ca="1" si="15"/>
        <v/>
      </c>
      <c r="E175" s="82"/>
      <c r="F175" s="83" t="str">
        <f t="shared" si="16"/>
        <v/>
      </c>
      <c r="G175" s="23"/>
      <c r="H175" s="84"/>
      <c r="I175" s="85" t="str">
        <f>IF(A175="","Pending",IF(H175="","⚠️ Enter Code",IF(IFERROR(VLOOKUP(G175,DB_Agents!$B:$I,8,0),"")=H175,IF(AND(A175&lt;&gt;"",E175&lt;&gt;""),"Saved","Pending"),"🔒 BLOCKED — Wrong Code")))</f>
        <v>Pending</v>
      </c>
      <c r="J175" s="86" t="str">
        <f t="shared" ca="1" si="17"/>
        <v>—</v>
      </c>
      <c r="K175" s="87"/>
    </row>
    <row r="176" spans="1:11" x14ac:dyDescent="0.25">
      <c r="A176" s="88"/>
      <c r="B176" s="25" t="str">
        <f>IF(A176="","",IFERROR(VLOOKUP(A176,DB_Customers!$A:$D,4,0),"❌ Account Not Found"))</f>
        <v/>
      </c>
      <c r="C176" s="89" t="str">
        <f>IF(A176="","",IFERROR(VLOOKUP(A176,DB_Customers!$A:$N,14,0),""))</f>
        <v/>
      </c>
      <c r="D176" s="90" t="str">
        <f t="shared" ca="1" si="15"/>
        <v/>
      </c>
      <c r="E176" s="82"/>
      <c r="F176" s="91" t="str">
        <f t="shared" si="16"/>
        <v/>
      </c>
      <c r="G176" s="27"/>
      <c r="H176" s="84"/>
      <c r="I176" s="92" t="str">
        <f>IF(A176="","Pending",IF(H176="","⚠️ Enter Code",IF(IFERROR(VLOOKUP(G176,DB_Agents!$B:$I,8,0),"")=H176,IF(AND(A176&lt;&gt;"",E176&lt;&gt;""),"Saved","Pending"),"🔒 BLOCKED — Wrong Code")))</f>
        <v>Pending</v>
      </c>
      <c r="J176" s="93" t="str">
        <f t="shared" ca="1" si="17"/>
        <v>—</v>
      </c>
      <c r="K176" s="94"/>
    </row>
    <row r="177" spans="1:11" x14ac:dyDescent="0.25">
      <c r="A177" s="79"/>
      <c r="B177" s="21" t="str">
        <f>IF(A177="","",IFERROR(VLOOKUP(A177,DB_Customers!$A:$D,4,0),"❌ Account Not Found"))</f>
        <v/>
      </c>
      <c r="C177" s="80" t="str">
        <f>IF(A177="","",IFERROR(VLOOKUP(A177,DB_Customers!$A:$N,14,0),""))</f>
        <v/>
      </c>
      <c r="D177" s="81" t="str">
        <f t="shared" ca="1" si="15"/>
        <v/>
      </c>
      <c r="E177" s="82"/>
      <c r="F177" s="83" t="str">
        <f t="shared" si="16"/>
        <v/>
      </c>
      <c r="G177" s="23"/>
      <c r="H177" s="84"/>
      <c r="I177" s="85" t="str">
        <f>IF(A177="","Pending",IF(H177="","⚠️ Enter Code",IF(IFERROR(VLOOKUP(G177,DB_Agents!$B:$I,8,0),"")=H177,IF(AND(A177&lt;&gt;"",E177&lt;&gt;""),"Saved","Pending"),"🔒 BLOCKED — Wrong Code")))</f>
        <v>Pending</v>
      </c>
      <c r="J177" s="86" t="str">
        <f t="shared" ca="1" si="17"/>
        <v>—</v>
      </c>
      <c r="K177" s="87"/>
    </row>
    <row r="178" spans="1:11" x14ac:dyDescent="0.25">
      <c r="A178" s="88"/>
      <c r="B178" s="25" t="str">
        <f>IF(A178="","",IFERROR(VLOOKUP(A178,DB_Customers!$A:$D,4,0),"❌ Account Not Found"))</f>
        <v/>
      </c>
      <c r="C178" s="89" t="str">
        <f>IF(A178="","",IFERROR(VLOOKUP(A178,DB_Customers!$A:$N,14,0),""))</f>
        <v/>
      </c>
      <c r="D178" s="90" t="str">
        <f t="shared" ca="1" si="15"/>
        <v/>
      </c>
      <c r="E178" s="82"/>
      <c r="F178" s="91" t="str">
        <f t="shared" si="16"/>
        <v/>
      </c>
      <c r="G178" s="27"/>
      <c r="H178" s="84"/>
      <c r="I178" s="92" t="str">
        <f>IF(A178="","Pending",IF(H178="","⚠️ Enter Code",IF(IFERROR(VLOOKUP(G178,DB_Agents!$B:$I,8,0),"")=H178,IF(AND(A178&lt;&gt;"",E178&lt;&gt;""),"Saved","Pending"),"🔒 BLOCKED — Wrong Code")))</f>
        <v>Pending</v>
      </c>
      <c r="J178" s="93" t="str">
        <f t="shared" ca="1" si="17"/>
        <v>—</v>
      </c>
      <c r="K178" s="94"/>
    </row>
    <row r="179" spans="1:11" x14ac:dyDescent="0.25">
      <c r="A179" s="79"/>
      <c r="B179" s="21" t="str">
        <f>IF(A179="","",IFERROR(VLOOKUP(A179,DB_Customers!$A:$D,4,0),"❌ Account Not Found"))</f>
        <v/>
      </c>
      <c r="C179" s="80" t="str">
        <f>IF(A179="","",IFERROR(VLOOKUP(A179,DB_Customers!$A:$N,14,0),""))</f>
        <v/>
      </c>
      <c r="D179" s="81" t="str">
        <f t="shared" ca="1" si="15"/>
        <v/>
      </c>
      <c r="E179" s="82"/>
      <c r="F179" s="83" t="str">
        <f t="shared" si="16"/>
        <v/>
      </c>
      <c r="G179" s="23"/>
      <c r="H179" s="84"/>
      <c r="I179" s="85" t="str">
        <f>IF(A179="","Pending",IF(H179="","⚠️ Enter Code",IF(IFERROR(VLOOKUP(G179,DB_Agents!$B:$I,8,0),"")=H179,IF(AND(A179&lt;&gt;"",E179&lt;&gt;""),"Saved","Pending"),"🔒 BLOCKED — Wrong Code")))</f>
        <v>Pending</v>
      </c>
      <c r="J179" s="86" t="str">
        <f t="shared" ca="1" si="17"/>
        <v>—</v>
      </c>
      <c r="K179" s="87"/>
    </row>
    <row r="180" spans="1:11" x14ac:dyDescent="0.25">
      <c r="A180" s="88"/>
      <c r="B180" s="25" t="str">
        <f>IF(A180="","",IFERROR(VLOOKUP(A180,DB_Customers!$A:$D,4,0),"❌ Account Not Found"))</f>
        <v/>
      </c>
      <c r="C180" s="89" t="str">
        <f>IF(A180="","",IFERROR(VLOOKUP(A180,DB_Customers!$A:$N,14,0),""))</f>
        <v/>
      </c>
      <c r="D180" s="90" t="str">
        <f t="shared" ca="1" si="15"/>
        <v/>
      </c>
      <c r="E180" s="82"/>
      <c r="F180" s="91" t="str">
        <f t="shared" si="16"/>
        <v/>
      </c>
      <c r="G180" s="27"/>
      <c r="H180" s="84"/>
      <c r="I180" s="92" t="str">
        <f>IF(A180="","Pending",IF(H180="","⚠️ Enter Code",IF(IFERROR(VLOOKUP(G180,DB_Agents!$B:$I,8,0),"")=H180,IF(AND(A180&lt;&gt;"",E180&lt;&gt;""),"Saved","Pending"),"🔒 BLOCKED — Wrong Code")))</f>
        <v>Pending</v>
      </c>
      <c r="J180" s="93" t="str">
        <f t="shared" ca="1" si="17"/>
        <v>—</v>
      </c>
      <c r="K180" s="94"/>
    </row>
    <row r="181" spans="1:11" x14ac:dyDescent="0.25">
      <c r="A181" s="79"/>
      <c r="B181" s="21" t="str">
        <f>IF(A181="","",IFERROR(VLOOKUP(A181,DB_Customers!$A:$D,4,0),"❌ Account Not Found"))</f>
        <v/>
      </c>
      <c r="C181" s="80" t="str">
        <f>IF(A181="","",IFERROR(VLOOKUP(A181,DB_Customers!$A:$N,14,0),""))</f>
        <v/>
      </c>
      <c r="D181" s="81" t="str">
        <f t="shared" ca="1" si="15"/>
        <v/>
      </c>
      <c r="E181" s="82"/>
      <c r="F181" s="83" t="str">
        <f t="shared" si="16"/>
        <v/>
      </c>
      <c r="G181" s="23"/>
      <c r="H181" s="84"/>
      <c r="I181" s="85" t="str">
        <f>IF(A181="","Pending",IF(H181="","⚠️ Enter Code",IF(IFERROR(VLOOKUP(G181,DB_Agents!$B:$I,8,0),"")=H181,IF(AND(A181&lt;&gt;"",E181&lt;&gt;""),"Saved","Pending"),"🔒 BLOCKED — Wrong Code")))</f>
        <v>Pending</v>
      </c>
      <c r="J181" s="86" t="str">
        <f t="shared" ca="1" si="17"/>
        <v>—</v>
      </c>
      <c r="K181" s="87"/>
    </row>
    <row r="182" spans="1:11" x14ac:dyDescent="0.25">
      <c r="A182" s="88"/>
      <c r="B182" s="25" t="str">
        <f>IF(A182="","",IFERROR(VLOOKUP(A182,DB_Customers!$A:$D,4,0),"❌ Account Not Found"))</f>
        <v/>
      </c>
      <c r="C182" s="89" t="str">
        <f>IF(A182="","",IFERROR(VLOOKUP(A182,DB_Customers!$A:$N,14,0),""))</f>
        <v/>
      </c>
      <c r="D182" s="90" t="str">
        <f t="shared" ca="1" si="15"/>
        <v/>
      </c>
      <c r="E182" s="82"/>
      <c r="F182" s="91" t="str">
        <f t="shared" si="16"/>
        <v/>
      </c>
      <c r="G182" s="27"/>
      <c r="H182" s="84"/>
      <c r="I182" s="92" t="str">
        <f>IF(A182="","Pending",IF(H182="","⚠️ Enter Code",IF(IFERROR(VLOOKUP(G182,DB_Agents!$B:$I,8,0),"")=H182,IF(AND(A182&lt;&gt;"",E182&lt;&gt;""),"Saved","Pending"),"🔒 BLOCKED — Wrong Code")))</f>
        <v>Pending</v>
      </c>
      <c r="J182" s="93" t="str">
        <f t="shared" ca="1" si="17"/>
        <v>—</v>
      </c>
      <c r="K182" s="94"/>
    </row>
    <row r="183" spans="1:11" x14ac:dyDescent="0.25">
      <c r="A183" s="79"/>
      <c r="B183" s="21" t="str">
        <f>IF(A183="","",IFERROR(VLOOKUP(A183,DB_Customers!$A:$D,4,0),"❌ Account Not Found"))</f>
        <v/>
      </c>
      <c r="C183" s="80" t="str">
        <f>IF(A183="","",IFERROR(VLOOKUP(A183,DB_Customers!$A:$N,14,0),""))</f>
        <v/>
      </c>
      <c r="D183" s="81" t="str">
        <f t="shared" ca="1" si="15"/>
        <v/>
      </c>
      <c r="E183" s="82"/>
      <c r="F183" s="83" t="str">
        <f t="shared" si="16"/>
        <v/>
      </c>
      <c r="G183" s="23"/>
      <c r="H183" s="84"/>
      <c r="I183" s="85" t="str">
        <f>IF(A183="","Pending",IF(H183="","⚠️ Enter Code",IF(IFERROR(VLOOKUP(G183,DB_Agents!$B:$I,8,0),"")=H183,IF(AND(A183&lt;&gt;"",E183&lt;&gt;""),"Saved","Pending"),"🔒 BLOCKED — Wrong Code")))</f>
        <v>Pending</v>
      </c>
      <c r="J183" s="86" t="str">
        <f t="shared" ca="1" si="17"/>
        <v>—</v>
      </c>
      <c r="K183" s="87"/>
    </row>
    <row r="184" spans="1:11" x14ac:dyDescent="0.25">
      <c r="A184" s="88"/>
      <c r="B184" s="25" t="str">
        <f>IF(A184="","",IFERROR(VLOOKUP(A184,DB_Customers!$A:$D,4,0),"❌ Account Not Found"))</f>
        <v/>
      </c>
      <c r="C184" s="89" t="str">
        <f>IF(A184="","",IFERROR(VLOOKUP(A184,DB_Customers!$A:$N,14,0),""))</f>
        <v/>
      </c>
      <c r="D184" s="90" t="str">
        <f t="shared" ca="1" si="15"/>
        <v/>
      </c>
      <c r="E184" s="82"/>
      <c r="F184" s="91" t="str">
        <f t="shared" si="16"/>
        <v/>
      </c>
      <c r="G184" s="27"/>
      <c r="H184" s="84"/>
      <c r="I184" s="92" t="str">
        <f>IF(A184="","Pending",IF(H184="","⚠️ Enter Code",IF(IFERROR(VLOOKUP(G184,DB_Agents!$B:$I,8,0),"")=H184,IF(AND(A184&lt;&gt;"",E184&lt;&gt;""),"Saved","Pending"),"🔒 BLOCKED — Wrong Code")))</f>
        <v>Pending</v>
      </c>
      <c r="J184" s="93" t="str">
        <f t="shared" ca="1" si="17"/>
        <v>—</v>
      </c>
      <c r="K184" s="94"/>
    </row>
    <row r="185" spans="1:11" x14ac:dyDescent="0.25">
      <c r="A185" s="79"/>
      <c r="B185" s="21" t="str">
        <f>IF(A185="","",IFERROR(VLOOKUP(A185,DB_Customers!$A:$D,4,0),"❌ Account Not Found"))</f>
        <v/>
      </c>
      <c r="C185" s="80" t="str">
        <f>IF(A185="","",IFERROR(VLOOKUP(A185,DB_Customers!$A:$N,14,0),""))</f>
        <v/>
      </c>
      <c r="D185" s="81" t="str">
        <f t="shared" ca="1" si="15"/>
        <v/>
      </c>
      <c r="E185" s="82"/>
      <c r="F185" s="83" t="str">
        <f t="shared" si="16"/>
        <v/>
      </c>
      <c r="G185" s="23"/>
      <c r="H185" s="84"/>
      <c r="I185" s="85" t="str">
        <f>IF(A185="","Pending",IF(H185="","⚠️ Enter Code",IF(IFERROR(VLOOKUP(G185,DB_Agents!$B:$I,8,0),"")=H185,IF(AND(A185&lt;&gt;"",E185&lt;&gt;""),"Saved","Pending"),"🔒 BLOCKED — Wrong Code")))</f>
        <v>Pending</v>
      </c>
      <c r="J185" s="86" t="str">
        <f t="shared" ca="1" si="17"/>
        <v>—</v>
      </c>
      <c r="K185" s="87"/>
    </row>
    <row r="186" spans="1:11" x14ac:dyDescent="0.25">
      <c r="A186" s="88"/>
      <c r="B186" s="25" t="str">
        <f>IF(A186="","",IFERROR(VLOOKUP(A186,DB_Customers!$A:$D,4,0),"❌ Account Not Found"))</f>
        <v/>
      </c>
      <c r="C186" s="89" t="str">
        <f>IF(A186="","",IFERROR(VLOOKUP(A186,DB_Customers!$A:$N,14,0),""))</f>
        <v/>
      </c>
      <c r="D186" s="90" t="str">
        <f t="shared" ca="1" si="15"/>
        <v/>
      </c>
      <c r="E186" s="82"/>
      <c r="F186" s="91" t="str">
        <f t="shared" si="16"/>
        <v/>
      </c>
      <c r="G186" s="27"/>
      <c r="H186" s="84"/>
      <c r="I186" s="92" t="str">
        <f>IF(A186="","Pending",IF(H186="","⚠️ Enter Code",IF(IFERROR(VLOOKUP(G186,DB_Agents!$B:$I,8,0),"")=H186,IF(AND(A186&lt;&gt;"",E186&lt;&gt;""),"Saved","Pending"),"🔒 BLOCKED — Wrong Code")))</f>
        <v>Pending</v>
      </c>
      <c r="J186" s="93" t="str">
        <f t="shared" ca="1" si="17"/>
        <v>—</v>
      </c>
      <c r="K186" s="94"/>
    </row>
    <row r="187" spans="1:11" x14ac:dyDescent="0.25">
      <c r="A187" s="79"/>
      <c r="B187" s="21" t="str">
        <f>IF(A187="","",IFERROR(VLOOKUP(A187,DB_Customers!$A:$D,4,0),"❌ Account Not Found"))</f>
        <v/>
      </c>
      <c r="C187" s="80" t="str">
        <f>IF(A187="","",IFERROR(VLOOKUP(A187,DB_Customers!$A:$N,14,0),""))</f>
        <v/>
      </c>
      <c r="D187" s="81" t="str">
        <f t="shared" ca="1" si="15"/>
        <v/>
      </c>
      <c r="E187" s="82"/>
      <c r="F187" s="83" t="str">
        <f t="shared" si="16"/>
        <v/>
      </c>
      <c r="G187" s="23"/>
      <c r="H187" s="84"/>
      <c r="I187" s="85" t="str">
        <f>IF(A187="","Pending",IF(H187="","⚠️ Enter Code",IF(IFERROR(VLOOKUP(G187,DB_Agents!$B:$I,8,0),"")=H187,IF(AND(A187&lt;&gt;"",E187&lt;&gt;""),"Saved","Pending"),"🔒 BLOCKED — Wrong Code")))</f>
        <v>Pending</v>
      </c>
      <c r="J187" s="86" t="str">
        <f t="shared" ca="1" si="17"/>
        <v>—</v>
      </c>
      <c r="K187" s="87"/>
    </row>
    <row r="188" spans="1:11" x14ac:dyDescent="0.25">
      <c r="A188" s="88"/>
      <c r="B188" s="25" t="str">
        <f>IF(A188="","",IFERROR(VLOOKUP(A188,DB_Customers!$A:$D,4,0),"❌ Account Not Found"))</f>
        <v/>
      </c>
      <c r="C188" s="89" t="str">
        <f>IF(A188="","",IFERROR(VLOOKUP(A188,DB_Customers!$A:$N,14,0),""))</f>
        <v/>
      </c>
      <c r="D188" s="90" t="str">
        <f t="shared" ca="1" si="15"/>
        <v/>
      </c>
      <c r="E188" s="82"/>
      <c r="F188" s="91" t="str">
        <f t="shared" si="16"/>
        <v/>
      </c>
      <c r="G188" s="27"/>
      <c r="H188" s="84"/>
      <c r="I188" s="92" t="str">
        <f>IF(A188="","Pending",IF(H188="","⚠️ Enter Code",IF(IFERROR(VLOOKUP(G188,DB_Agents!$B:$I,8,0),"")=H188,IF(AND(A188&lt;&gt;"",E188&lt;&gt;""),"Saved","Pending"),"🔒 BLOCKED — Wrong Code")))</f>
        <v>Pending</v>
      </c>
      <c r="J188" s="93" t="str">
        <f t="shared" ca="1" si="17"/>
        <v>—</v>
      </c>
      <c r="K188" s="94"/>
    </row>
    <row r="189" spans="1:11" x14ac:dyDescent="0.25">
      <c r="A189" s="79"/>
      <c r="B189" s="21" t="str">
        <f>IF(A189="","",IFERROR(VLOOKUP(A189,DB_Customers!$A:$D,4,0),"❌ Account Not Found"))</f>
        <v/>
      </c>
      <c r="C189" s="80" t="str">
        <f>IF(A189="","",IFERROR(VLOOKUP(A189,DB_Customers!$A:$N,14,0),""))</f>
        <v/>
      </c>
      <c r="D189" s="81" t="str">
        <f t="shared" ca="1" si="15"/>
        <v/>
      </c>
      <c r="E189" s="82"/>
      <c r="F189" s="83" t="str">
        <f t="shared" si="16"/>
        <v/>
      </c>
      <c r="G189" s="23"/>
      <c r="H189" s="84"/>
      <c r="I189" s="85" t="str">
        <f>IF(A189="","Pending",IF(H189="","⚠️ Enter Code",IF(IFERROR(VLOOKUP(G189,DB_Agents!$B:$I,8,0),"")=H189,IF(AND(A189&lt;&gt;"",E189&lt;&gt;""),"Saved","Pending"),"🔒 BLOCKED — Wrong Code")))</f>
        <v>Pending</v>
      </c>
      <c r="J189" s="86" t="str">
        <f t="shared" ca="1" si="17"/>
        <v>—</v>
      </c>
      <c r="K189" s="87"/>
    </row>
    <row r="190" spans="1:11" x14ac:dyDescent="0.25">
      <c r="A190" s="88"/>
      <c r="B190" s="25" t="str">
        <f>IF(A190="","",IFERROR(VLOOKUP(A190,DB_Customers!$A:$D,4,0),"❌ Account Not Found"))</f>
        <v/>
      </c>
      <c r="C190" s="89" t="str">
        <f>IF(A190="","",IFERROR(VLOOKUP(A190,DB_Customers!$A:$N,14,0),""))</f>
        <v/>
      </c>
      <c r="D190" s="90" t="str">
        <f t="shared" ca="1" si="15"/>
        <v/>
      </c>
      <c r="E190" s="82"/>
      <c r="F190" s="91" t="str">
        <f t="shared" si="16"/>
        <v/>
      </c>
      <c r="G190" s="27"/>
      <c r="H190" s="84"/>
      <c r="I190" s="92" t="str">
        <f>IF(A190="","Pending",IF(H190="","⚠️ Enter Code",IF(IFERROR(VLOOKUP(G190,DB_Agents!$B:$I,8,0),"")=H190,IF(AND(A190&lt;&gt;"",E190&lt;&gt;""),"Saved","Pending"),"🔒 BLOCKED — Wrong Code")))</f>
        <v>Pending</v>
      </c>
      <c r="J190" s="93" t="str">
        <f t="shared" ca="1" si="17"/>
        <v>—</v>
      </c>
      <c r="K190" s="94"/>
    </row>
    <row r="191" spans="1:11" x14ac:dyDescent="0.25">
      <c r="A191" s="79"/>
      <c r="B191" s="21" t="str">
        <f>IF(A191="","",IFERROR(VLOOKUP(A191,DB_Customers!$A:$D,4,0),"❌ Account Not Found"))</f>
        <v/>
      </c>
      <c r="C191" s="80" t="str">
        <f>IF(A191="","",IFERROR(VLOOKUP(A191,DB_Customers!$A:$N,14,0),""))</f>
        <v/>
      </c>
      <c r="D191" s="81" t="str">
        <f t="shared" ca="1" si="15"/>
        <v/>
      </c>
      <c r="E191" s="82"/>
      <c r="F191" s="83" t="str">
        <f t="shared" si="16"/>
        <v/>
      </c>
      <c r="G191" s="23"/>
      <c r="H191" s="84"/>
      <c r="I191" s="85" t="str">
        <f>IF(A191="","Pending",IF(H191="","⚠️ Enter Code",IF(IFERROR(VLOOKUP(G191,DB_Agents!$B:$I,8,0),"")=H191,IF(AND(A191&lt;&gt;"",E191&lt;&gt;""),"Saved","Pending"),"🔒 BLOCKED — Wrong Code")))</f>
        <v>Pending</v>
      </c>
      <c r="J191" s="86" t="str">
        <f t="shared" ca="1" si="17"/>
        <v>—</v>
      </c>
      <c r="K191" s="87"/>
    </row>
    <row r="192" spans="1:11" x14ac:dyDescent="0.25">
      <c r="A192" s="88"/>
      <c r="B192" s="25" t="str">
        <f>IF(A192="","",IFERROR(VLOOKUP(A192,DB_Customers!$A:$D,4,0),"❌ Account Not Found"))</f>
        <v/>
      </c>
      <c r="C192" s="89" t="str">
        <f>IF(A192="","",IFERROR(VLOOKUP(A192,DB_Customers!$A:$N,14,0),""))</f>
        <v/>
      </c>
      <c r="D192" s="90" t="str">
        <f t="shared" ca="1" si="15"/>
        <v/>
      </c>
      <c r="E192" s="82"/>
      <c r="F192" s="91" t="str">
        <f t="shared" si="16"/>
        <v/>
      </c>
      <c r="G192" s="27"/>
      <c r="H192" s="84"/>
      <c r="I192" s="92" t="str">
        <f>IF(A192="","Pending",IF(H192="","⚠️ Enter Code",IF(IFERROR(VLOOKUP(G192,DB_Agents!$B:$I,8,0),"")=H192,IF(AND(A192&lt;&gt;"",E192&lt;&gt;""),"Saved","Pending"),"🔒 BLOCKED — Wrong Code")))</f>
        <v>Pending</v>
      </c>
      <c r="J192" s="93" t="str">
        <f t="shared" ca="1" si="17"/>
        <v>—</v>
      </c>
      <c r="K192" s="94"/>
    </row>
    <row r="193" spans="1:11" x14ac:dyDescent="0.25">
      <c r="A193" s="79"/>
      <c r="B193" s="21" t="str">
        <f>IF(A193="","",IFERROR(VLOOKUP(A193,DB_Customers!$A:$D,4,0),"❌ Account Not Found"))</f>
        <v/>
      </c>
      <c r="C193" s="80" t="str">
        <f>IF(A193="","",IFERROR(VLOOKUP(A193,DB_Customers!$A:$N,14,0),""))</f>
        <v/>
      </c>
      <c r="D193" s="81" t="str">
        <f t="shared" ca="1" si="15"/>
        <v/>
      </c>
      <c r="E193" s="82"/>
      <c r="F193" s="83" t="str">
        <f t="shared" si="16"/>
        <v/>
      </c>
      <c r="G193" s="23"/>
      <c r="H193" s="84"/>
      <c r="I193" s="85" t="str">
        <f>IF(A193="","Pending",IF(H193="","⚠️ Enter Code",IF(IFERROR(VLOOKUP(G193,DB_Agents!$B:$I,8,0),"")=H193,IF(AND(A193&lt;&gt;"",E193&lt;&gt;""),"Saved","Pending"),"🔒 BLOCKED — Wrong Code")))</f>
        <v>Pending</v>
      </c>
      <c r="J193" s="86" t="str">
        <f t="shared" ca="1" si="17"/>
        <v>—</v>
      </c>
      <c r="K193" s="87"/>
    </row>
    <row r="194" spans="1:11" x14ac:dyDescent="0.25">
      <c r="A194" s="88"/>
      <c r="B194" s="25" t="str">
        <f>IF(A194="","",IFERROR(VLOOKUP(A194,DB_Customers!$A:$D,4,0),"❌ Account Not Found"))</f>
        <v/>
      </c>
      <c r="C194" s="89" t="str">
        <f>IF(A194="","",IFERROR(VLOOKUP(A194,DB_Customers!$A:$N,14,0),""))</f>
        <v/>
      </c>
      <c r="D194" s="90" t="str">
        <f t="shared" ca="1" si="15"/>
        <v/>
      </c>
      <c r="E194" s="82"/>
      <c r="F194" s="91" t="str">
        <f t="shared" si="16"/>
        <v/>
      </c>
      <c r="G194" s="27"/>
      <c r="H194" s="84"/>
      <c r="I194" s="92" t="str">
        <f>IF(A194="","Pending",IF(H194="","⚠️ Enter Code",IF(IFERROR(VLOOKUP(G194,DB_Agents!$B:$I,8,0),"")=H194,IF(AND(A194&lt;&gt;"",E194&lt;&gt;""),"Saved","Pending"),"🔒 BLOCKED — Wrong Code")))</f>
        <v>Pending</v>
      </c>
      <c r="J194" s="93" t="str">
        <f t="shared" ca="1" si="17"/>
        <v>—</v>
      </c>
      <c r="K194" s="94"/>
    </row>
    <row r="195" spans="1:11" x14ac:dyDescent="0.25">
      <c r="A195" s="79"/>
      <c r="B195" s="21" t="str">
        <f>IF(A195="","",IFERROR(VLOOKUP(A195,DB_Customers!$A:$D,4,0),"❌ Account Not Found"))</f>
        <v/>
      </c>
      <c r="C195" s="80" t="str">
        <f>IF(A195="","",IFERROR(VLOOKUP(A195,DB_Customers!$A:$N,14,0),""))</f>
        <v/>
      </c>
      <c r="D195" s="81" t="str">
        <f t="shared" ca="1" si="15"/>
        <v/>
      </c>
      <c r="E195" s="82"/>
      <c r="F195" s="83" t="str">
        <f t="shared" si="16"/>
        <v/>
      </c>
      <c r="G195" s="23"/>
      <c r="H195" s="84"/>
      <c r="I195" s="85" t="str">
        <f>IF(A195="","Pending",IF(H195="","⚠️ Enter Code",IF(IFERROR(VLOOKUP(G195,DB_Agents!$B:$I,8,0),"")=H195,IF(AND(A195&lt;&gt;"",E195&lt;&gt;""),"Saved","Pending"),"🔒 BLOCKED — Wrong Code")))</f>
        <v>Pending</v>
      </c>
      <c r="J195" s="86" t="str">
        <f t="shared" ca="1" si="17"/>
        <v>—</v>
      </c>
      <c r="K195" s="87"/>
    </row>
    <row r="196" spans="1:11" x14ac:dyDescent="0.25">
      <c r="A196" s="88"/>
      <c r="B196" s="25" t="str">
        <f>IF(A196="","",IFERROR(VLOOKUP(A196,DB_Customers!$A:$D,4,0),"❌ Account Not Found"))</f>
        <v/>
      </c>
      <c r="C196" s="89" t="str">
        <f>IF(A196="","",IFERROR(VLOOKUP(A196,DB_Customers!$A:$N,14,0),""))</f>
        <v/>
      </c>
      <c r="D196" s="90" t="str">
        <f t="shared" ca="1" si="15"/>
        <v/>
      </c>
      <c r="E196" s="82"/>
      <c r="F196" s="91" t="str">
        <f t="shared" si="16"/>
        <v/>
      </c>
      <c r="G196" s="27"/>
      <c r="H196" s="84"/>
      <c r="I196" s="92" t="str">
        <f>IF(A196="","Pending",IF(H196="","⚠️ Enter Code",IF(IFERROR(VLOOKUP(G196,DB_Agents!$B:$I,8,0),"")=H196,IF(AND(A196&lt;&gt;"",E196&lt;&gt;""),"Saved","Pending"),"🔒 BLOCKED — Wrong Code")))</f>
        <v>Pending</v>
      </c>
      <c r="J196" s="93" t="str">
        <f t="shared" ca="1" si="17"/>
        <v>—</v>
      </c>
      <c r="K196" s="94"/>
    </row>
    <row r="197" spans="1:11" x14ac:dyDescent="0.25">
      <c r="A197" s="79"/>
      <c r="B197" s="21" t="str">
        <f>IF(A197="","",IFERROR(VLOOKUP(A197,DB_Customers!$A:$D,4,0),"❌ Account Not Found"))</f>
        <v/>
      </c>
      <c r="C197" s="80" t="str">
        <f>IF(A197="","",IFERROR(VLOOKUP(A197,DB_Customers!$A:$N,14,0),""))</f>
        <v/>
      </c>
      <c r="D197" s="81" t="str">
        <f t="shared" ca="1" si="15"/>
        <v/>
      </c>
      <c r="E197" s="82"/>
      <c r="F197" s="83" t="str">
        <f t="shared" si="16"/>
        <v/>
      </c>
      <c r="G197" s="23"/>
      <c r="H197" s="84"/>
      <c r="I197" s="85" t="str">
        <f>IF(A197="","Pending",IF(H197="","⚠️ Enter Code",IF(IFERROR(VLOOKUP(G197,DB_Agents!$B:$I,8,0),"")=H197,IF(AND(A197&lt;&gt;"",E197&lt;&gt;""),"Saved","Pending"),"🔒 BLOCKED — Wrong Code")))</f>
        <v>Pending</v>
      </c>
      <c r="J197" s="86" t="str">
        <f t="shared" ca="1" si="17"/>
        <v>—</v>
      </c>
      <c r="K197" s="87"/>
    </row>
    <row r="198" spans="1:11" x14ac:dyDescent="0.25">
      <c r="A198" s="88"/>
      <c r="B198" s="25" t="str">
        <f>IF(A198="","",IFERROR(VLOOKUP(A198,DB_Customers!$A:$D,4,0),"❌ Account Not Found"))</f>
        <v/>
      </c>
      <c r="C198" s="89" t="str">
        <f>IF(A198="","",IFERROR(VLOOKUP(A198,DB_Customers!$A:$N,14,0),""))</f>
        <v/>
      </c>
      <c r="D198" s="90" t="str">
        <f t="shared" ca="1" si="15"/>
        <v/>
      </c>
      <c r="E198" s="82"/>
      <c r="F198" s="91" t="str">
        <f t="shared" si="16"/>
        <v/>
      </c>
      <c r="G198" s="27"/>
      <c r="H198" s="84"/>
      <c r="I198" s="92" t="str">
        <f>IF(A198="","Pending",IF(H198="","⚠️ Enter Code",IF(IFERROR(VLOOKUP(G198,DB_Agents!$B:$I,8,0),"")=H198,IF(AND(A198&lt;&gt;"",E198&lt;&gt;""),"Saved","Pending"),"🔒 BLOCKED — Wrong Code")))</f>
        <v>Pending</v>
      </c>
      <c r="J198" s="93" t="str">
        <f t="shared" ca="1" si="17"/>
        <v>—</v>
      </c>
      <c r="K198" s="94"/>
    </row>
    <row r="199" spans="1:11" x14ac:dyDescent="0.25">
      <c r="A199" s="79"/>
      <c r="B199" s="21" t="str">
        <f>IF(A199="","",IFERROR(VLOOKUP(A199,DB_Customers!$A:$D,4,0),"❌ Account Not Found"))</f>
        <v/>
      </c>
      <c r="C199" s="80" t="str">
        <f>IF(A199="","",IFERROR(VLOOKUP(A199,DB_Customers!$A:$N,14,0),""))</f>
        <v/>
      </c>
      <c r="D199" s="81" t="str">
        <f t="shared" ca="1" si="15"/>
        <v/>
      </c>
      <c r="E199" s="82"/>
      <c r="F199" s="83" t="str">
        <f t="shared" si="16"/>
        <v/>
      </c>
      <c r="G199" s="23"/>
      <c r="H199" s="84"/>
      <c r="I199" s="85" t="str">
        <f>IF(A199="","Pending",IF(H199="","⚠️ Enter Code",IF(IFERROR(VLOOKUP(G199,DB_Agents!$B:$I,8,0),"")=H199,IF(AND(A199&lt;&gt;"",E199&lt;&gt;""),"Saved","Pending"),"🔒 BLOCKED — Wrong Code")))</f>
        <v>Pending</v>
      </c>
      <c r="J199" s="86" t="str">
        <f t="shared" ca="1" si="17"/>
        <v>—</v>
      </c>
      <c r="K199" s="87"/>
    </row>
    <row r="200" spans="1:11" x14ac:dyDescent="0.25">
      <c r="A200" s="88"/>
      <c r="B200" s="25" t="str">
        <f>IF(A200="","",IFERROR(VLOOKUP(A200,DB_Customers!$A:$D,4,0),"❌ Account Not Found"))</f>
        <v/>
      </c>
      <c r="C200" s="89" t="str">
        <f>IF(A200="","",IFERROR(VLOOKUP(A200,DB_Customers!$A:$N,14,0),""))</f>
        <v/>
      </c>
      <c r="D200" s="90" t="str">
        <f t="shared" ca="1" si="15"/>
        <v/>
      </c>
      <c r="E200" s="82"/>
      <c r="F200" s="91" t="str">
        <f t="shared" si="16"/>
        <v/>
      </c>
      <c r="G200" s="27"/>
      <c r="H200" s="84"/>
      <c r="I200" s="92" t="str">
        <f>IF(A200="","Pending",IF(H200="","⚠️ Enter Code",IF(IFERROR(VLOOKUP(G200,DB_Agents!$B:$I,8,0),"")=H200,IF(AND(A200&lt;&gt;"",E200&lt;&gt;""),"Saved","Pending"),"🔒 BLOCKED — Wrong Code")))</f>
        <v>Pending</v>
      </c>
      <c r="J200" s="93" t="str">
        <f t="shared" ca="1" si="17"/>
        <v>—</v>
      </c>
      <c r="K200" s="94"/>
    </row>
    <row r="201" spans="1:11" x14ac:dyDescent="0.25">
      <c r="A201" s="79"/>
      <c r="B201" s="21" t="str">
        <f>IF(A201="","",IFERROR(VLOOKUP(A201,DB_Customers!$A:$D,4,0),"❌ Account Not Found"))</f>
        <v/>
      </c>
      <c r="C201" s="80" t="str">
        <f>IF(A201="","",IFERROR(VLOOKUP(A201,DB_Customers!$A:$N,14,0),""))</f>
        <v/>
      </c>
      <c r="D201" s="81" t="str">
        <f t="shared" ref="D201:D208" ca="1" si="18">IF(A201="","",TODAY())</f>
        <v/>
      </c>
      <c r="E201" s="82"/>
      <c r="F201" s="83" t="str">
        <f t="shared" ref="F201:F232" si="19">IF(OR(A201="",E201=""),"",IF(C201="","",C201+E201))</f>
        <v/>
      </c>
      <c r="G201" s="23"/>
      <c r="H201" s="84"/>
      <c r="I201" s="85" t="str">
        <f>IF(A201="","Pending",IF(H201="","⚠️ Enter Code",IF(IFERROR(VLOOKUP(G201,DB_Agents!$B:$I,8,0),"")=H201,IF(AND(A201&lt;&gt;"",E201&lt;&gt;""),"Saved","Pending"),"🔒 BLOCKED — Wrong Code")))</f>
        <v>Pending</v>
      </c>
      <c r="J201" s="86" t="str">
        <f t="shared" ref="J201:J232" ca="1" si="20">IF(I201="Saved",TEXT(TODAY(),"YYYY-MM-DD")&amp;" Auto","—")</f>
        <v>—</v>
      </c>
      <c r="K201" s="87"/>
    </row>
    <row r="202" spans="1:11" x14ac:dyDescent="0.25">
      <c r="A202" s="88"/>
      <c r="B202" s="25" t="str">
        <f>IF(A202="","",IFERROR(VLOOKUP(A202,DB_Customers!$A:$D,4,0),"❌ Account Not Found"))</f>
        <v/>
      </c>
      <c r="C202" s="89" t="str">
        <f>IF(A202="","",IFERROR(VLOOKUP(A202,DB_Customers!$A:$N,14,0),""))</f>
        <v/>
      </c>
      <c r="D202" s="90" t="str">
        <f t="shared" ca="1" si="18"/>
        <v/>
      </c>
      <c r="E202" s="82"/>
      <c r="F202" s="91" t="str">
        <f t="shared" si="19"/>
        <v/>
      </c>
      <c r="G202" s="27"/>
      <c r="H202" s="84"/>
      <c r="I202" s="92" t="str">
        <f>IF(A202="","Pending",IF(H202="","⚠️ Enter Code",IF(IFERROR(VLOOKUP(G202,DB_Agents!$B:$I,8,0),"")=H202,IF(AND(A202&lt;&gt;"",E202&lt;&gt;""),"Saved","Pending"),"🔒 BLOCKED — Wrong Code")))</f>
        <v>Pending</v>
      </c>
      <c r="J202" s="93" t="str">
        <f t="shared" ca="1" si="20"/>
        <v>—</v>
      </c>
      <c r="K202" s="94"/>
    </row>
    <row r="203" spans="1:11" x14ac:dyDescent="0.25">
      <c r="A203" s="79"/>
      <c r="B203" s="21" t="str">
        <f>IF(A203="","",IFERROR(VLOOKUP(A203,DB_Customers!$A:$D,4,0),"❌ Account Not Found"))</f>
        <v/>
      </c>
      <c r="C203" s="80" t="str">
        <f>IF(A203="","",IFERROR(VLOOKUP(A203,DB_Customers!$A:$N,14,0),""))</f>
        <v/>
      </c>
      <c r="D203" s="81" t="str">
        <f t="shared" ca="1" si="18"/>
        <v/>
      </c>
      <c r="E203" s="82"/>
      <c r="F203" s="83" t="str">
        <f t="shared" si="19"/>
        <v/>
      </c>
      <c r="G203" s="23"/>
      <c r="H203" s="84"/>
      <c r="I203" s="85" t="str">
        <f>IF(A203="","Pending",IF(H203="","⚠️ Enter Code",IF(IFERROR(VLOOKUP(G203,DB_Agents!$B:$I,8,0),"")=H203,IF(AND(A203&lt;&gt;"",E203&lt;&gt;""),"Saved","Pending"),"🔒 BLOCKED — Wrong Code")))</f>
        <v>Pending</v>
      </c>
      <c r="J203" s="86" t="str">
        <f t="shared" ca="1" si="20"/>
        <v>—</v>
      </c>
      <c r="K203" s="87"/>
    </row>
    <row r="204" spans="1:11" x14ac:dyDescent="0.25">
      <c r="A204" s="88"/>
      <c r="B204" s="25" t="str">
        <f>IF(A204="","",IFERROR(VLOOKUP(A204,DB_Customers!$A:$D,4,0),"❌ Account Not Found"))</f>
        <v/>
      </c>
      <c r="C204" s="89" t="str">
        <f>IF(A204="","",IFERROR(VLOOKUP(A204,DB_Customers!$A:$N,14,0),""))</f>
        <v/>
      </c>
      <c r="D204" s="90" t="str">
        <f t="shared" ca="1" si="18"/>
        <v/>
      </c>
      <c r="E204" s="82"/>
      <c r="F204" s="91" t="str">
        <f t="shared" si="19"/>
        <v/>
      </c>
      <c r="G204" s="27"/>
      <c r="H204" s="84"/>
      <c r="I204" s="92" t="str">
        <f>IF(A204="","Pending",IF(H204="","⚠️ Enter Code",IF(IFERROR(VLOOKUP(G204,DB_Agents!$B:$I,8,0),"")=H204,IF(AND(A204&lt;&gt;"",E204&lt;&gt;""),"Saved","Pending"),"🔒 BLOCKED — Wrong Code")))</f>
        <v>Pending</v>
      </c>
      <c r="J204" s="93" t="str">
        <f t="shared" ca="1" si="20"/>
        <v>—</v>
      </c>
      <c r="K204" s="94"/>
    </row>
    <row r="205" spans="1:11" x14ac:dyDescent="0.25">
      <c r="A205" s="79"/>
      <c r="B205" s="21" t="str">
        <f>IF(A205="","",IFERROR(VLOOKUP(A205,DB_Customers!$A:$D,4,0),"❌ Account Not Found"))</f>
        <v/>
      </c>
      <c r="C205" s="80" t="str">
        <f>IF(A205="","",IFERROR(VLOOKUP(A205,DB_Customers!$A:$N,14,0),""))</f>
        <v/>
      </c>
      <c r="D205" s="81" t="str">
        <f t="shared" ca="1" si="18"/>
        <v/>
      </c>
      <c r="E205" s="82"/>
      <c r="F205" s="83" t="str">
        <f t="shared" si="19"/>
        <v/>
      </c>
      <c r="G205" s="23"/>
      <c r="H205" s="84"/>
      <c r="I205" s="85" t="str">
        <f>IF(A205="","Pending",IF(H205="","⚠️ Enter Code",IF(IFERROR(VLOOKUP(G205,DB_Agents!$B:$I,8,0),"")=H205,IF(AND(A205&lt;&gt;"",E205&lt;&gt;""),"Saved","Pending"),"🔒 BLOCKED — Wrong Code")))</f>
        <v>Pending</v>
      </c>
      <c r="J205" s="86" t="str">
        <f t="shared" ca="1" si="20"/>
        <v>—</v>
      </c>
      <c r="K205" s="87"/>
    </row>
    <row r="206" spans="1:11" x14ac:dyDescent="0.25">
      <c r="A206" s="88"/>
      <c r="B206" s="25" t="str">
        <f>IF(A206="","",IFERROR(VLOOKUP(A206,DB_Customers!$A:$D,4,0),"❌ Account Not Found"))</f>
        <v/>
      </c>
      <c r="C206" s="89" t="str">
        <f>IF(A206="","",IFERROR(VLOOKUP(A206,DB_Customers!$A:$N,14,0),""))</f>
        <v/>
      </c>
      <c r="D206" s="90" t="str">
        <f t="shared" ca="1" si="18"/>
        <v/>
      </c>
      <c r="E206" s="82"/>
      <c r="F206" s="91" t="str">
        <f t="shared" si="19"/>
        <v/>
      </c>
      <c r="G206" s="27"/>
      <c r="H206" s="84"/>
      <c r="I206" s="92" t="str">
        <f>IF(A206="","Pending",IF(H206="","⚠️ Enter Code",IF(IFERROR(VLOOKUP(G206,DB_Agents!$B:$I,8,0),"")=H206,IF(AND(A206&lt;&gt;"",E206&lt;&gt;""),"Saved","Pending"),"🔒 BLOCKED — Wrong Code")))</f>
        <v>Pending</v>
      </c>
      <c r="J206" s="93" t="str">
        <f t="shared" ca="1" si="20"/>
        <v>—</v>
      </c>
      <c r="K206" s="94"/>
    </row>
    <row r="207" spans="1:11" x14ac:dyDescent="0.25">
      <c r="A207" s="79"/>
      <c r="B207" s="21" t="str">
        <f>IF(A207="","",IFERROR(VLOOKUP(A207,DB_Customers!$A:$D,4,0),"❌ Account Not Found"))</f>
        <v/>
      </c>
      <c r="C207" s="80" t="str">
        <f>IF(A207="","",IFERROR(VLOOKUP(A207,DB_Customers!$A:$N,14,0),""))</f>
        <v/>
      </c>
      <c r="D207" s="81" t="str">
        <f t="shared" ca="1" si="18"/>
        <v/>
      </c>
      <c r="E207" s="82"/>
      <c r="F207" s="83" t="str">
        <f t="shared" si="19"/>
        <v/>
      </c>
      <c r="G207" s="23"/>
      <c r="H207" s="84"/>
      <c r="I207" s="85" t="str">
        <f>IF(A207="","Pending",IF(H207="","⚠️ Enter Code",IF(IFERROR(VLOOKUP(G207,DB_Agents!$B:$I,8,0),"")=H207,IF(AND(A207&lt;&gt;"",E207&lt;&gt;""),"Saved","Pending"),"🔒 BLOCKED — Wrong Code")))</f>
        <v>Pending</v>
      </c>
      <c r="J207" s="86" t="str">
        <f t="shared" ca="1" si="20"/>
        <v>—</v>
      </c>
      <c r="K207" s="87"/>
    </row>
    <row r="208" spans="1:11" x14ac:dyDescent="0.25">
      <c r="A208" s="88"/>
      <c r="B208" s="25" t="str">
        <f>IF(A208="","",IFERROR(VLOOKUP(A208,DB_Customers!$A:$D,4,0),"❌ Account Not Found"))</f>
        <v/>
      </c>
      <c r="C208" s="89" t="str">
        <f>IF(A208="","",IFERROR(VLOOKUP(A208,DB_Customers!$A:$N,14,0),""))</f>
        <v/>
      </c>
      <c r="D208" s="90" t="str">
        <f t="shared" ca="1" si="18"/>
        <v/>
      </c>
      <c r="E208" s="82"/>
      <c r="F208" s="91" t="str">
        <f t="shared" si="19"/>
        <v/>
      </c>
      <c r="G208" s="27"/>
      <c r="H208" s="84"/>
      <c r="I208" s="92" t="str">
        <f>IF(A208="","Pending",IF(H208="","⚠️ Enter Code",IF(IFERROR(VLOOKUP(G208,DB_Agents!$B:$I,8,0),"")=H208,IF(AND(A208&lt;&gt;"",E208&lt;&gt;""),"Saved","Pending"),"🔒 BLOCKED — Wrong Code")))</f>
        <v>Pending</v>
      </c>
      <c r="J208" s="93" t="str">
        <f t="shared" ca="1" si="20"/>
        <v>—</v>
      </c>
      <c r="K208" s="94"/>
    </row>
  </sheetData>
  <mergeCells count="12">
    <mergeCell ref="A7:L7"/>
    <mergeCell ref="A4:C4"/>
    <mergeCell ref="D4:F4"/>
    <mergeCell ref="G4:I4"/>
    <mergeCell ref="J4:L4"/>
    <mergeCell ref="A5:L5"/>
    <mergeCell ref="A1:L1"/>
    <mergeCell ref="A2:L2"/>
    <mergeCell ref="A3:C3"/>
    <mergeCell ref="D3:F3"/>
    <mergeCell ref="G3:I3"/>
    <mergeCell ref="J3:L3"/>
  </mergeCells>
  <conditionalFormatting sqref="H9:H208">
    <cfRule type="cellIs" dxfId="92" priority="2" operator="equal">
      <formula>"Saved"</formula>
    </cfRule>
    <cfRule type="cellIs" dxfId="91" priority="3" operator="equal">
      <formula>"Pending"</formula>
    </cfRule>
  </conditionalFormatting>
  <conditionalFormatting sqref="A9:J208">
    <cfRule type="expression" dxfId="90" priority="4">
      <formula>$H9="Saved"</formula>
    </cfRule>
  </conditionalFormatting>
  <dataValidations count="2">
    <dataValidation type="decimal" operator="greaterThan" showErrorMessage="1" error="Must be &gt; 0" sqref="E9:E208" xr:uid="{00000000-0002-0000-0800-000000000000}">
      <formula1>0</formula1>
      <formula2>0</formula2>
    </dataValidation>
    <dataValidation type="list" sqref="G9:G208" xr:uid="{00000000-0002-0000-08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C0392B"/>
  </sheetPr>
  <dimension ref="A1:M208"/>
  <sheetViews>
    <sheetView zoomScaleNormal="100" workbookViewId="0">
      <pane ySplit="8" topLeftCell="A9" activePane="bottomLeft" state="frozen"/>
      <selection pane="bottomLeft"/>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5" customWidth="1"/>
    <col min="8" max="8" width="12" customWidth="1"/>
    <col min="9" max="9" width="14" customWidth="1"/>
    <col min="10" max="10" width="22" customWidth="1"/>
    <col min="11" max="11" width="20" customWidth="1"/>
  </cols>
  <sheetData>
    <row r="1" spans="1:13" ht="31.5" customHeight="1" x14ac:dyDescent="0.25">
      <c r="A1" s="210" t="s">
        <v>197</v>
      </c>
      <c r="B1" s="210"/>
      <c r="C1" s="210"/>
      <c r="D1" s="210"/>
      <c r="E1" s="210"/>
      <c r="F1" s="210"/>
      <c r="G1" s="210"/>
      <c r="H1" s="210"/>
      <c r="I1" s="210"/>
      <c r="J1" s="210"/>
      <c r="K1" s="210"/>
      <c r="L1" s="210"/>
      <c r="M1" s="210"/>
    </row>
    <row r="2" spans="1:13" ht="19.5" customHeight="1" x14ac:dyDescent="0.25">
      <c r="A2" s="211" t="s">
        <v>198</v>
      </c>
      <c r="B2" s="211"/>
      <c r="C2" s="211"/>
      <c r="D2" s="211"/>
      <c r="E2" s="211"/>
      <c r="F2" s="211"/>
      <c r="G2" s="211"/>
      <c r="H2" s="211"/>
      <c r="I2" s="211"/>
      <c r="J2" s="211"/>
      <c r="K2" s="211"/>
      <c r="L2" s="211"/>
      <c r="M2" s="211"/>
    </row>
    <row r="3" spans="1:13" ht="18" customHeight="1" x14ac:dyDescent="0.25">
      <c r="A3" s="178" t="s">
        <v>180</v>
      </c>
      <c r="B3" s="178"/>
      <c r="C3" s="178"/>
      <c r="D3" s="177" t="s">
        <v>181</v>
      </c>
      <c r="E3" s="177"/>
      <c r="F3" s="177"/>
      <c r="G3" s="19" t="s">
        <v>182</v>
      </c>
      <c r="K3" s="48" t="s">
        <v>169</v>
      </c>
    </row>
    <row r="4" spans="1:13" ht="27.75" customHeight="1" x14ac:dyDescent="0.25">
      <c r="A4" s="212">
        <f ca="1">SUMIFS(DB_Withdrawals!$G:$G,DB_Withdrawals!$J:$J,"Agent 02",DB_Withdrawals!$F:$F,TODAY())</f>
        <v>0</v>
      </c>
      <c r="B4" s="212"/>
      <c r="C4" s="212"/>
      <c r="D4" s="213">
        <f ca="1">COUNTIFS(DB_Withdrawals!$J:$J,"Agent 02",DB_Withdrawals!$K:$K,"Successful",DB_Withdrawals!$F:$F,TODAY())</f>
        <v>0</v>
      </c>
      <c r="E4" s="213"/>
      <c r="F4" s="213"/>
      <c r="G4" s="95">
        <f ca="1">COUNTIFS(DB_Withdrawals!$J:$J,"Agent 02",DB_Withdrawals!$K:$K,"Unsuccessful",DB_Withdrawals!$F:$F,TODAY())</f>
        <v>0</v>
      </c>
      <c r="K4" s="77" t="str">
        <f ca="1">TEXT(TODAY(),"DD MMM YYYY")</f>
        <v>19 Apr 2026</v>
      </c>
    </row>
    <row r="5" spans="1:13" ht="19.5" customHeight="1" x14ac:dyDescent="0.25">
      <c r="A5" s="214" t="s">
        <v>183</v>
      </c>
      <c r="B5" s="214"/>
      <c r="C5" s="214"/>
      <c r="D5" s="214"/>
      <c r="E5" s="214"/>
      <c r="F5" s="214"/>
      <c r="G5" s="214"/>
      <c r="H5" s="214"/>
      <c r="I5" s="214"/>
      <c r="J5" s="214"/>
      <c r="K5" s="214"/>
      <c r="L5" s="214"/>
      <c r="M5" s="214"/>
    </row>
    <row r="6" spans="1:13" ht="7.5" customHeight="1" x14ac:dyDescent="0.25"/>
    <row r="7" spans="1:13" ht="19.5" customHeight="1" x14ac:dyDescent="0.25">
      <c r="A7" s="215" t="s">
        <v>184</v>
      </c>
      <c r="B7" s="215"/>
      <c r="C7" s="215"/>
      <c r="D7" s="215"/>
      <c r="E7" s="215"/>
      <c r="F7" s="215"/>
      <c r="G7" s="215"/>
      <c r="H7" s="215"/>
      <c r="I7" s="215"/>
      <c r="J7" s="215"/>
      <c r="K7" s="215"/>
      <c r="L7" s="215"/>
      <c r="M7" s="215"/>
    </row>
    <row r="8" spans="1:13" ht="19.5" customHeight="1" x14ac:dyDescent="0.25">
      <c r="A8" s="96" t="s">
        <v>171</v>
      </c>
      <c r="B8" s="96" t="s">
        <v>118</v>
      </c>
      <c r="C8" s="96" t="s">
        <v>185</v>
      </c>
      <c r="D8" s="96" t="s">
        <v>111</v>
      </c>
      <c r="E8" s="96" t="s">
        <v>186</v>
      </c>
      <c r="F8" s="96" t="s">
        <v>187</v>
      </c>
      <c r="G8" s="96" t="s">
        <v>174</v>
      </c>
      <c r="H8" s="96" t="s">
        <v>32</v>
      </c>
      <c r="I8" s="78" t="s">
        <v>175</v>
      </c>
      <c r="J8" s="96" t="s">
        <v>155</v>
      </c>
      <c r="K8" s="96" t="s">
        <v>176</v>
      </c>
      <c r="L8" s="96" t="s">
        <v>177</v>
      </c>
    </row>
    <row r="9" spans="1:13" x14ac:dyDescent="0.25">
      <c r="A9" s="79"/>
      <c r="B9" s="21" t="str">
        <f>IF(A9="","",IFERROR(VLOOKUP(A9,DB_Customers!$A:$D,4,0),"❌ Account Not Found"))</f>
        <v/>
      </c>
      <c r="C9" s="80" t="str">
        <f>IF(A9="","",IFERROR(VLOOKUP(A9,DB_Customers!$A:$N,14,0),""))</f>
        <v/>
      </c>
      <c r="D9" s="81" t="str">
        <f t="shared" ref="D9:D40" ca="1" si="0">IF(A9="","",TODAY())</f>
        <v/>
      </c>
      <c r="E9" s="97"/>
      <c r="F9" s="21"/>
      <c r="G9" s="98" t="str">
        <f t="shared" ref="G9:G40" si="1">IF(OR(A9="",E9=""),"",IF(C9="","",C9-E9))</f>
        <v/>
      </c>
      <c r="H9" s="23" t="s">
        <v>42</v>
      </c>
      <c r="I9" s="84"/>
      <c r="J9" s="85" t="str">
        <f>IF(AND(A9&lt;&gt;"",E9&lt;&gt;""),IF(I9="","⚠️ Enter Code",IF(IFERROR(VLOOKUP(H9,DB_Agents!$B:$I,8,0),"")=I9,IF(C9&gt;=E9,"Successful","Unsuccessful"),"🔒 BLOCKED — Wrong Code")),"—")</f>
        <v>—</v>
      </c>
      <c r="K9" s="86" t="str">
        <f t="shared" ref="K9:K40" ca="1" si="2">IF(J9="Successful",TEXT(TODAY(),"YYYY-MM-DD")&amp;" Auto","—")</f>
        <v>—</v>
      </c>
      <c r="L9" s="87"/>
    </row>
    <row r="10" spans="1:13" x14ac:dyDescent="0.25">
      <c r="A10" s="88"/>
      <c r="B10" s="25" t="str">
        <f>IF(A10="","",IFERROR(VLOOKUP(A10,DB_Customers!$A:$D,4,0),"❌ Account Not Found"))</f>
        <v/>
      </c>
      <c r="C10" s="89" t="str">
        <f>IF(A10="","",IFERROR(VLOOKUP(A10,DB_Customers!$A:$N,14,0),""))</f>
        <v/>
      </c>
      <c r="D10" s="90" t="str">
        <f t="shared" ca="1" si="0"/>
        <v/>
      </c>
      <c r="E10" s="97"/>
      <c r="F10" s="25"/>
      <c r="G10" s="99" t="str">
        <f t="shared" si="1"/>
        <v/>
      </c>
      <c r="H10" s="27" t="s">
        <v>42</v>
      </c>
      <c r="I10" s="84"/>
      <c r="J10" s="92" t="str">
        <f>IF(AND(A10&lt;&gt;"",E10&lt;&gt;""),IF(I10="","⚠️ Enter Code",IF(IFERROR(VLOOKUP(H10,DB_Agents!$B:$I,8,0),"")=I10,IF(C10&gt;=E10,"Successful","Unsuccessful"),"🔒 BLOCKED — Wrong Code")),"—")</f>
        <v>—</v>
      </c>
      <c r="K10" s="93" t="str">
        <f t="shared" ca="1" si="2"/>
        <v>—</v>
      </c>
      <c r="L10" s="94"/>
    </row>
    <row r="11" spans="1:13" x14ac:dyDescent="0.25">
      <c r="A11" s="79"/>
      <c r="B11" s="21" t="str">
        <f>IF(A11="","",IFERROR(VLOOKUP(A11,DB_Customers!$A:$D,4,0),"❌ Account Not Found"))</f>
        <v/>
      </c>
      <c r="C11" s="80" t="str">
        <f>IF(A11="","",IFERROR(VLOOKUP(A11,DB_Customers!$A:$N,14,0),""))</f>
        <v/>
      </c>
      <c r="D11" s="81" t="str">
        <f t="shared" ca="1" si="0"/>
        <v/>
      </c>
      <c r="E11" s="97"/>
      <c r="F11" s="21"/>
      <c r="G11" s="98" t="str">
        <f t="shared" si="1"/>
        <v/>
      </c>
      <c r="H11" s="23" t="s">
        <v>42</v>
      </c>
      <c r="I11" s="84"/>
      <c r="J11" s="85" t="str">
        <f>IF(AND(A11&lt;&gt;"",E11&lt;&gt;""),IF(I11="","⚠️ Enter Code",IF(IFERROR(VLOOKUP(H11,DB_Agents!$B:$I,8,0),"")=I11,IF(C11&gt;=E11,"Successful","Unsuccessful"),"🔒 BLOCKED — Wrong Code")),"—")</f>
        <v>—</v>
      </c>
      <c r="K11" s="86" t="str">
        <f t="shared" ca="1" si="2"/>
        <v>—</v>
      </c>
      <c r="L11" s="87"/>
    </row>
    <row r="12" spans="1:13" x14ac:dyDescent="0.25">
      <c r="A12" s="88"/>
      <c r="B12" s="25" t="str">
        <f>IF(A12="","",IFERROR(VLOOKUP(A12,DB_Customers!$A:$D,4,0),"❌ Account Not Found"))</f>
        <v/>
      </c>
      <c r="C12" s="89" t="str">
        <f>IF(A12="","",IFERROR(VLOOKUP(A12,DB_Customers!$A:$N,14,0),""))</f>
        <v/>
      </c>
      <c r="D12" s="90" t="str">
        <f t="shared" ca="1" si="0"/>
        <v/>
      </c>
      <c r="E12" s="97"/>
      <c r="F12" s="25"/>
      <c r="G12" s="99" t="str">
        <f t="shared" si="1"/>
        <v/>
      </c>
      <c r="H12" s="27" t="s">
        <v>42</v>
      </c>
      <c r="I12" s="84"/>
      <c r="J12" s="92" t="str">
        <f>IF(AND(A12&lt;&gt;"",E12&lt;&gt;""),IF(I12="","⚠️ Enter Code",IF(IFERROR(VLOOKUP(H12,DB_Agents!$B:$I,8,0),"")=I12,IF(C12&gt;=E12,"Successful","Unsuccessful"),"🔒 BLOCKED — Wrong Code")),"—")</f>
        <v>—</v>
      </c>
      <c r="K12" s="93" t="str">
        <f t="shared" ca="1" si="2"/>
        <v>—</v>
      </c>
      <c r="L12" s="94"/>
    </row>
    <row r="13" spans="1:13" x14ac:dyDescent="0.25">
      <c r="A13" s="79"/>
      <c r="B13" s="21" t="str">
        <f>IF(A13="","",IFERROR(VLOOKUP(A13,DB_Customers!$A:$D,4,0),"❌ Account Not Found"))</f>
        <v/>
      </c>
      <c r="C13" s="80" t="str">
        <f>IF(A13="","",IFERROR(VLOOKUP(A13,DB_Customers!$A:$N,14,0),""))</f>
        <v/>
      </c>
      <c r="D13" s="81" t="str">
        <f t="shared" ca="1" si="0"/>
        <v/>
      </c>
      <c r="E13" s="97"/>
      <c r="F13" s="21"/>
      <c r="G13" s="98" t="str">
        <f t="shared" si="1"/>
        <v/>
      </c>
      <c r="H13" s="23" t="s">
        <v>42</v>
      </c>
      <c r="I13" s="84"/>
      <c r="J13" s="85" t="str">
        <f>IF(AND(A13&lt;&gt;"",E13&lt;&gt;""),IF(I13="","⚠️ Enter Code",IF(IFERROR(VLOOKUP(H13,DB_Agents!$B:$I,8,0),"")=I13,IF(C13&gt;=E13,"Successful","Unsuccessful"),"🔒 BLOCKED — Wrong Code")),"—")</f>
        <v>—</v>
      </c>
      <c r="K13" s="86" t="str">
        <f t="shared" ca="1" si="2"/>
        <v>—</v>
      </c>
      <c r="L13" s="87"/>
    </row>
    <row r="14" spans="1:13" x14ac:dyDescent="0.25">
      <c r="A14" s="88"/>
      <c r="B14" s="25" t="str">
        <f>IF(A14="","",IFERROR(VLOOKUP(A14,DB_Customers!$A:$D,4,0),"❌ Account Not Found"))</f>
        <v/>
      </c>
      <c r="C14" s="89" t="str">
        <f>IF(A14="","",IFERROR(VLOOKUP(A14,DB_Customers!$A:$N,14,0),""))</f>
        <v/>
      </c>
      <c r="D14" s="90" t="str">
        <f t="shared" ca="1" si="0"/>
        <v/>
      </c>
      <c r="E14" s="97"/>
      <c r="F14" s="25"/>
      <c r="G14" s="99" t="str">
        <f t="shared" si="1"/>
        <v/>
      </c>
      <c r="H14" s="27"/>
      <c r="I14" s="84"/>
      <c r="J14" s="92" t="str">
        <f>IF(AND(A14&lt;&gt;"",E14&lt;&gt;""),IF(I14="","⚠️ Enter Code",IF(IFERROR(VLOOKUP(H14,DB_Agents!$B:$I,8,0),"")=I14,IF(C14&gt;=E14,"Successful","Unsuccessful"),"🔒 BLOCKED — Wrong Code")),"—")</f>
        <v>—</v>
      </c>
      <c r="K14" s="93" t="str">
        <f t="shared" ca="1" si="2"/>
        <v>—</v>
      </c>
      <c r="L14" s="94"/>
    </row>
    <row r="15" spans="1:13" x14ac:dyDescent="0.25">
      <c r="A15" s="79"/>
      <c r="B15" s="21" t="str">
        <f>IF(A15="","",IFERROR(VLOOKUP(A15,DB_Customers!$A:$D,4,0),"❌ Account Not Found"))</f>
        <v/>
      </c>
      <c r="C15" s="80" t="str">
        <f>IF(A15="","",IFERROR(VLOOKUP(A15,DB_Customers!$A:$N,14,0),""))</f>
        <v/>
      </c>
      <c r="D15" s="81" t="str">
        <f t="shared" ca="1" si="0"/>
        <v/>
      </c>
      <c r="E15" s="97"/>
      <c r="F15" s="21"/>
      <c r="G15" s="98" t="str">
        <f t="shared" si="1"/>
        <v/>
      </c>
      <c r="H15" s="23"/>
      <c r="I15" s="84"/>
      <c r="J15" s="85" t="str">
        <f>IF(AND(A15&lt;&gt;"",E15&lt;&gt;""),IF(I15="","⚠️ Enter Code",IF(IFERROR(VLOOKUP(H15,DB_Agents!$B:$I,8,0),"")=I15,IF(C15&gt;=E15,"Successful","Unsuccessful"),"🔒 BLOCKED — Wrong Code")),"—")</f>
        <v>—</v>
      </c>
      <c r="K15" s="86" t="str">
        <f t="shared" ca="1" si="2"/>
        <v>—</v>
      </c>
      <c r="L15" s="87"/>
    </row>
    <row r="16" spans="1:13" x14ac:dyDescent="0.25">
      <c r="A16" s="88"/>
      <c r="B16" s="25" t="str">
        <f>IF(A16="","",IFERROR(VLOOKUP(A16,DB_Customers!$A:$D,4,0),"❌ Account Not Found"))</f>
        <v/>
      </c>
      <c r="C16" s="89" t="str">
        <f>IF(A16="","",IFERROR(VLOOKUP(A16,DB_Customers!$A:$N,14,0),""))</f>
        <v/>
      </c>
      <c r="D16" s="90" t="str">
        <f t="shared" ca="1" si="0"/>
        <v/>
      </c>
      <c r="E16" s="97"/>
      <c r="F16" s="25"/>
      <c r="G16" s="99" t="str">
        <f t="shared" si="1"/>
        <v/>
      </c>
      <c r="H16" s="27"/>
      <c r="I16" s="84"/>
      <c r="J16" s="92" t="str">
        <f>IF(AND(A16&lt;&gt;"",E16&lt;&gt;""),IF(I16="","⚠️ Enter Code",IF(IFERROR(VLOOKUP(H16,DB_Agents!$B:$I,8,0),"")=I16,IF(C16&gt;=E16,"Successful","Unsuccessful"),"🔒 BLOCKED — Wrong Code")),"—")</f>
        <v>—</v>
      </c>
      <c r="K16" s="93" t="str">
        <f t="shared" ca="1" si="2"/>
        <v>—</v>
      </c>
      <c r="L16" s="94"/>
    </row>
    <row r="17" spans="1:12" x14ac:dyDescent="0.25">
      <c r="A17" s="79"/>
      <c r="B17" s="21" t="str">
        <f>IF(A17="","",IFERROR(VLOOKUP(A17,DB_Customers!$A:$D,4,0),"❌ Account Not Found"))</f>
        <v/>
      </c>
      <c r="C17" s="80" t="str">
        <f>IF(A17="","",IFERROR(VLOOKUP(A17,DB_Customers!$A:$N,14,0),""))</f>
        <v/>
      </c>
      <c r="D17" s="81" t="str">
        <f t="shared" ca="1" si="0"/>
        <v/>
      </c>
      <c r="E17" s="97"/>
      <c r="F17" s="21"/>
      <c r="G17" s="98" t="str">
        <f t="shared" si="1"/>
        <v/>
      </c>
      <c r="H17" s="23"/>
      <c r="I17" s="84"/>
      <c r="J17" s="85" t="str">
        <f>IF(AND(A17&lt;&gt;"",E17&lt;&gt;""),IF(I17="","⚠️ Enter Code",IF(IFERROR(VLOOKUP(H17,DB_Agents!$B:$I,8,0),"")=I17,IF(C17&gt;=E17,"Successful","Unsuccessful"),"🔒 BLOCKED — Wrong Code")),"—")</f>
        <v>—</v>
      </c>
      <c r="K17" s="86" t="str">
        <f t="shared" ca="1" si="2"/>
        <v>—</v>
      </c>
      <c r="L17" s="87"/>
    </row>
    <row r="18" spans="1:12" x14ac:dyDescent="0.25">
      <c r="A18" s="88"/>
      <c r="B18" s="25" t="str">
        <f>IF(A18="","",IFERROR(VLOOKUP(A18,DB_Customers!$A:$D,4,0),"❌ Account Not Found"))</f>
        <v/>
      </c>
      <c r="C18" s="89" t="str">
        <f>IF(A18="","",IFERROR(VLOOKUP(A18,DB_Customers!$A:$N,14,0),""))</f>
        <v/>
      </c>
      <c r="D18" s="90" t="str">
        <f t="shared" ca="1" si="0"/>
        <v/>
      </c>
      <c r="E18" s="97"/>
      <c r="F18" s="25"/>
      <c r="G18" s="99" t="str">
        <f t="shared" si="1"/>
        <v/>
      </c>
      <c r="H18" s="27"/>
      <c r="I18" s="84"/>
      <c r="J18" s="92" t="str">
        <f>IF(AND(A18&lt;&gt;"",E18&lt;&gt;""),IF(I18="","⚠️ Enter Code",IF(IFERROR(VLOOKUP(H18,DB_Agents!$B:$I,8,0),"")=I18,IF(C18&gt;=E18,"Successful","Unsuccessful"),"🔒 BLOCKED — Wrong Code")),"—")</f>
        <v>—</v>
      </c>
      <c r="K18" s="93" t="str">
        <f t="shared" ca="1" si="2"/>
        <v>—</v>
      </c>
      <c r="L18" s="94"/>
    </row>
    <row r="19" spans="1:12" x14ac:dyDescent="0.25">
      <c r="A19" s="79"/>
      <c r="B19" s="21" t="str">
        <f>IF(A19="","",IFERROR(VLOOKUP(A19,DB_Customers!$A:$D,4,0),"❌ Account Not Found"))</f>
        <v/>
      </c>
      <c r="C19" s="80" t="str">
        <f>IF(A19="","",IFERROR(VLOOKUP(A19,DB_Customers!$A:$N,14,0),""))</f>
        <v/>
      </c>
      <c r="D19" s="81" t="str">
        <f t="shared" ca="1" si="0"/>
        <v/>
      </c>
      <c r="E19" s="97"/>
      <c r="F19" s="21"/>
      <c r="G19" s="98" t="str">
        <f t="shared" si="1"/>
        <v/>
      </c>
      <c r="H19" s="23"/>
      <c r="I19" s="84"/>
      <c r="J19" s="85" t="str">
        <f>IF(AND(A19&lt;&gt;"",E19&lt;&gt;""),IF(I19="","⚠️ Enter Code",IF(IFERROR(VLOOKUP(H19,DB_Agents!$B:$I,8,0),"")=I19,IF(C19&gt;=E19,"Successful","Unsuccessful"),"🔒 BLOCKED — Wrong Code")),"—")</f>
        <v>—</v>
      </c>
      <c r="K19" s="86" t="str">
        <f t="shared" ca="1" si="2"/>
        <v>—</v>
      </c>
      <c r="L19" s="87"/>
    </row>
    <row r="20" spans="1:12" x14ac:dyDescent="0.25">
      <c r="A20" s="88"/>
      <c r="B20" s="25" t="str">
        <f>IF(A20="","",IFERROR(VLOOKUP(A20,DB_Customers!$A:$D,4,0),"❌ Account Not Found"))</f>
        <v/>
      </c>
      <c r="C20" s="89" t="str">
        <f>IF(A20="","",IFERROR(VLOOKUP(A20,DB_Customers!$A:$N,14,0),""))</f>
        <v/>
      </c>
      <c r="D20" s="90" t="str">
        <f t="shared" ca="1" si="0"/>
        <v/>
      </c>
      <c r="E20" s="97"/>
      <c r="F20" s="25"/>
      <c r="G20" s="99" t="str">
        <f t="shared" si="1"/>
        <v/>
      </c>
      <c r="H20" s="27"/>
      <c r="I20" s="84"/>
      <c r="J20" s="92" t="str">
        <f>IF(AND(A20&lt;&gt;"",E20&lt;&gt;""),IF(I20="","⚠️ Enter Code",IF(IFERROR(VLOOKUP(H20,DB_Agents!$B:$I,8,0),"")=I20,IF(C20&gt;=E20,"Successful","Unsuccessful"),"🔒 BLOCKED — Wrong Code")),"—")</f>
        <v>—</v>
      </c>
      <c r="K20" s="93" t="str">
        <f t="shared" ca="1" si="2"/>
        <v>—</v>
      </c>
      <c r="L20" s="94"/>
    </row>
    <row r="21" spans="1:12" x14ac:dyDescent="0.25">
      <c r="A21" s="79"/>
      <c r="B21" s="21" t="str">
        <f>IF(A21="","",IFERROR(VLOOKUP(A21,DB_Customers!$A:$D,4,0),"❌ Account Not Found"))</f>
        <v/>
      </c>
      <c r="C21" s="80" t="str">
        <f>IF(A21="","",IFERROR(VLOOKUP(A21,DB_Customers!$A:$N,14,0),""))</f>
        <v/>
      </c>
      <c r="D21" s="81" t="str">
        <f t="shared" ca="1" si="0"/>
        <v/>
      </c>
      <c r="E21" s="97"/>
      <c r="F21" s="21"/>
      <c r="G21" s="98" t="str">
        <f t="shared" si="1"/>
        <v/>
      </c>
      <c r="H21" s="23"/>
      <c r="I21" s="84"/>
      <c r="J21" s="85" t="str">
        <f>IF(AND(A21&lt;&gt;"",E21&lt;&gt;""),IF(I21="","⚠️ Enter Code",IF(IFERROR(VLOOKUP(H21,DB_Agents!$B:$I,8,0),"")=I21,IF(C21&gt;=E21,"Successful","Unsuccessful"),"🔒 BLOCKED — Wrong Code")),"—")</f>
        <v>—</v>
      </c>
      <c r="K21" s="86" t="str">
        <f t="shared" ca="1" si="2"/>
        <v>—</v>
      </c>
      <c r="L21" s="87"/>
    </row>
    <row r="22" spans="1:12" x14ac:dyDescent="0.25">
      <c r="A22" s="88"/>
      <c r="B22" s="25" t="str">
        <f>IF(A22="","",IFERROR(VLOOKUP(A22,DB_Customers!$A:$D,4,0),"❌ Account Not Found"))</f>
        <v/>
      </c>
      <c r="C22" s="89" t="str">
        <f>IF(A22="","",IFERROR(VLOOKUP(A22,DB_Customers!$A:$N,14,0),""))</f>
        <v/>
      </c>
      <c r="D22" s="90" t="str">
        <f t="shared" ca="1" si="0"/>
        <v/>
      </c>
      <c r="E22" s="97"/>
      <c r="F22" s="25"/>
      <c r="G22" s="99" t="str">
        <f t="shared" si="1"/>
        <v/>
      </c>
      <c r="H22" s="27"/>
      <c r="I22" s="84"/>
      <c r="J22" s="92" t="str">
        <f>IF(AND(A22&lt;&gt;"",E22&lt;&gt;""),IF(I22="","⚠️ Enter Code",IF(IFERROR(VLOOKUP(H22,DB_Agents!$B:$I,8,0),"")=I22,IF(C22&gt;=E22,"Successful","Unsuccessful"),"🔒 BLOCKED — Wrong Code")),"—")</f>
        <v>—</v>
      </c>
      <c r="K22" s="93" t="str">
        <f t="shared" ca="1" si="2"/>
        <v>—</v>
      </c>
      <c r="L22" s="94"/>
    </row>
    <row r="23" spans="1:12" x14ac:dyDescent="0.25">
      <c r="A23" s="79"/>
      <c r="B23" s="21" t="str">
        <f>IF(A23="","",IFERROR(VLOOKUP(A23,DB_Customers!$A:$D,4,0),"❌ Account Not Found"))</f>
        <v/>
      </c>
      <c r="C23" s="80" t="str">
        <f>IF(A23="","",IFERROR(VLOOKUP(A23,DB_Customers!$A:$N,14,0),""))</f>
        <v/>
      </c>
      <c r="D23" s="81" t="str">
        <f t="shared" ca="1" si="0"/>
        <v/>
      </c>
      <c r="E23" s="97"/>
      <c r="F23" s="21"/>
      <c r="G23" s="98" t="str">
        <f t="shared" si="1"/>
        <v/>
      </c>
      <c r="H23" s="23"/>
      <c r="I23" s="84"/>
      <c r="J23" s="85" t="str">
        <f>IF(AND(A23&lt;&gt;"",E23&lt;&gt;""),IF(I23="","⚠️ Enter Code",IF(IFERROR(VLOOKUP(H23,DB_Agents!$B:$I,8,0),"")=I23,IF(C23&gt;=E23,"Successful","Unsuccessful"),"🔒 BLOCKED — Wrong Code")),"—")</f>
        <v>—</v>
      </c>
      <c r="K23" s="86" t="str">
        <f t="shared" ca="1" si="2"/>
        <v>—</v>
      </c>
      <c r="L23" s="87"/>
    </row>
    <row r="24" spans="1:12" x14ac:dyDescent="0.25">
      <c r="A24" s="88"/>
      <c r="B24" s="25" t="str">
        <f>IF(A24="","",IFERROR(VLOOKUP(A24,DB_Customers!$A:$D,4,0),"❌ Account Not Found"))</f>
        <v/>
      </c>
      <c r="C24" s="89" t="str">
        <f>IF(A24="","",IFERROR(VLOOKUP(A24,DB_Customers!$A:$N,14,0),""))</f>
        <v/>
      </c>
      <c r="D24" s="90" t="str">
        <f t="shared" ca="1" si="0"/>
        <v/>
      </c>
      <c r="E24" s="97"/>
      <c r="F24" s="25"/>
      <c r="G24" s="99" t="str">
        <f t="shared" si="1"/>
        <v/>
      </c>
      <c r="H24" s="27"/>
      <c r="I24" s="84"/>
      <c r="J24" s="92" t="str">
        <f>IF(AND(A24&lt;&gt;"",E24&lt;&gt;""),IF(I24="","⚠️ Enter Code",IF(IFERROR(VLOOKUP(H24,DB_Agents!$B:$I,8,0),"")=I24,IF(C24&gt;=E24,"Successful","Unsuccessful"),"🔒 BLOCKED — Wrong Code")),"—")</f>
        <v>—</v>
      </c>
      <c r="K24" s="93" t="str">
        <f t="shared" ca="1" si="2"/>
        <v>—</v>
      </c>
      <c r="L24" s="94"/>
    </row>
    <row r="25" spans="1:12" x14ac:dyDescent="0.25">
      <c r="A25" s="79"/>
      <c r="B25" s="21" t="str">
        <f>IF(A25="","",IFERROR(VLOOKUP(A25,DB_Customers!$A:$D,4,0),"❌ Account Not Found"))</f>
        <v/>
      </c>
      <c r="C25" s="80" t="str">
        <f>IF(A25="","",IFERROR(VLOOKUP(A25,DB_Customers!$A:$N,14,0),""))</f>
        <v/>
      </c>
      <c r="D25" s="81" t="str">
        <f t="shared" ca="1" si="0"/>
        <v/>
      </c>
      <c r="E25" s="97"/>
      <c r="F25" s="21"/>
      <c r="G25" s="98" t="str">
        <f t="shared" si="1"/>
        <v/>
      </c>
      <c r="H25" s="23"/>
      <c r="I25" s="84"/>
      <c r="J25" s="85" t="str">
        <f>IF(AND(A25&lt;&gt;"",E25&lt;&gt;""),IF(I25="","⚠️ Enter Code",IF(IFERROR(VLOOKUP(H25,DB_Agents!$B:$I,8,0),"")=I25,IF(C25&gt;=E25,"Successful","Unsuccessful"),"🔒 BLOCKED — Wrong Code")),"—")</f>
        <v>—</v>
      </c>
      <c r="K25" s="86" t="str">
        <f t="shared" ca="1" si="2"/>
        <v>—</v>
      </c>
      <c r="L25" s="87"/>
    </row>
    <row r="26" spans="1:12" x14ac:dyDescent="0.25">
      <c r="A26" s="88"/>
      <c r="B26" s="25" t="str">
        <f>IF(A26="","",IFERROR(VLOOKUP(A26,DB_Customers!$A:$D,4,0),"❌ Account Not Found"))</f>
        <v/>
      </c>
      <c r="C26" s="89" t="str">
        <f>IF(A26="","",IFERROR(VLOOKUP(A26,DB_Customers!$A:$N,14,0),""))</f>
        <v/>
      </c>
      <c r="D26" s="90" t="str">
        <f t="shared" ca="1" si="0"/>
        <v/>
      </c>
      <c r="E26" s="97"/>
      <c r="F26" s="25"/>
      <c r="G26" s="99" t="str">
        <f t="shared" si="1"/>
        <v/>
      </c>
      <c r="H26" s="27"/>
      <c r="I26" s="84"/>
      <c r="J26" s="92" t="str">
        <f>IF(AND(A26&lt;&gt;"",E26&lt;&gt;""),IF(I26="","⚠️ Enter Code",IF(IFERROR(VLOOKUP(H26,DB_Agents!$B:$I,8,0),"")=I26,IF(C26&gt;=E26,"Successful","Unsuccessful"),"🔒 BLOCKED — Wrong Code")),"—")</f>
        <v>—</v>
      </c>
      <c r="K26" s="93" t="str">
        <f t="shared" ca="1" si="2"/>
        <v>—</v>
      </c>
      <c r="L26" s="94"/>
    </row>
    <row r="27" spans="1:12" x14ac:dyDescent="0.25">
      <c r="A27" s="79"/>
      <c r="B27" s="21" t="str">
        <f>IF(A27="","",IFERROR(VLOOKUP(A27,DB_Customers!$A:$D,4,0),"❌ Account Not Found"))</f>
        <v/>
      </c>
      <c r="C27" s="80" t="str">
        <f>IF(A27="","",IFERROR(VLOOKUP(A27,DB_Customers!$A:$N,14,0),""))</f>
        <v/>
      </c>
      <c r="D27" s="81" t="str">
        <f t="shared" ca="1" si="0"/>
        <v/>
      </c>
      <c r="E27" s="97"/>
      <c r="F27" s="21"/>
      <c r="G27" s="98" t="str">
        <f t="shared" si="1"/>
        <v/>
      </c>
      <c r="H27" s="23"/>
      <c r="I27" s="84"/>
      <c r="J27" s="85" t="str">
        <f>IF(AND(A27&lt;&gt;"",E27&lt;&gt;""),IF(I27="","⚠️ Enter Code",IF(IFERROR(VLOOKUP(H27,DB_Agents!$B:$I,8,0),"")=I27,IF(C27&gt;=E27,"Successful","Unsuccessful"),"🔒 BLOCKED — Wrong Code")),"—")</f>
        <v>—</v>
      </c>
      <c r="K27" s="86" t="str">
        <f t="shared" ca="1" si="2"/>
        <v>—</v>
      </c>
      <c r="L27" s="87"/>
    </row>
    <row r="28" spans="1:12" x14ac:dyDescent="0.25">
      <c r="A28" s="88"/>
      <c r="B28" s="25" t="str">
        <f>IF(A28="","",IFERROR(VLOOKUP(A28,DB_Customers!$A:$D,4,0),"❌ Account Not Found"))</f>
        <v/>
      </c>
      <c r="C28" s="89" t="str">
        <f>IF(A28="","",IFERROR(VLOOKUP(A28,DB_Customers!$A:$N,14,0),""))</f>
        <v/>
      </c>
      <c r="D28" s="90" t="str">
        <f t="shared" ca="1" si="0"/>
        <v/>
      </c>
      <c r="E28" s="97"/>
      <c r="F28" s="25"/>
      <c r="G28" s="99" t="str">
        <f t="shared" si="1"/>
        <v/>
      </c>
      <c r="H28" s="27"/>
      <c r="I28" s="84"/>
      <c r="J28" s="92" t="str">
        <f>IF(AND(A28&lt;&gt;"",E28&lt;&gt;""),IF(I28="","⚠️ Enter Code",IF(IFERROR(VLOOKUP(H28,DB_Agents!$B:$I,8,0),"")=I28,IF(C28&gt;=E28,"Successful","Unsuccessful"),"🔒 BLOCKED — Wrong Code")),"—")</f>
        <v>—</v>
      </c>
      <c r="K28" s="93" t="str">
        <f t="shared" ca="1" si="2"/>
        <v>—</v>
      </c>
      <c r="L28" s="94"/>
    </row>
    <row r="29" spans="1:12" x14ac:dyDescent="0.25">
      <c r="A29" s="79"/>
      <c r="B29" s="21" t="str">
        <f>IF(A29="","",IFERROR(VLOOKUP(A29,DB_Customers!$A:$D,4,0),"❌ Account Not Found"))</f>
        <v/>
      </c>
      <c r="C29" s="80" t="str">
        <f>IF(A29="","",IFERROR(VLOOKUP(A29,DB_Customers!$A:$N,14,0),""))</f>
        <v/>
      </c>
      <c r="D29" s="81" t="str">
        <f t="shared" ca="1" si="0"/>
        <v/>
      </c>
      <c r="E29" s="97"/>
      <c r="F29" s="21"/>
      <c r="G29" s="98" t="str">
        <f t="shared" si="1"/>
        <v/>
      </c>
      <c r="H29" s="23"/>
      <c r="I29" s="84"/>
      <c r="J29" s="85" t="str">
        <f>IF(AND(A29&lt;&gt;"",E29&lt;&gt;""),IF(I29="","⚠️ Enter Code",IF(IFERROR(VLOOKUP(H29,DB_Agents!$B:$I,8,0),"")=I29,IF(C29&gt;=E29,"Successful","Unsuccessful"),"🔒 BLOCKED — Wrong Code")),"—")</f>
        <v>—</v>
      </c>
      <c r="K29" s="86" t="str">
        <f t="shared" ca="1" si="2"/>
        <v>—</v>
      </c>
      <c r="L29" s="87"/>
    </row>
    <row r="30" spans="1:12" x14ac:dyDescent="0.25">
      <c r="A30" s="88"/>
      <c r="B30" s="25" t="str">
        <f>IF(A30="","",IFERROR(VLOOKUP(A30,DB_Customers!$A:$D,4,0),"❌ Account Not Found"))</f>
        <v/>
      </c>
      <c r="C30" s="89" t="str">
        <f>IF(A30="","",IFERROR(VLOOKUP(A30,DB_Customers!$A:$N,14,0),""))</f>
        <v/>
      </c>
      <c r="D30" s="90" t="str">
        <f t="shared" ca="1" si="0"/>
        <v/>
      </c>
      <c r="E30" s="97"/>
      <c r="F30" s="25"/>
      <c r="G30" s="99" t="str">
        <f t="shared" si="1"/>
        <v/>
      </c>
      <c r="H30" s="27"/>
      <c r="I30" s="84"/>
      <c r="J30" s="92" t="str">
        <f>IF(AND(A30&lt;&gt;"",E30&lt;&gt;""),IF(I30="","⚠️ Enter Code",IF(IFERROR(VLOOKUP(H30,DB_Agents!$B:$I,8,0),"")=I30,IF(C30&gt;=E30,"Successful","Unsuccessful"),"🔒 BLOCKED — Wrong Code")),"—")</f>
        <v>—</v>
      </c>
      <c r="K30" s="93" t="str">
        <f t="shared" ca="1" si="2"/>
        <v>—</v>
      </c>
      <c r="L30" s="94"/>
    </row>
    <row r="31" spans="1:12" x14ac:dyDescent="0.25">
      <c r="A31" s="79"/>
      <c r="B31" s="21" t="str">
        <f>IF(A31="","",IFERROR(VLOOKUP(A31,DB_Customers!$A:$D,4,0),"❌ Account Not Found"))</f>
        <v/>
      </c>
      <c r="C31" s="80" t="str">
        <f>IF(A31="","",IFERROR(VLOOKUP(A31,DB_Customers!$A:$N,14,0),""))</f>
        <v/>
      </c>
      <c r="D31" s="81" t="str">
        <f t="shared" ca="1" si="0"/>
        <v/>
      </c>
      <c r="E31" s="97"/>
      <c r="F31" s="21"/>
      <c r="G31" s="98" t="str">
        <f t="shared" si="1"/>
        <v/>
      </c>
      <c r="H31" s="23"/>
      <c r="I31" s="84"/>
      <c r="J31" s="85" t="str">
        <f>IF(AND(A31&lt;&gt;"",E31&lt;&gt;""),IF(I31="","⚠️ Enter Code",IF(IFERROR(VLOOKUP(H31,DB_Agents!$B:$I,8,0),"")=I31,IF(C31&gt;=E31,"Successful","Unsuccessful"),"🔒 BLOCKED — Wrong Code")),"—")</f>
        <v>—</v>
      </c>
      <c r="K31" s="86" t="str">
        <f t="shared" ca="1" si="2"/>
        <v>—</v>
      </c>
      <c r="L31" s="87"/>
    </row>
    <row r="32" spans="1:12" x14ac:dyDescent="0.25">
      <c r="A32" s="88"/>
      <c r="B32" s="25" t="str">
        <f>IF(A32="","",IFERROR(VLOOKUP(A32,DB_Customers!$A:$D,4,0),"❌ Account Not Found"))</f>
        <v/>
      </c>
      <c r="C32" s="89" t="str">
        <f>IF(A32="","",IFERROR(VLOOKUP(A32,DB_Customers!$A:$N,14,0),""))</f>
        <v/>
      </c>
      <c r="D32" s="90" t="str">
        <f t="shared" ca="1" si="0"/>
        <v/>
      </c>
      <c r="E32" s="97"/>
      <c r="F32" s="25"/>
      <c r="G32" s="99" t="str">
        <f t="shared" si="1"/>
        <v/>
      </c>
      <c r="H32" s="27"/>
      <c r="I32" s="84"/>
      <c r="J32" s="92" t="str">
        <f>IF(AND(A32&lt;&gt;"",E32&lt;&gt;""),IF(I32="","⚠️ Enter Code",IF(IFERROR(VLOOKUP(H32,DB_Agents!$B:$I,8,0),"")=I32,IF(C32&gt;=E32,"Successful","Unsuccessful"),"🔒 BLOCKED — Wrong Code")),"—")</f>
        <v>—</v>
      </c>
      <c r="K32" s="93" t="str">
        <f t="shared" ca="1" si="2"/>
        <v>—</v>
      </c>
      <c r="L32" s="94"/>
    </row>
    <row r="33" spans="1:12" x14ac:dyDescent="0.25">
      <c r="A33" s="79"/>
      <c r="B33" s="21" t="str">
        <f>IF(A33="","",IFERROR(VLOOKUP(A33,DB_Customers!$A:$D,4,0),"❌ Account Not Found"))</f>
        <v/>
      </c>
      <c r="C33" s="80" t="str">
        <f>IF(A33="","",IFERROR(VLOOKUP(A33,DB_Customers!$A:$N,14,0),""))</f>
        <v/>
      </c>
      <c r="D33" s="81" t="str">
        <f t="shared" ca="1" si="0"/>
        <v/>
      </c>
      <c r="E33" s="97"/>
      <c r="F33" s="21"/>
      <c r="G33" s="98" t="str">
        <f t="shared" si="1"/>
        <v/>
      </c>
      <c r="H33" s="23"/>
      <c r="I33" s="84"/>
      <c r="J33" s="85" t="str">
        <f>IF(AND(A33&lt;&gt;"",E33&lt;&gt;""),IF(I33="","⚠️ Enter Code",IF(IFERROR(VLOOKUP(H33,DB_Agents!$B:$I,8,0),"")=I33,IF(C33&gt;=E33,"Successful","Unsuccessful"),"🔒 BLOCKED — Wrong Code")),"—")</f>
        <v>—</v>
      </c>
      <c r="K33" s="86" t="str">
        <f t="shared" ca="1" si="2"/>
        <v>—</v>
      </c>
      <c r="L33" s="87"/>
    </row>
    <row r="34" spans="1:12" x14ac:dyDescent="0.25">
      <c r="A34" s="88"/>
      <c r="B34" s="25" t="str">
        <f>IF(A34="","",IFERROR(VLOOKUP(A34,DB_Customers!$A:$D,4,0),"❌ Account Not Found"))</f>
        <v/>
      </c>
      <c r="C34" s="89" t="str">
        <f>IF(A34="","",IFERROR(VLOOKUP(A34,DB_Customers!$A:$N,14,0),""))</f>
        <v/>
      </c>
      <c r="D34" s="90" t="str">
        <f t="shared" ca="1" si="0"/>
        <v/>
      </c>
      <c r="E34" s="97"/>
      <c r="F34" s="25"/>
      <c r="G34" s="99" t="str">
        <f t="shared" si="1"/>
        <v/>
      </c>
      <c r="H34" s="27"/>
      <c r="I34" s="84"/>
      <c r="J34" s="92" t="str">
        <f>IF(AND(A34&lt;&gt;"",E34&lt;&gt;""),IF(I34="","⚠️ Enter Code",IF(IFERROR(VLOOKUP(H34,DB_Agents!$B:$I,8,0),"")=I34,IF(C34&gt;=E34,"Successful","Unsuccessful"),"🔒 BLOCKED — Wrong Code")),"—")</f>
        <v>—</v>
      </c>
      <c r="K34" s="93" t="str">
        <f t="shared" ca="1" si="2"/>
        <v>—</v>
      </c>
      <c r="L34" s="94"/>
    </row>
    <row r="35" spans="1:12" x14ac:dyDescent="0.25">
      <c r="A35" s="79"/>
      <c r="B35" s="21" t="str">
        <f>IF(A35="","",IFERROR(VLOOKUP(A35,DB_Customers!$A:$D,4,0),"❌ Account Not Found"))</f>
        <v/>
      </c>
      <c r="C35" s="80" t="str">
        <f>IF(A35="","",IFERROR(VLOOKUP(A35,DB_Customers!$A:$N,14,0),""))</f>
        <v/>
      </c>
      <c r="D35" s="81" t="str">
        <f t="shared" ca="1" si="0"/>
        <v/>
      </c>
      <c r="E35" s="97"/>
      <c r="F35" s="21"/>
      <c r="G35" s="98" t="str">
        <f t="shared" si="1"/>
        <v/>
      </c>
      <c r="H35" s="23"/>
      <c r="I35" s="84"/>
      <c r="J35" s="85" t="str">
        <f>IF(AND(A35&lt;&gt;"",E35&lt;&gt;""),IF(I35="","⚠️ Enter Code",IF(IFERROR(VLOOKUP(H35,DB_Agents!$B:$I,8,0),"")=I35,IF(C35&gt;=E35,"Successful","Unsuccessful"),"🔒 BLOCKED — Wrong Code")),"—")</f>
        <v>—</v>
      </c>
      <c r="K35" s="86" t="str">
        <f t="shared" ca="1" si="2"/>
        <v>—</v>
      </c>
      <c r="L35" s="87"/>
    </row>
    <row r="36" spans="1:12" x14ac:dyDescent="0.25">
      <c r="A36" s="88"/>
      <c r="B36" s="25" t="str">
        <f>IF(A36="","",IFERROR(VLOOKUP(A36,DB_Customers!$A:$D,4,0),"❌ Account Not Found"))</f>
        <v/>
      </c>
      <c r="C36" s="89" t="str">
        <f>IF(A36="","",IFERROR(VLOOKUP(A36,DB_Customers!$A:$N,14,0),""))</f>
        <v/>
      </c>
      <c r="D36" s="90" t="str">
        <f t="shared" ca="1" si="0"/>
        <v/>
      </c>
      <c r="E36" s="97"/>
      <c r="F36" s="25"/>
      <c r="G36" s="99" t="str">
        <f t="shared" si="1"/>
        <v/>
      </c>
      <c r="H36" s="27"/>
      <c r="I36" s="84"/>
      <c r="J36" s="92" t="str">
        <f>IF(AND(A36&lt;&gt;"",E36&lt;&gt;""),IF(I36="","⚠️ Enter Code",IF(IFERROR(VLOOKUP(H36,DB_Agents!$B:$I,8,0),"")=I36,IF(C36&gt;=E36,"Successful","Unsuccessful"),"🔒 BLOCKED — Wrong Code")),"—")</f>
        <v>—</v>
      </c>
      <c r="K36" s="93" t="str">
        <f t="shared" ca="1" si="2"/>
        <v>—</v>
      </c>
      <c r="L36" s="94"/>
    </row>
    <row r="37" spans="1:12" x14ac:dyDescent="0.25">
      <c r="A37" s="79"/>
      <c r="B37" s="21" t="str">
        <f>IF(A37="","",IFERROR(VLOOKUP(A37,DB_Customers!$A:$D,4,0),"❌ Account Not Found"))</f>
        <v/>
      </c>
      <c r="C37" s="80" t="str">
        <f>IF(A37="","",IFERROR(VLOOKUP(A37,DB_Customers!$A:$N,14,0),""))</f>
        <v/>
      </c>
      <c r="D37" s="81" t="str">
        <f t="shared" ca="1" si="0"/>
        <v/>
      </c>
      <c r="E37" s="97"/>
      <c r="F37" s="21"/>
      <c r="G37" s="98" t="str">
        <f t="shared" si="1"/>
        <v/>
      </c>
      <c r="H37" s="23"/>
      <c r="I37" s="84"/>
      <c r="J37" s="85" t="str">
        <f>IF(AND(A37&lt;&gt;"",E37&lt;&gt;""),IF(I37="","⚠️ Enter Code",IF(IFERROR(VLOOKUP(H37,DB_Agents!$B:$I,8,0),"")=I37,IF(C37&gt;=E37,"Successful","Unsuccessful"),"🔒 BLOCKED — Wrong Code")),"—")</f>
        <v>—</v>
      </c>
      <c r="K37" s="86" t="str">
        <f t="shared" ca="1" si="2"/>
        <v>—</v>
      </c>
      <c r="L37" s="87"/>
    </row>
    <row r="38" spans="1:12" x14ac:dyDescent="0.25">
      <c r="A38" s="88"/>
      <c r="B38" s="25" t="str">
        <f>IF(A38="","",IFERROR(VLOOKUP(A38,DB_Customers!$A:$D,4,0),"❌ Account Not Found"))</f>
        <v/>
      </c>
      <c r="C38" s="89" t="str">
        <f>IF(A38="","",IFERROR(VLOOKUP(A38,DB_Customers!$A:$N,14,0),""))</f>
        <v/>
      </c>
      <c r="D38" s="90" t="str">
        <f t="shared" ca="1" si="0"/>
        <v/>
      </c>
      <c r="E38" s="97"/>
      <c r="F38" s="25"/>
      <c r="G38" s="99" t="str">
        <f t="shared" si="1"/>
        <v/>
      </c>
      <c r="H38" s="27"/>
      <c r="I38" s="84"/>
      <c r="J38" s="92" t="str">
        <f>IF(AND(A38&lt;&gt;"",E38&lt;&gt;""),IF(I38="","⚠️ Enter Code",IF(IFERROR(VLOOKUP(H38,DB_Agents!$B:$I,8,0),"")=I38,IF(C38&gt;=E38,"Successful","Unsuccessful"),"🔒 BLOCKED — Wrong Code")),"—")</f>
        <v>—</v>
      </c>
      <c r="K38" s="93" t="str">
        <f t="shared" ca="1" si="2"/>
        <v>—</v>
      </c>
      <c r="L38" s="94"/>
    </row>
    <row r="39" spans="1:12" x14ac:dyDescent="0.25">
      <c r="A39" s="79"/>
      <c r="B39" s="21" t="str">
        <f>IF(A39="","",IFERROR(VLOOKUP(A39,DB_Customers!$A:$D,4,0),"❌ Account Not Found"))</f>
        <v/>
      </c>
      <c r="C39" s="80" t="str">
        <f>IF(A39="","",IFERROR(VLOOKUP(A39,DB_Customers!$A:$N,14,0),""))</f>
        <v/>
      </c>
      <c r="D39" s="81" t="str">
        <f t="shared" ca="1" si="0"/>
        <v/>
      </c>
      <c r="E39" s="97"/>
      <c r="F39" s="21"/>
      <c r="G39" s="98" t="str">
        <f t="shared" si="1"/>
        <v/>
      </c>
      <c r="H39" s="23"/>
      <c r="I39" s="84"/>
      <c r="J39" s="85" t="str">
        <f>IF(AND(A39&lt;&gt;"",E39&lt;&gt;""),IF(I39="","⚠️ Enter Code",IF(IFERROR(VLOOKUP(H39,DB_Agents!$B:$I,8,0),"")=I39,IF(C39&gt;=E39,"Successful","Unsuccessful"),"🔒 BLOCKED — Wrong Code")),"—")</f>
        <v>—</v>
      </c>
      <c r="K39" s="86" t="str">
        <f t="shared" ca="1" si="2"/>
        <v>—</v>
      </c>
      <c r="L39" s="87"/>
    </row>
    <row r="40" spans="1:12" x14ac:dyDescent="0.25">
      <c r="A40" s="88"/>
      <c r="B40" s="25" t="str">
        <f>IF(A40="","",IFERROR(VLOOKUP(A40,DB_Customers!$A:$D,4,0),"❌ Account Not Found"))</f>
        <v/>
      </c>
      <c r="C40" s="89" t="str">
        <f>IF(A40="","",IFERROR(VLOOKUP(A40,DB_Customers!$A:$N,14,0),""))</f>
        <v/>
      </c>
      <c r="D40" s="90" t="str">
        <f t="shared" ca="1" si="0"/>
        <v/>
      </c>
      <c r="E40" s="97"/>
      <c r="F40" s="25"/>
      <c r="G40" s="99" t="str">
        <f t="shared" si="1"/>
        <v/>
      </c>
      <c r="H40" s="27"/>
      <c r="I40" s="84"/>
      <c r="J40" s="92" t="str">
        <f>IF(AND(A40&lt;&gt;"",E40&lt;&gt;""),IF(I40="","⚠️ Enter Code",IF(IFERROR(VLOOKUP(H40,DB_Agents!$B:$I,8,0),"")=I40,IF(C40&gt;=E40,"Successful","Unsuccessful"),"🔒 BLOCKED — Wrong Code")),"—")</f>
        <v>—</v>
      </c>
      <c r="K40" s="93" t="str">
        <f t="shared" ca="1" si="2"/>
        <v>—</v>
      </c>
      <c r="L40" s="94"/>
    </row>
    <row r="41" spans="1:12" x14ac:dyDescent="0.25">
      <c r="A41" s="79"/>
      <c r="B41" s="21" t="str">
        <f>IF(A41="","",IFERROR(VLOOKUP(A41,DB_Customers!$A:$D,4,0),"❌ Account Not Found"))</f>
        <v/>
      </c>
      <c r="C41" s="80" t="str">
        <f>IF(A41="","",IFERROR(VLOOKUP(A41,DB_Customers!$A:$N,14,0),""))</f>
        <v/>
      </c>
      <c r="D41" s="81" t="str">
        <f t="shared" ref="D41:D72" ca="1" si="3">IF(A41="","",TODAY())</f>
        <v/>
      </c>
      <c r="E41" s="97"/>
      <c r="F41" s="21"/>
      <c r="G41" s="98" t="str">
        <f t="shared" ref="G41:G72" si="4">IF(OR(A41="",E41=""),"",IF(C41="","",C41-E41))</f>
        <v/>
      </c>
      <c r="H41" s="23"/>
      <c r="I41" s="84"/>
      <c r="J41" s="85" t="str">
        <f>IF(AND(A41&lt;&gt;"",E41&lt;&gt;""),IF(I41="","⚠️ Enter Code",IF(IFERROR(VLOOKUP(H41,DB_Agents!$B:$I,8,0),"")=I41,IF(C41&gt;=E41,"Successful","Unsuccessful"),"🔒 BLOCKED — Wrong Code")),"—")</f>
        <v>—</v>
      </c>
      <c r="K41" s="86" t="str">
        <f t="shared" ref="K41:K72" ca="1" si="5">IF(J41="Successful",TEXT(TODAY(),"YYYY-MM-DD")&amp;" Auto","—")</f>
        <v>—</v>
      </c>
      <c r="L41" s="87"/>
    </row>
    <row r="42" spans="1:12" x14ac:dyDescent="0.25">
      <c r="A42" s="88"/>
      <c r="B42" s="25" t="str">
        <f>IF(A42="","",IFERROR(VLOOKUP(A42,DB_Customers!$A:$D,4,0),"❌ Account Not Found"))</f>
        <v/>
      </c>
      <c r="C42" s="89" t="str">
        <f>IF(A42="","",IFERROR(VLOOKUP(A42,DB_Customers!$A:$N,14,0),""))</f>
        <v/>
      </c>
      <c r="D42" s="90" t="str">
        <f t="shared" ca="1" si="3"/>
        <v/>
      </c>
      <c r="E42" s="97"/>
      <c r="F42" s="25"/>
      <c r="G42" s="99" t="str">
        <f t="shared" si="4"/>
        <v/>
      </c>
      <c r="H42" s="27"/>
      <c r="I42" s="84"/>
      <c r="J42" s="92" t="str">
        <f>IF(AND(A42&lt;&gt;"",E42&lt;&gt;""),IF(I42="","⚠️ Enter Code",IF(IFERROR(VLOOKUP(H42,DB_Agents!$B:$I,8,0),"")=I42,IF(C42&gt;=E42,"Successful","Unsuccessful"),"🔒 BLOCKED — Wrong Code")),"—")</f>
        <v>—</v>
      </c>
      <c r="K42" s="93" t="str">
        <f t="shared" ca="1" si="5"/>
        <v>—</v>
      </c>
      <c r="L42" s="94"/>
    </row>
    <row r="43" spans="1:12" x14ac:dyDescent="0.25">
      <c r="A43" s="79"/>
      <c r="B43" s="21" t="str">
        <f>IF(A43="","",IFERROR(VLOOKUP(A43,DB_Customers!$A:$D,4,0),"❌ Account Not Found"))</f>
        <v/>
      </c>
      <c r="C43" s="80" t="str">
        <f>IF(A43="","",IFERROR(VLOOKUP(A43,DB_Customers!$A:$N,14,0),""))</f>
        <v/>
      </c>
      <c r="D43" s="81" t="str">
        <f t="shared" ca="1" si="3"/>
        <v/>
      </c>
      <c r="E43" s="97"/>
      <c r="F43" s="21"/>
      <c r="G43" s="98" t="str">
        <f t="shared" si="4"/>
        <v/>
      </c>
      <c r="H43" s="23"/>
      <c r="I43" s="84"/>
      <c r="J43" s="85" t="str">
        <f>IF(AND(A43&lt;&gt;"",E43&lt;&gt;""),IF(I43="","⚠️ Enter Code",IF(IFERROR(VLOOKUP(H43,DB_Agents!$B:$I,8,0),"")=I43,IF(C43&gt;=E43,"Successful","Unsuccessful"),"🔒 BLOCKED — Wrong Code")),"—")</f>
        <v>—</v>
      </c>
      <c r="K43" s="86" t="str">
        <f t="shared" ca="1" si="5"/>
        <v>—</v>
      </c>
      <c r="L43" s="87"/>
    </row>
    <row r="44" spans="1:12" x14ac:dyDescent="0.25">
      <c r="A44" s="88"/>
      <c r="B44" s="25" t="str">
        <f>IF(A44="","",IFERROR(VLOOKUP(A44,DB_Customers!$A:$D,4,0),"❌ Account Not Found"))</f>
        <v/>
      </c>
      <c r="C44" s="89" t="str">
        <f>IF(A44="","",IFERROR(VLOOKUP(A44,DB_Customers!$A:$N,14,0),""))</f>
        <v/>
      </c>
      <c r="D44" s="90" t="str">
        <f t="shared" ca="1" si="3"/>
        <v/>
      </c>
      <c r="E44" s="97"/>
      <c r="F44" s="25"/>
      <c r="G44" s="99" t="str">
        <f t="shared" si="4"/>
        <v/>
      </c>
      <c r="H44" s="27"/>
      <c r="I44" s="84"/>
      <c r="J44" s="92" t="str">
        <f>IF(AND(A44&lt;&gt;"",E44&lt;&gt;""),IF(I44="","⚠️ Enter Code",IF(IFERROR(VLOOKUP(H44,DB_Agents!$B:$I,8,0),"")=I44,IF(C44&gt;=E44,"Successful","Unsuccessful"),"🔒 BLOCKED — Wrong Code")),"—")</f>
        <v>—</v>
      </c>
      <c r="K44" s="93" t="str">
        <f t="shared" ca="1" si="5"/>
        <v>—</v>
      </c>
      <c r="L44" s="94"/>
    </row>
    <row r="45" spans="1:12" x14ac:dyDescent="0.25">
      <c r="A45" s="79"/>
      <c r="B45" s="21" t="str">
        <f>IF(A45="","",IFERROR(VLOOKUP(A45,DB_Customers!$A:$D,4,0),"❌ Account Not Found"))</f>
        <v/>
      </c>
      <c r="C45" s="80" t="str">
        <f>IF(A45="","",IFERROR(VLOOKUP(A45,DB_Customers!$A:$N,14,0),""))</f>
        <v/>
      </c>
      <c r="D45" s="81" t="str">
        <f t="shared" ca="1" si="3"/>
        <v/>
      </c>
      <c r="E45" s="97"/>
      <c r="F45" s="21"/>
      <c r="G45" s="98" t="str">
        <f t="shared" si="4"/>
        <v/>
      </c>
      <c r="H45" s="23"/>
      <c r="I45" s="84"/>
      <c r="J45" s="85" t="str">
        <f>IF(AND(A45&lt;&gt;"",E45&lt;&gt;""),IF(I45="","⚠️ Enter Code",IF(IFERROR(VLOOKUP(H45,DB_Agents!$B:$I,8,0),"")=I45,IF(C45&gt;=E45,"Successful","Unsuccessful"),"🔒 BLOCKED — Wrong Code")),"—")</f>
        <v>—</v>
      </c>
      <c r="K45" s="86" t="str">
        <f t="shared" ca="1" si="5"/>
        <v>—</v>
      </c>
      <c r="L45" s="87"/>
    </row>
    <row r="46" spans="1:12" x14ac:dyDescent="0.25">
      <c r="A46" s="88"/>
      <c r="B46" s="25" t="str">
        <f>IF(A46="","",IFERROR(VLOOKUP(A46,DB_Customers!$A:$D,4,0),"❌ Account Not Found"))</f>
        <v/>
      </c>
      <c r="C46" s="89" t="str">
        <f>IF(A46="","",IFERROR(VLOOKUP(A46,DB_Customers!$A:$N,14,0),""))</f>
        <v/>
      </c>
      <c r="D46" s="90" t="str">
        <f t="shared" ca="1" si="3"/>
        <v/>
      </c>
      <c r="E46" s="97"/>
      <c r="F46" s="25"/>
      <c r="G46" s="99" t="str">
        <f t="shared" si="4"/>
        <v/>
      </c>
      <c r="H46" s="27"/>
      <c r="I46" s="84"/>
      <c r="J46" s="92" t="str">
        <f>IF(AND(A46&lt;&gt;"",E46&lt;&gt;""),IF(I46="","⚠️ Enter Code",IF(IFERROR(VLOOKUP(H46,DB_Agents!$B:$I,8,0),"")=I46,IF(C46&gt;=E46,"Successful","Unsuccessful"),"🔒 BLOCKED — Wrong Code")),"—")</f>
        <v>—</v>
      </c>
      <c r="K46" s="93" t="str">
        <f t="shared" ca="1" si="5"/>
        <v>—</v>
      </c>
      <c r="L46" s="94"/>
    </row>
    <row r="47" spans="1:12" x14ac:dyDescent="0.25">
      <c r="A47" s="79"/>
      <c r="B47" s="21" t="str">
        <f>IF(A47="","",IFERROR(VLOOKUP(A47,DB_Customers!$A:$D,4,0),"❌ Account Not Found"))</f>
        <v/>
      </c>
      <c r="C47" s="80" t="str">
        <f>IF(A47="","",IFERROR(VLOOKUP(A47,DB_Customers!$A:$N,14,0),""))</f>
        <v/>
      </c>
      <c r="D47" s="81" t="str">
        <f t="shared" ca="1" si="3"/>
        <v/>
      </c>
      <c r="E47" s="97"/>
      <c r="F47" s="21"/>
      <c r="G47" s="98" t="str">
        <f t="shared" si="4"/>
        <v/>
      </c>
      <c r="H47" s="23"/>
      <c r="I47" s="84"/>
      <c r="J47" s="85" t="str">
        <f>IF(AND(A47&lt;&gt;"",E47&lt;&gt;""),IF(I47="","⚠️ Enter Code",IF(IFERROR(VLOOKUP(H47,DB_Agents!$B:$I,8,0),"")=I47,IF(C47&gt;=E47,"Successful","Unsuccessful"),"🔒 BLOCKED — Wrong Code")),"—")</f>
        <v>—</v>
      </c>
      <c r="K47" s="86" t="str">
        <f t="shared" ca="1" si="5"/>
        <v>—</v>
      </c>
      <c r="L47" s="87"/>
    </row>
    <row r="48" spans="1:12" x14ac:dyDescent="0.25">
      <c r="A48" s="88"/>
      <c r="B48" s="25" t="str">
        <f>IF(A48="","",IFERROR(VLOOKUP(A48,DB_Customers!$A:$D,4,0),"❌ Account Not Found"))</f>
        <v/>
      </c>
      <c r="C48" s="89" t="str">
        <f>IF(A48="","",IFERROR(VLOOKUP(A48,DB_Customers!$A:$N,14,0),""))</f>
        <v/>
      </c>
      <c r="D48" s="90" t="str">
        <f t="shared" ca="1" si="3"/>
        <v/>
      </c>
      <c r="E48" s="97"/>
      <c r="F48" s="25"/>
      <c r="G48" s="99" t="str">
        <f t="shared" si="4"/>
        <v/>
      </c>
      <c r="H48" s="27"/>
      <c r="I48" s="84"/>
      <c r="J48" s="92" t="str">
        <f>IF(AND(A48&lt;&gt;"",E48&lt;&gt;""),IF(I48="","⚠️ Enter Code",IF(IFERROR(VLOOKUP(H48,DB_Agents!$B:$I,8,0),"")=I48,IF(C48&gt;=E48,"Successful","Unsuccessful"),"🔒 BLOCKED — Wrong Code")),"—")</f>
        <v>—</v>
      </c>
      <c r="K48" s="93" t="str">
        <f t="shared" ca="1" si="5"/>
        <v>—</v>
      </c>
      <c r="L48" s="94"/>
    </row>
    <row r="49" spans="1:12" x14ac:dyDescent="0.25">
      <c r="A49" s="79"/>
      <c r="B49" s="21" t="str">
        <f>IF(A49="","",IFERROR(VLOOKUP(A49,DB_Customers!$A:$D,4,0),"❌ Account Not Found"))</f>
        <v/>
      </c>
      <c r="C49" s="80" t="str">
        <f>IF(A49="","",IFERROR(VLOOKUP(A49,DB_Customers!$A:$N,14,0),""))</f>
        <v/>
      </c>
      <c r="D49" s="81" t="str">
        <f t="shared" ca="1" si="3"/>
        <v/>
      </c>
      <c r="E49" s="97"/>
      <c r="F49" s="21"/>
      <c r="G49" s="98" t="str">
        <f t="shared" si="4"/>
        <v/>
      </c>
      <c r="H49" s="23"/>
      <c r="I49" s="84"/>
      <c r="J49" s="85" t="str">
        <f>IF(AND(A49&lt;&gt;"",E49&lt;&gt;""),IF(I49="","⚠️ Enter Code",IF(IFERROR(VLOOKUP(H49,DB_Agents!$B:$I,8,0),"")=I49,IF(C49&gt;=E49,"Successful","Unsuccessful"),"🔒 BLOCKED — Wrong Code")),"—")</f>
        <v>—</v>
      </c>
      <c r="K49" s="86" t="str">
        <f t="shared" ca="1" si="5"/>
        <v>—</v>
      </c>
      <c r="L49" s="87"/>
    </row>
    <row r="50" spans="1:12" x14ac:dyDescent="0.25">
      <c r="A50" s="88"/>
      <c r="B50" s="25" t="str">
        <f>IF(A50="","",IFERROR(VLOOKUP(A50,DB_Customers!$A:$D,4,0),"❌ Account Not Found"))</f>
        <v/>
      </c>
      <c r="C50" s="89" t="str">
        <f>IF(A50="","",IFERROR(VLOOKUP(A50,DB_Customers!$A:$N,14,0),""))</f>
        <v/>
      </c>
      <c r="D50" s="90" t="str">
        <f t="shared" ca="1" si="3"/>
        <v/>
      </c>
      <c r="E50" s="97"/>
      <c r="F50" s="25"/>
      <c r="G50" s="99" t="str">
        <f t="shared" si="4"/>
        <v/>
      </c>
      <c r="H50" s="27"/>
      <c r="I50" s="84"/>
      <c r="J50" s="92" t="str">
        <f>IF(AND(A50&lt;&gt;"",E50&lt;&gt;""),IF(I50="","⚠️ Enter Code",IF(IFERROR(VLOOKUP(H50,DB_Agents!$B:$I,8,0),"")=I50,IF(C50&gt;=E50,"Successful","Unsuccessful"),"🔒 BLOCKED — Wrong Code")),"—")</f>
        <v>—</v>
      </c>
      <c r="K50" s="93" t="str">
        <f t="shared" ca="1" si="5"/>
        <v>—</v>
      </c>
      <c r="L50" s="94"/>
    </row>
    <row r="51" spans="1:12" x14ac:dyDescent="0.25">
      <c r="A51" s="79"/>
      <c r="B51" s="21" t="str">
        <f>IF(A51="","",IFERROR(VLOOKUP(A51,DB_Customers!$A:$D,4,0),"❌ Account Not Found"))</f>
        <v/>
      </c>
      <c r="C51" s="80" t="str">
        <f>IF(A51="","",IFERROR(VLOOKUP(A51,DB_Customers!$A:$N,14,0),""))</f>
        <v/>
      </c>
      <c r="D51" s="81" t="str">
        <f t="shared" ca="1" si="3"/>
        <v/>
      </c>
      <c r="E51" s="97"/>
      <c r="F51" s="21"/>
      <c r="G51" s="98" t="str">
        <f t="shared" si="4"/>
        <v/>
      </c>
      <c r="H51" s="23"/>
      <c r="I51" s="84"/>
      <c r="J51" s="85" t="str">
        <f>IF(AND(A51&lt;&gt;"",E51&lt;&gt;""),IF(I51="","⚠️ Enter Code",IF(IFERROR(VLOOKUP(H51,DB_Agents!$B:$I,8,0),"")=I51,IF(C51&gt;=E51,"Successful","Unsuccessful"),"🔒 BLOCKED — Wrong Code")),"—")</f>
        <v>—</v>
      </c>
      <c r="K51" s="86" t="str">
        <f t="shared" ca="1" si="5"/>
        <v>—</v>
      </c>
      <c r="L51" s="87"/>
    </row>
    <row r="52" spans="1:12" x14ac:dyDescent="0.25">
      <c r="A52" s="88"/>
      <c r="B52" s="25" t="str">
        <f>IF(A52="","",IFERROR(VLOOKUP(A52,DB_Customers!$A:$D,4,0),"❌ Account Not Found"))</f>
        <v/>
      </c>
      <c r="C52" s="89" t="str">
        <f>IF(A52="","",IFERROR(VLOOKUP(A52,DB_Customers!$A:$N,14,0),""))</f>
        <v/>
      </c>
      <c r="D52" s="90" t="str">
        <f t="shared" ca="1" si="3"/>
        <v/>
      </c>
      <c r="E52" s="97"/>
      <c r="F52" s="25"/>
      <c r="G52" s="99" t="str">
        <f t="shared" si="4"/>
        <v/>
      </c>
      <c r="H52" s="27"/>
      <c r="I52" s="84"/>
      <c r="J52" s="92" t="str">
        <f>IF(AND(A52&lt;&gt;"",E52&lt;&gt;""),IF(I52="","⚠️ Enter Code",IF(IFERROR(VLOOKUP(H52,DB_Agents!$B:$I,8,0),"")=I52,IF(C52&gt;=E52,"Successful","Unsuccessful"),"🔒 BLOCKED — Wrong Code")),"—")</f>
        <v>—</v>
      </c>
      <c r="K52" s="93" t="str">
        <f t="shared" ca="1" si="5"/>
        <v>—</v>
      </c>
      <c r="L52" s="94"/>
    </row>
    <row r="53" spans="1:12" x14ac:dyDescent="0.25">
      <c r="A53" s="79"/>
      <c r="B53" s="21" t="str">
        <f>IF(A53="","",IFERROR(VLOOKUP(A53,DB_Customers!$A:$D,4,0),"❌ Account Not Found"))</f>
        <v/>
      </c>
      <c r="C53" s="80" t="str">
        <f>IF(A53="","",IFERROR(VLOOKUP(A53,DB_Customers!$A:$N,14,0),""))</f>
        <v/>
      </c>
      <c r="D53" s="81" t="str">
        <f t="shared" ca="1" si="3"/>
        <v/>
      </c>
      <c r="E53" s="97"/>
      <c r="F53" s="21"/>
      <c r="G53" s="98" t="str">
        <f t="shared" si="4"/>
        <v/>
      </c>
      <c r="H53" s="23"/>
      <c r="I53" s="84"/>
      <c r="J53" s="85" t="str">
        <f>IF(AND(A53&lt;&gt;"",E53&lt;&gt;""),IF(I53="","⚠️ Enter Code",IF(IFERROR(VLOOKUP(H53,DB_Agents!$B:$I,8,0),"")=I53,IF(C53&gt;=E53,"Successful","Unsuccessful"),"🔒 BLOCKED — Wrong Code")),"—")</f>
        <v>—</v>
      </c>
      <c r="K53" s="86" t="str">
        <f t="shared" ca="1" si="5"/>
        <v>—</v>
      </c>
      <c r="L53" s="87"/>
    </row>
    <row r="54" spans="1:12" x14ac:dyDescent="0.25">
      <c r="A54" s="88"/>
      <c r="B54" s="25" t="str">
        <f>IF(A54="","",IFERROR(VLOOKUP(A54,DB_Customers!$A:$D,4,0),"❌ Account Not Found"))</f>
        <v/>
      </c>
      <c r="C54" s="89" t="str">
        <f>IF(A54="","",IFERROR(VLOOKUP(A54,DB_Customers!$A:$N,14,0),""))</f>
        <v/>
      </c>
      <c r="D54" s="90" t="str">
        <f t="shared" ca="1" si="3"/>
        <v/>
      </c>
      <c r="E54" s="97"/>
      <c r="F54" s="25"/>
      <c r="G54" s="99" t="str">
        <f t="shared" si="4"/>
        <v/>
      </c>
      <c r="H54" s="27"/>
      <c r="I54" s="84"/>
      <c r="J54" s="92" t="str">
        <f>IF(AND(A54&lt;&gt;"",E54&lt;&gt;""),IF(I54="","⚠️ Enter Code",IF(IFERROR(VLOOKUP(H54,DB_Agents!$B:$I,8,0),"")=I54,IF(C54&gt;=E54,"Successful","Unsuccessful"),"🔒 BLOCKED — Wrong Code")),"—")</f>
        <v>—</v>
      </c>
      <c r="K54" s="93" t="str">
        <f t="shared" ca="1" si="5"/>
        <v>—</v>
      </c>
      <c r="L54" s="94"/>
    </row>
    <row r="55" spans="1:12" x14ac:dyDescent="0.25">
      <c r="A55" s="79"/>
      <c r="B55" s="21" t="str">
        <f>IF(A55="","",IFERROR(VLOOKUP(A55,DB_Customers!$A:$D,4,0),"❌ Account Not Found"))</f>
        <v/>
      </c>
      <c r="C55" s="80" t="str">
        <f>IF(A55="","",IFERROR(VLOOKUP(A55,DB_Customers!$A:$N,14,0),""))</f>
        <v/>
      </c>
      <c r="D55" s="81" t="str">
        <f t="shared" ca="1" si="3"/>
        <v/>
      </c>
      <c r="E55" s="97"/>
      <c r="F55" s="21"/>
      <c r="G55" s="98" t="str">
        <f t="shared" si="4"/>
        <v/>
      </c>
      <c r="H55" s="23"/>
      <c r="I55" s="84"/>
      <c r="J55" s="85" t="str">
        <f>IF(AND(A55&lt;&gt;"",E55&lt;&gt;""),IF(I55="","⚠️ Enter Code",IF(IFERROR(VLOOKUP(H55,DB_Agents!$B:$I,8,0),"")=I55,IF(C55&gt;=E55,"Successful","Unsuccessful"),"🔒 BLOCKED — Wrong Code")),"—")</f>
        <v>—</v>
      </c>
      <c r="K55" s="86" t="str">
        <f t="shared" ca="1" si="5"/>
        <v>—</v>
      </c>
      <c r="L55" s="87"/>
    </row>
    <row r="56" spans="1:12" x14ac:dyDescent="0.25">
      <c r="A56" s="88"/>
      <c r="B56" s="25" t="str">
        <f>IF(A56="","",IFERROR(VLOOKUP(A56,DB_Customers!$A:$D,4,0),"❌ Account Not Found"))</f>
        <v/>
      </c>
      <c r="C56" s="89" t="str">
        <f>IF(A56="","",IFERROR(VLOOKUP(A56,DB_Customers!$A:$N,14,0),""))</f>
        <v/>
      </c>
      <c r="D56" s="90" t="str">
        <f t="shared" ca="1" si="3"/>
        <v/>
      </c>
      <c r="E56" s="97"/>
      <c r="F56" s="25"/>
      <c r="G56" s="99" t="str">
        <f t="shared" si="4"/>
        <v/>
      </c>
      <c r="H56" s="27"/>
      <c r="I56" s="84"/>
      <c r="J56" s="92" t="str">
        <f>IF(AND(A56&lt;&gt;"",E56&lt;&gt;""),IF(I56="","⚠️ Enter Code",IF(IFERROR(VLOOKUP(H56,DB_Agents!$B:$I,8,0),"")=I56,IF(C56&gt;=E56,"Successful","Unsuccessful"),"🔒 BLOCKED — Wrong Code")),"—")</f>
        <v>—</v>
      </c>
      <c r="K56" s="93" t="str">
        <f t="shared" ca="1" si="5"/>
        <v>—</v>
      </c>
      <c r="L56" s="94"/>
    </row>
    <row r="57" spans="1:12" x14ac:dyDescent="0.25">
      <c r="A57" s="79"/>
      <c r="B57" s="21" t="str">
        <f>IF(A57="","",IFERROR(VLOOKUP(A57,DB_Customers!$A:$D,4,0),"❌ Account Not Found"))</f>
        <v/>
      </c>
      <c r="C57" s="80" t="str">
        <f>IF(A57="","",IFERROR(VLOOKUP(A57,DB_Customers!$A:$N,14,0),""))</f>
        <v/>
      </c>
      <c r="D57" s="81" t="str">
        <f t="shared" ca="1" si="3"/>
        <v/>
      </c>
      <c r="E57" s="97"/>
      <c r="F57" s="21"/>
      <c r="G57" s="98" t="str">
        <f t="shared" si="4"/>
        <v/>
      </c>
      <c r="H57" s="23"/>
      <c r="I57" s="84"/>
      <c r="J57" s="85" t="str">
        <f>IF(AND(A57&lt;&gt;"",E57&lt;&gt;""),IF(I57="","⚠️ Enter Code",IF(IFERROR(VLOOKUP(H57,DB_Agents!$B:$I,8,0),"")=I57,IF(C57&gt;=E57,"Successful","Unsuccessful"),"🔒 BLOCKED — Wrong Code")),"—")</f>
        <v>—</v>
      </c>
      <c r="K57" s="86" t="str">
        <f t="shared" ca="1" si="5"/>
        <v>—</v>
      </c>
      <c r="L57" s="87"/>
    </row>
    <row r="58" spans="1:12" x14ac:dyDescent="0.25">
      <c r="A58" s="88"/>
      <c r="B58" s="25" t="str">
        <f>IF(A58="","",IFERROR(VLOOKUP(A58,DB_Customers!$A:$D,4,0),"❌ Account Not Found"))</f>
        <v/>
      </c>
      <c r="C58" s="89" t="str">
        <f>IF(A58="","",IFERROR(VLOOKUP(A58,DB_Customers!$A:$N,14,0),""))</f>
        <v/>
      </c>
      <c r="D58" s="90" t="str">
        <f t="shared" ca="1" si="3"/>
        <v/>
      </c>
      <c r="E58" s="97"/>
      <c r="F58" s="25"/>
      <c r="G58" s="99" t="str">
        <f t="shared" si="4"/>
        <v/>
      </c>
      <c r="H58" s="27"/>
      <c r="I58" s="84"/>
      <c r="J58" s="92" t="str">
        <f>IF(AND(A58&lt;&gt;"",E58&lt;&gt;""),IF(I58="","⚠️ Enter Code",IF(IFERROR(VLOOKUP(H58,DB_Agents!$B:$I,8,0),"")=I58,IF(C58&gt;=E58,"Successful","Unsuccessful"),"🔒 BLOCKED — Wrong Code")),"—")</f>
        <v>—</v>
      </c>
      <c r="K58" s="93" t="str">
        <f t="shared" ca="1" si="5"/>
        <v>—</v>
      </c>
      <c r="L58" s="94"/>
    </row>
    <row r="59" spans="1:12" x14ac:dyDescent="0.25">
      <c r="A59" s="79"/>
      <c r="B59" s="21" t="str">
        <f>IF(A59="","",IFERROR(VLOOKUP(A59,DB_Customers!$A:$D,4,0),"❌ Account Not Found"))</f>
        <v/>
      </c>
      <c r="C59" s="80" t="str">
        <f>IF(A59="","",IFERROR(VLOOKUP(A59,DB_Customers!$A:$N,14,0),""))</f>
        <v/>
      </c>
      <c r="D59" s="81" t="str">
        <f t="shared" ca="1" si="3"/>
        <v/>
      </c>
      <c r="E59" s="97"/>
      <c r="F59" s="21"/>
      <c r="G59" s="98" t="str">
        <f t="shared" si="4"/>
        <v/>
      </c>
      <c r="H59" s="23"/>
      <c r="I59" s="84"/>
      <c r="J59" s="85" t="str">
        <f>IF(AND(A59&lt;&gt;"",E59&lt;&gt;""),IF(I59="","⚠️ Enter Code",IF(IFERROR(VLOOKUP(H59,DB_Agents!$B:$I,8,0),"")=I59,IF(C59&gt;=E59,"Successful","Unsuccessful"),"🔒 BLOCKED — Wrong Code")),"—")</f>
        <v>—</v>
      </c>
      <c r="K59" s="86" t="str">
        <f t="shared" ca="1" si="5"/>
        <v>—</v>
      </c>
      <c r="L59" s="87"/>
    </row>
    <row r="60" spans="1:12" x14ac:dyDescent="0.25">
      <c r="A60" s="88"/>
      <c r="B60" s="25" t="str">
        <f>IF(A60="","",IFERROR(VLOOKUP(A60,DB_Customers!$A:$D,4,0),"❌ Account Not Found"))</f>
        <v/>
      </c>
      <c r="C60" s="89" t="str">
        <f>IF(A60="","",IFERROR(VLOOKUP(A60,DB_Customers!$A:$N,14,0),""))</f>
        <v/>
      </c>
      <c r="D60" s="90" t="str">
        <f t="shared" ca="1" si="3"/>
        <v/>
      </c>
      <c r="E60" s="97"/>
      <c r="F60" s="25"/>
      <c r="G60" s="99" t="str">
        <f t="shared" si="4"/>
        <v/>
      </c>
      <c r="H60" s="27"/>
      <c r="I60" s="84"/>
      <c r="J60" s="92" t="str">
        <f>IF(AND(A60&lt;&gt;"",E60&lt;&gt;""),IF(I60="","⚠️ Enter Code",IF(IFERROR(VLOOKUP(H60,DB_Agents!$B:$I,8,0),"")=I60,IF(C60&gt;=E60,"Successful","Unsuccessful"),"🔒 BLOCKED — Wrong Code")),"—")</f>
        <v>—</v>
      </c>
      <c r="K60" s="93" t="str">
        <f t="shared" ca="1" si="5"/>
        <v>—</v>
      </c>
      <c r="L60" s="94"/>
    </row>
    <row r="61" spans="1:12" x14ac:dyDescent="0.25">
      <c r="A61" s="79"/>
      <c r="B61" s="21" t="str">
        <f>IF(A61="","",IFERROR(VLOOKUP(A61,DB_Customers!$A:$D,4,0),"❌ Account Not Found"))</f>
        <v/>
      </c>
      <c r="C61" s="80" t="str">
        <f>IF(A61="","",IFERROR(VLOOKUP(A61,DB_Customers!$A:$N,14,0),""))</f>
        <v/>
      </c>
      <c r="D61" s="81" t="str">
        <f t="shared" ca="1" si="3"/>
        <v/>
      </c>
      <c r="E61" s="97"/>
      <c r="F61" s="21"/>
      <c r="G61" s="98" t="str">
        <f t="shared" si="4"/>
        <v/>
      </c>
      <c r="H61" s="23"/>
      <c r="I61" s="84"/>
      <c r="J61" s="85" t="str">
        <f>IF(AND(A61&lt;&gt;"",E61&lt;&gt;""),IF(I61="","⚠️ Enter Code",IF(IFERROR(VLOOKUP(H61,DB_Agents!$B:$I,8,0),"")=I61,IF(C61&gt;=E61,"Successful","Unsuccessful"),"🔒 BLOCKED — Wrong Code")),"—")</f>
        <v>—</v>
      </c>
      <c r="K61" s="86" t="str">
        <f t="shared" ca="1" si="5"/>
        <v>—</v>
      </c>
      <c r="L61" s="87"/>
    </row>
    <row r="62" spans="1:12" x14ac:dyDescent="0.25">
      <c r="A62" s="88"/>
      <c r="B62" s="25" t="str">
        <f>IF(A62="","",IFERROR(VLOOKUP(A62,DB_Customers!$A:$D,4,0),"❌ Account Not Found"))</f>
        <v/>
      </c>
      <c r="C62" s="89" t="str">
        <f>IF(A62="","",IFERROR(VLOOKUP(A62,DB_Customers!$A:$N,14,0),""))</f>
        <v/>
      </c>
      <c r="D62" s="90" t="str">
        <f t="shared" ca="1" si="3"/>
        <v/>
      </c>
      <c r="E62" s="97"/>
      <c r="F62" s="25"/>
      <c r="G62" s="99" t="str">
        <f t="shared" si="4"/>
        <v/>
      </c>
      <c r="H62" s="27"/>
      <c r="I62" s="84"/>
      <c r="J62" s="92" t="str">
        <f>IF(AND(A62&lt;&gt;"",E62&lt;&gt;""),IF(I62="","⚠️ Enter Code",IF(IFERROR(VLOOKUP(H62,DB_Agents!$B:$I,8,0),"")=I62,IF(C62&gt;=E62,"Successful","Unsuccessful"),"🔒 BLOCKED — Wrong Code")),"—")</f>
        <v>—</v>
      </c>
      <c r="K62" s="93" t="str">
        <f t="shared" ca="1" si="5"/>
        <v>—</v>
      </c>
      <c r="L62" s="94"/>
    </row>
    <row r="63" spans="1:12" x14ac:dyDescent="0.25">
      <c r="A63" s="79"/>
      <c r="B63" s="21" t="str">
        <f>IF(A63="","",IFERROR(VLOOKUP(A63,DB_Customers!$A:$D,4,0),"❌ Account Not Found"))</f>
        <v/>
      </c>
      <c r="C63" s="80" t="str">
        <f>IF(A63="","",IFERROR(VLOOKUP(A63,DB_Customers!$A:$N,14,0),""))</f>
        <v/>
      </c>
      <c r="D63" s="81" t="str">
        <f t="shared" ca="1" si="3"/>
        <v/>
      </c>
      <c r="E63" s="97"/>
      <c r="F63" s="21"/>
      <c r="G63" s="98" t="str">
        <f t="shared" si="4"/>
        <v/>
      </c>
      <c r="H63" s="23"/>
      <c r="I63" s="84"/>
      <c r="J63" s="85" t="str">
        <f>IF(AND(A63&lt;&gt;"",E63&lt;&gt;""),IF(I63="","⚠️ Enter Code",IF(IFERROR(VLOOKUP(H63,DB_Agents!$B:$I,8,0),"")=I63,IF(C63&gt;=E63,"Successful","Unsuccessful"),"🔒 BLOCKED — Wrong Code")),"—")</f>
        <v>—</v>
      </c>
      <c r="K63" s="86" t="str">
        <f t="shared" ca="1" si="5"/>
        <v>—</v>
      </c>
      <c r="L63" s="87"/>
    </row>
    <row r="64" spans="1:12" x14ac:dyDescent="0.25">
      <c r="A64" s="88"/>
      <c r="B64" s="25" t="str">
        <f>IF(A64="","",IFERROR(VLOOKUP(A64,DB_Customers!$A:$D,4,0),"❌ Account Not Found"))</f>
        <v/>
      </c>
      <c r="C64" s="89" t="str">
        <f>IF(A64="","",IFERROR(VLOOKUP(A64,DB_Customers!$A:$N,14,0),""))</f>
        <v/>
      </c>
      <c r="D64" s="90" t="str">
        <f t="shared" ca="1" si="3"/>
        <v/>
      </c>
      <c r="E64" s="97"/>
      <c r="F64" s="25"/>
      <c r="G64" s="99" t="str">
        <f t="shared" si="4"/>
        <v/>
      </c>
      <c r="H64" s="27"/>
      <c r="I64" s="84"/>
      <c r="J64" s="92" t="str">
        <f>IF(AND(A64&lt;&gt;"",E64&lt;&gt;""),IF(I64="","⚠️ Enter Code",IF(IFERROR(VLOOKUP(H64,DB_Agents!$B:$I,8,0),"")=I64,IF(C64&gt;=E64,"Successful","Unsuccessful"),"🔒 BLOCKED — Wrong Code")),"—")</f>
        <v>—</v>
      </c>
      <c r="K64" s="93" t="str">
        <f t="shared" ca="1" si="5"/>
        <v>—</v>
      </c>
      <c r="L64" s="94"/>
    </row>
    <row r="65" spans="1:12" x14ac:dyDescent="0.25">
      <c r="A65" s="79"/>
      <c r="B65" s="21" t="str">
        <f>IF(A65="","",IFERROR(VLOOKUP(A65,DB_Customers!$A:$D,4,0),"❌ Account Not Found"))</f>
        <v/>
      </c>
      <c r="C65" s="80" t="str">
        <f>IF(A65="","",IFERROR(VLOOKUP(A65,DB_Customers!$A:$N,14,0),""))</f>
        <v/>
      </c>
      <c r="D65" s="81" t="str">
        <f t="shared" ca="1" si="3"/>
        <v/>
      </c>
      <c r="E65" s="97"/>
      <c r="F65" s="21"/>
      <c r="G65" s="98" t="str">
        <f t="shared" si="4"/>
        <v/>
      </c>
      <c r="H65" s="23"/>
      <c r="I65" s="84"/>
      <c r="J65" s="85" t="str">
        <f>IF(AND(A65&lt;&gt;"",E65&lt;&gt;""),IF(I65="","⚠️ Enter Code",IF(IFERROR(VLOOKUP(H65,DB_Agents!$B:$I,8,0),"")=I65,IF(C65&gt;=E65,"Successful","Unsuccessful"),"🔒 BLOCKED — Wrong Code")),"—")</f>
        <v>—</v>
      </c>
      <c r="K65" s="86" t="str">
        <f t="shared" ca="1" si="5"/>
        <v>—</v>
      </c>
      <c r="L65" s="87"/>
    </row>
    <row r="66" spans="1:12" x14ac:dyDescent="0.25">
      <c r="A66" s="88"/>
      <c r="B66" s="25" t="str">
        <f>IF(A66="","",IFERROR(VLOOKUP(A66,DB_Customers!$A:$D,4,0),"❌ Account Not Found"))</f>
        <v/>
      </c>
      <c r="C66" s="89" t="str">
        <f>IF(A66="","",IFERROR(VLOOKUP(A66,DB_Customers!$A:$N,14,0),""))</f>
        <v/>
      </c>
      <c r="D66" s="90" t="str">
        <f t="shared" ca="1" si="3"/>
        <v/>
      </c>
      <c r="E66" s="97"/>
      <c r="F66" s="25"/>
      <c r="G66" s="99" t="str">
        <f t="shared" si="4"/>
        <v/>
      </c>
      <c r="H66" s="27"/>
      <c r="I66" s="84"/>
      <c r="J66" s="92" t="str">
        <f>IF(AND(A66&lt;&gt;"",E66&lt;&gt;""),IF(I66="","⚠️ Enter Code",IF(IFERROR(VLOOKUP(H66,DB_Agents!$B:$I,8,0),"")=I66,IF(C66&gt;=E66,"Successful","Unsuccessful"),"🔒 BLOCKED — Wrong Code")),"—")</f>
        <v>—</v>
      </c>
      <c r="K66" s="93" t="str">
        <f t="shared" ca="1" si="5"/>
        <v>—</v>
      </c>
      <c r="L66" s="94"/>
    </row>
    <row r="67" spans="1:12" x14ac:dyDescent="0.25">
      <c r="A67" s="79"/>
      <c r="B67" s="21" t="str">
        <f>IF(A67="","",IFERROR(VLOOKUP(A67,DB_Customers!$A:$D,4,0),"❌ Account Not Found"))</f>
        <v/>
      </c>
      <c r="C67" s="80" t="str">
        <f>IF(A67="","",IFERROR(VLOOKUP(A67,DB_Customers!$A:$N,14,0),""))</f>
        <v/>
      </c>
      <c r="D67" s="81" t="str">
        <f t="shared" ca="1" si="3"/>
        <v/>
      </c>
      <c r="E67" s="97"/>
      <c r="F67" s="21"/>
      <c r="G67" s="98" t="str">
        <f t="shared" si="4"/>
        <v/>
      </c>
      <c r="H67" s="23"/>
      <c r="I67" s="84"/>
      <c r="J67" s="85" t="str">
        <f>IF(AND(A67&lt;&gt;"",E67&lt;&gt;""),IF(I67="","⚠️ Enter Code",IF(IFERROR(VLOOKUP(H67,DB_Agents!$B:$I,8,0),"")=I67,IF(C67&gt;=E67,"Successful","Unsuccessful"),"🔒 BLOCKED — Wrong Code")),"—")</f>
        <v>—</v>
      </c>
      <c r="K67" s="86" t="str">
        <f t="shared" ca="1" si="5"/>
        <v>—</v>
      </c>
      <c r="L67" s="87"/>
    </row>
    <row r="68" spans="1:12" x14ac:dyDescent="0.25">
      <c r="A68" s="88"/>
      <c r="B68" s="25" t="str">
        <f>IF(A68="","",IFERROR(VLOOKUP(A68,DB_Customers!$A:$D,4,0),"❌ Account Not Found"))</f>
        <v/>
      </c>
      <c r="C68" s="89" t="str">
        <f>IF(A68="","",IFERROR(VLOOKUP(A68,DB_Customers!$A:$N,14,0),""))</f>
        <v/>
      </c>
      <c r="D68" s="90" t="str">
        <f t="shared" ca="1" si="3"/>
        <v/>
      </c>
      <c r="E68" s="97"/>
      <c r="F68" s="25"/>
      <c r="G68" s="99" t="str">
        <f t="shared" si="4"/>
        <v/>
      </c>
      <c r="H68" s="27"/>
      <c r="I68" s="84"/>
      <c r="J68" s="92" t="str">
        <f>IF(AND(A68&lt;&gt;"",E68&lt;&gt;""),IF(I68="","⚠️ Enter Code",IF(IFERROR(VLOOKUP(H68,DB_Agents!$B:$I,8,0),"")=I68,IF(C68&gt;=E68,"Successful","Unsuccessful"),"🔒 BLOCKED — Wrong Code")),"—")</f>
        <v>—</v>
      </c>
      <c r="K68" s="93" t="str">
        <f t="shared" ca="1" si="5"/>
        <v>—</v>
      </c>
      <c r="L68" s="94"/>
    </row>
    <row r="69" spans="1:12" x14ac:dyDescent="0.25">
      <c r="A69" s="79"/>
      <c r="B69" s="21" t="str">
        <f>IF(A69="","",IFERROR(VLOOKUP(A69,DB_Customers!$A:$D,4,0),"❌ Account Not Found"))</f>
        <v/>
      </c>
      <c r="C69" s="80" t="str">
        <f>IF(A69="","",IFERROR(VLOOKUP(A69,DB_Customers!$A:$N,14,0),""))</f>
        <v/>
      </c>
      <c r="D69" s="81" t="str">
        <f t="shared" ca="1" si="3"/>
        <v/>
      </c>
      <c r="E69" s="97"/>
      <c r="F69" s="21"/>
      <c r="G69" s="98" t="str">
        <f t="shared" si="4"/>
        <v/>
      </c>
      <c r="H69" s="23"/>
      <c r="I69" s="84"/>
      <c r="J69" s="85" t="str">
        <f>IF(AND(A69&lt;&gt;"",E69&lt;&gt;""),IF(I69="","⚠️ Enter Code",IF(IFERROR(VLOOKUP(H69,DB_Agents!$B:$I,8,0),"")=I69,IF(C69&gt;=E69,"Successful","Unsuccessful"),"🔒 BLOCKED — Wrong Code")),"—")</f>
        <v>—</v>
      </c>
      <c r="K69" s="86" t="str">
        <f t="shared" ca="1" si="5"/>
        <v>—</v>
      </c>
      <c r="L69" s="87"/>
    </row>
    <row r="70" spans="1:12" x14ac:dyDescent="0.25">
      <c r="A70" s="88"/>
      <c r="B70" s="25" t="str">
        <f>IF(A70="","",IFERROR(VLOOKUP(A70,DB_Customers!$A:$D,4,0),"❌ Account Not Found"))</f>
        <v/>
      </c>
      <c r="C70" s="89" t="str">
        <f>IF(A70="","",IFERROR(VLOOKUP(A70,DB_Customers!$A:$N,14,0),""))</f>
        <v/>
      </c>
      <c r="D70" s="90" t="str">
        <f t="shared" ca="1" si="3"/>
        <v/>
      </c>
      <c r="E70" s="97"/>
      <c r="F70" s="25"/>
      <c r="G70" s="99" t="str">
        <f t="shared" si="4"/>
        <v/>
      </c>
      <c r="H70" s="27"/>
      <c r="I70" s="84"/>
      <c r="J70" s="92" t="str">
        <f>IF(AND(A70&lt;&gt;"",E70&lt;&gt;""),IF(I70="","⚠️ Enter Code",IF(IFERROR(VLOOKUP(H70,DB_Agents!$B:$I,8,0),"")=I70,IF(C70&gt;=E70,"Successful","Unsuccessful"),"🔒 BLOCKED — Wrong Code")),"—")</f>
        <v>—</v>
      </c>
      <c r="K70" s="93" t="str">
        <f t="shared" ca="1" si="5"/>
        <v>—</v>
      </c>
      <c r="L70" s="94"/>
    </row>
    <row r="71" spans="1:12" x14ac:dyDescent="0.25">
      <c r="A71" s="79"/>
      <c r="B71" s="21" t="str">
        <f>IF(A71="","",IFERROR(VLOOKUP(A71,DB_Customers!$A:$D,4,0),"❌ Account Not Found"))</f>
        <v/>
      </c>
      <c r="C71" s="80" t="str">
        <f>IF(A71="","",IFERROR(VLOOKUP(A71,DB_Customers!$A:$N,14,0),""))</f>
        <v/>
      </c>
      <c r="D71" s="81" t="str">
        <f t="shared" ca="1" si="3"/>
        <v/>
      </c>
      <c r="E71" s="97"/>
      <c r="F71" s="21"/>
      <c r="G71" s="98" t="str">
        <f t="shared" si="4"/>
        <v/>
      </c>
      <c r="H71" s="23"/>
      <c r="I71" s="84"/>
      <c r="J71" s="85" t="str">
        <f>IF(AND(A71&lt;&gt;"",E71&lt;&gt;""),IF(I71="","⚠️ Enter Code",IF(IFERROR(VLOOKUP(H71,DB_Agents!$B:$I,8,0),"")=I71,IF(C71&gt;=E71,"Successful","Unsuccessful"),"🔒 BLOCKED — Wrong Code")),"—")</f>
        <v>—</v>
      </c>
      <c r="K71" s="86" t="str">
        <f t="shared" ca="1" si="5"/>
        <v>—</v>
      </c>
      <c r="L71" s="87"/>
    </row>
    <row r="72" spans="1:12" x14ac:dyDescent="0.25">
      <c r="A72" s="88"/>
      <c r="B72" s="25" t="str">
        <f>IF(A72="","",IFERROR(VLOOKUP(A72,DB_Customers!$A:$D,4,0),"❌ Account Not Found"))</f>
        <v/>
      </c>
      <c r="C72" s="89" t="str">
        <f>IF(A72="","",IFERROR(VLOOKUP(A72,DB_Customers!$A:$N,14,0),""))</f>
        <v/>
      </c>
      <c r="D72" s="90" t="str">
        <f t="shared" ca="1" si="3"/>
        <v/>
      </c>
      <c r="E72" s="97"/>
      <c r="F72" s="25"/>
      <c r="G72" s="99" t="str">
        <f t="shared" si="4"/>
        <v/>
      </c>
      <c r="H72" s="27"/>
      <c r="I72" s="84"/>
      <c r="J72" s="92" t="str">
        <f>IF(AND(A72&lt;&gt;"",E72&lt;&gt;""),IF(I72="","⚠️ Enter Code",IF(IFERROR(VLOOKUP(H72,DB_Agents!$B:$I,8,0),"")=I72,IF(C72&gt;=E72,"Successful","Unsuccessful"),"🔒 BLOCKED — Wrong Code")),"—")</f>
        <v>—</v>
      </c>
      <c r="K72" s="93" t="str">
        <f t="shared" ca="1" si="5"/>
        <v>—</v>
      </c>
      <c r="L72" s="94"/>
    </row>
    <row r="73" spans="1:12" x14ac:dyDescent="0.25">
      <c r="A73" s="79"/>
      <c r="B73" s="21" t="str">
        <f>IF(A73="","",IFERROR(VLOOKUP(A73,DB_Customers!$A:$D,4,0),"❌ Account Not Found"))</f>
        <v/>
      </c>
      <c r="C73" s="80" t="str">
        <f>IF(A73="","",IFERROR(VLOOKUP(A73,DB_Customers!$A:$N,14,0),""))</f>
        <v/>
      </c>
      <c r="D73" s="81" t="str">
        <f t="shared" ref="D73:D104" ca="1" si="6">IF(A73="","",TODAY())</f>
        <v/>
      </c>
      <c r="E73" s="97"/>
      <c r="F73" s="21"/>
      <c r="G73" s="98" t="str">
        <f t="shared" ref="G73:G104" si="7">IF(OR(A73="",E73=""),"",IF(C73="","",C73-E73))</f>
        <v/>
      </c>
      <c r="H73" s="23"/>
      <c r="I73" s="84"/>
      <c r="J73" s="85" t="str">
        <f>IF(AND(A73&lt;&gt;"",E73&lt;&gt;""),IF(I73="","⚠️ Enter Code",IF(IFERROR(VLOOKUP(H73,DB_Agents!$B:$I,8,0),"")=I73,IF(C73&gt;=E73,"Successful","Unsuccessful"),"🔒 BLOCKED — Wrong Code")),"—")</f>
        <v>—</v>
      </c>
      <c r="K73" s="86" t="str">
        <f t="shared" ref="K73:K104" ca="1" si="8">IF(J73="Successful",TEXT(TODAY(),"YYYY-MM-DD")&amp;" Auto","—")</f>
        <v>—</v>
      </c>
      <c r="L73" s="87"/>
    </row>
    <row r="74" spans="1:12" x14ac:dyDescent="0.25">
      <c r="A74" s="88"/>
      <c r="B74" s="25" t="str">
        <f>IF(A74="","",IFERROR(VLOOKUP(A74,DB_Customers!$A:$D,4,0),"❌ Account Not Found"))</f>
        <v/>
      </c>
      <c r="C74" s="89" t="str">
        <f>IF(A74="","",IFERROR(VLOOKUP(A74,DB_Customers!$A:$N,14,0),""))</f>
        <v/>
      </c>
      <c r="D74" s="90" t="str">
        <f t="shared" ca="1" si="6"/>
        <v/>
      </c>
      <c r="E74" s="97"/>
      <c r="F74" s="25"/>
      <c r="G74" s="99" t="str">
        <f t="shared" si="7"/>
        <v/>
      </c>
      <c r="H74" s="27"/>
      <c r="I74" s="84"/>
      <c r="J74" s="92" t="str">
        <f>IF(AND(A74&lt;&gt;"",E74&lt;&gt;""),IF(I74="","⚠️ Enter Code",IF(IFERROR(VLOOKUP(H74,DB_Agents!$B:$I,8,0),"")=I74,IF(C74&gt;=E74,"Successful","Unsuccessful"),"🔒 BLOCKED — Wrong Code")),"—")</f>
        <v>—</v>
      </c>
      <c r="K74" s="93" t="str">
        <f t="shared" ca="1" si="8"/>
        <v>—</v>
      </c>
      <c r="L74" s="94"/>
    </row>
    <row r="75" spans="1:12" x14ac:dyDescent="0.25">
      <c r="A75" s="79"/>
      <c r="B75" s="21" t="str">
        <f>IF(A75="","",IFERROR(VLOOKUP(A75,DB_Customers!$A:$D,4,0),"❌ Account Not Found"))</f>
        <v/>
      </c>
      <c r="C75" s="80" t="str">
        <f>IF(A75="","",IFERROR(VLOOKUP(A75,DB_Customers!$A:$N,14,0),""))</f>
        <v/>
      </c>
      <c r="D75" s="81" t="str">
        <f t="shared" ca="1" si="6"/>
        <v/>
      </c>
      <c r="E75" s="97"/>
      <c r="F75" s="21"/>
      <c r="G75" s="98" t="str">
        <f t="shared" si="7"/>
        <v/>
      </c>
      <c r="H75" s="23"/>
      <c r="I75" s="84"/>
      <c r="J75" s="85" t="str">
        <f>IF(AND(A75&lt;&gt;"",E75&lt;&gt;""),IF(I75="","⚠️ Enter Code",IF(IFERROR(VLOOKUP(H75,DB_Agents!$B:$I,8,0),"")=I75,IF(C75&gt;=E75,"Successful","Unsuccessful"),"🔒 BLOCKED — Wrong Code")),"—")</f>
        <v>—</v>
      </c>
      <c r="K75" s="86" t="str">
        <f t="shared" ca="1" si="8"/>
        <v>—</v>
      </c>
      <c r="L75" s="87"/>
    </row>
    <row r="76" spans="1:12" x14ac:dyDescent="0.25">
      <c r="A76" s="88"/>
      <c r="B76" s="25" t="str">
        <f>IF(A76="","",IFERROR(VLOOKUP(A76,DB_Customers!$A:$D,4,0),"❌ Account Not Found"))</f>
        <v/>
      </c>
      <c r="C76" s="89" t="str">
        <f>IF(A76="","",IFERROR(VLOOKUP(A76,DB_Customers!$A:$N,14,0),""))</f>
        <v/>
      </c>
      <c r="D76" s="90" t="str">
        <f t="shared" ca="1" si="6"/>
        <v/>
      </c>
      <c r="E76" s="97"/>
      <c r="F76" s="25"/>
      <c r="G76" s="99" t="str">
        <f t="shared" si="7"/>
        <v/>
      </c>
      <c r="H76" s="27"/>
      <c r="I76" s="84"/>
      <c r="J76" s="92" t="str">
        <f>IF(AND(A76&lt;&gt;"",E76&lt;&gt;""),IF(I76="","⚠️ Enter Code",IF(IFERROR(VLOOKUP(H76,DB_Agents!$B:$I,8,0),"")=I76,IF(C76&gt;=E76,"Successful","Unsuccessful"),"🔒 BLOCKED — Wrong Code")),"—")</f>
        <v>—</v>
      </c>
      <c r="K76" s="93" t="str">
        <f t="shared" ca="1" si="8"/>
        <v>—</v>
      </c>
      <c r="L76" s="94"/>
    </row>
    <row r="77" spans="1:12" x14ac:dyDescent="0.25">
      <c r="A77" s="79"/>
      <c r="B77" s="21" t="str">
        <f>IF(A77="","",IFERROR(VLOOKUP(A77,DB_Customers!$A:$D,4,0),"❌ Account Not Found"))</f>
        <v/>
      </c>
      <c r="C77" s="80" t="str">
        <f>IF(A77="","",IFERROR(VLOOKUP(A77,DB_Customers!$A:$N,14,0),""))</f>
        <v/>
      </c>
      <c r="D77" s="81" t="str">
        <f t="shared" ca="1" si="6"/>
        <v/>
      </c>
      <c r="E77" s="97"/>
      <c r="F77" s="21"/>
      <c r="G77" s="98" t="str">
        <f t="shared" si="7"/>
        <v/>
      </c>
      <c r="H77" s="23"/>
      <c r="I77" s="84"/>
      <c r="J77" s="85" t="str">
        <f>IF(AND(A77&lt;&gt;"",E77&lt;&gt;""),IF(I77="","⚠️ Enter Code",IF(IFERROR(VLOOKUP(H77,DB_Agents!$B:$I,8,0),"")=I77,IF(C77&gt;=E77,"Successful","Unsuccessful"),"🔒 BLOCKED — Wrong Code")),"—")</f>
        <v>—</v>
      </c>
      <c r="K77" s="86" t="str">
        <f t="shared" ca="1" si="8"/>
        <v>—</v>
      </c>
      <c r="L77" s="87"/>
    </row>
    <row r="78" spans="1:12" x14ac:dyDescent="0.25">
      <c r="A78" s="88"/>
      <c r="B78" s="25" t="str">
        <f>IF(A78="","",IFERROR(VLOOKUP(A78,DB_Customers!$A:$D,4,0),"❌ Account Not Found"))</f>
        <v/>
      </c>
      <c r="C78" s="89" t="str">
        <f>IF(A78="","",IFERROR(VLOOKUP(A78,DB_Customers!$A:$N,14,0),""))</f>
        <v/>
      </c>
      <c r="D78" s="90" t="str">
        <f t="shared" ca="1" si="6"/>
        <v/>
      </c>
      <c r="E78" s="97"/>
      <c r="F78" s="25"/>
      <c r="G78" s="99" t="str">
        <f t="shared" si="7"/>
        <v/>
      </c>
      <c r="H78" s="27"/>
      <c r="I78" s="84"/>
      <c r="J78" s="92" t="str">
        <f>IF(AND(A78&lt;&gt;"",E78&lt;&gt;""),IF(I78="","⚠️ Enter Code",IF(IFERROR(VLOOKUP(H78,DB_Agents!$B:$I,8,0),"")=I78,IF(C78&gt;=E78,"Successful","Unsuccessful"),"🔒 BLOCKED — Wrong Code")),"—")</f>
        <v>—</v>
      </c>
      <c r="K78" s="93" t="str">
        <f t="shared" ca="1" si="8"/>
        <v>—</v>
      </c>
      <c r="L78" s="94"/>
    </row>
    <row r="79" spans="1:12" x14ac:dyDescent="0.25">
      <c r="A79" s="79"/>
      <c r="B79" s="21" t="str">
        <f>IF(A79="","",IFERROR(VLOOKUP(A79,DB_Customers!$A:$D,4,0),"❌ Account Not Found"))</f>
        <v/>
      </c>
      <c r="C79" s="80" t="str">
        <f>IF(A79="","",IFERROR(VLOOKUP(A79,DB_Customers!$A:$N,14,0),""))</f>
        <v/>
      </c>
      <c r="D79" s="81" t="str">
        <f t="shared" ca="1" si="6"/>
        <v/>
      </c>
      <c r="E79" s="97"/>
      <c r="F79" s="21"/>
      <c r="G79" s="98" t="str">
        <f t="shared" si="7"/>
        <v/>
      </c>
      <c r="H79" s="23"/>
      <c r="I79" s="84"/>
      <c r="J79" s="85" t="str">
        <f>IF(AND(A79&lt;&gt;"",E79&lt;&gt;""),IF(I79="","⚠️ Enter Code",IF(IFERROR(VLOOKUP(H79,DB_Agents!$B:$I,8,0),"")=I79,IF(C79&gt;=E79,"Successful","Unsuccessful"),"🔒 BLOCKED — Wrong Code")),"—")</f>
        <v>—</v>
      </c>
      <c r="K79" s="86" t="str">
        <f t="shared" ca="1" si="8"/>
        <v>—</v>
      </c>
      <c r="L79" s="87"/>
    </row>
    <row r="80" spans="1:12" x14ac:dyDescent="0.25">
      <c r="A80" s="88"/>
      <c r="B80" s="25" t="str">
        <f>IF(A80="","",IFERROR(VLOOKUP(A80,DB_Customers!$A:$D,4,0),"❌ Account Not Found"))</f>
        <v/>
      </c>
      <c r="C80" s="89" t="str">
        <f>IF(A80="","",IFERROR(VLOOKUP(A80,DB_Customers!$A:$N,14,0),""))</f>
        <v/>
      </c>
      <c r="D80" s="90" t="str">
        <f t="shared" ca="1" si="6"/>
        <v/>
      </c>
      <c r="E80" s="97"/>
      <c r="F80" s="25"/>
      <c r="G80" s="99" t="str">
        <f t="shared" si="7"/>
        <v/>
      </c>
      <c r="H80" s="27"/>
      <c r="I80" s="84"/>
      <c r="J80" s="92" t="str">
        <f>IF(AND(A80&lt;&gt;"",E80&lt;&gt;""),IF(I80="","⚠️ Enter Code",IF(IFERROR(VLOOKUP(H80,DB_Agents!$B:$I,8,0),"")=I80,IF(C80&gt;=E80,"Successful","Unsuccessful"),"🔒 BLOCKED — Wrong Code")),"—")</f>
        <v>—</v>
      </c>
      <c r="K80" s="93" t="str">
        <f t="shared" ca="1" si="8"/>
        <v>—</v>
      </c>
      <c r="L80" s="94"/>
    </row>
    <row r="81" spans="1:12" x14ac:dyDescent="0.25">
      <c r="A81" s="79"/>
      <c r="B81" s="21" t="str">
        <f>IF(A81="","",IFERROR(VLOOKUP(A81,DB_Customers!$A:$D,4,0),"❌ Account Not Found"))</f>
        <v/>
      </c>
      <c r="C81" s="80" t="str">
        <f>IF(A81="","",IFERROR(VLOOKUP(A81,DB_Customers!$A:$N,14,0),""))</f>
        <v/>
      </c>
      <c r="D81" s="81" t="str">
        <f t="shared" ca="1" si="6"/>
        <v/>
      </c>
      <c r="E81" s="97"/>
      <c r="F81" s="21"/>
      <c r="G81" s="98" t="str">
        <f t="shared" si="7"/>
        <v/>
      </c>
      <c r="H81" s="23"/>
      <c r="I81" s="84"/>
      <c r="J81" s="85" t="str">
        <f>IF(AND(A81&lt;&gt;"",E81&lt;&gt;""),IF(I81="","⚠️ Enter Code",IF(IFERROR(VLOOKUP(H81,DB_Agents!$B:$I,8,0),"")=I81,IF(C81&gt;=E81,"Successful","Unsuccessful"),"🔒 BLOCKED — Wrong Code")),"—")</f>
        <v>—</v>
      </c>
      <c r="K81" s="86" t="str">
        <f t="shared" ca="1" si="8"/>
        <v>—</v>
      </c>
      <c r="L81" s="87"/>
    </row>
    <row r="82" spans="1:12" x14ac:dyDescent="0.25">
      <c r="A82" s="88"/>
      <c r="B82" s="25" t="str">
        <f>IF(A82="","",IFERROR(VLOOKUP(A82,DB_Customers!$A:$D,4,0),"❌ Account Not Found"))</f>
        <v/>
      </c>
      <c r="C82" s="89" t="str">
        <f>IF(A82="","",IFERROR(VLOOKUP(A82,DB_Customers!$A:$N,14,0),""))</f>
        <v/>
      </c>
      <c r="D82" s="90" t="str">
        <f t="shared" ca="1" si="6"/>
        <v/>
      </c>
      <c r="E82" s="97"/>
      <c r="F82" s="25"/>
      <c r="G82" s="99" t="str">
        <f t="shared" si="7"/>
        <v/>
      </c>
      <c r="H82" s="27"/>
      <c r="I82" s="84"/>
      <c r="J82" s="92" t="str">
        <f>IF(AND(A82&lt;&gt;"",E82&lt;&gt;""),IF(I82="","⚠️ Enter Code",IF(IFERROR(VLOOKUP(H82,DB_Agents!$B:$I,8,0),"")=I82,IF(C82&gt;=E82,"Successful","Unsuccessful"),"🔒 BLOCKED — Wrong Code")),"—")</f>
        <v>—</v>
      </c>
      <c r="K82" s="93" t="str">
        <f t="shared" ca="1" si="8"/>
        <v>—</v>
      </c>
      <c r="L82" s="94"/>
    </row>
    <row r="83" spans="1:12" x14ac:dyDescent="0.25">
      <c r="A83" s="79"/>
      <c r="B83" s="21" t="str">
        <f>IF(A83="","",IFERROR(VLOOKUP(A83,DB_Customers!$A:$D,4,0),"❌ Account Not Found"))</f>
        <v/>
      </c>
      <c r="C83" s="80" t="str">
        <f>IF(A83="","",IFERROR(VLOOKUP(A83,DB_Customers!$A:$N,14,0),""))</f>
        <v/>
      </c>
      <c r="D83" s="81" t="str">
        <f t="shared" ca="1" si="6"/>
        <v/>
      </c>
      <c r="E83" s="97"/>
      <c r="F83" s="21"/>
      <c r="G83" s="98" t="str">
        <f t="shared" si="7"/>
        <v/>
      </c>
      <c r="H83" s="23"/>
      <c r="I83" s="84"/>
      <c r="J83" s="85" t="str">
        <f>IF(AND(A83&lt;&gt;"",E83&lt;&gt;""),IF(I83="","⚠️ Enter Code",IF(IFERROR(VLOOKUP(H83,DB_Agents!$B:$I,8,0),"")=I83,IF(C83&gt;=E83,"Successful","Unsuccessful"),"🔒 BLOCKED — Wrong Code")),"—")</f>
        <v>—</v>
      </c>
      <c r="K83" s="86" t="str">
        <f t="shared" ca="1" si="8"/>
        <v>—</v>
      </c>
      <c r="L83" s="87"/>
    </row>
    <row r="84" spans="1:12" x14ac:dyDescent="0.25">
      <c r="A84" s="88"/>
      <c r="B84" s="25" t="str">
        <f>IF(A84="","",IFERROR(VLOOKUP(A84,DB_Customers!$A:$D,4,0),"❌ Account Not Found"))</f>
        <v/>
      </c>
      <c r="C84" s="89" t="str">
        <f>IF(A84="","",IFERROR(VLOOKUP(A84,DB_Customers!$A:$N,14,0),""))</f>
        <v/>
      </c>
      <c r="D84" s="90" t="str">
        <f t="shared" ca="1" si="6"/>
        <v/>
      </c>
      <c r="E84" s="97"/>
      <c r="F84" s="25"/>
      <c r="G84" s="99" t="str">
        <f t="shared" si="7"/>
        <v/>
      </c>
      <c r="H84" s="27"/>
      <c r="I84" s="84"/>
      <c r="J84" s="92" t="str">
        <f>IF(AND(A84&lt;&gt;"",E84&lt;&gt;""),IF(I84="","⚠️ Enter Code",IF(IFERROR(VLOOKUP(H84,DB_Agents!$B:$I,8,0),"")=I84,IF(C84&gt;=E84,"Successful","Unsuccessful"),"🔒 BLOCKED — Wrong Code")),"—")</f>
        <v>—</v>
      </c>
      <c r="K84" s="93" t="str">
        <f t="shared" ca="1" si="8"/>
        <v>—</v>
      </c>
      <c r="L84" s="94"/>
    </row>
    <row r="85" spans="1:12" x14ac:dyDescent="0.25">
      <c r="A85" s="79"/>
      <c r="B85" s="21" t="str">
        <f>IF(A85="","",IFERROR(VLOOKUP(A85,DB_Customers!$A:$D,4,0),"❌ Account Not Found"))</f>
        <v/>
      </c>
      <c r="C85" s="80" t="str">
        <f>IF(A85="","",IFERROR(VLOOKUP(A85,DB_Customers!$A:$N,14,0),""))</f>
        <v/>
      </c>
      <c r="D85" s="81" t="str">
        <f t="shared" ca="1" si="6"/>
        <v/>
      </c>
      <c r="E85" s="97"/>
      <c r="F85" s="21"/>
      <c r="G85" s="98" t="str">
        <f t="shared" si="7"/>
        <v/>
      </c>
      <c r="H85" s="23"/>
      <c r="I85" s="84"/>
      <c r="J85" s="85" t="str">
        <f>IF(AND(A85&lt;&gt;"",E85&lt;&gt;""),IF(I85="","⚠️ Enter Code",IF(IFERROR(VLOOKUP(H85,DB_Agents!$B:$I,8,0),"")=I85,IF(C85&gt;=E85,"Successful","Unsuccessful"),"🔒 BLOCKED — Wrong Code")),"—")</f>
        <v>—</v>
      </c>
      <c r="K85" s="86" t="str">
        <f t="shared" ca="1" si="8"/>
        <v>—</v>
      </c>
      <c r="L85" s="87"/>
    </row>
    <row r="86" spans="1:12" x14ac:dyDescent="0.25">
      <c r="A86" s="88"/>
      <c r="B86" s="25" t="str">
        <f>IF(A86="","",IFERROR(VLOOKUP(A86,DB_Customers!$A:$D,4,0),"❌ Account Not Found"))</f>
        <v/>
      </c>
      <c r="C86" s="89" t="str">
        <f>IF(A86="","",IFERROR(VLOOKUP(A86,DB_Customers!$A:$N,14,0),""))</f>
        <v/>
      </c>
      <c r="D86" s="90" t="str">
        <f t="shared" ca="1" si="6"/>
        <v/>
      </c>
      <c r="E86" s="97"/>
      <c r="F86" s="25"/>
      <c r="G86" s="99" t="str">
        <f t="shared" si="7"/>
        <v/>
      </c>
      <c r="H86" s="27"/>
      <c r="I86" s="84"/>
      <c r="J86" s="92" t="str">
        <f>IF(AND(A86&lt;&gt;"",E86&lt;&gt;""),IF(I86="","⚠️ Enter Code",IF(IFERROR(VLOOKUP(H86,DB_Agents!$B:$I,8,0),"")=I86,IF(C86&gt;=E86,"Successful","Unsuccessful"),"🔒 BLOCKED — Wrong Code")),"—")</f>
        <v>—</v>
      </c>
      <c r="K86" s="93" t="str">
        <f t="shared" ca="1" si="8"/>
        <v>—</v>
      </c>
      <c r="L86" s="94"/>
    </row>
    <row r="87" spans="1:12" x14ac:dyDescent="0.25">
      <c r="A87" s="79"/>
      <c r="B87" s="21" t="str">
        <f>IF(A87="","",IFERROR(VLOOKUP(A87,DB_Customers!$A:$D,4,0),"❌ Account Not Found"))</f>
        <v/>
      </c>
      <c r="C87" s="80" t="str">
        <f>IF(A87="","",IFERROR(VLOOKUP(A87,DB_Customers!$A:$N,14,0),""))</f>
        <v/>
      </c>
      <c r="D87" s="81" t="str">
        <f t="shared" ca="1" si="6"/>
        <v/>
      </c>
      <c r="E87" s="97"/>
      <c r="F87" s="21"/>
      <c r="G87" s="98" t="str">
        <f t="shared" si="7"/>
        <v/>
      </c>
      <c r="H87" s="23"/>
      <c r="I87" s="84"/>
      <c r="J87" s="85" t="str">
        <f>IF(AND(A87&lt;&gt;"",E87&lt;&gt;""),IF(I87="","⚠️ Enter Code",IF(IFERROR(VLOOKUP(H87,DB_Agents!$B:$I,8,0),"")=I87,IF(C87&gt;=E87,"Successful","Unsuccessful"),"🔒 BLOCKED — Wrong Code")),"—")</f>
        <v>—</v>
      </c>
      <c r="K87" s="86" t="str">
        <f t="shared" ca="1" si="8"/>
        <v>—</v>
      </c>
      <c r="L87" s="87"/>
    </row>
    <row r="88" spans="1:12" x14ac:dyDescent="0.25">
      <c r="A88" s="88"/>
      <c r="B88" s="25" t="str">
        <f>IF(A88="","",IFERROR(VLOOKUP(A88,DB_Customers!$A:$D,4,0),"❌ Account Not Found"))</f>
        <v/>
      </c>
      <c r="C88" s="89" t="str">
        <f>IF(A88="","",IFERROR(VLOOKUP(A88,DB_Customers!$A:$N,14,0),""))</f>
        <v/>
      </c>
      <c r="D88" s="90" t="str">
        <f t="shared" ca="1" si="6"/>
        <v/>
      </c>
      <c r="E88" s="97"/>
      <c r="F88" s="25"/>
      <c r="G88" s="99" t="str">
        <f t="shared" si="7"/>
        <v/>
      </c>
      <c r="H88" s="27"/>
      <c r="I88" s="84"/>
      <c r="J88" s="92" t="str">
        <f>IF(AND(A88&lt;&gt;"",E88&lt;&gt;""),IF(I88="","⚠️ Enter Code",IF(IFERROR(VLOOKUP(H88,DB_Agents!$B:$I,8,0),"")=I88,IF(C88&gt;=E88,"Successful","Unsuccessful"),"🔒 BLOCKED — Wrong Code")),"—")</f>
        <v>—</v>
      </c>
      <c r="K88" s="93" t="str">
        <f t="shared" ca="1" si="8"/>
        <v>—</v>
      </c>
      <c r="L88" s="94"/>
    </row>
    <row r="89" spans="1:12" x14ac:dyDescent="0.25">
      <c r="A89" s="79"/>
      <c r="B89" s="21" t="str">
        <f>IF(A89="","",IFERROR(VLOOKUP(A89,DB_Customers!$A:$D,4,0),"❌ Account Not Found"))</f>
        <v/>
      </c>
      <c r="C89" s="80" t="str">
        <f>IF(A89="","",IFERROR(VLOOKUP(A89,DB_Customers!$A:$N,14,0),""))</f>
        <v/>
      </c>
      <c r="D89" s="81" t="str">
        <f t="shared" ca="1" si="6"/>
        <v/>
      </c>
      <c r="E89" s="97"/>
      <c r="F89" s="21"/>
      <c r="G89" s="98" t="str">
        <f t="shared" si="7"/>
        <v/>
      </c>
      <c r="H89" s="23"/>
      <c r="I89" s="84"/>
      <c r="J89" s="85" t="str">
        <f>IF(AND(A89&lt;&gt;"",E89&lt;&gt;""),IF(I89="","⚠️ Enter Code",IF(IFERROR(VLOOKUP(H89,DB_Agents!$B:$I,8,0),"")=I89,IF(C89&gt;=E89,"Successful","Unsuccessful"),"🔒 BLOCKED — Wrong Code")),"—")</f>
        <v>—</v>
      </c>
      <c r="K89" s="86" t="str">
        <f t="shared" ca="1" si="8"/>
        <v>—</v>
      </c>
      <c r="L89" s="87"/>
    </row>
    <row r="90" spans="1:12" x14ac:dyDescent="0.25">
      <c r="A90" s="88"/>
      <c r="B90" s="25" t="str">
        <f>IF(A90="","",IFERROR(VLOOKUP(A90,DB_Customers!$A:$D,4,0),"❌ Account Not Found"))</f>
        <v/>
      </c>
      <c r="C90" s="89" t="str">
        <f>IF(A90="","",IFERROR(VLOOKUP(A90,DB_Customers!$A:$N,14,0),""))</f>
        <v/>
      </c>
      <c r="D90" s="90" t="str">
        <f t="shared" ca="1" si="6"/>
        <v/>
      </c>
      <c r="E90" s="97"/>
      <c r="F90" s="25"/>
      <c r="G90" s="99" t="str">
        <f t="shared" si="7"/>
        <v/>
      </c>
      <c r="H90" s="27"/>
      <c r="I90" s="84"/>
      <c r="J90" s="92" t="str">
        <f>IF(AND(A90&lt;&gt;"",E90&lt;&gt;""),IF(I90="","⚠️ Enter Code",IF(IFERROR(VLOOKUP(H90,DB_Agents!$B:$I,8,0),"")=I90,IF(C90&gt;=E90,"Successful","Unsuccessful"),"🔒 BLOCKED — Wrong Code")),"—")</f>
        <v>—</v>
      </c>
      <c r="K90" s="93" t="str">
        <f t="shared" ca="1" si="8"/>
        <v>—</v>
      </c>
      <c r="L90" s="94"/>
    </row>
    <row r="91" spans="1:12" x14ac:dyDescent="0.25">
      <c r="A91" s="79"/>
      <c r="B91" s="21" t="str">
        <f>IF(A91="","",IFERROR(VLOOKUP(A91,DB_Customers!$A:$D,4,0),"❌ Account Not Found"))</f>
        <v/>
      </c>
      <c r="C91" s="80" t="str">
        <f>IF(A91="","",IFERROR(VLOOKUP(A91,DB_Customers!$A:$N,14,0),""))</f>
        <v/>
      </c>
      <c r="D91" s="81" t="str">
        <f t="shared" ca="1" si="6"/>
        <v/>
      </c>
      <c r="E91" s="97"/>
      <c r="F91" s="21"/>
      <c r="G91" s="98" t="str">
        <f t="shared" si="7"/>
        <v/>
      </c>
      <c r="H91" s="23"/>
      <c r="I91" s="84"/>
      <c r="J91" s="85" t="str">
        <f>IF(AND(A91&lt;&gt;"",E91&lt;&gt;""),IF(I91="","⚠️ Enter Code",IF(IFERROR(VLOOKUP(H91,DB_Agents!$B:$I,8,0),"")=I91,IF(C91&gt;=E91,"Successful","Unsuccessful"),"🔒 BLOCKED — Wrong Code")),"—")</f>
        <v>—</v>
      </c>
      <c r="K91" s="86" t="str">
        <f t="shared" ca="1" si="8"/>
        <v>—</v>
      </c>
      <c r="L91" s="87"/>
    </row>
    <row r="92" spans="1:12" x14ac:dyDescent="0.25">
      <c r="A92" s="88"/>
      <c r="B92" s="25" t="str">
        <f>IF(A92="","",IFERROR(VLOOKUP(A92,DB_Customers!$A:$D,4,0),"❌ Account Not Found"))</f>
        <v/>
      </c>
      <c r="C92" s="89" t="str">
        <f>IF(A92="","",IFERROR(VLOOKUP(A92,DB_Customers!$A:$N,14,0),""))</f>
        <v/>
      </c>
      <c r="D92" s="90" t="str">
        <f t="shared" ca="1" si="6"/>
        <v/>
      </c>
      <c r="E92" s="97"/>
      <c r="F92" s="25"/>
      <c r="G92" s="99" t="str">
        <f t="shared" si="7"/>
        <v/>
      </c>
      <c r="H92" s="27"/>
      <c r="I92" s="84"/>
      <c r="J92" s="92" t="str">
        <f>IF(AND(A92&lt;&gt;"",E92&lt;&gt;""),IF(I92="","⚠️ Enter Code",IF(IFERROR(VLOOKUP(H92,DB_Agents!$B:$I,8,0),"")=I92,IF(C92&gt;=E92,"Successful","Unsuccessful"),"🔒 BLOCKED — Wrong Code")),"—")</f>
        <v>—</v>
      </c>
      <c r="K92" s="93" t="str">
        <f t="shared" ca="1" si="8"/>
        <v>—</v>
      </c>
      <c r="L92" s="94"/>
    </row>
    <row r="93" spans="1:12" x14ac:dyDescent="0.25">
      <c r="A93" s="79"/>
      <c r="B93" s="21" t="str">
        <f>IF(A93="","",IFERROR(VLOOKUP(A93,DB_Customers!$A:$D,4,0),"❌ Account Not Found"))</f>
        <v/>
      </c>
      <c r="C93" s="80" t="str">
        <f>IF(A93="","",IFERROR(VLOOKUP(A93,DB_Customers!$A:$N,14,0),""))</f>
        <v/>
      </c>
      <c r="D93" s="81" t="str">
        <f t="shared" ca="1" si="6"/>
        <v/>
      </c>
      <c r="E93" s="97"/>
      <c r="F93" s="21"/>
      <c r="G93" s="98" t="str">
        <f t="shared" si="7"/>
        <v/>
      </c>
      <c r="H93" s="23"/>
      <c r="I93" s="84"/>
      <c r="J93" s="85" t="str">
        <f>IF(AND(A93&lt;&gt;"",E93&lt;&gt;""),IF(I93="","⚠️ Enter Code",IF(IFERROR(VLOOKUP(H93,DB_Agents!$B:$I,8,0),"")=I93,IF(C93&gt;=E93,"Successful","Unsuccessful"),"🔒 BLOCKED — Wrong Code")),"—")</f>
        <v>—</v>
      </c>
      <c r="K93" s="86" t="str">
        <f t="shared" ca="1" si="8"/>
        <v>—</v>
      </c>
      <c r="L93" s="87"/>
    </row>
    <row r="94" spans="1:12" x14ac:dyDescent="0.25">
      <c r="A94" s="88"/>
      <c r="B94" s="25" t="str">
        <f>IF(A94="","",IFERROR(VLOOKUP(A94,DB_Customers!$A:$D,4,0),"❌ Account Not Found"))</f>
        <v/>
      </c>
      <c r="C94" s="89" t="str">
        <f>IF(A94="","",IFERROR(VLOOKUP(A94,DB_Customers!$A:$N,14,0),""))</f>
        <v/>
      </c>
      <c r="D94" s="90" t="str">
        <f t="shared" ca="1" si="6"/>
        <v/>
      </c>
      <c r="E94" s="97"/>
      <c r="F94" s="25"/>
      <c r="G94" s="99" t="str">
        <f t="shared" si="7"/>
        <v/>
      </c>
      <c r="H94" s="27"/>
      <c r="I94" s="84"/>
      <c r="J94" s="92" t="str">
        <f>IF(AND(A94&lt;&gt;"",E94&lt;&gt;""),IF(I94="","⚠️ Enter Code",IF(IFERROR(VLOOKUP(H94,DB_Agents!$B:$I,8,0),"")=I94,IF(C94&gt;=E94,"Successful","Unsuccessful"),"🔒 BLOCKED — Wrong Code")),"—")</f>
        <v>—</v>
      </c>
      <c r="K94" s="93" t="str">
        <f t="shared" ca="1" si="8"/>
        <v>—</v>
      </c>
      <c r="L94" s="94"/>
    </row>
    <row r="95" spans="1:12" x14ac:dyDescent="0.25">
      <c r="A95" s="79"/>
      <c r="B95" s="21" t="str">
        <f>IF(A95="","",IFERROR(VLOOKUP(A95,DB_Customers!$A:$D,4,0),"❌ Account Not Found"))</f>
        <v/>
      </c>
      <c r="C95" s="80" t="str">
        <f>IF(A95="","",IFERROR(VLOOKUP(A95,DB_Customers!$A:$N,14,0),""))</f>
        <v/>
      </c>
      <c r="D95" s="81" t="str">
        <f t="shared" ca="1" si="6"/>
        <v/>
      </c>
      <c r="E95" s="97"/>
      <c r="F95" s="21"/>
      <c r="G95" s="98" t="str">
        <f t="shared" si="7"/>
        <v/>
      </c>
      <c r="H95" s="23"/>
      <c r="I95" s="84"/>
      <c r="J95" s="85" t="str">
        <f>IF(AND(A95&lt;&gt;"",E95&lt;&gt;""),IF(I95="","⚠️ Enter Code",IF(IFERROR(VLOOKUP(H95,DB_Agents!$B:$I,8,0),"")=I95,IF(C95&gt;=E95,"Successful","Unsuccessful"),"🔒 BLOCKED — Wrong Code")),"—")</f>
        <v>—</v>
      </c>
      <c r="K95" s="86" t="str">
        <f t="shared" ca="1" si="8"/>
        <v>—</v>
      </c>
      <c r="L95" s="87"/>
    </row>
    <row r="96" spans="1:12" x14ac:dyDescent="0.25">
      <c r="A96" s="88"/>
      <c r="B96" s="25" t="str">
        <f>IF(A96="","",IFERROR(VLOOKUP(A96,DB_Customers!$A:$D,4,0),"❌ Account Not Found"))</f>
        <v/>
      </c>
      <c r="C96" s="89" t="str">
        <f>IF(A96="","",IFERROR(VLOOKUP(A96,DB_Customers!$A:$N,14,0),""))</f>
        <v/>
      </c>
      <c r="D96" s="90" t="str">
        <f t="shared" ca="1" si="6"/>
        <v/>
      </c>
      <c r="E96" s="97"/>
      <c r="F96" s="25"/>
      <c r="G96" s="99" t="str">
        <f t="shared" si="7"/>
        <v/>
      </c>
      <c r="H96" s="27"/>
      <c r="I96" s="84"/>
      <c r="J96" s="92" t="str">
        <f>IF(AND(A96&lt;&gt;"",E96&lt;&gt;""),IF(I96="","⚠️ Enter Code",IF(IFERROR(VLOOKUP(H96,DB_Agents!$B:$I,8,0),"")=I96,IF(C96&gt;=E96,"Successful","Unsuccessful"),"🔒 BLOCKED — Wrong Code")),"—")</f>
        <v>—</v>
      </c>
      <c r="K96" s="93" t="str">
        <f t="shared" ca="1" si="8"/>
        <v>—</v>
      </c>
      <c r="L96" s="94"/>
    </row>
    <row r="97" spans="1:12" x14ac:dyDescent="0.25">
      <c r="A97" s="79"/>
      <c r="B97" s="21" t="str">
        <f>IF(A97="","",IFERROR(VLOOKUP(A97,DB_Customers!$A:$D,4,0),"❌ Account Not Found"))</f>
        <v/>
      </c>
      <c r="C97" s="80" t="str">
        <f>IF(A97="","",IFERROR(VLOOKUP(A97,DB_Customers!$A:$N,14,0),""))</f>
        <v/>
      </c>
      <c r="D97" s="81" t="str">
        <f t="shared" ca="1" si="6"/>
        <v/>
      </c>
      <c r="E97" s="97"/>
      <c r="F97" s="21"/>
      <c r="G97" s="98" t="str">
        <f t="shared" si="7"/>
        <v/>
      </c>
      <c r="H97" s="23"/>
      <c r="I97" s="84"/>
      <c r="J97" s="85" t="str">
        <f>IF(AND(A97&lt;&gt;"",E97&lt;&gt;""),IF(I97="","⚠️ Enter Code",IF(IFERROR(VLOOKUP(H97,DB_Agents!$B:$I,8,0),"")=I97,IF(C97&gt;=E97,"Successful","Unsuccessful"),"🔒 BLOCKED — Wrong Code")),"—")</f>
        <v>—</v>
      </c>
      <c r="K97" s="86" t="str">
        <f t="shared" ca="1" si="8"/>
        <v>—</v>
      </c>
      <c r="L97" s="87"/>
    </row>
    <row r="98" spans="1:12" x14ac:dyDescent="0.25">
      <c r="A98" s="88"/>
      <c r="B98" s="25" t="str">
        <f>IF(A98="","",IFERROR(VLOOKUP(A98,DB_Customers!$A:$D,4,0),"❌ Account Not Found"))</f>
        <v/>
      </c>
      <c r="C98" s="89" t="str">
        <f>IF(A98="","",IFERROR(VLOOKUP(A98,DB_Customers!$A:$N,14,0),""))</f>
        <v/>
      </c>
      <c r="D98" s="90" t="str">
        <f t="shared" ca="1" si="6"/>
        <v/>
      </c>
      <c r="E98" s="97"/>
      <c r="F98" s="25"/>
      <c r="G98" s="99" t="str">
        <f t="shared" si="7"/>
        <v/>
      </c>
      <c r="H98" s="27"/>
      <c r="I98" s="84"/>
      <c r="J98" s="92" t="str">
        <f>IF(AND(A98&lt;&gt;"",E98&lt;&gt;""),IF(I98="","⚠️ Enter Code",IF(IFERROR(VLOOKUP(H98,DB_Agents!$B:$I,8,0),"")=I98,IF(C98&gt;=E98,"Successful","Unsuccessful"),"🔒 BLOCKED — Wrong Code")),"—")</f>
        <v>—</v>
      </c>
      <c r="K98" s="93" t="str">
        <f t="shared" ca="1" si="8"/>
        <v>—</v>
      </c>
      <c r="L98" s="94"/>
    </row>
    <row r="99" spans="1:12" x14ac:dyDescent="0.25">
      <c r="A99" s="79"/>
      <c r="B99" s="21" t="str">
        <f>IF(A99="","",IFERROR(VLOOKUP(A99,DB_Customers!$A:$D,4,0),"❌ Account Not Found"))</f>
        <v/>
      </c>
      <c r="C99" s="80" t="str">
        <f>IF(A99="","",IFERROR(VLOOKUP(A99,DB_Customers!$A:$N,14,0),""))</f>
        <v/>
      </c>
      <c r="D99" s="81" t="str">
        <f t="shared" ca="1" si="6"/>
        <v/>
      </c>
      <c r="E99" s="97"/>
      <c r="F99" s="21"/>
      <c r="G99" s="98" t="str">
        <f t="shared" si="7"/>
        <v/>
      </c>
      <c r="H99" s="23"/>
      <c r="I99" s="84"/>
      <c r="J99" s="85" t="str">
        <f>IF(AND(A99&lt;&gt;"",E99&lt;&gt;""),IF(I99="","⚠️ Enter Code",IF(IFERROR(VLOOKUP(H99,DB_Agents!$B:$I,8,0),"")=I99,IF(C99&gt;=E99,"Successful","Unsuccessful"),"🔒 BLOCKED — Wrong Code")),"—")</f>
        <v>—</v>
      </c>
      <c r="K99" s="86" t="str">
        <f t="shared" ca="1" si="8"/>
        <v>—</v>
      </c>
      <c r="L99" s="87"/>
    </row>
    <row r="100" spans="1:12" x14ac:dyDescent="0.25">
      <c r="A100" s="88"/>
      <c r="B100" s="25" t="str">
        <f>IF(A100="","",IFERROR(VLOOKUP(A100,DB_Customers!$A:$D,4,0),"❌ Account Not Found"))</f>
        <v/>
      </c>
      <c r="C100" s="89" t="str">
        <f>IF(A100="","",IFERROR(VLOOKUP(A100,DB_Customers!$A:$N,14,0),""))</f>
        <v/>
      </c>
      <c r="D100" s="90" t="str">
        <f t="shared" ca="1" si="6"/>
        <v/>
      </c>
      <c r="E100" s="97"/>
      <c r="F100" s="25"/>
      <c r="G100" s="99" t="str">
        <f t="shared" si="7"/>
        <v/>
      </c>
      <c r="H100" s="27"/>
      <c r="I100" s="84"/>
      <c r="J100" s="92" t="str">
        <f>IF(AND(A100&lt;&gt;"",E100&lt;&gt;""),IF(I100="","⚠️ Enter Code",IF(IFERROR(VLOOKUP(H100,DB_Agents!$B:$I,8,0),"")=I100,IF(C100&gt;=E100,"Successful","Unsuccessful"),"🔒 BLOCKED — Wrong Code")),"—")</f>
        <v>—</v>
      </c>
      <c r="K100" s="93" t="str">
        <f t="shared" ca="1" si="8"/>
        <v>—</v>
      </c>
      <c r="L100" s="94"/>
    </row>
    <row r="101" spans="1:12" x14ac:dyDescent="0.25">
      <c r="A101" s="79"/>
      <c r="B101" s="21" t="str">
        <f>IF(A101="","",IFERROR(VLOOKUP(A101,DB_Customers!$A:$D,4,0),"❌ Account Not Found"))</f>
        <v/>
      </c>
      <c r="C101" s="80" t="str">
        <f>IF(A101="","",IFERROR(VLOOKUP(A101,DB_Customers!$A:$N,14,0),""))</f>
        <v/>
      </c>
      <c r="D101" s="81" t="str">
        <f t="shared" ca="1" si="6"/>
        <v/>
      </c>
      <c r="E101" s="97"/>
      <c r="F101" s="21"/>
      <c r="G101" s="98" t="str">
        <f t="shared" si="7"/>
        <v/>
      </c>
      <c r="H101" s="23"/>
      <c r="I101" s="84"/>
      <c r="J101" s="85" t="str">
        <f>IF(AND(A101&lt;&gt;"",E101&lt;&gt;""),IF(I101="","⚠️ Enter Code",IF(IFERROR(VLOOKUP(H101,DB_Agents!$B:$I,8,0),"")=I101,IF(C101&gt;=E101,"Successful","Unsuccessful"),"🔒 BLOCKED — Wrong Code")),"—")</f>
        <v>—</v>
      </c>
      <c r="K101" s="86" t="str">
        <f t="shared" ca="1" si="8"/>
        <v>—</v>
      </c>
      <c r="L101" s="87"/>
    </row>
    <row r="102" spans="1:12" x14ac:dyDescent="0.25">
      <c r="A102" s="88"/>
      <c r="B102" s="25" t="str">
        <f>IF(A102="","",IFERROR(VLOOKUP(A102,DB_Customers!$A:$D,4,0),"❌ Account Not Found"))</f>
        <v/>
      </c>
      <c r="C102" s="89" t="str">
        <f>IF(A102="","",IFERROR(VLOOKUP(A102,DB_Customers!$A:$N,14,0),""))</f>
        <v/>
      </c>
      <c r="D102" s="90" t="str">
        <f t="shared" ca="1" si="6"/>
        <v/>
      </c>
      <c r="E102" s="97"/>
      <c r="F102" s="25"/>
      <c r="G102" s="99" t="str">
        <f t="shared" si="7"/>
        <v/>
      </c>
      <c r="H102" s="27"/>
      <c r="I102" s="84"/>
      <c r="J102" s="92" t="str">
        <f>IF(AND(A102&lt;&gt;"",E102&lt;&gt;""),IF(I102="","⚠️ Enter Code",IF(IFERROR(VLOOKUP(H102,DB_Agents!$B:$I,8,0),"")=I102,IF(C102&gt;=E102,"Successful","Unsuccessful"),"🔒 BLOCKED — Wrong Code")),"—")</f>
        <v>—</v>
      </c>
      <c r="K102" s="93" t="str">
        <f t="shared" ca="1" si="8"/>
        <v>—</v>
      </c>
      <c r="L102" s="94"/>
    </row>
    <row r="103" spans="1:12" x14ac:dyDescent="0.25">
      <c r="A103" s="79"/>
      <c r="B103" s="21" t="str">
        <f>IF(A103="","",IFERROR(VLOOKUP(A103,DB_Customers!$A:$D,4,0),"❌ Account Not Found"))</f>
        <v/>
      </c>
      <c r="C103" s="80" t="str">
        <f>IF(A103="","",IFERROR(VLOOKUP(A103,DB_Customers!$A:$N,14,0),""))</f>
        <v/>
      </c>
      <c r="D103" s="81" t="str">
        <f t="shared" ca="1" si="6"/>
        <v/>
      </c>
      <c r="E103" s="97"/>
      <c r="F103" s="21"/>
      <c r="G103" s="98" t="str">
        <f t="shared" si="7"/>
        <v/>
      </c>
      <c r="H103" s="23"/>
      <c r="I103" s="84"/>
      <c r="J103" s="85" t="str">
        <f>IF(AND(A103&lt;&gt;"",E103&lt;&gt;""),IF(I103="","⚠️ Enter Code",IF(IFERROR(VLOOKUP(H103,DB_Agents!$B:$I,8,0),"")=I103,IF(C103&gt;=E103,"Successful","Unsuccessful"),"🔒 BLOCKED — Wrong Code")),"—")</f>
        <v>—</v>
      </c>
      <c r="K103" s="86" t="str">
        <f t="shared" ca="1" si="8"/>
        <v>—</v>
      </c>
      <c r="L103" s="87"/>
    </row>
    <row r="104" spans="1:12" x14ac:dyDescent="0.25">
      <c r="A104" s="88"/>
      <c r="B104" s="25" t="str">
        <f>IF(A104="","",IFERROR(VLOOKUP(A104,DB_Customers!$A:$D,4,0),"❌ Account Not Found"))</f>
        <v/>
      </c>
      <c r="C104" s="89" t="str">
        <f>IF(A104="","",IFERROR(VLOOKUP(A104,DB_Customers!$A:$N,14,0),""))</f>
        <v/>
      </c>
      <c r="D104" s="90" t="str">
        <f t="shared" ca="1" si="6"/>
        <v/>
      </c>
      <c r="E104" s="97"/>
      <c r="F104" s="25"/>
      <c r="G104" s="99" t="str">
        <f t="shared" si="7"/>
        <v/>
      </c>
      <c r="H104" s="27"/>
      <c r="I104" s="84"/>
      <c r="J104" s="92" t="str">
        <f>IF(AND(A104&lt;&gt;"",E104&lt;&gt;""),IF(I104="","⚠️ Enter Code",IF(IFERROR(VLOOKUP(H104,DB_Agents!$B:$I,8,0),"")=I104,IF(C104&gt;=E104,"Successful","Unsuccessful"),"🔒 BLOCKED — Wrong Code")),"—")</f>
        <v>—</v>
      </c>
      <c r="K104" s="93" t="str">
        <f t="shared" ca="1" si="8"/>
        <v>—</v>
      </c>
      <c r="L104" s="94"/>
    </row>
    <row r="105" spans="1:12" x14ac:dyDescent="0.25">
      <c r="A105" s="79"/>
      <c r="B105" s="21" t="str">
        <f>IF(A105="","",IFERROR(VLOOKUP(A105,DB_Customers!$A:$D,4,0),"❌ Account Not Found"))</f>
        <v/>
      </c>
      <c r="C105" s="80" t="str">
        <f>IF(A105="","",IFERROR(VLOOKUP(A105,DB_Customers!$A:$N,14,0),""))</f>
        <v/>
      </c>
      <c r="D105" s="81" t="str">
        <f t="shared" ref="D105:D136" ca="1" si="9">IF(A105="","",TODAY())</f>
        <v/>
      </c>
      <c r="E105" s="97"/>
      <c r="F105" s="21"/>
      <c r="G105" s="98" t="str">
        <f t="shared" ref="G105:G136" si="10">IF(OR(A105="",E105=""),"",IF(C105="","",C105-E105))</f>
        <v/>
      </c>
      <c r="H105" s="23"/>
      <c r="I105" s="84"/>
      <c r="J105" s="85" t="str">
        <f>IF(AND(A105&lt;&gt;"",E105&lt;&gt;""),IF(I105="","⚠️ Enter Code",IF(IFERROR(VLOOKUP(H105,DB_Agents!$B:$I,8,0),"")=I105,IF(C105&gt;=E105,"Successful","Unsuccessful"),"🔒 BLOCKED — Wrong Code")),"—")</f>
        <v>—</v>
      </c>
      <c r="K105" s="86" t="str">
        <f t="shared" ref="K105:K136" ca="1" si="11">IF(J105="Successful",TEXT(TODAY(),"YYYY-MM-DD")&amp;" Auto","—")</f>
        <v>—</v>
      </c>
      <c r="L105" s="87"/>
    </row>
    <row r="106" spans="1:12" x14ac:dyDescent="0.25">
      <c r="A106" s="88"/>
      <c r="B106" s="25" t="str">
        <f>IF(A106="","",IFERROR(VLOOKUP(A106,DB_Customers!$A:$D,4,0),"❌ Account Not Found"))</f>
        <v/>
      </c>
      <c r="C106" s="89" t="str">
        <f>IF(A106="","",IFERROR(VLOOKUP(A106,DB_Customers!$A:$N,14,0),""))</f>
        <v/>
      </c>
      <c r="D106" s="90" t="str">
        <f t="shared" ca="1" si="9"/>
        <v/>
      </c>
      <c r="E106" s="97"/>
      <c r="F106" s="25"/>
      <c r="G106" s="99" t="str">
        <f t="shared" si="10"/>
        <v/>
      </c>
      <c r="H106" s="27"/>
      <c r="I106" s="84"/>
      <c r="J106" s="92" t="str">
        <f>IF(AND(A106&lt;&gt;"",E106&lt;&gt;""),IF(I106="","⚠️ Enter Code",IF(IFERROR(VLOOKUP(H106,DB_Agents!$B:$I,8,0),"")=I106,IF(C106&gt;=E106,"Successful","Unsuccessful"),"🔒 BLOCKED — Wrong Code")),"—")</f>
        <v>—</v>
      </c>
      <c r="K106" s="93" t="str">
        <f t="shared" ca="1" si="11"/>
        <v>—</v>
      </c>
      <c r="L106" s="94"/>
    </row>
    <row r="107" spans="1:12" x14ac:dyDescent="0.25">
      <c r="A107" s="79"/>
      <c r="B107" s="21" t="str">
        <f>IF(A107="","",IFERROR(VLOOKUP(A107,DB_Customers!$A:$D,4,0),"❌ Account Not Found"))</f>
        <v/>
      </c>
      <c r="C107" s="80" t="str">
        <f>IF(A107="","",IFERROR(VLOOKUP(A107,DB_Customers!$A:$N,14,0),""))</f>
        <v/>
      </c>
      <c r="D107" s="81" t="str">
        <f t="shared" ca="1" si="9"/>
        <v/>
      </c>
      <c r="E107" s="97"/>
      <c r="F107" s="21"/>
      <c r="G107" s="98" t="str">
        <f t="shared" si="10"/>
        <v/>
      </c>
      <c r="H107" s="23"/>
      <c r="I107" s="84"/>
      <c r="J107" s="85" t="str">
        <f>IF(AND(A107&lt;&gt;"",E107&lt;&gt;""),IF(I107="","⚠️ Enter Code",IF(IFERROR(VLOOKUP(H107,DB_Agents!$B:$I,8,0),"")=I107,IF(C107&gt;=E107,"Successful","Unsuccessful"),"🔒 BLOCKED — Wrong Code")),"—")</f>
        <v>—</v>
      </c>
      <c r="K107" s="86" t="str">
        <f t="shared" ca="1" si="11"/>
        <v>—</v>
      </c>
      <c r="L107" s="87"/>
    </row>
    <row r="108" spans="1:12" x14ac:dyDescent="0.25">
      <c r="A108" s="88"/>
      <c r="B108" s="25" t="str">
        <f>IF(A108="","",IFERROR(VLOOKUP(A108,DB_Customers!$A:$D,4,0),"❌ Account Not Found"))</f>
        <v/>
      </c>
      <c r="C108" s="89" t="str">
        <f>IF(A108="","",IFERROR(VLOOKUP(A108,DB_Customers!$A:$N,14,0),""))</f>
        <v/>
      </c>
      <c r="D108" s="90" t="str">
        <f t="shared" ca="1" si="9"/>
        <v/>
      </c>
      <c r="E108" s="97"/>
      <c r="F108" s="25"/>
      <c r="G108" s="99" t="str">
        <f t="shared" si="10"/>
        <v/>
      </c>
      <c r="H108" s="27"/>
      <c r="I108" s="84"/>
      <c r="J108" s="92" t="str">
        <f>IF(AND(A108&lt;&gt;"",E108&lt;&gt;""),IF(I108="","⚠️ Enter Code",IF(IFERROR(VLOOKUP(H108,DB_Agents!$B:$I,8,0),"")=I108,IF(C108&gt;=E108,"Successful","Unsuccessful"),"🔒 BLOCKED — Wrong Code")),"—")</f>
        <v>—</v>
      </c>
      <c r="K108" s="93" t="str">
        <f t="shared" ca="1" si="11"/>
        <v>—</v>
      </c>
      <c r="L108" s="94"/>
    </row>
    <row r="109" spans="1:12" x14ac:dyDescent="0.25">
      <c r="A109" s="79"/>
      <c r="B109" s="21" t="str">
        <f>IF(A109="","",IFERROR(VLOOKUP(A109,DB_Customers!$A:$D,4,0),"❌ Account Not Found"))</f>
        <v/>
      </c>
      <c r="C109" s="80" t="str">
        <f>IF(A109="","",IFERROR(VLOOKUP(A109,DB_Customers!$A:$N,14,0),""))</f>
        <v/>
      </c>
      <c r="D109" s="81" t="str">
        <f t="shared" ca="1" si="9"/>
        <v/>
      </c>
      <c r="E109" s="97"/>
      <c r="F109" s="21"/>
      <c r="G109" s="98" t="str">
        <f t="shared" si="10"/>
        <v/>
      </c>
      <c r="H109" s="23"/>
      <c r="I109" s="84"/>
      <c r="J109" s="85" t="str">
        <f>IF(AND(A109&lt;&gt;"",E109&lt;&gt;""),IF(I109="","⚠️ Enter Code",IF(IFERROR(VLOOKUP(H109,DB_Agents!$B:$I,8,0),"")=I109,IF(C109&gt;=E109,"Successful","Unsuccessful"),"🔒 BLOCKED — Wrong Code")),"—")</f>
        <v>—</v>
      </c>
      <c r="K109" s="86" t="str">
        <f t="shared" ca="1" si="11"/>
        <v>—</v>
      </c>
      <c r="L109" s="87"/>
    </row>
    <row r="110" spans="1:12" x14ac:dyDescent="0.25">
      <c r="A110" s="88"/>
      <c r="B110" s="25" t="str">
        <f>IF(A110="","",IFERROR(VLOOKUP(A110,DB_Customers!$A:$D,4,0),"❌ Account Not Found"))</f>
        <v/>
      </c>
      <c r="C110" s="89" t="str">
        <f>IF(A110="","",IFERROR(VLOOKUP(A110,DB_Customers!$A:$N,14,0),""))</f>
        <v/>
      </c>
      <c r="D110" s="90" t="str">
        <f t="shared" ca="1" si="9"/>
        <v/>
      </c>
      <c r="E110" s="97"/>
      <c r="F110" s="25"/>
      <c r="G110" s="99" t="str">
        <f t="shared" si="10"/>
        <v/>
      </c>
      <c r="H110" s="27"/>
      <c r="I110" s="84"/>
      <c r="J110" s="92" t="str">
        <f>IF(AND(A110&lt;&gt;"",E110&lt;&gt;""),IF(I110="","⚠️ Enter Code",IF(IFERROR(VLOOKUP(H110,DB_Agents!$B:$I,8,0),"")=I110,IF(C110&gt;=E110,"Successful","Unsuccessful"),"🔒 BLOCKED — Wrong Code")),"—")</f>
        <v>—</v>
      </c>
      <c r="K110" s="93" t="str">
        <f t="shared" ca="1" si="11"/>
        <v>—</v>
      </c>
      <c r="L110" s="94"/>
    </row>
    <row r="111" spans="1:12" x14ac:dyDescent="0.25">
      <c r="A111" s="79"/>
      <c r="B111" s="21" t="str">
        <f>IF(A111="","",IFERROR(VLOOKUP(A111,DB_Customers!$A:$D,4,0),"❌ Account Not Found"))</f>
        <v/>
      </c>
      <c r="C111" s="80" t="str">
        <f>IF(A111="","",IFERROR(VLOOKUP(A111,DB_Customers!$A:$N,14,0),""))</f>
        <v/>
      </c>
      <c r="D111" s="81" t="str">
        <f t="shared" ca="1" si="9"/>
        <v/>
      </c>
      <c r="E111" s="97"/>
      <c r="F111" s="21"/>
      <c r="G111" s="98" t="str">
        <f t="shared" si="10"/>
        <v/>
      </c>
      <c r="H111" s="23"/>
      <c r="I111" s="84"/>
      <c r="J111" s="85" t="str">
        <f>IF(AND(A111&lt;&gt;"",E111&lt;&gt;""),IF(I111="","⚠️ Enter Code",IF(IFERROR(VLOOKUP(H111,DB_Agents!$B:$I,8,0),"")=I111,IF(C111&gt;=E111,"Successful","Unsuccessful"),"🔒 BLOCKED — Wrong Code")),"—")</f>
        <v>—</v>
      </c>
      <c r="K111" s="86" t="str">
        <f t="shared" ca="1" si="11"/>
        <v>—</v>
      </c>
      <c r="L111" s="87"/>
    </row>
    <row r="112" spans="1:12" x14ac:dyDescent="0.25">
      <c r="A112" s="88"/>
      <c r="B112" s="25" t="str">
        <f>IF(A112="","",IFERROR(VLOOKUP(A112,DB_Customers!$A:$D,4,0),"❌ Account Not Found"))</f>
        <v/>
      </c>
      <c r="C112" s="89" t="str">
        <f>IF(A112="","",IFERROR(VLOOKUP(A112,DB_Customers!$A:$N,14,0),""))</f>
        <v/>
      </c>
      <c r="D112" s="90" t="str">
        <f t="shared" ca="1" si="9"/>
        <v/>
      </c>
      <c r="E112" s="97"/>
      <c r="F112" s="25"/>
      <c r="G112" s="99" t="str">
        <f t="shared" si="10"/>
        <v/>
      </c>
      <c r="H112" s="27"/>
      <c r="I112" s="84"/>
      <c r="J112" s="92" t="str">
        <f>IF(AND(A112&lt;&gt;"",E112&lt;&gt;""),IF(I112="","⚠️ Enter Code",IF(IFERROR(VLOOKUP(H112,DB_Agents!$B:$I,8,0),"")=I112,IF(C112&gt;=E112,"Successful","Unsuccessful"),"🔒 BLOCKED — Wrong Code")),"—")</f>
        <v>—</v>
      </c>
      <c r="K112" s="93" t="str">
        <f t="shared" ca="1" si="11"/>
        <v>—</v>
      </c>
      <c r="L112" s="94"/>
    </row>
    <row r="113" spans="1:12" x14ac:dyDescent="0.25">
      <c r="A113" s="79"/>
      <c r="B113" s="21" t="str">
        <f>IF(A113="","",IFERROR(VLOOKUP(A113,DB_Customers!$A:$D,4,0),"❌ Account Not Found"))</f>
        <v/>
      </c>
      <c r="C113" s="80" t="str">
        <f>IF(A113="","",IFERROR(VLOOKUP(A113,DB_Customers!$A:$N,14,0),""))</f>
        <v/>
      </c>
      <c r="D113" s="81" t="str">
        <f t="shared" ca="1" si="9"/>
        <v/>
      </c>
      <c r="E113" s="97"/>
      <c r="F113" s="21"/>
      <c r="G113" s="98" t="str">
        <f t="shared" si="10"/>
        <v/>
      </c>
      <c r="H113" s="23"/>
      <c r="I113" s="84"/>
      <c r="J113" s="85" t="str">
        <f>IF(AND(A113&lt;&gt;"",E113&lt;&gt;""),IF(I113="","⚠️ Enter Code",IF(IFERROR(VLOOKUP(H113,DB_Agents!$B:$I,8,0),"")=I113,IF(C113&gt;=E113,"Successful","Unsuccessful"),"🔒 BLOCKED — Wrong Code")),"—")</f>
        <v>—</v>
      </c>
      <c r="K113" s="86" t="str">
        <f t="shared" ca="1" si="11"/>
        <v>—</v>
      </c>
      <c r="L113" s="87"/>
    </row>
    <row r="114" spans="1:12" x14ac:dyDescent="0.25">
      <c r="A114" s="88"/>
      <c r="B114" s="25" t="str">
        <f>IF(A114="","",IFERROR(VLOOKUP(A114,DB_Customers!$A:$D,4,0),"❌ Account Not Found"))</f>
        <v/>
      </c>
      <c r="C114" s="89" t="str">
        <f>IF(A114="","",IFERROR(VLOOKUP(A114,DB_Customers!$A:$N,14,0),""))</f>
        <v/>
      </c>
      <c r="D114" s="90" t="str">
        <f t="shared" ca="1" si="9"/>
        <v/>
      </c>
      <c r="E114" s="97"/>
      <c r="F114" s="25"/>
      <c r="G114" s="99" t="str">
        <f t="shared" si="10"/>
        <v/>
      </c>
      <c r="H114" s="27"/>
      <c r="I114" s="84"/>
      <c r="J114" s="92" t="str">
        <f>IF(AND(A114&lt;&gt;"",E114&lt;&gt;""),IF(I114="","⚠️ Enter Code",IF(IFERROR(VLOOKUP(H114,DB_Agents!$B:$I,8,0),"")=I114,IF(C114&gt;=E114,"Successful","Unsuccessful"),"🔒 BLOCKED — Wrong Code")),"—")</f>
        <v>—</v>
      </c>
      <c r="K114" s="93" t="str">
        <f t="shared" ca="1" si="11"/>
        <v>—</v>
      </c>
      <c r="L114" s="94"/>
    </row>
    <row r="115" spans="1:12" x14ac:dyDescent="0.25">
      <c r="A115" s="79"/>
      <c r="B115" s="21" t="str">
        <f>IF(A115="","",IFERROR(VLOOKUP(A115,DB_Customers!$A:$D,4,0),"❌ Account Not Found"))</f>
        <v/>
      </c>
      <c r="C115" s="80" t="str">
        <f>IF(A115="","",IFERROR(VLOOKUP(A115,DB_Customers!$A:$N,14,0),""))</f>
        <v/>
      </c>
      <c r="D115" s="81" t="str">
        <f t="shared" ca="1" si="9"/>
        <v/>
      </c>
      <c r="E115" s="97"/>
      <c r="F115" s="21"/>
      <c r="G115" s="98" t="str">
        <f t="shared" si="10"/>
        <v/>
      </c>
      <c r="H115" s="23"/>
      <c r="I115" s="84"/>
      <c r="J115" s="85" t="str">
        <f>IF(AND(A115&lt;&gt;"",E115&lt;&gt;""),IF(I115="","⚠️ Enter Code",IF(IFERROR(VLOOKUP(H115,DB_Agents!$B:$I,8,0),"")=I115,IF(C115&gt;=E115,"Successful","Unsuccessful"),"🔒 BLOCKED — Wrong Code")),"—")</f>
        <v>—</v>
      </c>
      <c r="K115" s="86" t="str">
        <f t="shared" ca="1" si="11"/>
        <v>—</v>
      </c>
      <c r="L115" s="87"/>
    </row>
    <row r="116" spans="1:12" x14ac:dyDescent="0.25">
      <c r="A116" s="88"/>
      <c r="B116" s="25" t="str">
        <f>IF(A116="","",IFERROR(VLOOKUP(A116,DB_Customers!$A:$D,4,0),"❌ Account Not Found"))</f>
        <v/>
      </c>
      <c r="C116" s="89" t="str">
        <f>IF(A116="","",IFERROR(VLOOKUP(A116,DB_Customers!$A:$N,14,0),""))</f>
        <v/>
      </c>
      <c r="D116" s="90" t="str">
        <f t="shared" ca="1" si="9"/>
        <v/>
      </c>
      <c r="E116" s="97"/>
      <c r="F116" s="25"/>
      <c r="G116" s="99" t="str">
        <f t="shared" si="10"/>
        <v/>
      </c>
      <c r="H116" s="27"/>
      <c r="I116" s="84"/>
      <c r="J116" s="92" t="str">
        <f>IF(AND(A116&lt;&gt;"",E116&lt;&gt;""),IF(I116="","⚠️ Enter Code",IF(IFERROR(VLOOKUP(H116,DB_Agents!$B:$I,8,0),"")=I116,IF(C116&gt;=E116,"Successful","Unsuccessful"),"🔒 BLOCKED — Wrong Code")),"—")</f>
        <v>—</v>
      </c>
      <c r="K116" s="93" t="str">
        <f t="shared" ca="1" si="11"/>
        <v>—</v>
      </c>
      <c r="L116" s="94"/>
    </row>
    <row r="117" spans="1:12" x14ac:dyDescent="0.25">
      <c r="A117" s="79"/>
      <c r="B117" s="21" t="str">
        <f>IF(A117="","",IFERROR(VLOOKUP(A117,DB_Customers!$A:$D,4,0),"❌ Account Not Found"))</f>
        <v/>
      </c>
      <c r="C117" s="80" t="str">
        <f>IF(A117="","",IFERROR(VLOOKUP(A117,DB_Customers!$A:$N,14,0),""))</f>
        <v/>
      </c>
      <c r="D117" s="81" t="str">
        <f t="shared" ca="1" si="9"/>
        <v/>
      </c>
      <c r="E117" s="97"/>
      <c r="F117" s="21"/>
      <c r="G117" s="98" t="str">
        <f t="shared" si="10"/>
        <v/>
      </c>
      <c r="H117" s="23"/>
      <c r="I117" s="84"/>
      <c r="J117" s="85" t="str">
        <f>IF(AND(A117&lt;&gt;"",E117&lt;&gt;""),IF(I117="","⚠️ Enter Code",IF(IFERROR(VLOOKUP(H117,DB_Agents!$B:$I,8,0),"")=I117,IF(C117&gt;=E117,"Successful","Unsuccessful"),"🔒 BLOCKED — Wrong Code")),"—")</f>
        <v>—</v>
      </c>
      <c r="K117" s="86" t="str">
        <f t="shared" ca="1" si="11"/>
        <v>—</v>
      </c>
      <c r="L117" s="87"/>
    </row>
    <row r="118" spans="1:12" x14ac:dyDescent="0.25">
      <c r="A118" s="88"/>
      <c r="B118" s="25" t="str">
        <f>IF(A118="","",IFERROR(VLOOKUP(A118,DB_Customers!$A:$D,4,0),"❌ Account Not Found"))</f>
        <v/>
      </c>
      <c r="C118" s="89" t="str">
        <f>IF(A118="","",IFERROR(VLOOKUP(A118,DB_Customers!$A:$N,14,0),""))</f>
        <v/>
      </c>
      <c r="D118" s="90" t="str">
        <f t="shared" ca="1" si="9"/>
        <v/>
      </c>
      <c r="E118" s="97"/>
      <c r="F118" s="25"/>
      <c r="G118" s="99" t="str">
        <f t="shared" si="10"/>
        <v/>
      </c>
      <c r="H118" s="27"/>
      <c r="I118" s="84"/>
      <c r="J118" s="92" t="str">
        <f>IF(AND(A118&lt;&gt;"",E118&lt;&gt;""),IF(I118="","⚠️ Enter Code",IF(IFERROR(VLOOKUP(H118,DB_Agents!$B:$I,8,0),"")=I118,IF(C118&gt;=E118,"Successful","Unsuccessful"),"🔒 BLOCKED — Wrong Code")),"—")</f>
        <v>—</v>
      </c>
      <c r="K118" s="93" t="str">
        <f t="shared" ca="1" si="11"/>
        <v>—</v>
      </c>
      <c r="L118" s="94"/>
    </row>
    <row r="119" spans="1:12" x14ac:dyDescent="0.25">
      <c r="A119" s="79"/>
      <c r="B119" s="21" t="str">
        <f>IF(A119="","",IFERROR(VLOOKUP(A119,DB_Customers!$A:$D,4,0),"❌ Account Not Found"))</f>
        <v/>
      </c>
      <c r="C119" s="80" t="str">
        <f>IF(A119="","",IFERROR(VLOOKUP(A119,DB_Customers!$A:$N,14,0),""))</f>
        <v/>
      </c>
      <c r="D119" s="81" t="str">
        <f t="shared" ca="1" si="9"/>
        <v/>
      </c>
      <c r="E119" s="97"/>
      <c r="F119" s="21"/>
      <c r="G119" s="98" t="str">
        <f t="shared" si="10"/>
        <v/>
      </c>
      <c r="H119" s="23"/>
      <c r="I119" s="84"/>
      <c r="J119" s="85" t="str">
        <f>IF(AND(A119&lt;&gt;"",E119&lt;&gt;""),IF(I119="","⚠️ Enter Code",IF(IFERROR(VLOOKUP(H119,DB_Agents!$B:$I,8,0),"")=I119,IF(C119&gt;=E119,"Successful","Unsuccessful"),"🔒 BLOCKED — Wrong Code")),"—")</f>
        <v>—</v>
      </c>
      <c r="K119" s="86" t="str">
        <f t="shared" ca="1" si="11"/>
        <v>—</v>
      </c>
      <c r="L119" s="87"/>
    </row>
    <row r="120" spans="1:12" x14ac:dyDescent="0.25">
      <c r="A120" s="88"/>
      <c r="B120" s="25" t="str">
        <f>IF(A120="","",IFERROR(VLOOKUP(A120,DB_Customers!$A:$D,4,0),"❌ Account Not Found"))</f>
        <v/>
      </c>
      <c r="C120" s="89" t="str">
        <f>IF(A120="","",IFERROR(VLOOKUP(A120,DB_Customers!$A:$N,14,0),""))</f>
        <v/>
      </c>
      <c r="D120" s="90" t="str">
        <f t="shared" ca="1" si="9"/>
        <v/>
      </c>
      <c r="E120" s="97"/>
      <c r="F120" s="25"/>
      <c r="G120" s="99" t="str">
        <f t="shared" si="10"/>
        <v/>
      </c>
      <c r="H120" s="27"/>
      <c r="I120" s="84"/>
      <c r="J120" s="92" t="str">
        <f>IF(AND(A120&lt;&gt;"",E120&lt;&gt;""),IF(I120="","⚠️ Enter Code",IF(IFERROR(VLOOKUP(H120,DB_Agents!$B:$I,8,0),"")=I120,IF(C120&gt;=E120,"Successful","Unsuccessful"),"🔒 BLOCKED — Wrong Code")),"—")</f>
        <v>—</v>
      </c>
      <c r="K120" s="93" t="str">
        <f t="shared" ca="1" si="11"/>
        <v>—</v>
      </c>
      <c r="L120" s="94"/>
    </row>
    <row r="121" spans="1:12" x14ac:dyDescent="0.25">
      <c r="A121" s="79"/>
      <c r="B121" s="21" t="str">
        <f>IF(A121="","",IFERROR(VLOOKUP(A121,DB_Customers!$A:$D,4,0),"❌ Account Not Found"))</f>
        <v/>
      </c>
      <c r="C121" s="80" t="str">
        <f>IF(A121="","",IFERROR(VLOOKUP(A121,DB_Customers!$A:$N,14,0),""))</f>
        <v/>
      </c>
      <c r="D121" s="81" t="str">
        <f t="shared" ca="1" si="9"/>
        <v/>
      </c>
      <c r="E121" s="97"/>
      <c r="F121" s="21"/>
      <c r="G121" s="98" t="str">
        <f t="shared" si="10"/>
        <v/>
      </c>
      <c r="H121" s="23"/>
      <c r="I121" s="84"/>
      <c r="J121" s="85" t="str">
        <f>IF(AND(A121&lt;&gt;"",E121&lt;&gt;""),IF(I121="","⚠️ Enter Code",IF(IFERROR(VLOOKUP(H121,DB_Agents!$B:$I,8,0),"")=I121,IF(C121&gt;=E121,"Successful","Unsuccessful"),"🔒 BLOCKED — Wrong Code")),"—")</f>
        <v>—</v>
      </c>
      <c r="K121" s="86" t="str">
        <f t="shared" ca="1" si="11"/>
        <v>—</v>
      </c>
      <c r="L121" s="87"/>
    </row>
    <row r="122" spans="1:12" x14ac:dyDescent="0.25">
      <c r="A122" s="88"/>
      <c r="B122" s="25" t="str">
        <f>IF(A122="","",IFERROR(VLOOKUP(A122,DB_Customers!$A:$D,4,0),"❌ Account Not Found"))</f>
        <v/>
      </c>
      <c r="C122" s="89" t="str">
        <f>IF(A122="","",IFERROR(VLOOKUP(A122,DB_Customers!$A:$N,14,0),""))</f>
        <v/>
      </c>
      <c r="D122" s="90" t="str">
        <f t="shared" ca="1" si="9"/>
        <v/>
      </c>
      <c r="E122" s="97"/>
      <c r="F122" s="25"/>
      <c r="G122" s="99" t="str">
        <f t="shared" si="10"/>
        <v/>
      </c>
      <c r="H122" s="27"/>
      <c r="I122" s="84"/>
      <c r="J122" s="92" t="str">
        <f>IF(AND(A122&lt;&gt;"",E122&lt;&gt;""),IF(I122="","⚠️ Enter Code",IF(IFERROR(VLOOKUP(H122,DB_Agents!$B:$I,8,0),"")=I122,IF(C122&gt;=E122,"Successful","Unsuccessful"),"🔒 BLOCKED — Wrong Code")),"—")</f>
        <v>—</v>
      </c>
      <c r="K122" s="93" t="str">
        <f t="shared" ca="1" si="11"/>
        <v>—</v>
      </c>
      <c r="L122" s="94"/>
    </row>
    <row r="123" spans="1:12" x14ac:dyDescent="0.25">
      <c r="A123" s="79"/>
      <c r="B123" s="21" t="str">
        <f>IF(A123="","",IFERROR(VLOOKUP(A123,DB_Customers!$A:$D,4,0),"❌ Account Not Found"))</f>
        <v/>
      </c>
      <c r="C123" s="80" t="str">
        <f>IF(A123="","",IFERROR(VLOOKUP(A123,DB_Customers!$A:$N,14,0),""))</f>
        <v/>
      </c>
      <c r="D123" s="81" t="str">
        <f t="shared" ca="1" si="9"/>
        <v/>
      </c>
      <c r="E123" s="97"/>
      <c r="F123" s="21"/>
      <c r="G123" s="98" t="str">
        <f t="shared" si="10"/>
        <v/>
      </c>
      <c r="H123" s="23"/>
      <c r="I123" s="84"/>
      <c r="J123" s="85" t="str">
        <f>IF(AND(A123&lt;&gt;"",E123&lt;&gt;""),IF(I123="","⚠️ Enter Code",IF(IFERROR(VLOOKUP(H123,DB_Agents!$B:$I,8,0),"")=I123,IF(C123&gt;=E123,"Successful","Unsuccessful"),"🔒 BLOCKED — Wrong Code")),"—")</f>
        <v>—</v>
      </c>
      <c r="K123" s="86" t="str">
        <f t="shared" ca="1" si="11"/>
        <v>—</v>
      </c>
      <c r="L123" s="87"/>
    </row>
    <row r="124" spans="1:12" x14ac:dyDescent="0.25">
      <c r="A124" s="88"/>
      <c r="B124" s="25" t="str">
        <f>IF(A124="","",IFERROR(VLOOKUP(A124,DB_Customers!$A:$D,4,0),"❌ Account Not Found"))</f>
        <v/>
      </c>
      <c r="C124" s="89" t="str">
        <f>IF(A124="","",IFERROR(VLOOKUP(A124,DB_Customers!$A:$N,14,0),""))</f>
        <v/>
      </c>
      <c r="D124" s="90" t="str">
        <f t="shared" ca="1" si="9"/>
        <v/>
      </c>
      <c r="E124" s="97"/>
      <c r="F124" s="25"/>
      <c r="G124" s="99" t="str">
        <f t="shared" si="10"/>
        <v/>
      </c>
      <c r="H124" s="27"/>
      <c r="I124" s="84"/>
      <c r="J124" s="92" t="str">
        <f>IF(AND(A124&lt;&gt;"",E124&lt;&gt;""),IF(I124="","⚠️ Enter Code",IF(IFERROR(VLOOKUP(H124,DB_Agents!$B:$I,8,0),"")=I124,IF(C124&gt;=E124,"Successful","Unsuccessful"),"🔒 BLOCKED — Wrong Code")),"—")</f>
        <v>—</v>
      </c>
      <c r="K124" s="93" t="str">
        <f t="shared" ca="1" si="11"/>
        <v>—</v>
      </c>
      <c r="L124" s="94"/>
    </row>
    <row r="125" spans="1:12" x14ac:dyDescent="0.25">
      <c r="A125" s="79"/>
      <c r="B125" s="21" t="str">
        <f>IF(A125="","",IFERROR(VLOOKUP(A125,DB_Customers!$A:$D,4,0),"❌ Account Not Found"))</f>
        <v/>
      </c>
      <c r="C125" s="80" t="str">
        <f>IF(A125="","",IFERROR(VLOOKUP(A125,DB_Customers!$A:$N,14,0),""))</f>
        <v/>
      </c>
      <c r="D125" s="81" t="str">
        <f t="shared" ca="1" si="9"/>
        <v/>
      </c>
      <c r="E125" s="97"/>
      <c r="F125" s="21"/>
      <c r="G125" s="98" t="str">
        <f t="shared" si="10"/>
        <v/>
      </c>
      <c r="H125" s="23"/>
      <c r="I125" s="84"/>
      <c r="J125" s="85" t="str">
        <f>IF(AND(A125&lt;&gt;"",E125&lt;&gt;""),IF(I125="","⚠️ Enter Code",IF(IFERROR(VLOOKUP(H125,DB_Agents!$B:$I,8,0),"")=I125,IF(C125&gt;=E125,"Successful","Unsuccessful"),"🔒 BLOCKED — Wrong Code")),"—")</f>
        <v>—</v>
      </c>
      <c r="K125" s="86" t="str">
        <f t="shared" ca="1" si="11"/>
        <v>—</v>
      </c>
      <c r="L125" s="87"/>
    </row>
    <row r="126" spans="1:12" x14ac:dyDescent="0.25">
      <c r="A126" s="88"/>
      <c r="B126" s="25" t="str">
        <f>IF(A126="","",IFERROR(VLOOKUP(A126,DB_Customers!$A:$D,4,0),"❌ Account Not Found"))</f>
        <v/>
      </c>
      <c r="C126" s="89" t="str">
        <f>IF(A126="","",IFERROR(VLOOKUP(A126,DB_Customers!$A:$N,14,0),""))</f>
        <v/>
      </c>
      <c r="D126" s="90" t="str">
        <f t="shared" ca="1" si="9"/>
        <v/>
      </c>
      <c r="E126" s="97"/>
      <c r="F126" s="25"/>
      <c r="G126" s="99" t="str">
        <f t="shared" si="10"/>
        <v/>
      </c>
      <c r="H126" s="27"/>
      <c r="I126" s="84"/>
      <c r="J126" s="92" t="str">
        <f>IF(AND(A126&lt;&gt;"",E126&lt;&gt;""),IF(I126="","⚠️ Enter Code",IF(IFERROR(VLOOKUP(H126,DB_Agents!$B:$I,8,0),"")=I126,IF(C126&gt;=E126,"Successful","Unsuccessful"),"🔒 BLOCKED — Wrong Code")),"—")</f>
        <v>—</v>
      </c>
      <c r="K126" s="93" t="str">
        <f t="shared" ca="1" si="11"/>
        <v>—</v>
      </c>
      <c r="L126" s="94"/>
    </row>
    <row r="127" spans="1:12" x14ac:dyDescent="0.25">
      <c r="A127" s="79"/>
      <c r="B127" s="21" t="str">
        <f>IF(A127="","",IFERROR(VLOOKUP(A127,DB_Customers!$A:$D,4,0),"❌ Account Not Found"))</f>
        <v/>
      </c>
      <c r="C127" s="80" t="str">
        <f>IF(A127="","",IFERROR(VLOOKUP(A127,DB_Customers!$A:$N,14,0),""))</f>
        <v/>
      </c>
      <c r="D127" s="81" t="str">
        <f t="shared" ca="1" si="9"/>
        <v/>
      </c>
      <c r="E127" s="97"/>
      <c r="F127" s="21"/>
      <c r="G127" s="98" t="str">
        <f t="shared" si="10"/>
        <v/>
      </c>
      <c r="H127" s="23"/>
      <c r="I127" s="84"/>
      <c r="J127" s="85" t="str">
        <f>IF(AND(A127&lt;&gt;"",E127&lt;&gt;""),IF(I127="","⚠️ Enter Code",IF(IFERROR(VLOOKUP(H127,DB_Agents!$B:$I,8,0),"")=I127,IF(C127&gt;=E127,"Successful","Unsuccessful"),"🔒 BLOCKED — Wrong Code")),"—")</f>
        <v>—</v>
      </c>
      <c r="K127" s="86" t="str">
        <f t="shared" ca="1" si="11"/>
        <v>—</v>
      </c>
      <c r="L127" s="87"/>
    </row>
    <row r="128" spans="1:12" x14ac:dyDescent="0.25">
      <c r="A128" s="88"/>
      <c r="B128" s="25" t="str">
        <f>IF(A128="","",IFERROR(VLOOKUP(A128,DB_Customers!$A:$D,4,0),"❌ Account Not Found"))</f>
        <v/>
      </c>
      <c r="C128" s="89" t="str">
        <f>IF(A128="","",IFERROR(VLOOKUP(A128,DB_Customers!$A:$N,14,0),""))</f>
        <v/>
      </c>
      <c r="D128" s="90" t="str">
        <f t="shared" ca="1" si="9"/>
        <v/>
      </c>
      <c r="E128" s="97"/>
      <c r="F128" s="25"/>
      <c r="G128" s="99" t="str">
        <f t="shared" si="10"/>
        <v/>
      </c>
      <c r="H128" s="27"/>
      <c r="I128" s="84"/>
      <c r="J128" s="92" t="str">
        <f>IF(AND(A128&lt;&gt;"",E128&lt;&gt;""),IF(I128="","⚠️ Enter Code",IF(IFERROR(VLOOKUP(H128,DB_Agents!$B:$I,8,0),"")=I128,IF(C128&gt;=E128,"Successful","Unsuccessful"),"🔒 BLOCKED — Wrong Code")),"—")</f>
        <v>—</v>
      </c>
      <c r="K128" s="93" t="str">
        <f t="shared" ca="1" si="11"/>
        <v>—</v>
      </c>
      <c r="L128" s="94"/>
    </row>
    <row r="129" spans="1:12" x14ac:dyDescent="0.25">
      <c r="A129" s="79"/>
      <c r="B129" s="21" t="str">
        <f>IF(A129="","",IFERROR(VLOOKUP(A129,DB_Customers!$A:$D,4,0),"❌ Account Not Found"))</f>
        <v/>
      </c>
      <c r="C129" s="80" t="str">
        <f>IF(A129="","",IFERROR(VLOOKUP(A129,DB_Customers!$A:$N,14,0),""))</f>
        <v/>
      </c>
      <c r="D129" s="81" t="str">
        <f t="shared" ca="1" si="9"/>
        <v/>
      </c>
      <c r="E129" s="97"/>
      <c r="F129" s="21"/>
      <c r="G129" s="98" t="str">
        <f t="shared" si="10"/>
        <v/>
      </c>
      <c r="H129" s="23"/>
      <c r="I129" s="84"/>
      <c r="J129" s="85" t="str">
        <f>IF(AND(A129&lt;&gt;"",E129&lt;&gt;""),IF(I129="","⚠️ Enter Code",IF(IFERROR(VLOOKUP(H129,DB_Agents!$B:$I,8,0),"")=I129,IF(C129&gt;=E129,"Successful","Unsuccessful"),"🔒 BLOCKED — Wrong Code")),"—")</f>
        <v>—</v>
      </c>
      <c r="K129" s="86" t="str">
        <f t="shared" ca="1" si="11"/>
        <v>—</v>
      </c>
      <c r="L129" s="87"/>
    </row>
    <row r="130" spans="1:12" x14ac:dyDescent="0.25">
      <c r="A130" s="88"/>
      <c r="B130" s="25" t="str">
        <f>IF(A130="","",IFERROR(VLOOKUP(A130,DB_Customers!$A:$D,4,0),"❌ Account Not Found"))</f>
        <v/>
      </c>
      <c r="C130" s="89" t="str">
        <f>IF(A130="","",IFERROR(VLOOKUP(A130,DB_Customers!$A:$N,14,0),""))</f>
        <v/>
      </c>
      <c r="D130" s="90" t="str">
        <f t="shared" ca="1" si="9"/>
        <v/>
      </c>
      <c r="E130" s="97"/>
      <c r="F130" s="25"/>
      <c r="G130" s="99" t="str">
        <f t="shared" si="10"/>
        <v/>
      </c>
      <c r="H130" s="27"/>
      <c r="I130" s="84"/>
      <c r="J130" s="92" t="str">
        <f>IF(AND(A130&lt;&gt;"",E130&lt;&gt;""),IF(I130="","⚠️ Enter Code",IF(IFERROR(VLOOKUP(H130,DB_Agents!$B:$I,8,0),"")=I130,IF(C130&gt;=E130,"Successful","Unsuccessful"),"🔒 BLOCKED — Wrong Code")),"—")</f>
        <v>—</v>
      </c>
      <c r="K130" s="93" t="str">
        <f t="shared" ca="1" si="11"/>
        <v>—</v>
      </c>
      <c r="L130" s="94"/>
    </row>
    <row r="131" spans="1:12" x14ac:dyDescent="0.25">
      <c r="A131" s="79"/>
      <c r="B131" s="21" t="str">
        <f>IF(A131="","",IFERROR(VLOOKUP(A131,DB_Customers!$A:$D,4,0),"❌ Account Not Found"))</f>
        <v/>
      </c>
      <c r="C131" s="80" t="str">
        <f>IF(A131="","",IFERROR(VLOOKUP(A131,DB_Customers!$A:$N,14,0),""))</f>
        <v/>
      </c>
      <c r="D131" s="81" t="str">
        <f t="shared" ca="1" si="9"/>
        <v/>
      </c>
      <c r="E131" s="97"/>
      <c r="F131" s="21"/>
      <c r="G131" s="98" t="str">
        <f t="shared" si="10"/>
        <v/>
      </c>
      <c r="H131" s="23"/>
      <c r="I131" s="84"/>
      <c r="J131" s="85" t="str">
        <f>IF(AND(A131&lt;&gt;"",E131&lt;&gt;""),IF(I131="","⚠️ Enter Code",IF(IFERROR(VLOOKUP(H131,DB_Agents!$B:$I,8,0),"")=I131,IF(C131&gt;=E131,"Successful","Unsuccessful"),"🔒 BLOCKED — Wrong Code")),"—")</f>
        <v>—</v>
      </c>
      <c r="K131" s="86" t="str">
        <f t="shared" ca="1" si="11"/>
        <v>—</v>
      </c>
      <c r="L131" s="87"/>
    </row>
    <row r="132" spans="1:12" x14ac:dyDescent="0.25">
      <c r="A132" s="88"/>
      <c r="B132" s="25" t="str">
        <f>IF(A132="","",IFERROR(VLOOKUP(A132,DB_Customers!$A:$D,4,0),"❌ Account Not Found"))</f>
        <v/>
      </c>
      <c r="C132" s="89" t="str">
        <f>IF(A132="","",IFERROR(VLOOKUP(A132,DB_Customers!$A:$N,14,0),""))</f>
        <v/>
      </c>
      <c r="D132" s="90" t="str">
        <f t="shared" ca="1" si="9"/>
        <v/>
      </c>
      <c r="E132" s="97"/>
      <c r="F132" s="25"/>
      <c r="G132" s="99" t="str">
        <f t="shared" si="10"/>
        <v/>
      </c>
      <c r="H132" s="27"/>
      <c r="I132" s="84"/>
      <c r="J132" s="92" t="str">
        <f>IF(AND(A132&lt;&gt;"",E132&lt;&gt;""),IF(I132="","⚠️ Enter Code",IF(IFERROR(VLOOKUP(H132,DB_Agents!$B:$I,8,0),"")=I132,IF(C132&gt;=E132,"Successful","Unsuccessful"),"🔒 BLOCKED — Wrong Code")),"—")</f>
        <v>—</v>
      </c>
      <c r="K132" s="93" t="str">
        <f t="shared" ca="1" si="11"/>
        <v>—</v>
      </c>
      <c r="L132" s="94"/>
    </row>
    <row r="133" spans="1:12" x14ac:dyDescent="0.25">
      <c r="A133" s="79"/>
      <c r="B133" s="21" t="str">
        <f>IF(A133="","",IFERROR(VLOOKUP(A133,DB_Customers!$A:$D,4,0),"❌ Account Not Found"))</f>
        <v/>
      </c>
      <c r="C133" s="80" t="str">
        <f>IF(A133="","",IFERROR(VLOOKUP(A133,DB_Customers!$A:$N,14,0),""))</f>
        <v/>
      </c>
      <c r="D133" s="81" t="str">
        <f t="shared" ca="1" si="9"/>
        <v/>
      </c>
      <c r="E133" s="97"/>
      <c r="F133" s="21"/>
      <c r="G133" s="98" t="str">
        <f t="shared" si="10"/>
        <v/>
      </c>
      <c r="H133" s="23"/>
      <c r="I133" s="84"/>
      <c r="J133" s="85" t="str">
        <f>IF(AND(A133&lt;&gt;"",E133&lt;&gt;""),IF(I133="","⚠️ Enter Code",IF(IFERROR(VLOOKUP(H133,DB_Agents!$B:$I,8,0),"")=I133,IF(C133&gt;=E133,"Successful","Unsuccessful"),"🔒 BLOCKED — Wrong Code")),"—")</f>
        <v>—</v>
      </c>
      <c r="K133" s="86" t="str">
        <f t="shared" ca="1" si="11"/>
        <v>—</v>
      </c>
      <c r="L133" s="87"/>
    </row>
    <row r="134" spans="1:12" x14ac:dyDescent="0.25">
      <c r="A134" s="88"/>
      <c r="B134" s="25" t="str">
        <f>IF(A134="","",IFERROR(VLOOKUP(A134,DB_Customers!$A:$D,4,0),"❌ Account Not Found"))</f>
        <v/>
      </c>
      <c r="C134" s="89" t="str">
        <f>IF(A134="","",IFERROR(VLOOKUP(A134,DB_Customers!$A:$N,14,0),""))</f>
        <v/>
      </c>
      <c r="D134" s="90" t="str">
        <f t="shared" ca="1" si="9"/>
        <v/>
      </c>
      <c r="E134" s="97"/>
      <c r="F134" s="25"/>
      <c r="G134" s="99" t="str">
        <f t="shared" si="10"/>
        <v/>
      </c>
      <c r="H134" s="27"/>
      <c r="I134" s="84"/>
      <c r="J134" s="92" t="str">
        <f>IF(AND(A134&lt;&gt;"",E134&lt;&gt;""),IF(I134="","⚠️ Enter Code",IF(IFERROR(VLOOKUP(H134,DB_Agents!$B:$I,8,0),"")=I134,IF(C134&gt;=E134,"Successful","Unsuccessful"),"🔒 BLOCKED — Wrong Code")),"—")</f>
        <v>—</v>
      </c>
      <c r="K134" s="93" t="str">
        <f t="shared" ca="1" si="11"/>
        <v>—</v>
      </c>
      <c r="L134" s="94"/>
    </row>
    <row r="135" spans="1:12" x14ac:dyDescent="0.25">
      <c r="A135" s="79"/>
      <c r="B135" s="21" t="str">
        <f>IF(A135="","",IFERROR(VLOOKUP(A135,DB_Customers!$A:$D,4,0),"❌ Account Not Found"))</f>
        <v/>
      </c>
      <c r="C135" s="80" t="str">
        <f>IF(A135="","",IFERROR(VLOOKUP(A135,DB_Customers!$A:$N,14,0),""))</f>
        <v/>
      </c>
      <c r="D135" s="81" t="str">
        <f t="shared" ca="1" si="9"/>
        <v/>
      </c>
      <c r="E135" s="97"/>
      <c r="F135" s="21"/>
      <c r="G135" s="98" t="str">
        <f t="shared" si="10"/>
        <v/>
      </c>
      <c r="H135" s="23"/>
      <c r="I135" s="84"/>
      <c r="J135" s="85" t="str">
        <f>IF(AND(A135&lt;&gt;"",E135&lt;&gt;""),IF(I135="","⚠️ Enter Code",IF(IFERROR(VLOOKUP(H135,DB_Agents!$B:$I,8,0),"")=I135,IF(C135&gt;=E135,"Successful","Unsuccessful"),"🔒 BLOCKED — Wrong Code")),"—")</f>
        <v>—</v>
      </c>
      <c r="K135" s="86" t="str">
        <f t="shared" ca="1" si="11"/>
        <v>—</v>
      </c>
      <c r="L135" s="87"/>
    </row>
    <row r="136" spans="1:12" x14ac:dyDescent="0.25">
      <c r="A136" s="88"/>
      <c r="B136" s="25" t="str">
        <f>IF(A136="","",IFERROR(VLOOKUP(A136,DB_Customers!$A:$D,4,0),"❌ Account Not Found"))</f>
        <v/>
      </c>
      <c r="C136" s="89" t="str">
        <f>IF(A136="","",IFERROR(VLOOKUP(A136,DB_Customers!$A:$N,14,0),""))</f>
        <v/>
      </c>
      <c r="D136" s="90" t="str">
        <f t="shared" ca="1" si="9"/>
        <v/>
      </c>
      <c r="E136" s="97"/>
      <c r="F136" s="25"/>
      <c r="G136" s="99" t="str">
        <f t="shared" si="10"/>
        <v/>
      </c>
      <c r="H136" s="27"/>
      <c r="I136" s="84"/>
      <c r="J136" s="92" t="str">
        <f>IF(AND(A136&lt;&gt;"",E136&lt;&gt;""),IF(I136="","⚠️ Enter Code",IF(IFERROR(VLOOKUP(H136,DB_Agents!$B:$I,8,0),"")=I136,IF(C136&gt;=E136,"Successful","Unsuccessful"),"🔒 BLOCKED — Wrong Code")),"—")</f>
        <v>—</v>
      </c>
      <c r="K136" s="93" t="str">
        <f t="shared" ca="1" si="11"/>
        <v>—</v>
      </c>
      <c r="L136" s="94"/>
    </row>
    <row r="137" spans="1:12" x14ac:dyDescent="0.25">
      <c r="A137" s="79"/>
      <c r="B137" s="21" t="str">
        <f>IF(A137="","",IFERROR(VLOOKUP(A137,DB_Customers!$A:$D,4,0),"❌ Account Not Found"))</f>
        <v/>
      </c>
      <c r="C137" s="80" t="str">
        <f>IF(A137="","",IFERROR(VLOOKUP(A137,DB_Customers!$A:$N,14,0),""))</f>
        <v/>
      </c>
      <c r="D137" s="81" t="str">
        <f t="shared" ref="D137:D168" ca="1" si="12">IF(A137="","",TODAY())</f>
        <v/>
      </c>
      <c r="E137" s="97"/>
      <c r="F137" s="21"/>
      <c r="G137" s="98" t="str">
        <f t="shared" ref="G137:G168" si="13">IF(OR(A137="",E137=""),"",IF(C137="","",C137-E137))</f>
        <v/>
      </c>
      <c r="H137" s="23"/>
      <c r="I137" s="84"/>
      <c r="J137" s="85" t="str">
        <f>IF(AND(A137&lt;&gt;"",E137&lt;&gt;""),IF(I137="","⚠️ Enter Code",IF(IFERROR(VLOOKUP(H137,DB_Agents!$B:$I,8,0),"")=I137,IF(C137&gt;=E137,"Successful","Unsuccessful"),"🔒 BLOCKED — Wrong Code")),"—")</f>
        <v>—</v>
      </c>
      <c r="K137" s="86" t="str">
        <f t="shared" ref="K137:K168" ca="1" si="14">IF(J137="Successful",TEXT(TODAY(),"YYYY-MM-DD")&amp;" Auto","—")</f>
        <v>—</v>
      </c>
      <c r="L137" s="87"/>
    </row>
    <row r="138" spans="1:12" x14ac:dyDescent="0.25">
      <c r="A138" s="88"/>
      <c r="B138" s="25" t="str">
        <f>IF(A138="","",IFERROR(VLOOKUP(A138,DB_Customers!$A:$D,4,0),"❌ Account Not Found"))</f>
        <v/>
      </c>
      <c r="C138" s="89" t="str">
        <f>IF(A138="","",IFERROR(VLOOKUP(A138,DB_Customers!$A:$N,14,0),""))</f>
        <v/>
      </c>
      <c r="D138" s="90" t="str">
        <f t="shared" ca="1" si="12"/>
        <v/>
      </c>
      <c r="E138" s="97"/>
      <c r="F138" s="25"/>
      <c r="G138" s="99" t="str">
        <f t="shared" si="13"/>
        <v/>
      </c>
      <c r="H138" s="27"/>
      <c r="I138" s="84"/>
      <c r="J138" s="92" t="str">
        <f>IF(AND(A138&lt;&gt;"",E138&lt;&gt;""),IF(I138="","⚠️ Enter Code",IF(IFERROR(VLOOKUP(H138,DB_Agents!$B:$I,8,0),"")=I138,IF(C138&gt;=E138,"Successful","Unsuccessful"),"🔒 BLOCKED — Wrong Code")),"—")</f>
        <v>—</v>
      </c>
      <c r="K138" s="93" t="str">
        <f t="shared" ca="1" si="14"/>
        <v>—</v>
      </c>
      <c r="L138" s="94"/>
    </row>
    <row r="139" spans="1:12" x14ac:dyDescent="0.25">
      <c r="A139" s="79"/>
      <c r="B139" s="21" t="str">
        <f>IF(A139="","",IFERROR(VLOOKUP(A139,DB_Customers!$A:$D,4,0),"❌ Account Not Found"))</f>
        <v/>
      </c>
      <c r="C139" s="80" t="str">
        <f>IF(A139="","",IFERROR(VLOOKUP(A139,DB_Customers!$A:$N,14,0),""))</f>
        <v/>
      </c>
      <c r="D139" s="81" t="str">
        <f t="shared" ca="1" si="12"/>
        <v/>
      </c>
      <c r="E139" s="97"/>
      <c r="F139" s="21"/>
      <c r="G139" s="98" t="str">
        <f t="shared" si="13"/>
        <v/>
      </c>
      <c r="H139" s="23"/>
      <c r="I139" s="84"/>
      <c r="J139" s="85" t="str">
        <f>IF(AND(A139&lt;&gt;"",E139&lt;&gt;""),IF(I139="","⚠️ Enter Code",IF(IFERROR(VLOOKUP(H139,DB_Agents!$B:$I,8,0),"")=I139,IF(C139&gt;=E139,"Successful","Unsuccessful"),"🔒 BLOCKED — Wrong Code")),"—")</f>
        <v>—</v>
      </c>
      <c r="K139" s="86" t="str">
        <f t="shared" ca="1" si="14"/>
        <v>—</v>
      </c>
      <c r="L139" s="87"/>
    </row>
    <row r="140" spans="1:12" x14ac:dyDescent="0.25">
      <c r="A140" s="88"/>
      <c r="B140" s="25" t="str">
        <f>IF(A140="","",IFERROR(VLOOKUP(A140,DB_Customers!$A:$D,4,0),"❌ Account Not Found"))</f>
        <v/>
      </c>
      <c r="C140" s="89" t="str">
        <f>IF(A140="","",IFERROR(VLOOKUP(A140,DB_Customers!$A:$N,14,0),""))</f>
        <v/>
      </c>
      <c r="D140" s="90" t="str">
        <f t="shared" ca="1" si="12"/>
        <v/>
      </c>
      <c r="E140" s="97"/>
      <c r="F140" s="25"/>
      <c r="G140" s="99" t="str">
        <f t="shared" si="13"/>
        <v/>
      </c>
      <c r="H140" s="27"/>
      <c r="I140" s="84"/>
      <c r="J140" s="92" t="str">
        <f>IF(AND(A140&lt;&gt;"",E140&lt;&gt;""),IF(I140="","⚠️ Enter Code",IF(IFERROR(VLOOKUP(H140,DB_Agents!$B:$I,8,0),"")=I140,IF(C140&gt;=E140,"Successful","Unsuccessful"),"🔒 BLOCKED — Wrong Code")),"—")</f>
        <v>—</v>
      </c>
      <c r="K140" s="93" t="str">
        <f t="shared" ca="1" si="14"/>
        <v>—</v>
      </c>
      <c r="L140" s="94"/>
    </row>
    <row r="141" spans="1:12" x14ac:dyDescent="0.25">
      <c r="A141" s="79"/>
      <c r="B141" s="21" t="str">
        <f>IF(A141="","",IFERROR(VLOOKUP(A141,DB_Customers!$A:$D,4,0),"❌ Account Not Found"))</f>
        <v/>
      </c>
      <c r="C141" s="80" t="str">
        <f>IF(A141="","",IFERROR(VLOOKUP(A141,DB_Customers!$A:$N,14,0),""))</f>
        <v/>
      </c>
      <c r="D141" s="81" t="str">
        <f t="shared" ca="1" si="12"/>
        <v/>
      </c>
      <c r="E141" s="97"/>
      <c r="F141" s="21"/>
      <c r="G141" s="98" t="str">
        <f t="shared" si="13"/>
        <v/>
      </c>
      <c r="H141" s="23"/>
      <c r="I141" s="84"/>
      <c r="J141" s="85" t="str">
        <f>IF(AND(A141&lt;&gt;"",E141&lt;&gt;""),IF(I141="","⚠️ Enter Code",IF(IFERROR(VLOOKUP(H141,DB_Agents!$B:$I,8,0),"")=I141,IF(C141&gt;=E141,"Successful","Unsuccessful"),"🔒 BLOCKED — Wrong Code")),"—")</f>
        <v>—</v>
      </c>
      <c r="K141" s="86" t="str">
        <f t="shared" ca="1" si="14"/>
        <v>—</v>
      </c>
      <c r="L141" s="87"/>
    </row>
    <row r="142" spans="1:12" x14ac:dyDescent="0.25">
      <c r="A142" s="88"/>
      <c r="B142" s="25" t="str">
        <f>IF(A142="","",IFERROR(VLOOKUP(A142,DB_Customers!$A:$D,4,0),"❌ Account Not Found"))</f>
        <v/>
      </c>
      <c r="C142" s="89" t="str">
        <f>IF(A142="","",IFERROR(VLOOKUP(A142,DB_Customers!$A:$N,14,0),""))</f>
        <v/>
      </c>
      <c r="D142" s="90" t="str">
        <f t="shared" ca="1" si="12"/>
        <v/>
      </c>
      <c r="E142" s="97"/>
      <c r="F142" s="25"/>
      <c r="G142" s="99" t="str">
        <f t="shared" si="13"/>
        <v/>
      </c>
      <c r="H142" s="27"/>
      <c r="I142" s="84"/>
      <c r="J142" s="92" t="str">
        <f>IF(AND(A142&lt;&gt;"",E142&lt;&gt;""),IF(I142="","⚠️ Enter Code",IF(IFERROR(VLOOKUP(H142,DB_Agents!$B:$I,8,0),"")=I142,IF(C142&gt;=E142,"Successful","Unsuccessful"),"🔒 BLOCKED — Wrong Code")),"—")</f>
        <v>—</v>
      </c>
      <c r="K142" s="93" t="str">
        <f t="shared" ca="1" si="14"/>
        <v>—</v>
      </c>
      <c r="L142" s="94"/>
    </row>
    <row r="143" spans="1:12" x14ac:dyDescent="0.25">
      <c r="A143" s="79"/>
      <c r="B143" s="21" t="str">
        <f>IF(A143="","",IFERROR(VLOOKUP(A143,DB_Customers!$A:$D,4,0),"❌ Account Not Found"))</f>
        <v/>
      </c>
      <c r="C143" s="80" t="str">
        <f>IF(A143="","",IFERROR(VLOOKUP(A143,DB_Customers!$A:$N,14,0),""))</f>
        <v/>
      </c>
      <c r="D143" s="81" t="str">
        <f t="shared" ca="1" si="12"/>
        <v/>
      </c>
      <c r="E143" s="97"/>
      <c r="F143" s="21"/>
      <c r="G143" s="98" t="str">
        <f t="shared" si="13"/>
        <v/>
      </c>
      <c r="H143" s="23"/>
      <c r="I143" s="84"/>
      <c r="J143" s="85" t="str">
        <f>IF(AND(A143&lt;&gt;"",E143&lt;&gt;""),IF(I143="","⚠️ Enter Code",IF(IFERROR(VLOOKUP(H143,DB_Agents!$B:$I,8,0),"")=I143,IF(C143&gt;=E143,"Successful","Unsuccessful"),"🔒 BLOCKED — Wrong Code")),"—")</f>
        <v>—</v>
      </c>
      <c r="K143" s="86" t="str">
        <f t="shared" ca="1" si="14"/>
        <v>—</v>
      </c>
      <c r="L143" s="87"/>
    </row>
    <row r="144" spans="1:12" x14ac:dyDescent="0.25">
      <c r="A144" s="88"/>
      <c r="B144" s="25" t="str">
        <f>IF(A144="","",IFERROR(VLOOKUP(A144,DB_Customers!$A:$D,4,0),"❌ Account Not Found"))</f>
        <v/>
      </c>
      <c r="C144" s="89" t="str">
        <f>IF(A144="","",IFERROR(VLOOKUP(A144,DB_Customers!$A:$N,14,0),""))</f>
        <v/>
      </c>
      <c r="D144" s="90" t="str">
        <f t="shared" ca="1" si="12"/>
        <v/>
      </c>
      <c r="E144" s="97"/>
      <c r="F144" s="25"/>
      <c r="G144" s="99" t="str">
        <f t="shared" si="13"/>
        <v/>
      </c>
      <c r="H144" s="27"/>
      <c r="I144" s="84"/>
      <c r="J144" s="92" t="str">
        <f>IF(AND(A144&lt;&gt;"",E144&lt;&gt;""),IF(I144="","⚠️ Enter Code",IF(IFERROR(VLOOKUP(H144,DB_Agents!$B:$I,8,0),"")=I144,IF(C144&gt;=E144,"Successful","Unsuccessful"),"🔒 BLOCKED — Wrong Code")),"—")</f>
        <v>—</v>
      </c>
      <c r="K144" s="93" t="str">
        <f t="shared" ca="1" si="14"/>
        <v>—</v>
      </c>
      <c r="L144" s="94"/>
    </row>
    <row r="145" spans="1:12" x14ac:dyDescent="0.25">
      <c r="A145" s="79"/>
      <c r="B145" s="21" t="str">
        <f>IF(A145="","",IFERROR(VLOOKUP(A145,DB_Customers!$A:$D,4,0),"❌ Account Not Found"))</f>
        <v/>
      </c>
      <c r="C145" s="80" t="str">
        <f>IF(A145="","",IFERROR(VLOOKUP(A145,DB_Customers!$A:$N,14,0),""))</f>
        <v/>
      </c>
      <c r="D145" s="81" t="str">
        <f t="shared" ca="1" si="12"/>
        <v/>
      </c>
      <c r="E145" s="97"/>
      <c r="F145" s="21"/>
      <c r="G145" s="98" t="str">
        <f t="shared" si="13"/>
        <v/>
      </c>
      <c r="H145" s="23"/>
      <c r="I145" s="84"/>
      <c r="J145" s="85" t="str">
        <f>IF(AND(A145&lt;&gt;"",E145&lt;&gt;""),IF(I145="","⚠️ Enter Code",IF(IFERROR(VLOOKUP(H145,DB_Agents!$B:$I,8,0),"")=I145,IF(C145&gt;=E145,"Successful","Unsuccessful"),"🔒 BLOCKED — Wrong Code")),"—")</f>
        <v>—</v>
      </c>
      <c r="K145" s="86" t="str">
        <f t="shared" ca="1" si="14"/>
        <v>—</v>
      </c>
      <c r="L145" s="87"/>
    </row>
    <row r="146" spans="1:12" x14ac:dyDescent="0.25">
      <c r="A146" s="88"/>
      <c r="B146" s="25" t="str">
        <f>IF(A146="","",IFERROR(VLOOKUP(A146,DB_Customers!$A:$D,4,0),"❌ Account Not Found"))</f>
        <v/>
      </c>
      <c r="C146" s="89" t="str">
        <f>IF(A146="","",IFERROR(VLOOKUP(A146,DB_Customers!$A:$N,14,0),""))</f>
        <v/>
      </c>
      <c r="D146" s="90" t="str">
        <f t="shared" ca="1" si="12"/>
        <v/>
      </c>
      <c r="E146" s="97"/>
      <c r="F146" s="25"/>
      <c r="G146" s="99" t="str">
        <f t="shared" si="13"/>
        <v/>
      </c>
      <c r="H146" s="27"/>
      <c r="I146" s="84"/>
      <c r="J146" s="92" t="str">
        <f>IF(AND(A146&lt;&gt;"",E146&lt;&gt;""),IF(I146="","⚠️ Enter Code",IF(IFERROR(VLOOKUP(H146,DB_Agents!$B:$I,8,0),"")=I146,IF(C146&gt;=E146,"Successful","Unsuccessful"),"🔒 BLOCKED — Wrong Code")),"—")</f>
        <v>—</v>
      </c>
      <c r="K146" s="93" t="str">
        <f t="shared" ca="1" si="14"/>
        <v>—</v>
      </c>
      <c r="L146" s="94"/>
    </row>
    <row r="147" spans="1:12" x14ac:dyDescent="0.25">
      <c r="A147" s="79"/>
      <c r="B147" s="21" t="str">
        <f>IF(A147="","",IFERROR(VLOOKUP(A147,DB_Customers!$A:$D,4,0),"❌ Account Not Found"))</f>
        <v/>
      </c>
      <c r="C147" s="80" t="str">
        <f>IF(A147="","",IFERROR(VLOOKUP(A147,DB_Customers!$A:$N,14,0),""))</f>
        <v/>
      </c>
      <c r="D147" s="81" t="str">
        <f t="shared" ca="1" si="12"/>
        <v/>
      </c>
      <c r="E147" s="97"/>
      <c r="F147" s="21"/>
      <c r="G147" s="98" t="str">
        <f t="shared" si="13"/>
        <v/>
      </c>
      <c r="H147" s="23"/>
      <c r="I147" s="84"/>
      <c r="J147" s="85" t="str">
        <f>IF(AND(A147&lt;&gt;"",E147&lt;&gt;""),IF(I147="","⚠️ Enter Code",IF(IFERROR(VLOOKUP(H147,DB_Agents!$B:$I,8,0),"")=I147,IF(C147&gt;=E147,"Successful","Unsuccessful"),"🔒 BLOCKED — Wrong Code")),"—")</f>
        <v>—</v>
      </c>
      <c r="K147" s="86" t="str">
        <f t="shared" ca="1" si="14"/>
        <v>—</v>
      </c>
      <c r="L147" s="87"/>
    </row>
    <row r="148" spans="1:12" x14ac:dyDescent="0.25">
      <c r="A148" s="88"/>
      <c r="B148" s="25" t="str">
        <f>IF(A148="","",IFERROR(VLOOKUP(A148,DB_Customers!$A:$D,4,0),"❌ Account Not Found"))</f>
        <v/>
      </c>
      <c r="C148" s="89" t="str">
        <f>IF(A148="","",IFERROR(VLOOKUP(A148,DB_Customers!$A:$N,14,0),""))</f>
        <v/>
      </c>
      <c r="D148" s="90" t="str">
        <f t="shared" ca="1" si="12"/>
        <v/>
      </c>
      <c r="E148" s="97"/>
      <c r="F148" s="25"/>
      <c r="G148" s="99" t="str">
        <f t="shared" si="13"/>
        <v/>
      </c>
      <c r="H148" s="27"/>
      <c r="I148" s="84"/>
      <c r="J148" s="92" t="str">
        <f>IF(AND(A148&lt;&gt;"",E148&lt;&gt;""),IF(I148="","⚠️ Enter Code",IF(IFERROR(VLOOKUP(H148,DB_Agents!$B:$I,8,0),"")=I148,IF(C148&gt;=E148,"Successful","Unsuccessful"),"🔒 BLOCKED — Wrong Code")),"—")</f>
        <v>—</v>
      </c>
      <c r="K148" s="93" t="str">
        <f t="shared" ca="1" si="14"/>
        <v>—</v>
      </c>
      <c r="L148" s="94"/>
    </row>
    <row r="149" spans="1:12" x14ac:dyDescent="0.25">
      <c r="A149" s="79"/>
      <c r="B149" s="21" t="str">
        <f>IF(A149="","",IFERROR(VLOOKUP(A149,DB_Customers!$A:$D,4,0),"❌ Account Not Found"))</f>
        <v/>
      </c>
      <c r="C149" s="80" t="str">
        <f>IF(A149="","",IFERROR(VLOOKUP(A149,DB_Customers!$A:$N,14,0),""))</f>
        <v/>
      </c>
      <c r="D149" s="81" t="str">
        <f t="shared" ca="1" si="12"/>
        <v/>
      </c>
      <c r="E149" s="97"/>
      <c r="F149" s="21"/>
      <c r="G149" s="98" t="str">
        <f t="shared" si="13"/>
        <v/>
      </c>
      <c r="H149" s="23"/>
      <c r="I149" s="84"/>
      <c r="J149" s="85" t="str">
        <f>IF(AND(A149&lt;&gt;"",E149&lt;&gt;""),IF(I149="","⚠️ Enter Code",IF(IFERROR(VLOOKUP(H149,DB_Agents!$B:$I,8,0),"")=I149,IF(C149&gt;=E149,"Successful","Unsuccessful"),"🔒 BLOCKED — Wrong Code")),"—")</f>
        <v>—</v>
      </c>
      <c r="K149" s="86" t="str">
        <f t="shared" ca="1" si="14"/>
        <v>—</v>
      </c>
      <c r="L149" s="87"/>
    </row>
    <row r="150" spans="1:12" x14ac:dyDescent="0.25">
      <c r="A150" s="88"/>
      <c r="B150" s="25" t="str">
        <f>IF(A150="","",IFERROR(VLOOKUP(A150,DB_Customers!$A:$D,4,0),"❌ Account Not Found"))</f>
        <v/>
      </c>
      <c r="C150" s="89" t="str">
        <f>IF(A150="","",IFERROR(VLOOKUP(A150,DB_Customers!$A:$N,14,0),""))</f>
        <v/>
      </c>
      <c r="D150" s="90" t="str">
        <f t="shared" ca="1" si="12"/>
        <v/>
      </c>
      <c r="E150" s="97"/>
      <c r="F150" s="25"/>
      <c r="G150" s="99" t="str">
        <f t="shared" si="13"/>
        <v/>
      </c>
      <c r="H150" s="27"/>
      <c r="I150" s="84"/>
      <c r="J150" s="92" t="str">
        <f>IF(AND(A150&lt;&gt;"",E150&lt;&gt;""),IF(I150="","⚠️ Enter Code",IF(IFERROR(VLOOKUP(H150,DB_Agents!$B:$I,8,0),"")=I150,IF(C150&gt;=E150,"Successful","Unsuccessful"),"🔒 BLOCKED — Wrong Code")),"—")</f>
        <v>—</v>
      </c>
      <c r="K150" s="93" t="str">
        <f t="shared" ca="1" si="14"/>
        <v>—</v>
      </c>
      <c r="L150" s="94"/>
    </row>
    <row r="151" spans="1:12" x14ac:dyDescent="0.25">
      <c r="A151" s="79"/>
      <c r="B151" s="21" t="str">
        <f>IF(A151="","",IFERROR(VLOOKUP(A151,DB_Customers!$A:$D,4,0),"❌ Account Not Found"))</f>
        <v/>
      </c>
      <c r="C151" s="80" t="str">
        <f>IF(A151="","",IFERROR(VLOOKUP(A151,DB_Customers!$A:$N,14,0),""))</f>
        <v/>
      </c>
      <c r="D151" s="81" t="str">
        <f t="shared" ca="1" si="12"/>
        <v/>
      </c>
      <c r="E151" s="97"/>
      <c r="F151" s="21"/>
      <c r="G151" s="98" t="str">
        <f t="shared" si="13"/>
        <v/>
      </c>
      <c r="H151" s="23"/>
      <c r="I151" s="84"/>
      <c r="J151" s="85" t="str">
        <f>IF(AND(A151&lt;&gt;"",E151&lt;&gt;""),IF(I151="","⚠️ Enter Code",IF(IFERROR(VLOOKUP(H151,DB_Agents!$B:$I,8,0),"")=I151,IF(C151&gt;=E151,"Successful","Unsuccessful"),"🔒 BLOCKED — Wrong Code")),"—")</f>
        <v>—</v>
      </c>
      <c r="K151" s="86" t="str">
        <f t="shared" ca="1" si="14"/>
        <v>—</v>
      </c>
      <c r="L151" s="87"/>
    </row>
    <row r="152" spans="1:12" x14ac:dyDescent="0.25">
      <c r="A152" s="88"/>
      <c r="B152" s="25" t="str">
        <f>IF(A152="","",IFERROR(VLOOKUP(A152,DB_Customers!$A:$D,4,0),"❌ Account Not Found"))</f>
        <v/>
      </c>
      <c r="C152" s="89" t="str">
        <f>IF(A152="","",IFERROR(VLOOKUP(A152,DB_Customers!$A:$N,14,0),""))</f>
        <v/>
      </c>
      <c r="D152" s="90" t="str">
        <f t="shared" ca="1" si="12"/>
        <v/>
      </c>
      <c r="E152" s="97"/>
      <c r="F152" s="25"/>
      <c r="G152" s="99" t="str">
        <f t="shared" si="13"/>
        <v/>
      </c>
      <c r="H152" s="27"/>
      <c r="I152" s="84"/>
      <c r="J152" s="92" t="str">
        <f>IF(AND(A152&lt;&gt;"",E152&lt;&gt;""),IF(I152="","⚠️ Enter Code",IF(IFERROR(VLOOKUP(H152,DB_Agents!$B:$I,8,0),"")=I152,IF(C152&gt;=E152,"Successful","Unsuccessful"),"🔒 BLOCKED — Wrong Code")),"—")</f>
        <v>—</v>
      </c>
      <c r="K152" s="93" t="str">
        <f t="shared" ca="1" si="14"/>
        <v>—</v>
      </c>
      <c r="L152" s="94"/>
    </row>
    <row r="153" spans="1:12" x14ac:dyDescent="0.25">
      <c r="A153" s="79"/>
      <c r="B153" s="21" t="str">
        <f>IF(A153="","",IFERROR(VLOOKUP(A153,DB_Customers!$A:$D,4,0),"❌ Account Not Found"))</f>
        <v/>
      </c>
      <c r="C153" s="80" t="str">
        <f>IF(A153="","",IFERROR(VLOOKUP(A153,DB_Customers!$A:$N,14,0),""))</f>
        <v/>
      </c>
      <c r="D153" s="81" t="str">
        <f t="shared" ca="1" si="12"/>
        <v/>
      </c>
      <c r="E153" s="97"/>
      <c r="F153" s="21"/>
      <c r="G153" s="98" t="str">
        <f t="shared" si="13"/>
        <v/>
      </c>
      <c r="H153" s="23"/>
      <c r="I153" s="84"/>
      <c r="J153" s="85" t="str">
        <f>IF(AND(A153&lt;&gt;"",E153&lt;&gt;""),IF(I153="","⚠️ Enter Code",IF(IFERROR(VLOOKUP(H153,DB_Agents!$B:$I,8,0),"")=I153,IF(C153&gt;=E153,"Successful","Unsuccessful"),"🔒 BLOCKED — Wrong Code")),"—")</f>
        <v>—</v>
      </c>
      <c r="K153" s="86" t="str">
        <f t="shared" ca="1" si="14"/>
        <v>—</v>
      </c>
      <c r="L153" s="87"/>
    </row>
    <row r="154" spans="1:12" x14ac:dyDescent="0.25">
      <c r="A154" s="88"/>
      <c r="B154" s="25" t="str">
        <f>IF(A154="","",IFERROR(VLOOKUP(A154,DB_Customers!$A:$D,4,0),"❌ Account Not Found"))</f>
        <v/>
      </c>
      <c r="C154" s="89" t="str">
        <f>IF(A154="","",IFERROR(VLOOKUP(A154,DB_Customers!$A:$N,14,0),""))</f>
        <v/>
      </c>
      <c r="D154" s="90" t="str">
        <f t="shared" ca="1" si="12"/>
        <v/>
      </c>
      <c r="E154" s="97"/>
      <c r="F154" s="25"/>
      <c r="G154" s="99" t="str">
        <f t="shared" si="13"/>
        <v/>
      </c>
      <c r="H154" s="27"/>
      <c r="I154" s="84"/>
      <c r="J154" s="92" t="str">
        <f>IF(AND(A154&lt;&gt;"",E154&lt;&gt;""),IF(I154="","⚠️ Enter Code",IF(IFERROR(VLOOKUP(H154,DB_Agents!$B:$I,8,0),"")=I154,IF(C154&gt;=E154,"Successful","Unsuccessful"),"🔒 BLOCKED — Wrong Code")),"—")</f>
        <v>—</v>
      </c>
      <c r="K154" s="93" t="str">
        <f t="shared" ca="1" si="14"/>
        <v>—</v>
      </c>
      <c r="L154" s="94"/>
    </row>
    <row r="155" spans="1:12" x14ac:dyDescent="0.25">
      <c r="A155" s="79"/>
      <c r="B155" s="21" t="str">
        <f>IF(A155="","",IFERROR(VLOOKUP(A155,DB_Customers!$A:$D,4,0),"❌ Account Not Found"))</f>
        <v/>
      </c>
      <c r="C155" s="80" t="str">
        <f>IF(A155="","",IFERROR(VLOOKUP(A155,DB_Customers!$A:$N,14,0),""))</f>
        <v/>
      </c>
      <c r="D155" s="81" t="str">
        <f t="shared" ca="1" si="12"/>
        <v/>
      </c>
      <c r="E155" s="97"/>
      <c r="F155" s="21"/>
      <c r="G155" s="98" t="str">
        <f t="shared" si="13"/>
        <v/>
      </c>
      <c r="H155" s="23"/>
      <c r="I155" s="84"/>
      <c r="J155" s="85" t="str">
        <f>IF(AND(A155&lt;&gt;"",E155&lt;&gt;""),IF(I155="","⚠️ Enter Code",IF(IFERROR(VLOOKUP(H155,DB_Agents!$B:$I,8,0),"")=I155,IF(C155&gt;=E155,"Successful","Unsuccessful"),"🔒 BLOCKED — Wrong Code")),"—")</f>
        <v>—</v>
      </c>
      <c r="K155" s="86" t="str">
        <f t="shared" ca="1" si="14"/>
        <v>—</v>
      </c>
      <c r="L155" s="87"/>
    </row>
    <row r="156" spans="1:12" x14ac:dyDescent="0.25">
      <c r="A156" s="88"/>
      <c r="B156" s="25" t="str">
        <f>IF(A156="","",IFERROR(VLOOKUP(A156,DB_Customers!$A:$D,4,0),"❌ Account Not Found"))</f>
        <v/>
      </c>
      <c r="C156" s="89" t="str">
        <f>IF(A156="","",IFERROR(VLOOKUP(A156,DB_Customers!$A:$N,14,0),""))</f>
        <v/>
      </c>
      <c r="D156" s="90" t="str">
        <f t="shared" ca="1" si="12"/>
        <v/>
      </c>
      <c r="E156" s="97"/>
      <c r="F156" s="25"/>
      <c r="G156" s="99" t="str">
        <f t="shared" si="13"/>
        <v/>
      </c>
      <c r="H156" s="27"/>
      <c r="I156" s="84"/>
      <c r="J156" s="92" t="str">
        <f>IF(AND(A156&lt;&gt;"",E156&lt;&gt;""),IF(I156="","⚠️ Enter Code",IF(IFERROR(VLOOKUP(H156,DB_Agents!$B:$I,8,0),"")=I156,IF(C156&gt;=E156,"Successful","Unsuccessful"),"🔒 BLOCKED — Wrong Code")),"—")</f>
        <v>—</v>
      </c>
      <c r="K156" s="93" t="str">
        <f t="shared" ca="1" si="14"/>
        <v>—</v>
      </c>
      <c r="L156" s="94"/>
    </row>
    <row r="157" spans="1:12" x14ac:dyDescent="0.25">
      <c r="A157" s="79"/>
      <c r="B157" s="21" t="str">
        <f>IF(A157="","",IFERROR(VLOOKUP(A157,DB_Customers!$A:$D,4,0),"❌ Account Not Found"))</f>
        <v/>
      </c>
      <c r="C157" s="80" t="str">
        <f>IF(A157="","",IFERROR(VLOOKUP(A157,DB_Customers!$A:$N,14,0),""))</f>
        <v/>
      </c>
      <c r="D157" s="81" t="str">
        <f t="shared" ca="1" si="12"/>
        <v/>
      </c>
      <c r="E157" s="97"/>
      <c r="F157" s="21"/>
      <c r="G157" s="98" t="str">
        <f t="shared" si="13"/>
        <v/>
      </c>
      <c r="H157" s="23"/>
      <c r="I157" s="84"/>
      <c r="J157" s="85" t="str">
        <f>IF(AND(A157&lt;&gt;"",E157&lt;&gt;""),IF(I157="","⚠️ Enter Code",IF(IFERROR(VLOOKUP(H157,DB_Agents!$B:$I,8,0),"")=I157,IF(C157&gt;=E157,"Successful","Unsuccessful"),"🔒 BLOCKED — Wrong Code")),"—")</f>
        <v>—</v>
      </c>
      <c r="K157" s="86" t="str">
        <f t="shared" ca="1" si="14"/>
        <v>—</v>
      </c>
      <c r="L157" s="87"/>
    </row>
    <row r="158" spans="1:12" x14ac:dyDescent="0.25">
      <c r="A158" s="88"/>
      <c r="B158" s="25" t="str">
        <f>IF(A158="","",IFERROR(VLOOKUP(A158,DB_Customers!$A:$D,4,0),"❌ Account Not Found"))</f>
        <v/>
      </c>
      <c r="C158" s="89" t="str">
        <f>IF(A158="","",IFERROR(VLOOKUP(A158,DB_Customers!$A:$N,14,0),""))</f>
        <v/>
      </c>
      <c r="D158" s="90" t="str">
        <f t="shared" ca="1" si="12"/>
        <v/>
      </c>
      <c r="E158" s="97"/>
      <c r="F158" s="25"/>
      <c r="G158" s="99" t="str">
        <f t="shared" si="13"/>
        <v/>
      </c>
      <c r="H158" s="27"/>
      <c r="I158" s="84"/>
      <c r="J158" s="92" t="str">
        <f>IF(AND(A158&lt;&gt;"",E158&lt;&gt;""),IF(I158="","⚠️ Enter Code",IF(IFERROR(VLOOKUP(H158,DB_Agents!$B:$I,8,0),"")=I158,IF(C158&gt;=E158,"Successful","Unsuccessful"),"🔒 BLOCKED — Wrong Code")),"—")</f>
        <v>—</v>
      </c>
      <c r="K158" s="93" t="str">
        <f t="shared" ca="1" si="14"/>
        <v>—</v>
      </c>
      <c r="L158" s="94"/>
    </row>
    <row r="159" spans="1:12" x14ac:dyDescent="0.25">
      <c r="A159" s="79"/>
      <c r="B159" s="21" t="str">
        <f>IF(A159="","",IFERROR(VLOOKUP(A159,DB_Customers!$A:$D,4,0),"❌ Account Not Found"))</f>
        <v/>
      </c>
      <c r="C159" s="80" t="str">
        <f>IF(A159="","",IFERROR(VLOOKUP(A159,DB_Customers!$A:$N,14,0),""))</f>
        <v/>
      </c>
      <c r="D159" s="81" t="str">
        <f t="shared" ca="1" si="12"/>
        <v/>
      </c>
      <c r="E159" s="97"/>
      <c r="F159" s="21"/>
      <c r="G159" s="98" t="str">
        <f t="shared" si="13"/>
        <v/>
      </c>
      <c r="H159" s="23"/>
      <c r="I159" s="84"/>
      <c r="J159" s="85" t="str">
        <f>IF(AND(A159&lt;&gt;"",E159&lt;&gt;""),IF(I159="","⚠️ Enter Code",IF(IFERROR(VLOOKUP(H159,DB_Agents!$B:$I,8,0),"")=I159,IF(C159&gt;=E159,"Successful","Unsuccessful"),"🔒 BLOCKED — Wrong Code")),"—")</f>
        <v>—</v>
      </c>
      <c r="K159" s="86" t="str">
        <f t="shared" ca="1" si="14"/>
        <v>—</v>
      </c>
      <c r="L159" s="87"/>
    </row>
    <row r="160" spans="1:12" x14ac:dyDescent="0.25">
      <c r="A160" s="88"/>
      <c r="B160" s="25" t="str">
        <f>IF(A160="","",IFERROR(VLOOKUP(A160,DB_Customers!$A:$D,4,0),"❌ Account Not Found"))</f>
        <v/>
      </c>
      <c r="C160" s="89" t="str">
        <f>IF(A160="","",IFERROR(VLOOKUP(A160,DB_Customers!$A:$N,14,0),""))</f>
        <v/>
      </c>
      <c r="D160" s="90" t="str">
        <f t="shared" ca="1" si="12"/>
        <v/>
      </c>
      <c r="E160" s="97"/>
      <c r="F160" s="25"/>
      <c r="G160" s="99" t="str">
        <f t="shared" si="13"/>
        <v/>
      </c>
      <c r="H160" s="27"/>
      <c r="I160" s="84"/>
      <c r="J160" s="92" t="str">
        <f>IF(AND(A160&lt;&gt;"",E160&lt;&gt;""),IF(I160="","⚠️ Enter Code",IF(IFERROR(VLOOKUP(H160,DB_Agents!$B:$I,8,0),"")=I160,IF(C160&gt;=E160,"Successful","Unsuccessful"),"🔒 BLOCKED — Wrong Code")),"—")</f>
        <v>—</v>
      </c>
      <c r="K160" s="93" t="str">
        <f t="shared" ca="1" si="14"/>
        <v>—</v>
      </c>
      <c r="L160" s="94"/>
    </row>
    <row r="161" spans="1:12" x14ac:dyDescent="0.25">
      <c r="A161" s="79"/>
      <c r="B161" s="21" t="str">
        <f>IF(A161="","",IFERROR(VLOOKUP(A161,DB_Customers!$A:$D,4,0),"❌ Account Not Found"))</f>
        <v/>
      </c>
      <c r="C161" s="80" t="str">
        <f>IF(A161="","",IFERROR(VLOOKUP(A161,DB_Customers!$A:$N,14,0),""))</f>
        <v/>
      </c>
      <c r="D161" s="81" t="str">
        <f t="shared" ca="1" si="12"/>
        <v/>
      </c>
      <c r="E161" s="97"/>
      <c r="F161" s="21"/>
      <c r="G161" s="98" t="str">
        <f t="shared" si="13"/>
        <v/>
      </c>
      <c r="H161" s="23"/>
      <c r="I161" s="84"/>
      <c r="J161" s="85" t="str">
        <f>IF(AND(A161&lt;&gt;"",E161&lt;&gt;""),IF(I161="","⚠️ Enter Code",IF(IFERROR(VLOOKUP(H161,DB_Agents!$B:$I,8,0),"")=I161,IF(C161&gt;=E161,"Successful","Unsuccessful"),"🔒 BLOCKED — Wrong Code")),"—")</f>
        <v>—</v>
      </c>
      <c r="K161" s="86" t="str">
        <f t="shared" ca="1" si="14"/>
        <v>—</v>
      </c>
      <c r="L161" s="87"/>
    </row>
    <row r="162" spans="1:12" x14ac:dyDescent="0.25">
      <c r="A162" s="88"/>
      <c r="B162" s="25" t="str">
        <f>IF(A162="","",IFERROR(VLOOKUP(A162,DB_Customers!$A:$D,4,0),"❌ Account Not Found"))</f>
        <v/>
      </c>
      <c r="C162" s="89" t="str">
        <f>IF(A162="","",IFERROR(VLOOKUP(A162,DB_Customers!$A:$N,14,0),""))</f>
        <v/>
      </c>
      <c r="D162" s="90" t="str">
        <f t="shared" ca="1" si="12"/>
        <v/>
      </c>
      <c r="E162" s="97"/>
      <c r="F162" s="25"/>
      <c r="G162" s="99" t="str">
        <f t="shared" si="13"/>
        <v/>
      </c>
      <c r="H162" s="27"/>
      <c r="I162" s="84"/>
      <c r="J162" s="92" t="str">
        <f>IF(AND(A162&lt;&gt;"",E162&lt;&gt;""),IF(I162="","⚠️ Enter Code",IF(IFERROR(VLOOKUP(H162,DB_Agents!$B:$I,8,0),"")=I162,IF(C162&gt;=E162,"Successful","Unsuccessful"),"🔒 BLOCKED — Wrong Code")),"—")</f>
        <v>—</v>
      </c>
      <c r="K162" s="93" t="str">
        <f t="shared" ca="1" si="14"/>
        <v>—</v>
      </c>
      <c r="L162" s="94"/>
    </row>
    <row r="163" spans="1:12" x14ac:dyDescent="0.25">
      <c r="A163" s="79"/>
      <c r="B163" s="21" t="str">
        <f>IF(A163="","",IFERROR(VLOOKUP(A163,DB_Customers!$A:$D,4,0),"❌ Account Not Found"))</f>
        <v/>
      </c>
      <c r="C163" s="80" t="str">
        <f>IF(A163="","",IFERROR(VLOOKUP(A163,DB_Customers!$A:$N,14,0),""))</f>
        <v/>
      </c>
      <c r="D163" s="81" t="str">
        <f t="shared" ca="1" si="12"/>
        <v/>
      </c>
      <c r="E163" s="97"/>
      <c r="F163" s="21"/>
      <c r="G163" s="98" t="str">
        <f t="shared" si="13"/>
        <v/>
      </c>
      <c r="H163" s="23"/>
      <c r="I163" s="84"/>
      <c r="J163" s="85" t="str">
        <f>IF(AND(A163&lt;&gt;"",E163&lt;&gt;""),IF(I163="","⚠️ Enter Code",IF(IFERROR(VLOOKUP(H163,DB_Agents!$B:$I,8,0),"")=I163,IF(C163&gt;=E163,"Successful","Unsuccessful"),"🔒 BLOCKED — Wrong Code")),"—")</f>
        <v>—</v>
      </c>
      <c r="K163" s="86" t="str">
        <f t="shared" ca="1" si="14"/>
        <v>—</v>
      </c>
      <c r="L163" s="87"/>
    </row>
    <row r="164" spans="1:12" x14ac:dyDescent="0.25">
      <c r="A164" s="88"/>
      <c r="B164" s="25" t="str">
        <f>IF(A164="","",IFERROR(VLOOKUP(A164,DB_Customers!$A:$D,4,0),"❌ Account Not Found"))</f>
        <v/>
      </c>
      <c r="C164" s="89" t="str">
        <f>IF(A164="","",IFERROR(VLOOKUP(A164,DB_Customers!$A:$N,14,0),""))</f>
        <v/>
      </c>
      <c r="D164" s="90" t="str">
        <f t="shared" ca="1" si="12"/>
        <v/>
      </c>
      <c r="E164" s="97"/>
      <c r="F164" s="25"/>
      <c r="G164" s="99" t="str">
        <f t="shared" si="13"/>
        <v/>
      </c>
      <c r="H164" s="27"/>
      <c r="I164" s="84"/>
      <c r="J164" s="92" t="str">
        <f>IF(AND(A164&lt;&gt;"",E164&lt;&gt;""),IF(I164="","⚠️ Enter Code",IF(IFERROR(VLOOKUP(H164,DB_Agents!$B:$I,8,0),"")=I164,IF(C164&gt;=E164,"Successful","Unsuccessful"),"🔒 BLOCKED — Wrong Code")),"—")</f>
        <v>—</v>
      </c>
      <c r="K164" s="93" t="str">
        <f t="shared" ca="1" si="14"/>
        <v>—</v>
      </c>
      <c r="L164" s="94"/>
    </row>
    <row r="165" spans="1:12" x14ac:dyDescent="0.25">
      <c r="A165" s="79"/>
      <c r="B165" s="21" t="str">
        <f>IF(A165="","",IFERROR(VLOOKUP(A165,DB_Customers!$A:$D,4,0),"❌ Account Not Found"))</f>
        <v/>
      </c>
      <c r="C165" s="80" t="str">
        <f>IF(A165="","",IFERROR(VLOOKUP(A165,DB_Customers!$A:$N,14,0),""))</f>
        <v/>
      </c>
      <c r="D165" s="81" t="str">
        <f t="shared" ca="1" si="12"/>
        <v/>
      </c>
      <c r="E165" s="97"/>
      <c r="F165" s="21"/>
      <c r="G165" s="98" t="str">
        <f t="shared" si="13"/>
        <v/>
      </c>
      <c r="H165" s="23"/>
      <c r="I165" s="84"/>
      <c r="J165" s="85" t="str">
        <f>IF(AND(A165&lt;&gt;"",E165&lt;&gt;""),IF(I165="","⚠️ Enter Code",IF(IFERROR(VLOOKUP(H165,DB_Agents!$B:$I,8,0),"")=I165,IF(C165&gt;=E165,"Successful","Unsuccessful"),"🔒 BLOCKED — Wrong Code")),"—")</f>
        <v>—</v>
      </c>
      <c r="K165" s="86" t="str">
        <f t="shared" ca="1" si="14"/>
        <v>—</v>
      </c>
      <c r="L165" s="87"/>
    </row>
    <row r="166" spans="1:12" x14ac:dyDescent="0.25">
      <c r="A166" s="88"/>
      <c r="B166" s="25" t="str">
        <f>IF(A166="","",IFERROR(VLOOKUP(A166,DB_Customers!$A:$D,4,0),"❌ Account Not Found"))</f>
        <v/>
      </c>
      <c r="C166" s="89" t="str">
        <f>IF(A166="","",IFERROR(VLOOKUP(A166,DB_Customers!$A:$N,14,0),""))</f>
        <v/>
      </c>
      <c r="D166" s="90" t="str">
        <f t="shared" ca="1" si="12"/>
        <v/>
      </c>
      <c r="E166" s="97"/>
      <c r="F166" s="25"/>
      <c r="G166" s="99" t="str">
        <f t="shared" si="13"/>
        <v/>
      </c>
      <c r="H166" s="27"/>
      <c r="I166" s="84"/>
      <c r="J166" s="92" t="str">
        <f>IF(AND(A166&lt;&gt;"",E166&lt;&gt;""),IF(I166="","⚠️ Enter Code",IF(IFERROR(VLOOKUP(H166,DB_Agents!$B:$I,8,0),"")=I166,IF(C166&gt;=E166,"Successful","Unsuccessful"),"🔒 BLOCKED — Wrong Code")),"—")</f>
        <v>—</v>
      </c>
      <c r="K166" s="93" t="str">
        <f t="shared" ca="1" si="14"/>
        <v>—</v>
      </c>
      <c r="L166" s="94"/>
    </row>
    <row r="167" spans="1:12" x14ac:dyDescent="0.25">
      <c r="A167" s="79"/>
      <c r="B167" s="21" t="str">
        <f>IF(A167="","",IFERROR(VLOOKUP(A167,DB_Customers!$A:$D,4,0),"❌ Account Not Found"))</f>
        <v/>
      </c>
      <c r="C167" s="80" t="str">
        <f>IF(A167="","",IFERROR(VLOOKUP(A167,DB_Customers!$A:$N,14,0),""))</f>
        <v/>
      </c>
      <c r="D167" s="81" t="str">
        <f t="shared" ca="1" si="12"/>
        <v/>
      </c>
      <c r="E167" s="97"/>
      <c r="F167" s="21"/>
      <c r="G167" s="98" t="str">
        <f t="shared" si="13"/>
        <v/>
      </c>
      <c r="H167" s="23"/>
      <c r="I167" s="84"/>
      <c r="J167" s="85" t="str">
        <f>IF(AND(A167&lt;&gt;"",E167&lt;&gt;""),IF(I167="","⚠️ Enter Code",IF(IFERROR(VLOOKUP(H167,DB_Agents!$B:$I,8,0),"")=I167,IF(C167&gt;=E167,"Successful","Unsuccessful"),"🔒 BLOCKED — Wrong Code")),"—")</f>
        <v>—</v>
      </c>
      <c r="K167" s="86" t="str">
        <f t="shared" ca="1" si="14"/>
        <v>—</v>
      </c>
      <c r="L167" s="87"/>
    </row>
    <row r="168" spans="1:12" x14ac:dyDescent="0.25">
      <c r="A168" s="88"/>
      <c r="B168" s="25" t="str">
        <f>IF(A168="","",IFERROR(VLOOKUP(A168,DB_Customers!$A:$D,4,0),"❌ Account Not Found"))</f>
        <v/>
      </c>
      <c r="C168" s="89" t="str">
        <f>IF(A168="","",IFERROR(VLOOKUP(A168,DB_Customers!$A:$N,14,0),""))</f>
        <v/>
      </c>
      <c r="D168" s="90" t="str">
        <f t="shared" ca="1" si="12"/>
        <v/>
      </c>
      <c r="E168" s="97"/>
      <c r="F168" s="25"/>
      <c r="G168" s="99" t="str">
        <f t="shared" si="13"/>
        <v/>
      </c>
      <c r="H168" s="27"/>
      <c r="I168" s="84"/>
      <c r="J168" s="92" t="str">
        <f>IF(AND(A168&lt;&gt;"",E168&lt;&gt;""),IF(I168="","⚠️ Enter Code",IF(IFERROR(VLOOKUP(H168,DB_Agents!$B:$I,8,0),"")=I168,IF(C168&gt;=E168,"Successful","Unsuccessful"),"🔒 BLOCKED — Wrong Code")),"—")</f>
        <v>—</v>
      </c>
      <c r="K168" s="93" t="str">
        <f t="shared" ca="1" si="14"/>
        <v>—</v>
      </c>
      <c r="L168" s="94"/>
    </row>
    <row r="169" spans="1:12" x14ac:dyDescent="0.25">
      <c r="A169" s="79"/>
      <c r="B169" s="21" t="str">
        <f>IF(A169="","",IFERROR(VLOOKUP(A169,DB_Customers!$A:$D,4,0),"❌ Account Not Found"))</f>
        <v/>
      </c>
      <c r="C169" s="80" t="str">
        <f>IF(A169="","",IFERROR(VLOOKUP(A169,DB_Customers!$A:$N,14,0),""))</f>
        <v/>
      </c>
      <c r="D169" s="81" t="str">
        <f t="shared" ref="D169:D200" ca="1" si="15">IF(A169="","",TODAY())</f>
        <v/>
      </c>
      <c r="E169" s="97"/>
      <c r="F169" s="21"/>
      <c r="G169" s="98" t="str">
        <f t="shared" ref="G169:G200" si="16">IF(OR(A169="",E169=""),"",IF(C169="","",C169-E169))</f>
        <v/>
      </c>
      <c r="H169" s="23"/>
      <c r="I169" s="84"/>
      <c r="J169" s="85" t="str">
        <f>IF(AND(A169&lt;&gt;"",E169&lt;&gt;""),IF(I169="","⚠️ Enter Code",IF(IFERROR(VLOOKUP(H169,DB_Agents!$B:$I,8,0),"")=I169,IF(C169&gt;=E169,"Successful","Unsuccessful"),"🔒 BLOCKED — Wrong Code")),"—")</f>
        <v>—</v>
      </c>
      <c r="K169" s="86" t="str">
        <f t="shared" ref="K169:K200" ca="1" si="17">IF(J169="Successful",TEXT(TODAY(),"YYYY-MM-DD")&amp;" Auto","—")</f>
        <v>—</v>
      </c>
      <c r="L169" s="87"/>
    </row>
    <row r="170" spans="1:12" x14ac:dyDescent="0.25">
      <c r="A170" s="88"/>
      <c r="B170" s="25" t="str">
        <f>IF(A170="","",IFERROR(VLOOKUP(A170,DB_Customers!$A:$D,4,0),"❌ Account Not Found"))</f>
        <v/>
      </c>
      <c r="C170" s="89" t="str">
        <f>IF(A170="","",IFERROR(VLOOKUP(A170,DB_Customers!$A:$N,14,0),""))</f>
        <v/>
      </c>
      <c r="D170" s="90" t="str">
        <f t="shared" ca="1" si="15"/>
        <v/>
      </c>
      <c r="E170" s="97"/>
      <c r="F170" s="25"/>
      <c r="G170" s="99" t="str">
        <f t="shared" si="16"/>
        <v/>
      </c>
      <c r="H170" s="27"/>
      <c r="I170" s="84"/>
      <c r="J170" s="92" t="str">
        <f>IF(AND(A170&lt;&gt;"",E170&lt;&gt;""),IF(I170="","⚠️ Enter Code",IF(IFERROR(VLOOKUP(H170,DB_Agents!$B:$I,8,0),"")=I170,IF(C170&gt;=E170,"Successful","Unsuccessful"),"🔒 BLOCKED — Wrong Code")),"—")</f>
        <v>—</v>
      </c>
      <c r="K170" s="93" t="str">
        <f t="shared" ca="1" si="17"/>
        <v>—</v>
      </c>
      <c r="L170" s="94"/>
    </row>
    <row r="171" spans="1:12" x14ac:dyDescent="0.25">
      <c r="A171" s="79"/>
      <c r="B171" s="21" t="str">
        <f>IF(A171="","",IFERROR(VLOOKUP(A171,DB_Customers!$A:$D,4,0),"❌ Account Not Found"))</f>
        <v/>
      </c>
      <c r="C171" s="80" t="str">
        <f>IF(A171="","",IFERROR(VLOOKUP(A171,DB_Customers!$A:$N,14,0),""))</f>
        <v/>
      </c>
      <c r="D171" s="81" t="str">
        <f t="shared" ca="1" si="15"/>
        <v/>
      </c>
      <c r="E171" s="97"/>
      <c r="F171" s="21"/>
      <c r="G171" s="98" t="str">
        <f t="shared" si="16"/>
        <v/>
      </c>
      <c r="H171" s="23"/>
      <c r="I171" s="84"/>
      <c r="J171" s="85" t="str">
        <f>IF(AND(A171&lt;&gt;"",E171&lt;&gt;""),IF(I171="","⚠️ Enter Code",IF(IFERROR(VLOOKUP(H171,DB_Agents!$B:$I,8,0),"")=I171,IF(C171&gt;=E171,"Successful","Unsuccessful"),"🔒 BLOCKED — Wrong Code")),"—")</f>
        <v>—</v>
      </c>
      <c r="K171" s="86" t="str">
        <f t="shared" ca="1" si="17"/>
        <v>—</v>
      </c>
      <c r="L171" s="87"/>
    </row>
    <row r="172" spans="1:12" x14ac:dyDescent="0.25">
      <c r="A172" s="88"/>
      <c r="B172" s="25" t="str">
        <f>IF(A172="","",IFERROR(VLOOKUP(A172,DB_Customers!$A:$D,4,0),"❌ Account Not Found"))</f>
        <v/>
      </c>
      <c r="C172" s="89" t="str">
        <f>IF(A172="","",IFERROR(VLOOKUP(A172,DB_Customers!$A:$N,14,0),""))</f>
        <v/>
      </c>
      <c r="D172" s="90" t="str">
        <f t="shared" ca="1" si="15"/>
        <v/>
      </c>
      <c r="E172" s="97"/>
      <c r="F172" s="25"/>
      <c r="G172" s="99" t="str">
        <f t="shared" si="16"/>
        <v/>
      </c>
      <c r="H172" s="27"/>
      <c r="I172" s="84"/>
      <c r="J172" s="92" t="str">
        <f>IF(AND(A172&lt;&gt;"",E172&lt;&gt;""),IF(I172="","⚠️ Enter Code",IF(IFERROR(VLOOKUP(H172,DB_Agents!$B:$I,8,0),"")=I172,IF(C172&gt;=E172,"Successful","Unsuccessful"),"🔒 BLOCKED — Wrong Code")),"—")</f>
        <v>—</v>
      </c>
      <c r="K172" s="93" t="str">
        <f t="shared" ca="1" si="17"/>
        <v>—</v>
      </c>
      <c r="L172" s="94"/>
    </row>
    <row r="173" spans="1:12" x14ac:dyDescent="0.25">
      <c r="A173" s="79"/>
      <c r="B173" s="21" t="str">
        <f>IF(A173="","",IFERROR(VLOOKUP(A173,DB_Customers!$A:$D,4,0),"❌ Account Not Found"))</f>
        <v/>
      </c>
      <c r="C173" s="80" t="str">
        <f>IF(A173="","",IFERROR(VLOOKUP(A173,DB_Customers!$A:$N,14,0),""))</f>
        <v/>
      </c>
      <c r="D173" s="81" t="str">
        <f t="shared" ca="1" si="15"/>
        <v/>
      </c>
      <c r="E173" s="97"/>
      <c r="F173" s="21"/>
      <c r="G173" s="98" t="str">
        <f t="shared" si="16"/>
        <v/>
      </c>
      <c r="H173" s="23"/>
      <c r="I173" s="84"/>
      <c r="J173" s="85" t="str">
        <f>IF(AND(A173&lt;&gt;"",E173&lt;&gt;""),IF(I173="","⚠️ Enter Code",IF(IFERROR(VLOOKUP(H173,DB_Agents!$B:$I,8,0),"")=I173,IF(C173&gt;=E173,"Successful","Unsuccessful"),"🔒 BLOCKED — Wrong Code")),"—")</f>
        <v>—</v>
      </c>
      <c r="K173" s="86" t="str">
        <f t="shared" ca="1" si="17"/>
        <v>—</v>
      </c>
      <c r="L173" s="87"/>
    </row>
    <row r="174" spans="1:12" x14ac:dyDescent="0.25">
      <c r="A174" s="88"/>
      <c r="B174" s="25" t="str">
        <f>IF(A174="","",IFERROR(VLOOKUP(A174,DB_Customers!$A:$D,4,0),"❌ Account Not Found"))</f>
        <v/>
      </c>
      <c r="C174" s="89" t="str">
        <f>IF(A174="","",IFERROR(VLOOKUP(A174,DB_Customers!$A:$N,14,0),""))</f>
        <v/>
      </c>
      <c r="D174" s="90" t="str">
        <f t="shared" ca="1" si="15"/>
        <v/>
      </c>
      <c r="E174" s="97"/>
      <c r="F174" s="25"/>
      <c r="G174" s="99" t="str">
        <f t="shared" si="16"/>
        <v/>
      </c>
      <c r="H174" s="27"/>
      <c r="I174" s="84"/>
      <c r="J174" s="92" t="str">
        <f>IF(AND(A174&lt;&gt;"",E174&lt;&gt;""),IF(I174="","⚠️ Enter Code",IF(IFERROR(VLOOKUP(H174,DB_Agents!$B:$I,8,0),"")=I174,IF(C174&gt;=E174,"Successful","Unsuccessful"),"🔒 BLOCKED — Wrong Code")),"—")</f>
        <v>—</v>
      </c>
      <c r="K174" s="93" t="str">
        <f t="shared" ca="1" si="17"/>
        <v>—</v>
      </c>
      <c r="L174" s="94"/>
    </row>
    <row r="175" spans="1:12" x14ac:dyDescent="0.25">
      <c r="A175" s="79"/>
      <c r="B175" s="21" t="str">
        <f>IF(A175="","",IFERROR(VLOOKUP(A175,DB_Customers!$A:$D,4,0),"❌ Account Not Found"))</f>
        <v/>
      </c>
      <c r="C175" s="80" t="str">
        <f>IF(A175="","",IFERROR(VLOOKUP(A175,DB_Customers!$A:$N,14,0),""))</f>
        <v/>
      </c>
      <c r="D175" s="81" t="str">
        <f t="shared" ca="1" si="15"/>
        <v/>
      </c>
      <c r="E175" s="97"/>
      <c r="F175" s="21"/>
      <c r="G175" s="98" t="str">
        <f t="shared" si="16"/>
        <v/>
      </c>
      <c r="H175" s="23"/>
      <c r="I175" s="84"/>
      <c r="J175" s="85" t="str">
        <f>IF(AND(A175&lt;&gt;"",E175&lt;&gt;""),IF(I175="","⚠️ Enter Code",IF(IFERROR(VLOOKUP(H175,DB_Agents!$B:$I,8,0),"")=I175,IF(C175&gt;=E175,"Successful","Unsuccessful"),"🔒 BLOCKED — Wrong Code")),"—")</f>
        <v>—</v>
      </c>
      <c r="K175" s="86" t="str">
        <f t="shared" ca="1" si="17"/>
        <v>—</v>
      </c>
      <c r="L175" s="87"/>
    </row>
    <row r="176" spans="1:12" x14ac:dyDescent="0.25">
      <c r="A176" s="88"/>
      <c r="B176" s="25" t="str">
        <f>IF(A176="","",IFERROR(VLOOKUP(A176,DB_Customers!$A:$D,4,0),"❌ Account Not Found"))</f>
        <v/>
      </c>
      <c r="C176" s="89" t="str">
        <f>IF(A176="","",IFERROR(VLOOKUP(A176,DB_Customers!$A:$N,14,0),""))</f>
        <v/>
      </c>
      <c r="D176" s="90" t="str">
        <f t="shared" ca="1" si="15"/>
        <v/>
      </c>
      <c r="E176" s="97"/>
      <c r="F176" s="25"/>
      <c r="G176" s="99" t="str">
        <f t="shared" si="16"/>
        <v/>
      </c>
      <c r="H176" s="27"/>
      <c r="I176" s="84"/>
      <c r="J176" s="92" t="str">
        <f>IF(AND(A176&lt;&gt;"",E176&lt;&gt;""),IF(I176="","⚠️ Enter Code",IF(IFERROR(VLOOKUP(H176,DB_Agents!$B:$I,8,0),"")=I176,IF(C176&gt;=E176,"Successful","Unsuccessful"),"🔒 BLOCKED — Wrong Code")),"—")</f>
        <v>—</v>
      </c>
      <c r="K176" s="93" t="str">
        <f t="shared" ca="1" si="17"/>
        <v>—</v>
      </c>
      <c r="L176" s="94"/>
    </row>
    <row r="177" spans="1:12" x14ac:dyDescent="0.25">
      <c r="A177" s="79"/>
      <c r="B177" s="21" t="str">
        <f>IF(A177="","",IFERROR(VLOOKUP(A177,DB_Customers!$A:$D,4,0),"❌ Account Not Found"))</f>
        <v/>
      </c>
      <c r="C177" s="80" t="str">
        <f>IF(A177="","",IFERROR(VLOOKUP(A177,DB_Customers!$A:$N,14,0),""))</f>
        <v/>
      </c>
      <c r="D177" s="81" t="str">
        <f t="shared" ca="1" si="15"/>
        <v/>
      </c>
      <c r="E177" s="97"/>
      <c r="F177" s="21"/>
      <c r="G177" s="98" t="str">
        <f t="shared" si="16"/>
        <v/>
      </c>
      <c r="H177" s="23"/>
      <c r="I177" s="84"/>
      <c r="J177" s="85" t="str">
        <f>IF(AND(A177&lt;&gt;"",E177&lt;&gt;""),IF(I177="","⚠️ Enter Code",IF(IFERROR(VLOOKUP(H177,DB_Agents!$B:$I,8,0),"")=I177,IF(C177&gt;=E177,"Successful","Unsuccessful"),"🔒 BLOCKED — Wrong Code")),"—")</f>
        <v>—</v>
      </c>
      <c r="K177" s="86" t="str">
        <f t="shared" ca="1" si="17"/>
        <v>—</v>
      </c>
      <c r="L177" s="87"/>
    </row>
    <row r="178" spans="1:12" x14ac:dyDescent="0.25">
      <c r="A178" s="88"/>
      <c r="B178" s="25" t="str">
        <f>IF(A178="","",IFERROR(VLOOKUP(A178,DB_Customers!$A:$D,4,0),"❌ Account Not Found"))</f>
        <v/>
      </c>
      <c r="C178" s="89" t="str">
        <f>IF(A178="","",IFERROR(VLOOKUP(A178,DB_Customers!$A:$N,14,0),""))</f>
        <v/>
      </c>
      <c r="D178" s="90" t="str">
        <f t="shared" ca="1" si="15"/>
        <v/>
      </c>
      <c r="E178" s="97"/>
      <c r="F178" s="25"/>
      <c r="G178" s="99" t="str">
        <f t="shared" si="16"/>
        <v/>
      </c>
      <c r="H178" s="27"/>
      <c r="I178" s="84"/>
      <c r="J178" s="92" t="str">
        <f>IF(AND(A178&lt;&gt;"",E178&lt;&gt;""),IF(I178="","⚠️ Enter Code",IF(IFERROR(VLOOKUP(H178,DB_Agents!$B:$I,8,0),"")=I178,IF(C178&gt;=E178,"Successful","Unsuccessful"),"🔒 BLOCKED — Wrong Code")),"—")</f>
        <v>—</v>
      </c>
      <c r="K178" s="93" t="str">
        <f t="shared" ca="1" si="17"/>
        <v>—</v>
      </c>
      <c r="L178" s="94"/>
    </row>
    <row r="179" spans="1:12" x14ac:dyDescent="0.25">
      <c r="A179" s="79"/>
      <c r="B179" s="21" t="str">
        <f>IF(A179="","",IFERROR(VLOOKUP(A179,DB_Customers!$A:$D,4,0),"❌ Account Not Found"))</f>
        <v/>
      </c>
      <c r="C179" s="80" t="str">
        <f>IF(A179="","",IFERROR(VLOOKUP(A179,DB_Customers!$A:$N,14,0),""))</f>
        <v/>
      </c>
      <c r="D179" s="81" t="str">
        <f t="shared" ca="1" si="15"/>
        <v/>
      </c>
      <c r="E179" s="97"/>
      <c r="F179" s="21"/>
      <c r="G179" s="98" t="str">
        <f t="shared" si="16"/>
        <v/>
      </c>
      <c r="H179" s="23"/>
      <c r="I179" s="84"/>
      <c r="J179" s="85" t="str">
        <f>IF(AND(A179&lt;&gt;"",E179&lt;&gt;""),IF(I179="","⚠️ Enter Code",IF(IFERROR(VLOOKUP(H179,DB_Agents!$B:$I,8,0),"")=I179,IF(C179&gt;=E179,"Successful","Unsuccessful"),"🔒 BLOCKED — Wrong Code")),"—")</f>
        <v>—</v>
      </c>
      <c r="K179" s="86" t="str">
        <f t="shared" ca="1" si="17"/>
        <v>—</v>
      </c>
      <c r="L179" s="87"/>
    </row>
    <row r="180" spans="1:12" x14ac:dyDescent="0.25">
      <c r="A180" s="88"/>
      <c r="B180" s="25" t="str">
        <f>IF(A180="","",IFERROR(VLOOKUP(A180,DB_Customers!$A:$D,4,0),"❌ Account Not Found"))</f>
        <v/>
      </c>
      <c r="C180" s="89" t="str">
        <f>IF(A180="","",IFERROR(VLOOKUP(A180,DB_Customers!$A:$N,14,0),""))</f>
        <v/>
      </c>
      <c r="D180" s="90" t="str">
        <f t="shared" ca="1" si="15"/>
        <v/>
      </c>
      <c r="E180" s="97"/>
      <c r="F180" s="25"/>
      <c r="G180" s="99" t="str">
        <f t="shared" si="16"/>
        <v/>
      </c>
      <c r="H180" s="27"/>
      <c r="I180" s="84"/>
      <c r="J180" s="92" t="str">
        <f>IF(AND(A180&lt;&gt;"",E180&lt;&gt;""),IF(I180="","⚠️ Enter Code",IF(IFERROR(VLOOKUP(H180,DB_Agents!$B:$I,8,0),"")=I180,IF(C180&gt;=E180,"Successful","Unsuccessful"),"🔒 BLOCKED — Wrong Code")),"—")</f>
        <v>—</v>
      </c>
      <c r="K180" s="93" t="str">
        <f t="shared" ca="1" si="17"/>
        <v>—</v>
      </c>
      <c r="L180" s="94"/>
    </row>
    <row r="181" spans="1:12" x14ac:dyDescent="0.25">
      <c r="A181" s="79"/>
      <c r="B181" s="21" t="str">
        <f>IF(A181="","",IFERROR(VLOOKUP(A181,DB_Customers!$A:$D,4,0),"❌ Account Not Found"))</f>
        <v/>
      </c>
      <c r="C181" s="80" t="str">
        <f>IF(A181="","",IFERROR(VLOOKUP(A181,DB_Customers!$A:$N,14,0),""))</f>
        <v/>
      </c>
      <c r="D181" s="81" t="str">
        <f t="shared" ca="1" si="15"/>
        <v/>
      </c>
      <c r="E181" s="97"/>
      <c r="F181" s="21"/>
      <c r="G181" s="98" t="str">
        <f t="shared" si="16"/>
        <v/>
      </c>
      <c r="H181" s="23"/>
      <c r="I181" s="84"/>
      <c r="J181" s="85" t="str">
        <f>IF(AND(A181&lt;&gt;"",E181&lt;&gt;""),IF(I181="","⚠️ Enter Code",IF(IFERROR(VLOOKUP(H181,DB_Agents!$B:$I,8,0),"")=I181,IF(C181&gt;=E181,"Successful","Unsuccessful"),"🔒 BLOCKED — Wrong Code")),"—")</f>
        <v>—</v>
      </c>
      <c r="K181" s="86" t="str">
        <f t="shared" ca="1" si="17"/>
        <v>—</v>
      </c>
      <c r="L181" s="87"/>
    </row>
    <row r="182" spans="1:12" x14ac:dyDescent="0.25">
      <c r="A182" s="88"/>
      <c r="B182" s="25" t="str">
        <f>IF(A182="","",IFERROR(VLOOKUP(A182,DB_Customers!$A:$D,4,0),"❌ Account Not Found"))</f>
        <v/>
      </c>
      <c r="C182" s="89" t="str">
        <f>IF(A182="","",IFERROR(VLOOKUP(A182,DB_Customers!$A:$N,14,0),""))</f>
        <v/>
      </c>
      <c r="D182" s="90" t="str">
        <f t="shared" ca="1" si="15"/>
        <v/>
      </c>
      <c r="E182" s="97"/>
      <c r="F182" s="25"/>
      <c r="G182" s="99" t="str">
        <f t="shared" si="16"/>
        <v/>
      </c>
      <c r="H182" s="27"/>
      <c r="I182" s="84"/>
      <c r="J182" s="92" t="str">
        <f>IF(AND(A182&lt;&gt;"",E182&lt;&gt;""),IF(I182="","⚠️ Enter Code",IF(IFERROR(VLOOKUP(H182,DB_Agents!$B:$I,8,0),"")=I182,IF(C182&gt;=E182,"Successful","Unsuccessful"),"🔒 BLOCKED — Wrong Code")),"—")</f>
        <v>—</v>
      </c>
      <c r="K182" s="93" t="str">
        <f t="shared" ca="1" si="17"/>
        <v>—</v>
      </c>
      <c r="L182" s="94"/>
    </row>
    <row r="183" spans="1:12" x14ac:dyDescent="0.25">
      <c r="A183" s="79"/>
      <c r="B183" s="21" t="str">
        <f>IF(A183="","",IFERROR(VLOOKUP(A183,DB_Customers!$A:$D,4,0),"❌ Account Not Found"))</f>
        <v/>
      </c>
      <c r="C183" s="80" t="str">
        <f>IF(A183="","",IFERROR(VLOOKUP(A183,DB_Customers!$A:$N,14,0),""))</f>
        <v/>
      </c>
      <c r="D183" s="81" t="str">
        <f t="shared" ca="1" si="15"/>
        <v/>
      </c>
      <c r="E183" s="97"/>
      <c r="F183" s="21"/>
      <c r="G183" s="98" t="str">
        <f t="shared" si="16"/>
        <v/>
      </c>
      <c r="H183" s="23"/>
      <c r="I183" s="84"/>
      <c r="J183" s="85" t="str">
        <f>IF(AND(A183&lt;&gt;"",E183&lt;&gt;""),IF(I183="","⚠️ Enter Code",IF(IFERROR(VLOOKUP(H183,DB_Agents!$B:$I,8,0),"")=I183,IF(C183&gt;=E183,"Successful","Unsuccessful"),"🔒 BLOCKED — Wrong Code")),"—")</f>
        <v>—</v>
      </c>
      <c r="K183" s="86" t="str">
        <f t="shared" ca="1" si="17"/>
        <v>—</v>
      </c>
      <c r="L183" s="87"/>
    </row>
    <row r="184" spans="1:12" x14ac:dyDescent="0.25">
      <c r="A184" s="88"/>
      <c r="B184" s="25" t="str">
        <f>IF(A184="","",IFERROR(VLOOKUP(A184,DB_Customers!$A:$D,4,0),"❌ Account Not Found"))</f>
        <v/>
      </c>
      <c r="C184" s="89" t="str">
        <f>IF(A184="","",IFERROR(VLOOKUP(A184,DB_Customers!$A:$N,14,0),""))</f>
        <v/>
      </c>
      <c r="D184" s="90" t="str">
        <f t="shared" ca="1" si="15"/>
        <v/>
      </c>
      <c r="E184" s="97"/>
      <c r="F184" s="25"/>
      <c r="G184" s="99" t="str">
        <f t="shared" si="16"/>
        <v/>
      </c>
      <c r="H184" s="27"/>
      <c r="I184" s="84"/>
      <c r="J184" s="92" t="str">
        <f>IF(AND(A184&lt;&gt;"",E184&lt;&gt;""),IF(I184="","⚠️ Enter Code",IF(IFERROR(VLOOKUP(H184,DB_Agents!$B:$I,8,0),"")=I184,IF(C184&gt;=E184,"Successful","Unsuccessful"),"🔒 BLOCKED — Wrong Code")),"—")</f>
        <v>—</v>
      </c>
      <c r="K184" s="93" t="str">
        <f t="shared" ca="1" si="17"/>
        <v>—</v>
      </c>
      <c r="L184" s="94"/>
    </row>
    <row r="185" spans="1:12" x14ac:dyDescent="0.25">
      <c r="A185" s="79"/>
      <c r="B185" s="21" t="str">
        <f>IF(A185="","",IFERROR(VLOOKUP(A185,DB_Customers!$A:$D,4,0),"❌ Account Not Found"))</f>
        <v/>
      </c>
      <c r="C185" s="80" t="str">
        <f>IF(A185="","",IFERROR(VLOOKUP(A185,DB_Customers!$A:$N,14,0),""))</f>
        <v/>
      </c>
      <c r="D185" s="81" t="str">
        <f t="shared" ca="1" si="15"/>
        <v/>
      </c>
      <c r="E185" s="97"/>
      <c r="F185" s="21"/>
      <c r="G185" s="98" t="str">
        <f t="shared" si="16"/>
        <v/>
      </c>
      <c r="H185" s="23"/>
      <c r="I185" s="84"/>
      <c r="J185" s="85" t="str">
        <f>IF(AND(A185&lt;&gt;"",E185&lt;&gt;""),IF(I185="","⚠️ Enter Code",IF(IFERROR(VLOOKUP(H185,DB_Agents!$B:$I,8,0),"")=I185,IF(C185&gt;=E185,"Successful","Unsuccessful"),"🔒 BLOCKED — Wrong Code")),"—")</f>
        <v>—</v>
      </c>
      <c r="K185" s="86" t="str">
        <f t="shared" ca="1" si="17"/>
        <v>—</v>
      </c>
      <c r="L185" s="87"/>
    </row>
    <row r="186" spans="1:12" x14ac:dyDescent="0.25">
      <c r="A186" s="88"/>
      <c r="B186" s="25" t="str">
        <f>IF(A186="","",IFERROR(VLOOKUP(A186,DB_Customers!$A:$D,4,0),"❌ Account Not Found"))</f>
        <v/>
      </c>
      <c r="C186" s="89" t="str">
        <f>IF(A186="","",IFERROR(VLOOKUP(A186,DB_Customers!$A:$N,14,0),""))</f>
        <v/>
      </c>
      <c r="D186" s="90" t="str">
        <f t="shared" ca="1" si="15"/>
        <v/>
      </c>
      <c r="E186" s="97"/>
      <c r="F186" s="25"/>
      <c r="G186" s="99" t="str">
        <f t="shared" si="16"/>
        <v/>
      </c>
      <c r="H186" s="27"/>
      <c r="I186" s="84"/>
      <c r="J186" s="92" t="str">
        <f>IF(AND(A186&lt;&gt;"",E186&lt;&gt;""),IF(I186="","⚠️ Enter Code",IF(IFERROR(VLOOKUP(H186,DB_Agents!$B:$I,8,0),"")=I186,IF(C186&gt;=E186,"Successful","Unsuccessful"),"🔒 BLOCKED — Wrong Code")),"—")</f>
        <v>—</v>
      </c>
      <c r="K186" s="93" t="str">
        <f t="shared" ca="1" si="17"/>
        <v>—</v>
      </c>
      <c r="L186" s="94"/>
    </row>
    <row r="187" spans="1:12" x14ac:dyDescent="0.25">
      <c r="A187" s="79"/>
      <c r="B187" s="21" t="str">
        <f>IF(A187="","",IFERROR(VLOOKUP(A187,DB_Customers!$A:$D,4,0),"❌ Account Not Found"))</f>
        <v/>
      </c>
      <c r="C187" s="80" t="str">
        <f>IF(A187="","",IFERROR(VLOOKUP(A187,DB_Customers!$A:$N,14,0),""))</f>
        <v/>
      </c>
      <c r="D187" s="81" t="str">
        <f t="shared" ca="1" si="15"/>
        <v/>
      </c>
      <c r="E187" s="97"/>
      <c r="F187" s="21"/>
      <c r="G187" s="98" t="str">
        <f t="shared" si="16"/>
        <v/>
      </c>
      <c r="H187" s="23"/>
      <c r="I187" s="84"/>
      <c r="J187" s="85" t="str">
        <f>IF(AND(A187&lt;&gt;"",E187&lt;&gt;""),IF(I187="","⚠️ Enter Code",IF(IFERROR(VLOOKUP(H187,DB_Agents!$B:$I,8,0),"")=I187,IF(C187&gt;=E187,"Successful","Unsuccessful"),"🔒 BLOCKED — Wrong Code")),"—")</f>
        <v>—</v>
      </c>
      <c r="K187" s="86" t="str">
        <f t="shared" ca="1" si="17"/>
        <v>—</v>
      </c>
      <c r="L187" s="87"/>
    </row>
    <row r="188" spans="1:12" x14ac:dyDescent="0.25">
      <c r="A188" s="88"/>
      <c r="B188" s="25" t="str">
        <f>IF(A188="","",IFERROR(VLOOKUP(A188,DB_Customers!$A:$D,4,0),"❌ Account Not Found"))</f>
        <v/>
      </c>
      <c r="C188" s="89" t="str">
        <f>IF(A188="","",IFERROR(VLOOKUP(A188,DB_Customers!$A:$N,14,0),""))</f>
        <v/>
      </c>
      <c r="D188" s="90" t="str">
        <f t="shared" ca="1" si="15"/>
        <v/>
      </c>
      <c r="E188" s="97"/>
      <c r="F188" s="25"/>
      <c r="G188" s="99" t="str">
        <f t="shared" si="16"/>
        <v/>
      </c>
      <c r="H188" s="27"/>
      <c r="I188" s="84"/>
      <c r="J188" s="92" t="str">
        <f>IF(AND(A188&lt;&gt;"",E188&lt;&gt;""),IF(I188="","⚠️ Enter Code",IF(IFERROR(VLOOKUP(H188,DB_Agents!$B:$I,8,0),"")=I188,IF(C188&gt;=E188,"Successful","Unsuccessful"),"🔒 BLOCKED — Wrong Code")),"—")</f>
        <v>—</v>
      </c>
      <c r="K188" s="93" t="str">
        <f t="shared" ca="1" si="17"/>
        <v>—</v>
      </c>
      <c r="L188" s="94"/>
    </row>
    <row r="189" spans="1:12" x14ac:dyDescent="0.25">
      <c r="A189" s="79"/>
      <c r="B189" s="21" t="str">
        <f>IF(A189="","",IFERROR(VLOOKUP(A189,DB_Customers!$A:$D,4,0),"❌ Account Not Found"))</f>
        <v/>
      </c>
      <c r="C189" s="80" t="str">
        <f>IF(A189="","",IFERROR(VLOOKUP(A189,DB_Customers!$A:$N,14,0),""))</f>
        <v/>
      </c>
      <c r="D189" s="81" t="str">
        <f t="shared" ca="1" si="15"/>
        <v/>
      </c>
      <c r="E189" s="97"/>
      <c r="F189" s="21"/>
      <c r="G189" s="98" t="str">
        <f t="shared" si="16"/>
        <v/>
      </c>
      <c r="H189" s="23"/>
      <c r="I189" s="84"/>
      <c r="J189" s="85" t="str">
        <f>IF(AND(A189&lt;&gt;"",E189&lt;&gt;""),IF(I189="","⚠️ Enter Code",IF(IFERROR(VLOOKUP(H189,DB_Agents!$B:$I,8,0),"")=I189,IF(C189&gt;=E189,"Successful","Unsuccessful"),"🔒 BLOCKED — Wrong Code")),"—")</f>
        <v>—</v>
      </c>
      <c r="K189" s="86" t="str">
        <f t="shared" ca="1" si="17"/>
        <v>—</v>
      </c>
      <c r="L189" s="87"/>
    </row>
    <row r="190" spans="1:12" x14ac:dyDescent="0.25">
      <c r="A190" s="88"/>
      <c r="B190" s="25" t="str">
        <f>IF(A190="","",IFERROR(VLOOKUP(A190,DB_Customers!$A:$D,4,0),"❌ Account Not Found"))</f>
        <v/>
      </c>
      <c r="C190" s="89" t="str">
        <f>IF(A190="","",IFERROR(VLOOKUP(A190,DB_Customers!$A:$N,14,0),""))</f>
        <v/>
      </c>
      <c r="D190" s="90" t="str">
        <f t="shared" ca="1" si="15"/>
        <v/>
      </c>
      <c r="E190" s="97"/>
      <c r="F190" s="25"/>
      <c r="G190" s="99" t="str">
        <f t="shared" si="16"/>
        <v/>
      </c>
      <c r="H190" s="27"/>
      <c r="I190" s="84"/>
      <c r="J190" s="92" t="str">
        <f>IF(AND(A190&lt;&gt;"",E190&lt;&gt;""),IF(I190="","⚠️ Enter Code",IF(IFERROR(VLOOKUP(H190,DB_Agents!$B:$I,8,0),"")=I190,IF(C190&gt;=E190,"Successful","Unsuccessful"),"🔒 BLOCKED — Wrong Code")),"—")</f>
        <v>—</v>
      </c>
      <c r="K190" s="93" t="str">
        <f t="shared" ca="1" si="17"/>
        <v>—</v>
      </c>
      <c r="L190" s="94"/>
    </row>
    <row r="191" spans="1:12" x14ac:dyDescent="0.25">
      <c r="A191" s="79"/>
      <c r="B191" s="21" t="str">
        <f>IF(A191="","",IFERROR(VLOOKUP(A191,DB_Customers!$A:$D,4,0),"❌ Account Not Found"))</f>
        <v/>
      </c>
      <c r="C191" s="80" t="str">
        <f>IF(A191="","",IFERROR(VLOOKUP(A191,DB_Customers!$A:$N,14,0),""))</f>
        <v/>
      </c>
      <c r="D191" s="81" t="str">
        <f t="shared" ca="1" si="15"/>
        <v/>
      </c>
      <c r="E191" s="97"/>
      <c r="F191" s="21"/>
      <c r="G191" s="98" t="str">
        <f t="shared" si="16"/>
        <v/>
      </c>
      <c r="H191" s="23"/>
      <c r="I191" s="84"/>
      <c r="J191" s="85" t="str">
        <f>IF(AND(A191&lt;&gt;"",E191&lt;&gt;""),IF(I191="","⚠️ Enter Code",IF(IFERROR(VLOOKUP(H191,DB_Agents!$B:$I,8,0),"")=I191,IF(C191&gt;=E191,"Successful","Unsuccessful"),"🔒 BLOCKED — Wrong Code")),"—")</f>
        <v>—</v>
      </c>
      <c r="K191" s="86" t="str">
        <f t="shared" ca="1" si="17"/>
        <v>—</v>
      </c>
      <c r="L191" s="87"/>
    </row>
    <row r="192" spans="1:12" x14ac:dyDescent="0.25">
      <c r="A192" s="88"/>
      <c r="B192" s="25" t="str">
        <f>IF(A192="","",IFERROR(VLOOKUP(A192,DB_Customers!$A:$D,4,0),"❌ Account Not Found"))</f>
        <v/>
      </c>
      <c r="C192" s="89" t="str">
        <f>IF(A192="","",IFERROR(VLOOKUP(A192,DB_Customers!$A:$N,14,0),""))</f>
        <v/>
      </c>
      <c r="D192" s="90" t="str">
        <f t="shared" ca="1" si="15"/>
        <v/>
      </c>
      <c r="E192" s="97"/>
      <c r="F192" s="25"/>
      <c r="G192" s="99" t="str">
        <f t="shared" si="16"/>
        <v/>
      </c>
      <c r="H192" s="27"/>
      <c r="I192" s="84"/>
      <c r="J192" s="92" t="str">
        <f>IF(AND(A192&lt;&gt;"",E192&lt;&gt;""),IF(I192="","⚠️ Enter Code",IF(IFERROR(VLOOKUP(H192,DB_Agents!$B:$I,8,0),"")=I192,IF(C192&gt;=E192,"Successful","Unsuccessful"),"🔒 BLOCKED — Wrong Code")),"—")</f>
        <v>—</v>
      </c>
      <c r="K192" s="93" t="str">
        <f t="shared" ca="1" si="17"/>
        <v>—</v>
      </c>
      <c r="L192" s="94"/>
    </row>
    <row r="193" spans="1:12" x14ac:dyDescent="0.25">
      <c r="A193" s="79"/>
      <c r="B193" s="21" t="str">
        <f>IF(A193="","",IFERROR(VLOOKUP(A193,DB_Customers!$A:$D,4,0),"❌ Account Not Found"))</f>
        <v/>
      </c>
      <c r="C193" s="80" t="str">
        <f>IF(A193="","",IFERROR(VLOOKUP(A193,DB_Customers!$A:$N,14,0),""))</f>
        <v/>
      </c>
      <c r="D193" s="81" t="str">
        <f t="shared" ca="1" si="15"/>
        <v/>
      </c>
      <c r="E193" s="97"/>
      <c r="F193" s="21"/>
      <c r="G193" s="98" t="str">
        <f t="shared" si="16"/>
        <v/>
      </c>
      <c r="H193" s="23"/>
      <c r="I193" s="84"/>
      <c r="J193" s="85" t="str">
        <f>IF(AND(A193&lt;&gt;"",E193&lt;&gt;""),IF(I193="","⚠️ Enter Code",IF(IFERROR(VLOOKUP(H193,DB_Agents!$B:$I,8,0),"")=I193,IF(C193&gt;=E193,"Successful","Unsuccessful"),"🔒 BLOCKED — Wrong Code")),"—")</f>
        <v>—</v>
      </c>
      <c r="K193" s="86" t="str">
        <f t="shared" ca="1" si="17"/>
        <v>—</v>
      </c>
      <c r="L193" s="87"/>
    </row>
    <row r="194" spans="1:12" x14ac:dyDescent="0.25">
      <c r="A194" s="88"/>
      <c r="B194" s="25" t="str">
        <f>IF(A194="","",IFERROR(VLOOKUP(A194,DB_Customers!$A:$D,4,0),"❌ Account Not Found"))</f>
        <v/>
      </c>
      <c r="C194" s="89" t="str">
        <f>IF(A194="","",IFERROR(VLOOKUP(A194,DB_Customers!$A:$N,14,0),""))</f>
        <v/>
      </c>
      <c r="D194" s="90" t="str">
        <f t="shared" ca="1" si="15"/>
        <v/>
      </c>
      <c r="E194" s="97"/>
      <c r="F194" s="25"/>
      <c r="G194" s="99" t="str">
        <f t="shared" si="16"/>
        <v/>
      </c>
      <c r="H194" s="27"/>
      <c r="I194" s="84"/>
      <c r="J194" s="92" t="str">
        <f>IF(AND(A194&lt;&gt;"",E194&lt;&gt;""),IF(I194="","⚠️ Enter Code",IF(IFERROR(VLOOKUP(H194,DB_Agents!$B:$I,8,0),"")=I194,IF(C194&gt;=E194,"Successful","Unsuccessful"),"🔒 BLOCKED — Wrong Code")),"—")</f>
        <v>—</v>
      </c>
      <c r="K194" s="93" t="str">
        <f t="shared" ca="1" si="17"/>
        <v>—</v>
      </c>
      <c r="L194" s="94"/>
    </row>
    <row r="195" spans="1:12" x14ac:dyDescent="0.25">
      <c r="A195" s="79"/>
      <c r="B195" s="21" t="str">
        <f>IF(A195="","",IFERROR(VLOOKUP(A195,DB_Customers!$A:$D,4,0),"❌ Account Not Found"))</f>
        <v/>
      </c>
      <c r="C195" s="80" t="str">
        <f>IF(A195="","",IFERROR(VLOOKUP(A195,DB_Customers!$A:$N,14,0),""))</f>
        <v/>
      </c>
      <c r="D195" s="81" t="str">
        <f t="shared" ca="1" si="15"/>
        <v/>
      </c>
      <c r="E195" s="97"/>
      <c r="F195" s="21"/>
      <c r="G195" s="98" t="str">
        <f t="shared" si="16"/>
        <v/>
      </c>
      <c r="H195" s="23"/>
      <c r="I195" s="84"/>
      <c r="J195" s="85" t="str">
        <f>IF(AND(A195&lt;&gt;"",E195&lt;&gt;""),IF(I195="","⚠️ Enter Code",IF(IFERROR(VLOOKUP(H195,DB_Agents!$B:$I,8,0),"")=I195,IF(C195&gt;=E195,"Successful","Unsuccessful"),"🔒 BLOCKED — Wrong Code")),"—")</f>
        <v>—</v>
      </c>
      <c r="K195" s="86" t="str">
        <f t="shared" ca="1" si="17"/>
        <v>—</v>
      </c>
      <c r="L195" s="87"/>
    </row>
    <row r="196" spans="1:12" x14ac:dyDescent="0.25">
      <c r="A196" s="88"/>
      <c r="B196" s="25" t="str">
        <f>IF(A196="","",IFERROR(VLOOKUP(A196,DB_Customers!$A:$D,4,0),"❌ Account Not Found"))</f>
        <v/>
      </c>
      <c r="C196" s="89" t="str">
        <f>IF(A196="","",IFERROR(VLOOKUP(A196,DB_Customers!$A:$N,14,0),""))</f>
        <v/>
      </c>
      <c r="D196" s="90" t="str">
        <f t="shared" ca="1" si="15"/>
        <v/>
      </c>
      <c r="E196" s="97"/>
      <c r="F196" s="25"/>
      <c r="G196" s="99" t="str">
        <f t="shared" si="16"/>
        <v/>
      </c>
      <c r="H196" s="27"/>
      <c r="I196" s="84"/>
      <c r="J196" s="92" t="str">
        <f>IF(AND(A196&lt;&gt;"",E196&lt;&gt;""),IF(I196="","⚠️ Enter Code",IF(IFERROR(VLOOKUP(H196,DB_Agents!$B:$I,8,0),"")=I196,IF(C196&gt;=E196,"Successful","Unsuccessful"),"🔒 BLOCKED — Wrong Code")),"—")</f>
        <v>—</v>
      </c>
      <c r="K196" s="93" t="str">
        <f t="shared" ca="1" si="17"/>
        <v>—</v>
      </c>
      <c r="L196" s="94"/>
    </row>
    <row r="197" spans="1:12" x14ac:dyDescent="0.25">
      <c r="A197" s="79"/>
      <c r="B197" s="21" t="str">
        <f>IF(A197="","",IFERROR(VLOOKUP(A197,DB_Customers!$A:$D,4,0),"❌ Account Not Found"))</f>
        <v/>
      </c>
      <c r="C197" s="80" t="str">
        <f>IF(A197="","",IFERROR(VLOOKUP(A197,DB_Customers!$A:$N,14,0),""))</f>
        <v/>
      </c>
      <c r="D197" s="81" t="str">
        <f t="shared" ca="1" si="15"/>
        <v/>
      </c>
      <c r="E197" s="97"/>
      <c r="F197" s="21"/>
      <c r="G197" s="98" t="str">
        <f t="shared" si="16"/>
        <v/>
      </c>
      <c r="H197" s="23"/>
      <c r="I197" s="84"/>
      <c r="J197" s="85" t="str">
        <f>IF(AND(A197&lt;&gt;"",E197&lt;&gt;""),IF(I197="","⚠️ Enter Code",IF(IFERROR(VLOOKUP(H197,DB_Agents!$B:$I,8,0),"")=I197,IF(C197&gt;=E197,"Successful","Unsuccessful"),"🔒 BLOCKED — Wrong Code")),"—")</f>
        <v>—</v>
      </c>
      <c r="K197" s="86" t="str">
        <f t="shared" ca="1" si="17"/>
        <v>—</v>
      </c>
      <c r="L197" s="87"/>
    </row>
    <row r="198" spans="1:12" x14ac:dyDescent="0.25">
      <c r="A198" s="88"/>
      <c r="B198" s="25" t="str">
        <f>IF(A198="","",IFERROR(VLOOKUP(A198,DB_Customers!$A:$D,4,0),"❌ Account Not Found"))</f>
        <v/>
      </c>
      <c r="C198" s="89" t="str">
        <f>IF(A198="","",IFERROR(VLOOKUP(A198,DB_Customers!$A:$N,14,0),""))</f>
        <v/>
      </c>
      <c r="D198" s="90" t="str">
        <f t="shared" ca="1" si="15"/>
        <v/>
      </c>
      <c r="E198" s="97"/>
      <c r="F198" s="25"/>
      <c r="G198" s="99" t="str">
        <f t="shared" si="16"/>
        <v/>
      </c>
      <c r="H198" s="27"/>
      <c r="I198" s="84"/>
      <c r="J198" s="92" t="str">
        <f>IF(AND(A198&lt;&gt;"",E198&lt;&gt;""),IF(I198="","⚠️ Enter Code",IF(IFERROR(VLOOKUP(H198,DB_Agents!$B:$I,8,0),"")=I198,IF(C198&gt;=E198,"Successful","Unsuccessful"),"🔒 BLOCKED — Wrong Code")),"—")</f>
        <v>—</v>
      </c>
      <c r="K198" s="93" t="str">
        <f t="shared" ca="1" si="17"/>
        <v>—</v>
      </c>
      <c r="L198" s="94"/>
    </row>
    <row r="199" spans="1:12" x14ac:dyDescent="0.25">
      <c r="A199" s="79"/>
      <c r="B199" s="21" t="str">
        <f>IF(A199="","",IFERROR(VLOOKUP(A199,DB_Customers!$A:$D,4,0),"❌ Account Not Found"))</f>
        <v/>
      </c>
      <c r="C199" s="80" t="str">
        <f>IF(A199="","",IFERROR(VLOOKUP(A199,DB_Customers!$A:$N,14,0),""))</f>
        <v/>
      </c>
      <c r="D199" s="81" t="str">
        <f t="shared" ca="1" si="15"/>
        <v/>
      </c>
      <c r="E199" s="97"/>
      <c r="F199" s="21"/>
      <c r="G199" s="98" t="str">
        <f t="shared" si="16"/>
        <v/>
      </c>
      <c r="H199" s="23"/>
      <c r="I199" s="84"/>
      <c r="J199" s="85" t="str">
        <f>IF(AND(A199&lt;&gt;"",E199&lt;&gt;""),IF(I199="","⚠️ Enter Code",IF(IFERROR(VLOOKUP(H199,DB_Agents!$B:$I,8,0),"")=I199,IF(C199&gt;=E199,"Successful","Unsuccessful"),"🔒 BLOCKED — Wrong Code")),"—")</f>
        <v>—</v>
      </c>
      <c r="K199" s="86" t="str">
        <f t="shared" ca="1" si="17"/>
        <v>—</v>
      </c>
      <c r="L199" s="87"/>
    </row>
    <row r="200" spans="1:12" x14ac:dyDescent="0.25">
      <c r="A200" s="88"/>
      <c r="B200" s="25" t="str">
        <f>IF(A200="","",IFERROR(VLOOKUP(A200,DB_Customers!$A:$D,4,0),"❌ Account Not Found"))</f>
        <v/>
      </c>
      <c r="C200" s="89" t="str">
        <f>IF(A200="","",IFERROR(VLOOKUP(A200,DB_Customers!$A:$N,14,0),""))</f>
        <v/>
      </c>
      <c r="D200" s="90" t="str">
        <f t="shared" ca="1" si="15"/>
        <v/>
      </c>
      <c r="E200" s="97"/>
      <c r="F200" s="25"/>
      <c r="G200" s="99" t="str">
        <f t="shared" si="16"/>
        <v/>
      </c>
      <c r="H200" s="27"/>
      <c r="I200" s="84"/>
      <c r="J200" s="92" t="str">
        <f>IF(AND(A200&lt;&gt;"",E200&lt;&gt;""),IF(I200="","⚠️ Enter Code",IF(IFERROR(VLOOKUP(H200,DB_Agents!$B:$I,8,0),"")=I200,IF(C200&gt;=E200,"Successful","Unsuccessful"),"🔒 BLOCKED — Wrong Code")),"—")</f>
        <v>—</v>
      </c>
      <c r="K200" s="93" t="str">
        <f t="shared" ca="1" si="17"/>
        <v>—</v>
      </c>
      <c r="L200" s="94"/>
    </row>
    <row r="201" spans="1:12" x14ac:dyDescent="0.25">
      <c r="A201" s="79"/>
      <c r="B201" s="21" t="str">
        <f>IF(A201="","",IFERROR(VLOOKUP(A201,DB_Customers!$A:$D,4,0),"❌ Account Not Found"))</f>
        <v/>
      </c>
      <c r="C201" s="80" t="str">
        <f>IF(A201="","",IFERROR(VLOOKUP(A201,DB_Customers!$A:$N,14,0),""))</f>
        <v/>
      </c>
      <c r="D201" s="81" t="str">
        <f t="shared" ref="D201:D208" ca="1" si="18">IF(A201="","",TODAY())</f>
        <v/>
      </c>
      <c r="E201" s="97"/>
      <c r="F201" s="21"/>
      <c r="G201" s="98" t="str">
        <f t="shared" ref="G201:G208" si="19">IF(OR(A201="",E201=""),"",IF(C201="","",C201-E201))</f>
        <v/>
      </c>
      <c r="H201" s="23"/>
      <c r="I201" s="84"/>
      <c r="J201" s="85" t="str">
        <f>IF(AND(A201&lt;&gt;"",E201&lt;&gt;""),IF(I201="","⚠️ Enter Code",IF(IFERROR(VLOOKUP(H201,DB_Agents!$B:$I,8,0),"")=I201,IF(C201&gt;=E201,"Successful","Unsuccessful"),"🔒 BLOCKED — Wrong Code")),"—")</f>
        <v>—</v>
      </c>
      <c r="K201" s="86" t="str">
        <f t="shared" ref="K201:K232" ca="1" si="20">IF(J201="Successful",TEXT(TODAY(),"YYYY-MM-DD")&amp;" Auto","—")</f>
        <v>—</v>
      </c>
      <c r="L201" s="87"/>
    </row>
    <row r="202" spans="1:12" x14ac:dyDescent="0.25">
      <c r="A202" s="88"/>
      <c r="B202" s="25" t="str">
        <f>IF(A202="","",IFERROR(VLOOKUP(A202,DB_Customers!$A:$D,4,0),"❌ Account Not Found"))</f>
        <v/>
      </c>
      <c r="C202" s="89" t="str">
        <f>IF(A202="","",IFERROR(VLOOKUP(A202,DB_Customers!$A:$N,14,0),""))</f>
        <v/>
      </c>
      <c r="D202" s="90" t="str">
        <f t="shared" ca="1" si="18"/>
        <v/>
      </c>
      <c r="E202" s="97"/>
      <c r="F202" s="25"/>
      <c r="G202" s="99" t="str">
        <f t="shared" si="19"/>
        <v/>
      </c>
      <c r="H202" s="27"/>
      <c r="I202" s="84"/>
      <c r="J202" s="92" t="str">
        <f>IF(AND(A202&lt;&gt;"",E202&lt;&gt;""),IF(I202="","⚠️ Enter Code",IF(IFERROR(VLOOKUP(H202,DB_Agents!$B:$I,8,0),"")=I202,IF(C202&gt;=E202,"Successful","Unsuccessful"),"🔒 BLOCKED — Wrong Code")),"—")</f>
        <v>—</v>
      </c>
      <c r="K202" s="93" t="str">
        <f t="shared" ca="1" si="20"/>
        <v>—</v>
      </c>
      <c r="L202" s="94"/>
    </row>
    <row r="203" spans="1:12" x14ac:dyDescent="0.25">
      <c r="A203" s="79"/>
      <c r="B203" s="21" t="str">
        <f>IF(A203="","",IFERROR(VLOOKUP(A203,DB_Customers!$A:$D,4,0),"❌ Account Not Found"))</f>
        <v/>
      </c>
      <c r="C203" s="80" t="str">
        <f>IF(A203="","",IFERROR(VLOOKUP(A203,DB_Customers!$A:$N,14,0),""))</f>
        <v/>
      </c>
      <c r="D203" s="81" t="str">
        <f t="shared" ca="1" si="18"/>
        <v/>
      </c>
      <c r="E203" s="97"/>
      <c r="F203" s="21"/>
      <c r="G203" s="98" t="str">
        <f t="shared" si="19"/>
        <v/>
      </c>
      <c r="H203" s="23"/>
      <c r="I203" s="84"/>
      <c r="J203" s="85" t="str">
        <f>IF(AND(A203&lt;&gt;"",E203&lt;&gt;""),IF(I203="","⚠️ Enter Code",IF(IFERROR(VLOOKUP(H203,DB_Agents!$B:$I,8,0),"")=I203,IF(C203&gt;=E203,"Successful","Unsuccessful"),"🔒 BLOCKED — Wrong Code")),"—")</f>
        <v>—</v>
      </c>
      <c r="K203" s="86" t="str">
        <f t="shared" ca="1" si="20"/>
        <v>—</v>
      </c>
      <c r="L203" s="87"/>
    </row>
    <row r="204" spans="1:12" x14ac:dyDescent="0.25">
      <c r="A204" s="88"/>
      <c r="B204" s="25" t="str">
        <f>IF(A204="","",IFERROR(VLOOKUP(A204,DB_Customers!$A:$D,4,0),"❌ Account Not Found"))</f>
        <v/>
      </c>
      <c r="C204" s="89" t="str">
        <f>IF(A204="","",IFERROR(VLOOKUP(A204,DB_Customers!$A:$N,14,0),""))</f>
        <v/>
      </c>
      <c r="D204" s="90" t="str">
        <f t="shared" ca="1" si="18"/>
        <v/>
      </c>
      <c r="E204" s="97"/>
      <c r="F204" s="25"/>
      <c r="G204" s="99" t="str">
        <f t="shared" si="19"/>
        <v/>
      </c>
      <c r="H204" s="27"/>
      <c r="I204" s="84"/>
      <c r="J204" s="92" t="str">
        <f>IF(AND(A204&lt;&gt;"",E204&lt;&gt;""),IF(I204="","⚠️ Enter Code",IF(IFERROR(VLOOKUP(H204,DB_Agents!$B:$I,8,0),"")=I204,IF(C204&gt;=E204,"Successful","Unsuccessful"),"🔒 BLOCKED — Wrong Code")),"—")</f>
        <v>—</v>
      </c>
      <c r="K204" s="93" t="str">
        <f t="shared" ca="1" si="20"/>
        <v>—</v>
      </c>
      <c r="L204" s="94"/>
    </row>
    <row r="205" spans="1:12" x14ac:dyDescent="0.25">
      <c r="A205" s="79"/>
      <c r="B205" s="21" t="str">
        <f>IF(A205="","",IFERROR(VLOOKUP(A205,DB_Customers!$A:$D,4,0),"❌ Account Not Found"))</f>
        <v/>
      </c>
      <c r="C205" s="80" t="str">
        <f>IF(A205="","",IFERROR(VLOOKUP(A205,DB_Customers!$A:$N,14,0),""))</f>
        <v/>
      </c>
      <c r="D205" s="81" t="str">
        <f t="shared" ca="1" si="18"/>
        <v/>
      </c>
      <c r="E205" s="97"/>
      <c r="F205" s="21"/>
      <c r="G205" s="98" t="str">
        <f t="shared" si="19"/>
        <v/>
      </c>
      <c r="H205" s="23"/>
      <c r="I205" s="84"/>
      <c r="J205" s="85" t="str">
        <f>IF(AND(A205&lt;&gt;"",E205&lt;&gt;""),IF(I205="","⚠️ Enter Code",IF(IFERROR(VLOOKUP(H205,DB_Agents!$B:$I,8,0),"")=I205,IF(C205&gt;=E205,"Successful","Unsuccessful"),"🔒 BLOCKED — Wrong Code")),"—")</f>
        <v>—</v>
      </c>
      <c r="K205" s="86" t="str">
        <f t="shared" ca="1" si="20"/>
        <v>—</v>
      </c>
      <c r="L205" s="87"/>
    </row>
    <row r="206" spans="1:12" x14ac:dyDescent="0.25">
      <c r="A206" s="88"/>
      <c r="B206" s="25" t="str">
        <f>IF(A206="","",IFERROR(VLOOKUP(A206,DB_Customers!$A:$D,4,0),"❌ Account Not Found"))</f>
        <v/>
      </c>
      <c r="C206" s="89" t="str">
        <f>IF(A206="","",IFERROR(VLOOKUP(A206,DB_Customers!$A:$N,14,0),""))</f>
        <v/>
      </c>
      <c r="D206" s="90" t="str">
        <f t="shared" ca="1" si="18"/>
        <v/>
      </c>
      <c r="E206" s="97"/>
      <c r="F206" s="25"/>
      <c r="G206" s="99" t="str">
        <f t="shared" si="19"/>
        <v/>
      </c>
      <c r="H206" s="27"/>
      <c r="I206" s="84"/>
      <c r="J206" s="92" t="str">
        <f>IF(AND(A206&lt;&gt;"",E206&lt;&gt;""),IF(I206="","⚠️ Enter Code",IF(IFERROR(VLOOKUP(H206,DB_Agents!$B:$I,8,0),"")=I206,IF(C206&gt;=E206,"Successful","Unsuccessful"),"🔒 BLOCKED — Wrong Code")),"—")</f>
        <v>—</v>
      </c>
      <c r="K206" s="93" t="str">
        <f t="shared" ca="1" si="20"/>
        <v>—</v>
      </c>
      <c r="L206" s="94"/>
    </row>
    <row r="207" spans="1:12" x14ac:dyDescent="0.25">
      <c r="A207" s="79"/>
      <c r="B207" s="21" t="str">
        <f>IF(A207="","",IFERROR(VLOOKUP(A207,DB_Customers!$A:$D,4,0),"❌ Account Not Found"))</f>
        <v/>
      </c>
      <c r="C207" s="80" t="str">
        <f>IF(A207="","",IFERROR(VLOOKUP(A207,DB_Customers!$A:$N,14,0),""))</f>
        <v/>
      </c>
      <c r="D207" s="81" t="str">
        <f t="shared" ca="1" si="18"/>
        <v/>
      </c>
      <c r="E207" s="97"/>
      <c r="F207" s="21"/>
      <c r="G207" s="98" t="str">
        <f t="shared" si="19"/>
        <v/>
      </c>
      <c r="H207" s="23"/>
      <c r="I207" s="84"/>
      <c r="J207" s="85" t="str">
        <f>IF(AND(A207&lt;&gt;"",E207&lt;&gt;""),IF(I207="","⚠️ Enter Code",IF(IFERROR(VLOOKUP(H207,DB_Agents!$B:$I,8,0),"")=I207,IF(C207&gt;=E207,"Successful","Unsuccessful"),"🔒 BLOCKED — Wrong Code")),"—")</f>
        <v>—</v>
      </c>
      <c r="K207" s="86" t="str">
        <f t="shared" ca="1" si="20"/>
        <v>—</v>
      </c>
      <c r="L207" s="87"/>
    </row>
    <row r="208" spans="1:12" x14ac:dyDescent="0.25">
      <c r="A208" s="88"/>
      <c r="B208" s="25" t="str">
        <f>IF(A208="","",IFERROR(VLOOKUP(A208,DB_Customers!$A:$D,4,0),"❌ Account Not Found"))</f>
        <v/>
      </c>
      <c r="C208" s="89" t="str">
        <f>IF(A208="","",IFERROR(VLOOKUP(A208,DB_Customers!$A:$N,14,0),""))</f>
        <v/>
      </c>
      <c r="D208" s="90" t="str">
        <f t="shared" ca="1" si="18"/>
        <v/>
      </c>
      <c r="E208" s="97"/>
      <c r="F208" s="25"/>
      <c r="G208" s="99" t="str">
        <f t="shared" si="19"/>
        <v/>
      </c>
      <c r="H208" s="27"/>
      <c r="I208" s="84"/>
      <c r="J208" s="92" t="str">
        <f>IF(AND(A208&lt;&gt;"",E208&lt;&gt;""),IF(I208="","⚠️ Enter Code",IF(IFERROR(VLOOKUP(H208,DB_Agents!$B:$I,8,0),"")=I208,IF(C208&gt;=E208,"Successful","Unsuccessful"),"🔒 BLOCKED — Wrong Code")),"—")</f>
        <v>—</v>
      </c>
      <c r="K208" s="93" t="str">
        <f t="shared" ca="1" si="20"/>
        <v>—</v>
      </c>
      <c r="L208" s="94"/>
    </row>
  </sheetData>
  <mergeCells count="8">
    <mergeCell ref="A5:M5"/>
    <mergeCell ref="A7:M7"/>
    <mergeCell ref="A1:M1"/>
    <mergeCell ref="A2:M2"/>
    <mergeCell ref="A3:C3"/>
    <mergeCell ref="D3:F3"/>
    <mergeCell ref="A4:C4"/>
    <mergeCell ref="D4:F4"/>
  </mergeCells>
  <conditionalFormatting sqref="I9:I208">
    <cfRule type="cellIs" dxfId="89" priority="2" operator="equal">
      <formula>"Successful"</formula>
    </cfRule>
    <cfRule type="cellIs" dxfId="88" priority="3" operator="equal">
      <formula>"Unsuccessful"</formula>
    </cfRule>
  </conditionalFormatting>
  <conditionalFormatting sqref="A9:K208">
    <cfRule type="expression" dxfId="87" priority="4">
      <formula>$I9="Unsuccessful"</formula>
    </cfRule>
  </conditionalFormatting>
  <conditionalFormatting sqref="G9:G208">
    <cfRule type="cellIs" dxfId="86" priority="5" operator="lessThan">
      <formula>0</formula>
    </cfRule>
  </conditionalFormatting>
  <dataValidations count="1">
    <dataValidation type="list" sqref="H9:H208" xr:uid="{00000000-0002-0000-0900-000000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E67E22"/>
  </sheetPr>
  <dimension ref="A1:N213"/>
  <sheetViews>
    <sheetView zoomScaleNormal="100" workbookViewId="0">
      <pane ySplit="13" topLeftCell="A14" activePane="bottomLeft" state="frozen"/>
      <selection pane="bottomLeft"/>
    </sheetView>
  </sheetViews>
  <sheetFormatPr defaultColWidth="8.7109375" defaultRowHeight="15" x14ac:dyDescent="0.25"/>
  <cols>
    <col min="1" max="1" width="22" customWidth="1"/>
    <col min="2" max="2" width="16" customWidth="1"/>
    <col min="3" max="3" width="22" customWidth="1"/>
    <col min="4" max="4" width="13" customWidth="1"/>
    <col min="5" max="5" width="14" customWidth="1"/>
    <col min="6" max="6" width="22" customWidth="1"/>
    <col min="7" max="7" width="9" customWidth="1"/>
    <col min="8" max="8" width="8" customWidth="1"/>
    <col min="9" max="9" width="16" customWidth="1"/>
    <col min="10" max="10" width="15" customWidth="1"/>
    <col min="11" max="11" width="14" customWidth="1"/>
    <col min="12" max="12" width="12" customWidth="1"/>
    <col min="13" max="13" width="14" customWidth="1"/>
  </cols>
  <sheetData>
    <row r="1" spans="1:14" ht="31.5" customHeight="1" x14ac:dyDescent="0.25">
      <c r="A1" s="216" t="s">
        <v>199</v>
      </c>
      <c r="B1" s="216"/>
      <c r="C1" s="216"/>
      <c r="D1" s="216"/>
      <c r="E1" s="216"/>
      <c r="F1" s="216"/>
      <c r="G1" s="216"/>
      <c r="H1" s="216"/>
      <c r="I1" s="216"/>
      <c r="J1" s="216"/>
      <c r="K1" s="216"/>
      <c r="L1" s="216"/>
      <c r="M1" s="216"/>
      <c r="N1" s="216"/>
    </row>
    <row r="2" spans="1:14" ht="19.5" customHeight="1" x14ac:dyDescent="0.25">
      <c r="A2" s="217" t="s">
        <v>189</v>
      </c>
      <c r="B2" s="217"/>
      <c r="C2" s="217"/>
      <c r="D2" s="217"/>
      <c r="E2" s="217"/>
      <c r="F2" s="217"/>
      <c r="G2" s="217"/>
      <c r="H2" s="217"/>
      <c r="I2" s="217"/>
      <c r="J2" s="217"/>
      <c r="K2" s="217"/>
      <c r="L2" s="217"/>
      <c r="M2" s="217"/>
      <c r="N2" s="217"/>
    </row>
    <row r="4" spans="1:14" ht="21.75" customHeight="1" x14ac:dyDescent="0.25">
      <c r="A4" s="218" t="s">
        <v>190</v>
      </c>
      <c r="B4" s="218"/>
      <c r="C4" s="218"/>
      <c r="D4" s="218"/>
    </row>
    <row r="5" spans="1:14" ht="19.5" customHeight="1" x14ac:dyDescent="0.25">
      <c r="A5" s="101" t="s">
        <v>191</v>
      </c>
      <c r="B5" s="219"/>
      <c r="C5" s="219"/>
      <c r="D5" s="219"/>
    </row>
    <row r="6" spans="1:14" ht="19.5" customHeight="1" x14ac:dyDescent="0.25">
      <c r="A6" s="101" t="s">
        <v>192</v>
      </c>
      <c r="B6" s="219"/>
      <c r="C6" s="219"/>
      <c r="D6" s="219"/>
    </row>
    <row r="7" spans="1:14" ht="19.5" customHeight="1" x14ac:dyDescent="0.25">
      <c r="A7" s="102" t="s">
        <v>193</v>
      </c>
      <c r="B7" s="220">
        <v>2.5</v>
      </c>
      <c r="C7" s="220"/>
      <c r="D7" s="220"/>
    </row>
    <row r="8" spans="1:14" ht="19.5" customHeight="1" x14ac:dyDescent="0.25">
      <c r="A8" s="102" t="s">
        <v>194</v>
      </c>
      <c r="B8" s="221" t="str">
        <f>IF(B5="","",B5*B7/100*B6)</f>
        <v/>
      </c>
      <c r="C8" s="221"/>
      <c r="D8" s="221"/>
    </row>
    <row r="9" spans="1:14" ht="19.5" customHeight="1" x14ac:dyDescent="0.25">
      <c r="A9" s="102"/>
      <c r="B9" s="222" t="str">
        <f>IF(B5="","",B5+(B5*B7/100*B6))</f>
        <v/>
      </c>
      <c r="C9" s="222"/>
      <c r="D9" s="222"/>
    </row>
    <row r="10" spans="1:14" ht="19.5" customHeight="1" x14ac:dyDescent="0.25">
      <c r="A10" s="102"/>
      <c r="B10" s="222" t="str">
        <f>IFERROR(B9/B6,"")</f>
        <v/>
      </c>
      <c r="C10" s="222"/>
      <c r="D10" s="222"/>
    </row>
    <row r="11" spans="1:14" ht="7.5" customHeight="1" x14ac:dyDescent="0.25"/>
    <row r="12" spans="1:14" ht="21.75" customHeight="1" x14ac:dyDescent="0.25">
      <c r="A12" s="223"/>
      <c r="B12" s="223"/>
      <c r="C12" s="223"/>
      <c r="D12" s="223"/>
      <c r="E12" s="223"/>
      <c r="F12" s="223"/>
      <c r="G12" s="223"/>
      <c r="H12" s="223"/>
      <c r="I12" s="223"/>
      <c r="J12" s="223"/>
      <c r="K12" s="223"/>
      <c r="L12" s="223"/>
      <c r="M12" s="223"/>
      <c r="N12" s="223"/>
    </row>
    <row r="13" spans="1:14" ht="19.5" customHeight="1" x14ac:dyDescent="0.25">
      <c r="A13" s="103"/>
      <c r="B13" s="103"/>
      <c r="C13" s="103"/>
      <c r="D13" s="103"/>
      <c r="E13" s="103"/>
      <c r="F13" s="103"/>
      <c r="G13" s="103"/>
      <c r="H13" s="103"/>
      <c r="I13" s="103"/>
      <c r="J13" s="103"/>
      <c r="K13" s="103"/>
      <c r="L13" s="103" t="s">
        <v>32</v>
      </c>
      <c r="M13" s="78"/>
      <c r="N13" s="103"/>
    </row>
    <row r="14" spans="1:14" x14ac:dyDescent="0.25">
      <c r="A14" s="92" t="str">
        <f t="shared" ref="A14:A45" si="0">IF(B14="","",IF(C14="❌ Account Not Found","INVALID","LN"&amp;TEXT(D14,"YYYYMMDD")&amp;TEXT(ROW()-13,"0000")))</f>
        <v/>
      </c>
      <c r="B14" s="88"/>
      <c r="C14" s="25" t="str">
        <f>IF(B14="","",IFERROR(VLOOKUP(B14,DB_Customers!$A:$D,4,0),"❌ Account Not Found"))</f>
        <v/>
      </c>
      <c r="D14" s="90" t="str">
        <f t="shared" ref="D14:D45" ca="1" si="1">IF(B14="","",TODAY())</f>
        <v/>
      </c>
      <c r="E14" s="104"/>
      <c r="F14" s="25"/>
      <c r="G14" s="105"/>
      <c r="H14" s="106"/>
      <c r="I14" s="107" t="str">
        <f t="shared" ref="I14:I45" si="2">IF(E14="","",E14+(E14*H14/100*G14))</f>
        <v/>
      </c>
      <c r="J14" s="108" t="str">
        <f t="shared" ref="J14:J45" si="3">IFERROR(I14/G14,"")</f>
        <v/>
      </c>
      <c r="K14" s="109" t="str">
        <f>IF(B14="","Pending",IF(M14="","⚠️ Enter Code",IF(IFERROR(VLOOKUP(L14,DB_Agents!$B:$I,8,0),"")=M14,"Pending","🔒 BLOCKED — Wrong Code")))</f>
        <v>Pending</v>
      </c>
      <c r="L14" s="27" t="s">
        <v>42</v>
      </c>
      <c r="M14" s="84"/>
      <c r="N14" s="94"/>
    </row>
    <row r="15" spans="1:14" x14ac:dyDescent="0.25">
      <c r="A15" s="85" t="str">
        <f t="shared" si="0"/>
        <v/>
      </c>
      <c r="B15" s="79"/>
      <c r="C15" s="21" t="str">
        <f>IF(B15="","",IFERROR(VLOOKUP(B15,DB_Customers!$A:$D,4,0),"❌ Account Not Found"))</f>
        <v/>
      </c>
      <c r="D15" s="81" t="str">
        <f t="shared" ca="1" si="1"/>
        <v/>
      </c>
      <c r="E15" s="104"/>
      <c r="F15" s="21"/>
      <c r="G15" s="110"/>
      <c r="H15" s="111"/>
      <c r="I15" s="107" t="str">
        <f t="shared" si="2"/>
        <v/>
      </c>
      <c r="J15" s="112" t="str">
        <f t="shared" si="3"/>
        <v/>
      </c>
      <c r="K15" s="113" t="str">
        <f>IF(B15="","Pending",IF(M15="","⚠️ Enter Code",IF(IFERROR(VLOOKUP(L15,DB_Agents!$B:$I,8,0),"")=M15,"Pending","🔒 BLOCKED — Wrong Code")))</f>
        <v>Pending</v>
      </c>
      <c r="L15" s="23" t="s">
        <v>42</v>
      </c>
      <c r="M15" s="84"/>
      <c r="N15" s="87"/>
    </row>
    <row r="16" spans="1:14" x14ac:dyDescent="0.25">
      <c r="A16" s="92" t="str">
        <f t="shared" si="0"/>
        <v/>
      </c>
      <c r="B16" s="88"/>
      <c r="C16" s="25" t="str">
        <f>IF(B16="","",IFERROR(VLOOKUP(B16,DB_Customers!$A:$D,4,0),"❌ Account Not Found"))</f>
        <v/>
      </c>
      <c r="D16" s="90" t="str">
        <f t="shared" ca="1" si="1"/>
        <v/>
      </c>
      <c r="E16" s="104"/>
      <c r="F16" s="25"/>
      <c r="G16" s="105"/>
      <c r="H16" s="106"/>
      <c r="I16" s="107" t="str">
        <f t="shared" si="2"/>
        <v/>
      </c>
      <c r="J16" s="108" t="str">
        <f t="shared" si="3"/>
        <v/>
      </c>
      <c r="K16" s="109" t="str">
        <f>IF(B16="","Pending",IF(M16="","⚠️ Enter Code",IF(IFERROR(VLOOKUP(L16,DB_Agents!$B:$I,8,0),"")=M16,"Pending","🔒 BLOCKED — Wrong Code")))</f>
        <v>Pending</v>
      </c>
      <c r="L16" s="27" t="s">
        <v>42</v>
      </c>
      <c r="M16" s="84"/>
      <c r="N16" s="94"/>
    </row>
    <row r="17" spans="1:14" x14ac:dyDescent="0.25">
      <c r="A17" s="85" t="str">
        <f t="shared" si="0"/>
        <v/>
      </c>
      <c r="B17" s="79"/>
      <c r="C17" s="21" t="str">
        <f>IF(B17="","",IFERROR(VLOOKUP(B17,DB_Customers!$A:$D,4,0),"❌ Account Not Found"))</f>
        <v/>
      </c>
      <c r="D17" s="81" t="str">
        <f t="shared" ca="1" si="1"/>
        <v/>
      </c>
      <c r="E17" s="104"/>
      <c r="F17" s="21"/>
      <c r="G17" s="110"/>
      <c r="H17" s="111"/>
      <c r="I17" s="107" t="str">
        <f t="shared" si="2"/>
        <v/>
      </c>
      <c r="J17" s="112" t="str">
        <f t="shared" si="3"/>
        <v/>
      </c>
      <c r="K17" s="113" t="str">
        <f>IF(B17="","Pending",IF(M17="","⚠️ Enter Code",IF(IFERROR(VLOOKUP(L17,DB_Agents!$B:$I,8,0),"")=M17,"Pending","🔒 BLOCKED — Wrong Code")))</f>
        <v>Pending</v>
      </c>
      <c r="L17" s="23" t="s">
        <v>42</v>
      </c>
      <c r="M17" s="84"/>
      <c r="N17" s="87"/>
    </row>
    <row r="18" spans="1:14" x14ac:dyDescent="0.25">
      <c r="A18" s="92" t="str">
        <f t="shared" si="0"/>
        <v/>
      </c>
      <c r="B18" s="88"/>
      <c r="C18" s="25" t="str">
        <f>IF(B18="","",IFERROR(VLOOKUP(B18,DB_Customers!$A:$D,4,0),"❌ Account Not Found"))</f>
        <v/>
      </c>
      <c r="D18" s="90" t="str">
        <f t="shared" ca="1" si="1"/>
        <v/>
      </c>
      <c r="E18" s="104"/>
      <c r="F18" s="25"/>
      <c r="G18" s="105"/>
      <c r="H18" s="106"/>
      <c r="I18" s="107" t="str">
        <f t="shared" si="2"/>
        <v/>
      </c>
      <c r="J18" s="108" t="str">
        <f t="shared" si="3"/>
        <v/>
      </c>
      <c r="K18" s="109" t="str">
        <f>IF(B18="","Pending",IF(M18="","⚠️ Enter Code",IF(IFERROR(VLOOKUP(L18,DB_Agents!$B:$I,8,0),"")=M18,"Pending","🔒 BLOCKED — Wrong Code")))</f>
        <v>Pending</v>
      </c>
      <c r="L18" s="27" t="s">
        <v>42</v>
      </c>
      <c r="M18" s="84"/>
      <c r="N18" s="94"/>
    </row>
    <row r="19" spans="1:14" x14ac:dyDescent="0.25">
      <c r="A19" s="85" t="str">
        <f t="shared" si="0"/>
        <v/>
      </c>
      <c r="B19" s="79"/>
      <c r="C19" s="21" t="str">
        <f>IF(B19="","",IFERROR(VLOOKUP(B19,DB_Customers!$A:$D,4,0),"❌ Account Not Found"))</f>
        <v/>
      </c>
      <c r="D19" s="81" t="str">
        <f t="shared" ca="1" si="1"/>
        <v/>
      </c>
      <c r="E19" s="104"/>
      <c r="F19" s="21"/>
      <c r="G19" s="110"/>
      <c r="H19" s="111"/>
      <c r="I19" s="107" t="str">
        <f t="shared" si="2"/>
        <v/>
      </c>
      <c r="J19" s="112" t="str">
        <f t="shared" si="3"/>
        <v/>
      </c>
      <c r="K19" s="113" t="str">
        <f>IF(B19="","Pending",IF(M19="","⚠️ Enter Code",IF(IFERROR(VLOOKUP(L19,DB_Agents!$B:$I,8,0),"")=M19,"Pending","🔒 BLOCKED — Wrong Code")))</f>
        <v>Pending</v>
      </c>
      <c r="L19" s="23"/>
      <c r="M19" s="84"/>
      <c r="N19" s="87"/>
    </row>
    <row r="20" spans="1:14" x14ac:dyDescent="0.25">
      <c r="A20" s="92" t="str">
        <f t="shared" si="0"/>
        <v/>
      </c>
      <c r="B20" s="88"/>
      <c r="C20" s="25" t="str">
        <f>IF(B20="","",IFERROR(VLOOKUP(B20,DB_Customers!$A:$D,4,0),"❌ Account Not Found"))</f>
        <v/>
      </c>
      <c r="D20" s="90" t="str">
        <f t="shared" ca="1" si="1"/>
        <v/>
      </c>
      <c r="E20" s="104"/>
      <c r="F20" s="25"/>
      <c r="G20" s="105"/>
      <c r="H20" s="106"/>
      <c r="I20" s="107" t="str">
        <f t="shared" si="2"/>
        <v/>
      </c>
      <c r="J20" s="108" t="str">
        <f t="shared" si="3"/>
        <v/>
      </c>
      <c r="K20" s="109" t="str">
        <f>IF(B20="","Pending",IF(M20="","⚠️ Enter Code",IF(IFERROR(VLOOKUP(L20,DB_Agents!$B:$I,8,0),"")=M20,"Pending","🔒 BLOCKED — Wrong Code")))</f>
        <v>Pending</v>
      </c>
      <c r="L20" s="27"/>
      <c r="M20" s="84"/>
      <c r="N20" s="94"/>
    </row>
    <row r="21" spans="1:14" x14ac:dyDescent="0.25">
      <c r="A21" s="85" t="str">
        <f t="shared" si="0"/>
        <v/>
      </c>
      <c r="B21" s="79"/>
      <c r="C21" s="21" t="str">
        <f>IF(B21="","",IFERROR(VLOOKUP(B21,DB_Customers!$A:$D,4,0),"❌ Account Not Found"))</f>
        <v/>
      </c>
      <c r="D21" s="81" t="str">
        <f t="shared" ca="1" si="1"/>
        <v/>
      </c>
      <c r="E21" s="104"/>
      <c r="F21" s="21"/>
      <c r="G21" s="110"/>
      <c r="H21" s="111"/>
      <c r="I21" s="107" t="str">
        <f t="shared" si="2"/>
        <v/>
      </c>
      <c r="J21" s="112" t="str">
        <f t="shared" si="3"/>
        <v/>
      </c>
      <c r="K21" s="113" t="str">
        <f>IF(B21="","Pending",IF(M21="","⚠️ Enter Code",IF(IFERROR(VLOOKUP(L21,DB_Agents!$B:$I,8,0),"")=M21,"Pending","🔒 BLOCKED — Wrong Code")))</f>
        <v>Pending</v>
      </c>
      <c r="L21" s="23"/>
      <c r="M21" s="84"/>
      <c r="N21" s="87"/>
    </row>
    <row r="22" spans="1:14" x14ac:dyDescent="0.25">
      <c r="A22" s="92" t="str">
        <f t="shared" si="0"/>
        <v/>
      </c>
      <c r="B22" s="88"/>
      <c r="C22" s="25" t="str">
        <f>IF(B22="","",IFERROR(VLOOKUP(B22,DB_Customers!$A:$D,4,0),"❌ Account Not Found"))</f>
        <v/>
      </c>
      <c r="D22" s="90" t="str">
        <f t="shared" ca="1" si="1"/>
        <v/>
      </c>
      <c r="E22" s="104"/>
      <c r="F22" s="25"/>
      <c r="G22" s="105"/>
      <c r="H22" s="106"/>
      <c r="I22" s="107" t="str">
        <f t="shared" si="2"/>
        <v/>
      </c>
      <c r="J22" s="108" t="str">
        <f t="shared" si="3"/>
        <v/>
      </c>
      <c r="K22" s="109" t="str">
        <f>IF(B22="","Pending",IF(M22="","⚠️ Enter Code",IF(IFERROR(VLOOKUP(L22,DB_Agents!$B:$I,8,0),"")=M22,"Pending","🔒 BLOCKED — Wrong Code")))</f>
        <v>Pending</v>
      </c>
      <c r="L22" s="27"/>
      <c r="M22" s="84"/>
      <c r="N22" s="94"/>
    </row>
    <row r="23" spans="1:14" x14ac:dyDescent="0.25">
      <c r="A23" s="85" t="str">
        <f t="shared" si="0"/>
        <v/>
      </c>
      <c r="B23" s="79"/>
      <c r="C23" s="21" t="str">
        <f>IF(B23="","",IFERROR(VLOOKUP(B23,DB_Customers!$A:$D,4,0),"❌ Account Not Found"))</f>
        <v/>
      </c>
      <c r="D23" s="81" t="str">
        <f t="shared" ca="1" si="1"/>
        <v/>
      </c>
      <c r="E23" s="104"/>
      <c r="F23" s="21"/>
      <c r="G23" s="110"/>
      <c r="H23" s="111"/>
      <c r="I23" s="107" t="str">
        <f t="shared" si="2"/>
        <v/>
      </c>
      <c r="J23" s="112" t="str">
        <f t="shared" si="3"/>
        <v/>
      </c>
      <c r="K23" s="113" t="str">
        <f>IF(B23="","Pending",IF(M23="","⚠️ Enter Code",IF(IFERROR(VLOOKUP(L23,DB_Agents!$B:$I,8,0),"")=M23,"Pending","🔒 BLOCKED — Wrong Code")))</f>
        <v>Pending</v>
      </c>
      <c r="L23" s="23"/>
      <c r="M23" s="84"/>
      <c r="N23" s="87"/>
    </row>
    <row r="24" spans="1:14" x14ac:dyDescent="0.25">
      <c r="A24" s="92" t="str">
        <f t="shared" si="0"/>
        <v/>
      </c>
      <c r="B24" s="88"/>
      <c r="C24" s="25" t="str">
        <f>IF(B24="","",IFERROR(VLOOKUP(B24,DB_Customers!$A:$D,4,0),"❌ Account Not Found"))</f>
        <v/>
      </c>
      <c r="D24" s="90" t="str">
        <f t="shared" ca="1" si="1"/>
        <v/>
      </c>
      <c r="E24" s="104"/>
      <c r="F24" s="25"/>
      <c r="G24" s="105"/>
      <c r="H24" s="106"/>
      <c r="I24" s="107" t="str">
        <f t="shared" si="2"/>
        <v/>
      </c>
      <c r="J24" s="108" t="str">
        <f t="shared" si="3"/>
        <v/>
      </c>
      <c r="K24" s="109" t="str">
        <f>IF(B24="","Pending",IF(M24="","⚠️ Enter Code",IF(IFERROR(VLOOKUP(L24,DB_Agents!$B:$I,8,0),"")=M24,"Pending","🔒 BLOCKED — Wrong Code")))</f>
        <v>Pending</v>
      </c>
      <c r="L24" s="27"/>
      <c r="M24" s="84"/>
      <c r="N24" s="94"/>
    </row>
    <row r="25" spans="1:14" x14ac:dyDescent="0.25">
      <c r="A25" s="85" t="str">
        <f t="shared" si="0"/>
        <v/>
      </c>
      <c r="B25" s="79"/>
      <c r="C25" s="21" t="str">
        <f>IF(B25="","",IFERROR(VLOOKUP(B25,DB_Customers!$A:$D,4,0),"❌ Account Not Found"))</f>
        <v/>
      </c>
      <c r="D25" s="81" t="str">
        <f t="shared" ca="1" si="1"/>
        <v/>
      </c>
      <c r="E25" s="104"/>
      <c r="F25" s="21"/>
      <c r="G25" s="110"/>
      <c r="H25" s="111"/>
      <c r="I25" s="107" t="str">
        <f t="shared" si="2"/>
        <v/>
      </c>
      <c r="J25" s="112" t="str">
        <f t="shared" si="3"/>
        <v/>
      </c>
      <c r="K25" s="113" t="str">
        <f>IF(B25="","Pending",IF(M25="","⚠️ Enter Code",IF(IFERROR(VLOOKUP(L25,DB_Agents!$B:$I,8,0),"")=M25,"Pending","🔒 BLOCKED — Wrong Code")))</f>
        <v>Pending</v>
      </c>
      <c r="L25" s="23"/>
      <c r="M25" s="84"/>
      <c r="N25" s="87"/>
    </row>
    <row r="26" spans="1:14" x14ac:dyDescent="0.25">
      <c r="A26" s="92" t="str">
        <f t="shared" si="0"/>
        <v/>
      </c>
      <c r="B26" s="88"/>
      <c r="C26" s="25" t="str">
        <f>IF(B26="","",IFERROR(VLOOKUP(B26,DB_Customers!$A:$D,4,0),"❌ Account Not Found"))</f>
        <v/>
      </c>
      <c r="D26" s="90" t="str">
        <f t="shared" ca="1" si="1"/>
        <v/>
      </c>
      <c r="E26" s="104"/>
      <c r="F26" s="25"/>
      <c r="G26" s="105"/>
      <c r="H26" s="106"/>
      <c r="I26" s="107" t="str">
        <f t="shared" si="2"/>
        <v/>
      </c>
      <c r="J26" s="108" t="str">
        <f t="shared" si="3"/>
        <v/>
      </c>
      <c r="K26" s="109" t="str">
        <f>IF(B26="","Pending",IF(M26="","⚠️ Enter Code",IF(IFERROR(VLOOKUP(L26,DB_Agents!$B:$I,8,0),"")=M26,"Pending","🔒 BLOCKED — Wrong Code")))</f>
        <v>Pending</v>
      </c>
      <c r="L26" s="27"/>
      <c r="M26" s="84"/>
      <c r="N26" s="94"/>
    </row>
    <row r="27" spans="1:14" x14ac:dyDescent="0.25">
      <c r="A27" s="85" t="str">
        <f t="shared" si="0"/>
        <v/>
      </c>
      <c r="B27" s="79"/>
      <c r="C27" s="21" t="str">
        <f>IF(B27="","",IFERROR(VLOOKUP(B27,DB_Customers!$A:$D,4,0),"❌ Account Not Found"))</f>
        <v/>
      </c>
      <c r="D27" s="81" t="str">
        <f t="shared" ca="1" si="1"/>
        <v/>
      </c>
      <c r="E27" s="104"/>
      <c r="F27" s="21"/>
      <c r="G27" s="110"/>
      <c r="H27" s="111"/>
      <c r="I27" s="107" t="str">
        <f t="shared" si="2"/>
        <v/>
      </c>
      <c r="J27" s="112" t="str">
        <f t="shared" si="3"/>
        <v/>
      </c>
      <c r="K27" s="113" t="str">
        <f>IF(B27="","Pending",IF(M27="","⚠️ Enter Code",IF(IFERROR(VLOOKUP(L27,DB_Agents!$B:$I,8,0),"")=M27,"Pending","🔒 BLOCKED — Wrong Code")))</f>
        <v>Pending</v>
      </c>
      <c r="L27" s="23"/>
      <c r="M27" s="84"/>
      <c r="N27" s="87"/>
    </row>
    <row r="28" spans="1:14" x14ac:dyDescent="0.25">
      <c r="A28" s="92" t="str">
        <f t="shared" si="0"/>
        <v/>
      </c>
      <c r="B28" s="88"/>
      <c r="C28" s="25" t="str">
        <f>IF(B28="","",IFERROR(VLOOKUP(B28,DB_Customers!$A:$D,4,0),"❌ Account Not Found"))</f>
        <v/>
      </c>
      <c r="D28" s="90" t="str">
        <f t="shared" ca="1" si="1"/>
        <v/>
      </c>
      <c r="E28" s="104"/>
      <c r="F28" s="25"/>
      <c r="G28" s="105"/>
      <c r="H28" s="106"/>
      <c r="I28" s="107" t="str">
        <f t="shared" si="2"/>
        <v/>
      </c>
      <c r="J28" s="108" t="str">
        <f t="shared" si="3"/>
        <v/>
      </c>
      <c r="K28" s="109" t="str">
        <f>IF(B28="","Pending",IF(M28="","⚠️ Enter Code",IF(IFERROR(VLOOKUP(L28,DB_Agents!$B:$I,8,0),"")=M28,"Pending","🔒 BLOCKED — Wrong Code")))</f>
        <v>Pending</v>
      </c>
      <c r="L28" s="27"/>
      <c r="M28" s="84"/>
      <c r="N28" s="94"/>
    </row>
    <row r="29" spans="1:14" x14ac:dyDescent="0.25">
      <c r="A29" s="85" t="str">
        <f t="shared" si="0"/>
        <v/>
      </c>
      <c r="B29" s="79"/>
      <c r="C29" s="21" t="str">
        <f>IF(B29="","",IFERROR(VLOOKUP(B29,DB_Customers!$A:$D,4,0),"❌ Account Not Found"))</f>
        <v/>
      </c>
      <c r="D29" s="81" t="str">
        <f t="shared" ca="1" si="1"/>
        <v/>
      </c>
      <c r="E29" s="104"/>
      <c r="F29" s="21"/>
      <c r="G29" s="110"/>
      <c r="H29" s="111"/>
      <c r="I29" s="107" t="str">
        <f t="shared" si="2"/>
        <v/>
      </c>
      <c r="J29" s="112" t="str">
        <f t="shared" si="3"/>
        <v/>
      </c>
      <c r="K29" s="113" t="str">
        <f>IF(B29="","Pending",IF(M29="","⚠️ Enter Code",IF(IFERROR(VLOOKUP(L29,DB_Agents!$B:$I,8,0),"")=M29,"Pending","🔒 BLOCKED — Wrong Code")))</f>
        <v>Pending</v>
      </c>
      <c r="L29" s="23"/>
      <c r="M29" s="84"/>
      <c r="N29" s="87"/>
    </row>
    <row r="30" spans="1:14" x14ac:dyDescent="0.25">
      <c r="A30" s="92" t="str">
        <f t="shared" si="0"/>
        <v/>
      </c>
      <c r="B30" s="88"/>
      <c r="C30" s="25" t="str">
        <f>IF(B30="","",IFERROR(VLOOKUP(B30,DB_Customers!$A:$D,4,0),"❌ Account Not Found"))</f>
        <v/>
      </c>
      <c r="D30" s="90" t="str">
        <f t="shared" ca="1" si="1"/>
        <v/>
      </c>
      <c r="E30" s="104"/>
      <c r="F30" s="25"/>
      <c r="G30" s="105"/>
      <c r="H30" s="106"/>
      <c r="I30" s="107" t="str">
        <f t="shared" si="2"/>
        <v/>
      </c>
      <c r="J30" s="108" t="str">
        <f t="shared" si="3"/>
        <v/>
      </c>
      <c r="K30" s="109" t="str">
        <f>IF(B30="","Pending",IF(M30="","⚠️ Enter Code",IF(IFERROR(VLOOKUP(L30,DB_Agents!$B:$I,8,0),"")=M30,"Pending","🔒 BLOCKED — Wrong Code")))</f>
        <v>Pending</v>
      </c>
      <c r="L30" s="27"/>
      <c r="M30" s="84"/>
      <c r="N30" s="94"/>
    </row>
    <row r="31" spans="1:14" x14ac:dyDescent="0.25">
      <c r="A31" s="85" t="str">
        <f t="shared" si="0"/>
        <v/>
      </c>
      <c r="B31" s="79"/>
      <c r="C31" s="21" t="str">
        <f>IF(B31="","",IFERROR(VLOOKUP(B31,DB_Customers!$A:$D,4,0),"❌ Account Not Found"))</f>
        <v/>
      </c>
      <c r="D31" s="81" t="str">
        <f t="shared" ca="1" si="1"/>
        <v/>
      </c>
      <c r="E31" s="104"/>
      <c r="F31" s="21"/>
      <c r="G31" s="110"/>
      <c r="H31" s="111"/>
      <c r="I31" s="107" t="str">
        <f t="shared" si="2"/>
        <v/>
      </c>
      <c r="J31" s="112" t="str">
        <f t="shared" si="3"/>
        <v/>
      </c>
      <c r="K31" s="113" t="str">
        <f>IF(B31="","Pending",IF(M31="","⚠️ Enter Code",IF(IFERROR(VLOOKUP(L31,DB_Agents!$B:$I,8,0),"")=M31,"Pending","🔒 BLOCKED — Wrong Code")))</f>
        <v>Pending</v>
      </c>
      <c r="L31" s="23"/>
      <c r="M31" s="84"/>
      <c r="N31" s="87"/>
    </row>
    <row r="32" spans="1:14" x14ac:dyDescent="0.25">
      <c r="A32" s="92" t="str">
        <f t="shared" si="0"/>
        <v/>
      </c>
      <c r="B32" s="88"/>
      <c r="C32" s="25" t="str">
        <f>IF(B32="","",IFERROR(VLOOKUP(B32,DB_Customers!$A:$D,4,0),"❌ Account Not Found"))</f>
        <v/>
      </c>
      <c r="D32" s="90" t="str">
        <f t="shared" ca="1" si="1"/>
        <v/>
      </c>
      <c r="E32" s="104"/>
      <c r="F32" s="25"/>
      <c r="G32" s="105"/>
      <c r="H32" s="106"/>
      <c r="I32" s="107" t="str">
        <f t="shared" si="2"/>
        <v/>
      </c>
      <c r="J32" s="108" t="str">
        <f t="shared" si="3"/>
        <v/>
      </c>
      <c r="K32" s="109" t="str">
        <f>IF(B32="","Pending",IF(M32="","⚠️ Enter Code",IF(IFERROR(VLOOKUP(L32,DB_Agents!$B:$I,8,0),"")=M32,"Pending","🔒 BLOCKED — Wrong Code")))</f>
        <v>Pending</v>
      </c>
      <c r="L32" s="27"/>
      <c r="M32" s="84"/>
      <c r="N32" s="94"/>
    </row>
    <row r="33" spans="1:14" x14ac:dyDescent="0.25">
      <c r="A33" s="85" t="str">
        <f t="shared" si="0"/>
        <v/>
      </c>
      <c r="B33" s="79"/>
      <c r="C33" s="21" t="str">
        <f>IF(B33="","",IFERROR(VLOOKUP(B33,DB_Customers!$A:$D,4,0),"❌ Account Not Found"))</f>
        <v/>
      </c>
      <c r="D33" s="81" t="str">
        <f t="shared" ca="1" si="1"/>
        <v/>
      </c>
      <c r="E33" s="104"/>
      <c r="F33" s="21"/>
      <c r="G33" s="110"/>
      <c r="H33" s="111"/>
      <c r="I33" s="107" t="str">
        <f t="shared" si="2"/>
        <v/>
      </c>
      <c r="J33" s="112" t="str">
        <f t="shared" si="3"/>
        <v/>
      </c>
      <c r="K33" s="113" t="str">
        <f>IF(B33="","Pending",IF(M33="","⚠️ Enter Code",IF(IFERROR(VLOOKUP(L33,DB_Agents!$B:$I,8,0),"")=M33,"Pending","🔒 BLOCKED — Wrong Code")))</f>
        <v>Pending</v>
      </c>
      <c r="L33" s="23"/>
      <c r="M33" s="84"/>
      <c r="N33" s="87"/>
    </row>
    <row r="34" spans="1:14" x14ac:dyDescent="0.25">
      <c r="A34" s="92" t="str">
        <f t="shared" si="0"/>
        <v/>
      </c>
      <c r="B34" s="88"/>
      <c r="C34" s="25" t="str">
        <f>IF(B34="","",IFERROR(VLOOKUP(B34,DB_Customers!$A:$D,4,0),"❌ Account Not Found"))</f>
        <v/>
      </c>
      <c r="D34" s="90" t="str">
        <f t="shared" ca="1" si="1"/>
        <v/>
      </c>
      <c r="E34" s="104"/>
      <c r="F34" s="25"/>
      <c r="G34" s="105"/>
      <c r="H34" s="106"/>
      <c r="I34" s="107" t="str">
        <f t="shared" si="2"/>
        <v/>
      </c>
      <c r="J34" s="108" t="str">
        <f t="shared" si="3"/>
        <v/>
      </c>
      <c r="K34" s="109" t="str">
        <f>IF(B34="","Pending",IF(M34="","⚠️ Enter Code",IF(IFERROR(VLOOKUP(L34,DB_Agents!$B:$I,8,0),"")=M34,"Pending","🔒 BLOCKED — Wrong Code")))</f>
        <v>Pending</v>
      </c>
      <c r="L34" s="27"/>
      <c r="M34" s="84"/>
      <c r="N34" s="94"/>
    </row>
    <row r="35" spans="1:14" x14ac:dyDescent="0.25">
      <c r="A35" s="85" t="str">
        <f t="shared" si="0"/>
        <v/>
      </c>
      <c r="B35" s="79"/>
      <c r="C35" s="21" t="str">
        <f>IF(B35="","",IFERROR(VLOOKUP(B35,DB_Customers!$A:$D,4,0),"❌ Account Not Found"))</f>
        <v/>
      </c>
      <c r="D35" s="81" t="str">
        <f t="shared" ca="1" si="1"/>
        <v/>
      </c>
      <c r="E35" s="104"/>
      <c r="F35" s="21"/>
      <c r="G35" s="110"/>
      <c r="H35" s="111"/>
      <c r="I35" s="107" t="str">
        <f t="shared" si="2"/>
        <v/>
      </c>
      <c r="J35" s="112" t="str">
        <f t="shared" si="3"/>
        <v/>
      </c>
      <c r="K35" s="113" t="str">
        <f>IF(B35="","Pending",IF(M35="","⚠️ Enter Code",IF(IFERROR(VLOOKUP(L35,DB_Agents!$B:$I,8,0),"")=M35,"Pending","🔒 BLOCKED — Wrong Code")))</f>
        <v>Pending</v>
      </c>
      <c r="L35" s="23"/>
      <c r="M35" s="84"/>
      <c r="N35" s="87"/>
    </row>
    <row r="36" spans="1:14" x14ac:dyDescent="0.25">
      <c r="A36" s="92" t="str">
        <f t="shared" si="0"/>
        <v/>
      </c>
      <c r="B36" s="88"/>
      <c r="C36" s="25" t="str">
        <f>IF(B36="","",IFERROR(VLOOKUP(B36,DB_Customers!$A:$D,4,0),"❌ Account Not Found"))</f>
        <v/>
      </c>
      <c r="D36" s="90" t="str">
        <f t="shared" ca="1" si="1"/>
        <v/>
      </c>
      <c r="E36" s="104"/>
      <c r="F36" s="25"/>
      <c r="G36" s="105"/>
      <c r="H36" s="106"/>
      <c r="I36" s="107" t="str">
        <f t="shared" si="2"/>
        <v/>
      </c>
      <c r="J36" s="108" t="str">
        <f t="shared" si="3"/>
        <v/>
      </c>
      <c r="K36" s="109" t="str">
        <f>IF(B36="","Pending",IF(M36="","⚠️ Enter Code",IF(IFERROR(VLOOKUP(L36,DB_Agents!$B:$I,8,0),"")=M36,"Pending","🔒 BLOCKED — Wrong Code")))</f>
        <v>Pending</v>
      </c>
      <c r="L36" s="27"/>
      <c r="M36" s="84"/>
      <c r="N36" s="94"/>
    </row>
    <row r="37" spans="1:14" x14ac:dyDescent="0.25">
      <c r="A37" s="85" t="str">
        <f t="shared" si="0"/>
        <v/>
      </c>
      <c r="B37" s="79"/>
      <c r="C37" s="21" t="str">
        <f>IF(B37="","",IFERROR(VLOOKUP(B37,DB_Customers!$A:$D,4,0),"❌ Account Not Found"))</f>
        <v/>
      </c>
      <c r="D37" s="81" t="str">
        <f t="shared" ca="1" si="1"/>
        <v/>
      </c>
      <c r="E37" s="104"/>
      <c r="F37" s="21"/>
      <c r="G37" s="110"/>
      <c r="H37" s="111"/>
      <c r="I37" s="107" t="str">
        <f t="shared" si="2"/>
        <v/>
      </c>
      <c r="J37" s="112" t="str">
        <f t="shared" si="3"/>
        <v/>
      </c>
      <c r="K37" s="113" t="str">
        <f>IF(B37="","Pending",IF(M37="","⚠️ Enter Code",IF(IFERROR(VLOOKUP(L37,DB_Agents!$B:$I,8,0),"")=M37,"Pending","🔒 BLOCKED — Wrong Code")))</f>
        <v>Pending</v>
      </c>
      <c r="L37" s="23"/>
      <c r="M37" s="84"/>
      <c r="N37" s="87"/>
    </row>
    <row r="38" spans="1:14" x14ac:dyDescent="0.25">
      <c r="A38" s="92" t="str">
        <f t="shared" si="0"/>
        <v/>
      </c>
      <c r="B38" s="88"/>
      <c r="C38" s="25" t="str">
        <f>IF(B38="","",IFERROR(VLOOKUP(B38,DB_Customers!$A:$D,4,0),"❌ Account Not Found"))</f>
        <v/>
      </c>
      <c r="D38" s="90" t="str">
        <f t="shared" ca="1" si="1"/>
        <v/>
      </c>
      <c r="E38" s="104"/>
      <c r="F38" s="25"/>
      <c r="G38" s="105"/>
      <c r="H38" s="106"/>
      <c r="I38" s="107" t="str">
        <f t="shared" si="2"/>
        <v/>
      </c>
      <c r="J38" s="108" t="str">
        <f t="shared" si="3"/>
        <v/>
      </c>
      <c r="K38" s="109" t="str">
        <f>IF(B38="","Pending",IF(M38="","⚠️ Enter Code",IF(IFERROR(VLOOKUP(L38,DB_Agents!$B:$I,8,0),"")=M38,"Pending","🔒 BLOCKED — Wrong Code")))</f>
        <v>Pending</v>
      </c>
      <c r="L38" s="27"/>
      <c r="M38" s="84"/>
      <c r="N38" s="94"/>
    </row>
    <row r="39" spans="1:14" x14ac:dyDescent="0.25">
      <c r="A39" s="85" t="str">
        <f t="shared" si="0"/>
        <v/>
      </c>
      <c r="B39" s="79"/>
      <c r="C39" s="21" t="str">
        <f>IF(B39="","",IFERROR(VLOOKUP(B39,DB_Customers!$A:$D,4,0),"❌ Account Not Found"))</f>
        <v/>
      </c>
      <c r="D39" s="81" t="str">
        <f t="shared" ca="1" si="1"/>
        <v/>
      </c>
      <c r="E39" s="104"/>
      <c r="F39" s="21"/>
      <c r="G39" s="110"/>
      <c r="H39" s="111"/>
      <c r="I39" s="107" t="str">
        <f t="shared" si="2"/>
        <v/>
      </c>
      <c r="J39" s="112" t="str">
        <f t="shared" si="3"/>
        <v/>
      </c>
      <c r="K39" s="113" t="str">
        <f>IF(B39="","Pending",IF(M39="","⚠️ Enter Code",IF(IFERROR(VLOOKUP(L39,DB_Agents!$B:$I,8,0),"")=M39,"Pending","🔒 BLOCKED — Wrong Code")))</f>
        <v>Pending</v>
      </c>
      <c r="L39" s="23"/>
      <c r="M39" s="84"/>
      <c r="N39" s="87"/>
    </row>
    <row r="40" spans="1:14" x14ac:dyDescent="0.25">
      <c r="A40" s="92" t="str">
        <f t="shared" si="0"/>
        <v/>
      </c>
      <c r="B40" s="88"/>
      <c r="C40" s="25" t="str">
        <f>IF(B40="","",IFERROR(VLOOKUP(B40,DB_Customers!$A:$D,4,0),"❌ Account Not Found"))</f>
        <v/>
      </c>
      <c r="D40" s="90" t="str">
        <f t="shared" ca="1" si="1"/>
        <v/>
      </c>
      <c r="E40" s="104"/>
      <c r="F40" s="25"/>
      <c r="G40" s="105"/>
      <c r="H40" s="106"/>
      <c r="I40" s="107" t="str">
        <f t="shared" si="2"/>
        <v/>
      </c>
      <c r="J40" s="108" t="str">
        <f t="shared" si="3"/>
        <v/>
      </c>
      <c r="K40" s="109" t="str">
        <f>IF(B40="","Pending",IF(M40="","⚠️ Enter Code",IF(IFERROR(VLOOKUP(L40,DB_Agents!$B:$I,8,0),"")=M40,"Pending","🔒 BLOCKED — Wrong Code")))</f>
        <v>Pending</v>
      </c>
      <c r="L40" s="27"/>
      <c r="M40" s="84"/>
      <c r="N40" s="94"/>
    </row>
    <row r="41" spans="1:14" x14ac:dyDescent="0.25">
      <c r="A41" s="85" t="str">
        <f t="shared" si="0"/>
        <v/>
      </c>
      <c r="B41" s="79"/>
      <c r="C41" s="21" t="str">
        <f>IF(B41="","",IFERROR(VLOOKUP(B41,DB_Customers!$A:$D,4,0),"❌ Account Not Found"))</f>
        <v/>
      </c>
      <c r="D41" s="81" t="str">
        <f t="shared" ca="1" si="1"/>
        <v/>
      </c>
      <c r="E41" s="104"/>
      <c r="F41" s="21"/>
      <c r="G41" s="110"/>
      <c r="H41" s="111"/>
      <c r="I41" s="107" t="str">
        <f t="shared" si="2"/>
        <v/>
      </c>
      <c r="J41" s="112" t="str">
        <f t="shared" si="3"/>
        <v/>
      </c>
      <c r="K41" s="113" t="str">
        <f>IF(B41="","Pending",IF(M41="","⚠️ Enter Code",IF(IFERROR(VLOOKUP(L41,DB_Agents!$B:$I,8,0),"")=M41,"Pending","🔒 BLOCKED — Wrong Code")))</f>
        <v>Pending</v>
      </c>
      <c r="L41" s="23"/>
      <c r="M41" s="84"/>
      <c r="N41" s="87"/>
    </row>
    <row r="42" spans="1:14" x14ac:dyDescent="0.25">
      <c r="A42" s="92" t="str">
        <f t="shared" si="0"/>
        <v/>
      </c>
      <c r="B42" s="88"/>
      <c r="C42" s="25" t="str">
        <f>IF(B42="","",IFERROR(VLOOKUP(B42,DB_Customers!$A:$D,4,0),"❌ Account Not Found"))</f>
        <v/>
      </c>
      <c r="D42" s="90" t="str">
        <f t="shared" ca="1" si="1"/>
        <v/>
      </c>
      <c r="E42" s="104"/>
      <c r="F42" s="25"/>
      <c r="G42" s="105"/>
      <c r="H42" s="106"/>
      <c r="I42" s="107" t="str">
        <f t="shared" si="2"/>
        <v/>
      </c>
      <c r="J42" s="108" t="str">
        <f t="shared" si="3"/>
        <v/>
      </c>
      <c r="K42" s="109" t="str">
        <f>IF(B42="","Pending",IF(M42="","⚠️ Enter Code",IF(IFERROR(VLOOKUP(L42,DB_Agents!$B:$I,8,0),"")=M42,"Pending","🔒 BLOCKED — Wrong Code")))</f>
        <v>Pending</v>
      </c>
      <c r="L42" s="27"/>
      <c r="M42" s="84"/>
      <c r="N42" s="94"/>
    </row>
    <row r="43" spans="1:14" x14ac:dyDescent="0.25">
      <c r="A43" s="85" t="str">
        <f t="shared" si="0"/>
        <v/>
      </c>
      <c r="B43" s="79"/>
      <c r="C43" s="21" t="str">
        <f>IF(B43="","",IFERROR(VLOOKUP(B43,DB_Customers!$A:$D,4,0),"❌ Account Not Found"))</f>
        <v/>
      </c>
      <c r="D43" s="81" t="str">
        <f t="shared" ca="1" si="1"/>
        <v/>
      </c>
      <c r="E43" s="104"/>
      <c r="F43" s="21"/>
      <c r="G43" s="110"/>
      <c r="H43" s="111"/>
      <c r="I43" s="107" t="str">
        <f t="shared" si="2"/>
        <v/>
      </c>
      <c r="J43" s="112" t="str">
        <f t="shared" si="3"/>
        <v/>
      </c>
      <c r="K43" s="113" t="str">
        <f>IF(B43="","Pending",IF(M43="","⚠️ Enter Code",IF(IFERROR(VLOOKUP(L43,DB_Agents!$B:$I,8,0),"")=M43,"Pending","🔒 BLOCKED — Wrong Code")))</f>
        <v>Pending</v>
      </c>
      <c r="L43" s="23"/>
      <c r="M43" s="84"/>
      <c r="N43" s="87"/>
    </row>
    <row r="44" spans="1:14" x14ac:dyDescent="0.25">
      <c r="A44" s="92" t="str">
        <f t="shared" si="0"/>
        <v/>
      </c>
      <c r="B44" s="88"/>
      <c r="C44" s="25" t="str">
        <f>IF(B44="","",IFERROR(VLOOKUP(B44,DB_Customers!$A:$D,4,0),"❌ Account Not Found"))</f>
        <v/>
      </c>
      <c r="D44" s="90" t="str">
        <f t="shared" ca="1" si="1"/>
        <v/>
      </c>
      <c r="E44" s="104"/>
      <c r="F44" s="25"/>
      <c r="G44" s="105"/>
      <c r="H44" s="106"/>
      <c r="I44" s="107" t="str">
        <f t="shared" si="2"/>
        <v/>
      </c>
      <c r="J44" s="108" t="str">
        <f t="shared" si="3"/>
        <v/>
      </c>
      <c r="K44" s="109" t="str">
        <f>IF(B44="","Pending",IF(M44="","⚠️ Enter Code",IF(IFERROR(VLOOKUP(L44,DB_Agents!$B:$I,8,0),"")=M44,"Pending","🔒 BLOCKED — Wrong Code")))</f>
        <v>Pending</v>
      </c>
      <c r="L44" s="27"/>
      <c r="M44" s="84"/>
      <c r="N44" s="94"/>
    </row>
    <row r="45" spans="1:14" x14ac:dyDescent="0.25">
      <c r="A45" s="85" t="str">
        <f t="shared" si="0"/>
        <v/>
      </c>
      <c r="B45" s="79"/>
      <c r="C45" s="21" t="str">
        <f>IF(B45="","",IFERROR(VLOOKUP(B45,DB_Customers!$A:$D,4,0),"❌ Account Not Found"))</f>
        <v/>
      </c>
      <c r="D45" s="81" t="str">
        <f t="shared" ca="1" si="1"/>
        <v/>
      </c>
      <c r="E45" s="104"/>
      <c r="F45" s="21"/>
      <c r="G45" s="110"/>
      <c r="H45" s="111"/>
      <c r="I45" s="107" t="str">
        <f t="shared" si="2"/>
        <v/>
      </c>
      <c r="J45" s="112" t="str">
        <f t="shared" si="3"/>
        <v/>
      </c>
      <c r="K45" s="113" t="str">
        <f>IF(B45="","Pending",IF(M45="","⚠️ Enter Code",IF(IFERROR(VLOOKUP(L45,DB_Agents!$B:$I,8,0),"")=M45,"Pending","🔒 BLOCKED — Wrong Code")))</f>
        <v>Pending</v>
      </c>
      <c r="L45" s="23"/>
      <c r="M45" s="84"/>
      <c r="N45" s="87"/>
    </row>
    <row r="46" spans="1:14" x14ac:dyDescent="0.25">
      <c r="A46" s="92" t="str">
        <f t="shared" ref="A46:A77" si="4">IF(B46="","",IF(C46="❌ Account Not Found","INVALID","LN"&amp;TEXT(D46,"YYYYMMDD")&amp;TEXT(ROW()-13,"0000")))</f>
        <v/>
      </c>
      <c r="B46" s="88"/>
      <c r="C46" s="25" t="str">
        <f>IF(B46="","",IFERROR(VLOOKUP(B46,DB_Customers!$A:$D,4,0),"❌ Account Not Found"))</f>
        <v/>
      </c>
      <c r="D46" s="90" t="str">
        <f t="shared" ref="D46:D77" ca="1" si="5">IF(B46="","",TODAY())</f>
        <v/>
      </c>
      <c r="E46" s="104"/>
      <c r="F46" s="25"/>
      <c r="G46" s="105"/>
      <c r="H46" s="106"/>
      <c r="I46" s="107" t="str">
        <f t="shared" ref="I46:I77" si="6">IF(E46="","",E46+(E46*H46/100*G46))</f>
        <v/>
      </c>
      <c r="J46" s="108" t="str">
        <f t="shared" ref="J46:J77" si="7">IFERROR(I46/G46,"")</f>
        <v/>
      </c>
      <c r="K46" s="109" t="str">
        <f>IF(B46="","Pending",IF(M46="","⚠️ Enter Code",IF(IFERROR(VLOOKUP(L46,DB_Agents!$B:$I,8,0),"")=M46,"Pending","🔒 BLOCKED — Wrong Code")))</f>
        <v>Pending</v>
      </c>
      <c r="L46" s="27"/>
      <c r="M46" s="84"/>
      <c r="N46" s="94"/>
    </row>
    <row r="47" spans="1:14" x14ac:dyDescent="0.25">
      <c r="A47" s="85" t="str">
        <f t="shared" si="4"/>
        <v/>
      </c>
      <c r="B47" s="79"/>
      <c r="C47" s="21" t="str">
        <f>IF(B47="","",IFERROR(VLOOKUP(B47,DB_Customers!$A:$D,4,0),"❌ Account Not Found"))</f>
        <v/>
      </c>
      <c r="D47" s="81" t="str">
        <f t="shared" ca="1" si="5"/>
        <v/>
      </c>
      <c r="E47" s="104"/>
      <c r="F47" s="21"/>
      <c r="G47" s="110"/>
      <c r="H47" s="111"/>
      <c r="I47" s="107" t="str">
        <f t="shared" si="6"/>
        <v/>
      </c>
      <c r="J47" s="112" t="str">
        <f t="shared" si="7"/>
        <v/>
      </c>
      <c r="K47" s="113" t="str">
        <f>IF(B47="","Pending",IF(M47="","⚠️ Enter Code",IF(IFERROR(VLOOKUP(L47,DB_Agents!$B:$I,8,0),"")=M47,"Pending","🔒 BLOCKED — Wrong Code")))</f>
        <v>Pending</v>
      </c>
      <c r="L47" s="23"/>
      <c r="M47" s="84"/>
      <c r="N47" s="87"/>
    </row>
    <row r="48" spans="1:14" x14ac:dyDescent="0.25">
      <c r="A48" s="92" t="str">
        <f t="shared" si="4"/>
        <v/>
      </c>
      <c r="B48" s="88"/>
      <c r="C48" s="25" t="str">
        <f>IF(B48="","",IFERROR(VLOOKUP(B48,DB_Customers!$A:$D,4,0),"❌ Account Not Found"))</f>
        <v/>
      </c>
      <c r="D48" s="90" t="str">
        <f t="shared" ca="1" si="5"/>
        <v/>
      </c>
      <c r="E48" s="104"/>
      <c r="F48" s="25"/>
      <c r="G48" s="105"/>
      <c r="H48" s="106"/>
      <c r="I48" s="107" t="str">
        <f t="shared" si="6"/>
        <v/>
      </c>
      <c r="J48" s="108" t="str">
        <f t="shared" si="7"/>
        <v/>
      </c>
      <c r="K48" s="109" t="str">
        <f>IF(B48="","Pending",IF(M48="","⚠️ Enter Code",IF(IFERROR(VLOOKUP(L48,DB_Agents!$B:$I,8,0),"")=M48,"Pending","🔒 BLOCKED — Wrong Code")))</f>
        <v>Pending</v>
      </c>
      <c r="L48" s="27"/>
      <c r="M48" s="84"/>
      <c r="N48" s="94"/>
    </row>
    <row r="49" spans="1:14" x14ac:dyDescent="0.25">
      <c r="A49" s="85" t="str">
        <f t="shared" si="4"/>
        <v/>
      </c>
      <c r="B49" s="79"/>
      <c r="C49" s="21" t="str">
        <f>IF(B49="","",IFERROR(VLOOKUP(B49,DB_Customers!$A:$D,4,0),"❌ Account Not Found"))</f>
        <v/>
      </c>
      <c r="D49" s="81" t="str">
        <f t="shared" ca="1" si="5"/>
        <v/>
      </c>
      <c r="E49" s="104"/>
      <c r="F49" s="21"/>
      <c r="G49" s="110"/>
      <c r="H49" s="111"/>
      <c r="I49" s="107" t="str">
        <f t="shared" si="6"/>
        <v/>
      </c>
      <c r="J49" s="112" t="str">
        <f t="shared" si="7"/>
        <v/>
      </c>
      <c r="K49" s="113" t="str">
        <f>IF(B49="","Pending",IF(M49="","⚠️ Enter Code",IF(IFERROR(VLOOKUP(L49,DB_Agents!$B:$I,8,0),"")=M49,"Pending","🔒 BLOCKED — Wrong Code")))</f>
        <v>Pending</v>
      </c>
      <c r="L49" s="23"/>
      <c r="M49" s="84"/>
      <c r="N49" s="87"/>
    </row>
    <row r="50" spans="1:14" x14ac:dyDescent="0.25">
      <c r="A50" s="92" t="str">
        <f t="shared" si="4"/>
        <v/>
      </c>
      <c r="B50" s="88"/>
      <c r="C50" s="25" t="str">
        <f>IF(B50="","",IFERROR(VLOOKUP(B50,DB_Customers!$A:$D,4,0),"❌ Account Not Found"))</f>
        <v/>
      </c>
      <c r="D50" s="90" t="str">
        <f t="shared" ca="1" si="5"/>
        <v/>
      </c>
      <c r="E50" s="104"/>
      <c r="F50" s="25"/>
      <c r="G50" s="105"/>
      <c r="H50" s="106"/>
      <c r="I50" s="107" t="str">
        <f t="shared" si="6"/>
        <v/>
      </c>
      <c r="J50" s="108" t="str">
        <f t="shared" si="7"/>
        <v/>
      </c>
      <c r="K50" s="109" t="str">
        <f>IF(B50="","Pending",IF(M50="","⚠️ Enter Code",IF(IFERROR(VLOOKUP(L50,DB_Agents!$B:$I,8,0),"")=M50,"Pending","🔒 BLOCKED — Wrong Code")))</f>
        <v>Pending</v>
      </c>
      <c r="L50" s="27"/>
      <c r="M50" s="84"/>
      <c r="N50" s="94"/>
    </row>
    <row r="51" spans="1:14" x14ac:dyDescent="0.25">
      <c r="A51" s="85" t="str">
        <f t="shared" si="4"/>
        <v/>
      </c>
      <c r="B51" s="79"/>
      <c r="C51" s="21" t="str">
        <f>IF(B51="","",IFERROR(VLOOKUP(B51,DB_Customers!$A:$D,4,0),"❌ Account Not Found"))</f>
        <v/>
      </c>
      <c r="D51" s="81" t="str">
        <f t="shared" ca="1" si="5"/>
        <v/>
      </c>
      <c r="E51" s="104"/>
      <c r="F51" s="21"/>
      <c r="G51" s="110"/>
      <c r="H51" s="111"/>
      <c r="I51" s="107" t="str">
        <f t="shared" si="6"/>
        <v/>
      </c>
      <c r="J51" s="112" t="str">
        <f t="shared" si="7"/>
        <v/>
      </c>
      <c r="K51" s="113" t="str">
        <f>IF(B51="","Pending",IF(M51="","⚠️ Enter Code",IF(IFERROR(VLOOKUP(L51,DB_Agents!$B:$I,8,0),"")=M51,"Pending","🔒 BLOCKED — Wrong Code")))</f>
        <v>Pending</v>
      </c>
      <c r="L51" s="23"/>
      <c r="M51" s="84"/>
      <c r="N51" s="87"/>
    </row>
    <row r="52" spans="1:14" x14ac:dyDescent="0.25">
      <c r="A52" s="92" t="str">
        <f t="shared" si="4"/>
        <v/>
      </c>
      <c r="B52" s="88"/>
      <c r="C52" s="25" t="str">
        <f>IF(B52="","",IFERROR(VLOOKUP(B52,DB_Customers!$A:$D,4,0),"❌ Account Not Found"))</f>
        <v/>
      </c>
      <c r="D52" s="90" t="str">
        <f t="shared" ca="1" si="5"/>
        <v/>
      </c>
      <c r="E52" s="104"/>
      <c r="F52" s="25"/>
      <c r="G52" s="105"/>
      <c r="H52" s="106"/>
      <c r="I52" s="107" t="str">
        <f t="shared" si="6"/>
        <v/>
      </c>
      <c r="J52" s="108" t="str">
        <f t="shared" si="7"/>
        <v/>
      </c>
      <c r="K52" s="109" t="str">
        <f>IF(B52="","Pending",IF(M52="","⚠️ Enter Code",IF(IFERROR(VLOOKUP(L52,DB_Agents!$B:$I,8,0),"")=M52,"Pending","🔒 BLOCKED — Wrong Code")))</f>
        <v>Pending</v>
      </c>
      <c r="L52" s="27"/>
      <c r="M52" s="84"/>
      <c r="N52" s="94"/>
    </row>
    <row r="53" spans="1:14" x14ac:dyDescent="0.25">
      <c r="A53" s="85" t="str">
        <f t="shared" si="4"/>
        <v/>
      </c>
      <c r="B53" s="79"/>
      <c r="C53" s="21" t="str">
        <f>IF(B53="","",IFERROR(VLOOKUP(B53,DB_Customers!$A:$D,4,0),"❌ Account Not Found"))</f>
        <v/>
      </c>
      <c r="D53" s="81" t="str">
        <f t="shared" ca="1" si="5"/>
        <v/>
      </c>
      <c r="E53" s="104"/>
      <c r="F53" s="21"/>
      <c r="G53" s="110"/>
      <c r="H53" s="111"/>
      <c r="I53" s="107" t="str">
        <f t="shared" si="6"/>
        <v/>
      </c>
      <c r="J53" s="112" t="str">
        <f t="shared" si="7"/>
        <v/>
      </c>
      <c r="K53" s="113" t="str">
        <f>IF(B53="","Pending",IF(M53="","⚠️ Enter Code",IF(IFERROR(VLOOKUP(L53,DB_Agents!$B:$I,8,0),"")=M53,"Pending","🔒 BLOCKED — Wrong Code")))</f>
        <v>Pending</v>
      </c>
      <c r="L53" s="23"/>
      <c r="M53" s="84"/>
      <c r="N53" s="87"/>
    </row>
    <row r="54" spans="1:14" x14ac:dyDescent="0.25">
      <c r="A54" s="92" t="str">
        <f t="shared" si="4"/>
        <v/>
      </c>
      <c r="B54" s="88"/>
      <c r="C54" s="25" t="str">
        <f>IF(B54="","",IFERROR(VLOOKUP(B54,DB_Customers!$A:$D,4,0),"❌ Account Not Found"))</f>
        <v/>
      </c>
      <c r="D54" s="90" t="str">
        <f t="shared" ca="1" si="5"/>
        <v/>
      </c>
      <c r="E54" s="104"/>
      <c r="F54" s="25"/>
      <c r="G54" s="105"/>
      <c r="H54" s="106"/>
      <c r="I54" s="107" t="str">
        <f t="shared" si="6"/>
        <v/>
      </c>
      <c r="J54" s="108" t="str">
        <f t="shared" si="7"/>
        <v/>
      </c>
      <c r="K54" s="109" t="str">
        <f>IF(B54="","Pending",IF(M54="","⚠️ Enter Code",IF(IFERROR(VLOOKUP(L54,DB_Agents!$B:$I,8,0),"")=M54,"Pending","🔒 BLOCKED — Wrong Code")))</f>
        <v>Pending</v>
      </c>
      <c r="L54" s="27"/>
      <c r="M54" s="84"/>
      <c r="N54" s="94"/>
    </row>
    <row r="55" spans="1:14" x14ac:dyDescent="0.25">
      <c r="A55" s="85" t="str">
        <f t="shared" si="4"/>
        <v/>
      </c>
      <c r="B55" s="79"/>
      <c r="C55" s="21" t="str">
        <f>IF(B55="","",IFERROR(VLOOKUP(B55,DB_Customers!$A:$D,4,0),"❌ Account Not Found"))</f>
        <v/>
      </c>
      <c r="D55" s="81" t="str">
        <f t="shared" ca="1" si="5"/>
        <v/>
      </c>
      <c r="E55" s="104"/>
      <c r="F55" s="21"/>
      <c r="G55" s="110"/>
      <c r="H55" s="111"/>
      <c r="I55" s="107" t="str">
        <f t="shared" si="6"/>
        <v/>
      </c>
      <c r="J55" s="112" t="str">
        <f t="shared" si="7"/>
        <v/>
      </c>
      <c r="K55" s="113" t="str">
        <f>IF(B55="","Pending",IF(M55="","⚠️ Enter Code",IF(IFERROR(VLOOKUP(L55,DB_Agents!$B:$I,8,0),"")=M55,"Pending","🔒 BLOCKED — Wrong Code")))</f>
        <v>Pending</v>
      </c>
      <c r="L55" s="23"/>
      <c r="M55" s="84"/>
      <c r="N55" s="87"/>
    </row>
    <row r="56" spans="1:14" x14ac:dyDescent="0.25">
      <c r="A56" s="92" t="str">
        <f t="shared" si="4"/>
        <v/>
      </c>
      <c r="B56" s="88"/>
      <c r="C56" s="25" t="str">
        <f>IF(B56="","",IFERROR(VLOOKUP(B56,DB_Customers!$A:$D,4,0),"❌ Account Not Found"))</f>
        <v/>
      </c>
      <c r="D56" s="90" t="str">
        <f t="shared" ca="1" si="5"/>
        <v/>
      </c>
      <c r="E56" s="104"/>
      <c r="F56" s="25"/>
      <c r="G56" s="105"/>
      <c r="H56" s="106"/>
      <c r="I56" s="107" t="str">
        <f t="shared" si="6"/>
        <v/>
      </c>
      <c r="J56" s="108" t="str">
        <f t="shared" si="7"/>
        <v/>
      </c>
      <c r="K56" s="109" t="str">
        <f>IF(B56="","Pending",IF(M56="","⚠️ Enter Code",IF(IFERROR(VLOOKUP(L56,DB_Agents!$B:$I,8,0),"")=M56,"Pending","🔒 BLOCKED — Wrong Code")))</f>
        <v>Pending</v>
      </c>
      <c r="L56" s="27"/>
      <c r="M56" s="84"/>
      <c r="N56" s="94"/>
    </row>
    <row r="57" spans="1:14" x14ac:dyDescent="0.25">
      <c r="A57" s="85" t="str">
        <f t="shared" si="4"/>
        <v/>
      </c>
      <c r="B57" s="79"/>
      <c r="C57" s="21" t="str">
        <f>IF(B57="","",IFERROR(VLOOKUP(B57,DB_Customers!$A:$D,4,0),"❌ Account Not Found"))</f>
        <v/>
      </c>
      <c r="D57" s="81" t="str">
        <f t="shared" ca="1" si="5"/>
        <v/>
      </c>
      <c r="E57" s="104"/>
      <c r="F57" s="21"/>
      <c r="G57" s="110"/>
      <c r="H57" s="111"/>
      <c r="I57" s="107" t="str">
        <f t="shared" si="6"/>
        <v/>
      </c>
      <c r="J57" s="112" t="str">
        <f t="shared" si="7"/>
        <v/>
      </c>
      <c r="K57" s="113" t="str">
        <f>IF(B57="","Pending",IF(M57="","⚠️ Enter Code",IF(IFERROR(VLOOKUP(L57,DB_Agents!$B:$I,8,0),"")=M57,"Pending","🔒 BLOCKED — Wrong Code")))</f>
        <v>Pending</v>
      </c>
      <c r="L57" s="23"/>
      <c r="M57" s="84"/>
      <c r="N57" s="87"/>
    </row>
    <row r="58" spans="1:14" x14ac:dyDescent="0.25">
      <c r="A58" s="92" t="str">
        <f t="shared" si="4"/>
        <v/>
      </c>
      <c r="B58" s="88"/>
      <c r="C58" s="25" t="str">
        <f>IF(B58="","",IFERROR(VLOOKUP(B58,DB_Customers!$A:$D,4,0),"❌ Account Not Found"))</f>
        <v/>
      </c>
      <c r="D58" s="90" t="str">
        <f t="shared" ca="1" si="5"/>
        <v/>
      </c>
      <c r="E58" s="104"/>
      <c r="F58" s="25"/>
      <c r="G58" s="105"/>
      <c r="H58" s="106"/>
      <c r="I58" s="107" t="str">
        <f t="shared" si="6"/>
        <v/>
      </c>
      <c r="J58" s="108" t="str">
        <f t="shared" si="7"/>
        <v/>
      </c>
      <c r="K58" s="109" t="str">
        <f>IF(B58="","Pending",IF(M58="","⚠️ Enter Code",IF(IFERROR(VLOOKUP(L58,DB_Agents!$B:$I,8,0),"")=M58,"Pending","🔒 BLOCKED — Wrong Code")))</f>
        <v>Pending</v>
      </c>
      <c r="L58" s="27"/>
      <c r="M58" s="84"/>
      <c r="N58" s="94"/>
    </row>
    <row r="59" spans="1:14" x14ac:dyDescent="0.25">
      <c r="A59" s="85" t="str">
        <f t="shared" si="4"/>
        <v/>
      </c>
      <c r="B59" s="79"/>
      <c r="C59" s="21" t="str">
        <f>IF(B59="","",IFERROR(VLOOKUP(B59,DB_Customers!$A:$D,4,0),"❌ Account Not Found"))</f>
        <v/>
      </c>
      <c r="D59" s="81" t="str">
        <f t="shared" ca="1" si="5"/>
        <v/>
      </c>
      <c r="E59" s="104"/>
      <c r="F59" s="21"/>
      <c r="G59" s="110"/>
      <c r="H59" s="111"/>
      <c r="I59" s="107" t="str">
        <f t="shared" si="6"/>
        <v/>
      </c>
      <c r="J59" s="112" t="str">
        <f t="shared" si="7"/>
        <v/>
      </c>
      <c r="K59" s="113" t="str">
        <f>IF(B59="","Pending",IF(M59="","⚠️ Enter Code",IF(IFERROR(VLOOKUP(L59,DB_Agents!$B:$I,8,0),"")=M59,"Pending","🔒 BLOCKED — Wrong Code")))</f>
        <v>Pending</v>
      </c>
      <c r="L59" s="23"/>
      <c r="M59" s="84"/>
      <c r="N59" s="87"/>
    </row>
    <row r="60" spans="1:14" x14ac:dyDescent="0.25">
      <c r="A60" s="92" t="str">
        <f t="shared" si="4"/>
        <v/>
      </c>
      <c r="B60" s="88"/>
      <c r="C60" s="25" t="str">
        <f>IF(B60="","",IFERROR(VLOOKUP(B60,DB_Customers!$A:$D,4,0),"❌ Account Not Found"))</f>
        <v/>
      </c>
      <c r="D60" s="90" t="str">
        <f t="shared" ca="1" si="5"/>
        <v/>
      </c>
      <c r="E60" s="104"/>
      <c r="F60" s="25"/>
      <c r="G60" s="105"/>
      <c r="H60" s="106"/>
      <c r="I60" s="107" t="str">
        <f t="shared" si="6"/>
        <v/>
      </c>
      <c r="J60" s="108" t="str">
        <f t="shared" si="7"/>
        <v/>
      </c>
      <c r="K60" s="109" t="str">
        <f>IF(B60="","Pending",IF(M60="","⚠️ Enter Code",IF(IFERROR(VLOOKUP(L60,DB_Agents!$B:$I,8,0),"")=M60,"Pending","🔒 BLOCKED — Wrong Code")))</f>
        <v>Pending</v>
      </c>
      <c r="L60" s="27"/>
      <c r="M60" s="84"/>
      <c r="N60" s="94"/>
    </row>
    <row r="61" spans="1:14" x14ac:dyDescent="0.25">
      <c r="A61" s="85" t="str">
        <f t="shared" si="4"/>
        <v/>
      </c>
      <c r="B61" s="79"/>
      <c r="C61" s="21" t="str">
        <f>IF(B61="","",IFERROR(VLOOKUP(B61,DB_Customers!$A:$D,4,0),"❌ Account Not Found"))</f>
        <v/>
      </c>
      <c r="D61" s="81" t="str">
        <f t="shared" ca="1" si="5"/>
        <v/>
      </c>
      <c r="E61" s="104"/>
      <c r="F61" s="21"/>
      <c r="G61" s="110"/>
      <c r="H61" s="111"/>
      <c r="I61" s="107" t="str">
        <f t="shared" si="6"/>
        <v/>
      </c>
      <c r="J61" s="112" t="str">
        <f t="shared" si="7"/>
        <v/>
      </c>
      <c r="K61" s="113" t="str">
        <f>IF(B61="","Pending",IF(M61="","⚠️ Enter Code",IF(IFERROR(VLOOKUP(L61,DB_Agents!$B:$I,8,0),"")=M61,"Pending","🔒 BLOCKED — Wrong Code")))</f>
        <v>Pending</v>
      </c>
      <c r="L61" s="23"/>
      <c r="M61" s="84"/>
      <c r="N61" s="87"/>
    </row>
    <row r="62" spans="1:14" x14ac:dyDescent="0.25">
      <c r="A62" s="92" t="str">
        <f t="shared" si="4"/>
        <v/>
      </c>
      <c r="B62" s="88"/>
      <c r="C62" s="25" t="str">
        <f>IF(B62="","",IFERROR(VLOOKUP(B62,DB_Customers!$A:$D,4,0),"❌ Account Not Found"))</f>
        <v/>
      </c>
      <c r="D62" s="90" t="str">
        <f t="shared" ca="1" si="5"/>
        <v/>
      </c>
      <c r="E62" s="104"/>
      <c r="F62" s="25"/>
      <c r="G62" s="105"/>
      <c r="H62" s="106"/>
      <c r="I62" s="107" t="str">
        <f t="shared" si="6"/>
        <v/>
      </c>
      <c r="J62" s="108" t="str">
        <f t="shared" si="7"/>
        <v/>
      </c>
      <c r="K62" s="109" t="str">
        <f>IF(B62="","Pending",IF(M62="","⚠️ Enter Code",IF(IFERROR(VLOOKUP(L62,DB_Agents!$B:$I,8,0),"")=M62,"Pending","🔒 BLOCKED — Wrong Code")))</f>
        <v>Pending</v>
      </c>
      <c r="L62" s="27"/>
      <c r="M62" s="84"/>
      <c r="N62" s="94"/>
    </row>
    <row r="63" spans="1:14" x14ac:dyDescent="0.25">
      <c r="A63" s="85" t="str">
        <f t="shared" si="4"/>
        <v/>
      </c>
      <c r="B63" s="79"/>
      <c r="C63" s="21" t="str">
        <f>IF(B63="","",IFERROR(VLOOKUP(B63,DB_Customers!$A:$D,4,0),"❌ Account Not Found"))</f>
        <v/>
      </c>
      <c r="D63" s="81" t="str">
        <f t="shared" ca="1" si="5"/>
        <v/>
      </c>
      <c r="E63" s="104"/>
      <c r="F63" s="21"/>
      <c r="G63" s="110"/>
      <c r="H63" s="111"/>
      <c r="I63" s="107" t="str">
        <f t="shared" si="6"/>
        <v/>
      </c>
      <c r="J63" s="112" t="str">
        <f t="shared" si="7"/>
        <v/>
      </c>
      <c r="K63" s="113" t="str">
        <f>IF(B63="","Pending",IF(M63="","⚠️ Enter Code",IF(IFERROR(VLOOKUP(L63,DB_Agents!$B:$I,8,0),"")=M63,"Pending","🔒 BLOCKED — Wrong Code")))</f>
        <v>Pending</v>
      </c>
      <c r="L63" s="23"/>
      <c r="M63" s="84"/>
      <c r="N63" s="87"/>
    </row>
    <row r="64" spans="1:14" x14ac:dyDescent="0.25">
      <c r="A64" s="92" t="str">
        <f t="shared" si="4"/>
        <v/>
      </c>
      <c r="B64" s="88"/>
      <c r="C64" s="25" t="str">
        <f>IF(B64="","",IFERROR(VLOOKUP(B64,DB_Customers!$A:$D,4,0),"❌ Account Not Found"))</f>
        <v/>
      </c>
      <c r="D64" s="90" t="str">
        <f t="shared" ca="1" si="5"/>
        <v/>
      </c>
      <c r="E64" s="104"/>
      <c r="F64" s="25"/>
      <c r="G64" s="105"/>
      <c r="H64" s="106"/>
      <c r="I64" s="107" t="str">
        <f t="shared" si="6"/>
        <v/>
      </c>
      <c r="J64" s="108" t="str">
        <f t="shared" si="7"/>
        <v/>
      </c>
      <c r="K64" s="109" t="str">
        <f>IF(B64="","Pending",IF(M64="","⚠️ Enter Code",IF(IFERROR(VLOOKUP(L64,DB_Agents!$B:$I,8,0),"")=M64,"Pending","🔒 BLOCKED — Wrong Code")))</f>
        <v>Pending</v>
      </c>
      <c r="L64" s="27"/>
      <c r="M64" s="84"/>
      <c r="N64" s="94"/>
    </row>
    <row r="65" spans="1:14" x14ac:dyDescent="0.25">
      <c r="A65" s="85" t="str">
        <f t="shared" si="4"/>
        <v/>
      </c>
      <c r="B65" s="79"/>
      <c r="C65" s="21" t="str">
        <f>IF(B65="","",IFERROR(VLOOKUP(B65,DB_Customers!$A:$D,4,0),"❌ Account Not Found"))</f>
        <v/>
      </c>
      <c r="D65" s="81" t="str">
        <f t="shared" ca="1" si="5"/>
        <v/>
      </c>
      <c r="E65" s="104"/>
      <c r="F65" s="21"/>
      <c r="G65" s="110"/>
      <c r="H65" s="111"/>
      <c r="I65" s="107" t="str">
        <f t="shared" si="6"/>
        <v/>
      </c>
      <c r="J65" s="112" t="str">
        <f t="shared" si="7"/>
        <v/>
      </c>
      <c r="K65" s="113" t="str">
        <f>IF(B65="","Pending",IF(M65="","⚠️ Enter Code",IF(IFERROR(VLOOKUP(L65,DB_Agents!$B:$I,8,0),"")=M65,"Pending","🔒 BLOCKED — Wrong Code")))</f>
        <v>Pending</v>
      </c>
      <c r="L65" s="23"/>
      <c r="M65" s="84"/>
      <c r="N65" s="87"/>
    </row>
    <row r="66" spans="1:14" x14ac:dyDescent="0.25">
      <c r="A66" s="92" t="str">
        <f t="shared" si="4"/>
        <v/>
      </c>
      <c r="B66" s="88"/>
      <c r="C66" s="25" t="str">
        <f>IF(B66="","",IFERROR(VLOOKUP(B66,DB_Customers!$A:$D,4,0),"❌ Account Not Found"))</f>
        <v/>
      </c>
      <c r="D66" s="90" t="str">
        <f t="shared" ca="1" si="5"/>
        <v/>
      </c>
      <c r="E66" s="104"/>
      <c r="F66" s="25"/>
      <c r="G66" s="105"/>
      <c r="H66" s="106"/>
      <c r="I66" s="107" t="str">
        <f t="shared" si="6"/>
        <v/>
      </c>
      <c r="J66" s="108" t="str">
        <f t="shared" si="7"/>
        <v/>
      </c>
      <c r="K66" s="109" t="str">
        <f>IF(B66="","Pending",IF(M66="","⚠️ Enter Code",IF(IFERROR(VLOOKUP(L66,DB_Agents!$B:$I,8,0),"")=M66,"Pending","🔒 BLOCKED — Wrong Code")))</f>
        <v>Pending</v>
      </c>
      <c r="L66" s="27"/>
      <c r="M66" s="84"/>
      <c r="N66" s="94"/>
    </row>
    <row r="67" spans="1:14" x14ac:dyDescent="0.25">
      <c r="A67" s="85" t="str">
        <f t="shared" si="4"/>
        <v/>
      </c>
      <c r="B67" s="79"/>
      <c r="C67" s="21" t="str">
        <f>IF(B67="","",IFERROR(VLOOKUP(B67,DB_Customers!$A:$D,4,0),"❌ Account Not Found"))</f>
        <v/>
      </c>
      <c r="D67" s="81" t="str">
        <f t="shared" ca="1" si="5"/>
        <v/>
      </c>
      <c r="E67" s="104"/>
      <c r="F67" s="21"/>
      <c r="G67" s="110"/>
      <c r="H67" s="111"/>
      <c r="I67" s="107" t="str">
        <f t="shared" si="6"/>
        <v/>
      </c>
      <c r="J67" s="112" t="str">
        <f t="shared" si="7"/>
        <v/>
      </c>
      <c r="K67" s="113" t="str">
        <f>IF(B67="","Pending",IF(M67="","⚠️ Enter Code",IF(IFERROR(VLOOKUP(L67,DB_Agents!$B:$I,8,0),"")=M67,"Pending","🔒 BLOCKED — Wrong Code")))</f>
        <v>Pending</v>
      </c>
      <c r="L67" s="23"/>
      <c r="M67" s="84"/>
      <c r="N67" s="87"/>
    </row>
    <row r="68" spans="1:14" x14ac:dyDescent="0.25">
      <c r="A68" s="92" t="str">
        <f t="shared" si="4"/>
        <v/>
      </c>
      <c r="B68" s="88"/>
      <c r="C68" s="25" t="str">
        <f>IF(B68="","",IFERROR(VLOOKUP(B68,DB_Customers!$A:$D,4,0),"❌ Account Not Found"))</f>
        <v/>
      </c>
      <c r="D68" s="90" t="str">
        <f t="shared" ca="1" si="5"/>
        <v/>
      </c>
      <c r="E68" s="104"/>
      <c r="F68" s="25"/>
      <c r="G68" s="105"/>
      <c r="H68" s="106"/>
      <c r="I68" s="107" t="str">
        <f t="shared" si="6"/>
        <v/>
      </c>
      <c r="J68" s="108" t="str">
        <f t="shared" si="7"/>
        <v/>
      </c>
      <c r="K68" s="109" t="str">
        <f>IF(B68="","Pending",IF(M68="","⚠️ Enter Code",IF(IFERROR(VLOOKUP(L68,DB_Agents!$B:$I,8,0),"")=M68,"Pending","🔒 BLOCKED — Wrong Code")))</f>
        <v>Pending</v>
      </c>
      <c r="L68" s="27"/>
      <c r="M68" s="84"/>
      <c r="N68" s="94"/>
    </row>
    <row r="69" spans="1:14" x14ac:dyDescent="0.25">
      <c r="A69" s="85" t="str">
        <f t="shared" si="4"/>
        <v/>
      </c>
      <c r="B69" s="79"/>
      <c r="C69" s="21" t="str">
        <f>IF(B69="","",IFERROR(VLOOKUP(B69,DB_Customers!$A:$D,4,0),"❌ Account Not Found"))</f>
        <v/>
      </c>
      <c r="D69" s="81" t="str">
        <f t="shared" ca="1" si="5"/>
        <v/>
      </c>
      <c r="E69" s="104"/>
      <c r="F69" s="21"/>
      <c r="G69" s="110"/>
      <c r="H69" s="111"/>
      <c r="I69" s="107" t="str">
        <f t="shared" si="6"/>
        <v/>
      </c>
      <c r="J69" s="112" t="str">
        <f t="shared" si="7"/>
        <v/>
      </c>
      <c r="K69" s="113" t="str">
        <f>IF(B69="","Pending",IF(M69="","⚠️ Enter Code",IF(IFERROR(VLOOKUP(L69,DB_Agents!$B:$I,8,0),"")=M69,"Pending","🔒 BLOCKED — Wrong Code")))</f>
        <v>Pending</v>
      </c>
      <c r="L69" s="23"/>
      <c r="M69" s="84"/>
      <c r="N69" s="87"/>
    </row>
    <row r="70" spans="1:14" x14ac:dyDescent="0.25">
      <c r="A70" s="92" t="str">
        <f t="shared" si="4"/>
        <v/>
      </c>
      <c r="B70" s="88"/>
      <c r="C70" s="25" t="str">
        <f>IF(B70="","",IFERROR(VLOOKUP(B70,DB_Customers!$A:$D,4,0),"❌ Account Not Found"))</f>
        <v/>
      </c>
      <c r="D70" s="90" t="str">
        <f t="shared" ca="1" si="5"/>
        <v/>
      </c>
      <c r="E70" s="104"/>
      <c r="F70" s="25"/>
      <c r="G70" s="105"/>
      <c r="H70" s="106"/>
      <c r="I70" s="107" t="str">
        <f t="shared" si="6"/>
        <v/>
      </c>
      <c r="J70" s="108" t="str">
        <f t="shared" si="7"/>
        <v/>
      </c>
      <c r="K70" s="109" t="str">
        <f>IF(B70="","Pending",IF(M70="","⚠️ Enter Code",IF(IFERROR(VLOOKUP(L70,DB_Agents!$B:$I,8,0),"")=M70,"Pending","🔒 BLOCKED — Wrong Code")))</f>
        <v>Pending</v>
      </c>
      <c r="L70" s="27"/>
      <c r="M70" s="84"/>
      <c r="N70" s="94"/>
    </row>
    <row r="71" spans="1:14" x14ac:dyDescent="0.25">
      <c r="A71" s="85" t="str">
        <f t="shared" si="4"/>
        <v/>
      </c>
      <c r="B71" s="79"/>
      <c r="C71" s="21" t="str">
        <f>IF(B71="","",IFERROR(VLOOKUP(B71,DB_Customers!$A:$D,4,0),"❌ Account Not Found"))</f>
        <v/>
      </c>
      <c r="D71" s="81" t="str">
        <f t="shared" ca="1" si="5"/>
        <v/>
      </c>
      <c r="E71" s="104"/>
      <c r="F71" s="21"/>
      <c r="G71" s="110"/>
      <c r="H71" s="111"/>
      <c r="I71" s="107" t="str">
        <f t="shared" si="6"/>
        <v/>
      </c>
      <c r="J71" s="112" t="str">
        <f t="shared" si="7"/>
        <v/>
      </c>
      <c r="K71" s="113" t="str">
        <f>IF(B71="","Pending",IF(M71="","⚠️ Enter Code",IF(IFERROR(VLOOKUP(L71,DB_Agents!$B:$I,8,0),"")=M71,"Pending","🔒 BLOCKED — Wrong Code")))</f>
        <v>Pending</v>
      </c>
      <c r="L71" s="23"/>
      <c r="M71" s="84"/>
      <c r="N71" s="87"/>
    </row>
    <row r="72" spans="1:14" x14ac:dyDescent="0.25">
      <c r="A72" s="92" t="str">
        <f t="shared" si="4"/>
        <v/>
      </c>
      <c r="B72" s="88"/>
      <c r="C72" s="25" t="str">
        <f>IF(B72="","",IFERROR(VLOOKUP(B72,DB_Customers!$A:$D,4,0),"❌ Account Not Found"))</f>
        <v/>
      </c>
      <c r="D72" s="90" t="str">
        <f t="shared" ca="1" si="5"/>
        <v/>
      </c>
      <c r="E72" s="104"/>
      <c r="F72" s="25"/>
      <c r="G72" s="105"/>
      <c r="H72" s="106"/>
      <c r="I72" s="107" t="str">
        <f t="shared" si="6"/>
        <v/>
      </c>
      <c r="J72" s="108" t="str">
        <f t="shared" si="7"/>
        <v/>
      </c>
      <c r="K72" s="109" t="str">
        <f>IF(B72="","Pending",IF(M72="","⚠️ Enter Code",IF(IFERROR(VLOOKUP(L72,DB_Agents!$B:$I,8,0),"")=M72,"Pending","🔒 BLOCKED — Wrong Code")))</f>
        <v>Pending</v>
      </c>
      <c r="L72" s="27"/>
      <c r="M72" s="84"/>
      <c r="N72" s="94"/>
    </row>
    <row r="73" spans="1:14" x14ac:dyDescent="0.25">
      <c r="A73" s="85" t="str">
        <f t="shared" si="4"/>
        <v/>
      </c>
      <c r="B73" s="79"/>
      <c r="C73" s="21" t="str">
        <f>IF(B73="","",IFERROR(VLOOKUP(B73,DB_Customers!$A:$D,4,0),"❌ Account Not Found"))</f>
        <v/>
      </c>
      <c r="D73" s="81" t="str">
        <f t="shared" ca="1" si="5"/>
        <v/>
      </c>
      <c r="E73" s="104"/>
      <c r="F73" s="21"/>
      <c r="G73" s="110"/>
      <c r="H73" s="111"/>
      <c r="I73" s="107" t="str">
        <f t="shared" si="6"/>
        <v/>
      </c>
      <c r="J73" s="112" t="str">
        <f t="shared" si="7"/>
        <v/>
      </c>
      <c r="K73" s="113" t="str">
        <f>IF(B73="","Pending",IF(M73="","⚠️ Enter Code",IF(IFERROR(VLOOKUP(L73,DB_Agents!$B:$I,8,0),"")=M73,"Pending","🔒 BLOCKED — Wrong Code")))</f>
        <v>Pending</v>
      </c>
      <c r="L73" s="23"/>
      <c r="M73" s="84"/>
      <c r="N73" s="87"/>
    </row>
    <row r="74" spans="1:14" x14ac:dyDescent="0.25">
      <c r="A74" s="92" t="str">
        <f t="shared" si="4"/>
        <v/>
      </c>
      <c r="B74" s="88"/>
      <c r="C74" s="25" t="str">
        <f>IF(B74="","",IFERROR(VLOOKUP(B74,DB_Customers!$A:$D,4,0),"❌ Account Not Found"))</f>
        <v/>
      </c>
      <c r="D74" s="90" t="str">
        <f t="shared" ca="1" si="5"/>
        <v/>
      </c>
      <c r="E74" s="104"/>
      <c r="F74" s="25"/>
      <c r="G74" s="105"/>
      <c r="H74" s="106"/>
      <c r="I74" s="107" t="str">
        <f t="shared" si="6"/>
        <v/>
      </c>
      <c r="J74" s="108" t="str">
        <f t="shared" si="7"/>
        <v/>
      </c>
      <c r="K74" s="109" t="str">
        <f>IF(B74="","Pending",IF(M74="","⚠️ Enter Code",IF(IFERROR(VLOOKUP(L74,DB_Agents!$B:$I,8,0),"")=M74,"Pending","🔒 BLOCKED — Wrong Code")))</f>
        <v>Pending</v>
      </c>
      <c r="L74" s="27"/>
      <c r="M74" s="84"/>
      <c r="N74" s="94"/>
    </row>
    <row r="75" spans="1:14" x14ac:dyDescent="0.25">
      <c r="A75" s="85" t="str">
        <f t="shared" si="4"/>
        <v/>
      </c>
      <c r="B75" s="79"/>
      <c r="C75" s="21" t="str">
        <f>IF(B75="","",IFERROR(VLOOKUP(B75,DB_Customers!$A:$D,4,0),"❌ Account Not Found"))</f>
        <v/>
      </c>
      <c r="D75" s="81" t="str">
        <f t="shared" ca="1" si="5"/>
        <v/>
      </c>
      <c r="E75" s="104"/>
      <c r="F75" s="21"/>
      <c r="G75" s="110"/>
      <c r="H75" s="111"/>
      <c r="I75" s="107" t="str">
        <f t="shared" si="6"/>
        <v/>
      </c>
      <c r="J75" s="112" t="str">
        <f t="shared" si="7"/>
        <v/>
      </c>
      <c r="K75" s="113" t="str">
        <f>IF(B75="","Pending",IF(M75="","⚠️ Enter Code",IF(IFERROR(VLOOKUP(L75,DB_Agents!$B:$I,8,0),"")=M75,"Pending","🔒 BLOCKED — Wrong Code")))</f>
        <v>Pending</v>
      </c>
      <c r="L75" s="23"/>
      <c r="M75" s="84"/>
      <c r="N75" s="87"/>
    </row>
    <row r="76" spans="1:14" x14ac:dyDescent="0.25">
      <c r="A76" s="92" t="str">
        <f t="shared" si="4"/>
        <v/>
      </c>
      <c r="B76" s="88"/>
      <c r="C76" s="25" t="str">
        <f>IF(B76="","",IFERROR(VLOOKUP(B76,DB_Customers!$A:$D,4,0),"❌ Account Not Found"))</f>
        <v/>
      </c>
      <c r="D76" s="90" t="str">
        <f t="shared" ca="1" si="5"/>
        <v/>
      </c>
      <c r="E76" s="104"/>
      <c r="F76" s="25"/>
      <c r="G76" s="105"/>
      <c r="H76" s="106"/>
      <c r="I76" s="107" t="str">
        <f t="shared" si="6"/>
        <v/>
      </c>
      <c r="J76" s="108" t="str">
        <f t="shared" si="7"/>
        <v/>
      </c>
      <c r="K76" s="109" t="str">
        <f>IF(B76="","Pending",IF(M76="","⚠️ Enter Code",IF(IFERROR(VLOOKUP(L76,DB_Agents!$B:$I,8,0),"")=M76,"Pending","🔒 BLOCKED — Wrong Code")))</f>
        <v>Pending</v>
      </c>
      <c r="L76" s="27"/>
      <c r="M76" s="84"/>
      <c r="N76" s="94"/>
    </row>
    <row r="77" spans="1:14" x14ac:dyDescent="0.25">
      <c r="A77" s="85" t="str">
        <f t="shared" si="4"/>
        <v/>
      </c>
      <c r="B77" s="79"/>
      <c r="C77" s="21" t="str">
        <f>IF(B77="","",IFERROR(VLOOKUP(B77,DB_Customers!$A:$D,4,0),"❌ Account Not Found"))</f>
        <v/>
      </c>
      <c r="D77" s="81" t="str">
        <f t="shared" ca="1" si="5"/>
        <v/>
      </c>
      <c r="E77" s="104"/>
      <c r="F77" s="21"/>
      <c r="G77" s="110"/>
      <c r="H77" s="111"/>
      <c r="I77" s="107" t="str">
        <f t="shared" si="6"/>
        <v/>
      </c>
      <c r="J77" s="112" t="str">
        <f t="shared" si="7"/>
        <v/>
      </c>
      <c r="K77" s="113" t="str">
        <f>IF(B77="","Pending",IF(M77="","⚠️ Enter Code",IF(IFERROR(VLOOKUP(L77,DB_Agents!$B:$I,8,0),"")=M77,"Pending","🔒 BLOCKED — Wrong Code")))</f>
        <v>Pending</v>
      </c>
      <c r="L77" s="23"/>
      <c r="M77" s="84"/>
      <c r="N77" s="87"/>
    </row>
    <row r="78" spans="1:14" x14ac:dyDescent="0.25">
      <c r="A78" s="92" t="str">
        <f t="shared" ref="A78:A109" si="8">IF(B78="","",IF(C78="❌ Account Not Found","INVALID","LN"&amp;TEXT(D78,"YYYYMMDD")&amp;TEXT(ROW()-13,"0000")))</f>
        <v/>
      </c>
      <c r="B78" s="88"/>
      <c r="C78" s="25" t="str">
        <f>IF(B78="","",IFERROR(VLOOKUP(B78,DB_Customers!$A:$D,4,0),"❌ Account Not Found"))</f>
        <v/>
      </c>
      <c r="D78" s="90" t="str">
        <f t="shared" ref="D78:D113" ca="1" si="9">IF(B78="","",TODAY())</f>
        <v/>
      </c>
      <c r="E78" s="104"/>
      <c r="F78" s="25"/>
      <c r="G78" s="105"/>
      <c r="H78" s="106"/>
      <c r="I78" s="107" t="str">
        <f t="shared" ref="I78:I109" si="10">IF(E78="","",E78+(E78*H78/100*G78))</f>
        <v/>
      </c>
      <c r="J78" s="108" t="str">
        <f t="shared" ref="J78:J109" si="11">IFERROR(I78/G78,"")</f>
        <v/>
      </c>
      <c r="K78" s="109" t="str">
        <f>IF(B78="","Pending",IF(M78="","⚠️ Enter Code",IF(IFERROR(VLOOKUP(L78,DB_Agents!$B:$I,8,0),"")=M78,"Pending","🔒 BLOCKED — Wrong Code")))</f>
        <v>Pending</v>
      </c>
      <c r="L78" s="27"/>
      <c r="M78" s="84"/>
      <c r="N78" s="94"/>
    </row>
    <row r="79" spans="1:14" x14ac:dyDescent="0.25">
      <c r="A79" s="85" t="str">
        <f t="shared" si="8"/>
        <v/>
      </c>
      <c r="B79" s="79"/>
      <c r="C79" s="21" t="str">
        <f>IF(B79="","",IFERROR(VLOOKUP(B79,DB_Customers!$A:$D,4,0),"❌ Account Not Found"))</f>
        <v/>
      </c>
      <c r="D79" s="81" t="str">
        <f t="shared" ca="1" si="9"/>
        <v/>
      </c>
      <c r="E79" s="104"/>
      <c r="F79" s="21"/>
      <c r="G79" s="110"/>
      <c r="H79" s="111"/>
      <c r="I79" s="107" t="str">
        <f t="shared" si="10"/>
        <v/>
      </c>
      <c r="J79" s="112" t="str">
        <f t="shared" si="11"/>
        <v/>
      </c>
      <c r="K79" s="113" t="str">
        <f>IF(B79="","Pending",IF(M79="","⚠️ Enter Code",IF(IFERROR(VLOOKUP(L79,DB_Agents!$B:$I,8,0),"")=M79,"Pending","🔒 BLOCKED — Wrong Code")))</f>
        <v>Pending</v>
      </c>
      <c r="L79" s="23"/>
      <c r="M79" s="84"/>
      <c r="N79" s="87"/>
    </row>
    <row r="80" spans="1:14" x14ac:dyDescent="0.25">
      <c r="A80" s="92" t="str">
        <f t="shared" si="8"/>
        <v/>
      </c>
      <c r="B80" s="88"/>
      <c r="C80" s="25" t="str">
        <f>IF(B80="","",IFERROR(VLOOKUP(B80,DB_Customers!$A:$D,4,0),"❌ Account Not Found"))</f>
        <v/>
      </c>
      <c r="D80" s="90" t="str">
        <f t="shared" ca="1" si="9"/>
        <v/>
      </c>
      <c r="E80" s="104"/>
      <c r="F80" s="25"/>
      <c r="G80" s="105"/>
      <c r="H80" s="106"/>
      <c r="I80" s="107" t="str">
        <f t="shared" si="10"/>
        <v/>
      </c>
      <c r="J80" s="108" t="str">
        <f t="shared" si="11"/>
        <v/>
      </c>
      <c r="K80" s="109" t="str">
        <f>IF(B80="","Pending",IF(M80="","⚠️ Enter Code",IF(IFERROR(VLOOKUP(L80,DB_Agents!$B:$I,8,0),"")=M80,"Pending","🔒 BLOCKED — Wrong Code")))</f>
        <v>Pending</v>
      </c>
      <c r="L80" s="27"/>
      <c r="M80" s="84"/>
      <c r="N80" s="94"/>
    </row>
    <row r="81" spans="1:14" x14ac:dyDescent="0.25">
      <c r="A81" s="85" t="str">
        <f t="shared" si="8"/>
        <v/>
      </c>
      <c r="B81" s="79"/>
      <c r="C81" s="21" t="str">
        <f>IF(B81="","",IFERROR(VLOOKUP(B81,DB_Customers!$A:$D,4,0),"❌ Account Not Found"))</f>
        <v/>
      </c>
      <c r="D81" s="81" t="str">
        <f t="shared" ca="1" si="9"/>
        <v/>
      </c>
      <c r="E81" s="104"/>
      <c r="F81" s="21"/>
      <c r="G81" s="110"/>
      <c r="H81" s="111"/>
      <c r="I81" s="107" t="str">
        <f t="shared" si="10"/>
        <v/>
      </c>
      <c r="J81" s="112" t="str">
        <f t="shared" si="11"/>
        <v/>
      </c>
      <c r="K81" s="113" t="str">
        <f>IF(B81="","Pending",IF(M81="","⚠️ Enter Code",IF(IFERROR(VLOOKUP(L81,DB_Agents!$B:$I,8,0),"")=M81,"Pending","🔒 BLOCKED — Wrong Code")))</f>
        <v>Pending</v>
      </c>
      <c r="L81" s="23"/>
      <c r="M81" s="84"/>
      <c r="N81" s="87"/>
    </row>
    <row r="82" spans="1:14" x14ac:dyDescent="0.25">
      <c r="A82" s="92" t="str">
        <f t="shared" si="8"/>
        <v/>
      </c>
      <c r="B82" s="88"/>
      <c r="C82" s="25" t="str">
        <f>IF(B82="","",IFERROR(VLOOKUP(B82,DB_Customers!$A:$D,4,0),"❌ Account Not Found"))</f>
        <v/>
      </c>
      <c r="D82" s="90" t="str">
        <f t="shared" ca="1" si="9"/>
        <v/>
      </c>
      <c r="E82" s="104"/>
      <c r="F82" s="25"/>
      <c r="G82" s="105"/>
      <c r="H82" s="106"/>
      <c r="I82" s="107" t="str">
        <f t="shared" si="10"/>
        <v/>
      </c>
      <c r="J82" s="108" t="str">
        <f t="shared" si="11"/>
        <v/>
      </c>
      <c r="K82" s="109" t="str">
        <f>IF(B82="","Pending",IF(M82="","⚠️ Enter Code",IF(IFERROR(VLOOKUP(L82,DB_Agents!$B:$I,8,0),"")=M82,"Pending","🔒 BLOCKED — Wrong Code")))</f>
        <v>Pending</v>
      </c>
      <c r="L82" s="27"/>
      <c r="M82" s="84"/>
      <c r="N82" s="94"/>
    </row>
    <row r="83" spans="1:14" x14ac:dyDescent="0.25">
      <c r="A83" s="85" t="str">
        <f t="shared" si="8"/>
        <v/>
      </c>
      <c r="B83" s="79"/>
      <c r="C83" s="21" t="str">
        <f>IF(B83="","",IFERROR(VLOOKUP(B83,DB_Customers!$A:$D,4,0),"❌ Account Not Found"))</f>
        <v/>
      </c>
      <c r="D83" s="81" t="str">
        <f t="shared" ca="1" si="9"/>
        <v/>
      </c>
      <c r="E83" s="104"/>
      <c r="F83" s="21"/>
      <c r="G83" s="110"/>
      <c r="H83" s="111"/>
      <c r="I83" s="107" t="str">
        <f t="shared" si="10"/>
        <v/>
      </c>
      <c r="J83" s="112" t="str">
        <f t="shared" si="11"/>
        <v/>
      </c>
      <c r="K83" s="113" t="str">
        <f>IF(B83="","Pending",IF(M83="","⚠️ Enter Code",IF(IFERROR(VLOOKUP(L83,DB_Agents!$B:$I,8,0),"")=M83,"Pending","🔒 BLOCKED — Wrong Code")))</f>
        <v>Pending</v>
      </c>
      <c r="L83" s="23"/>
      <c r="M83" s="84"/>
      <c r="N83" s="87"/>
    </row>
    <row r="84" spans="1:14" x14ac:dyDescent="0.25">
      <c r="A84" s="92" t="str">
        <f t="shared" si="8"/>
        <v/>
      </c>
      <c r="B84" s="88"/>
      <c r="C84" s="25" t="str">
        <f>IF(B84="","",IFERROR(VLOOKUP(B84,DB_Customers!$A:$D,4,0),"❌ Account Not Found"))</f>
        <v/>
      </c>
      <c r="D84" s="90" t="str">
        <f t="shared" ca="1" si="9"/>
        <v/>
      </c>
      <c r="E84" s="104"/>
      <c r="F84" s="25"/>
      <c r="G84" s="105"/>
      <c r="H84" s="106"/>
      <c r="I84" s="107" t="str">
        <f t="shared" si="10"/>
        <v/>
      </c>
      <c r="J84" s="108" t="str">
        <f t="shared" si="11"/>
        <v/>
      </c>
      <c r="K84" s="109" t="str">
        <f>IF(B84="","Pending",IF(M84="","⚠️ Enter Code",IF(IFERROR(VLOOKUP(L84,DB_Agents!$B:$I,8,0),"")=M84,"Pending","🔒 BLOCKED — Wrong Code")))</f>
        <v>Pending</v>
      </c>
      <c r="L84" s="27"/>
      <c r="M84" s="84"/>
      <c r="N84" s="94"/>
    </row>
    <row r="85" spans="1:14" x14ac:dyDescent="0.25">
      <c r="A85" s="85" t="str">
        <f t="shared" si="8"/>
        <v/>
      </c>
      <c r="B85" s="79"/>
      <c r="C85" s="21" t="str">
        <f>IF(B85="","",IFERROR(VLOOKUP(B85,DB_Customers!$A:$D,4,0),"❌ Account Not Found"))</f>
        <v/>
      </c>
      <c r="D85" s="81" t="str">
        <f t="shared" ca="1" si="9"/>
        <v/>
      </c>
      <c r="E85" s="104"/>
      <c r="F85" s="21"/>
      <c r="G85" s="110"/>
      <c r="H85" s="111"/>
      <c r="I85" s="107" t="str">
        <f t="shared" si="10"/>
        <v/>
      </c>
      <c r="J85" s="112" t="str">
        <f t="shared" si="11"/>
        <v/>
      </c>
      <c r="K85" s="113" t="str">
        <f>IF(B85="","Pending",IF(M85="","⚠️ Enter Code",IF(IFERROR(VLOOKUP(L85,DB_Agents!$B:$I,8,0),"")=M85,"Pending","🔒 BLOCKED — Wrong Code")))</f>
        <v>Pending</v>
      </c>
      <c r="L85" s="23"/>
      <c r="M85" s="84"/>
      <c r="N85" s="87"/>
    </row>
    <row r="86" spans="1:14" x14ac:dyDescent="0.25">
      <c r="A86" s="92" t="str">
        <f t="shared" si="8"/>
        <v/>
      </c>
      <c r="B86" s="88"/>
      <c r="C86" s="25" t="str">
        <f>IF(B86="","",IFERROR(VLOOKUP(B86,DB_Customers!$A:$D,4,0),"❌ Account Not Found"))</f>
        <v/>
      </c>
      <c r="D86" s="90" t="str">
        <f t="shared" ca="1" si="9"/>
        <v/>
      </c>
      <c r="E86" s="104"/>
      <c r="F86" s="25"/>
      <c r="G86" s="105"/>
      <c r="H86" s="106"/>
      <c r="I86" s="107" t="str">
        <f t="shared" si="10"/>
        <v/>
      </c>
      <c r="J86" s="108" t="str">
        <f t="shared" si="11"/>
        <v/>
      </c>
      <c r="K86" s="109" t="str">
        <f>IF(B86="","Pending",IF(M86="","⚠️ Enter Code",IF(IFERROR(VLOOKUP(L86,DB_Agents!$B:$I,8,0),"")=M86,"Pending","🔒 BLOCKED — Wrong Code")))</f>
        <v>Pending</v>
      </c>
      <c r="L86" s="27"/>
      <c r="M86" s="84"/>
      <c r="N86" s="94"/>
    </row>
    <row r="87" spans="1:14" x14ac:dyDescent="0.25">
      <c r="A87" s="85" t="str">
        <f t="shared" si="8"/>
        <v/>
      </c>
      <c r="B87" s="79"/>
      <c r="C87" s="21" t="str">
        <f>IF(B87="","",IFERROR(VLOOKUP(B87,DB_Customers!$A:$D,4,0),"❌ Account Not Found"))</f>
        <v/>
      </c>
      <c r="D87" s="81" t="str">
        <f t="shared" ca="1" si="9"/>
        <v/>
      </c>
      <c r="E87" s="104"/>
      <c r="F87" s="21"/>
      <c r="G87" s="110"/>
      <c r="H87" s="111"/>
      <c r="I87" s="107" t="str">
        <f t="shared" si="10"/>
        <v/>
      </c>
      <c r="J87" s="112" t="str">
        <f t="shared" si="11"/>
        <v/>
      </c>
      <c r="K87" s="113" t="str">
        <f>IF(B87="","Pending",IF(M87="","⚠️ Enter Code",IF(IFERROR(VLOOKUP(L87,DB_Agents!$B:$I,8,0),"")=M87,"Pending","🔒 BLOCKED — Wrong Code")))</f>
        <v>Pending</v>
      </c>
      <c r="L87" s="23"/>
      <c r="M87" s="84"/>
      <c r="N87" s="87"/>
    </row>
    <row r="88" spans="1:14" x14ac:dyDescent="0.25">
      <c r="A88" s="92" t="str">
        <f t="shared" si="8"/>
        <v/>
      </c>
      <c r="B88" s="88"/>
      <c r="C88" s="25" t="str">
        <f>IF(B88="","",IFERROR(VLOOKUP(B88,DB_Customers!$A:$D,4,0),"❌ Account Not Found"))</f>
        <v/>
      </c>
      <c r="D88" s="90" t="str">
        <f t="shared" ca="1" si="9"/>
        <v/>
      </c>
      <c r="E88" s="104"/>
      <c r="F88" s="25"/>
      <c r="G88" s="105"/>
      <c r="H88" s="106"/>
      <c r="I88" s="107" t="str">
        <f t="shared" si="10"/>
        <v/>
      </c>
      <c r="J88" s="108" t="str">
        <f t="shared" si="11"/>
        <v/>
      </c>
      <c r="K88" s="109" t="str">
        <f>IF(B88="","Pending",IF(M88="","⚠️ Enter Code",IF(IFERROR(VLOOKUP(L88,DB_Agents!$B:$I,8,0),"")=M88,"Pending","🔒 BLOCKED — Wrong Code")))</f>
        <v>Pending</v>
      </c>
      <c r="L88" s="27"/>
      <c r="M88" s="84"/>
      <c r="N88" s="94"/>
    </row>
    <row r="89" spans="1:14" x14ac:dyDescent="0.25">
      <c r="A89" s="85" t="str">
        <f t="shared" si="8"/>
        <v/>
      </c>
      <c r="B89" s="79"/>
      <c r="C89" s="21" t="str">
        <f>IF(B89="","",IFERROR(VLOOKUP(B89,DB_Customers!$A:$D,4,0),"❌ Account Not Found"))</f>
        <v/>
      </c>
      <c r="D89" s="81" t="str">
        <f t="shared" ca="1" si="9"/>
        <v/>
      </c>
      <c r="E89" s="104"/>
      <c r="F89" s="21"/>
      <c r="G89" s="110"/>
      <c r="H89" s="111"/>
      <c r="I89" s="107" t="str">
        <f t="shared" si="10"/>
        <v/>
      </c>
      <c r="J89" s="112" t="str">
        <f t="shared" si="11"/>
        <v/>
      </c>
      <c r="K89" s="113" t="str">
        <f>IF(B89="","Pending",IF(M89="","⚠️ Enter Code",IF(IFERROR(VLOOKUP(L89,DB_Agents!$B:$I,8,0),"")=M89,"Pending","🔒 BLOCKED — Wrong Code")))</f>
        <v>Pending</v>
      </c>
      <c r="L89" s="23"/>
      <c r="M89" s="84"/>
      <c r="N89" s="87"/>
    </row>
    <row r="90" spans="1:14" x14ac:dyDescent="0.25">
      <c r="A90" s="92" t="str">
        <f t="shared" si="8"/>
        <v/>
      </c>
      <c r="B90" s="88"/>
      <c r="C90" s="25" t="str">
        <f>IF(B90="","",IFERROR(VLOOKUP(B90,DB_Customers!$A:$D,4,0),"❌ Account Not Found"))</f>
        <v/>
      </c>
      <c r="D90" s="90" t="str">
        <f t="shared" ca="1" si="9"/>
        <v/>
      </c>
      <c r="E90" s="104"/>
      <c r="F90" s="25"/>
      <c r="G90" s="105"/>
      <c r="H90" s="106"/>
      <c r="I90" s="107" t="str">
        <f t="shared" si="10"/>
        <v/>
      </c>
      <c r="J90" s="108" t="str">
        <f t="shared" si="11"/>
        <v/>
      </c>
      <c r="K90" s="109" t="str">
        <f>IF(B90="","Pending",IF(M90="","⚠️ Enter Code",IF(IFERROR(VLOOKUP(L90,DB_Agents!$B:$I,8,0),"")=M90,"Pending","🔒 BLOCKED — Wrong Code")))</f>
        <v>Pending</v>
      </c>
      <c r="L90" s="27"/>
      <c r="M90" s="84"/>
      <c r="N90" s="94"/>
    </row>
    <row r="91" spans="1:14" x14ac:dyDescent="0.25">
      <c r="A91" s="85" t="str">
        <f t="shared" si="8"/>
        <v/>
      </c>
      <c r="B91" s="79"/>
      <c r="C91" s="21" t="str">
        <f>IF(B91="","",IFERROR(VLOOKUP(B91,DB_Customers!$A:$D,4,0),"❌ Account Not Found"))</f>
        <v/>
      </c>
      <c r="D91" s="81" t="str">
        <f t="shared" ca="1" si="9"/>
        <v/>
      </c>
      <c r="E91" s="104"/>
      <c r="F91" s="21"/>
      <c r="G91" s="110"/>
      <c r="H91" s="111"/>
      <c r="I91" s="107" t="str">
        <f t="shared" si="10"/>
        <v/>
      </c>
      <c r="J91" s="112" t="str">
        <f t="shared" si="11"/>
        <v/>
      </c>
      <c r="K91" s="113" t="str">
        <f>IF(B91="","Pending",IF(M91="","⚠️ Enter Code",IF(IFERROR(VLOOKUP(L91,DB_Agents!$B:$I,8,0),"")=M91,"Pending","🔒 BLOCKED — Wrong Code")))</f>
        <v>Pending</v>
      </c>
      <c r="L91" s="23"/>
      <c r="M91" s="84"/>
      <c r="N91" s="87"/>
    </row>
    <row r="92" spans="1:14" x14ac:dyDescent="0.25">
      <c r="A92" s="92" t="str">
        <f t="shared" si="8"/>
        <v/>
      </c>
      <c r="B92" s="88"/>
      <c r="C92" s="25" t="str">
        <f>IF(B92="","",IFERROR(VLOOKUP(B92,DB_Customers!$A:$D,4,0),"❌ Account Not Found"))</f>
        <v/>
      </c>
      <c r="D92" s="90" t="str">
        <f t="shared" ca="1" si="9"/>
        <v/>
      </c>
      <c r="E92" s="104"/>
      <c r="F92" s="25"/>
      <c r="G92" s="105"/>
      <c r="H92" s="106"/>
      <c r="I92" s="107" t="str">
        <f t="shared" si="10"/>
        <v/>
      </c>
      <c r="J92" s="108" t="str">
        <f t="shared" si="11"/>
        <v/>
      </c>
      <c r="K92" s="109" t="str">
        <f>IF(B92="","Pending",IF(M92="","⚠️ Enter Code",IF(IFERROR(VLOOKUP(L92,DB_Agents!$B:$I,8,0),"")=M92,"Pending","🔒 BLOCKED — Wrong Code")))</f>
        <v>Pending</v>
      </c>
      <c r="L92" s="27"/>
      <c r="M92" s="84"/>
      <c r="N92" s="94"/>
    </row>
    <row r="93" spans="1:14" x14ac:dyDescent="0.25">
      <c r="A93" s="85" t="str">
        <f t="shared" si="8"/>
        <v/>
      </c>
      <c r="B93" s="79"/>
      <c r="C93" s="21" t="str">
        <f>IF(B93="","",IFERROR(VLOOKUP(B93,DB_Customers!$A:$D,4,0),"❌ Account Not Found"))</f>
        <v/>
      </c>
      <c r="D93" s="81" t="str">
        <f t="shared" ca="1" si="9"/>
        <v/>
      </c>
      <c r="E93" s="104"/>
      <c r="F93" s="21"/>
      <c r="G93" s="110"/>
      <c r="H93" s="111"/>
      <c r="I93" s="107" t="str">
        <f t="shared" si="10"/>
        <v/>
      </c>
      <c r="J93" s="112" t="str">
        <f t="shared" si="11"/>
        <v/>
      </c>
      <c r="K93" s="113" t="str">
        <f>IF(B93="","Pending",IF(M93="","⚠️ Enter Code",IF(IFERROR(VLOOKUP(L93,DB_Agents!$B:$I,8,0),"")=M93,"Pending","🔒 BLOCKED — Wrong Code")))</f>
        <v>Pending</v>
      </c>
      <c r="L93" s="23"/>
      <c r="M93" s="84"/>
      <c r="N93" s="87"/>
    </row>
    <row r="94" spans="1:14" x14ac:dyDescent="0.25">
      <c r="A94" s="92" t="str">
        <f t="shared" si="8"/>
        <v/>
      </c>
      <c r="B94" s="88"/>
      <c r="C94" s="25" t="str">
        <f>IF(B94="","",IFERROR(VLOOKUP(B94,DB_Customers!$A:$D,4,0),"❌ Account Not Found"))</f>
        <v/>
      </c>
      <c r="D94" s="90" t="str">
        <f t="shared" ca="1" si="9"/>
        <v/>
      </c>
      <c r="E94" s="104"/>
      <c r="F94" s="25"/>
      <c r="G94" s="105"/>
      <c r="H94" s="106"/>
      <c r="I94" s="107" t="str">
        <f t="shared" si="10"/>
        <v/>
      </c>
      <c r="J94" s="108" t="str">
        <f t="shared" si="11"/>
        <v/>
      </c>
      <c r="K94" s="109" t="str">
        <f>IF(B94="","Pending",IF(M94="","⚠️ Enter Code",IF(IFERROR(VLOOKUP(L94,DB_Agents!$B:$I,8,0),"")=M94,"Pending","🔒 BLOCKED — Wrong Code")))</f>
        <v>Pending</v>
      </c>
      <c r="L94" s="27"/>
      <c r="M94" s="84"/>
      <c r="N94" s="94"/>
    </row>
    <row r="95" spans="1:14" x14ac:dyDescent="0.25">
      <c r="A95" s="85" t="str">
        <f t="shared" si="8"/>
        <v/>
      </c>
      <c r="B95" s="79"/>
      <c r="C95" s="21" t="str">
        <f>IF(B95="","",IFERROR(VLOOKUP(B95,DB_Customers!$A:$D,4,0),"❌ Account Not Found"))</f>
        <v/>
      </c>
      <c r="D95" s="81" t="str">
        <f t="shared" ca="1" si="9"/>
        <v/>
      </c>
      <c r="E95" s="104"/>
      <c r="F95" s="21"/>
      <c r="G95" s="110"/>
      <c r="H95" s="111"/>
      <c r="I95" s="107" t="str">
        <f t="shared" si="10"/>
        <v/>
      </c>
      <c r="J95" s="112" t="str">
        <f t="shared" si="11"/>
        <v/>
      </c>
      <c r="K95" s="113" t="str">
        <f>IF(B95="","Pending",IF(M95="","⚠️ Enter Code",IF(IFERROR(VLOOKUP(L95,DB_Agents!$B:$I,8,0),"")=M95,"Pending","🔒 BLOCKED — Wrong Code")))</f>
        <v>Pending</v>
      </c>
      <c r="L95" s="23"/>
      <c r="M95" s="84"/>
      <c r="N95" s="87"/>
    </row>
    <row r="96" spans="1:14" x14ac:dyDescent="0.25">
      <c r="A96" s="92" t="str">
        <f t="shared" si="8"/>
        <v/>
      </c>
      <c r="B96" s="88"/>
      <c r="C96" s="25" t="str">
        <f>IF(B96="","",IFERROR(VLOOKUP(B96,DB_Customers!$A:$D,4,0),"❌ Account Not Found"))</f>
        <v/>
      </c>
      <c r="D96" s="90" t="str">
        <f t="shared" ca="1" si="9"/>
        <v/>
      </c>
      <c r="E96" s="104"/>
      <c r="F96" s="25"/>
      <c r="G96" s="105"/>
      <c r="H96" s="106"/>
      <c r="I96" s="107" t="str">
        <f t="shared" si="10"/>
        <v/>
      </c>
      <c r="J96" s="108" t="str">
        <f t="shared" si="11"/>
        <v/>
      </c>
      <c r="K96" s="109" t="str">
        <f>IF(B96="","Pending",IF(M96="","⚠️ Enter Code",IF(IFERROR(VLOOKUP(L96,DB_Agents!$B:$I,8,0),"")=M96,"Pending","🔒 BLOCKED — Wrong Code")))</f>
        <v>Pending</v>
      </c>
      <c r="L96" s="27"/>
      <c r="M96" s="84"/>
      <c r="N96" s="94"/>
    </row>
    <row r="97" spans="1:14" x14ac:dyDescent="0.25">
      <c r="A97" s="85" t="str">
        <f t="shared" si="8"/>
        <v/>
      </c>
      <c r="B97" s="79"/>
      <c r="C97" s="21" t="str">
        <f>IF(B97="","",IFERROR(VLOOKUP(B97,DB_Customers!$A:$D,4,0),"❌ Account Not Found"))</f>
        <v/>
      </c>
      <c r="D97" s="81" t="str">
        <f t="shared" ca="1" si="9"/>
        <v/>
      </c>
      <c r="E97" s="104"/>
      <c r="F97" s="21"/>
      <c r="G97" s="110"/>
      <c r="H97" s="111"/>
      <c r="I97" s="107" t="str">
        <f t="shared" si="10"/>
        <v/>
      </c>
      <c r="J97" s="112" t="str">
        <f t="shared" si="11"/>
        <v/>
      </c>
      <c r="K97" s="113" t="str">
        <f>IF(B97="","Pending",IF(M97="","⚠️ Enter Code",IF(IFERROR(VLOOKUP(L97,DB_Agents!$B:$I,8,0),"")=M97,"Pending","🔒 BLOCKED — Wrong Code")))</f>
        <v>Pending</v>
      </c>
      <c r="L97" s="23"/>
      <c r="M97" s="84"/>
      <c r="N97" s="87"/>
    </row>
    <row r="98" spans="1:14" x14ac:dyDescent="0.25">
      <c r="A98" s="92" t="str">
        <f t="shared" si="8"/>
        <v/>
      </c>
      <c r="B98" s="88"/>
      <c r="C98" s="25" t="str">
        <f>IF(B98="","",IFERROR(VLOOKUP(B98,DB_Customers!$A:$D,4,0),"❌ Account Not Found"))</f>
        <v/>
      </c>
      <c r="D98" s="90" t="str">
        <f t="shared" ca="1" si="9"/>
        <v/>
      </c>
      <c r="E98" s="104"/>
      <c r="F98" s="25"/>
      <c r="G98" s="105"/>
      <c r="H98" s="106"/>
      <c r="I98" s="107" t="str">
        <f t="shared" si="10"/>
        <v/>
      </c>
      <c r="J98" s="108" t="str">
        <f t="shared" si="11"/>
        <v/>
      </c>
      <c r="K98" s="109" t="str">
        <f>IF(B98="","Pending",IF(M98="","⚠️ Enter Code",IF(IFERROR(VLOOKUP(L98,DB_Agents!$B:$I,8,0),"")=M98,"Pending","🔒 BLOCKED — Wrong Code")))</f>
        <v>Pending</v>
      </c>
      <c r="L98" s="27"/>
      <c r="M98" s="84"/>
      <c r="N98" s="94"/>
    </row>
    <row r="99" spans="1:14" x14ac:dyDescent="0.25">
      <c r="A99" s="85" t="str">
        <f t="shared" si="8"/>
        <v/>
      </c>
      <c r="B99" s="79"/>
      <c r="C99" s="21" t="str">
        <f>IF(B99="","",IFERROR(VLOOKUP(B99,DB_Customers!$A:$D,4,0),"❌ Account Not Found"))</f>
        <v/>
      </c>
      <c r="D99" s="81" t="str">
        <f t="shared" ca="1" si="9"/>
        <v/>
      </c>
      <c r="E99" s="104"/>
      <c r="F99" s="21"/>
      <c r="G99" s="110"/>
      <c r="H99" s="111"/>
      <c r="I99" s="107" t="str">
        <f t="shared" si="10"/>
        <v/>
      </c>
      <c r="J99" s="112" t="str">
        <f t="shared" si="11"/>
        <v/>
      </c>
      <c r="K99" s="113" t="str">
        <f>IF(B99="","Pending",IF(M99="","⚠️ Enter Code",IF(IFERROR(VLOOKUP(L99,DB_Agents!$B:$I,8,0),"")=M99,"Pending","🔒 BLOCKED — Wrong Code")))</f>
        <v>Pending</v>
      </c>
      <c r="L99" s="23"/>
      <c r="M99" s="84"/>
      <c r="N99" s="87"/>
    </row>
    <row r="100" spans="1:14" x14ac:dyDescent="0.25">
      <c r="A100" s="92" t="str">
        <f t="shared" si="8"/>
        <v/>
      </c>
      <c r="B100" s="88"/>
      <c r="C100" s="25" t="str">
        <f>IF(B100="","",IFERROR(VLOOKUP(B100,DB_Customers!$A:$D,4,0),"❌ Account Not Found"))</f>
        <v/>
      </c>
      <c r="D100" s="90" t="str">
        <f t="shared" ca="1" si="9"/>
        <v/>
      </c>
      <c r="E100" s="104"/>
      <c r="F100" s="25"/>
      <c r="G100" s="105"/>
      <c r="H100" s="106"/>
      <c r="I100" s="107" t="str">
        <f t="shared" si="10"/>
        <v/>
      </c>
      <c r="J100" s="108" t="str">
        <f t="shared" si="11"/>
        <v/>
      </c>
      <c r="K100" s="109" t="str">
        <f>IF(B100="","Pending",IF(M100="","⚠️ Enter Code",IF(IFERROR(VLOOKUP(L100,DB_Agents!$B:$I,8,0),"")=M100,"Pending","🔒 BLOCKED — Wrong Code")))</f>
        <v>Pending</v>
      </c>
      <c r="L100" s="27"/>
      <c r="M100" s="84"/>
      <c r="N100" s="94"/>
    </row>
    <row r="101" spans="1:14" x14ac:dyDescent="0.25">
      <c r="A101" s="85" t="str">
        <f t="shared" si="8"/>
        <v/>
      </c>
      <c r="B101" s="79"/>
      <c r="C101" s="21" t="str">
        <f>IF(B101="","",IFERROR(VLOOKUP(B101,DB_Customers!$A:$D,4,0),"❌ Account Not Found"))</f>
        <v/>
      </c>
      <c r="D101" s="81" t="str">
        <f t="shared" ca="1" si="9"/>
        <v/>
      </c>
      <c r="E101" s="104"/>
      <c r="F101" s="21"/>
      <c r="G101" s="110"/>
      <c r="H101" s="111"/>
      <c r="I101" s="107" t="str">
        <f t="shared" si="10"/>
        <v/>
      </c>
      <c r="J101" s="112" t="str">
        <f t="shared" si="11"/>
        <v/>
      </c>
      <c r="K101" s="113" t="str">
        <f>IF(B101="","Pending",IF(M101="","⚠️ Enter Code",IF(IFERROR(VLOOKUP(L101,DB_Agents!$B:$I,8,0),"")=M101,"Pending","🔒 BLOCKED — Wrong Code")))</f>
        <v>Pending</v>
      </c>
      <c r="L101" s="23"/>
      <c r="M101" s="84"/>
      <c r="N101" s="87"/>
    </row>
    <row r="102" spans="1:14" x14ac:dyDescent="0.25">
      <c r="A102" s="92" t="str">
        <f t="shared" si="8"/>
        <v/>
      </c>
      <c r="B102" s="88"/>
      <c r="C102" s="25" t="str">
        <f>IF(B102="","",IFERROR(VLOOKUP(B102,DB_Customers!$A:$D,4,0),"❌ Account Not Found"))</f>
        <v/>
      </c>
      <c r="D102" s="90" t="str">
        <f t="shared" ca="1" si="9"/>
        <v/>
      </c>
      <c r="E102" s="104"/>
      <c r="F102" s="25"/>
      <c r="G102" s="105"/>
      <c r="H102" s="106"/>
      <c r="I102" s="107" t="str">
        <f t="shared" si="10"/>
        <v/>
      </c>
      <c r="J102" s="108" t="str">
        <f t="shared" si="11"/>
        <v/>
      </c>
      <c r="K102" s="109" t="str">
        <f>IF(B102="","Pending",IF(M102="","⚠️ Enter Code",IF(IFERROR(VLOOKUP(L102,DB_Agents!$B:$I,8,0),"")=M102,"Pending","🔒 BLOCKED — Wrong Code")))</f>
        <v>Pending</v>
      </c>
      <c r="L102" s="27"/>
      <c r="M102" s="84"/>
      <c r="N102" s="94"/>
    </row>
    <row r="103" spans="1:14" x14ac:dyDescent="0.25">
      <c r="A103" s="85" t="str">
        <f t="shared" si="8"/>
        <v/>
      </c>
      <c r="B103" s="79"/>
      <c r="C103" s="21" t="str">
        <f>IF(B103="","",IFERROR(VLOOKUP(B103,DB_Customers!$A:$D,4,0),"❌ Account Not Found"))</f>
        <v/>
      </c>
      <c r="D103" s="81" t="str">
        <f t="shared" ca="1" si="9"/>
        <v/>
      </c>
      <c r="E103" s="104"/>
      <c r="F103" s="21"/>
      <c r="G103" s="110"/>
      <c r="H103" s="111"/>
      <c r="I103" s="107" t="str">
        <f t="shared" si="10"/>
        <v/>
      </c>
      <c r="J103" s="112" t="str">
        <f t="shared" si="11"/>
        <v/>
      </c>
      <c r="K103" s="113" t="str">
        <f>IF(B103="","Pending",IF(M103="","⚠️ Enter Code",IF(IFERROR(VLOOKUP(L103,DB_Agents!$B:$I,8,0),"")=M103,"Pending","🔒 BLOCKED — Wrong Code")))</f>
        <v>Pending</v>
      </c>
      <c r="L103" s="23"/>
      <c r="M103" s="84"/>
      <c r="N103" s="87"/>
    </row>
    <row r="104" spans="1:14" x14ac:dyDescent="0.25">
      <c r="A104" s="92" t="str">
        <f t="shared" si="8"/>
        <v/>
      </c>
      <c r="B104" s="88"/>
      <c r="C104" s="25" t="str">
        <f>IF(B104="","",IFERROR(VLOOKUP(B104,DB_Customers!$A:$D,4,0),"❌ Account Not Found"))</f>
        <v/>
      </c>
      <c r="D104" s="90" t="str">
        <f t="shared" ca="1" si="9"/>
        <v/>
      </c>
      <c r="E104" s="104"/>
      <c r="F104" s="25"/>
      <c r="G104" s="105"/>
      <c r="H104" s="106"/>
      <c r="I104" s="107" t="str">
        <f t="shared" si="10"/>
        <v/>
      </c>
      <c r="J104" s="108" t="str">
        <f t="shared" si="11"/>
        <v/>
      </c>
      <c r="K104" s="109" t="str">
        <f>IF(B104="","Pending",IF(M104="","⚠️ Enter Code",IF(IFERROR(VLOOKUP(L104,DB_Agents!$B:$I,8,0),"")=M104,"Pending","🔒 BLOCKED — Wrong Code")))</f>
        <v>Pending</v>
      </c>
      <c r="L104" s="27"/>
      <c r="M104" s="84"/>
      <c r="N104" s="94"/>
    </row>
    <row r="105" spans="1:14" x14ac:dyDescent="0.25">
      <c r="A105" s="85" t="str">
        <f t="shared" si="8"/>
        <v/>
      </c>
      <c r="B105" s="79"/>
      <c r="C105" s="21" t="str">
        <f>IF(B105="","",IFERROR(VLOOKUP(B105,DB_Customers!$A:$D,4,0),"❌ Account Not Found"))</f>
        <v/>
      </c>
      <c r="D105" s="81" t="str">
        <f t="shared" ca="1" si="9"/>
        <v/>
      </c>
      <c r="E105" s="104"/>
      <c r="F105" s="21"/>
      <c r="G105" s="110"/>
      <c r="H105" s="111"/>
      <c r="I105" s="107" t="str">
        <f t="shared" si="10"/>
        <v/>
      </c>
      <c r="J105" s="112" t="str">
        <f t="shared" si="11"/>
        <v/>
      </c>
      <c r="K105" s="113" t="str">
        <f>IF(B105="","Pending",IF(M105="","⚠️ Enter Code",IF(IFERROR(VLOOKUP(L105,DB_Agents!$B:$I,8,0),"")=M105,"Pending","🔒 BLOCKED — Wrong Code")))</f>
        <v>Pending</v>
      </c>
      <c r="L105" s="23"/>
      <c r="M105" s="84"/>
      <c r="N105" s="87"/>
    </row>
    <row r="106" spans="1:14" x14ac:dyDescent="0.25">
      <c r="A106" s="92" t="str">
        <f t="shared" si="8"/>
        <v/>
      </c>
      <c r="B106" s="88"/>
      <c r="C106" s="25" t="str">
        <f>IF(B106="","",IFERROR(VLOOKUP(B106,DB_Customers!$A:$D,4,0),"❌ Account Not Found"))</f>
        <v/>
      </c>
      <c r="D106" s="90" t="str">
        <f t="shared" ca="1" si="9"/>
        <v/>
      </c>
      <c r="E106" s="104"/>
      <c r="F106" s="25"/>
      <c r="G106" s="105"/>
      <c r="H106" s="106"/>
      <c r="I106" s="107" t="str">
        <f t="shared" si="10"/>
        <v/>
      </c>
      <c r="J106" s="108" t="str">
        <f t="shared" si="11"/>
        <v/>
      </c>
      <c r="K106" s="109" t="str">
        <f>IF(B106="","Pending",IF(M106="","⚠️ Enter Code",IF(IFERROR(VLOOKUP(L106,DB_Agents!$B:$I,8,0),"")=M106,"Pending","🔒 BLOCKED — Wrong Code")))</f>
        <v>Pending</v>
      </c>
      <c r="L106" s="27"/>
      <c r="M106" s="84"/>
      <c r="N106" s="94"/>
    </row>
    <row r="107" spans="1:14" x14ac:dyDescent="0.25">
      <c r="A107" s="85" t="str">
        <f t="shared" si="8"/>
        <v/>
      </c>
      <c r="B107" s="79"/>
      <c r="C107" s="21" t="str">
        <f>IF(B107="","",IFERROR(VLOOKUP(B107,DB_Customers!$A:$D,4,0),"❌ Account Not Found"))</f>
        <v/>
      </c>
      <c r="D107" s="81" t="str">
        <f t="shared" ca="1" si="9"/>
        <v/>
      </c>
      <c r="E107" s="104"/>
      <c r="F107" s="21"/>
      <c r="G107" s="110"/>
      <c r="H107" s="111"/>
      <c r="I107" s="107" t="str">
        <f t="shared" si="10"/>
        <v/>
      </c>
      <c r="J107" s="112" t="str">
        <f t="shared" si="11"/>
        <v/>
      </c>
      <c r="K107" s="113" t="str">
        <f>IF(B107="","Pending",IF(M107="","⚠️ Enter Code",IF(IFERROR(VLOOKUP(L107,DB_Agents!$B:$I,8,0),"")=M107,"Pending","🔒 BLOCKED — Wrong Code")))</f>
        <v>Pending</v>
      </c>
      <c r="L107" s="23"/>
      <c r="M107" s="84"/>
      <c r="N107" s="87"/>
    </row>
    <row r="108" spans="1:14" x14ac:dyDescent="0.25">
      <c r="A108" s="92" t="str">
        <f t="shared" si="8"/>
        <v/>
      </c>
      <c r="B108" s="88"/>
      <c r="C108" s="25" t="str">
        <f>IF(B108="","",IFERROR(VLOOKUP(B108,DB_Customers!$A:$D,4,0),"❌ Account Not Found"))</f>
        <v/>
      </c>
      <c r="D108" s="90" t="str">
        <f t="shared" ca="1" si="9"/>
        <v/>
      </c>
      <c r="E108" s="104"/>
      <c r="F108" s="25"/>
      <c r="G108" s="105"/>
      <c r="H108" s="106"/>
      <c r="I108" s="107" t="str">
        <f t="shared" si="10"/>
        <v/>
      </c>
      <c r="J108" s="108" t="str">
        <f t="shared" si="11"/>
        <v/>
      </c>
      <c r="K108" s="109" t="str">
        <f>IF(B108="","Pending",IF(M108="","⚠️ Enter Code",IF(IFERROR(VLOOKUP(L108,DB_Agents!$B:$I,8,0),"")=M108,"Pending","🔒 BLOCKED — Wrong Code")))</f>
        <v>Pending</v>
      </c>
      <c r="L108" s="27"/>
      <c r="M108" s="84"/>
      <c r="N108" s="94"/>
    </row>
    <row r="109" spans="1:14" x14ac:dyDescent="0.25">
      <c r="A109" s="85" t="str">
        <f t="shared" si="8"/>
        <v/>
      </c>
      <c r="B109" s="79"/>
      <c r="C109" s="21" t="str">
        <f>IF(B109="","",IFERROR(VLOOKUP(B109,DB_Customers!$A:$D,4,0),"❌ Account Not Found"))</f>
        <v/>
      </c>
      <c r="D109" s="81" t="str">
        <f t="shared" ca="1" si="9"/>
        <v/>
      </c>
      <c r="E109" s="104"/>
      <c r="F109" s="21"/>
      <c r="G109" s="110"/>
      <c r="H109" s="111"/>
      <c r="I109" s="107" t="str">
        <f t="shared" si="10"/>
        <v/>
      </c>
      <c r="J109" s="112" t="str">
        <f t="shared" si="11"/>
        <v/>
      </c>
      <c r="K109" s="113" t="str">
        <f>IF(B109="","Pending",IF(M109="","⚠️ Enter Code",IF(IFERROR(VLOOKUP(L109,DB_Agents!$B:$I,8,0),"")=M109,"Pending","🔒 BLOCKED — Wrong Code")))</f>
        <v>Pending</v>
      </c>
      <c r="L109" s="23"/>
      <c r="M109" s="84"/>
      <c r="N109" s="87"/>
    </row>
    <row r="110" spans="1:14" x14ac:dyDescent="0.25">
      <c r="A110" s="92" t="str">
        <f t="shared" ref="A110:A141" si="12">IF(B110="","",IF(C110="❌ Account Not Found","INVALID","LN"&amp;TEXT(D110,"YYYYMMDD")&amp;TEXT(ROW()-13,"0000")))</f>
        <v/>
      </c>
      <c r="B110" s="88"/>
      <c r="C110" s="25" t="str">
        <f>IF(B110="","",IFERROR(VLOOKUP(B110,DB_Customers!$A:$D,4,0),"❌ Account Not Found"))</f>
        <v/>
      </c>
      <c r="D110" s="90" t="str">
        <f t="shared" ca="1" si="9"/>
        <v/>
      </c>
      <c r="E110" s="104"/>
      <c r="F110" s="25"/>
      <c r="G110" s="105"/>
      <c r="H110" s="106"/>
      <c r="I110" s="107" t="str">
        <f t="shared" ref="I110:I141" si="13">IF(E110="","",E110+(E110*H110/100*G110))</f>
        <v/>
      </c>
      <c r="J110" s="108" t="str">
        <f t="shared" ref="J110:J141" si="14">IFERROR(I110/G110,"")</f>
        <v/>
      </c>
      <c r="K110" s="109" t="str">
        <f>IF(B110="","Pending",IF(M110="","⚠️ Enter Code",IF(IFERROR(VLOOKUP(L110,DB_Agents!$B:$I,8,0),"")=M110,"Pending","🔒 BLOCKED — Wrong Code")))</f>
        <v>Pending</v>
      </c>
      <c r="L110" s="27"/>
      <c r="M110" s="84"/>
      <c r="N110" s="94"/>
    </row>
    <row r="111" spans="1:14" x14ac:dyDescent="0.25">
      <c r="A111" s="85" t="str">
        <f t="shared" si="12"/>
        <v/>
      </c>
      <c r="B111" s="79"/>
      <c r="C111" s="21" t="str">
        <f>IF(B111="","",IFERROR(VLOOKUP(B111,DB_Customers!$A:$D,4,0),"❌ Account Not Found"))</f>
        <v/>
      </c>
      <c r="D111" s="81" t="str">
        <f t="shared" ca="1" si="9"/>
        <v/>
      </c>
      <c r="E111" s="104"/>
      <c r="F111" s="21"/>
      <c r="G111" s="110"/>
      <c r="H111" s="111"/>
      <c r="I111" s="107" t="str">
        <f t="shared" si="13"/>
        <v/>
      </c>
      <c r="J111" s="112" t="str">
        <f t="shared" si="14"/>
        <v/>
      </c>
      <c r="K111" s="113" t="str">
        <f>IF(B111="","Pending",IF(M111="","⚠️ Enter Code",IF(IFERROR(VLOOKUP(L111,DB_Agents!$B:$I,8,0),"")=M111,"Pending","🔒 BLOCKED — Wrong Code")))</f>
        <v>Pending</v>
      </c>
      <c r="L111" s="23"/>
      <c r="M111" s="84"/>
      <c r="N111" s="87"/>
    </row>
    <row r="112" spans="1:14" x14ac:dyDescent="0.25">
      <c r="A112" s="92" t="str">
        <f t="shared" si="12"/>
        <v/>
      </c>
      <c r="B112" s="88"/>
      <c r="C112" s="25" t="str">
        <f>IF(B112="","",IFERROR(VLOOKUP(B112,DB_Customers!$A:$D,4,0),"❌ Account Not Found"))</f>
        <v/>
      </c>
      <c r="D112" s="90" t="str">
        <f t="shared" ca="1" si="9"/>
        <v/>
      </c>
      <c r="E112" s="104"/>
      <c r="F112" s="25"/>
      <c r="G112" s="105"/>
      <c r="H112" s="106"/>
      <c r="I112" s="107" t="str">
        <f t="shared" si="13"/>
        <v/>
      </c>
      <c r="J112" s="108" t="str">
        <f t="shared" si="14"/>
        <v/>
      </c>
      <c r="K112" s="109" t="str">
        <f>IF(B112="","Pending",IF(M112="","⚠️ Enter Code",IF(IFERROR(VLOOKUP(L112,DB_Agents!$B:$I,8,0),"")=M112,"Pending","🔒 BLOCKED — Wrong Code")))</f>
        <v>Pending</v>
      </c>
      <c r="L112" s="27"/>
      <c r="M112" s="84"/>
      <c r="N112" s="94"/>
    </row>
    <row r="113" spans="1:14" x14ac:dyDescent="0.25">
      <c r="A113" s="85" t="str">
        <f t="shared" si="12"/>
        <v/>
      </c>
      <c r="B113" s="79"/>
      <c r="C113" s="21" t="str">
        <f>IF(B113="","",IFERROR(VLOOKUP(B113,DB_Customers!$A:$D,4,0),"❌ Account Not Found"))</f>
        <v/>
      </c>
      <c r="D113" s="81" t="str">
        <f t="shared" ca="1" si="9"/>
        <v/>
      </c>
      <c r="E113" s="104"/>
      <c r="F113" s="21"/>
      <c r="G113" s="110"/>
      <c r="H113" s="111"/>
      <c r="I113" s="107" t="str">
        <f t="shared" si="13"/>
        <v/>
      </c>
      <c r="J113" s="112" t="str">
        <f t="shared" si="14"/>
        <v/>
      </c>
      <c r="K113" s="113" t="str">
        <f>IF(B113="","Pending",IF(M113="","⚠️ Enter Code",IF(IFERROR(VLOOKUP(L113,DB_Agents!$B:$I,8,0),"")=M113,"Pending","🔒 BLOCKED — Wrong Code")))</f>
        <v>Pending</v>
      </c>
      <c r="L113" s="23"/>
      <c r="M113" s="84"/>
      <c r="N113" s="87"/>
    </row>
    <row r="114" spans="1:14" x14ac:dyDescent="0.25">
      <c r="H114" s="114"/>
      <c r="K114" s="115" t="str">
        <f>IF(B114="","Pending",IF(M114="","⚠️ Enter Code",IF(IFERROR(VLOOKUP(L114,DB_Agents!$B:$I,8,0),"")=M114,"Pending","🔒 BLOCKED — Wrong Code")))</f>
        <v>Pending</v>
      </c>
      <c r="M114" s="84"/>
    </row>
    <row r="115" spans="1:14" x14ac:dyDescent="0.25">
      <c r="H115" s="114"/>
      <c r="K115" s="15" t="str">
        <f>IF(B115="","Pending",IF(M115="","⚠️ Enter Code",IF(IFERROR(VLOOKUP(L115,DB_Agents!$B:$I,8,0),"")=M115,"Pending","🔒 BLOCKED — Wrong Code")))</f>
        <v>Pending</v>
      </c>
      <c r="M115" s="84"/>
    </row>
    <row r="116" spans="1:14" x14ac:dyDescent="0.25">
      <c r="H116" s="114"/>
      <c r="K116" s="115" t="str">
        <f>IF(B116="","Pending",IF(M116="","⚠️ Enter Code",IF(IFERROR(VLOOKUP(L116,DB_Agents!$B:$I,8,0),"")=M116,"Pending","🔒 BLOCKED — Wrong Code")))</f>
        <v>Pending</v>
      </c>
      <c r="M116" s="84"/>
    </row>
    <row r="117" spans="1:14" x14ac:dyDescent="0.25">
      <c r="H117" s="114"/>
      <c r="K117" s="15" t="str">
        <f>IF(B117="","Pending",IF(M117="","⚠️ Enter Code",IF(IFERROR(VLOOKUP(L117,DB_Agents!$B:$I,8,0),"")=M117,"Pending","🔒 BLOCKED — Wrong Code")))</f>
        <v>Pending</v>
      </c>
      <c r="M117" s="84"/>
    </row>
    <row r="118" spans="1:14" x14ac:dyDescent="0.25">
      <c r="H118" s="114"/>
      <c r="K118" s="115" t="str">
        <f>IF(B118="","Pending",IF(M118="","⚠️ Enter Code",IF(IFERROR(VLOOKUP(L118,DB_Agents!$B:$I,8,0),"")=M118,"Pending","🔒 BLOCKED — Wrong Code")))</f>
        <v>Pending</v>
      </c>
      <c r="M118" s="84"/>
    </row>
    <row r="119" spans="1:14" x14ac:dyDescent="0.25">
      <c r="H119" s="114"/>
      <c r="K119" s="15" t="str">
        <f>IF(B119="","Pending",IF(M119="","⚠️ Enter Code",IF(IFERROR(VLOOKUP(L119,DB_Agents!$B:$I,8,0),"")=M119,"Pending","🔒 BLOCKED — Wrong Code")))</f>
        <v>Pending</v>
      </c>
      <c r="M119" s="84"/>
    </row>
    <row r="120" spans="1:14" x14ac:dyDescent="0.25">
      <c r="H120" s="114"/>
      <c r="K120" s="115" t="str">
        <f>IF(B120="","Pending",IF(M120="","⚠️ Enter Code",IF(IFERROR(VLOOKUP(L120,DB_Agents!$B:$I,8,0),"")=M120,"Pending","🔒 BLOCKED — Wrong Code")))</f>
        <v>Pending</v>
      </c>
      <c r="M120" s="84"/>
    </row>
    <row r="121" spans="1:14" x14ac:dyDescent="0.25">
      <c r="H121" s="114"/>
      <c r="K121" s="15" t="str">
        <f>IF(B121="","Pending",IF(M121="","⚠️ Enter Code",IF(IFERROR(VLOOKUP(L121,DB_Agents!$B:$I,8,0),"")=M121,"Pending","🔒 BLOCKED — Wrong Code")))</f>
        <v>Pending</v>
      </c>
      <c r="M121" s="84"/>
    </row>
    <row r="122" spans="1:14" x14ac:dyDescent="0.25">
      <c r="H122" s="114"/>
      <c r="K122" s="115" t="str">
        <f>IF(B122="","Pending",IF(M122="","⚠️ Enter Code",IF(IFERROR(VLOOKUP(L122,DB_Agents!$B:$I,8,0),"")=M122,"Pending","🔒 BLOCKED — Wrong Code")))</f>
        <v>Pending</v>
      </c>
      <c r="M122" s="84"/>
    </row>
    <row r="123" spans="1:14" x14ac:dyDescent="0.25">
      <c r="H123" s="114"/>
      <c r="K123" s="15" t="str">
        <f>IF(B123="","Pending",IF(M123="","⚠️ Enter Code",IF(IFERROR(VLOOKUP(L123,DB_Agents!$B:$I,8,0),"")=M123,"Pending","🔒 BLOCKED — Wrong Code")))</f>
        <v>Pending</v>
      </c>
      <c r="M123" s="84"/>
    </row>
    <row r="124" spans="1:14" x14ac:dyDescent="0.25">
      <c r="H124" s="114"/>
      <c r="K124" s="115" t="str">
        <f>IF(B124="","Pending",IF(M124="","⚠️ Enter Code",IF(IFERROR(VLOOKUP(L124,DB_Agents!$B:$I,8,0),"")=M124,"Pending","🔒 BLOCKED — Wrong Code")))</f>
        <v>Pending</v>
      </c>
      <c r="M124" s="84"/>
    </row>
    <row r="125" spans="1:14" x14ac:dyDescent="0.25">
      <c r="H125" s="114"/>
      <c r="K125" s="15" t="str">
        <f>IF(B125="","Pending",IF(M125="","⚠️ Enter Code",IF(IFERROR(VLOOKUP(L125,DB_Agents!$B:$I,8,0),"")=M125,"Pending","🔒 BLOCKED — Wrong Code")))</f>
        <v>Pending</v>
      </c>
      <c r="M125" s="84"/>
    </row>
    <row r="126" spans="1:14" x14ac:dyDescent="0.25">
      <c r="H126" s="114"/>
      <c r="K126" s="115" t="str">
        <f>IF(B126="","Pending",IF(M126="","⚠️ Enter Code",IF(IFERROR(VLOOKUP(L126,DB_Agents!$B:$I,8,0),"")=M126,"Pending","🔒 BLOCKED — Wrong Code")))</f>
        <v>Pending</v>
      </c>
      <c r="M126" s="84"/>
    </row>
    <row r="127" spans="1:14" x14ac:dyDescent="0.25">
      <c r="H127" s="114"/>
      <c r="K127" s="15" t="str">
        <f>IF(B127="","Pending",IF(M127="","⚠️ Enter Code",IF(IFERROR(VLOOKUP(L127,DB_Agents!$B:$I,8,0),"")=M127,"Pending","🔒 BLOCKED — Wrong Code")))</f>
        <v>Pending</v>
      </c>
      <c r="M127" s="84"/>
    </row>
    <row r="128" spans="1:14" x14ac:dyDescent="0.25">
      <c r="H128" s="114"/>
      <c r="K128" s="115" t="str">
        <f>IF(B128="","Pending",IF(M128="","⚠️ Enter Code",IF(IFERROR(VLOOKUP(L128,DB_Agents!$B:$I,8,0),"")=M128,"Pending","🔒 BLOCKED — Wrong Code")))</f>
        <v>Pending</v>
      </c>
      <c r="M128" s="84"/>
    </row>
    <row r="129" spans="8:13" x14ac:dyDescent="0.25">
      <c r="H129" s="114"/>
      <c r="K129" s="15" t="str">
        <f>IF(B129="","Pending",IF(M129="","⚠️ Enter Code",IF(IFERROR(VLOOKUP(L129,DB_Agents!$B:$I,8,0),"")=M129,"Pending","🔒 BLOCKED — Wrong Code")))</f>
        <v>Pending</v>
      </c>
      <c r="M129" s="84"/>
    </row>
    <row r="130" spans="8:13" x14ac:dyDescent="0.25">
      <c r="H130" s="114"/>
      <c r="K130" s="115" t="str">
        <f>IF(B130="","Pending",IF(M130="","⚠️ Enter Code",IF(IFERROR(VLOOKUP(L130,DB_Agents!$B:$I,8,0),"")=M130,"Pending","🔒 BLOCKED — Wrong Code")))</f>
        <v>Pending</v>
      </c>
      <c r="M130" s="84"/>
    </row>
    <row r="131" spans="8:13" x14ac:dyDescent="0.25">
      <c r="H131" s="114"/>
      <c r="K131" s="15" t="str">
        <f>IF(B131="","Pending",IF(M131="","⚠️ Enter Code",IF(IFERROR(VLOOKUP(L131,DB_Agents!$B:$I,8,0),"")=M131,"Pending","🔒 BLOCKED — Wrong Code")))</f>
        <v>Pending</v>
      </c>
      <c r="M131" s="84"/>
    </row>
    <row r="132" spans="8:13" x14ac:dyDescent="0.25">
      <c r="H132" s="114"/>
      <c r="K132" s="115" t="str">
        <f>IF(B132="","Pending",IF(M132="","⚠️ Enter Code",IF(IFERROR(VLOOKUP(L132,DB_Agents!$B:$I,8,0),"")=M132,"Pending","🔒 BLOCKED — Wrong Code")))</f>
        <v>Pending</v>
      </c>
      <c r="M132" s="84"/>
    </row>
    <row r="133" spans="8:13" x14ac:dyDescent="0.25">
      <c r="H133" s="114"/>
      <c r="K133" s="15" t="str">
        <f>IF(B133="","Pending",IF(M133="","⚠️ Enter Code",IF(IFERROR(VLOOKUP(L133,DB_Agents!$B:$I,8,0),"")=M133,"Pending","🔒 BLOCKED — Wrong Code")))</f>
        <v>Pending</v>
      </c>
      <c r="M133" s="84"/>
    </row>
    <row r="134" spans="8:13" x14ac:dyDescent="0.25">
      <c r="H134" s="114"/>
      <c r="K134" s="115" t="str">
        <f>IF(B134="","Pending",IF(M134="","⚠️ Enter Code",IF(IFERROR(VLOOKUP(L134,DB_Agents!$B:$I,8,0),"")=M134,"Pending","🔒 BLOCKED — Wrong Code")))</f>
        <v>Pending</v>
      </c>
      <c r="M134" s="84"/>
    </row>
    <row r="135" spans="8:13" x14ac:dyDescent="0.25">
      <c r="H135" s="114"/>
      <c r="K135" s="15" t="str">
        <f>IF(B135="","Pending",IF(M135="","⚠️ Enter Code",IF(IFERROR(VLOOKUP(L135,DB_Agents!$B:$I,8,0),"")=M135,"Pending","🔒 BLOCKED — Wrong Code")))</f>
        <v>Pending</v>
      </c>
      <c r="M135" s="84"/>
    </row>
    <row r="136" spans="8:13" x14ac:dyDescent="0.25">
      <c r="H136" s="114"/>
      <c r="K136" s="115" t="str">
        <f>IF(B136="","Pending",IF(M136="","⚠️ Enter Code",IF(IFERROR(VLOOKUP(L136,DB_Agents!$B:$I,8,0),"")=M136,"Pending","🔒 BLOCKED — Wrong Code")))</f>
        <v>Pending</v>
      </c>
      <c r="M136" s="84"/>
    </row>
    <row r="137" spans="8:13" x14ac:dyDescent="0.25">
      <c r="H137" s="114"/>
      <c r="K137" s="15" t="str">
        <f>IF(B137="","Pending",IF(M137="","⚠️ Enter Code",IF(IFERROR(VLOOKUP(L137,DB_Agents!$B:$I,8,0),"")=M137,"Pending","🔒 BLOCKED — Wrong Code")))</f>
        <v>Pending</v>
      </c>
      <c r="M137" s="84"/>
    </row>
    <row r="138" spans="8:13" x14ac:dyDescent="0.25">
      <c r="H138" s="114"/>
      <c r="K138" s="115" t="str">
        <f>IF(B138="","Pending",IF(M138="","⚠️ Enter Code",IF(IFERROR(VLOOKUP(L138,DB_Agents!$B:$I,8,0),"")=M138,"Pending","🔒 BLOCKED — Wrong Code")))</f>
        <v>Pending</v>
      </c>
      <c r="M138" s="84"/>
    </row>
    <row r="139" spans="8:13" x14ac:dyDescent="0.25">
      <c r="H139" s="114"/>
      <c r="K139" s="15" t="str">
        <f>IF(B139="","Pending",IF(M139="","⚠️ Enter Code",IF(IFERROR(VLOOKUP(L139,DB_Agents!$B:$I,8,0),"")=M139,"Pending","🔒 BLOCKED — Wrong Code")))</f>
        <v>Pending</v>
      </c>
      <c r="M139" s="84"/>
    </row>
    <row r="140" spans="8:13" x14ac:dyDescent="0.25">
      <c r="H140" s="114"/>
      <c r="K140" s="115" t="str">
        <f>IF(B140="","Pending",IF(M140="","⚠️ Enter Code",IF(IFERROR(VLOOKUP(L140,DB_Agents!$B:$I,8,0),"")=M140,"Pending","🔒 BLOCKED — Wrong Code")))</f>
        <v>Pending</v>
      </c>
      <c r="M140" s="84"/>
    </row>
    <row r="141" spans="8:13" x14ac:dyDescent="0.25">
      <c r="H141" s="114"/>
      <c r="K141" s="15" t="str">
        <f>IF(B141="","Pending",IF(M141="","⚠️ Enter Code",IF(IFERROR(VLOOKUP(L141,DB_Agents!$B:$I,8,0),"")=M141,"Pending","🔒 BLOCKED — Wrong Code")))</f>
        <v>Pending</v>
      </c>
      <c r="M141" s="84"/>
    </row>
    <row r="142" spans="8:13" x14ac:dyDescent="0.25">
      <c r="H142" s="114"/>
      <c r="K142" s="115" t="str">
        <f>IF(B142="","Pending",IF(M142="","⚠️ Enter Code",IF(IFERROR(VLOOKUP(L142,DB_Agents!$B:$I,8,0),"")=M142,"Pending","🔒 BLOCKED — Wrong Code")))</f>
        <v>Pending</v>
      </c>
      <c r="M142" s="84"/>
    </row>
    <row r="143" spans="8:13" x14ac:dyDescent="0.25">
      <c r="H143" s="114"/>
      <c r="K143" s="15" t="str">
        <f>IF(B143="","Pending",IF(M143="","⚠️ Enter Code",IF(IFERROR(VLOOKUP(L143,DB_Agents!$B:$I,8,0),"")=M143,"Pending","🔒 BLOCKED — Wrong Code")))</f>
        <v>Pending</v>
      </c>
      <c r="M143" s="84"/>
    </row>
    <row r="144" spans="8:13" x14ac:dyDescent="0.25">
      <c r="H144" s="114"/>
      <c r="K144" s="115" t="str">
        <f>IF(B144="","Pending",IF(M144="","⚠️ Enter Code",IF(IFERROR(VLOOKUP(L144,DB_Agents!$B:$I,8,0),"")=M144,"Pending","🔒 BLOCKED — Wrong Code")))</f>
        <v>Pending</v>
      </c>
      <c r="M144" s="84"/>
    </row>
    <row r="145" spans="8:13" x14ac:dyDescent="0.25">
      <c r="H145" s="114"/>
      <c r="K145" s="15" t="str">
        <f>IF(B145="","Pending",IF(M145="","⚠️ Enter Code",IF(IFERROR(VLOOKUP(L145,DB_Agents!$B:$I,8,0),"")=M145,"Pending","🔒 BLOCKED — Wrong Code")))</f>
        <v>Pending</v>
      </c>
      <c r="M145" s="84"/>
    </row>
    <row r="146" spans="8:13" x14ac:dyDescent="0.25">
      <c r="H146" s="114"/>
      <c r="K146" s="115" t="str">
        <f>IF(B146="","Pending",IF(M146="","⚠️ Enter Code",IF(IFERROR(VLOOKUP(L146,DB_Agents!$B:$I,8,0),"")=M146,"Pending","🔒 BLOCKED — Wrong Code")))</f>
        <v>Pending</v>
      </c>
      <c r="M146" s="84"/>
    </row>
    <row r="147" spans="8:13" x14ac:dyDescent="0.25">
      <c r="H147" s="114"/>
      <c r="K147" s="15" t="str">
        <f>IF(B147="","Pending",IF(M147="","⚠️ Enter Code",IF(IFERROR(VLOOKUP(L147,DB_Agents!$B:$I,8,0),"")=M147,"Pending","🔒 BLOCKED — Wrong Code")))</f>
        <v>Pending</v>
      </c>
      <c r="M147" s="84"/>
    </row>
    <row r="148" spans="8:13" x14ac:dyDescent="0.25">
      <c r="H148" s="114"/>
      <c r="K148" s="115" t="str">
        <f>IF(B148="","Pending",IF(M148="","⚠️ Enter Code",IF(IFERROR(VLOOKUP(L148,DB_Agents!$B:$I,8,0),"")=M148,"Pending","🔒 BLOCKED — Wrong Code")))</f>
        <v>Pending</v>
      </c>
      <c r="M148" s="84"/>
    </row>
    <row r="149" spans="8:13" x14ac:dyDescent="0.25">
      <c r="H149" s="114"/>
      <c r="K149" s="15" t="str">
        <f>IF(B149="","Pending",IF(M149="","⚠️ Enter Code",IF(IFERROR(VLOOKUP(L149,DB_Agents!$B:$I,8,0),"")=M149,"Pending","🔒 BLOCKED — Wrong Code")))</f>
        <v>Pending</v>
      </c>
      <c r="M149" s="84"/>
    </row>
    <row r="150" spans="8:13" x14ac:dyDescent="0.25">
      <c r="H150" s="114"/>
      <c r="K150" s="115" t="str">
        <f>IF(B150="","Pending",IF(M150="","⚠️ Enter Code",IF(IFERROR(VLOOKUP(L150,DB_Agents!$B:$I,8,0),"")=M150,"Pending","🔒 BLOCKED — Wrong Code")))</f>
        <v>Pending</v>
      </c>
      <c r="M150" s="84"/>
    </row>
    <row r="151" spans="8:13" x14ac:dyDescent="0.25">
      <c r="H151" s="114"/>
      <c r="K151" s="15" t="str">
        <f>IF(B151="","Pending",IF(M151="","⚠️ Enter Code",IF(IFERROR(VLOOKUP(L151,DB_Agents!$B:$I,8,0),"")=M151,"Pending","🔒 BLOCKED — Wrong Code")))</f>
        <v>Pending</v>
      </c>
      <c r="M151" s="84"/>
    </row>
    <row r="152" spans="8:13" x14ac:dyDescent="0.25">
      <c r="H152" s="114"/>
      <c r="K152" s="115" t="str">
        <f>IF(B152="","Pending",IF(M152="","⚠️ Enter Code",IF(IFERROR(VLOOKUP(L152,DB_Agents!$B:$I,8,0),"")=M152,"Pending","🔒 BLOCKED — Wrong Code")))</f>
        <v>Pending</v>
      </c>
      <c r="M152" s="84"/>
    </row>
    <row r="153" spans="8:13" x14ac:dyDescent="0.25">
      <c r="H153" s="114"/>
      <c r="K153" s="15" t="str">
        <f>IF(B153="","Pending",IF(M153="","⚠️ Enter Code",IF(IFERROR(VLOOKUP(L153,DB_Agents!$B:$I,8,0),"")=M153,"Pending","🔒 BLOCKED — Wrong Code")))</f>
        <v>Pending</v>
      </c>
      <c r="M153" s="84"/>
    </row>
    <row r="154" spans="8:13" x14ac:dyDescent="0.25">
      <c r="H154" s="114"/>
      <c r="K154" s="115" t="str">
        <f>IF(B154="","Pending",IF(M154="","⚠️ Enter Code",IF(IFERROR(VLOOKUP(L154,DB_Agents!$B:$I,8,0),"")=M154,"Pending","🔒 BLOCKED — Wrong Code")))</f>
        <v>Pending</v>
      </c>
      <c r="M154" s="84"/>
    </row>
    <row r="155" spans="8:13" x14ac:dyDescent="0.25">
      <c r="H155" s="114"/>
      <c r="K155" s="15" t="str">
        <f>IF(B155="","Pending",IF(M155="","⚠️ Enter Code",IF(IFERROR(VLOOKUP(L155,DB_Agents!$B:$I,8,0),"")=M155,"Pending","🔒 BLOCKED — Wrong Code")))</f>
        <v>Pending</v>
      </c>
      <c r="M155" s="84"/>
    </row>
    <row r="156" spans="8:13" x14ac:dyDescent="0.25">
      <c r="H156" s="114"/>
      <c r="K156" s="115" t="str">
        <f>IF(B156="","Pending",IF(M156="","⚠️ Enter Code",IF(IFERROR(VLOOKUP(L156,DB_Agents!$B:$I,8,0),"")=M156,"Pending","🔒 BLOCKED — Wrong Code")))</f>
        <v>Pending</v>
      </c>
      <c r="M156" s="84"/>
    </row>
    <row r="157" spans="8:13" x14ac:dyDescent="0.25">
      <c r="H157" s="114"/>
      <c r="K157" s="15" t="str">
        <f>IF(B157="","Pending",IF(M157="","⚠️ Enter Code",IF(IFERROR(VLOOKUP(L157,DB_Agents!$B:$I,8,0),"")=M157,"Pending","🔒 BLOCKED — Wrong Code")))</f>
        <v>Pending</v>
      </c>
      <c r="M157" s="84"/>
    </row>
    <row r="158" spans="8:13" x14ac:dyDescent="0.25">
      <c r="H158" s="114"/>
      <c r="K158" s="115" t="str">
        <f>IF(B158="","Pending",IF(M158="","⚠️ Enter Code",IF(IFERROR(VLOOKUP(L158,DB_Agents!$B:$I,8,0),"")=M158,"Pending","🔒 BLOCKED — Wrong Code")))</f>
        <v>Pending</v>
      </c>
      <c r="M158" s="84"/>
    </row>
    <row r="159" spans="8:13" x14ac:dyDescent="0.25">
      <c r="H159" s="114"/>
      <c r="K159" s="15" t="str">
        <f>IF(B159="","Pending",IF(M159="","⚠️ Enter Code",IF(IFERROR(VLOOKUP(L159,DB_Agents!$B:$I,8,0),"")=M159,"Pending","🔒 BLOCKED — Wrong Code")))</f>
        <v>Pending</v>
      </c>
      <c r="M159" s="84"/>
    </row>
    <row r="160" spans="8:13" x14ac:dyDescent="0.25">
      <c r="H160" s="114"/>
      <c r="K160" s="115" t="str">
        <f>IF(B160="","Pending",IF(M160="","⚠️ Enter Code",IF(IFERROR(VLOOKUP(L160,DB_Agents!$B:$I,8,0),"")=M160,"Pending","🔒 BLOCKED — Wrong Code")))</f>
        <v>Pending</v>
      </c>
      <c r="M160" s="84"/>
    </row>
    <row r="161" spans="8:13" x14ac:dyDescent="0.25">
      <c r="H161" s="114"/>
      <c r="K161" s="15" t="str">
        <f>IF(B161="","Pending",IF(M161="","⚠️ Enter Code",IF(IFERROR(VLOOKUP(L161,DB_Agents!$B:$I,8,0),"")=M161,"Pending","🔒 BLOCKED — Wrong Code")))</f>
        <v>Pending</v>
      </c>
      <c r="M161" s="84"/>
    </row>
    <row r="162" spans="8:13" x14ac:dyDescent="0.25">
      <c r="H162" s="114"/>
      <c r="K162" s="115" t="str">
        <f>IF(B162="","Pending",IF(M162="","⚠️ Enter Code",IF(IFERROR(VLOOKUP(L162,DB_Agents!$B:$I,8,0),"")=M162,"Pending","🔒 BLOCKED — Wrong Code")))</f>
        <v>Pending</v>
      </c>
      <c r="M162" s="84"/>
    </row>
    <row r="163" spans="8:13" x14ac:dyDescent="0.25">
      <c r="H163" s="114"/>
      <c r="K163" s="15" t="str">
        <f>IF(B163="","Pending",IF(M163="","⚠️ Enter Code",IF(IFERROR(VLOOKUP(L163,DB_Agents!$B:$I,8,0),"")=M163,"Pending","🔒 BLOCKED — Wrong Code")))</f>
        <v>Pending</v>
      </c>
      <c r="M163" s="84"/>
    </row>
    <row r="164" spans="8:13" x14ac:dyDescent="0.25">
      <c r="H164" s="114"/>
      <c r="K164" s="115" t="str">
        <f>IF(B164="","Pending",IF(M164="","⚠️ Enter Code",IF(IFERROR(VLOOKUP(L164,DB_Agents!$B:$I,8,0),"")=M164,"Pending","🔒 BLOCKED — Wrong Code")))</f>
        <v>Pending</v>
      </c>
      <c r="M164" s="84"/>
    </row>
    <row r="165" spans="8:13" x14ac:dyDescent="0.25">
      <c r="H165" s="114"/>
      <c r="K165" s="15" t="str">
        <f>IF(B165="","Pending",IF(M165="","⚠️ Enter Code",IF(IFERROR(VLOOKUP(L165,DB_Agents!$B:$I,8,0),"")=M165,"Pending","🔒 BLOCKED — Wrong Code")))</f>
        <v>Pending</v>
      </c>
      <c r="M165" s="84"/>
    </row>
    <row r="166" spans="8:13" x14ac:dyDescent="0.25">
      <c r="H166" s="114"/>
      <c r="K166" s="115" t="str">
        <f>IF(B166="","Pending",IF(M166="","⚠️ Enter Code",IF(IFERROR(VLOOKUP(L166,DB_Agents!$B:$I,8,0),"")=M166,"Pending","🔒 BLOCKED — Wrong Code")))</f>
        <v>Pending</v>
      </c>
      <c r="M166" s="84"/>
    </row>
    <row r="167" spans="8:13" x14ac:dyDescent="0.25">
      <c r="H167" s="114"/>
      <c r="K167" s="15" t="str">
        <f>IF(B167="","Pending",IF(M167="","⚠️ Enter Code",IF(IFERROR(VLOOKUP(L167,DB_Agents!$B:$I,8,0),"")=M167,"Pending","🔒 BLOCKED — Wrong Code")))</f>
        <v>Pending</v>
      </c>
      <c r="M167" s="84"/>
    </row>
    <row r="168" spans="8:13" x14ac:dyDescent="0.25">
      <c r="H168" s="114"/>
      <c r="K168" s="115" t="str">
        <f>IF(B168="","Pending",IF(M168="","⚠️ Enter Code",IF(IFERROR(VLOOKUP(L168,DB_Agents!$B:$I,8,0),"")=M168,"Pending","🔒 BLOCKED — Wrong Code")))</f>
        <v>Pending</v>
      </c>
      <c r="M168" s="84"/>
    </row>
    <row r="169" spans="8:13" x14ac:dyDescent="0.25">
      <c r="H169" s="114"/>
      <c r="K169" s="15" t="str">
        <f>IF(B169="","Pending",IF(M169="","⚠️ Enter Code",IF(IFERROR(VLOOKUP(L169,DB_Agents!$B:$I,8,0),"")=M169,"Pending","🔒 BLOCKED — Wrong Code")))</f>
        <v>Pending</v>
      </c>
      <c r="M169" s="84"/>
    </row>
    <row r="170" spans="8:13" x14ac:dyDescent="0.25">
      <c r="H170" s="114"/>
      <c r="K170" s="115" t="str">
        <f>IF(B170="","Pending",IF(M170="","⚠️ Enter Code",IF(IFERROR(VLOOKUP(L170,DB_Agents!$B:$I,8,0),"")=M170,"Pending","🔒 BLOCKED — Wrong Code")))</f>
        <v>Pending</v>
      </c>
      <c r="M170" s="84"/>
    </row>
    <row r="171" spans="8:13" x14ac:dyDescent="0.25">
      <c r="H171" s="114"/>
      <c r="K171" s="15" t="str">
        <f>IF(B171="","Pending",IF(M171="","⚠️ Enter Code",IF(IFERROR(VLOOKUP(L171,DB_Agents!$B:$I,8,0),"")=M171,"Pending","🔒 BLOCKED — Wrong Code")))</f>
        <v>Pending</v>
      </c>
      <c r="M171" s="84"/>
    </row>
    <row r="172" spans="8:13" x14ac:dyDescent="0.25">
      <c r="H172" s="114"/>
      <c r="K172" s="115" t="str">
        <f>IF(B172="","Pending",IF(M172="","⚠️ Enter Code",IF(IFERROR(VLOOKUP(L172,DB_Agents!$B:$I,8,0),"")=M172,"Pending","🔒 BLOCKED — Wrong Code")))</f>
        <v>Pending</v>
      </c>
      <c r="M172" s="84"/>
    </row>
    <row r="173" spans="8:13" x14ac:dyDescent="0.25">
      <c r="H173" s="114"/>
      <c r="K173" s="15" t="str">
        <f>IF(B173="","Pending",IF(M173="","⚠️ Enter Code",IF(IFERROR(VLOOKUP(L173,DB_Agents!$B:$I,8,0),"")=M173,"Pending","🔒 BLOCKED — Wrong Code")))</f>
        <v>Pending</v>
      </c>
      <c r="M173" s="84"/>
    </row>
    <row r="174" spans="8:13" x14ac:dyDescent="0.25">
      <c r="H174" s="114"/>
      <c r="K174" s="115" t="str">
        <f>IF(B174="","Pending",IF(M174="","⚠️ Enter Code",IF(IFERROR(VLOOKUP(L174,DB_Agents!$B:$I,8,0),"")=M174,"Pending","🔒 BLOCKED — Wrong Code")))</f>
        <v>Pending</v>
      </c>
      <c r="M174" s="84"/>
    </row>
    <row r="175" spans="8:13" x14ac:dyDescent="0.25">
      <c r="H175" s="114"/>
      <c r="K175" s="15" t="str">
        <f>IF(B175="","Pending",IF(M175="","⚠️ Enter Code",IF(IFERROR(VLOOKUP(L175,DB_Agents!$B:$I,8,0),"")=M175,"Pending","🔒 BLOCKED — Wrong Code")))</f>
        <v>Pending</v>
      </c>
      <c r="M175" s="84"/>
    </row>
    <row r="176" spans="8:13" x14ac:dyDescent="0.25">
      <c r="H176" s="114"/>
      <c r="K176" s="115" t="str">
        <f>IF(B176="","Pending",IF(M176="","⚠️ Enter Code",IF(IFERROR(VLOOKUP(L176,DB_Agents!$B:$I,8,0),"")=M176,"Pending","🔒 BLOCKED — Wrong Code")))</f>
        <v>Pending</v>
      </c>
      <c r="M176" s="84"/>
    </row>
    <row r="177" spans="8:13" x14ac:dyDescent="0.25">
      <c r="H177" s="114"/>
      <c r="K177" s="15" t="str">
        <f>IF(B177="","Pending",IF(M177="","⚠️ Enter Code",IF(IFERROR(VLOOKUP(L177,DB_Agents!$B:$I,8,0),"")=M177,"Pending","🔒 BLOCKED — Wrong Code")))</f>
        <v>Pending</v>
      </c>
      <c r="M177" s="84"/>
    </row>
    <row r="178" spans="8:13" x14ac:dyDescent="0.25">
      <c r="H178" s="114"/>
      <c r="K178" s="115" t="str">
        <f>IF(B178="","Pending",IF(M178="","⚠️ Enter Code",IF(IFERROR(VLOOKUP(L178,DB_Agents!$B:$I,8,0),"")=M178,"Pending","🔒 BLOCKED — Wrong Code")))</f>
        <v>Pending</v>
      </c>
      <c r="M178" s="84"/>
    </row>
    <row r="179" spans="8:13" x14ac:dyDescent="0.25">
      <c r="H179" s="114"/>
      <c r="K179" s="15" t="str">
        <f>IF(B179="","Pending",IF(M179="","⚠️ Enter Code",IF(IFERROR(VLOOKUP(L179,DB_Agents!$B:$I,8,0),"")=M179,"Pending","🔒 BLOCKED — Wrong Code")))</f>
        <v>Pending</v>
      </c>
      <c r="M179" s="84"/>
    </row>
    <row r="180" spans="8:13" x14ac:dyDescent="0.25">
      <c r="H180" s="114"/>
      <c r="K180" s="115" t="str">
        <f>IF(B180="","Pending",IF(M180="","⚠️ Enter Code",IF(IFERROR(VLOOKUP(L180,DB_Agents!$B:$I,8,0),"")=M180,"Pending","🔒 BLOCKED — Wrong Code")))</f>
        <v>Pending</v>
      </c>
      <c r="M180" s="84"/>
    </row>
    <row r="181" spans="8:13" x14ac:dyDescent="0.25">
      <c r="H181" s="114"/>
      <c r="K181" s="15" t="str">
        <f>IF(B181="","Pending",IF(M181="","⚠️ Enter Code",IF(IFERROR(VLOOKUP(L181,DB_Agents!$B:$I,8,0),"")=M181,"Pending","🔒 BLOCKED — Wrong Code")))</f>
        <v>Pending</v>
      </c>
      <c r="M181" s="84"/>
    </row>
    <row r="182" spans="8:13" x14ac:dyDescent="0.25">
      <c r="H182" s="114"/>
      <c r="K182" s="115" t="str">
        <f>IF(B182="","Pending",IF(M182="","⚠️ Enter Code",IF(IFERROR(VLOOKUP(L182,DB_Agents!$B:$I,8,0),"")=M182,"Pending","🔒 BLOCKED — Wrong Code")))</f>
        <v>Pending</v>
      </c>
      <c r="M182" s="84"/>
    </row>
    <row r="183" spans="8:13" x14ac:dyDescent="0.25">
      <c r="H183" s="114"/>
      <c r="K183" s="15" t="str">
        <f>IF(B183="","Pending",IF(M183="","⚠️ Enter Code",IF(IFERROR(VLOOKUP(L183,DB_Agents!$B:$I,8,0),"")=M183,"Pending","🔒 BLOCKED — Wrong Code")))</f>
        <v>Pending</v>
      </c>
      <c r="M183" s="84"/>
    </row>
    <row r="184" spans="8:13" x14ac:dyDescent="0.25">
      <c r="H184" s="114"/>
      <c r="K184" s="115" t="str">
        <f>IF(B184="","Pending",IF(M184="","⚠️ Enter Code",IF(IFERROR(VLOOKUP(L184,DB_Agents!$B:$I,8,0),"")=M184,"Pending","🔒 BLOCKED — Wrong Code")))</f>
        <v>Pending</v>
      </c>
      <c r="M184" s="84"/>
    </row>
    <row r="185" spans="8:13" x14ac:dyDescent="0.25">
      <c r="H185" s="114"/>
      <c r="K185" s="15" t="str">
        <f>IF(B185="","Pending",IF(M185="","⚠️ Enter Code",IF(IFERROR(VLOOKUP(L185,DB_Agents!$B:$I,8,0),"")=M185,"Pending","🔒 BLOCKED — Wrong Code")))</f>
        <v>Pending</v>
      </c>
      <c r="M185" s="84"/>
    </row>
    <row r="186" spans="8:13" x14ac:dyDescent="0.25">
      <c r="H186" s="114"/>
      <c r="K186" s="115" t="str">
        <f>IF(B186="","Pending",IF(M186="","⚠️ Enter Code",IF(IFERROR(VLOOKUP(L186,DB_Agents!$B:$I,8,0),"")=M186,"Pending","🔒 BLOCKED — Wrong Code")))</f>
        <v>Pending</v>
      </c>
      <c r="M186" s="84"/>
    </row>
    <row r="187" spans="8:13" x14ac:dyDescent="0.25">
      <c r="H187" s="114"/>
      <c r="K187" s="15" t="str">
        <f>IF(B187="","Pending",IF(M187="","⚠️ Enter Code",IF(IFERROR(VLOOKUP(L187,DB_Agents!$B:$I,8,0),"")=M187,"Pending","🔒 BLOCKED — Wrong Code")))</f>
        <v>Pending</v>
      </c>
      <c r="M187" s="84"/>
    </row>
    <row r="188" spans="8:13" x14ac:dyDescent="0.25">
      <c r="H188" s="114"/>
      <c r="K188" s="115" t="str">
        <f>IF(B188="","Pending",IF(M188="","⚠️ Enter Code",IF(IFERROR(VLOOKUP(L188,DB_Agents!$B:$I,8,0),"")=M188,"Pending","🔒 BLOCKED — Wrong Code")))</f>
        <v>Pending</v>
      </c>
      <c r="M188" s="84"/>
    </row>
    <row r="189" spans="8:13" x14ac:dyDescent="0.25">
      <c r="H189" s="114"/>
      <c r="K189" s="15" t="str">
        <f>IF(B189="","Pending",IF(M189="","⚠️ Enter Code",IF(IFERROR(VLOOKUP(L189,DB_Agents!$B:$I,8,0),"")=M189,"Pending","🔒 BLOCKED — Wrong Code")))</f>
        <v>Pending</v>
      </c>
      <c r="M189" s="84"/>
    </row>
    <row r="190" spans="8:13" x14ac:dyDescent="0.25">
      <c r="H190" s="114"/>
      <c r="K190" s="115" t="str">
        <f>IF(B190="","Pending",IF(M190="","⚠️ Enter Code",IF(IFERROR(VLOOKUP(L190,DB_Agents!$B:$I,8,0),"")=M190,"Pending","🔒 BLOCKED — Wrong Code")))</f>
        <v>Pending</v>
      </c>
      <c r="M190" s="84"/>
    </row>
    <row r="191" spans="8:13" x14ac:dyDescent="0.25">
      <c r="H191" s="114"/>
      <c r="K191" s="15" t="str">
        <f>IF(B191="","Pending",IF(M191="","⚠️ Enter Code",IF(IFERROR(VLOOKUP(L191,DB_Agents!$B:$I,8,0),"")=M191,"Pending","🔒 BLOCKED — Wrong Code")))</f>
        <v>Pending</v>
      </c>
      <c r="M191" s="84"/>
    </row>
    <row r="192" spans="8:13" x14ac:dyDescent="0.25">
      <c r="H192" s="114"/>
      <c r="K192" s="115" t="str">
        <f>IF(B192="","Pending",IF(M192="","⚠️ Enter Code",IF(IFERROR(VLOOKUP(L192,DB_Agents!$B:$I,8,0),"")=M192,"Pending","🔒 BLOCKED — Wrong Code")))</f>
        <v>Pending</v>
      </c>
      <c r="M192" s="84"/>
    </row>
    <row r="193" spans="8:13" x14ac:dyDescent="0.25">
      <c r="H193" s="114"/>
      <c r="K193" s="15" t="str">
        <f>IF(B193="","Pending",IF(M193="","⚠️ Enter Code",IF(IFERROR(VLOOKUP(L193,DB_Agents!$B:$I,8,0),"")=M193,"Pending","🔒 BLOCKED — Wrong Code")))</f>
        <v>Pending</v>
      </c>
      <c r="M193" s="84"/>
    </row>
    <row r="194" spans="8:13" x14ac:dyDescent="0.25">
      <c r="H194" s="114"/>
      <c r="K194" s="115" t="str">
        <f>IF(B194="","Pending",IF(M194="","⚠️ Enter Code",IF(IFERROR(VLOOKUP(L194,DB_Agents!$B:$I,8,0),"")=M194,"Pending","🔒 BLOCKED — Wrong Code")))</f>
        <v>Pending</v>
      </c>
      <c r="M194" s="84"/>
    </row>
    <row r="195" spans="8:13" x14ac:dyDescent="0.25">
      <c r="H195" s="114"/>
      <c r="K195" s="15" t="str">
        <f>IF(B195="","Pending",IF(M195="","⚠️ Enter Code",IF(IFERROR(VLOOKUP(L195,DB_Agents!$B:$I,8,0),"")=M195,"Pending","🔒 BLOCKED — Wrong Code")))</f>
        <v>Pending</v>
      </c>
      <c r="M195" s="84"/>
    </row>
    <row r="196" spans="8:13" x14ac:dyDescent="0.25">
      <c r="H196" s="114"/>
      <c r="K196" s="115" t="str">
        <f>IF(B196="","Pending",IF(M196="","⚠️ Enter Code",IF(IFERROR(VLOOKUP(L196,DB_Agents!$B:$I,8,0),"")=M196,"Pending","🔒 BLOCKED — Wrong Code")))</f>
        <v>Pending</v>
      </c>
      <c r="M196" s="84"/>
    </row>
    <row r="197" spans="8:13" x14ac:dyDescent="0.25">
      <c r="H197" s="114"/>
      <c r="K197" s="15" t="str">
        <f>IF(B197="","Pending",IF(M197="","⚠️ Enter Code",IF(IFERROR(VLOOKUP(L197,DB_Agents!$B:$I,8,0),"")=M197,"Pending","🔒 BLOCKED — Wrong Code")))</f>
        <v>Pending</v>
      </c>
      <c r="M197" s="84"/>
    </row>
    <row r="198" spans="8:13" x14ac:dyDescent="0.25">
      <c r="H198" s="114"/>
      <c r="K198" s="115" t="str">
        <f>IF(B198="","Pending",IF(M198="","⚠️ Enter Code",IF(IFERROR(VLOOKUP(L198,DB_Agents!$B:$I,8,0),"")=M198,"Pending","🔒 BLOCKED — Wrong Code")))</f>
        <v>Pending</v>
      </c>
      <c r="M198" s="84"/>
    </row>
    <row r="199" spans="8:13" x14ac:dyDescent="0.25">
      <c r="H199" s="114"/>
      <c r="K199" s="15" t="str">
        <f>IF(B199="","Pending",IF(M199="","⚠️ Enter Code",IF(IFERROR(VLOOKUP(L199,DB_Agents!$B:$I,8,0),"")=M199,"Pending","🔒 BLOCKED — Wrong Code")))</f>
        <v>Pending</v>
      </c>
      <c r="M199" s="84"/>
    </row>
    <row r="200" spans="8:13" x14ac:dyDescent="0.25">
      <c r="H200" s="114"/>
      <c r="K200" s="115" t="str">
        <f>IF(B200="","Pending",IF(M200="","⚠️ Enter Code",IF(IFERROR(VLOOKUP(L200,DB_Agents!$B:$I,8,0),"")=M200,"Pending","🔒 BLOCKED — Wrong Code")))</f>
        <v>Pending</v>
      </c>
      <c r="M200" s="84"/>
    </row>
    <row r="201" spans="8:13" x14ac:dyDescent="0.25">
      <c r="K201" s="15" t="str">
        <f>IF(B201="","Pending",IF(M201="","⚠️ Enter Code",IF(IFERROR(VLOOKUP(L201,DB_Agents!$B:$I,8,0),"")=M201,"Pending","🔒 BLOCKED — Wrong Code")))</f>
        <v>Pending</v>
      </c>
      <c r="M201" s="84"/>
    </row>
    <row r="202" spans="8:13" x14ac:dyDescent="0.25">
      <c r="K202" s="115" t="str">
        <f>IF(B202="","Pending",IF(M202="","⚠️ Enter Code",IF(IFERROR(VLOOKUP(L202,DB_Agents!$B:$I,8,0),"")=M202,"Pending","🔒 BLOCKED — Wrong Code")))</f>
        <v>Pending</v>
      </c>
      <c r="M202" s="84"/>
    </row>
    <row r="203" spans="8:13" x14ac:dyDescent="0.25">
      <c r="K203" s="15" t="str">
        <f>IF(B203="","Pending",IF(M203="","⚠️ Enter Code",IF(IFERROR(VLOOKUP(L203,DB_Agents!$B:$I,8,0),"")=M203,"Pending","🔒 BLOCKED — Wrong Code")))</f>
        <v>Pending</v>
      </c>
      <c r="M203" s="84"/>
    </row>
    <row r="204" spans="8:13" x14ac:dyDescent="0.25">
      <c r="K204" s="115" t="str">
        <f>IF(B204="","Pending",IF(M204="","⚠️ Enter Code",IF(IFERROR(VLOOKUP(L204,DB_Agents!$B:$I,8,0),"")=M204,"Pending","🔒 BLOCKED — Wrong Code")))</f>
        <v>Pending</v>
      </c>
      <c r="M204" s="84"/>
    </row>
    <row r="205" spans="8:13" x14ac:dyDescent="0.25">
      <c r="K205" s="15" t="str">
        <f>IF(B205="","Pending",IF(M205="","⚠️ Enter Code",IF(IFERROR(VLOOKUP(L205,DB_Agents!$B:$I,8,0),"")=M205,"Pending","🔒 BLOCKED — Wrong Code")))</f>
        <v>Pending</v>
      </c>
      <c r="M205" s="84"/>
    </row>
    <row r="206" spans="8:13" x14ac:dyDescent="0.25">
      <c r="K206" s="115" t="str">
        <f>IF(B206="","Pending",IF(M206="","⚠️ Enter Code",IF(IFERROR(VLOOKUP(L206,DB_Agents!$B:$I,8,0),"")=M206,"Pending","🔒 BLOCKED — Wrong Code")))</f>
        <v>Pending</v>
      </c>
      <c r="M206" s="84"/>
    </row>
    <row r="207" spans="8:13" x14ac:dyDescent="0.25">
      <c r="K207" s="15" t="str">
        <f>IF(B207="","Pending",IF(M207="","⚠️ Enter Code",IF(IFERROR(VLOOKUP(L207,DB_Agents!$B:$I,8,0),"")=M207,"Pending","🔒 BLOCKED — Wrong Code")))</f>
        <v>Pending</v>
      </c>
      <c r="M207" s="84"/>
    </row>
    <row r="208" spans="8:13" x14ac:dyDescent="0.25">
      <c r="K208" s="115" t="str">
        <f>IF(B208="","Pending",IF(M208="","⚠️ Enter Code",IF(IFERROR(VLOOKUP(L208,DB_Agents!$B:$I,8,0),"")=M208,"Pending","🔒 BLOCKED — Wrong Code")))</f>
        <v>Pending</v>
      </c>
      <c r="M208" s="84"/>
    </row>
    <row r="209" spans="11:13" x14ac:dyDescent="0.25">
      <c r="K209" s="15" t="str">
        <f>IF(B209="","Pending",IF(M209="","⚠️ Enter Code",IF(IFERROR(VLOOKUP(L209,DB_Agents!$B:$I,8,0),"")=M209,"Pending","🔒 BLOCKED — Wrong Code")))</f>
        <v>Pending</v>
      </c>
      <c r="M209" s="84"/>
    </row>
    <row r="210" spans="11:13" x14ac:dyDescent="0.25">
      <c r="K210" s="115" t="str">
        <f>IF(B210="","Pending",IF(M210="","⚠️ Enter Code",IF(IFERROR(VLOOKUP(L210,DB_Agents!$B:$I,8,0),"")=M210,"Pending","🔒 BLOCKED — Wrong Code")))</f>
        <v>Pending</v>
      </c>
      <c r="M210" s="84"/>
    </row>
    <row r="211" spans="11:13" x14ac:dyDescent="0.25">
      <c r="K211" s="15" t="str">
        <f>IF(B211="","Pending",IF(M211="","⚠️ Enter Code",IF(IFERROR(VLOOKUP(L211,DB_Agents!$B:$I,8,0),"")=M211,"Pending","🔒 BLOCKED — Wrong Code")))</f>
        <v>Pending</v>
      </c>
      <c r="M211" s="84"/>
    </row>
    <row r="212" spans="11:13" x14ac:dyDescent="0.25">
      <c r="K212" s="115" t="str">
        <f>IF(B212="","Pending",IF(M212="","⚠️ Enter Code",IF(IFERROR(VLOOKUP(L212,DB_Agents!$B:$I,8,0),"")=M212,"Pending","🔒 BLOCKED — Wrong Code")))</f>
        <v>Pending</v>
      </c>
      <c r="M212" s="84"/>
    </row>
    <row r="213" spans="11:13" x14ac:dyDescent="0.25">
      <c r="K213" s="15" t="str">
        <f>IF(B213="","Pending",IF(M213="","⚠️ Enter Code",IF(IFERROR(VLOOKUP(L213,DB_Agents!$B:$I,8,0),"")=M213,"Pending","🔒 BLOCKED — Wrong Code")))</f>
        <v>Pending</v>
      </c>
      <c r="M213" s="84"/>
    </row>
  </sheetData>
  <mergeCells count="10">
    <mergeCell ref="B7:D7"/>
    <mergeCell ref="B8:D8"/>
    <mergeCell ref="B9:D9"/>
    <mergeCell ref="B10:D10"/>
    <mergeCell ref="A12:N12"/>
    <mergeCell ref="A1:N1"/>
    <mergeCell ref="A2:N2"/>
    <mergeCell ref="A4:D4"/>
    <mergeCell ref="B5:D5"/>
    <mergeCell ref="B6:D6"/>
  </mergeCells>
  <conditionalFormatting sqref="K14:K113">
    <cfRule type="cellIs" dxfId="85" priority="2" operator="equal">
      <formula>"Approved"</formula>
    </cfRule>
    <cfRule type="cellIs" dxfId="84" priority="3" operator="equal">
      <formula>"Pending"</formula>
    </cfRule>
    <cfRule type="cellIs" dxfId="83" priority="4" operator="equal">
      <formula>"Rejected"</formula>
    </cfRule>
  </conditionalFormatting>
  <dataValidations count="2">
    <dataValidation type="whole" showErrorMessage="1" error="Enter 1-36 months" sqref="G14:G113" xr:uid="{00000000-0002-0000-0A00-000000000000}">
      <formula1>1</formula1>
      <formula2>36</formula2>
    </dataValidation>
    <dataValidation type="list" sqref="L14:L113" xr:uid="{00000000-0002-0000-0A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27AE60"/>
  </sheetPr>
  <dimension ref="A1:L208"/>
  <sheetViews>
    <sheetView zoomScaleNormal="100" workbookViewId="0">
      <pane ySplit="8" topLeftCell="A9" activePane="bottomLeft" state="frozen"/>
      <selection pane="bottomLeft"/>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2" customWidth="1"/>
    <col min="8" max="8" width="14" customWidth="1"/>
    <col min="9" max="10" width="22" customWidth="1"/>
  </cols>
  <sheetData>
    <row r="1" spans="1:12" ht="31.5" customHeight="1" x14ac:dyDescent="0.25">
      <c r="A1" s="14" t="s">
        <v>200</v>
      </c>
      <c r="B1" s="14"/>
      <c r="C1" s="14"/>
      <c r="D1" s="14"/>
      <c r="E1" s="14"/>
      <c r="F1" s="14"/>
      <c r="G1" s="14"/>
      <c r="H1" s="14"/>
      <c r="I1" s="14"/>
      <c r="J1" s="14"/>
      <c r="K1" s="14"/>
      <c r="L1" s="14"/>
    </row>
    <row r="2" spans="1:12" ht="19.5" customHeight="1" x14ac:dyDescent="0.25">
      <c r="A2" s="204" t="s">
        <v>201</v>
      </c>
      <c r="B2" s="204"/>
      <c r="C2" s="204"/>
      <c r="D2" s="204"/>
      <c r="E2" s="204"/>
      <c r="F2" s="204"/>
      <c r="G2" s="204"/>
      <c r="H2" s="204"/>
      <c r="I2" s="204"/>
      <c r="J2" s="204"/>
      <c r="K2" s="204"/>
      <c r="L2" s="204"/>
    </row>
    <row r="3" spans="1:12" ht="18" customHeight="1" x14ac:dyDescent="0.25">
      <c r="A3" s="177" t="s">
        <v>167</v>
      </c>
      <c r="B3" s="177"/>
      <c r="C3" s="177"/>
      <c r="D3" s="180" t="s">
        <v>168</v>
      </c>
      <c r="E3" s="180"/>
      <c r="F3" s="180"/>
      <c r="G3" s="154" t="s">
        <v>169</v>
      </c>
      <c r="H3" s="154"/>
      <c r="I3" s="154"/>
      <c r="J3" s="2"/>
      <c r="K3" s="2"/>
      <c r="L3" s="2"/>
    </row>
    <row r="4" spans="1:12" ht="27.75" customHeight="1" x14ac:dyDescent="0.25">
      <c r="A4" s="205">
        <f ca="1">SUMIFS(DB_Savings!$F:$F,DB_Savings!$G:$G,"Agent 03",DB_Savings!$E:$E,TODAY())</f>
        <v>0</v>
      </c>
      <c r="B4" s="205"/>
      <c r="C4" s="205"/>
      <c r="D4" s="206">
        <f ca="1">COUNTIFS(DB_Savings!$G:$G,"Agent 03",DB_Savings!$E:$E,TODAY())</f>
        <v>0</v>
      </c>
      <c r="E4" s="206"/>
      <c r="F4" s="206"/>
      <c r="G4" s="207" t="str">
        <f ca="1">TEXT(TODAY(),"DDDD, DD MMMM YYYY")</f>
        <v>Sunday, 19 April 2026</v>
      </c>
      <c r="H4" s="207"/>
      <c r="I4" s="207"/>
      <c r="J4" s="2"/>
      <c r="K4" s="2"/>
      <c r="L4" s="2"/>
    </row>
    <row r="5" spans="1:12" ht="21.75" customHeight="1" x14ac:dyDescent="0.25">
      <c r="A5" s="208" t="str">
        <f ca="1">IF(SUMIFS(DB_Savings!$F:$F,DB_Savings!$G:$G,"Agent 03",DB_Savings!$E:$E,TODAY())&gt;=J4,"✅ DAILY TARGET ACHIEVED! Well done Agent 03!","⏳ Collection in progress — Keep going! Remaining: GHC "&amp;TEXT(J4-SUMIFS(DB_Savings!$F:$F,DB_Savings!$G:$G,"Agent 03",DB_Savings!$E:$E,TODAY()),"#,##0.00"))</f>
        <v>✅ DAILY TARGET ACHIEVED! Well done Agent 03!</v>
      </c>
      <c r="B5" s="208"/>
      <c r="C5" s="208"/>
      <c r="D5" s="208"/>
      <c r="E5" s="208"/>
      <c r="F5" s="208"/>
      <c r="G5" s="208"/>
      <c r="H5" s="208"/>
      <c r="I5" s="208"/>
      <c r="J5" s="208"/>
      <c r="K5" s="208"/>
      <c r="L5" s="208"/>
    </row>
    <row r="6" spans="1:12" ht="7.5" customHeight="1" x14ac:dyDescent="0.25"/>
    <row r="7" spans="1:12" ht="19.5" customHeight="1" x14ac:dyDescent="0.25">
      <c r="A7" s="209" t="s">
        <v>170</v>
      </c>
      <c r="B7" s="209"/>
      <c r="C7" s="209"/>
      <c r="D7" s="209"/>
      <c r="E7" s="209"/>
      <c r="F7" s="209"/>
      <c r="G7" s="209"/>
      <c r="H7" s="209"/>
      <c r="I7" s="209"/>
      <c r="J7" s="209"/>
      <c r="K7" s="209"/>
      <c r="L7" s="209"/>
    </row>
    <row r="8" spans="1:12" ht="19.5" customHeight="1" x14ac:dyDescent="0.25">
      <c r="A8" s="20" t="s">
        <v>171</v>
      </c>
      <c r="B8" s="20" t="s">
        <v>118</v>
      </c>
      <c r="C8" s="20" t="s">
        <v>172</v>
      </c>
      <c r="D8" s="20" t="s">
        <v>111</v>
      </c>
      <c r="E8" s="20" t="s">
        <v>173</v>
      </c>
      <c r="F8" s="20" t="s">
        <v>174</v>
      </c>
      <c r="G8" s="20" t="s">
        <v>32</v>
      </c>
      <c r="H8" s="78" t="s">
        <v>175</v>
      </c>
      <c r="I8" s="20" t="s">
        <v>155</v>
      </c>
      <c r="J8" s="20" t="s">
        <v>176</v>
      </c>
      <c r="K8" s="20" t="s">
        <v>177</v>
      </c>
    </row>
    <row r="9" spans="1:12" x14ac:dyDescent="0.25">
      <c r="A9" s="79"/>
      <c r="B9" s="21" t="str">
        <f>IF(A9="","",IFERROR(VLOOKUP(A9,DB_Customers!$A:$D,4,0),"❌ Account Not Found"))</f>
        <v/>
      </c>
      <c r="C9" s="80" t="str">
        <f>IF(A9="","",IFERROR(VLOOKUP(A9,DB_Customers!$A:$N,14,0),""))</f>
        <v/>
      </c>
      <c r="D9" s="81" t="str">
        <f t="shared" ref="D9:D40" ca="1" si="0">IF(A9="","",TODAY())</f>
        <v/>
      </c>
      <c r="E9" s="82"/>
      <c r="F9" s="83" t="str">
        <f t="shared" ref="F9:F40" si="1">IF(OR(A9="",E9=""),"",IF(C9="","",C9+E9))</f>
        <v/>
      </c>
      <c r="G9" s="23" t="s">
        <v>43</v>
      </c>
      <c r="H9" s="84"/>
      <c r="I9" s="85" t="str">
        <f>IF(A9="","Pending",IF(H9="","⚠️ Enter Code",IF(IFERROR(VLOOKUP(G9,DB_Agents!$B:$I,8,0),"")=H9,IF(AND(A9&lt;&gt;"",E9&lt;&gt;""),"Saved","Pending"),"🔒 BLOCKED — Wrong Code")))</f>
        <v>Pending</v>
      </c>
      <c r="J9" s="86" t="str">
        <f t="shared" ref="J9:J40" ca="1" si="2">IF(I9="Saved",TEXT(TODAY(),"YYYY-MM-DD")&amp;" Auto","—")</f>
        <v>—</v>
      </c>
      <c r="K9" s="87"/>
    </row>
    <row r="10" spans="1:12" x14ac:dyDescent="0.25">
      <c r="A10" s="88"/>
      <c r="B10" s="25" t="str">
        <f>IF(A10="","",IFERROR(VLOOKUP(A10,DB_Customers!$A:$D,4,0),"❌ Account Not Found"))</f>
        <v/>
      </c>
      <c r="C10" s="89" t="str">
        <f>IF(A10="","",IFERROR(VLOOKUP(A10,DB_Customers!$A:$N,14,0),""))</f>
        <v/>
      </c>
      <c r="D10" s="90" t="str">
        <f t="shared" ca="1" si="0"/>
        <v/>
      </c>
      <c r="E10" s="82"/>
      <c r="F10" s="91" t="str">
        <f t="shared" si="1"/>
        <v/>
      </c>
      <c r="G10" s="27" t="s">
        <v>43</v>
      </c>
      <c r="H10" s="84"/>
      <c r="I10" s="92" t="str">
        <f>IF(A10="","Pending",IF(H10="","⚠️ Enter Code",IF(IFERROR(VLOOKUP(G10,DB_Agents!$B:$I,8,0),"")=H10,IF(AND(A10&lt;&gt;"",E10&lt;&gt;""),"Saved","Pending"),"🔒 BLOCKED — Wrong Code")))</f>
        <v>Pending</v>
      </c>
      <c r="J10" s="93" t="str">
        <f t="shared" ca="1" si="2"/>
        <v>—</v>
      </c>
      <c r="K10" s="94"/>
    </row>
    <row r="11" spans="1:12" x14ac:dyDescent="0.25">
      <c r="A11" s="79"/>
      <c r="B11" s="21" t="str">
        <f>IF(A11="","",IFERROR(VLOOKUP(A11,DB_Customers!$A:$D,4,0),"❌ Account Not Found"))</f>
        <v/>
      </c>
      <c r="C11" s="80" t="str">
        <f>IF(A11="","",IFERROR(VLOOKUP(A11,DB_Customers!$A:$N,14,0),""))</f>
        <v/>
      </c>
      <c r="D11" s="81" t="str">
        <f t="shared" ca="1" si="0"/>
        <v/>
      </c>
      <c r="E11" s="82"/>
      <c r="F11" s="83" t="str">
        <f t="shared" si="1"/>
        <v/>
      </c>
      <c r="G11" s="23" t="s">
        <v>43</v>
      </c>
      <c r="H11" s="84"/>
      <c r="I11" s="85" t="str">
        <f>IF(A11="","Pending",IF(H11="","⚠️ Enter Code",IF(IFERROR(VLOOKUP(G11,DB_Agents!$B:$I,8,0),"")=H11,IF(AND(A11&lt;&gt;"",E11&lt;&gt;""),"Saved","Pending"),"🔒 BLOCKED — Wrong Code")))</f>
        <v>Pending</v>
      </c>
      <c r="J11" s="86" t="str">
        <f t="shared" ca="1" si="2"/>
        <v>—</v>
      </c>
      <c r="K11" s="87"/>
    </row>
    <row r="12" spans="1:12" x14ac:dyDescent="0.25">
      <c r="A12" s="88"/>
      <c r="B12" s="25" t="str">
        <f>IF(A12="","",IFERROR(VLOOKUP(A12,DB_Customers!$A:$D,4,0),"❌ Account Not Found"))</f>
        <v/>
      </c>
      <c r="C12" s="89" t="str">
        <f>IF(A12="","",IFERROR(VLOOKUP(A12,DB_Customers!$A:$N,14,0),""))</f>
        <v/>
      </c>
      <c r="D12" s="90" t="str">
        <f t="shared" ca="1" si="0"/>
        <v/>
      </c>
      <c r="E12" s="82"/>
      <c r="F12" s="91" t="str">
        <f t="shared" si="1"/>
        <v/>
      </c>
      <c r="G12" s="27" t="s">
        <v>43</v>
      </c>
      <c r="H12" s="84"/>
      <c r="I12" s="92" t="str">
        <f>IF(A12="","Pending",IF(H12="","⚠️ Enter Code",IF(IFERROR(VLOOKUP(G12,DB_Agents!$B:$I,8,0),"")=H12,IF(AND(A12&lt;&gt;"",E12&lt;&gt;""),"Saved","Pending"),"🔒 BLOCKED — Wrong Code")))</f>
        <v>Pending</v>
      </c>
      <c r="J12" s="93" t="str">
        <f t="shared" ca="1" si="2"/>
        <v>—</v>
      </c>
      <c r="K12" s="94"/>
    </row>
    <row r="13" spans="1:12" x14ac:dyDescent="0.25">
      <c r="A13" s="79"/>
      <c r="B13" s="21" t="str">
        <f>IF(A13="","",IFERROR(VLOOKUP(A13,DB_Customers!$A:$D,4,0),"❌ Account Not Found"))</f>
        <v/>
      </c>
      <c r="C13" s="80" t="str">
        <f>IF(A13="","",IFERROR(VLOOKUP(A13,DB_Customers!$A:$N,14,0),""))</f>
        <v/>
      </c>
      <c r="D13" s="81" t="str">
        <f t="shared" ca="1" si="0"/>
        <v/>
      </c>
      <c r="E13" s="82"/>
      <c r="F13" s="83" t="str">
        <f t="shared" si="1"/>
        <v/>
      </c>
      <c r="G13" s="23" t="s">
        <v>43</v>
      </c>
      <c r="H13" s="84"/>
      <c r="I13" s="85" t="str">
        <f>IF(A13="","Pending",IF(H13="","⚠️ Enter Code",IF(IFERROR(VLOOKUP(G13,DB_Agents!$B:$I,8,0),"")=H13,IF(AND(A13&lt;&gt;"",E13&lt;&gt;""),"Saved","Pending"),"🔒 BLOCKED — Wrong Code")))</f>
        <v>Pending</v>
      </c>
      <c r="J13" s="86" t="str">
        <f t="shared" ca="1" si="2"/>
        <v>—</v>
      </c>
      <c r="K13" s="87"/>
    </row>
    <row r="14" spans="1:12" x14ac:dyDescent="0.25">
      <c r="A14" s="88"/>
      <c r="B14" s="25" t="str">
        <f>IF(A14="","",IFERROR(VLOOKUP(A14,DB_Customers!$A:$D,4,0),"❌ Account Not Found"))</f>
        <v/>
      </c>
      <c r="C14" s="89" t="str">
        <f>IF(A14="","",IFERROR(VLOOKUP(A14,DB_Customers!$A:$N,14,0),""))</f>
        <v/>
      </c>
      <c r="D14" s="90" t="str">
        <f t="shared" ca="1" si="0"/>
        <v/>
      </c>
      <c r="E14" s="82"/>
      <c r="F14" s="91" t="str">
        <f t="shared" si="1"/>
        <v/>
      </c>
      <c r="G14" s="27"/>
      <c r="H14" s="84"/>
      <c r="I14" s="92" t="str">
        <f>IF(A14="","Pending",IF(H14="","⚠️ Enter Code",IF(IFERROR(VLOOKUP(G14,DB_Agents!$B:$I,8,0),"")=H14,IF(AND(A14&lt;&gt;"",E14&lt;&gt;""),"Saved","Pending"),"🔒 BLOCKED — Wrong Code")))</f>
        <v>Pending</v>
      </c>
      <c r="J14" s="93" t="str">
        <f t="shared" ca="1" si="2"/>
        <v>—</v>
      </c>
      <c r="K14" s="94"/>
    </row>
    <row r="15" spans="1:12" x14ac:dyDescent="0.25">
      <c r="A15" s="79"/>
      <c r="B15" s="21" t="str">
        <f>IF(A15="","",IFERROR(VLOOKUP(A15,DB_Customers!$A:$D,4,0),"❌ Account Not Found"))</f>
        <v/>
      </c>
      <c r="C15" s="80" t="str">
        <f>IF(A15="","",IFERROR(VLOOKUP(A15,DB_Customers!$A:$N,14,0),""))</f>
        <v/>
      </c>
      <c r="D15" s="81" t="str">
        <f t="shared" ca="1" si="0"/>
        <v/>
      </c>
      <c r="E15" s="82"/>
      <c r="F15" s="83" t="str">
        <f t="shared" si="1"/>
        <v/>
      </c>
      <c r="G15" s="23"/>
      <c r="H15" s="84"/>
      <c r="I15" s="85" t="str">
        <f>IF(A15="","Pending",IF(H15="","⚠️ Enter Code",IF(IFERROR(VLOOKUP(G15,DB_Agents!$B:$I,8,0),"")=H15,IF(AND(A15&lt;&gt;"",E15&lt;&gt;""),"Saved","Pending"),"🔒 BLOCKED — Wrong Code")))</f>
        <v>Pending</v>
      </c>
      <c r="J15" s="86" t="str">
        <f t="shared" ca="1" si="2"/>
        <v>—</v>
      </c>
      <c r="K15" s="87"/>
    </row>
    <row r="16" spans="1:12" x14ac:dyDescent="0.25">
      <c r="A16" s="88"/>
      <c r="B16" s="25" t="str">
        <f>IF(A16="","",IFERROR(VLOOKUP(A16,DB_Customers!$A:$D,4,0),"❌ Account Not Found"))</f>
        <v/>
      </c>
      <c r="C16" s="89" t="str">
        <f>IF(A16="","",IFERROR(VLOOKUP(A16,DB_Customers!$A:$N,14,0),""))</f>
        <v/>
      </c>
      <c r="D16" s="90" t="str">
        <f t="shared" ca="1" si="0"/>
        <v/>
      </c>
      <c r="E16" s="82"/>
      <c r="F16" s="91" t="str">
        <f t="shared" si="1"/>
        <v/>
      </c>
      <c r="G16" s="27"/>
      <c r="H16" s="84"/>
      <c r="I16" s="92" t="str">
        <f>IF(A16="","Pending",IF(H16="","⚠️ Enter Code",IF(IFERROR(VLOOKUP(G16,DB_Agents!$B:$I,8,0),"")=H16,IF(AND(A16&lt;&gt;"",E16&lt;&gt;""),"Saved","Pending"),"🔒 BLOCKED — Wrong Code")))</f>
        <v>Pending</v>
      </c>
      <c r="J16" s="93" t="str">
        <f t="shared" ca="1" si="2"/>
        <v>—</v>
      </c>
      <c r="K16" s="94"/>
    </row>
    <row r="17" spans="1:11" x14ac:dyDescent="0.25">
      <c r="A17" s="79"/>
      <c r="B17" s="21" t="str">
        <f>IF(A17="","",IFERROR(VLOOKUP(A17,DB_Customers!$A:$D,4,0),"❌ Account Not Found"))</f>
        <v/>
      </c>
      <c r="C17" s="80" t="str">
        <f>IF(A17="","",IFERROR(VLOOKUP(A17,DB_Customers!$A:$N,14,0),""))</f>
        <v/>
      </c>
      <c r="D17" s="81" t="str">
        <f t="shared" ca="1" si="0"/>
        <v/>
      </c>
      <c r="E17" s="82"/>
      <c r="F17" s="83" t="str">
        <f t="shared" si="1"/>
        <v/>
      </c>
      <c r="G17" s="23"/>
      <c r="H17" s="84"/>
      <c r="I17" s="85" t="str">
        <f>IF(A17="","Pending",IF(H17="","⚠️ Enter Code",IF(IFERROR(VLOOKUP(G17,DB_Agents!$B:$I,8,0),"")=H17,IF(AND(A17&lt;&gt;"",E17&lt;&gt;""),"Saved","Pending"),"🔒 BLOCKED — Wrong Code")))</f>
        <v>Pending</v>
      </c>
      <c r="J17" s="86" t="str">
        <f t="shared" ca="1" si="2"/>
        <v>—</v>
      </c>
      <c r="K17" s="87"/>
    </row>
    <row r="18" spans="1:11" x14ac:dyDescent="0.25">
      <c r="A18" s="88"/>
      <c r="B18" s="25" t="str">
        <f>IF(A18="","",IFERROR(VLOOKUP(A18,DB_Customers!$A:$D,4,0),"❌ Account Not Found"))</f>
        <v/>
      </c>
      <c r="C18" s="89" t="str">
        <f>IF(A18="","",IFERROR(VLOOKUP(A18,DB_Customers!$A:$N,14,0),""))</f>
        <v/>
      </c>
      <c r="D18" s="90" t="str">
        <f t="shared" ca="1" si="0"/>
        <v/>
      </c>
      <c r="E18" s="82"/>
      <c r="F18" s="91" t="str">
        <f t="shared" si="1"/>
        <v/>
      </c>
      <c r="G18" s="27"/>
      <c r="H18" s="84"/>
      <c r="I18" s="92" t="str">
        <f>IF(A18="","Pending",IF(H18="","⚠️ Enter Code",IF(IFERROR(VLOOKUP(G18,DB_Agents!$B:$I,8,0),"")=H18,IF(AND(A18&lt;&gt;"",E18&lt;&gt;""),"Saved","Pending"),"🔒 BLOCKED — Wrong Code")))</f>
        <v>Pending</v>
      </c>
      <c r="J18" s="93" t="str">
        <f t="shared" ca="1" si="2"/>
        <v>—</v>
      </c>
      <c r="K18" s="94"/>
    </row>
    <row r="19" spans="1:11" x14ac:dyDescent="0.25">
      <c r="A19" s="79"/>
      <c r="B19" s="21" t="str">
        <f>IF(A19="","",IFERROR(VLOOKUP(A19,DB_Customers!$A:$D,4,0),"❌ Account Not Found"))</f>
        <v/>
      </c>
      <c r="C19" s="80" t="str">
        <f>IF(A19="","",IFERROR(VLOOKUP(A19,DB_Customers!$A:$N,14,0),""))</f>
        <v/>
      </c>
      <c r="D19" s="81" t="str">
        <f t="shared" ca="1" si="0"/>
        <v/>
      </c>
      <c r="E19" s="82"/>
      <c r="F19" s="83" t="str">
        <f t="shared" si="1"/>
        <v/>
      </c>
      <c r="G19" s="23"/>
      <c r="H19" s="84"/>
      <c r="I19" s="85" t="str">
        <f>IF(A19="","Pending",IF(H19="","⚠️ Enter Code",IF(IFERROR(VLOOKUP(G19,DB_Agents!$B:$I,8,0),"")=H19,IF(AND(A19&lt;&gt;"",E19&lt;&gt;""),"Saved","Pending"),"🔒 BLOCKED — Wrong Code")))</f>
        <v>Pending</v>
      </c>
      <c r="J19" s="86" t="str">
        <f t="shared" ca="1" si="2"/>
        <v>—</v>
      </c>
      <c r="K19" s="87"/>
    </row>
    <row r="20" spans="1:11" x14ac:dyDescent="0.25">
      <c r="A20" s="88"/>
      <c r="B20" s="25" t="str">
        <f>IF(A20="","",IFERROR(VLOOKUP(A20,DB_Customers!$A:$D,4,0),"❌ Account Not Found"))</f>
        <v/>
      </c>
      <c r="C20" s="89" t="str">
        <f>IF(A20="","",IFERROR(VLOOKUP(A20,DB_Customers!$A:$N,14,0),""))</f>
        <v/>
      </c>
      <c r="D20" s="90" t="str">
        <f t="shared" ca="1" si="0"/>
        <v/>
      </c>
      <c r="E20" s="82"/>
      <c r="F20" s="91" t="str">
        <f t="shared" si="1"/>
        <v/>
      </c>
      <c r="G20" s="27"/>
      <c r="H20" s="84"/>
      <c r="I20" s="92" t="str">
        <f>IF(A20="","Pending",IF(H20="","⚠️ Enter Code",IF(IFERROR(VLOOKUP(G20,DB_Agents!$B:$I,8,0),"")=H20,IF(AND(A20&lt;&gt;"",E20&lt;&gt;""),"Saved","Pending"),"🔒 BLOCKED — Wrong Code")))</f>
        <v>Pending</v>
      </c>
      <c r="J20" s="93" t="str">
        <f t="shared" ca="1" si="2"/>
        <v>—</v>
      </c>
      <c r="K20" s="94"/>
    </row>
    <row r="21" spans="1:11" x14ac:dyDescent="0.25">
      <c r="A21" s="79"/>
      <c r="B21" s="21" t="str">
        <f>IF(A21="","",IFERROR(VLOOKUP(A21,DB_Customers!$A:$D,4,0),"❌ Account Not Found"))</f>
        <v/>
      </c>
      <c r="C21" s="80" t="str">
        <f>IF(A21="","",IFERROR(VLOOKUP(A21,DB_Customers!$A:$N,14,0),""))</f>
        <v/>
      </c>
      <c r="D21" s="81" t="str">
        <f t="shared" ca="1" si="0"/>
        <v/>
      </c>
      <c r="E21" s="82"/>
      <c r="F21" s="83" t="str">
        <f t="shared" si="1"/>
        <v/>
      </c>
      <c r="G21" s="23"/>
      <c r="H21" s="84"/>
      <c r="I21" s="85" t="str">
        <f>IF(A21="","Pending",IF(H21="","⚠️ Enter Code",IF(IFERROR(VLOOKUP(G21,DB_Agents!$B:$I,8,0),"")=H21,IF(AND(A21&lt;&gt;"",E21&lt;&gt;""),"Saved","Pending"),"🔒 BLOCKED — Wrong Code")))</f>
        <v>Pending</v>
      </c>
      <c r="J21" s="86" t="str">
        <f t="shared" ca="1" si="2"/>
        <v>—</v>
      </c>
      <c r="K21" s="87"/>
    </row>
    <row r="22" spans="1:11" x14ac:dyDescent="0.25">
      <c r="A22" s="88"/>
      <c r="B22" s="25" t="str">
        <f>IF(A22="","",IFERROR(VLOOKUP(A22,DB_Customers!$A:$D,4,0),"❌ Account Not Found"))</f>
        <v/>
      </c>
      <c r="C22" s="89" t="str">
        <f>IF(A22="","",IFERROR(VLOOKUP(A22,DB_Customers!$A:$N,14,0),""))</f>
        <v/>
      </c>
      <c r="D22" s="90" t="str">
        <f t="shared" ca="1" si="0"/>
        <v/>
      </c>
      <c r="E22" s="82"/>
      <c r="F22" s="91" t="str">
        <f t="shared" si="1"/>
        <v/>
      </c>
      <c r="G22" s="27"/>
      <c r="H22" s="84"/>
      <c r="I22" s="92" t="str">
        <f>IF(A22="","Pending",IF(H22="","⚠️ Enter Code",IF(IFERROR(VLOOKUP(G22,DB_Agents!$B:$I,8,0),"")=H22,IF(AND(A22&lt;&gt;"",E22&lt;&gt;""),"Saved","Pending"),"🔒 BLOCKED — Wrong Code")))</f>
        <v>Pending</v>
      </c>
      <c r="J22" s="93" t="str">
        <f t="shared" ca="1" si="2"/>
        <v>—</v>
      </c>
      <c r="K22" s="94"/>
    </row>
    <row r="23" spans="1:11" x14ac:dyDescent="0.25">
      <c r="A23" s="79"/>
      <c r="B23" s="21" t="str">
        <f>IF(A23="","",IFERROR(VLOOKUP(A23,DB_Customers!$A:$D,4,0),"❌ Account Not Found"))</f>
        <v/>
      </c>
      <c r="C23" s="80" t="str">
        <f>IF(A23="","",IFERROR(VLOOKUP(A23,DB_Customers!$A:$N,14,0),""))</f>
        <v/>
      </c>
      <c r="D23" s="81" t="str">
        <f t="shared" ca="1" si="0"/>
        <v/>
      </c>
      <c r="E23" s="82"/>
      <c r="F23" s="83" t="str">
        <f t="shared" si="1"/>
        <v/>
      </c>
      <c r="G23" s="23"/>
      <c r="H23" s="84"/>
      <c r="I23" s="85" t="str">
        <f>IF(A23="","Pending",IF(H23="","⚠️ Enter Code",IF(IFERROR(VLOOKUP(G23,DB_Agents!$B:$I,8,0),"")=H23,IF(AND(A23&lt;&gt;"",E23&lt;&gt;""),"Saved","Pending"),"🔒 BLOCKED — Wrong Code")))</f>
        <v>Pending</v>
      </c>
      <c r="J23" s="86" t="str">
        <f t="shared" ca="1" si="2"/>
        <v>—</v>
      </c>
      <c r="K23" s="87"/>
    </row>
    <row r="24" spans="1:11" x14ac:dyDescent="0.25">
      <c r="A24" s="88"/>
      <c r="B24" s="25" t="str">
        <f>IF(A24="","",IFERROR(VLOOKUP(A24,DB_Customers!$A:$D,4,0),"❌ Account Not Found"))</f>
        <v/>
      </c>
      <c r="C24" s="89" t="str">
        <f>IF(A24="","",IFERROR(VLOOKUP(A24,DB_Customers!$A:$N,14,0),""))</f>
        <v/>
      </c>
      <c r="D24" s="90" t="str">
        <f t="shared" ca="1" si="0"/>
        <v/>
      </c>
      <c r="E24" s="82"/>
      <c r="F24" s="91" t="str">
        <f t="shared" si="1"/>
        <v/>
      </c>
      <c r="G24" s="27"/>
      <c r="H24" s="84"/>
      <c r="I24" s="92" t="str">
        <f>IF(A24="","Pending",IF(H24="","⚠️ Enter Code",IF(IFERROR(VLOOKUP(G24,DB_Agents!$B:$I,8,0),"")=H24,IF(AND(A24&lt;&gt;"",E24&lt;&gt;""),"Saved","Pending"),"🔒 BLOCKED — Wrong Code")))</f>
        <v>Pending</v>
      </c>
      <c r="J24" s="93" t="str">
        <f t="shared" ca="1" si="2"/>
        <v>—</v>
      </c>
      <c r="K24" s="94"/>
    </row>
    <row r="25" spans="1:11" x14ac:dyDescent="0.25">
      <c r="A25" s="79"/>
      <c r="B25" s="21" t="str">
        <f>IF(A25="","",IFERROR(VLOOKUP(A25,DB_Customers!$A:$D,4,0),"❌ Account Not Found"))</f>
        <v/>
      </c>
      <c r="C25" s="80" t="str">
        <f>IF(A25="","",IFERROR(VLOOKUP(A25,DB_Customers!$A:$N,14,0),""))</f>
        <v/>
      </c>
      <c r="D25" s="81" t="str">
        <f t="shared" ca="1" si="0"/>
        <v/>
      </c>
      <c r="E25" s="82"/>
      <c r="F25" s="83" t="str">
        <f t="shared" si="1"/>
        <v/>
      </c>
      <c r="G25" s="23"/>
      <c r="H25" s="84"/>
      <c r="I25" s="85" t="str">
        <f>IF(A25="","Pending",IF(H25="","⚠️ Enter Code",IF(IFERROR(VLOOKUP(G25,DB_Agents!$B:$I,8,0),"")=H25,IF(AND(A25&lt;&gt;"",E25&lt;&gt;""),"Saved","Pending"),"🔒 BLOCKED — Wrong Code")))</f>
        <v>Pending</v>
      </c>
      <c r="J25" s="86" t="str">
        <f t="shared" ca="1" si="2"/>
        <v>—</v>
      </c>
      <c r="K25" s="87"/>
    </row>
    <row r="26" spans="1:11" x14ac:dyDescent="0.25">
      <c r="A26" s="88"/>
      <c r="B26" s="25" t="str">
        <f>IF(A26="","",IFERROR(VLOOKUP(A26,DB_Customers!$A:$D,4,0),"❌ Account Not Found"))</f>
        <v/>
      </c>
      <c r="C26" s="89" t="str">
        <f>IF(A26="","",IFERROR(VLOOKUP(A26,DB_Customers!$A:$N,14,0),""))</f>
        <v/>
      </c>
      <c r="D26" s="90" t="str">
        <f t="shared" ca="1" si="0"/>
        <v/>
      </c>
      <c r="E26" s="82"/>
      <c r="F26" s="91" t="str">
        <f t="shared" si="1"/>
        <v/>
      </c>
      <c r="G26" s="27"/>
      <c r="H26" s="84"/>
      <c r="I26" s="92" t="str">
        <f>IF(A26="","Pending",IF(H26="","⚠️ Enter Code",IF(IFERROR(VLOOKUP(G26,DB_Agents!$B:$I,8,0),"")=H26,IF(AND(A26&lt;&gt;"",E26&lt;&gt;""),"Saved","Pending"),"🔒 BLOCKED — Wrong Code")))</f>
        <v>Pending</v>
      </c>
      <c r="J26" s="93" t="str">
        <f t="shared" ca="1" si="2"/>
        <v>—</v>
      </c>
      <c r="K26" s="94"/>
    </row>
    <row r="27" spans="1:11" x14ac:dyDescent="0.25">
      <c r="A27" s="79"/>
      <c r="B27" s="21" t="str">
        <f>IF(A27="","",IFERROR(VLOOKUP(A27,DB_Customers!$A:$D,4,0),"❌ Account Not Found"))</f>
        <v/>
      </c>
      <c r="C27" s="80" t="str">
        <f>IF(A27="","",IFERROR(VLOOKUP(A27,DB_Customers!$A:$N,14,0),""))</f>
        <v/>
      </c>
      <c r="D27" s="81" t="str">
        <f t="shared" ca="1" si="0"/>
        <v/>
      </c>
      <c r="E27" s="82"/>
      <c r="F27" s="83" t="str">
        <f t="shared" si="1"/>
        <v/>
      </c>
      <c r="G27" s="23"/>
      <c r="H27" s="84"/>
      <c r="I27" s="85" t="str">
        <f>IF(A27="","Pending",IF(H27="","⚠️ Enter Code",IF(IFERROR(VLOOKUP(G27,DB_Agents!$B:$I,8,0),"")=H27,IF(AND(A27&lt;&gt;"",E27&lt;&gt;""),"Saved","Pending"),"🔒 BLOCKED — Wrong Code")))</f>
        <v>Pending</v>
      </c>
      <c r="J27" s="86" t="str">
        <f t="shared" ca="1" si="2"/>
        <v>—</v>
      </c>
      <c r="K27" s="87"/>
    </row>
    <row r="28" spans="1:11" x14ac:dyDescent="0.25">
      <c r="A28" s="88"/>
      <c r="B28" s="25" t="str">
        <f>IF(A28="","",IFERROR(VLOOKUP(A28,DB_Customers!$A:$D,4,0),"❌ Account Not Found"))</f>
        <v/>
      </c>
      <c r="C28" s="89" t="str">
        <f>IF(A28="","",IFERROR(VLOOKUP(A28,DB_Customers!$A:$N,14,0),""))</f>
        <v/>
      </c>
      <c r="D28" s="90" t="str">
        <f t="shared" ca="1" si="0"/>
        <v/>
      </c>
      <c r="E28" s="82"/>
      <c r="F28" s="91" t="str">
        <f t="shared" si="1"/>
        <v/>
      </c>
      <c r="G28" s="27"/>
      <c r="H28" s="84"/>
      <c r="I28" s="92" t="str">
        <f>IF(A28="","Pending",IF(H28="","⚠️ Enter Code",IF(IFERROR(VLOOKUP(G28,DB_Agents!$B:$I,8,0),"")=H28,IF(AND(A28&lt;&gt;"",E28&lt;&gt;""),"Saved","Pending"),"🔒 BLOCKED — Wrong Code")))</f>
        <v>Pending</v>
      </c>
      <c r="J28" s="93" t="str">
        <f t="shared" ca="1" si="2"/>
        <v>—</v>
      </c>
      <c r="K28" s="94"/>
    </row>
    <row r="29" spans="1:11" x14ac:dyDescent="0.25">
      <c r="A29" s="79"/>
      <c r="B29" s="21" t="str">
        <f>IF(A29="","",IFERROR(VLOOKUP(A29,DB_Customers!$A:$D,4,0),"❌ Account Not Found"))</f>
        <v/>
      </c>
      <c r="C29" s="80" t="str">
        <f>IF(A29="","",IFERROR(VLOOKUP(A29,DB_Customers!$A:$N,14,0),""))</f>
        <v/>
      </c>
      <c r="D29" s="81" t="str">
        <f t="shared" ca="1" si="0"/>
        <v/>
      </c>
      <c r="E29" s="82"/>
      <c r="F29" s="83" t="str">
        <f t="shared" si="1"/>
        <v/>
      </c>
      <c r="G29" s="23"/>
      <c r="H29" s="84"/>
      <c r="I29" s="85" t="str">
        <f>IF(A29="","Pending",IF(H29="","⚠️ Enter Code",IF(IFERROR(VLOOKUP(G29,DB_Agents!$B:$I,8,0),"")=H29,IF(AND(A29&lt;&gt;"",E29&lt;&gt;""),"Saved","Pending"),"🔒 BLOCKED — Wrong Code")))</f>
        <v>Pending</v>
      </c>
      <c r="J29" s="86" t="str">
        <f t="shared" ca="1" si="2"/>
        <v>—</v>
      </c>
      <c r="K29" s="87"/>
    </row>
    <row r="30" spans="1:11" x14ac:dyDescent="0.25">
      <c r="A30" s="88"/>
      <c r="B30" s="25" t="str">
        <f>IF(A30="","",IFERROR(VLOOKUP(A30,DB_Customers!$A:$D,4,0),"❌ Account Not Found"))</f>
        <v/>
      </c>
      <c r="C30" s="89" t="str">
        <f>IF(A30="","",IFERROR(VLOOKUP(A30,DB_Customers!$A:$N,14,0),""))</f>
        <v/>
      </c>
      <c r="D30" s="90" t="str">
        <f t="shared" ca="1" si="0"/>
        <v/>
      </c>
      <c r="E30" s="82"/>
      <c r="F30" s="91" t="str">
        <f t="shared" si="1"/>
        <v/>
      </c>
      <c r="G30" s="27"/>
      <c r="H30" s="84"/>
      <c r="I30" s="92" t="str">
        <f>IF(A30="","Pending",IF(H30="","⚠️ Enter Code",IF(IFERROR(VLOOKUP(G30,DB_Agents!$B:$I,8,0),"")=H30,IF(AND(A30&lt;&gt;"",E30&lt;&gt;""),"Saved","Pending"),"🔒 BLOCKED — Wrong Code")))</f>
        <v>Pending</v>
      </c>
      <c r="J30" s="93" t="str">
        <f t="shared" ca="1" si="2"/>
        <v>—</v>
      </c>
      <c r="K30" s="94"/>
    </row>
    <row r="31" spans="1:11" x14ac:dyDescent="0.25">
      <c r="A31" s="79"/>
      <c r="B31" s="21" t="str">
        <f>IF(A31="","",IFERROR(VLOOKUP(A31,DB_Customers!$A:$D,4,0),"❌ Account Not Found"))</f>
        <v/>
      </c>
      <c r="C31" s="80" t="str">
        <f>IF(A31="","",IFERROR(VLOOKUP(A31,DB_Customers!$A:$N,14,0),""))</f>
        <v/>
      </c>
      <c r="D31" s="81" t="str">
        <f t="shared" ca="1" si="0"/>
        <v/>
      </c>
      <c r="E31" s="82"/>
      <c r="F31" s="83" t="str">
        <f t="shared" si="1"/>
        <v/>
      </c>
      <c r="G31" s="23"/>
      <c r="H31" s="84"/>
      <c r="I31" s="85" t="str">
        <f>IF(A31="","Pending",IF(H31="","⚠️ Enter Code",IF(IFERROR(VLOOKUP(G31,DB_Agents!$B:$I,8,0),"")=H31,IF(AND(A31&lt;&gt;"",E31&lt;&gt;""),"Saved","Pending"),"🔒 BLOCKED — Wrong Code")))</f>
        <v>Pending</v>
      </c>
      <c r="J31" s="86" t="str">
        <f t="shared" ca="1" si="2"/>
        <v>—</v>
      </c>
      <c r="K31" s="87"/>
    </row>
    <row r="32" spans="1:11" x14ac:dyDescent="0.25">
      <c r="A32" s="88"/>
      <c r="B32" s="25" t="str">
        <f>IF(A32="","",IFERROR(VLOOKUP(A32,DB_Customers!$A:$D,4,0),"❌ Account Not Found"))</f>
        <v/>
      </c>
      <c r="C32" s="89" t="str">
        <f>IF(A32="","",IFERROR(VLOOKUP(A32,DB_Customers!$A:$N,14,0),""))</f>
        <v/>
      </c>
      <c r="D32" s="90" t="str">
        <f t="shared" ca="1" si="0"/>
        <v/>
      </c>
      <c r="E32" s="82"/>
      <c r="F32" s="91" t="str">
        <f t="shared" si="1"/>
        <v/>
      </c>
      <c r="G32" s="27"/>
      <c r="H32" s="84"/>
      <c r="I32" s="92" t="str">
        <f>IF(A32="","Pending",IF(H32="","⚠️ Enter Code",IF(IFERROR(VLOOKUP(G32,DB_Agents!$B:$I,8,0),"")=H32,IF(AND(A32&lt;&gt;"",E32&lt;&gt;""),"Saved","Pending"),"🔒 BLOCKED — Wrong Code")))</f>
        <v>Pending</v>
      </c>
      <c r="J32" s="93" t="str">
        <f t="shared" ca="1" si="2"/>
        <v>—</v>
      </c>
      <c r="K32" s="94"/>
    </row>
    <row r="33" spans="1:11" x14ac:dyDescent="0.25">
      <c r="A33" s="79"/>
      <c r="B33" s="21" t="str">
        <f>IF(A33="","",IFERROR(VLOOKUP(A33,DB_Customers!$A:$D,4,0),"❌ Account Not Found"))</f>
        <v/>
      </c>
      <c r="C33" s="80" t="str">
        <f>IF(A33="","",IFERROR(VLOOKUP(A33,DB_Customers!$A:$N,14,0),""))</f>
        <v/>
      </c>
      <c r="D33" s="81" t="str">
        <f t="shared" ca="1" si="0"/>
        <v/>
      </c>
      <c r="E33" s="82"/>
      <c r="F33" s="83" t="str">
        <f t="shared" si="1"/>
        <v/>
      </c>
      <c r="G33" s="23"/>
      <c r="H33" s="84"/>
      <c r="I33" s="85" t="str">
        <f>IF(A33="","Pending",IF(H33="","⚠️ Enter Code",IF(IFERROR(VLOOKUP(G33,DB_Agents!$B:$I,8,0),"")=H33,IF(AND(A33&lt;&gt;"",E33&lt;&gt;""),"Saved","Pending"),"🔒 BLOCKED — Wrong Code")))</f>
        <v>Pending</v>
      </c>
      <c r="J33" s="86" t="str">
        <f t="shared" ca="1" si="2"/>
        <v>—</v>
      </c>
      <c r="K33" s="87"/>
    </row>
    <row r="34" spans="1:11" x14ac:dyDescent="0.25">
      <c r="A34" s="88"/>
      <c r="B34" s="25" t="str">
        <f>IF(A34="","",IFERROR(VLOOKUP(A34,DB_Customers!$A:$D,4,0),"❌ Account Not Found"))</f>
        <v/>
      </c>
      <c r="C34" s="89" t="str">
        <f>IF(A34="","",IFERROR(VLOOKUP(A34,DB_Customers!$A:$N,14,0),""))</f>
        <v/>
      </c>
      <c r="D34" s="90" t="str">
        <f t="shared" ca="1" si="0"/>
        <v/>
      </c>
      <c r="E34" s="82"/>
      <c r="F34" s="91" t="str">
        <f t="shared" si="1"/>
        <v/>
      </c>
      <c r="G34" s="27"/>
      <c r="H34" s="84"/>
      <c r="I34" s="92" t="str">
        <f>IF(A34="","Pending",IF(H34="","⚠️ Enter Code",IF(IFERROR(VLOOKUP(G34,DB_Agents!$B:$I,8,0),"")=H34,IF(AND(A34&lt;&gt;"",E34&lt;&gt;""),"Saved","Pending"),"🔒 BLOCKED — Wrong Code")))</f>
        <v>Pending</v>
      </c>
      <c r="J34" s="93" t="str">
        <f t="shared" ca="1" si="2"/>
        <v>—</v>
      </c>
      <c r="K34" s="94"/>
    </row>
    <row r="35" spans="1:11" x14ac:dyDescent="0.25">
      <c r="A35" s="79"/>
      <c r="B35" s="21" t="str">
        <f>IF(A35="","",IFERROR(VLOOKUP(A35,DB_Customers!$A:$D,4,0),"❌ Account Not Found"))</f>
        <v/>
      </c>
      <c r="C35" s="80" t="str">
        <f>IF(A35="","",IFERROR(VLOOKUP(A35,DB_Customers!$A:$N,14,0),""))</f>
        <v/>
      </c>
      <c r="D35" s="81" t="str">
        <f t="shared" ca="1" si="0"/>
        <v/>
      </c>
      <c r="E35" s="82"/>
      <c r="F35" s="83" t="str">
        <f t="shared" si="1"/>
        <v/>
      </c>
      <c r="G35" s="23"/>
      <c r="H35" s="84"/>
      <c r="I35" s="85" t="str">
        <f>IF(A35="","Pending",IF(H35="","⚠️ Enter Code",IF(IFERROR(VLOOKUP(G35,DB_Agents!$B:$I,8,0),"")=H35,IF(AND(A35&lt;&gt;"",E35&lt;&gt;""),"Saved","Pending"),"🔒 BLOCKED — Wrong Code")))</f>
        <v>Pending</v>
      </c>
      <c r="J35" s="86" t="str">
        <f t="shared" ca="1" si="2"/>
        <v>—</v>
      </c>
      <c r="K35" s="87"/>
    </row>
    <row r="36" spans="1:11" x14ac:dyDescent="0.25">
      <c r="A36" s="88"/>
      <c r="B36" s="25" t="str">
        <f>IF(A36="","",IFERROR(VLOOKUP(A36,DB_Customers!$A:$D,4,0),"❌ Account Not Found"))</f>
        <v/>
      </c>
      <c r="C36" s="89" t="str">
        <f>IF(A36="","",IFERROR(VLOOKUP(A36,DB_Customers!$A:$N,14,0),""))</f>
        <v/>
      </c>
      <c r="D36" s="90" t="str">
        <f t="shared" ca="1" si="0"/>
        <v/>
      </c>
      <c r="E36" s="82"/>
      <c r="F36" s="91" t="str">
        <f t="shared" si="1"/>
        <v/>
      </c>
      <c r="G36" s="27"/>
      <c r="H36" s="84"/>
      <c r="I36" s="92" t="str">
        <f>IF(A36="","Pending",IF(H36="","⚠️ Enter Code",IF(IFERROR(VLOOKUP(G36,DB_Agents!$B:$I,8,0),"")=H36,IF(AND(A36&lt;&gt;"",E36&lt;&gt;""),"Saved","Pending"),"🔒 BLOCKED — Wrong Code")))</f>
        <v>Pending</v>
      </c>
      <c r="J36" s="93" t="str">
        <f t="shared" ca="1" si="2"/>
        <v>—</v>
      </c>
      <c r="K36" s="94"/>
    </row>
    <row r="37" spans="1:11" x14ac:dyDescent="0.25">
      <c r="A37" s="79"/>
      <c r="B37" s="21" t="str">
        <f>IF(A37="","",IFERROR(VLOOKUP(A37,DB_Customers!$A:$D,4,0),"❌ Account Not Found"))</f>
        <v/>
      </c>
      <c r="C37" s="80" t="str">
        <f>IF(A37="","",IFERROR(VLOOKUP(A37,DB_Customers!$A:$N,14,0),""))</f>
        <v/>
      </c>
      <c r="D37" s="81" t="str">
        <f t="shared" ca="1" si="0"/>
        <v/>
      </c>
      <c r="E37" s="82"/>
      <c r="F37" s="83" t="str">
        <f t="shared" si="1"/>
        <v/>
      </c>
      <c r="G37" s="23"/>
      <c r="H37" s="84"/>
      <c r="I37" s="85" t="str">
        <f>IF(A37="","Pending",IF(H37="","⚠️ Enter Code",IF(IFERROR(VLOOKUP(G37,DB_Agents!$B:$I,8,0),"")=H37,IF(AND(A37&lt;&gt;"",E37&lt;&gt;""),"Saved","Pending"),"🔒 BLOCKED — Wrong Code")))</f>
        <v>Pending</v>
      </c>
      <c r="J37" s="86" t="str">
        <f t="shared" ca="1" si="2"/>
        <v>—</v>
      </c>
      <c r="K37" s="87"/>
    </row>
    <row r="38" spans="1:11" x14ac:dyDescent="0.25">
      <c r="A38" s="88"/>
      <c r="B38" s="25" t="str">
        <f>IF(A38="","",IFERROR(VLOOKUP(A38,DB_Customers!$A:$D,4,0),"❌ Account Not Found"))</f>
        <v/>
      </c>
      <c r="C38" s="89" t="str">
        <f>IF(A38="","",IFERROR(VLOOKUP(A38,DB_Customers!$A:$N,14,0),""))</f>
        <v/>
      </c>
      <c r="D38" s="90" t="str">
        <f t="shared" ca="1" si="0"/>
        <v/>
      </c>
      <c r="E38" s="82"/>
      <c r="F38" s="91" t="str">
        <f t="shared" si="1"/>
        <v/>
      </c>
      <c r="G38" s="27"/>
      <c r="H38" s="84"/>
      <c r="I38" s="92" t="str">
        <f>IF(A38="","Pending",IF(H38="","⚠️ Enter Code",IF(IFERROR(VLOOKUP(G38,DB_Agents!$B:$I,8,0),"")=H38,IF(AND(A38&lt;&gt;"",E38&lt;&gt;""),"Saved","Pending"),"🔒 BLOCKED — Wrong Code")))</f>
        <v>Pending</v>
      </c>
      <c r="J38" s="93" t="str">
        <f t="shared" ca="1" si="2"/>
        <v>—</v>
      </c>
      <c r="K38" s="94"/>
    </row>
    <row r="39" spans="1:11" x14ac:dyDescent="0.25">
      <c r="A39" s="79"/>
      <c r="B39" s="21" t="str">
        <f>IF(A39="","",IFERROR(VLOOKUP(A39,DB_Customers!$A:$D,4,0),"❌ Account Not Found"))</f>
        <v/>
      </c>
      <c r="C39" s="80" t="str">
        <f>IF(A39="","",IFERROR(VLOOKUP(A39,DB_Customers!$A:$N,14,0),""))</f>
        <v/>
      </c>
      <c r="D39" s="81" t="str">
        <f t="shared" ca="1" si="0"/>
        <v/>
      </c>
      <c r="E39" s="82"/>
      <c r="F39" s="83" t="str">
        <f t="shared" si="1"/>
        <v/>
      </c>
      <c r="G39" s="23"/>
      <c r="H39" s="84"/>
      <c r="I39" s="85" t="str">
        <f>IF(A39="","Pending",IF(H39="","⚠️ Enter Code",IF(IFERROR(VLOOKUP(G39,DB_Agents!$B:$I,8,0),"")=H39,IF(AND(A39&lt;&gt;"",E39&lt;&gt;""),"Saved","Pending"),"🔒 BLOCKED — Wrong Code")))</f>
        <v>Pending</v>
      </c>
      <c r="J39" s="86" t="str">
        <f t="shared" ca="1" si="2"/>
        <v>—</v>
      </c>
      <c r="K39" s="87"/>
    </row>
    <row r="40" spans="1:11" x14ac:dyDescent="0.25">
      <c r="A40" s="88"/>
      <c r="B40" s="25" t="str">
        <f>IF(A40="","",IFERROR(VLOOKUP(A40,DB_Customers!$A:$D,4,0),"❌ Account Not Found"))</f>
        <v/>
      </c>
      <c r="C40" s="89" t="str">
        <f>IF(A40="","",IFERROR(VLOOKUP(A40,DB_Customers!$A:$N,14,0),""))</f>
        <v/>
      </c>
      <c r="D40" s="90" t="str">
        <f t="shared" ca="1" si="0"/>
        <v/>
      </c>
      <c r="E40" s="82"/>
      <c r="F40" s="91" t="str">
        <f t="shared" si="1"/>
        <v/>
      </c>
      <c r="G40" s="27"/>
      <c r="H40" s="84"/>
      <c r="I40" s="92" t="str">
        <f>IF(A40="","Pending",IF(H40="","⚠️ Enter Code",IF(IFERROR(VLOOKUP(G40,DB_Agents!$B:$I,8,0),"")=H40,IF(AND(A40&lt;&gt;"",E40&lt;&gt;""),"Saved","Pending"),"🔒 BLOCKED — Wrong Code")))</f>
        <v>Pending</v>
      </c>
      <c r="J40" s="93" t="str">
        <f t="shared" ca="1" si="2"/>
        <v>—</v>
      </c>
      <c r="K40" s="94"/>
    </row>
    <row r="41" spans="1:11" x14ac:dyDescent="0.25">
      <c r="A41" s="79"/>
      <c r="B41" s="21" t="str">
        <f>IF(A41="","",IFERROR(VLOOKUP(A41,DB_Customers!$A:$D,4,0),"❌ Account Not Found"))</f>
        <v/>
      </c>
      <c r="C41" s="80" t="str">
        <f>IF(A41="","",IFERROR(VLOOKUP(A41,DB_Customers!$A:$N,14,0),""))</f>
        <v/>
      </c>
      <c r="D41" s="81" t="str">
        <f t="shared" ref="D41:D72" ca="1" si="3">IF(A41="","",TODAY())</f>
        <v/>
      </c>
      <c r="E41" s="82"/>
      <c r="F41" s="83" t="str">
        <f t="shared" ref="F41:F72" si="4">IF(OR(A41="",E41=""),"",IF(C41="","",C41+E41))</f>
        <v/>
      </c>
      <c r="G41" s="23"/>
      <c r="H41" s="84"/>
      <c r="I41" s="85" t="str">
        <f>IF(A41="","Pending",IF(H41="","⚠️ Enter Code",IF(IFERROR(VLOOKUP(G41,DB_Agents!$B:$I,8,0),"")=H41,IF(AND(A41&lt;&gt;"",E41&lt;&gt;""),"Saved","Pending"),"🔒 BLOCKED — Wrong Code")))</f>
        <v>Pending</v>
      </c>
      <c r="J41" s="86" t="str">
        <f t="shared" ref="J41:J72" ca="1" si="5">IF(I41="Saved",TEXT(TODAY(),"YYYY-MM-DD")&amp;" Auto","—")</f>
        <v>—</v>
      </c>
      <c r="K41" s="87"/>
    </row>
    <row r="42" spans="1:11" x14ac:dyDescent="0.25">
      <c r="A42" s="88"/>
      <c r="B42" s="25" t="str">
        <f>IF(A42="","",IFERROR(VLOOKUP(A42,DB_Customers!$A:$D,4,0),"❌ Account Not Found"))</f>
        <v/>
      </c>
      <c r="C42" s="89" t="str">
        <f>IF(A42="","",IFERROR(VLOOKUP(A42,DB_Customers!$A:$N,14,0),""))</f>
        <v/>
      </c>
      <c r="D42" s="90" t="str">
        <f t="shared" ca="1" si="3"/>
        <v/>
      </c>
      <c r="E42" s="82"/>
      <c r="F42" s="91" t="str">
        <f t="shared" si="4"/>
        <v/>
      </c>
      <c r="G42" s="27"/>
      <c r="H42" s="84"/>
      <c r="I42" s="92" t="str">
        <f>IF(A42="","Pending",IF(H42="","⚠️ Enter Code",IF(IFERROR(VLOOKUP(G42,DB_Agents!$B:$I,8,0),"")=H42,IF(AND(A42&lt;&gt;"",E42&lt;&gt;""),"Saved","Pending"),"🔒 BLOCKED — Wrong Code")))</f>
        <v>Pending</v>
      </c>
      <c r="J42" s="93" t="str">
        <f t="shared" ca="1" si="5"/>
        <v>—</v>
      </c>
      <c r="K42" s="94"/>
    </row>
    <row r="43" spans="1:11" x14ac:dyDescent="0.25">
      <c r="A43" s="79"/>
      <c r="B43" s="21" t="str">
        <f>IF(A43="","",IFERROR(VLOOKUP(A43,DB_Customers!$A:$D,4,0),"❌ Account Not Found"))</f>
        <v/>
      </c>
      <c r="C43" s="80" t="str">
        <f>IF(A43="","",IFERROR(VLOOKUP(A43,DB_Customers!$A:$N,14,0),""))</f>
        <v/>
      </c>
      <c r="D43" s="81" t="str">
        <f t="shared" ca="1" si="3"/>
        <v/>
      </c>
      <c r="E43" s="82"/>
      <c r="F43" s="83" t="str">
        <f t="shared" si="4"/>
        <v/>
      </c>
      <c r="G43" s="23"/>
      <c r="H43" s="84"/>
      <c r="I43" s="85" t="str">
        <f>IF(A43="","Pending",IF(H43="","⚠️ Enter Code",IF(IFERROR(VLOOKUP(G43,DB_Agents!$B:$I,8,0),"")=H43,IF(AND(A43&lt;&gt;"",E43&lt;&gt;""),"Saved","Pending"),"🔒 BLOCKED — Wrong Code")))</f>
        <v>Pending</v>
      </c>
      <c r="J43" s="86" t="str">
        <f t="shared" ca="1" si="5"/>
        <v>—</v>
      </c>
      <c r="K43" s="87"/>
    </row>
    <row r="44" spans="1:11" x14ac:dyDescent="0.25">
      <c r="A44" s="88"/>
      <c r="B44" s="25" t="str">
        <f>IF(A44="","",IFERROR(VLOOKUP(A44,DB_Customers!$A:$D,4,0),"❌ Account Not Found"))</f>
        <v/>
      </c>
      <c r="C44" s="89" t="str">
        <f>IF(A44="","",IFERROR(VLOOKUP(A44,DB_Customers!$A:$N,14,0),""))</f>
        <v/>
      </c>
      <c r="D44" s="90" t="str">
        <f t="shared" ca="1" si="3"/>
        <v/>
      </c>
      <c r="E44" s="82"/>
      <c r="F44" s="91" t="str">
        <f t="shared" si="4"/>
        <v/>
      </c>
      <c r="G44" s="27"/>
      <c r="H44" s="84"/>
      <c r="I44" s="92" t="str">
        <f>IF(A44="","Pending",IF(H44="","⚠️ Enter Code",IF(IFERROR(VLOOKUP(G44,DB_Agents!$B:$I,8,0),"")=H44,IF(AND(A44&lt;&gt;"",E44&lt;&gt;""),"Saved","Pending"),"🔒 BLOCKED — Wrong Code")))</f>
        <v>Pending</v>
      </c>
      <c r="J44" s="93" t="str">
        <f t="shared" ca="1" si="5"/>
        <v>—</v>
      </c>
      <c r="K44" s="94"/>
    </row>
    <row r="45" spans="1:11" x14ac:dyDescent="0.25">
      <c r="A45" s="79"/>
      <c r="B45" s="21" t="str">
        <f>IF(A45="","",IFERROR(VLOOKUP(A45,DB_Customers!$A:$D,4,0),"❌ Account Not Found"))</f>
        <v/>
      </c>
      <c r="C45" s="80" t="str">
        <f>IF(A45="","",IFERROR(VLOOKUP(A45,DB_Customers!$A:$N,14,0),""))</f>
        <v/>
      </c>
      <c r="D45" s="81" t="str">
        <f t="shared" ca="1" si="3"/>
        <v/>
      </c>
      <c r="E45" s="82"/>
      <c r="F45" s="83" t="str">
        <f t="shared" si="4"/>
        <v/>
      </c>
      <c r="G45" s="23"/>
      <c r="H45" s="84"/>
      <c r="I45" s="85" t="str">
        <f>IF(A45="","Pending",IF(H45="","⚠️ Enter Code",IF(IFERROR(VLOOKUP(G45,DB_Agents!$B:$I,8,0),"")=H45,IF(AND(A45&lt;&gt;"",E45&lt;&gt;""),"Saved","Pending"),"🔒 BLOCKED — Wrong Code")))</f>
        <v>Pending</v>
      </c>
      <c r="J45" s="86" t="str">
        <f t="shared" ca="1" si="5"/>
        <v>—</v>
      </c>
      <c r="K45" s="87"/>
    </row>
    <row r="46" spans="1:11" x14ac:dyDescent="0.25">
      <c r="A46" s="88"/>
      <c r="B46" s="25" t="str">
        <f>IF(A46="","",IFERROR(VLOOKUP(A46,DB_Customers!$A:$D,4,0),"❌ Account Not Found"))</f>
        <v/>
      </c>
      <c r="C46" s="89" t="str">
        <f>IF(A46="","",IFERROR(VLOOKUP(A46,DB_Customers!$A:$N,14,0),""))</f>
        <v/>
      </c>
      <c r="D46" s="90" t="str">
        <f t="shared" ca="1" si="3"/>
        <v/>
      </c>
      <c r="E46" s="82"/>
      <c r="F46" s="91" t="str">
        <f t="shared" si="4"/>
        <v/>
      </c>
      <c r="G46" s="27"/>
      <c r="H46" s="84"/>
      <c r="I46" s="92" t="str">
        <f>IF(A46="","Pending",IF(H46="","⚠️ Enter Code",IF(IFERROR(VLOOKUP(G46,DB_Agents!$B:$I,8,0),"")=H46,IF(AND(A46&lt;&gt;"",E46&lt;&gt;""),"Saved","Pending"),"🔒 BLOCKED — Wrong Code")))</f>
        <v>Pending</v>
      </c>
      <c r="J46" s="93" t="str">
        <f t="shared" ca="1" si="5"/>
        <v>—</v>
      </c>
      <c r="K46" s="94"/>
    </row>
    <row r="47" spans="1:11" x14ac:dyDescent="0.25">
      <c r="A47" s="79"/>
      <c r="B47" s="21" t="str">
        <f>IF(A47="","",IFERROR(VLOOKUP(A47,DB_Customers!$A:$D,4,0),"❌ Account Not Found"))</f>
        <v/>
      </c>
      <c r="C47" s="80" t="str">
        <f>IF(A47="","",IFERROR(VLOOKUP(A47,DB_Customers!$A:$N,14,0),""))</f>
        <v/>
      </c>
      <c r="D47" s="81" t="str">
        <f t="shared" ca="1" si="3"/>
        <v/>
      </c>
      <c r="E47" s="82"/>
      <c r="F47" s="83" t="str">
        <f t="shared" si="4"/>
        <v/>
      </c>
      <c r="G47" s="23"/>
      <c r="H47" s="84"/>
      <c r="I47" s="85" t="str">
        <f>IF(A47="","Pending",IF(H47="","⚠️ Enter Code",IF(IFERROR(VLOOKUP(G47,DB_Agents!$B:$I,8,0),"")=H47,IF(AND(A47&lt;&gt;"",E47&lt;&gt;""),"Saved","Pending"),"🔒 BLOCKED — Wrong Code")))</f>
        <v>Pending</v>
      </c>
      <c r="J47" s="86" t="str">
        <f t="shared" ca="1" si="5"/>
        <v>—</v>
      </c>
      <c r="K47" s="87"/>
    </row>
    <row r="48" spans="1:11" x14ac:dyDescent="0.25">
      <c r="A48" s="88"/>
      <c r="B48" s="25" t="str">
        <f>IF(A48="","",IFERROR(VLOOKUP(A48,DB_Customers!$A:$D,4,0),"❌ Account Not Found"))</f>
        <v/>
      </c>
      <c r="C48" s="89" t="str">
        <f>IF(A48="","",IFERROR(VLOOKUP(A48,DB_Customers!$A:$N,14,0),""))</f>
        <v/>
      </c>
      <c r="D48" s="90" t="str">
        <f t="shared" ca="1" si="3"/>
        <v/>
      </c>
      <c r="E48" s="82"/>
      <c r="F48" s="91" t="str">
        <f t="shared" si="4"/>
        <v/>
      </c>
      <c r="G48" s="27"/>
      <c r="H48" s="84"/>
      <c r="I48" s="92" t="str">
        <f>IF(A48="","Pending",IF(H48="","⚠️ Enter Code",IF(IFERROR(VLOOKUP(G48,DB_Agents!$B:$I,8,0),"")=H48,IF(AND(A48&lt;&gt;"",E48&lt;&gt;""),"Saved","Pending"),"🔒 BLOCKED — Wrong Code")))</f>
        <v>Pending</v>
      </c>
      <c r="J48" s="93" t="str">
        <f t="shared" ca="1" si="5"/>
        <v>—</v>
      </c>
      <c r="K48" s="94"/>
    </row>
    <row r="49" spans="1:11" x14ac:dyDescent="0.25">
      <c r="A49" s="79"/>
      <c r="B49" s="21" t="str">
        <f>IF(A49="","",IFERROR(VLOOKUP(A49,DB_Customers!$A:$D,4,0),"❌ Account Not Found"))</f>
        <v/>
      </c>
      <c r="C49" s="80" t="str">
        <f>IF(A49="","",IFERROR(VLOOKUP(A49,DB_Customers!$A:$N,14,0),""))</f>
        <v/>
      </c>
      <c r="D49" s="81" t="str">
        <f t="shared" ca="1" si="3"/>
        <v/>
      </c>
      <c r="E49" s="82"/>
      <c r="F49" s="83" t="str">
        <f t="shared" si="4"/>
        <v/>
      </c>
      <c r="G49" s="23"/>
      <c r="H49" s="84"/>
      <c r="I49" s="85" t="str">
        <f>IF(A49="","Pending",IF(H49="","⚠️ Enter Code",IF(IFERROR(VLOOKUP(G49,DB_Agents!$B:$I,8,0),"")=H49,IF(AND(A49&lt;&gt;"",E49&lt;&gt;""),"Saved","Pending"),"🔒 BLOCKED — Wrong Code")))</f>
        <v>Pending</v>
      </c>
      <c r="J49" s="86" t="str">
        <f t="shared" ca="1" si="5"/>
        <v>—</v>
      </c>
      <c r="K49" s="87"/>
    </row>
    <row r="50" spans="1:11" x14ac:dyDescent="0.25">
      <c r="A50" s="88"/>
      <c r="B50" s="25" t="str">
        <f>IF(A50="","",IFERROR(VLOOKUP(A50,DB_Customers!$A:$D,4,0),"❌ Account Not Found"))</f>
        <v/>
      </c>
      <c r="C50" s="89" t="str">
        <f>IF(A50="","",IFERROR(VLOOKUP(A50,DB_Customers!$A:$N,14,0),""))</f>
        <v/>
      </c>
      <c r="D50" s="90" t="str">
        <f t="shared" ca="1" si="3"/>
        <v/>
      </c>
      <c r="E50" s="82"/>
      <c r="F50" s="91" t="str">
        <f t="shared" si="4"/>
        <v/>
      </c>
      <c r="G50" s="27"/>
      <c r="H50" s="84"/>
      <c r="I50" s="92" t="str">
        <f>IF(A50="","Pending",IF(H50="","⚠️ Enter Code",IF(IFERROR(VLOOKUP(G50,DB_Agents!$B:$I,8,0),"")=H50,IF(AND(A50&lt;&gt;"",E50&lt;&gt;""),"Saved","Pending"),"🔒 BLOCKED — Wrong Code")))</f>
        <v>Pending</v>
      </c>
      <c r="J50" s="93" t="str">
        <f t="shared" ca="1" si="5"/>
        <v>—</v>
      </c>
      <c r="K50" s="94"/>
    </row>
    <row r="51" spans="1:11" x14ac:dyDescent="0.25">
      <c r="A51" s="79"/>
      <c r="B51" s="21" t="str">
        <f>IF(A51="","",IFERROR(VLOOKUP(A51,DB_Customers!$A:$D,4,0),"❌ Account Not Found"))</f>
        <v/>
      </c>
      <c r="C51" s="80" t="str">
        <f>IF(A51="","",IFERROR(VLOOKUP(A51,DB_Customers!$A:$N,14,0),""))</f>
        <v/>
      </c>
      <c r="D51" s="81" t="str">
        <f t="shared" ca="1" si="3"/>
        <v/>
      </c>
      <c r="E51" s="82"/>
      <c r="F51" s="83" t="str">
        <f t="shared" si="4"/>
        <v/>
      </c>
      <c r="G51" s="23"/>
      <c r="H51" s="84"/>
      <c r="I51" s="85" t="str">
        <f>IF(A51="","Pending",IF(H51="","⚠️ Enter Code",IF(IFERROR(VLOOKUP(G51,DB_Agents!$B:$I,8,0),"")=H51,IF(AND(A51&lt;&gt;"",E51&lt;&gt;""),"Saved","Pending"),"🔒 BLOCKED — Wrong Code")))</f>
        <v>Pending</v>
      </c>
      <c r="J51" s="86" t="str">
        <f t="shared" ca="1" si="5"/>
        <v>—</v>
      </c>
      <c r="K51" s="87"/>
    </row>
    <row r="52" spans="1:11" x14ac:dyDescent="0.25">
      <c r="A52" s="88"/>
      <c r="B52" s="25" t="str">
        <f>IF(A52="","",IFERROR(VLOOKUP(A52,DB_Customers!$A:$D,4,0),"❌ Account Not Found"))</f>
        <v/>
      </c>
      <c r="C52" s="89" t="str">
        <f>IF(A52="","",IFERROR(VLOOKUP(A52,DB_Customers!$A:$N,14,0),""))</f>
        <v/>
      </c>
      <c r="D52" s="90" t="str">
        <f t="shared" ca="1" si="3"/>
        <v/>
      </c>
      <c r="E52" s="82"/>
      <c r="F52" s="91" t="str">
        <f t="shared" si="4"/>
        <v/>
      </c>
      <c r="G52" s="27"/>
      <c r="H52" s="84"/>
      <c r="I52" s="92" t="str">
        <f>IF(A52="","Pending",IF(H52="","⚠️ Enter Code",IF(IFERROR(VLOOKUP(G52,DB_Agents!$B:$I,8,0),"")=H52,IF(AND(A52&lt;&gt;"",E52&lt;&gt;""),"Saved","Pending"),"🔒 BLOCKED — Wrong Code")))</f>
        <v>Pending</v>
      </c>
      <c r="J52" s="93" t="str">
        <f t="shared" ca="1" si="5"/>
        <v>—</v>
      </c>
      <c r="K52" s="94"/>
    </row>
    <row r="53" spans="1:11" x14ac:dyDescent="0.25">
      <c r="A53" s="79"/>
      <c r="B53" s="21" t="str">
        <f>IF(A53="","",IFERROR(VLOOKUP(A53,DB_Customers!$A:$D,4,0),"❌ Account Not Found"))</f>
        <v/>
      </c>
      <c r="C53" s="80" t="str">
        <f>IF(A53="","",IFERROR(VLOOKUP(A53,DB_Customers!$A:$N,14,0),""))</f>
        <v/>
      </c>
      <c r="D53" s="81" t="str">
        <f t="shared" ca="1" si="3"/>
        <v/>
      </c>
      <c r="E53" s="82"/>
      <c r="F53" s="83" t="str">
        <f t="shared" si="4"/>
        <v/>
      </c>
      <c r="G53" s="23"/>
      <c r="H53" s="84"/>
      <c r="I53" s="85" t="str">
        <f>IF(A53="","Pending",IF(H53="","⚠️ Enter Code",IF(IFERROR(VLOOKUP(G53,DB_Agents!$B:$I,8,0),"")=H53,IF(AND(A53&lt;&gt;"",E53&lt;&gt;""),"Saved","Pending"),"🔒 BLOCKED — Wrong Code")))</f>
        <v>Pending</v>
      </c>
      <c r="J53" s="86" t="str">
        <f t="shared" ca="1" si="5"/>
        <v>—</v>
      </c>
      <c r="K53" s="87"/>
    </row>
    <row r="54" spans="1:11" x14ac:dyDescent="0.25">
      <c r="A54" s="88"/>
      <c r="B54" s="25" t="str">
        <f>IF(A54="","",IFERROR(VLOOKUP(A54,DB_Customers!$A:$D,4,0),"❌ Account Not Found"))</f>
        <v/>
      </c>
      <c r="C54" s="89" t="str">
        <f>IF(A54="","",IFERROR(VLOOKUP(A54,DB_Customers!$A:$N,14,0),""))</f>
        <v/>
      </c>
      <c r="D54" s="90" t="str">
        <f t="shared" ca="1" si="3"/>
        <v/>
      </c>
      <c r="E54" s="82"/>
      <c r="F54" s="91" t="str">
        <f t="shared" si="4"/>
        <v/>
      </c>
      <c r="G54" s="27"/>
      <c r="H54" s="84"/>
      <c r="I54" s="92" t="str">
        <f>IF(A54="","Pending",IF(H54="","⚠️ Enter Code",IF(IFERROR(VLOOKUP(G54,DB_Agents!$B:$I,8,0),"")=H54,IF(AND(A54&lt;&gt;"",E54&lt;&gt;""),"Saved","Pending"),"🔒 BLOCKED — Wrong Code")))</f>
        <v>Pending</v>
      </c>
      <c r="J54" s="93" t="str">
        <f t="shared" ca="1" si="5"/>
        <v>—</v>
      </c>
      <c r="K54" s="94"/>
    </row>
    <row r="55" spans="1:11" x14ac:dyDescent="0.25">
      <c r="A55" s="79"/>
      <c r="B55" s="21" t="str">
        <f>IF(A55="","",IFERROR(VLOOKUP(A55,DB_Customers!$A:$D,4,0),"❌ Account Not Found"))</f>
        <v/>
      </c>
      <c r="C55" s="80" t="str">
        <f>IF(A55="","",IFERROR(VLOOKUP(A55,DB_Customers!$A:$N,14,0),""))</f>
        <v/>
      </c>
      <c r="D55" s="81" t="str">
        <f t="shared" ca="1" si="3"/>
        <v/>
      </c>
      <c r="E55" s="82"/>
      <c r="F55" s="83" t="str">
        <f t="shared" si="4"/>
        <v/>
      </c>
      <c r="G55" s="23"/>
      <c r="H55" s="84"/>
      <c r="I55" s="85" t="str">
        <f>IF(A55="","Pending",IF(H55="","⚠️ Enter Code",IF(IFERROR(VLOOKUP(G55,DB_Agents!$B:$I,8,0),"")=H55,IF(AND(A55&lt;&gt;"",E55&lt;&gt;""),"Saved","Pending"),"🔒 BLOCKED — Wrong Code")))</f>
        <v>Pending</v>
      </c>
      <c r="J55" s="86" t="str">
        <f t="shared" ca="1" si="5"/>
        <v>—</v>
      </c>
      <c r="K55" s="87"/>
    </row>
    <row r="56" spans="1:11" x14ac:dyDescent="0.25">
      <c r="A56" s="88"/>
      <c r="B56" s="25" t="str">
        <f>IF(A56="","",IFERROR(VLOOKUP(A56,DB_Customers!$A:$D,4,0),"❌ Account Not Found"))</f>
        <v/>
      </c>
      <c r="C56" s="89" t="str">
        <f>IF(A56="","",IFERROR(VLOOKUP(A56,DB_Customers!$A:$N,14,0),""))</f>
        <v/>
      </c>
      <c r="D56" s="90" t="str">
        <f t="shared" ca="1" si="3"/>
        <v/>
      </c>
      <c r="E56" s="82"/>
      <c r="F56" s="91" t="str">
        <f t="shared" si="4"/>
        <v/>
      </c>
      <c r="G56" s="27"/>
      <c r="H56" s="84"/>
      <c r="I56" s="92" t="str">
        <f>IF(A56="","Pending",IF(H56="","⚠️ Enter Code",IF(IFERROR(VLOOKUP(G56,DB_Agents!$B:$I,8,0),"")=H56,IF(AND(A56&lt;&gt;"",E56&lt;&gt;""),"Saved","Pending"),"🔒 BLOCKED — Wrong Code")))</f>
        <v>Pending</v>
      </c>
      <c r="J56" s="93" t="str">
        <f t="shared" ca="1" si="5"/>
        <v>—</v>
      </c>
      <c r="K56" s="94"/>
    </row>
    <row r="57" spans="1:11" x14ac:dyDescent="0.25">
      <c r="A57" s="79"/>
      <c r="B57" s="21" t="str">
        <f>IF(A57="","",IFERROR(VLOOKUP(A57,DB_Customers!$A:$D,4,0),"❌ Account Not Found"))</f>
        <v/>
      </c>
      <c r="C57" s="80" t="str">
        <f>IF(A57="","",IFERROR(VLOOKUP(A57,DB_Customers!$A:$N,14,0),""))</f>
        <v/>
      </c>
      <c r="D57" s="81" t="str">
        <f t="shared" ca="1" si="3"/>
        <v/>
      </c>
      <c r="E57" s="82"/>
      <c r="F57" s="83" t="str">
        <f t="shared" si="4"/>
        <v/>
      </c>
      <c r="G57" s="23"/>
      <c r="H57" s="84"/>
      <c r="I57" s="85" t="str">
        <f>IF(A57="","Pending",IF(H57="","⚠️ Enter Code",IF(IFERROR(VLOOKUP(G57,DB_Agents!$B:$I,8,0),"")=H57,IF(AND(A57&lt;&gt;"",E57&lt;&gt;""),"Saved","Pending"),"🔒 BLOCKED — Wrong Code")))</f>
        <v>Pending</v>
      </c>
      <c r="J57" s="86" t="str">
        <f t="shared" ca="1" si="5"/>
        <v>—</v>
      </c>
      <c r="K57" s="87"/>
    </row>
    <row r="58" spans="1:11" x14ac:dyDescent="0.25">
      <c r="A58" s="88"/>
      <c r="B58" s="25" t="str">
        <f>IF(A58="","",IFERROR(VLOOKUP(A58,DB_Customers!$A:$D,4,0),"❌ Account Not Found"))</f>
        <v/>
      </c>
      <c r="C58" s="89" t="str">
        <f>IF(A58="","",IFERROR(VLOOKUP(A58,DB_Customers!$A:$N,14,0),""))</f>
        <v/>
      </c>
      <c r="D58" s="90" t="str">
        <f t="shared" ca="1" si="3"/>
        <v/>
      </c>
      <c r="E58" s="82"/>
      <c r="F58" s="91" t="str">
        <f t="shared" si="4"/>
        <v/>
      </c>
      <c r="G58" s="27"/>
      <c r="H58" s="84"/>
      <c r="I58" s="92" t="str">
        <f>IF(A58="","Pending",IF(H58="","⚠️ Enter Code",IF(IFERROR(VLOOKUP(G58,DB_Agents!$B:$I,8,0),"")=H58,IF(AND(A58&lt;&gt;"",E58&lt;&gt;""),"Saved","Pending"),"🔒 BLOCKED — Wrong Code")))</f>
        <v>Pending</v>
      </c>
      <c r="J58" s="93" t="str">
        <f t="shared" ca="1" si="5"/>
        <v>—</v>
      </c>
      <c r="K58" s="94"/>
    </row>
    <row r="59" spans="1:11" x14ac:dyDescent="0.25">
      <c r="A59" s="79"/>
      <c r="B59" s="21" t="str">
        <f>IF(A59="","",IFERROR(VLOOKUP(A59,DB_Customers!$A:$D,4,0),"❌ Account Not Found"))</f>
        <v/>
      </c>
      <c r="C59" s="80" t="str">
        <f>IF(A59="","",IFERROR(VLOOKUP(A59,DB_Customers!$A:$N,14,0),""))</f>
        <v/>
      </c>
      <c r="D59" s="81" t="str">
        <f t="shared" ca="1" si="3"/>
        <v/>
      </c>
      <c r="E59" s="82"/>
      <c r="F59" s="83" t="str">
        <f t="shared" si="4"/>
        <v/>
      </c>
      <c r="G59" s="23"/>
      <c r="H59" s="84"/>
      <c r="I59" s="85" t="str">
        <f>IF(A59="","Pending",IF(H59="","⚠️ Enter Code",IF(IFERROR(VLOOKUP(G59,DB_Agents!$B:$I,8,0),"")=H59,IF(AND(A59&lt;&gt;"",E59&lt;&gt;""),"Saved","Pending"),"🔒 BLOCKED — Wrong Code")))</f>
        <v>Pending</v>
      </c>
      <c r="J59" s="86" t="str">
        <f t="shared" ca="1" si="5"/>
        <v>—</v>
      </c>
      <c r="K59" s="87"/>
    </row>
    <row r="60" spans="1:11" x14ac:dyDescent="0.25">
      <c r="A60" s="88"/>
      <c r="B60" s="25" t="str">
        <f>IF(A60="","",IFERROR(VLOOKUP(A60,DB_Customers!$A:$D,4,0),"❌ Account Not Found"))</f>
        <v/>
      </c>
      <c r="C60" s="89" t="str">
        <f>IF(A60="","",IFERROR(VLOOKUP(A60,DB_Customers!$A:$N,14,0),""))</f>
        <v/>
      </c>
      <c r="D60" s="90" t="str">
        <f t="shared" ca="1" si="3"/>
        <v/>
      </c>
      <c r="E60" s="82"/>
      <c r="F60" s="91" t="str">
        <f t="shared" si="4"/>
        <v/>
      </c>
      <c r="G60" s="27"/>
      <c r="H60" s="84"/>
      <c r="I60" s="92" t="str">
        <f>IF(A60="","Pending",IF(H60="","⚠️ Enter Code",IF(IFERROR(VLOOKUP(G60,DB_Agents!$B:$I,8,0),"")=H60,IF(AND(A60&lt;&gt;"",E60&lt;&gt;""),"Saved","Pending"),"🔒 BLOCKED — Wrong Code")))</f>
        <v>Pending</v>
      </c>
      <c r="J60" s="93" t="str">
        <f t="shared" ca="1" si="5"/>
        <v>—</v>
      </c>
      <c r="K60" s="94"/>
    </row>
    <row r="61" spans="1:11" x14ac:dyDescent="0.25">
      <c r="A61" s="79"/>
      <c r="B61" s="21" t="str">
        <f>IF(A61="","",IFERROR(VLOOKUP(A61,DB_Customers!$A:$D,4,0),"❌ Account Not Found"))</f>
        <v/>
      </c>
      <c r="C61" s="80" t="str">
        <f>IF(A61="","",IFERROR(VLOOKUP(A61,DB_Customers!$A:$N,14,0),""))</f>
        <v/>
      </c>
      <c r="D61" s="81" t="str">
        <f t="shared" ca="1" si="3"/>
        <v/>
      </c>
      <c r="E61" s="82"/>
      <c r="F61" s="83" t="str">
        <f t="shared" si="4"/>
        <v/>
      </c>
      <c r="G61" s="23"/>
      <c r="H61" s="84"/>
      <c r="I61" s="85" t="str">
        <f>IF(A61="","Pending",IF(H61="","⚠️ Enter Code",IF(IFERROR(VLOOKUP(G61,DB_Agents!$B:$I,8,0),"")=H61,IF(AND(A61&lt;&gt;"",E61&lt;&gt;""),"Saved","Pending"),"🔒 BLOCKED — Wrong Code")))</f>
        <v>Pending</v>
      </c>
      <c r="J61" s="86" t="str">
        <f t="shared" ca="1" si="5"/>
        <v>—</v>
      </c>
      <c r="K61" s="87"/>
    </row>
    <row r="62" spans="1:11" x14ac:dyDescent="0.25">
      <c r="A62" s="88"/>
      <c r="B62" s="25" t="str">
        <f>IF(A62="","",IFERROR(VLOOKUP(A62,DB_Customers!$A:$D,4,0),"❌ Account Not Found"))</f>
        <v/>
      </c>
      <c r="C62" s="89" t="str">
        <f>IF(A62="","",IFERROR(VLOOKUP(A62,DB_Customers!$A:$N,14,0),""))</f>
        <v/>
      </c>
      <c r="D62" s="90" t="str">
        <f t="shared" ca="1" si="3"/>
        <v/>
      </c>
      <c r="E62" s="82"/>
      <c r="F62" s="91" t="str">
        <f t="shared" si="4"/>
        <v/>
      </c>
      <c r="G62" s="27"/>
      <c r="H62" s="84"/>
      <c r="I62" s="92" t="str">
        <f>IF(A62="","Pending",IF(H62="","⚠️ Enter Code",IF(IFERROR(VLOOKUP(G62,DB_Agents!$B:$I,8,0),"")=H62,IF(AND(A62&lt;&gt;"",E62&lt;&gt;""),"Saved","Pending"),"🔒 BLOCKED — Wrong Code")))</f>
        <v>Pending</v>
      </c>
      <c r="J62" s="93" t="str">
        <f t="shared" ca="1" si="5"/>
        <v>—</v>
      </c>
      <c r="K62" s="94"/>
    </row>
    <row r="63" spans="1:11" x14ac:dyDescent="0.25">
      <c r="A63" s="79"/>
      <c r="B63" s="21" t="str">
        <f>IF(A63="","",IFERROR(VLOOKUP(A63,DB_Customers!$A:$D,4,0),"❌ Account Not Found"))</f>
        <v/>
      </c>
      <c r="C63" s="80" t="str">
        <f>IF(A63="","",IFERROR(VLOOKUP(A63,DB_Customers!$A:$N,14,0),""))</f>
        <v/>
      </c>
      <c r="D63" s="81" t="str">
        <f t="shared" ca="1" si="3"/>
        <v/>
      </c>
      <c r="E63" s="82"/>
      <c r="F63" s="83" t="str">
        <f t="shared" si="4"/>
        <v/>
      </c>
      <c r="G63" s="23"/>
      <c r="H63" s="84"/>
      <c r="I63" s="85" t="str">
        <f>IF(A63="","Pending",IF(H63="","⚠️ Enter Code",IF(IFERROR(VLOOKUP(G63,DB_Agents!$B:$I,8,0),"")=H63,IF(AND(A63&lt;&gt;"",E63&lt;&gt;""),"Saved","Pending"),"🔒 BLOCKED — Wrong Code")))</f>
        <v>Pending</v>
      </c>
      <c r="J63" s="86" t="str">
        <f t="shared" ca="1" si="5"/>
        <v>—</v>
      </c>
      <c r="K63" s="87"/>
    </row>
    <row r="64" spans="1:11" x14ac:dyDescent="0.25">
      <c r="A64" s="88"/>
      <c r="B64" s="25" t="str">
        <f>IF(A64="","",IFERROR(VLOOKUP(A64,DB_Customers!$A:$D,4,0),"❌ Account Not Found"))</f>
        <v/>
      </c>
      <c r="C64" s="89" t="str">
        <f>IF(A64="","",IFERROR(VLOOKUP(A64,DB_Customers!$A:$N,14,0),""))</f>
        <v/>
      </c>
      <c r="D64" s="90" t="str">
        <f t="shared" ca="1" si="3"/>
        <v/>
      </c>
      <c r="E64" s="82"/>
      <c r="F64" s="91" t="str">
        <f t="shared" si="4"/>
        <v/>
      </c>
      <c r="G64" s="27"/>
      <c r="H64" s="84"/>
      <c r="I64" s="92" t="str">
        <f>IF(A64="","Pending",IF(H64="","⚠️ Enter Code",IF(IFERROR(VLOOKUP(G64,DB_Agents!$B:$I,8,0),"")=H64,IF(AND(A64&lt;&gt;"",E64&lt;&gt;""),"Saved","Pending"),"🔒 BLOCKED — Wrong Code")))</f>
        <v>Pending</v>
      </c>
      <c r="J64" s="93" t="str">
        <f t="shared" ca="1" si="5"/>
        <v>—</v>
      </c>
      <c r="K64" s="94"/>
    </row>
    <row r="65" spans="1:11" x14ac:dyDescent="0.25">
      <c r="A65" s="79"/>
      <c r="B65" s="21" t="str">
        <f>IF(A65="","",IFERROR(VLOOKUP(A65,DB_Customers!$A:$D,4,0),"❌ Account Not Found"))</f>
        <v/>
      </c>
      <c r="C65" s="80" t="str">
        <f>IF(A65="","",IFERROR(VLOOKUP(A65,DB_Customers!$A:$N,14,0),""))</f>
        <v/>
      </c>
      <c r="D65" s="81" t="str">
        <f t="shared" ca="1" si="3"/>
        <v/>
      </c>
      <c r="E65" s="82"/>
      <c r="F65" s="83" t="str">
        <f t="shared" si="4"/>
        <v/>
      </c>
      <c r="G65" s="23"/>
      <c r="H65" s="84"/>
      <c r="I65" s="85" t="str">
        <f>IF(A65="","Pending",IF(H65="","⚠️ Enter Code",IF(IFERROR(VLOOKUP(G65,DB_Agents!$B:$I,8,0),"")=H65,IF(AND(A65&lt;&gt;"",E65&lt;&gt;""),"Saved","Pending"),"🔒 BLOCKED — Wrong Code")))</f>
        <v>Pending</v>
      </c>
      <c r="J65" s="86" t="str">
        <f t="shared" ca="1" si="5"/>
        <v>—</v>
      </c>
      <c r="K65" s="87"/>
    </row>
    <row r="66" spans="1:11" x14ac:dyDescent="0.25">
      <c r="A66" s="88"/>
      <c r="B66" s="25" t="str">
        <f>IF(A66="","",IFERROR(VLOOKUP(A66,DB_Customers!$A:$D,4,0),"❌ Account Not Found"))</f>
        <v/>
      </c>
      <c r="C66" s="89" t="str">
        <f>IF(A66="","",IFERROR(VLOOKUP(A66,DB_Customers!$A:$N,14,0),""))</f>
        <v/>
      </c>
      <c r="D66" s="90" t="str">
        <f t="shared" ca="1" si="3"/>
        <v/>
      </c>
      <c r="E66" s="82"/>
      <c r="F66" s="91" t="str">
        <f t="shared" si="4"/>
        <v/>
      </c>
      <c r="G66" s="27"/>
      <c r="H66" s="84"/>
      <c r="I66" s="92" t="str">
        <f>IF(A66="","Pending",IF(H66="","⚠️ Enter Code",IF(IFERROR(VLOOKUP(G66,DB_Agents!$B:$I,8,0),"")=H66,IF(AND(A66&lt;&gt;"",E66&lt;&gt;""),"Saved","Pending"),"🔒 BLOCKED — Wrong Code")))</f>
        <v>Pending</v>
      </c>
      <c r="J66" s="93" t="str">
        <f t="shared" ca="1" si="5"/>
        <v>—</v>
      </c>
      <c r="K66" s="94"/>
    </row>
    <row r="67" spans="1:11" x14ac:dyDescent="0.25">
      <c r="A67" s="79"/>
      <c r="B67" s="21" t="str">
        <f>IF(A67="","",IFERROR(VLOOKUP(A67,DB_Customers!$A:$D,4,0),"❌ Account Not Found"))</f>
        <v/>
      </c>
      <c r="C67" s="80" t="str">
        <f>IF(A67="","",IFERROR(VLOOKUP(A67,DB_Customers!$A:$N,14,0),""))</f>
        <v/>
      </c>
      <c r="D67" s="81" t="str">
        <f t="shared" ca="1" si="3"/>
        <v/>
      </c>
      <c r="E67" s="82"/>
      <c r="F67" s="83" t="str">
        <f t="shared" si="4"/>
        <v/>
      </c>
      <c r="G67" s="23"/>
      <c r="H67" s="84"/>
      <c r="I67" s="85" t="str">
        <f>IF(A67="","Pending",IF(H67="","⚠️ Enter Code",IF(IFERROR(VLOOKUP(G67,DB_Agents!$B:$I,8,0),"")=H67,IF(AND(A67&lt;&gt;"",E67&lt;&gt;""),"Saved","Pending"),"🔒 BLOCKED — Wrong Code")))</f>
        <v>Pending</v>
      </c>
      <c r="J67" s="86" t="str">
        <f t="shared" ca="1" si="5"/>
        <v>—</v>
      </c>
      <c r="K67" s="87"/>
    </row>
    <row r="68" spans="1:11" x14ac:dyDescent="0.25">
      <c r="A68" s="88"/>
      <c r="B68" s="25" t="str">
        <f>IF(A68="","",IFERROR(VLOOKUP(A68,DB_Customers!$A:$D,4,0),"❌ Account Not Found"))</f>
        <v/>
      </c>
      <c r="C68" s="89" t="str">
        <f>IF(A68="","",IFERROR(VLOOKUP(A68,DB_Customers!$A:$N,14,0),""))</f>
        <v/>
      </c>
      <c r="D68" s="90" t="str">
        <f t="shared" ca="1" si="3"/>
        <v/>
      </c>
      <c r="E68" s="82"/>
      <c r="F68" s="91" t="str">
        <f t="shared" si="4"/>
        <v/>
      </c>
      <c r="G68" s="27"/>
      <c r="H68" s="84"/>
      <c r="I68" s="92" t="str">
        <f>IF(A68="","Pending",IF(H68="","⚠️ Enter Code",IF(IFERROR(VLOOKUP(G68,DB_Agents!$B:$I,8,0),"")=H68,IF(AND(A68&lt;&gt;"",E68&lt;&gt;""),"Saved","Pending"),"🔒 BLOCKED — Wrong Code")))</f>
        <v>Pending</v>
      </c>
      <c r="J68" s="93" t="str">
        <f t="shared" ca="1" si="5"/>
        <v>—</v>
      </c>
      <c r="K68" s="94"/>
    </row>
    <row r="69" spans="1:11" x14ac:dyDescent="0.25">
      <c r="A69" s="79"/>
      <c r="B69" s="21" t="str">
        <f>IF(A69="","",IFERROR(VLOOKUP(A69,DB_Customers!$A:$D,4,0),"❌ Account Not Found"))</f>
        <v/>
      </c>
      <c r="C69" s="80" t="str">
        <f>IF(A69="","",IFERROR(VLOOKUP(A69,DB_Customers!$A:$N,14,0),""))</f>
        <v/>
      </c>
      <c r="D69" s="81" t="str">
        <f t="shared" ca="1" si="3"/>
        <v/>
      </c>
      <c r="E69" s="82"/>
      <c r="F69" s="83" t="str">
        <f t="shared" si="4"/>
        <v/>
      </c>
      <c r="G69" s="23"/>
      <c r="H69" s="84"/>
      <c r="I69" s="85" t="str">
        <f>IF(A69="","Pending",IF(H69="","⚠️ Enter Code",IF(IFERROR(VLOOKUP(G69,DB_Agents!$B:$I,8,0),"")=H69,IF(AND(A69&lt;&gt;"",E69&lt;&gt;""),"Saved","Pending"),"🔒 BLOCKED — Wrong Code")))</f>
        <v>Pending</v>
      </c>
      <c r="J69" s="86" t="str">
        <f t="shared" ca="1" si="5"/>
        <v>—</v>
      </c>
      <c r="K69" s="87"/>
    </row>
    <row r="70" spans="1:11" x14ac:dyDescent="0.25">
      <c r="A70" s="88"/>
      <c r="B70" s="25" t="str">
        <f>IF(A70="","",IFERROR(VLOOKUP(A70,DB_Customers!$A:$D,4,0),"❌ Account Not Found"))</f>
        <v/>
      </c>
      <c r="C70" s="89" t="str">
        <f>IF(A70="","",IFERROR(VLOOKUP(A70,DB_Customers!$A:$N,14,0),""))</f>
        <v/>
      </c>
      <c r="D70" s="90" t="str">
        <f t="shared" ca="1" si="3"/>
        <v/>
      </c>
      <c r="E70" s="82"/>
      <c r="F70" s="91" t="str">
        <f t="shared" si="4"/>
        <v/>
      </c>
      <c r="G70" s="27"/>
      <c r="H70" s="84"/>
      <c r="I70" s="92" t="str">
        <f>IF(A70="","Pending",IF(H70="","⚠️ Enter Code",IF(IFERROR(VLOOKUP(G70,DB_Agents!$B:$I,8,0),"")=H70,IF(AND(A70&lt;&gt;"",E70&lt;&gt;""),"Saved","Pending"),"🔒 BLOCKED — Wrong Code")))</f>
        <v>Pending</v>
      </c>
      <c r="J70" s="93" t="str">
        <f t="shared" ca="1" si="5"/>
        <v>—</v>
      </c>
      <c r="K70" s="94"/>
    </row>
    <row r="71" spans="1:11" x14ac:dyDescent="0.25">
      <c r="A71" s="79"/>
      <c r="B71" s="21" t="str">
        <f>IF(A71="","",IFERROR(VLOOKUP(A71,DB_Customers!$A:$D,4,0),"❌ Account Not Found"))</f>
        <v/>
      </c>
      <c r="C71" s="80" t="str">
        <f>IF(A71="","",IFERROR(VLOOKUP(A71,DB_Customers!$A:$N,14,0),""))</f>
        <v/>
      </c>
      <c r="D71" s="81" t="str">
        <f t="shared" ca="1" si="3"/>
        <v/>
      </c>
      <c r="E71" s="82"/>
      <c r="F71" s="83" t="str">
        <f t="shared" si="4"/>
        <v/>
      </c>
      <c r="G71" s="23"/>
      <c r="H71" s="84"/>
      <c r="I71" s="85" t="str">
        <f>IF(A71="","Pending",IF(H71="","⚠️ Enter Code",IF(IFERROR(VLOOKUP(G71,DB_Agents!$B:$I,8,0),"")=H71,IF(AND(A71&lt;&gt;"",E71&lt;&gt;""),"Saved","Pending"),"🔒 BLOCKED — Wrong Code")))</f>
        <v>Pending</v>
      </c>
      <c r="J71" s="86" t="str">
        <f t="shared" ca="1" si="5"/>
        <v>—</v>
      </c>
      <c r="K71" s="87"/>
    </row>
    <row r="72" spans="1:11" x14ac:dyDescent="0.25">
      <c r="A72" s="88"/>
      <c r="B72" s="25" t="str">
        <f>IF(A72="","",IFERROR(VLOOKUP(A72,DB_Customers!$A:$D,4,0),"❌ Account Not Found"))</f>
        <v/>
      </c>
      <c r="C72" s="89" t="str">
        <f>IF(A72="","",IFERROR(VLOOKUP(A72,DB_Customers!$A:$N,14,0),""))</f>
        <v/>
      </c>
      <c r="D72" s="90" t="str">
        <f t="shared" ca="1" si="3"/>
        <v/>
      </c>
      <c r="E72" s="82"/>
      <c r="F72" s="91" t="str">
        <f t="shared" si="4"/>
        <v/>
      </c>
      <c r="G72" s="27"/>
      <c r="H72" s="84"/>
      <c r="I72" s="92" t="str">
        <f>IF(A72="","Pending",IF(H72="","⚠️ Enter Code",IF(IFERROR(VLOOKUP(G72,DB_Agents!$B:$I,8,0),"")=H72,IF(AND(A72&lt;&gt;"",E72&lt;&gt;""),"Saved","Pending"),"🔒 BLOCKED — Wrong Code")))</f>
        <v>Pending</v>
      </c>
      <c r="J72" s="93" t="str">
        <f t="shared" ca="1" si="5"/>
        <v>—</v>
      </c>
      <c r="K72" s="94"/>
    </row>
    <row r="73" spans="1:11" x14ac:dyDescent="0.25">
      <c r="A73" s="79"/>
      <c r="B73" s="21" t="str">
        <f>IF(A73="","",IFERROR(VLOOKUP(A73,DB_Customers!$A:$D,4,0),"❌ Account Not Found"))</f>
        <v/>
      </c>
      <c r="C73" s="80" t="str">
        <f>IF(A73="","",IFERROR(VLOOKUP(A73,DB_Customers!$A:$N,14,0),""))</f>
        <v/>
      </c>
      <c r="D73" s="81" t="str">
        <f t="shared" ref="D73:D104" ca="1" si="6">IF(A73="","",TODAY())</f>
        <v/>
      </c>
      <c r="E73" s="82"/>
      <c r="F73" s="83" t="str">
        <f t="shared" ref="F73:F104" si="7">IF(OR(A73="",E73=""),"",IF(C73="","",C73+E73))</f>
        <v/>
      </c>
      <c r="G73" s="23"/>
      <c r="H73" s="84"/>
      <c r="I73" s="85" t="str">
        <f>IF(A73="","Pending",IF(H73="","⚠️ Enter Code",IF(IFERROR(VLOOKUP(G73,DB_Agents!$B:$I,8,0),"")=H73,IF(AND(A73&lt;&gt;"",E73&lt;&gt;""),"Saved","Pending"),"🔒 BLOCKED — Wrong Code")))</f>
        <v>Pending</v>
      </c>
      <c r="J73" s="86" t="str">
        <f t="shared" ref="J73:J104" ca="1" si="8">IF(I73="Saved",TEXT(TODAY(),"YYYY-MM-DD")&amp;" Auto","—")</f>
        <v>—</v>
      </c>
      <c r="K73" s="87"/>
    </row>
    <row r="74" spans="1:11" x14ac:dyDescent="0.25">
      <c r="A74" s="88"/>
      <c r="B74" s="25" t="str">
        <f>IF(A74="","",IFERROR(VLOOKUP(A74,DB_Customers!$A:$D,4,0),"❌ Account Not Found"))</f>
        <v/>
      </c>
      <c r="C74" s="89" t="str">
        <f>IF(A74="","",IFERROR(VLOOKUP(A74,DB_Customers!$A:$N,14,0),""))</f>
        <v/>
      </c>
      <c r="D74" s="90" t="str">
        <f t="shared" ca="1" si="6"/>
        <v/>
      </c>
      <c r="E74" s="82"/>
      <c r="F74" s="91" t="str">
        <f t="shared" si="7"/>
        <v/>
      </c>
      <c r="G74" s="27"/>
      <c r="H74" s="84"/>
      <c r="I74" s="92" t="str">
        <f>IF(A74="","Pending",IF(H74="","⚠️ Enter Code",IF(IFERROR(VLOOKUP(G74,DB_Agents!$B:$I,8,0),"")=H74,IF(AND(A74&lt;&gt;"",E74&lt;&gt;""),"Saved","Pending"),"🔒 BLOCKED — Wrong Code")))</f>
        <v>Pending</v>
      </c>
      <c r="J74" s="93" t="str">
        <f t="shared" ca="1" si="8"/>
        <v>—</v>
      </c>
      <c r="K74" s="94"/>
    </row>
    <row r="75" spans="1:11" x14ac:dyDescent="0.25">
      <c r="A75" s="79"/>
      <c r="B75" s="21" t="str">
        <f>IF(A75="","",IFERROR(VLOOKUP(A75,DB_Customers!$A:$D,4,0),"❌ Account Not Found"))</f>
        <v/>
      </c>
      <c r="C75" s="80" t="str">
        <f>IF(A75="","",IFERROR(VLOOKUP(A75,DB_Customers!$A:$N,14,0),""))</f>
        <v/>
      </c>
      <c r="D75" s="81" t="str">
        <f t="shared" ca="1" si="6"/>
        <v/>
      </c>
      <c r="E75" s="82"/>
      <c r="F75" s="83" t="str">
        <f t="shared" si="7"/>
        <v/>
      </c>
      <c r="G75" s="23"/>
      <c r="H75" s="84"/>
      <c r="I75" s="85" t="str">
        <f>IF(A75="","Pending",IF(H75="","⚠️ Enter Code",IF(IFERROR(VLOOKUP(G75,DB_Agents!$B:$I,8,0),"")=H75,IF(AND(A75&lt;&gt;"",E75&lt;&gt;""),"Saved","Pending"),"🔒 BLOCKED — Wrong Code")))</f>
        <v>Pending</v>
      </c>
      <c r="J75" s="86" t="str">
        <f t="shared" ca="1" si="8"/>
        <v>—</v>
      </c>
      <c r="K75" s="87"/>
    </row>
    <row r="76" spans="1:11" x14ac:dyDescent="0.25">
      <c r="A76" s="88"/>
      <c r="B76" s="25" t="str">
        <f>IF(A76="","",IFERROR(VLOOKUP(A76,DB_Customers!$A:$D,4,0),"❌ Account Not Found"))</f>
        <v/>
      </c>
      <c r="C76" s="89" t="str">
        <f>IF(A76="","",IFERROR(VLOOKUP(A76,DB_Customers!$A:$N,14,0),""))</f>
        <v/>
      </c>
      <c r="D76" s="90" t="str">
        <f t="shared" ca="1" si="6"/>
        <v/>
      </c>
      <c r="E76" s="82"/>
      <c r="F76" s="91" t="str">
        <f t="shared" si="7"/>
        <v/>
      </c>
      <c r="G76" s="27"/>
      <c r="H76" s="84"/>
      <c r="I76" s="92" t="str">
        <f>IF(A76="","Pending",IF(H76="","⚠️ Enter Code",IF(IFERROR(VLOOKUP(G76,DB_Agents!$B:$I,8,0),"")=H76,IF(AND(A76&lt;&gt;"",E76&lt;&gt;""),"Saved","Pending"),"🔒 BLOCKED — Wrong Code")))</f>
        <v>Pending</v>
      </c>
      <c r="J76" s="93" t="str">
        <f t="shared" ca="1" si="8"/>
        <v>—</v>
      </c>
      <c r="K76" s="94"/>
    </row>
    <row r="77" spans="1:11" x14ac:dyDescent="0.25">
      <c r="A77" s="79"/>
      <c r="B77" s="21" t="str">
        <f>IF(A77="","",IFERROR(VLOOKUP(A77,DB_Customers!$A:$D,4,0),"❌ Account Not Found"))</f>
        <v/>
      </c>
      <c r="C77" s="80" t="str">
        <f>IF(A77="","",IFERROR(VLOOKUP(A77,DB_Customers!$A:$N,14,0),""))</f>
        <v/>
      </c>
      <c r="D77" s="81" t="str">
        <f t="shared" ca="1" si="6"/>
        <v/>
      </c>
      <c r="E77" s="82"/>
      <c r="F77" s="83" t="str">
        <f t="shared" si="7"/>
        <v/>
      </c>
      <c r="G77" s="23"/>
      <c r="H77" s="84"/>
      <c r="I77" s="85" t="str">
        <f>IF(A77="","Pending",IF(H77="","⚠️ Enter Code",IF(IFERROR(VLOOKUP(G77,DB_Agents!$B:$I,8,0),"")=H77,IF(AND(A77&lt;&gt;"",E77&lt;&gt;""),"Saved","Pending"),"🔒 BLOCKED — Wrong Code")))</f>
        <v>Pending</v>
      </c>
      <c r="J77" s="86" t="str">
        <f t="shared" ca="1" si="8"/>
        <v>—</v>
      </c>
      <c r="K77" s="87"/>
    </row>
    <row r="78" spans="1:11" x14ac:dyDescent="0.25">
      <c r="A78" s="88"/>
      <c r="B78" s="25" t="str">
        <f>IF(A78="","",IFERROR(VLOOKUP(A78,DB_Customers!$A:$D,4,0),"❌ Account Not Found"))</f>
        <v/>
      </c>
      <c r="C78" s="89" t="str">
        <f>IF(A78="","",IFERROR(VLOOKUP(A78,DB_Customers!$A:$N,14,0),""))</f>
        <v/>
      </c>
      <c r="D78" s="90" t="str">
        <f t="shared" ca="1" si="6"/>
        <v/>
      </c>
      <c r="E78" s="82"/>
      <c r="F78" s="91" t="str">
        <f t="shared" si="7"/>
        <v/>
      </c>
      <c r="G78" s="27"/>
      <c r="H78" s="84"/>
      <c r="I78" s="92" t="str">
        <f>IF(A78="","Pending",IF(H78="","⚠️ Enter Code",IF(IFERROR(VLOOKUP(G78,DB_Agents!$B:$I,8,0),"")=H78,IF(AND(A78&lt;&gt;"",E78&lt;&gt;""),"Saved","Pending"),"🔒 BLOCKED — Wrong Code")))</f>
        <v>Pending</v>
      </c>
      <c r="J78" s="93" t="str">
        <f t="shared" ca="1" si="8"/>
        <v>—</v>
      </c>
      <c r="K78" s="94"/>
    </row>
    <row r="79" spans="1:11" x14ac:dyDescent="0.25">
      <c r="A79" s="79"/>
      <c r="B79" s="21" t="str">
        <f>IF(A79="","",IFERROR(VLOOKUP(A79,DB_Customers!$A:$D,4,0),"❌ Account Not Found"))</f>
        <v/>
      </c>
      <c r="C79" s="80" t="str">
        <f>IF(A79="","",IFERROR(VLOOKUP(A79,DB_Customers!$A:$N,14,0),""))</f>
        <v/>
      </c>
      <c r="D79" s="81" t="str">
        <f t="shared" ca="1" si="6"/>
        <v/>
      </c>
      <c r="E79" s="82"/>
      <c r="F79" s="83" t="str">
        <f t="shared" si="7"/>
        <v/>
      </c>
      <c r="G79" s="23"/>
      <c r="H79" s="84"/>
      <c r="I79" s="85" t="str">
        <f>IF(A79="","Pending",IF(H79="","⚠️ Enter Code",IF(IFERROR(VLOOKUP(G79,DB_Agents!$B:$I,8,0),"")=H79,IF(AND(A79&lt;&gt;"",E79&lt;&gt;""),"Saved","Pending"),"🔒 BLOCKED — Wrong Code")))</f>
        <v>Pending</v>
      </c>
      <c r="J79" s="86" t="str">
        <f t="shared" ca="1" si="8"/>
        <v>—</v>
      </c>
      <c r="K79" s="87"/>
    </row>
    <row r="80" spans="1:11" x14ac:dyDescent="0.25">
      <c r="A80" s="88"/>
      <c r="B80" s="25" t="str">
        <f>IF(A80="","",IFERROR(VLOOKUP(A80,DB_Customers!$A:$D,4,0),"❌ Account Not Found"))</f>
        <v/>
      </c>
      <c r="C80" s="89" t="str">
        <f>IF(A80="","",IFERROR(VLOOKUP(A80,DB_Customers!$A:$N,14,0),""))</f>
        <v/>
      </c>
      <c r="D80" s="90" t="str">
        <f t="shared" ca="1" si="6"/>
        <v/>
      </c>
      <c r="E80" s="82"/>
      <c r="F80" s="91" t="str">
        <f t="shared" si="7"/>
        <v/>
      </c>
      <c r="G80" s="27"/>
      <c r="H80" s="84"/>
      <c r="I80" s="92" t="str">
        <f>IF(A80="","Pending",IF(H80="","⚠️ Enter Code",IF(IFERROR(VLOOKUP(G80,DB_Agents!$B:$I,8,0),"")=H80,IF(AND(A80&lt;&gt;"",E80&lt;&gt;""),"Saved","Pending"),"🔒 BLOCKED — Wrong Code")))</f>
        <v>Pending</v>
      </c>
      <c r="J80" s="93" t="str">
        <f t="shared" ca="1" si="8"/>
        <v>—</v>
      </c>
      <c r="K80" s="94"/>
    </row>
    <row r="81" spans="1:11" x14ac:dyDescent="0.25">
      <c r="A81" s="79"/>
      <c r="B81" s="21" t="str">
        <f>IF(A81="","",IFERROR(VLOOKUP(A81,DB_Customers!$A:$D,4,0),"❌ Account Not Found"))</f>
        <v/>
      </c>
      <c r="C81" s="80" t="str">
        <f>IF(A81="","",IFERROR(VLOOKUP(A81,DB_Customers!$A:$N,14,0),""))</f>
        <v/>
      </c>
      <c r="D81" s="81" t="str">
        <f t="shared" ca="1" si="6"/>
        <v/>
      </c>
      <c r="E81" s="82"/>
      <c r="F81" s="83" t="str">
        <f t="shared" si="7"/>
        <v/>
      </c>
      <c r="G81" s="23"/>
      <c r="H81" s="84"/>
      <c r="I81" s="85" t="str">
        <f>IF(A81="","Pending",IF(H81="","⚠️ Enter Code",IF(IFERROR(VLOOKUP(G81,DB_Agents!$B:$I,8,0),"")=H81,IF(AND(A81&lt;&gt;"",E81&lt;&gt;""),"Saved","Pending"),"🔒 BLOCKED — Wrong Code")))</f>
        <v>Pending</v>
      </c>
      <c r="J81" s="86" t="str">
        <f t="shared" ca="1" si="8"/>
        <v>—</v>
      </c>
      <c r="K81" s="87"/>
    </row>
    <row r="82" spans="1:11" x14ac:dyDescent="0.25">
      <c r="A82" s="88"/>
      <c r="B82" s="25" t="str">
        <f>IF(A82="","",IFERROR(VLOOKUP(A82,DB_Customers!$A:$D,4,0),"❌ Account Not Found"))</f>
        <v/>
      </c>
      <c r="C82" s="89" t="str">
        <f>IF(A82="","",IFERROR(VLOOKUP(A82,DB_Customers!$A:$N,14,0),""))</f>
        <v/>
      </c>
      <c r="D82" s="90" t="str">
        <f t="shared" ca="1" si="6"/>
        <v/>
      </c>
      <c r="E82" s="82"/>
      <c r="F82" s="91" t="str">
        <f t="shared" si="7"/>
        <v/>
      </c>
      <c r="G82" s="27"/>
      <c r="H82" s="84"/>
      <c r="I82" s="92" t="str">
        <f>IF(A82="","Pending",IF(H82="","⚠️ Enter Code",IF(IFERROR(VLOOKUP(G82,DB_Agents!$B:$I,8,0),"")=H82,IF(AND(A82&lt;&gt;"",E82&lt;&gt;""),"Saved","Pending"),"🔒 BLOCKED — Wrong Code")))</f>
        <v>Pending</v>
      </c>
      <c r="J82" s="93" t="str">
        <f t="shared" ca="1" si="8"/>
        <v>—</v>
      </c>
      <c r="K82" s="94"/>
    </row>
    <row r="83" spans="1:11" x14ac:dyDescent="0.25">
      <c r="A83" s="79"/>
      <c r="B83" s="21" t="str">
        <f>IF(A83="","",IFERROR(VLOOKUP(A83,DB_Customers!$A:$D,4,0),"❌ Account Not Found"))</f>
        <v/>
      </c>
      <c r="C83" s="80" t="str">
        <f>IF(A83="","",IFERROR(VLOOKUP(A83,DB_Customers!$A:$N,14,0),""))</f>
        <v/>
      </c>
      <c r="D83" s="81" t="str">
        <f t="shared" ca="1" si="6"/>
        <v/>
      </c>
      <c r="E83" s="82"/>
      <c r="F83" s="83" t="str">
        <f t="shared" si="7"/>
        <v/>
      </c>
      <c r="G83" s="23"/>
      <c r="H83" s="84"/>
      <c r="I83" s="85" t="str">
        <f>IF(A83="","Pending",IF(H83="","⚠️ Enter Code",IF(IFERROR(VLOOKUP(G83,DB_Agents!$B:$I,8,0),"")=H83,IF(AND(A83&lt;&gt;"",E83&lt;&gt;""),"Saved","Pending"),"🔒 BLOCKED — Wrong Code")))</f>
        <v>Pending</v>
      </c>
      <c r="J83" s="86" t="str">
        <f t="shared" ca="1" si="8"/>
        <v>—</v>
      </c>
      <c r="K83" s="87"/>
    </row>
    <row r="84" spans="1:11" x14ac:dyDescent="0.25">
      <c r="A84" s="88"/>
      <c r="B84" s="25" t="str">
        <f>IF(A84="","",IFERROR(VLOOKUP(A84,DB_Customers!$A:$D,4,0),"❌ Account Not Found"))</f>
        <v/>
      </c>
      <c r="C84" s="89" t="str">
        <f>IF(A84="","",IFERROR(VLOOKUP(A84,DB_Customers!$A:$N,14,0),""))</f>
        <v/>
      </c>
      <c r="D84" s="90" t="str">
        <f t="shared" ca="1" si="6"/>
        <v/>
      </c>
      <c r="E84" s="82"/>
      <c r="F84" s="91" t="str">
        <f t="shared" si="7"/>
        <v/>
      </c>
      <c r="G84" s="27"/>
      <c r="H84" s="84"/>
      <c r="I84" s="92" t="str">
        <f>IF(A84="","Pending",IF(H84="","⚠️ Enter Code",IF(IFERROR(VLOOKUP(G84,DB_Agents!$B:$I,8,0),"")=H84,IF(AND(A84&lt;&gt;"",E84&lt;&gt;""),"Saved","Pending"),"🔒 BLOCKED — Wrong Code")))</f>
        <v>Pending</v>
      </c>
      <c r="J84" s="93" t="str">
        <f t="shared" ca="1" si="8"/>
        <v>—</v>
      </c>
      <c r="K84" s="94"/>
    </row>
    <row r="85" spans="1:11" x14ac:dyDescent="0.25">
      <c r="A85" s="79"/>
      <c r="B85" s="21" t="str">
        <f>IF(A85="","",IFERROR(VLOOKUP(A85,DB_Customers!$A:$D,4,0),"❌ Account Not Found"))</f>
        <v/>
      </c>
      <c r="C85" s="80" t="str">
        <f>IF(A85="","",IFERROR(VLOOKUP(A85,DB_Customers!$A:$N,14,0),""))</f>
        <v/>
      </c>
      <c r="D85" s="81" t="str">
        <f t="shared" ca="1" si="6"/>
        <v/>
      </c>
      <c r="E85" s="82"/>
      <c r="F85" s="83" t="str">
        <f t="shared" si="7"/>
        <v/>
      </c>
      <c r="G85" s="23"/>
      <c r="H85" s="84"/>
      <c r="I85" s="85" t="str">
        <f>IF(A85="","Pending",IF(H85="","⚠️ Enter Code",IF(IFERROR(VLOOKUP(G85,DB_Agents!$B:$I,8,0),"")=H85,IF(AND(A85&lt;&gt;"",E85&lt;&gt;""),"Saved","Pending"),"🔒 BLOCKED — Wrong Code")))</f>
        <v>Pending</v>
      </c>
      <c r="J85" s="86" t="str">
        <f t="shared" ca="1" si="8"/>
        <v>—</v>
      </c>
      <c r="K85" s="87"/>
    </row>
    <row r="86" spans="1:11" x14ac:dyDescent="0.25">
      <c r="A86" s="88"/>
      <c r="B86" s="25" t="str">
        <f>IF(A86="","",IFERROR(VLOOKUP(A86,DB_Customers!$A:$D,4,0),"❌ Account Not Found"))</f>
        <v/>
      </c>
      <c r="C86" s="89" t="str">
        <f>IF(A86="","",IFERROR(VLOOKUP(A86,DB_Customers!$A:$N,14,0),""))</f>
        <v/>
      </c>
      <c r="D86" s="90" t="str">
        <f t="shared" ca="1" si="6"/>
        <v/>
      </c>
      <c r="E86" s="82"/>
      <c r="F86" s="91" t="str">
        <f t="shared" si="7"/>
        <v/>
      </c>
      <c r="G86" s="27"/>
      <c r="H86" s="84"/>
      <c r="I86" s="92" t="str">
        <f>IF(A86="","Pending",IF(H86="","⚠️ Enter Code",IF(IFERROR(VLOOKUP(G86,DB_Agents!$B:$I,8,0),"")=H86,IF(AND(A86&lt;&gt;"",E86&lt;&gt;""),"Saved","Pending"),"🔒 BLOCKED — Wrong Code")))</f>
        <v>Pending</v>
      </c>
      <c r="J86" s="93" t="str">
        <f t="shared" ca="1" si="8"/>
        <v>—</v>
      </c>
      <c r="K86" s="94"/>
    </row>
    <row r="87" spans="1:11" x14ac:dyDescent="0.25">
      <c r="A87" s="79"/>
      <c r="B87" s="21" t="str">
        <f>IF(A87="","",IFERROR(VLOOKUP(A87,DB_Customers!$A:$D,4,0),"❌ Account Not Found"))</f>
        <v/>
      </c>
      <c r="C87" s="80" t="str">
        <f>IF(A87="","",IFERROR(VLOOKUP(A87,DB_Customers!$A:$N,14,0),""))</f>
        <v/>
      </c>
      <c r="D87" s="81" t="str">
        <f t="shared" ca="1" si="6"/>
        <v/>
      </c>
      <c r="E87" s="82"/>
      <c r="F87" s="83" t="str">
        <f t="shared" si="7"/>
        <v/>
      </c>
      <c r="G87" s="23"/>
      <c r="H87" s="84"/>
      <c r="I87" s="85" t="str">
        <f>IF(A87="","Pending",IF(H87="","⚠️ Enter Code",IF(IFERROR(VLOOKUP(G87,DB_Agents!$B:$I,8,0),"")=H87,IF(AND(A87&lt;&gt;"",E87&lt;&gt;""),"Saved","Pending"),"🔒 BLOCKED — Wrong Code")))</f>
        <v>Pending</v>
      </c>
      <c r="J87" s="86" t="str">
        <f t="shared" ca="1" si="8"/>
        <v>—</v>
      </c>
      <c r="K87" s="87"/>
    </row>
    <row r="88" spans="1:11" x14ac:dyDescent="0.25">
      <c r="A88" s="88"/>
      <c r="B88" s="25" t="str">
        <f>IF(A88="","",IFERROR(VLOOKUP(A88,DB_Customers!$A:$D,4,0),"❌ Account Not Found"))</f>
        <v/>
      </c>
      <c r="C88" s="89" t="str">
        <f>IF(A88="","",IFERROR(VLOOKUP(A88,DB_Customers!$A:$N,14,0),""))</f>
        <v/>
      </c>
      <c r="D88" s="90" t="str">
        <f t="shared" ca="1" si="6"/>
        <v/>
      </c>
      <c r="E88" s="82"/>
      <c r="F88" s="91" t="str">
        <f t="shared" si="7"/>
        <v/>
      </c>
      <c r="G88" s="27"/>
      <c r="H88" s="84"/>
      <c r="I88" s="92" t="str">
        <f>IF(A88="","Pending",IF(H88="","⚠️ Enter Code",IF(IFERROR(VLOOKUP(G88,DB_Agents!$B:$I,8,0),"")=H88,IF(AND(A88&lt;&gt;"",E88&lt;&gt;""),"Saved","Pending"),"🔒 BLOCKED — Wrong Code")))</f>
        <v>Pending</v>
      </c>
      <c r="J88" s="93" t="str">
        <f t="shared" ca="1" si="8"/>
        <v>—</v>
      </c>
      <c r="K88" s="94"/>
    </row>
    <row r="89" spans="1:11" x14ac:dyDescent="0.25">
      <c r="A89" s="79"/>
      <c r="B89" s="21" t="str">
        <f>IF(A89="","",IFERROR(VLOOKUP(A89,DB_Customers!$A:$D,4,0),"❌ Account Not Found"))</f>
        <v/>
      </c>
      <c r="C89" s="80" t="str">
        <f>IF(A89="","",IFERROR(VLOOKUP(A89,DB_Customers!$A:$N,14,0),""))</f>
        <v/>
      </c>
      <c r="D89" s="81" t="str">
        <f t="shared" ca="1" si="6"/>
        <v/>
      </c>
      <c r="E89" s="82"/>
      <c r="F89" s="83" t="str">
        <f t="shared" si="7"/>
        <v/>
      </c>
      <c r="G89" s="23"/>
      <c r="H89" s="84"/>
      <c r="I89" s="85" t="str">
        <f>IF(A89="","Pending",IF(H89="","⚠️ Enter Code",IF(IFERROR(VLOOKUP(G89,DB_Agents!$B:$I,8,0),"")=H89,IF(AND(A89&lt;&gt;"",E89&lt;&gt;""),"Saved","Pending"),"🔒 BLOCKED — Wrong Code")))</f>
        <v>Pending</v>
      </c>
      <c r="J89" s="86" t="str">
        <f t="shared" ca="1" si="8"/>
        <v>—</v>
      </c>
      <c r="K89" s="87"/>
    </row>
    <row r="90" spans="1:11" x14ac:dyDescent="0.25">
      <c r="A90" s="88"/>
      <c r="B90" s="25" t="str">
        <f>IF(A90="","",IFERROR(VLOOKUP(A90,DB_Customers!$A:$D,4,0),"❌ Account Not Found"))</f>
        <v/>
      </c>
      <c r="C90" s="89" t="str">
        <f>IF(A90="","",IFERROR(VLOOKUP(A90,DB_Customers!$A:$N,14,0),""))</f>
        <v/>
      </c>
      <c r="D90" s="90" t="str">
        <f t="shared" ca="1" si="6"/>
        <v/>
      </c>
      <c r="E90" s="82"/>
      <c r="F90" s="91" t="str">
        <f t="shared" si="7"/>
        <v/>
      </c>
      <c r="G90" s="27"/>
      <c r="H90" s="84"/>
      <c r="I90" s="92" t="str">
        <f>IF(A90="","Pending",IF(H90="","⚠️ Enter Code",IF(IFERROR(VLOOKUP(G90,DB_Agents!$B:$I,8,0),"")=H90,IF(AND(A90&lt;&gt;"",E90&lt;&gt;""),"Saved","Pending"),"🔒 BLOCKED — Wrong Code")))</f>
        <v>Pending</v>
      </c>
      <c r="J90" s="93" t="str">
        <f t="shared" ca="1" si="8"/>
        <v>—</v>
      </c>
      <c r="K90" s="94"/>
    </row>
    <row r="91" spans="1:11" x14ac:dyDescent="0.25">
      <c r="A91" s="79"/>
      <c r="B91" s="21" t="str">
        <f>IF(A91="","",IFERROR(VLOOKUP(A91,DB_Customers!$A:$D,4,0),"❌ Account Not Found"))</f>
        <v/>
      </c>
      <c r="C91" s="80" t="str">
        <f>IF(A91="","",IFERROR(VLOOKUP(A91,DB_Customers!$A:$N,14,0),""))</f>
        <v/>
      </c>
      <c r="D91" s="81" t="str">
        <f t="shared" ca="1" si="6"/>
        <v/>
      </c>
      <c r="E91" s="82"/>
      <c r="F91" s="83" t="str">
        <f t="shared" si="7"/>
        <v/>
      </c>
      <c r="G91" s="23"/>
      <c r="H91" s="84"/>
      <c r="I91" s="85" t="str">
        <f>IF(A91="","Pending",IF(H91="","⚠️ Enter Code",IF(IFERROR(VLOOKUP(G91,DB_Agents!$B:$I,8,0),"")=H91,IF(AND(A91&lt;&gt;"",E91&lt;&gt;""),"Saved","Pending"),"🔒 BLOCKED — Wrong Code")))</f>
        <v>Pending</v>
      </c>
      <c r="J91" s="86" t="str">
        <f t="shared" ca="1" si="8"/>
        <v>—</v>
      </c>
      <c r="K91" s="87"/>
    </row>
    <row r="92" spans="1:11" x14ac:dyDescent="0.25">
      <c r="A92" s="88"/>
      <c r="B92" s="25" t="str">
        <f>IF(A92="","",IFERROR(VLOOKUP(A92,DB_Customers!$A:$D,4,0),"❌ Account Not Found"))</f>
        <v/>
      </c>
      <c r="C92" s="89" t="str">
        <f>IF(A92="","",IFERROR(VLOOKUP(A92,DB_Customers!$A:$N,14,0),""))</f>
        <v/>
      </c>
      <c r="D92" s="90" t="str">
        <f t="shared" ca="1" si="6"/>
        <v/>
      </c>
      <c r="E92" s="82"/>
      <c r="F92" s="91" t="str">
        <f t="shared" si="7"/>
        <v/>
      </c>
      <c r="G92" s="27"/>
      <c r="H92" s="84"/>
      <c r="I92" s="92" t="str">
        <f>IF(A92="","Pending",IF(H92="","⚠️ Enter Code",IF(IFERROR(VLOOKUP(G92,DB_Agents!$B:$I,8,0),"")=H92,IF(AND(A92&lt;&gt;"",E92&lt;&gt;""),"Saved","Pending"),"🔒 BLOCKED — Wrong Code")))</f>
        <v>Pending</v>
      </c>
      <c r="J92" s="93" t="str">
        <f t="shared" ca="1" si="8"/>
        <v>—</v>
      </c>
      <c r="K92" s="94"/>
    </row>
    <row r="93" spans="1:11" x14ac:dyDescent="0.25">
      <c r="A93" s="79"/>
      <c r="B93" s="21" t="str">
        <f>IF(A93="","",IFERROR(VLOOKUP(A93,DB_Customers!$A:$D,4,0),"❌ Account Not Found"))</f>
        <v/>
      </c>
      <c r="C93" s="80" t="str">
        <f>IF(A93="","",IFERROR(VLOOKUP(A93,DB_Customers!$A:$N,14,0),""))</f>
        <v/>
      </c>
      <c r="D93" s="81" t="str">
        <f t="shared" ca="1" si="6"/>
        <v/>
      </c>
      <c r="E93" s="82"/>
      <c r="F93" s="83" t="str">
        <f t="shared" si="7"/>
        <v/>
      </c>
      <c r="G93" s="23"/>
      <c r="H93" s="84"/>
      <c r="I93" s="85" t="str">
        <f>IF(A93="","Pending",IF(H93="","⚠️ Enter Code",IF(IFERROR(VLOOKUP(G93,DB_Agents!$B:$I,8,0),"")=H93,IF(AND(A93&lt;&gt;"",E93&lt;&gt;""),"Saved","Pending"),"🔒 BLOCKED — Wrong Code")))</f>
        <v>Pending</v>
      </c>
      <c r="J93" s="86" t="str">
        <f t="shared" ca="1" si="8"/>
        <v>—</v>
      </c>
      <c r="K93" s="87"/>
    </row>
    <row r="94" spans="1:11" x14ac:dyDescent="0.25">
      <c r="A94" s="88"/>
      <c r="B94" s="25" t="str">
        <f>IF(A94="","",IFERROR(VLOOKUP(A94,DB_Customers!$A:$D,4,0),"❌ Account Not Found"))</f>
        <v/>
      </c>
      <c r="C94" s="89" t="str">
        <f>IF(A94="","",IFERROR(VLOOKUP(A94,DB_Customers!$A:$N,14,0),""))</f>
        <v/>
      </c>
      <c r="D94" s="90" t="str">
        <f t="shared" ca="1" si="6"/>
        <v/>
      </c>
      <c r="E94" s="82"/>
      <c r="F94" s="91" t="str">
        <f t="shared" si="7"/>
        <v/>
      </c>
      <c r="G94" s="27"/>
      <c r="H94" s="84"/>
      <c r="I94" s="92" t="str">
        <f>IF(A94="","Pending",IF(H94="","⚠️ Enter Code",IF(IFERROR(VLOOKUP(G94,DB_Agents!$B:$I,8,0),"")=H94,IF(AND(A94&lt;&gt;"",E94&lt;&gt;""),"Saved","Pending"),"🔒 BLOCKED — Wrong Code")))</f>
        <v>Pending</v>
      </c>
      <c r="J94" s="93" t="str">
        <f t="shared" ca="1" si="8"/>
        <v>—</v>
      </c>
      <c r="K94" s="94"/>
    </row>
    <row r="95" spans="1:11" x14ac:dyDescent="0.25">
      <c r="A95" s="79"/>
      <c r="B95" s="21" t="str">
        <f>IF(A95="","",IFERROR(VLOOKUP(A95,DB_Customers!$A:$D,4,0),"❌ Account Not Found"))</f>
        <v/>
      </c>
      <c r="C95" s="80" t="str">
        <f>IF(A95="","",IFERROR(VLOOKUP(A95,DB_Customers!$A:$N,14,0),""))</f>
        <v/>
      </c>
      <c r="D95" s="81" t="str">
        <f t="shared" ca="1" si="6"/>
        <v/>
      </c>
      <c r="E95" s="82"/>
      <c r="F95" s="83" t="str">
        <f t="shared" si="7"/>
        <v/>
      </c>
      <c r="G95" s="23"/>
      <c r="H95" s="84"/>
      <c r="I95" s="85" t="str">
        <f>IF(A95="","Pending",IF(H95="","⚠️ Enter Code",IF(IFERROR(VLOOKUP(G95,DB_Agents!$B:$I,8,0),"")=H95,IF(AND(A95&lt;&gt;"",E95&lt;&gt;""),"Saved","Pending"),"🔒 BLOCKED — Wrong Code")))</f>
        <v>Pending</v>
      </c>
      <c r="J95" s="86" t="str">
        <f t="shared" ca="1" si="8"/>
        <v>—</v>
      </c>
      <c r="K95" s="87"/>
    </row>
    <row r="96" spans="1:11" x14ac:dyDescent="0.25">
      <c r="A96" s="88"/>
      <c r="B96" s="25" t="str">
        <f>IF(A96="","",IFERROR(VLOOKUP(A96,DB_Customers!$A:$D,4,0),"❌ Account Not Found"))</f>
        <v/>
      </c>
      <c r="C96" s="89" t="str">
        <f>IF(A96="","",IFERROR(VLOOKUP(A96,DB_Customers!$A:$N,14,0),""))</f>
        <v/>
      </c>
      <c r="D96" s="90" t="str">
        <f t="shared" ca="1" si="6"/>
        <v/>
      </c>
      <c r="E96" s="82"/>
      <c r="F96" s="91" t="str">
        <f t="shared" si="7"/>
        <v/>
      </c>
      <c r="G96" s="27"/>
      <c r="H96" s="84"/>
      <c r="I96" s="92" t="str">
        <f>IF(A96="","Pending",IF(H96="","⚠️ Enter Code",IF(IFERROR(VLOOKUP(G96,DB_Agents!$B:$I,8,0),"")=H96,IF(AND(A96&lt;&gt;"",E96&lt;&gt;""),"Saved","Pending"),"🔒 BLOCKED — Wrong Code")))</f>
        <v>Pending</v>
      </c>
      <c r="J96" s="93" t="str">
        <f t="shared" ca="1" si="8"/>
        <v>—</v>
      </c>
      <c r="K96" s="94"/>
    </row>
    <row r="97" spans="1:11" x14ac:dyDescent="0.25">
      <c r="A97" s="79"/>
      <c r="B97" s="21" t="str">
        <f>IF(A97="","",IFERROR(VLOOKUP(A97,DB_Customers!$A:$D,4,0),"❌ Account Not Found"))</f>
        <v/>
      </c>
      <c r="C97" s="80" t="str">
        <f>IF(A97="","",IFERROR(VLOOKUP(A97,DB_Customers!$A:$N,14,0),""))</f>
        <v/>
      </c>
      <c r="D97" s="81" t="str">
        <f t="shared" ca="1" si="6"/>
        <v/>
      </c>
      <c r="E97" s="82"/>
      <c r="F97" s="83" t="str">
        <f t="shared" si="7"/>
        <v/>
      </c>
      <c r="G97" s="23"/>
      <c r="H97" s="84"/>
      <c r="I97" s="85" t="str">
        <f>IF(A97="","Pending",IF(H97="","⚠️ Enter Code",IF(IFERROR(VLOOKUP(G97,DB_Agents!$B:$I,8,0),"")=H97,IF(AND(A97&lt;&gt;"",E97&lt;&gt;""),"Saved","Pending"),"🔒 BLOCKED — Wrong Code")))</f>
        <v>Pending</v>
      </c>
      <c r="J97" s="86" t="str">
        <f t="shared" ca="1" si="8"/>
        <v>—</v>
      </c>
      <c r="K97" s="87"/>
    </row>
    <row r="98" spans="1:11" x14ac:dyDescent="0.25">
      <c r="A98" s="88"/>
      <c r="B98" s="25" t="str">
        <f>IF(A98="","",IFERROR(VLOOKUP(A98,DB_Customers!$A:$D,4,0),"❌ Account Not Found"))</f>
        <v/>
      </c>
      <c r="C98" s="89" t="str">
        <f>IF(A98="","",IFERROR(VLOOKUP(A98,DB_Customers!$A:$N,14,0),""))</f>
        <v/>
      </c>
      <c r="D98" s="90" t="str">
        <f t="shared" ca="1" si="6"/>
        <v/>
      </c>
      <c r="E98" s="82"/>
      <c r="F98" s="91" t="str">
        <f t="shared" si="7"/>
        <v/>
      </c>
      <c r="G98" s="27"/>
      <c r="H98" s="84"/>
      <c r="I98" s="92" t="str">
        <f>IF(A98="","Pending",IF(H98="","⚠️ Enter Code",IF(IFERROR(VLOOKUP(G98,DB_Agents!$B:$I,8,0),"")=H98,IF(AND(A98&lt;&gt;"",E98&lt;&gt;""),"Saved","Pending"),"🔒 BLOCKED — Wrong Code")))</f>
        <v>Pending</v>
      </c>
      <c r="J98" s="93" t="str">
        <f t="shared" ca="1" si="8"/>
        <v>—</v>
      </c>
      <c r="K98" s="94"/>
    </row>
    <row r="99" spans="1:11" x14ac:dyDescent="0.25">
      <c r="A99" s="79"/>
      <c r="B99" s="21" t="str">
        <f>IF(A99="","",IFERROR(VLOOKUP(A99,DB_Customers!$A:$D,4,0),"❌ Account Not Found"))</f>
        <v/>
      </c>
      <c r="C99" s="80" t="str">
        <f>IF(A99="","",IFERROR(VLOOKUP(A99,DB_Customers!$A:$N,14,0),""))</f>
        <v/>
      </c>
      <c r="D99" s="81" t="str">
        <f t="shared" ca="1" si="6"/>
        <v/>
      </c>
      <c r="E99" s="82"/>
      <c r="F99" s="83" t="str">
        <f t="shared" si="7"/>
        <v/>
      </c>
      <c r="G99" s="23"/>
      <c r="H99" s="84"/>
      <c r="I99" s="85" t="str">
        <f>IF(A99="","Pending",IF(H99="","⚠️ Enter Code",IF(IFERROR(VLOOKUP(G99,DB_Agents!$B:$I,8,0),"")=H99,IF(AND(A99&lt;&gt;"",E99&lt;&gt;""),"Saved","Pending"),"🔒 BLOCKED — Wrong Code")))</f>
        <v>Pending</v>
      </c>
      <c r="J99" s="86" t="str">
        <f t="shared" ca="1" si="8"/>
        <v>—</v>
      </c>
      <c r="K99" s="87"/>
    </row>
    <row r="100" spans="1:11" x14ac:dyDescent="0.25">
      <c r="A100" s="88"/>
      <c r="B100" s="25" t="str">
        <f>IF(A100="","",IFERROR(VLOOKUP(A100,DB_Customers!$A:$D,4,0),"❌ Account Not Found"))</f>
        <v/>
      </c>
      <c r="C100" s="89" t="str">
        <f>IF(A100="","",IFERROR(VLOOKUP(A100,DB_Customers!$A:$N,14,0),""))</f>
        <v/>
      </c>
      <c r="D100" s="90" t="str">
        <f t="shared" ca="1" si="6"/>
        <v/>
      </c>
      <c r="E100" s="82"/>
      <c r="F100" s="91" t="str">
        <f t="shared" si="7"/>
        <v/>
      </c>
      <c r="G100" s="27"/>
      <c r="H100" s="84"/>
      <c r="I100" s="92" t="str">
        <f>IF(A100="","Pending",IF(H100="","⚠️ Enter Code",IF(IFERROR(VLOOKUP(G100,DB_Agents!$B:$I,8,0),"")=H100,IF(AND(A100&lt;&gt;"",E100&lt;&gt;""),"Saved","Pending"),"🔒 BLOCKED — Wrong Code")))</f>
        <v>Pending</v>
      </c>
      <c r="J100" s="93" t="str">
        <f t="shared" ca="1" si="8"/>
        <v>—</v>
      </c>
      <c r="K100" s="94"/>
    </row>
    <row r="101" spans="1:11" x14ac:dyDescent="0.25">
      <c r="A101" s="79"/>
      <c r="B101" s="21" t="str">
        <f>IF(A101="","",IFERROR(VLOOKUP(A101,DB_Customers!$A:$D,4,0),"❌ Account Not Found"))</f>
        <v/>
      </c>
      <c r="C101" s="80" t="str">
        <f>IF(A101="","",IFERROR(VLOOKUP(A101,DB_Customers!$A:$N,14,0),""))</f>
        <v/>
      </c>
      <c r="D101" s="81" t="str">
        <f t="shared" ca="1" si="6"/>
        <v/>
      </c>
      <c r="E101" s="82"/>
      <c r="F101" s="83" t="str">
        <f t="shared" si="7"/>
        <v/>
      </c>
      <c r="G101" s="23"/>
      <c r="H101" s="84"/>
      <c r="I101" s="85" t="str">
        <f>IF(A101="","Pending",IF(H101="","⚠️ Enter Code",IF(IFERROR(VLOOKUP(G101,DB_Agents!$B:$I,8,0),"")=H101,IF(AND(A101&lt;&gt;"",E101&lt;&gt;""),"Saved","Pending"),"🔒 BLOCKED — Wrong Code")))</f>
        <v>Pending</v>
      </c>
      <c r="J101" s="86" t="str">
        <f t="shared" ca="1" si="8"/>
        <v>—</v>
      </c>
      <c r="K101" s="87"/>
    </row>
    <row r="102" spans="1:11" x14ac:dyDescent="0.25">
      <c r="A102" s="88"/>
      <c r="B102" s="25" t="str">
        <f>IF(A102="","",IFERROR(VLOOKUP(A102,DB_Customers!$A:$D,4,0),"❌ Account Not Found"))</f>
        <v/>
      </c>
      <c r="C102" s="89" t="str">
        <f>IF(A102="","",IFERROR(VLOOKUP(A102,DB_Customers!$A:$N,14,0),""))</f>
        <v/>
      </c>
      <c r="D102" s="90" t="str">
        <f t="shared" ca="1" si="6"/>
        <v/>
      </c>
      <c r="E102" s="82"/>
      <c r="F102" s="91" t="str">
        <f t="shared" si="7"/>
        <v/>
      </c>
      <c r="G102" s="27"/>
      <c r="H102" s="84"/>
      <c r="I102" s="92" t="str">
        <f>IF(A102="","Pending",IF(H102="","⚠️ Enter Code",IF(IFERROR(VLOOKUP(G102,DB_Agents!$B:$I,8,0),"")=H102,IF(AND(A102&lt;&gt;"",E102&lt;&gt;""),"Saved","Pending"),"🔒 BLOCKED — Wrong Code")))</f>
        <v>Pending</v>
      </c>
      <c r="J102" s="93" t="str">
        <f t="shared" ca="1" si="8"/>
        <v>—</v>
      </c>
      <c r="K102" s="94"/>
    </row>
    <row r="103" spans="1:11" x14ac:dyDescent="0.25">
      <c r="A103" s="79"/>
      <c r="B103" s="21" t="str">
        <f>IF(A103="","",IFERROR(VLOOKUP(A103,DB_Customers!$A:$D,4,0),"❌ Account Not Found"))</f>
        <v/>
      </c>
      <c r="C103" s="80" t="str">
        <f>IF(A103="","",IFERROR(VLOOKUP(A103,DB_Customers!$A:$N,14,0),""))</f>
        <v/>
      </c>
      <c r="D103" s="81" t="str">
        <f t="shared" ca="1" si="6"/>
        <v/>
      </c>
      <c r="E103" s="82"/>
      <c r="F103" s="83" t="str">
        <f t="shared" si="7"/>
        <v/>
      </c>
      <c r="G103" s="23"/>
      <c r="H103" s="84"/>
      <c r="I103" s="85" t="str">
        <f>IF(A103="","Pending",IF(H103="","⚠️ Enter Code",IF(IFERROR(VLOOKUP(G103,DB_Agents!$B:$I,8,0),"")=H103,IF(AND(A103&lt;&gt;"",E103&lt;&gt;""),"Saved","Pending"),"🔒 BLOCKED — Wrong Code")))</f>
        <v>Pending</v>
      </c>
      <c r="J103" s="86" t="str">
        <f t="shared" ca="1" si="8"/>
        <v>—</v>
      </c>
      <c r="K103" s="87"/>
    </row>
    <row r="104" spans="1:11" x14ac:dyDescent="0.25">
      <c r="A104" s="88"/>
      <c r="B104" s="25" t="str">
        <f>IF(A104="","",IFERROR(VLOOKUP(A104,DB_Customers!$A:$D,4,0),"❌ Account Not Found"))</f>
        <v/>
      </c>
      <c r="C104" s="89" t="str">
        <f>IF(A104="","",IFERROR(VLOOKUP(A104,DB_Customers!$A:$N,14,0),""))</f>
        <v/>
      </c>
      <c r="D104" s="90" t="str">
        <f t="shared" ca="1" si="6"/>
        <v/>
      </c>
      <c r="E104" s="82"/>
      <c r="F104" s="91" t="str">
        <f t="shared" si="7"/>
        <v/>
      </c>
      <c r="G104" s="27"/>
      <c r="H104" s="84"/>
      <c r="I104" s="92" t="str">
        <f>IF(A104="","Pending",IF(H104="","⚠️ Enter Code",IF(IFERROR(VLOOKUP(G104,DB_Agents!$B:$I,8,0),"")=H104,IF(AND(A104&lt;&gt;"",E104&lt;&gt;""),"Saved","Pending"),"🔒 BLOCKED — Wrong Code")))</f>
        <v>Pending</v>
      </c>
      <c r="J104" s="93" t="str">
        <f t="shared" ca="1" si="8"/>
        <v>—</v>
      </c>
      <c r="K104" s="94"/>
    </row>
    <row r="105" spans="1:11" x14ac:dyDescent="0.25">
      <c r="A105" s="79"/>
      <c r="B105" s="21" t="str">
        <f>IF(A105="","",IFERROR(VLOOKUP(A105,DB_Customers!$A:$D,4,0),"❌ Account Not Found"))</f>
        <v/>
      </c>
      <c r="C105" s="80" t="str">
        <f>IF(A105="","",IFERROR(VLOOKUP(A105,DB_Customers!$A:$N,14,0),""))</f>
        <v/>
      </c>
      <c r="D105" s="81" t="str">
        <f t="shared" ref="D105:D136" ca="1" si="9">IF(A105="","",TODAY())</f>
        <v/>
      </c>
      <c r="E105" s="82"/>
      <c r="F105" s="83" t="str">
        <f t="shared" ref="F105:F136" si="10">IF(OR(A105="",E105=""),"",IF(C105="","",C105+E105))</f>
        <v/>
      </c>
      <c r="G105" s="23"/>
      <c r="H105" s="84"/>
      <c r="I105" s="85" t="str">
        <f>IF(A105="","Pending",IF(H105="","⚠️ Enter Code",IF(IFERROR(VLOOKUP(G105,DB_Agents!$B:$I,8,0),"")=H105,IF(AND(A105&lt;&gt;"",E105&lt;&gt;""),"Saved","Pending"),"🔒 BLOCKED — Wrong Code")))</f>
        <v>Pending</v>
      </c>
      <c r="J105" s="86" t="str">
        <f t="shared" ref="J105:J136" ca="1" si="11">IF(I105="Saved",TEXT(TODAY(),"YYYY-MM-DD")&amp;" Auto","—")</f>
        <v>—</v>
      </c>
      <c r="K105" s="87"/>
    </row>
    <row r="106" spans="1:11" x14ac:dyDescent="0.25">
      <c r="A106" s="88"/>
      <c r="B106" s="25" t="str">
        <f>IF(A106="","",IFERROR(VLOOKUP(A106,DB_Customers!$A:$D,4,0),"❌ Account Not Found"))</f>
        <v/>
      </c>
      <c r="C106" s="89" t="str">
        <f>IF(A106="","",IFERROR(VLOOKUP(A106,DB_Customers!$A:$N,14,0),""))</f>
        <v/>
      </c>
      <c r="D106" s="90" t="str">
        <f t="shared" ca="1" si="9"/>
        <v/>
      </c>
      <c r="E106" s="82"/>
      <c r="F106" s="91" t="str">
        <f t="shared" si="10"/>
        <v/>
      </c>
      <c r="G106" s="27"/>
      <c r="H106" s="84"/>
      <c r="I106" s="92" t="str">
        <f>IF(A106="","Pending",IF(H106="","⚠️ Enter Code",IF(IFERROR(VLOOKUP(G106,DB_Agents!$B:$I,8,0),"")=H106,IF(AND(A106&lt;&gt;"",E106&lt;&gt;""),"Saved","Pending"),"🔒 BLOCKED — Wrong Code")))</f>
        <v>Pending</v>
      </c>
      <c r="J106" s="93" t="str">
        <f t="shared" ca="1" si="11"/>
        <v>—</v>
      </c>
      <c r="K106" s="94"/>
    </row>
    <row r="107" spans="1:11" x14ac:dyDescent="0.25">
      <c r="A107" s="79"/>
      <c r="B107" s="21" t="str">
        <f>IF(A107="","",IFERROR(VLOOKUP(A107,DB_Customers!$A:$D,4,0),"❌ Account Not Found"))</f>
        <v/>
      </c>
      <c r="C107" s="80" t="str">
        <f>IF(A107="","",IFERROR(VLOOKUP(A107,DB_Customers!$A:$N,14,0),""))</f>
        <v/>
      </c>
      <c r="D107" s="81" t="str">
        <f t="shared" ca="1" si="9"/>
        <v/>
      </c>
      <c r="E107" s="82"/>
      <c r="F107" s="83" t="str">
        <f t="shared" si="10"/>
        <v/>
      </c>
      <c r="G107" s="23"/>
      <c r="H107" s="84"/>
      <c r="I107" s="85" t="str">
        <f>IF(A107="","Pending",IF(H107="","⚠️ Enter Code",IF(IFERROR(VLOOKUP(G107,DB_Agents!$B:$I,8,0),"")=H107,IF(AND(A107&lt;&gt;"",E107&lt;&gt;""),"Saved","Pending"),"🔒 BLOCKED — Wrong Code")))</f>
        <v>Pending</v>
      </c>
      <c r="J107" s="86" t="str">
        <f t="shared" ca="1" si="11"/>
        <v>—</v>
      </c>
      <c r="K107" s="87"/>
    </row>
    <row r="108" spans="1:11" x14ac:dyDescent="0.25">
      <c r="A108" s="88"/>
      <c r="B108" s="25" t="str">
        <f>IF(A108="","",IFERROR(VLOOKUP(A108,DB_Customers!$A:$D,4,0),"❌ Account Not Found"))</f>
        <v/>
      </c>
      <c r="C108" s="89" t="str">
        <f>IF(A108="","",IFERROR(VLOOKUP(A108,DB_Customers!$A:$N,14,0),""))</f>
        <v/>
      </c>
      <c r="D108" s="90" t="str">
        <f t="shared" ca="1" si="9"/>
        <v/>
      </c>
      <c r="E108" s="82"/>
      <c r="F108" s="91" t="str">
        <f t="shared" si="10"/>
        <v/>
      </c>
      <c r="G108" s="27"/>
      <c r="H108" s="84"/>
      <c r="I108" s="92" t="str">
        <f>IF(A108="","Pending",IF(H108="","⚠️ Enter Code",IF(IFERROR(VLOOKUP(G108,DB_Agents!$B:$I,8,0),"")=H108,IF(AND(A108&lt;&gt;"",E108&lt;&gt;""),"Saved","Pending"),"🔒 BLOCKED — Wrong Code")))</f>
        <v>Pending</v>
      </c>
      <c r="J108" s="93" t="str">
        <f t="shared" ca="1" si="11"/>
        <v>—</v>
      </c>
      <c r="K108" s="94"/>
    </row>
    <row r="109" spans="1:11" x14ac:dyDescent="0.25">
      <c r="A109" s="79"/>
      <c r="B109" s="21" t="str">
        <f>IF(A109="","",IFERROR(VLOOKUP(A109,DB_Customers!$A:$D,4,0),"❌ Account Not Found"))</f>
        <v/>
      </c>
      <c r="C109" s="80" t="str">
        <f>IF(A109="","",IFERROR(VLOOKUP(A109,DB_Customers!$A:$N,14,0),""))</f>
        <v/>
      </c>
      <c r="D109" s="81" t="str">
        <f t="shared" ca="1" si="9"/>
        <v/>
      </c>
      <c r="E109" s="82"/>
      <c r="F109" s="83" t="str">
        <f t="shared" si="10"/>
        <v/>
      </c>
      <c r="G109" s="23"/>
      <c r="H109" s="84"/>
      <c r="I109" s="85" t="str">
        <f>IF(A109="","Pending",IF(H109="","⚠️ Enter Code",IF(IFERROR(VLOOKUP(G109,DB_Agents!$B:$I,8,0),"")=H109,IF(AND(A109&lt;&gt;"",E109&lt;&gt;""),"Saved","Pending"),"🔒 BLOCKED — Wrong Code")))</f>
        <v>Pending</v>
      </c>
      <c r="J109" s="86" t="str">
        <f t="shared" ca="1" si="11"/>
        <v>—</v>
      </c>
      <c r="K109" s="87"/>
    </row>
    <row r="110" spans="1:11" x14ac:dyDescent="0.25">
      <c r="A110" s="88"/>
      <c r="B110" s="25" t="str">
        <f>IF(A110="","",IFERROR(VLOOKUP(A110,DB_Customers!$A:$D,4,0),"❌ Account Not Found"))</f>
        <v/>
      </c>
      <c r="C110" s="89" t="str">
        <f>IF(A110="","",IFERROR(VLOOKUP(A110,DB_Customers!$A:$N,14,0),""))</f>
        <v/>
      </c>
      <c r="D110" s="90" t="str">
        <f t="shared" ca="1" si="9"/>
        <v/>
      </c>
      <c r="E110" s="82"/>
      <c r="F110" s="91" t="str">
        <f t="shared" si="10"/>
        <v/>
      </c>
      <c r="G110" s="27"/>
      <c r="H110" s="84"/>
      <c r="I110" s="92" t="str">
        <f>IF(A110="","Pending",IF(H110="","⚠️ Enter Code",IF(IFERROR(VLOOKUP(G110,DB_Agents!$B:$I,8,0),"")=H110,IF(AND(A110&lt;&gt;"",E110&lt;&gt;""),"Saved","Pending"),"🔒 BLOCKED — Wrong Code")))</f>
        <v>Pending</v>
      </c>
      <c r="J110" s="93" t="str">
        <f t="shared" ca="1" si="11"/>
        <v>—</v>
      </c>
      <c r="K110" s="94"/>
    </row>
    <row r="111" spans="1:11" x14ac:dyDescent="0.25">
      <c r="A111" s="79"/>
      <c r="B111" s="21" t="str">
        <f>IF(A111="","",IFERROR(VLOOKUP(A111,DB_Customers!$A:$D,4,0),"❌ Account Not Found"))</f>
        <v/>
      </c>
      <c r="C111" s="80" t="str">
        <f>IF(A111="","",IFERROR(VLOOKUP(A111,DB_Customers!$A:$N,14,0),""))</f>
        <v/>
      </c>
      <c r="D111" s="81" t="str">
        <f t="shared" ca="1" si="9"/>
        <v/>
      </c>
      <c r="E111" s="82"/>
      <c r="F111" s="83" t="str">
        <f t="shared" si="10"/>
        <v/>
      </c>
      <c r="G111" s="23"/>
      <c r="H111" s="84"/>
      <c r="I111" s="85" t="str">
        <f>IF(A111="","Pending",IF(H111="","⚠️ Enter Code",IF(IFERROR(VLOOKUP(G111,DB_Agents!$B:$I,8,0),"")=H111,IF(AND(A111&lt;&gt;"",E111&lt;&gt;""),"Saved","Pending"),"🔒 BLOCKED — Wrong Code")))</f>
        <v>Pending</v>
      </c>
      <c r="J111" s="86" t="str">
        <f t="shared" ca="1" si="11"/>
        <v>—</v>
      </c>
      <c r="K111" s="87"/>
    </row>
    <row r="112" spans="1:11" x14ac:dyDescent="0.25">
      <c r="A112" s="88"/>
      <c r="B112" s="25" t="str">
        <f>IF(A112="","",IFERROR(VLOOKUP(A112,DB_Customers!$A:$D,4,0),"❌ Account Not Found"))</f>
        <v/>
      </c>
      <c r="C112" s="89" t="str">
        <f>IF(A112="","",IFERROR(VLOOKUP(A112,DB_Customers!$A:$N,14,0),""))</f>
        <v/>
      </c>
      <c r="D112" s="90" t="str">
        <f t="shared" ca="1" si="9"/>
        <v/>
      </c>
      <c r="E112" s="82"/>
      <c r="F112" s="91" t="str">
        <f t="shared" si="10"/>
        <v/>
      </c>
      <c r="G112" s="27"/>
      <c r="H112" s="84"/>
      <c r="I112" s="92" t="str">
        <f>IF(A112="","Pending",IF(H112="","⚠️ Enter Code",IF(IFERROR(VLOOKUP(G112,DB_Agents!$B:$I,8,0),"")=H112,IF(AND(A112&lt;&gt;"",E112&lt;&gt;""),"Saved","Pending"),"🔒 BLOCKED — Wrong Code")))</f>
        <v>Pending</v>
      </c>
      <c r="J112" s="93" t="str">
        <f t="shared" ca="1" si="11"/>
        <v>—</v>
      </c>
      <c r="K112" s="94"/>
    </row>
    <row r="113" spans="1:11" x14ac:dyDescent="0.25">
      <c r="A113" s="79"/>
      <c r="B113" s="21" t="str">
        <f>IF(A113="","",IFERROR(VLOOKUP(A113,DB_Customers!$A:$D,4,0),"❌ Account Not Found"))</f>
        <v/>
      </c>
      <c r="C113" s="80" t="str">
        <f>IF(A113="","",IFERROR(VLOOKUP(A113,DB_Customers!$A:$N,14,0),""))</f>
        <v/>
      </c>
      <c r="D113" s="81" t="str">
        <f t="shared" ca="1" si="9"/>
        <v/>
      </c>
      <c r="E113" s="82"/>
      <c r="F113" s="83" t="str">
        <f t="shared" si="10"/>
        <v/>
      </c>
      <c r="G113" s="23"/>
      <c r="H113" s="84"/>
      <c r="I113" s="85" t="str">
        <f>IF(A113="","Pending",IF(H113="","⚠️ Enter Code",IF(IFERROR(VLOOKUP(G113,DB_Agents!$B:$I,8,0),"")=H113,IF(AND(A113&lt;&gt;"",E113&lt;&gt;""),"Saved","Pending"),"🔒 BLOCKED — Wrong Code")))</f>
        <v>Pending</v>
      </c>
      <c r="J113" s="86" t="str">
        <f t="shared" ca="1" si="11"/>
        <v>—</v>
      </c>
      <c r="K113" s="87"/>
    </row>
    <row r="114" spans="1:11" x14ac:dyDescent="0.25">
      <c r="A114" s="88"/>
      <c r="B114" s="25" t="str">
        <f>IF(A114="","",IFERROR(VLOOKUP(A114,DB_Customers!$A:$D,4,0),"❌ Account Not Found"))</f>
        <v/>
      </c>
      <c r="C114" s="89" t="str">
        <f>IF(A114="","",IFERROR(VLOOKUP(A114,DB_Customers!$A:$N,14,0),""))</f>
        <v/>
      </c>
      <c r="D114" s="90" t="str">
        <f t="shared" ca="1" si="9"/>
        <v/>
      </c>
      <c r="E114" s="82"/>
      <c r="F114" s="91" t="str">
        <f t="shared" si="10"/>
        <v/>
      </c>
      <c r="G114" s="27"/>
      <c r="H114" s="84"/>
      <c r="I114" s="92" t="str">
        <f>IF(A114="","Pending",IF(H114="","⚠️ Enter Code",IF(IFERROR(VLOOKUP(G114,DB_Agents!$B:$I,8,0),"")=H114,IF(AND(A114&lt;&gt;"",E114&lt;&gt;""),"Saved","Pending"),"🔒 BLOCKED — Wrong Code")))</f>
        <v>Pending</v>
      </c>
      <c r="J114" s="93" t="str">
        <f t="shared" ca="1" si="11"/>
        <v>—</v>
      </c>
      <c r="K114" s="94"/>
    </row>
    <row r="115" spans="1:11" x14ac:dyDescent="0.25">
      <c r="A115" s="79"/>
      <c r="B115" s="21" t="str">
        <f>IF(A115="","",IFERROR(VLOOKUP(A115,DB_Customers!$A:$D,4,0),"❌ Account Not Found"))</f>
        <v/>
      </c>
      <c r="C115" s="80" t="str">
        <f>IF(A115="","",IFERROR(VLOOKUP(A115,DB_Customers!$A:$N,14,0),""))</f>
        <v/>
      </c>
      <c r="D115" s="81" t="str">
        <f t="shared" ca="1" si="9"/>
        <v/>
      </c>
      <c r="E115" s="82"/>
      <c r="F115" s="83" t="str">
        <f t="shared" si="10"/>
        <v/>
      </c>
      <c r="G115" s="23"/>
      <c r="H115" s="84"/>
      <c r="I115" s="85" t="str">
        <f>IF(A115="","Pending",IF(H115="","⚠️ Enter Code",IF(IFERROR(VLOOKUP(G115,DB_Agents!$B:$I,8,0),"")=H115,IF(AND(A115&lt;&gt;"",E115&lt;&gt;""),"Saved","Pending"),"🔒 BLOCKED — Wrong Code")))</f>
        <v>Pending</v>
      </c>
      <c r="J115" s="86" t="str">
        <f t="shared" ca="1" si="11"/>
        <v>—</v>
      </c>
      <c r="K115" s="87"/>
    </row>
    <row r="116" spans="1:11" x14ac:dyDescent="0.25">
      <c r="A116" s="88"/>
      <c r="B116" s="25" t="str">
        <f>IF(A116="","",IFERROR(VLOOKUP(A116,DB_Customers!$A:$D,4,0),"❌ Account Not Found"))</f>
        <v/>
      </c>
      <c r="C116" s="89" t="str">
        <f>IF(A116="","",IFERROR(VLOOKUP(A116,DB_Customers!$A:$N,14,0),""))</f>
        <v/>
      </c>
      <c r="D116" s="90" t="str">
        <f t="shared" ca="1" si="9"/>
        <v/>
      </c>
      <c r="E116" s="82"/>
      <c r="F116" s="91" t="str">
        <f t="shared" si="10"/>
        <v/>
      </c>
      <c r="G116" s="27"/>
      <c r="H116" s="84"/>
      <c r="I116" s="92" t="str">
        <f>IF(A116="","Pending",IF(H116="","⚠️ Enter Code",IF(IFERROR(VLOOKUP(G116,DB_Agents!$B:$I,8,0),"")=H116,IF(AND(A116&lt;&gt;"",E116&lt;&gt;""),"Saved","Pending"),"🔒 BLOCKED — Wrong Code")))</f>
        <v>Pending</v>
      </c>
      <c r="J116" s="93" t="str">
        <f t="shared" ca="1" si="11"/>
        <v>—</v>
      </c>
      <c r="K116" s="94"/>
    </row>
    <row r="117" spans="1:11" x14ac:dyDescent="0.25">
      <c r="A117" s="79"/>
      <c r="B117" s="21" t="str">
        <f>IF(A117="","",IFERROR(VLOOKUP(A117,DB_Customers!$A:$D,4,0),"❌ Account Not Found"))</f>
        <v/>
      </c>
      <c r="C117" s="80" t="str">
        <f>IF(A117="","",IFERROR(VLOOKUP(A117,DB_Customers!$A:$N,14,0),""))</f>
        <v/>
      </c>
      <c r="D117" s="81" t="str">
        <f t="shared" ca="1" si="9"/>
        <v/>
      </c>
      <c r="E117" s="82"/>
      <c r="F117" s="83" t="str">
        <f t="shared" si="10"/>
        <v/>
      </c>
      <c r="G117" s="23"/>
      <c r="H117" s="84"/>
      <c r="I117" s="85" t="str">
        <f>IF(A117="","Pending",IF(H117="","⚠️ Enter Code",IF(IFERROR(VLOOKUP(G117,DB_Agents!$B:$I,8,0),"")=H117,IF(AND(A117&lt;&gt;"",E117&lt;&gt;""),"Saved","Pending"),"🔒 BLOCKED — Wrong Code")))</f>
        <v>Pending</v>
      </c>
      <c r="J117" s="86" t="str">
        <f t="shared" ca="1" si="11"/>
        <v>—</v>
      </c>
      <c r="K117" s="87"/>
    </row>
    <row r="118" spans="1:11" x14ac:dyDescent="0.25">
      <c r="A118" s="88"/>
      <c r="B118" s="25" t="str">
        <f>IF(A118="","",IFERROR(VLOOKUP(A118,DB_Customers!$A:$D,4,0),"❌ Account Not Found"))</f>
        <v/>
      </c>
      <c r="C118" s="89" t="str">
        <f>IF(A118="","",IFERROR(VLOOKUP(A118,DB_Customers!$A:$N,14,0),""))</f>
        <v/>
      </c>
      <c r="D118" s="90" t="str">
        <f t="shared" ca="1" si="9"/>
        <v/>
      </c>
      <c r="E118" s="82"/>
      <c r="F118" s="91" t="str">
        <f t="shared" si="10"/>
        <v/>
      </c>
      <c r="G118" s="27"/>
      <c r="H118" s="84"/>
      <c r="I118" s="92" t="str">
        <f>IF(A118="","Pending",IF(H118="","⚠️ Enter Code",IF(IFERROR(VLOOKUP(G118,DB_Agents!$B:$I,8,0),"")=H118,IF(AND(A118&lt;&gt;"",E118&lt;&gt;""),"Saved","Pending"),"🔒 BLOCKED — Wrong Code")))</f>
        <v>Pending</v>
      </c>
      <c r="J118" s="93" t="str">
        <f t="shared" ca="1" si="11"/>
        <v>—</v>
      </c>
      <c r="K118" s="94"/>
    </row>
    <row r="119" spans="1:11" x14ac:dyDescent="0.25">
      <c r="A119" s="79"/>
      <c r="B119" s="21" t="str">
        <f>IF(A119="","",IFERROR(VLOOKUP(A119,DB_Customers!$A:$D,4,0),"❌ Account Not Found"))</f>
        <v/>
      </c>
      <c r="C119" s="80" t="str">
        <f>IF(A119="","",IFERROR(VLOOKUP(A119,DB_Customers!$A:$N,14,0),""))</f>
        <v/>
      </c>
      <c r="D119" s="81" t="str">
        <f t="shared" ca="1" si="9"/>
        <v/>
      </c>
      <c r="E119" s="82"/>
      <c r="F119" s="83" t="str">
        <f t="shared" si="10"/>
        <v/>
      </c>
      <c r="G119" s="23"/>
      <c r="H119" s="84"/>
      <c r="I119" s="85" t="str">
        <f>IF(A119="","Pending",IF(H119="","⚠️ Enter Code",IF(IFERROR(VLOOKUP(G119,DB_Agents!$B:$I,8,0),"")=H119,IF(AND(A119&lt;&gt;"",E119&lt;&gt;""),"Saved","Pending"),"🔒 BLOCKED — Wrong Code")))</f>
        <v>Pending</v>
      </c>
      <c r="J119" s="86" t="str">
        <f t="shared" ca="1" si="11"/>
        <v>—</v>
      </c>
      <c r="K119" s="87"/>
    </row>
    <row r="120" spans="1:11" x14ac:dyDescent="0.25">
      <c r="A120" s="88"/>
      <c r="B120" s="25" t="str">
        <f>IF(A120="","",IFERROR(VLOOKUP(A120,DB_Customers!$A:$D,4,0),"❌ Account Not Found"))</f>
        <v/>
      </c>
      <c r="C120" s="89" t="str">
        <f>IF(A120="","",IFERROR(VLOOKUP(A120,DB_Customers!$A:$N,14,0),""))</f>
        <v/>
      </c>
      <c r="D120" s="90" t="str">
        <f t="shared" ca="1" si="9"/>
        <v/>
      </c>
      <c r="E120" s="82"/>
      <c r="F120" s="91" t="str">
        <f t="shared" si="10"/>
        <v/>
      </c>
      <c r="G120" s="27"/>
      <c r="H120" s="84"/>
      <c r="I120" s="92" t="str">
        <f>IF(A120="","Pending",IF(H120="","⚠️ Enter Code",IF(IFERROR(VLOOKUP(G120,DB_Agents!$B:$I,8,0),"")=H120,IF(AND(A120&lt;&gt;"",E120&lt;&gt;""),"Saved","Pending"),"🔒 BLOCKED — Wrong Code")))</f>
        <v>Pending</v>
      </c>
      <c r="J120" s="93" t="str">
        <f t="shared" ca="1" si="11"/>
        <v>—</v>
      </c>
      <c r="K120" s="94"/>
    </row>
    <row r="121" spans="1:11" x14ac:dyDescent="0.25">
      <c r="A121" s="79"/>
      <c r="B121" s="21" t="str">
        <f>IF(A121="","",IFERROR(VLOOKUP(A121,DB_Customers!$A:$D,4,0),"❌ Account Not Found"))</f>
        <v/>
      </c>
      <c r="C121" s="80" t="str">
        <f>IF(A121="","",IFERROR(VLOOKUP(A121,DB_Customers!$A:$N,14,0),""))</f>
        <v/>
      </c>
      <c r="D121" s="81" t="str">
        <f t="shared" ca="1" si="9"/>
        <v/>
      </c>
      <c r="E121" s="82"/>
      <c r="F121" s="83" t="str">
        <f t="shared" si="10"/>
        <v/>
      </c>
      <c r="G121" s="23"/>
      <c r="H121" s="84"/>
      <c r="I121" s="85" t="str">
        <f>IF(A121="","Pending",IF(H121="","⚠️ Enter Code",IF(IFERROR(VLOOKUP(G121,DB_Agents!$B:$I,8,0),"")=H121,IF(AND(A121&lt;&gt;"",E121&lt;&gt;""),"Saved","Pending"),"🔒 BLOCKED — Wrong Code")))</f>
        <v>Pending</v>
      </c>
      <c r="J121" s="86" t="str">
        <f t="shared" ca="1" si="11"/>
        <v>—</v>
      </c>
      <c r="K121" s="87"/>
    </row>
    <row r="122" spans="1:11" x14ac:dyDescent="0.25">
      <c r="A122" s="88"/>
      <c r="B122" s="25" t="str">
        <f>IF(A122="","",IFERROR(VLOOKUP(A122,DB_Customers!$A:$D,4,0),"❌ Account Not Found"))</f>
        <v/>
      </c>
      <c r="C122" s="89" t="str">
        <f>IF(A122="","",IFERROR(VLOOKUP(A122,DB_Customers!$A:$N,14,0),""))</f>
        <v/>
      </c>
      <c r="D122" s="90" t="str">
        <f t="shared" ca="1" si="9"/>
        <v/>
      </c>
      <c r="E122" s="82"/>
      <c r="F122" s="91" t="str">
        <f t="shared" si="10"/>
        <v/>
      </c>
      <c r="G122" s="27"/>
      <c r="H122" s="84"/>
      <c r="I122" s="92" t="str">
        <f>IF(A122="","Pending",IF(H122="","⚠️ Enter Code",IF(IFERROR(VLOOKUP(G122,DB_Agents!$B:$I,8,0),"")=H122,IF(AND(A122&lt;&gt;"",E122&lt;&gt;""),"Saved","Pending"),"🔒 BLOCKED — Wrong Code")))</f>
        <v>Pending</v>
      </c>
      <c r="J122" s="93" t="str">
        <f t="shared" ca="1" si="11"/>
        <v>—</v>
      </c>
      <c r="K122" s="94"/>
    </row>
    <row r="123" spans="1:11" x14ac:dyDescent="0.25">
      <c r="A123" s="79"/>
      <c r="B123" s="21" t="str">
        <f>IF(A123="","",IFERROR(VLOOKUP(A123,DB_Customers!$A:$D,4,0),"❌ Account Not Found"))</f>
        <v/>
      </c>
      <c r="C123" s="80" t="str">
        <f>IF(A123="","",IFERROR(VLOOKUP(A123,DB_Customers!$A:$N,14,0),""))</f>
        <v/>
      </c>
      <c r="D123" s="81" t="str">
        <f t="shared" ca="1" si="9"/>
        <v/>
      </c>
      <c r="E123" s="82"/>
      <c r="F123" s="83" t="str">
        <f t="shared" si="10"/>
        <v/>
      </c>
      <c r="G123" s="23"/>
      <c r="H123" s="84"/>
      <c r="I123" s="85" t="str">
        <f>IF(A123="","Pending",IF(H123="","⚠️ Enter Code",IF(IFERROR(VLOOKUP(G123,DB_Agents!$B:$I,8,0),"")=H123,IF(AND(A123&lt;&gt;"",E123&lt;&gt;""),"Saved","Pending"),"🔒 BLOCKED — Wrong Code")))</f>
        <v>Pending</v>
      </c>
      <c r="J123" s="86" t="str">
        <f t="shared" ca="1" si="11"/>
        <v>—</v>
      </c>
      <c r="K123" s="87"/>
    </row>
    <row r="124" spans="1:11" x14ac:dyDescent="0.25">
      <c r="A124" s="88"/>
      <c r="B124" s="25" t="str">
        <f>IF(A124="","",IFERROR(VLOOKUP(A124,DB_Customers!$A:$D,4,0),"❌ Account Not Found"))</f>
        <v/>
      </c>
      <c r="C124" s="89" t="str">
        <f>IF(A124="","",IFERROR(VLOOKUP(A124,DB_Customers!$A:$N,14,0),""))</f>
        <v/>
      </c>
      <c r="D124" s="90" t="str">
        <f t="shared" ca="1" si="9"/>
        <v/>
      </c>
      <c r="E124" s="82"/>
      <c r="F124" s="91" t="str">
        <f t="shared" si="10"/>
        <v/>
      </c>
      <c r="G124" s="27"/>
      <c r="H124" s="84"/>
      <c r="I124" s="92" t="str">
        <f>IF(A124="","Pending",IF(H124="","⚠️ Enter Code",IF(IFERROR(VLOOKUP(G124,DB_Agents!$B:$I,8,0),"")=H124,IF(AND(A124&lt;&gt;"",E124&lt;&gt;""),"Saved","Pending"),"🔒 BLOCKED — Wrong Code")))</f>
        <v>Pending</v>
      </c>
      <c r="J124" s="93" t="str">
        <f t="shared" ca="1" si="11"/>
        <v>—</v>
      </c>
      <c r="K124" s="94"/>
    </row>
    <row r="125" spans="1:11" x14ac:dyDescent="0.25">
      <c r="A125" s="79"/>
      <c r="B125" s="21" t="str">
        <f>IF(A125="","",IFERROR(VLOOKUP(A125,DB_Customers!$A:$D,4,0),"❌ Account Not Found"))</f>
        <v/>
      </c>
      <c r="C125" s="80" t="str">
        <f>IF(A125="","",IFERROR(VLOOKUP(A125,DB_Customers!$A:$N,14,0),""))</f>
        <v/>
      </c>
      <c r="D125" s="81" t="str">
        <f t="shared" ca="1" si="9"/>
        <v/>
      </c>
      <c r="E125" s="82"/>
      <c r="F125" s="83" t="str">
        <f t="shared" si="10"/>
        <v/>
      </c>
      <c r="G125" s="23"/>
      <c r="H125" s="84"/>
      <c r="I125" s="85" t="str">
        <f>IF(A125="","Pending",IF(H125="","⚠️ Enter Code",IF(IFERROR(VLOOKUP(G125,DB_Agents!$B:$I,8,0),"")=H125,IF(AND(A125&lt;&gt;"",E125&lt;&gt;""),"Saved","Pending"),"🔒 BLOCKED — Wrong Code")))</f>
        <v>Pending</v>
      </c>
      <c r="J125" s="86" t="str">
        <f t="shared" ca="1" si="11"/>
        <v>—</v>
      </c>
      <c r="K125" s="87"/>
    </row>
    <row r="126" spans="1:11" x14ac:dyDescent="0.25">
      <c r="A126" s="88"/>
      <c r="B126" s="25" t="str">
        <f>IF(A126="","",IFERROR(VLOOKUP(A126,DB_Customers!$A:$D,4,0),"❌ Account Not Found"))</f>
        <v/>
      </c>
      <c r="C126" s="89" t="str">
        <f>IF(A126="","",IFERROR(VLOOKUP(A126,DB_Customers!$A:$N,14,0),""))</f>
        <v/>
      </c>
      <c r="D126" s="90" t="str">
        <f t="shared" ca="1" si="9"/>
        <v/>
      </c>
      <c r="E126" s="82"/>
      <c r="F126" s="91" t="str">
        <f t="shared" si="10"/>
        <v/>
      </c>
      <c r="G126" s="27"/>
      <c r="H126" s="84"/>
      <c r="I126" s="92" t="str">
        <f>IF(A126="","Pending",IF(H126="","⚠️ Enter Code",IF(IFERROR(VLOOKUP(G126,DB_Agents!$B:$I,8,0),"")=H126,IF(AND(A126&lt;&gt;"",E126&lt;&gt;""),"Saved","Pending"),"🔒 BLOCKED — Wrong Code")))</f>
        <v>Pending</v>
      </c>
      <c r="J126" s="93" t="str">
        <f t="shared" ca="1" si="11"/>
        <v>—</v>
      </c>
      <c r="K126" s="94"/>
    </row>
    <row r="127" spans="1:11" x14ac:dyDescent="0.25">
      <c r="A127" s="79"/>
      <c r="B127" s="21" t="str">
        <f>IF(A127="","",IFERROR(VLOOKUP(A127,DB_Customers!$A:$D,4,0),"❌ Account Not Found"))</f>
        <v/>
      </c>
      <c r="C127" s="80" t="str">
        <f>IF(A127="","",IFERROR(VLOOKUP(A127,DB_Customers!$A:$N,14,0),""))</f>
        <v/>
      </c>
      <c r="D127" s="81" t="str">
        <f t="shared" ca="1" si="9"/>
        <v/>
      </c>
      <c r="E127" s="82"/>
      <c r="F127" s="83" t="str">
        <f t="shared" si="10"/>
        <v/>
      </c>
      <c r="G127" s="23"/>
      <c r="H127" s="84"/>
      <c r="I127" s="85" t="str">
        <f>IF(A127="","Pending",IF(H127="","⚠️ Enter Code",IF(IFERROR(VLOOKUP(G127,DB_Agents!$B:$I,8,0),"")=H127,IF(AND(A127&lt;&gt;"",E127&lt;&gt;""),"Saved","Pending"),"🔒 BLOCKED — Wrong Code")))</f>
        <v>Pending</v>
      </c>
      <c r="J127" s="86" t="str">
        <f t="shared" ca="1" si="11"/>
        <v>—</v>
      </c>
      <c r="K127" s="87"/>
    </row>
    <row r="128" spans="1:11" x14ac:dyDescent="0.25">
      <c r="A128" s="88"/>
      <c r="B128" s="25" t="str">
        <f>IF(A128="","",IFERROR(VLOOKUP(A128,DB_Customers!$A:$D,4,0),"❌ Account Not Found"))</f>
        <v/>
      </c>
      <c r="C128" s="89" t="str">
        <f>IF(A128="","",IFERROR(VLOOKUP(A128,DB_Customers!$A:$N,14,0),""))</f>
        <v/>
      </c>
      <c r="D128" s="90" t="str">
        <f t="shared" ca="1" si="9"/>
        <v/>
      </c>
      <c r="E128" s="82"/>
      <c r="F128" s="91" t="str">
        <f t="shared" si="10"/>
        <v/>
      </c>
      <c r="G128" s="27"/>
      <c r="H128" s="84"/>
      <c r="I128" s="92" t="str">
        <f>IF(A128="","Pending",IF(H128="","⚠️ Enter Code",IF(IFERROR(VLOOKUP(G128,DB_Agents!$B:$I,8,0),"")=H128,IF(AND(A128&lt;&gt;"",E128&lt;&gt;""),"Saved","Pending"),"🔒 BLOCKED — Wrong Code")))</f>
        <v>Pending</v>
      </c>
      <c r="J128" s="93" t="str">
        <f t="shared" ca="1" si="11"/>
        <v>—</v>
      </c>
      <c r="K128" s="94"/>
    </row>
    <row r="129" spans="1:11" x14ac:dyDescent="0.25">
      <c r="A129" s="79"/>
      <c r="B129" s="21" t="str">
        <f>IF(A129="","",IFERROR(VLOOKUP(A129,DB_Customers!$A:$D,4,0),"❌ Account Not Found"))</f>
        <v/>
      </c>
      <c r="C129" s="80" t="str">
        <f>IF(A129="","",IFERROR(VLOOKUP(A129,DB_Customers!$A:$N,14,0),""))</f>
        <v/>
      </c>
      <c r="D129" s="81" t="str">
        <f t="shared" ca="1" si="9"/>
        <v/>
      </c>
      <c r="E129" s="82"/>
      <c r="F129" s="83" t="str">
        <f t="shared" si="10"/>
        <v/>
      </c>
      <c r="G129" s="23"/>
      <c r="H129" s="84"/>
      <c r="I129" s="85" t="str">
        <f>IF(A129="","Pending",IF(H129="","⚠️ Enter Code",IF(IFERROR(VLOOKUP(G129,DB_Agents!$B:$I,8,0),"")=H129,IF(AND(A129&lt;&gt;"",E129&lt;&gt;""),"Saved","Pending"),"🔒 BLOCKED — Wrong Code")))</f>
        <v>Pending</v>
      </c>
      <c r="J129" s="86" t="str">
        <f t="shared" ca="1" si="11"/>
        <v>—</v>
      </c>
      <c r="K129" s="87"/>
    </row>
    <row r="130" spans="1:11" x14ac:dyDescent="0.25">
      <c r="A130" s="88"/>
      <c r="B130" s="25" t="str">
        <f>IF(A130="","",IFERROR(VLOOKUP(A130,DB_Customers!$A:$D,4,0),"❌ Account Not Found"))</f>
        <v/>
      </c>
      <c r="C130" s="89" t="str">
        <f>IF(A130="","",IFERROR(VLOOKUP(A130,DB_Customers!$A:$N,14,0),""))</f>
        <v/>
      </c>
      <c r="D130" s="90" t="str">
        <f t="shared" ca="1" si="9"/>
        <v/>
      </c>
      <c r="E130" s="82"/>
      <c r="F130" s="91" t="str">
        <f t="shared" si="10"/>
        <v/>
      </c>
      <c r="G130" s="27"/>
      <c r="H130" s="84"/>
      <c r="I130" s="92" t="str">
        <f>IF(A130="","Pending",IF(H130="","⚠️ Enter Code",IF(IFERROR(VLOOKUP(G130,DB_Agents!$B:$I,8,0),"")=H130,IF(AND(A130&lt;&gt;"",E130&lt;&gt;""),"Saved","Pending"),"🔒 BLOCKED — Wrong Code")))</f>
        <v>Pending</v>
      </c>
      <c r="J130" s="93" t="str">
        <f t="shared" ca="1" si="11"/>
        <v>—</v>
      </c>
      <c r="K130" s="94"/>
    </row>
    <row r="131" spans="1:11" x14ac:dyDescent="0.25">
      <c r="A131" s="79"/>
      <c r="B131" s="21" t="str">
        <f>IF(A131="","",IFERROR(VLOOKUP(A131,DB_Customers!$A:$D,4,0),"❌ Account Not Found"))</f>
        <v/>
      </c>
      <c r="C131" s="80" t="str">
        <f>IF(A131="","",IFERROR(VLOOKUP(A131,DB_Customers!$A:$N,14,0),""))</f>
        <v/>
      </c>
      <c r="D131" s="81" t="str">
        <f t="shared" ca="1" si="9"/>
        <v/>
      </c>
      <c r="E131" s="82"/>
      <c r="F131" s="83" t="str">
        <f t="shared" si="10"/>
        <v/>
      </c>
      <c r="G131" s="23"/>
      <c r="H131" s="84"/>
      <c r="I131" s="85" t="str">
        <f>IF(A131="","Pending",IF(H131="","⚠️ Enter Code",IF(IFERROR(VLOOKUP(G131,DB_Agents!$B:$I,8,0),"")=H131,IF(AND(A131&lt;&gt;"",E131&lt;&gt;""),"Saved","Pending"),"🔒 BLOCKED — Wrong Code")))</f>
        <v>Pending</v>
      </c>
      <c r="J131" s="86" t="str">
        <f t="shared" ca="1" si="11"/>
        <v>—</v>
      </c>
      <c r="K131" s="87"/>
    </row>
    <row r="132" spans="1:11" x14ac:dyDescent="0.25">
      <c r="A132" s="88"/>
      <c r="B132" s="25" t="str">
        <f>IF(A132="","",IFERROR(VLOOKUP(A132,DB_Customers!$A:$D,4,0),"❌ Account Not Found"))</f>
        <v/>
      </c>
      <c r="C132" s="89" t="str">
        <f>IF(A132="","",IFERROR(VLOOKUP(A132,DB_Customers!$A:$N,14,0),""))</f>
        <v/>
      </c>
      <c r="D132" s="90" t="str">
        <f t="shared" ca="1" si="9"/>
        <v/>
      </c>
      <c r="E132" s="82"/>
      <c r="F132" s="91" t="str">
        <f t="shared" si="10"/>
        <v/>
      </c>
      <c r="G132" s="27"/>
      <c r="H132" s="84"/>
      <c r="I132" s="92" t="str">
        <f>IF(A132="","Pending",IF(H132="","⚠️ Enter Code",IF(IFERROR(VLOOKUP(G132,DB_Agents!$B:$I,8,0),"")=H132,IF(AND(A132&lt;&gt;"",E132&lt;&gt;""),"Saved","Pending"),"🔒 BLOCKED — Wrong Code")))</f>
        <v>Pending</v>
      </c>
      <c r="J132" s="93" t="str">
        <f t="shared" ca="1" si="11"/>
        <v>—</v>
      </c>
      <c r="K132" s="94"/>
    </row>
    <row r="133" spans="1:11" x14ac:dyDescent="0.25">
      <c r="A133" s="79"/>
      <c r="B133" s="21" t="str">
        <f>IF(A133="","",IFERROR(VLOOKUP(A133,DB_Customers!$A:$D,4,0),"❌ Account Not Found"))</f>
        <v/>
      </c>
      <c r="C133" s="80" t="str">
        <f>IF(A133="","",IFERROR(VLOOKUP(A133,DB_Customers!$A:$N,14,0),""))</f>
        <v/>
      </c>
      <c r="D133" s="81" t="str">
        <f t="shared" ca="1" si="9"/>
        <v/>
      </c>
      <c r="E133" s="82"/>
      <c r="F133" s="83" t="str">
        <f t="shared" si="10"/>
        <v/>
      </c>
      <c r="G133" s="23"/>
      <c r="H133" s="84"/>
      <c r="I133" s="85" t="str">
        <f>IF(A133="","Pending",IF(H133="","⚠️ Enter Code",IF(IFERROR(VLOOKUP(G133,DB_Agents!$B:$I,8,0),"")=H133,IF(AND(A133&lt;&gt;"",E133&lt;&gt;""),"Saved","Pending"),"🔒 BLOCKED — Wrong Code")))</f>
        <v>Pending</v>
      </c>
      <c r="J133" s="86" t="str">
        <f t="shared" ca="1" si="11"/>
        <v>—</v>
      </c>
      <c r="K133" s="87"/>
    </row>
    <row r="134" spans="1:11" x14ac:dyDescent="0.25">
      <c r="A134" s="88"/>
      <c r="B134" s="25" t="str">
        <f>IF(A134="","",IFERROR(VLOOKUP(A134,DB_Customers!$A:$D,4,0),"❌ Account Not Found"))</f>
        <v/>
      </c>
      <c r="C134" s="89" t="str">
        <f>IF(A134="","",IFERROR(VLOOKUP(A134,DB_Customers!$A:$N,14,0),""))</f>
        <v/>
      </c>
      <c r="D134" s="90" t="str">
        <f t="shared" ca="1" si="9"/>
        <v/>
      </c>
      <c r="E134" s="82"/>
      <c r="F134" s="91" t="str">
        <f t="shared" si="10"/>
        <v/>
      </c>
      <c r="G134" s="27"/>
      <c r="H134" s="84"/>
      <c r="I134" s="92" t="str">
        <f>IF(A134="","Pending",IF(H134="","⚠️ Enter Code",IF(IFERROR(VLOOKUP(G134,DB_Agents!$B:$I,8,0),"")=H134,IF(AND(A134&lt;&gt;"",E134&lt;&gt;""),"Saved","Pending"),"🔒 BLOCKED — Wrong Code")))</f>
        <v>Pending</v>
      </c>
      <c r="J134" s="93" t="str">
        <f t="shared" ca="1" si="11"/>
        <v>—</v>
      </c>
      <c r="K134" s="94"/>
    </row>
    <row r="135" spans="1:11" x14ac:dyDescent="0.25">
      <c r="A135" s="79"/>
      <c r="B135" s="21" t="str">
        <f>IF(A135="","",IFERROR(VLOOKUP(A135,DB_Customers!$A:$D,4,0),"❌ Account Not Found"))</f>
        <v/>
      </c>
      <c r="C135" s="80" t="str">
        <f>IF(A135="","",IFERROR(VLOOKUP(A135,DB_Customers!$A:$N,14,0),""))</f>
        <v/>
      </c>
      <c r="D135" s="81" t="str">
        <f t="shared" ca="1" si="9"/>
        <v/>
      </c>
      <c r="E135" s="82"/>
      <c r="F135" s="83" t="str">
        <f t="shared" si="10"/>
        <v/>
      </c>
      <c r="G135" s="23"/>
      <c r="H135" s="84"/>
      <c r="I135" s="85" t="str">
        <f>IF(A135="","Pending",IF(H135="","⚠️ Enter Code",IF(IFERROR(VLOOKUP(G135,DB_Agents!$B:$I,8,0),"")=H135,IF(AND(A135&lt;&gt;"",E135&lt;&gt;""),"Saved","Pending"),"🔒 BLOCKED — Wrong Code")))</f>
        <v>Pending</v>
      </c>
      <c r="J135" s="86" t="str">
        <f t="shared" ca="1" si="11"/>
        <v>—</v>
      </c>
      <c r="K135" s="87"/>
    </row>
    <row r="136" spans="1:11" x14ac:dyDescent="0.25">
      <c r="A136" s="88"/>
      <c r="B136" s="25" t="str">
        <f>IF(A136="","",IFERROR(VLOOKUP(A136,DB_Customers!$A:$D,4,0),"❌ Account Not Found"))</f>
        <v/>
      </c>
      <c r="C136" s="89" t="str">
        <f>IF(A136="","",IFERROR(VLOOKUP(A136,DB_Customers!$A:$N,14,0),""))</f>
        <v/>
      </c>
      <c r="D136" s="90" t="str">
        <f t="shared" ca="1" si="9"/>
        <v/>
      </c>
      <c r="E136" s="82"/>
      <c r="F136" s="91" t="str">
        <f t="shared" si="10"/>
        <v/>
      </c>
      <c r="G136" s="27"/>
      <c r="H136" s="84"/>
      <c r="I136" s="92" t="str">
        <f>IF(A136="","Pending",IF(H136="","⚠️ Enter Code",IF(IFERROR(VLOOKUP(G136,DB_Agents!$B:$I,8,0),"")=H136,IF(AND(A136&lt;&gt;"",E136&lt;&gt;""),"Saved","Pending"),"🔒 BLOCKED — Wrong Code")))</f>
        <v>Pending</v>
      </c>
      <c r="J136" s="93" t="str">
        <f t="shared" ca="1" si="11"/>
        <v>—</v>
      </c>
      <c r="K136" s="94"/>
    </row>
    <row r="137" spans="1:11" x14ac:dyDescent="0.25">
      <c r="A137" s="79"/>
      <c r="B137" s="21" t="str">
        <f>IF(A137="","",IFERROR(VLOOKUP(A137,DB_Customers!$A:$D,4,0),"❌ Account Not Found"))</f>
        <v/>
      </c>
      <c r="C137" s="80" t="str">
        <f>IF(A137="","",IFERROR(VLOOKUP(A137,DB_Customers!$A:$N,14,0),""))</f>
        <v/>
      </c>
      <c r="D137" s="81" t="str">
        <f t="shared" ref="D137:D168" ca="1" si="12">IF(A137="","",TODAY())</f>
        <v/>
      </c>
      <c r="E137" s="82"/>
      <c r="F137" s="83" t="str">
        <f t="shared" ref="F137:F168" si="13">IF(OR(A137="",E137=""),"",IF(C137="","",C137+E137))</f>
        <v/>
      </c>
      <c r="G137" s="23"/>
      <c r="H137" s="84"/>
      <c r="I137" s="85" t="str">
        <f>IF(A137="","Pending",IF(H137="","⚠️ Enter Code",IF(IFERROR(VLOOKUP(G137,DB_Agents!$B:$I,8,0),"")=H137,IF(AND(A137&lt;&gt;"",E137&lt;&gt;""),"Saved","Pending"),"🔒 BLOCKED — Wrong Code")))</f>
        <v>Pending</v>
      </c>
      <c r="J137" s="86" t="str">
        <f t="shared" ref="J137:J168" ca="1" si="14">IF(I137="Saved",TEXT(TODAY(),"YYYY-MM-DD")&amp;" Auto","—")</f>
        <v>—</v>
      </c>
      <c r="K137" s="87"/>
    </row>
    <row r="138" spans="1:11" x14ac:dyDescent="0.25">
      <c r="A138" s="88"/>
      <c r="B138" s="25" t="str">
        <f>IF(A138="","",IFERROR(VLOOKUP(A138,DB_Customers!$A:$D,4,0),"❌ Account Not Found"))</f>
        <v/>
      </c>
      <c r="C138" s="89" t="str">
        <f>IF(A138="","",IFERROR(VLOOKUP(A138,DB_Customers!$A:$N,14,0),""))</f>
        <v/>
      </c>
      <c r="D138" s="90" t="str">
        <f t="shared" ca="1" si="12"/>
        <v/>
      </c>
      <c r="E138" s="82"/>
      <c r="F138" s="91" t="str">
        <f t="shared" si="13"/>
        <v/>
      </c>
      <c r="G138" s="27"/>
      <c r="H138" s="84"/>
      <c r="I138" s="92" t="str">
        <f>IF(A138="","Pending",IF(H138="","⚠️ Enter Code",IF(IFERROR(VLOOKUP(G138,DB_Agents!$B:$I,8,0),"")=H138,IF(AND(A138&lt;&gt;"",E138&lt;&gt;""),"Saved","Pending"),"🔒 BLOCKED — Wrong Code")))</f>
        <v>Pending</v>
      </c>
      <c r="J138" s="93" t="str">
        <f t="shared" ca="1" si="14"/>
        <v>—</v>
      </c>
      <c r="K138" s="94"/>
    </row>
    <row r="139" spans="1:11" x14ac:dyDescent="0.25">
      <c r="A139" s="79"/>
      <c r="B139" s="21" t="str">
        <f>IF(A139="","",IFERROR(VLOOKUP(A139,DB_Customers!$A:$D,4,0),"❌ Account Not Found"))</f>
        <v/>
      </c>
      <c r="C139" s="80" t="str">
        <f>IF(A139="","",IFERROR(VLOOKUP(A139,DB_Customers!$A:$N,14,0),""))</f>
        <v/>
      </c>
      <c r="D139" s="81" t="str">
        <f t="shared" ca="1" si="12"/>
        <v/>
      </c>
      <c r="E139" s="82"/>
      <c r="F139" s="83" t="str">
        <f t="shared" si="13"/>
        <v/>
      </c>
      <c r="G139" s="23"/>
      <c r="H139" s="84"/>
      <c r="I139" s="85" t="str">
        <f>IF(A139="","Pending",IF(H139="","⚠️ Enter Code",IF(IFERROR(VLOOKUP(G139,DB_Agents!$B:$I,8,0),"")=H139,IF(AND(A139&lt;&gt;"",E139&lt;&gt;""),"Saved","Pending"),"🔒 BLOCKED — Wrong Code")))</f>
        <v>Pending</v>
      </c>
      <c r="J139" s="86" t="str">
        <f t="shared" ca="1" si="14"/>
        <v>—</v>
      </c>
      <c r="K139" s="87"/>
    </row>
    <row r="140" spans="1:11" x14ac:dyDescent="0.25">
      <c r="A140" s="88"/>
      <c r="B140" s="25" t="str">
        <f>IF(A140="","",IFERROR(VLOOKUP(A140,DB_Customers!$A:$D,4,0),"❌ Account Not Found"))</f>
        <v/>
      </c>
      <c r="C140" s="89" t="str">
        <f>IF(A140="","",IFERROR(VLOOKUP(A140,DB_Customers!$A:$N,14,0),""))</f>
        <v/>
      </c>
      <c r="D140" s="90" t="str">
        <f t="shared" ca="1" si="12"/>
        <v/>
      </c>
      <c r="E140" s="82"/>
      <c r="F140" s="91" t="str">
        <f t="shared" si="13"/>
        <v/>
      </c>
      <c r="G140" s="27"/>
      <c r="H140" s="84"/>
      <c r="I140" s="92" t="str">
        <f>IF(A140="","Pending",IF(H140="","⚠️ Enter Code",IF(IFERROR(VLOOKUP(G140,DB_Agents!$B:$I,8,0),"")=H140,IF(AND(A140&lt;&gt;"",E140&lt;&gt;""),"Saved","Pending"),"🔒 BLOCKED — Wrong Code")))</f>
        <v>Pending</v>
      </c>
      <c r="J140" s="93" t="str">
        <f t="shared" ca="1" si="14"/>
        <v>—</v>
      </c>
      <c r="K140" s="94"/>
    </row>
    <row r="141" spans="1:11" x14ac:dyDescent="0.25">
      <c r="A141" s="79"/>
      <c r="B141" s="21" t="str">
        <f>IF(A141="","",IFERROR(VLOOKUP(A141,DB_Customers!$A:$D,4,0),"❌ Account Not Found"))</f>
        <v/>
      </c>
      <c r="C141" s="80" t="str">
        <f>IF(A141="","",IFERROR(VLOOKUP(A141,DB_Customers!$A:$N,14,0),""))</f>
        <v/>
      </c>
      <c r="D141" s="81" t="str">
        <f t="shared" ca="1" si="12"/>
        <v/>
      </c>
      <c r="E141" s="82"/>
      <c r="F141" s="83" t="str">
        <f t="shared" si="13"/>
        <v/>
      </c>
      <c r="G141" s="23"/>
      <c r="H141" s="84"/>
      <c r="I141" s="85" t="str">
        <f>IF(A141="","Pending",IF(H141="","⚠️ Enter Code",IF(IFERROR(VLOOKUP(G141,DB_Agents!$B:$I,8,0),"")=H141,IF(AND(A141&lt;&gt;"",E141&lt;&gt;""),"Saved","Pending"),"🔒 BLOCKED — Wrong Code")))</f>
        <v>Pending</v>
      </c>
      <c r="J141" s="86" t="str">
        <f t="shared" ca="1" si="14"/>
        <v>—</v>
      </c>
      <c r="K141" s="87"/>
    </row>
    <row r="142" spans="1:11" x14ac:dyDescent="0.25">
      <c r="A142" s="88"/>
      <c r="B142" s="25" t="str">
        <f>IF(A142="","",IFERROR(VLOOKUP(A142,DB_Customers!$A:$D,4,0),"❌ Account Not Found"))</f>
        <v/>
      </c>
      <c r="C142" s="89" t="str">
        <f>IF(A142="","",IFERROR(VLOOKUP(A142,DB_Customers!$A:$N,14,0),""))</f>
        <v/>
      </c>
      <c r="D142" s="90" t="str">
        <f t="shared" ca="1" si="12"/>
        <v/>
      </c>
      <c r="E142" s="82"/>
      <c r="F142" s="91" t="str">
        <f t="shared" si="13"/>
        <v/>
      </c>
      <c r="G142" s="27"/>
      <c r="H142" s="84"/>
      <c r="I142" s="92" t="str">
        <f>IF(A142="","Pending",IF(H142="","⚠️ Enter Code",IF(IFERROR(VLOOKUP(G142,DB_Agents!$B:$I,8,0),"")=H142,IF(AND(A142&lt;&gt;"",E142&lt;&gt;""),"Saved","Pending"),"🔒 BLOCKED — Wrong Code")))</f>
        <v>Pending</v>
      </c>
      <c r="J142" s="93" t="str">
        <f t="shared" ca="1" si="14"/>
        <v>—</v>
      </c>
      <c r="K142" s="94"/>
    </row>
    <row r="143" spans="1:11" x14ac:dyDescent="0.25">
      <c r="A143" s="79"/>
      <c r="B143" s="21" t="str">
        <f>IF(A143="","",IFERROR(VLOOKUP(A143,DB_Customers!$A:$D,4,0),"❌ Account Not Found"))</f>
        <v/>
      </c>
      <c r="C143" s="80" t="str">
        <f>IF(A143="","",IFERROR(VLOOKUP(A143,DB_Customers!$A:$N,14,0),""))</f>
        <v/>
      </c>
      <c r="D143" s="81" t="str">
        <f t="shared" ca="1" si="12"/>
        <v/>
      </c>
      <c r="E143" s="82"/>
      <c r="F143" s="83" t="str">
        <f t="shared" si="13"/>
        <v/>
      </c>
      <c r="G143" s="23"/>
      <c r="H143" s="84"/>
      <c r="I143" s="85" t="str">
        <f>IF(A143="","Pending",IF(H143="","⚠️ Enter Code",IF(IFERROR(VLOOKUP(G143,DB_Agents!$B:$I,8,0),"")=H143,IF(AND(A143&lt;&gt;"",E143&lt;&gt;""),"Saved","Pending"),"🔒 BLOCKED — Wrong Code")))</f>
        <v>Pending</v>
      </c>
      <c r="J143" s="86" t="str">
        <f t="shared" ca="1" si="14"/>
        <v>—</v>
      </c>
      <c r="K143" s="87"/>
    </row>
    <row r="144" spans="1:11" x14ac:dyDescent="0.25">
      <c r="A144" s="88"/>
      <c r="B144" s="25" t="str">
        <f>IF(A144="","",IFERROR(VLOOKUP(A144,DB_Customers!$A:$D,4,0),"❌ Account Not Found"))</f>
        <v/>
      </c>
      <c r="C144" s="89" t="str">
        <f>IF(A144="","",IFERROR(VLOOKUP(A144,DB_Customers!$A:$N,14,0),""))</f>
        <v/>
      </c>
      <c r="D144" s="90" t="str">
        <f t="shared" ca="1" si="12"/>
        <v/>
      </c>
      <c r="E144" s="82"/>
      <c r="F144" s="91" t="str">
        <f t="shared" si="13"/>
        <v/>
      </c>
      <c r="G144" s="27"/>
      <c r="H144" s="84"/>
      <c r="I144" s="92" t="str">
        <f>IF(A144="","Pending",IF(H144="","⚠️ Enter Code",IF(IFERROR(VLOOKUP(G144,DB_Agents!$B:$I,8,0),"")=H144,IF(AND(A144&lt;&gt;"",E144&lt;&gt;""),"Saved","Pending"),"🔒 BLOCKED — Wrong Code")))</f>
        <v>Pending</v>
      </c>
      <c r="J144" s="93" t="str">
        <f t="shared" ca="1" si="14"/>
        <v>—</v>
      </c>
      <c r="K144" s="94"/>
    </row>
    <row r="145" spans="1:11" x14ac:dyDescent="0.25">
      <c r="A145" s="79"/>
      <c r="B145" s="21" t="str">
        <f>IF(A145="","",IFERROR(VLOOKUP(A145,DB_Customers!$A:$D,4,0),"❌ Account Not Found"))</f>
        <v/>
      </c>
      <c r="C145" s="80" t="str">
        <f>IF(A145="","",IFERROR(VLOOKUP(A145,DB_Customers!$A:$N,14,0),""))</f>
        <v/>
      </c>
      <c r="D145" s="81" t="str">
        <f t="shared" ca="1" si="12"/>
        <v/>
      </c>
      <c r="E145" s="82"/>
      <c r="F145" s="83" t="str">
        <f t="shared" si="13"/>
        <v/>
      </c>
      <c r="G145" s="23"/>
      <c r="H145" s="84"/>
      <c r="I145" s="85" t="str">
        <f>IF(A145="","Pending",IF(H145="","⚠️ Enter Code",IF(IFERROR(VLOOKUP(G145,DB_Agents!$B:$I,8,0),"")=H145,IF(AND(A145&lt;&gt;"",E145&lt;&gt;""),"Saved","Pending"),"🔒 BLOCKED — Wrong Code")))</f>
        <v>Pending</v>
      </c>
      <c r="J145" s="86" t="str">
        <f t="shared" ca="1" si="14"/>
        <v>—</v>
      </c>
      <c r="K145" s="87"/>
    </row>
    <row r="146" spans="1:11" x14ac:dyDescent="0.25">
      <c r="A146" s="88"/>
      <c r="B146" s="25" t="str">
        <f>IF(A146="","",IFERROR(VLOOKUP(A146,DB_Customers!$A:$D,4,0),"❌ Account Not Found"))</f>
        <v/>
      </c>
      <c r="C146" s="89" t="str">
        <f>IF(A146="","",IFERROR(VLOOKUP(A146,DB_Customers!$A:$N,14,0),""))</f>
        <v/>
      </c>
      <c r="D146" s="90" t="str">
        <f t="shared" ca="1" si="12"/>
        <v/>
      </c>
      <c r="E146" s="82"/>
      <c r="F146" s="91" t="str">
        <f t="shared" si="13"/>
        <v/>
      </c>
      <c r="G146" s="27"/>
      <c r="H146" s="84"/>
      <c r="I146" s="92" t="str">
        <f>IF(A146="","Pending",IF(H146="","⚠️ Enter Code",IF(IFERROR(VLOOKUP(G146,DB_Agents!$B:$I,8,0),"")=H146,IF(AND(A146&lt;&gt;"",E146&lt;&gt;""),"Saved","Pending"),"🔒 BLOCKED — Wrong Code")))</f>
        <v>Pending</v>
      </c>
      <c r="J146" s="93" t="str">
        <f t="shared" ca="1" si="14"/>
        <v>—</v>
      </c>
      <c r="K146" s="94"/>
    </row>
    <row r="147" spans="1:11" x14ac:dyDescent="0.25">
      <c r="A147" s="79"/>
      <c r="B147" s="21" t="str">
        <f>IF(A147="","",IFERROR(VLOOKUP(A147,DB_Customers!$A:$D,4,0),"❌ Account Not Found"))</f>
        <v/>
      </c>
      <c r="C147" s="80" t="str">
        <f>IF(A147="","",IFERROR(VLOOKUP(A147,DB_Customers!$A:$N,14,0),""))</f>
        <v/>
      </c>
      <c r="D147" s="81" t="str">
        <f t="shared" ca="1" si="12"/>
        <v/>
      </c>
      <c r="E147" s="82"/>
      <c r="F147" s="83" t="str">
        <f t="shared" si="13"/>
        <v/>
      </c>
      <c r="G147" s="23"/>
      <c r="H147" s="84"/>
      <c r="I147" s="85" t="str">
        <f>IF(A147="","Pending",IF(H147="","⚠️ Enter Code",IF(IFERROR(VLOOKUP(G147,DB_Agents!$B:$I,8,0),"")=H147,IF(AND(A147&lt;&gt;"",E147&lt;&gt;""),"Saved","Pending"),"🔒 BLOCKED — Wrong Code")))</f>
        <v>Pending</v>
      </c>
      <c r="J147" s="86" t="str">
        <f t="shared" ca="1" si="14"/>
        <v>—</v>
      </c>
      <c r="K147" s="87"/>
    </row>
    <row r="148" spans="1:11" x14ac:dyDescent="0.25">
      <c r="A148" s="88"/>
      <c r="B148" s="25" t="str">
        <f>IF(A148="","",IFERROR(VLOOKUP(A148,DB_Customers!$A:$D,4,0),"❌ Account Not Found"))</f>
        <v/>
      </c>
      <c r="C148" s="89" t="str">
        <f>IF(A148="","",IFERROR(VLOOKUP(A148,DB_Customers!$A:$N,14,0),""))</f>
        <v/>
      </c>
      <c r="D148" s="90" t="str">
        <f t="shared" ca="1" si="12"/>
        <v/>
      </c>
      <c r="E148" s="82"/>
      <c r="F148" s="91" t="str">
        <f t="shared" si="13"/>
        <v/>
      </c>
      <c r="G148" s="27"/>
      <c r="H148" s="84"/>
      <c r="I148" s="92" t="str">
        <f>IF(A148="","Pending",IF(H148="","⚠️ Enter Code",IF(IFERROR(VLOOKUP(G148,DB_Agents!$B:$I,8,0),"")=H148,IF(AND(A148&lt;&gt;"",E148&lt;&gt;""),"Saved","Pending"),"🔒 BLOCKED — Wrong Code")))</f>
        <v>Pending</v>
      </c>
      <c r="J148" s="93" t="str">
        <f t="shared" ca="1" si="14"/>
        <v>—</v>
      </c>
      <c r="K148" s="94"/>
    </row>
    <row r="149" spans="1:11" x14ac:dyDescent="0.25">
      <c r="A149" s="79"/>
      <c r="B149" s="21" t="str">
        <f>IF(A149="","",IFERROR(VLOOKUP(A149,DB_Customers!$A:$D,4,0),"❌ Account Not Found"))</f>
        <v/>
      </c>
      <c r="C149" s="80" t="str">
        <f>IF(A149="","",IFERROR(VLOOKUP(A149,DB_Customers!$A:$N,14,0),""))</f>
        <v/>
      </c>
      <c r="D149" s="81" t="str">
        <f t="shared" ca="1" si="12"/>
        <v/>
      </c>
      <c r="E149" s="82"/>
      <c r="F149" s="83" t="str">
        <f t="shared" si="13"/>
        <v/>
      </c>
      <c r="G149" s="23"/>
      <c r="H149" s="84"/>
      <c r="I149" s="85" t="str">
        <f>IF(A149="","Pending",IF(H149="","⚠️ Enter Code",IF(IFERROR(VLOOKUP(G149,DB_Agents!$B:$I,8,0),"")=H149,IF(AND(A149&lt;&gt;"",E149&lt;&gt;""),"Saved","Pending"),"🔒 BLOCKED — Wrong Code")))</f>
        <v>Pending</v>
      </c>
      <c r="J149" s="86" t="str">
        <f t="shared" ca="1" si="14"/>
        <v>—</v>
      </c>
      <c r="K149" s="87"/>
    </row>
    <row r="150" spans="1:11" x14ac:dyDescent="0.25">
      <c r="A150" s="88"/>
      <c r="B150" s="25" t="str">
        <f>IF(A150="","",IFERROR(VLOOKUP(A150,DB_Customers!$A:$D,4,0),"❌ Account Not Found"))</f>
        <v/>
      </c>
      <c r="C150" s="89" t="str">
        <f>IF(A150="","",IFERROR(VLOOKUP(A150,DB_Customers!$A:$N,14,0),""))</f>
        <v/>
      </c>
      <c r="D150" s="90" t="str">
        <f t="shared" ca="1" si="12"/>
        <v/>
      </c>
      <c r="E150" s="82"/>
      <c r="F150" s="91" t="str">
        <f t="shared" si="13"/>
        <v/>
      </c>
      <c r="G150" s="27"/>
      <c r="H150" s="84"/>
      <c r="I150" s="92" t="str">
        <f>IF(A150="","Pending",IF(H150="","⚠️ Enter Code",IF(IFERROR(VLOOKUP(G150,DB_Agents!$B:$I,8,0),"")=H150,IF(AND(A150&lt;&gt;"",E150&lt;&gt;""),"Saved","Pending"),"🔒 BLOCKED — Wrong Code")))</f>
        <v>Pending</v>
      </c>
      <c r="J150" s="93" t="str">
        <f t="shared" ca="1" si="14"/>
        <v>—</v>
      </c>
      <c r="K150" s="94"/>
    </row>
    <row r="151" spans="1:11" x14ac:dyDescent="0.25">
      <c r="A151" s="79"/>
      <c r="B151" s="21" t="str">
        <f>IF(A151="","",IFERROR(VLOOKUP(A151,DB_Customers!$A:$D,4,0),"❌ Account Not Found"))</f>
        <v/>
      </c>
      <c r="C151" s="80" t="str">
        <f>IF(A151="","",IFERROR(VLOOKUP(A151,DB_Customers!$A:$N,14,0),""))</f>
        <v/>
      </c>
      <c r="D151" s="81" t="str">
        <f t="shared" ca="1" si="12"/>
        <v/>
      </c>
      <c r="E151" s="82"/>
      <c r="F151" s="83" t="str">
        <f t="shared" si="13"/>
        <v/>
      </c>
      <c r="G151" s="23"/>
      <c r="H151" s="84"/>
      <c r="I151" s="85" t="str">
        <f>IF(A151="","Pending",IF(H151="","⚠️ Enter Code",IF(IFERROR(VLOOKUP(G151,DB_Agents!$B:$I,8,0),"")=H151,IF(AND(A151&lt;&gt;"",E151&lt;&gt;""),"Saved","Pending"),"🔒 BLOCKED — Wrong Code")))</f>
        <v>Pending</v>
      </c>
      <c r="J151" s="86" t="str">
        <f t="shared" ca="1" si="14"/>
        <v>—</v>
      </c>
      <c r="K151" s="87"/>
    </row>
    <row r="152" spans="1:11" x14ac:dyDescent="0.25">
      <c r="A152" s="88"/>
      <c r="B152" s="25" t="str">
        <f>IF(A152="","",IFERROR(VLOOKUP(A152,DB_Customers!$A:$D,4,0),"❌ Account Not Found"))</f>
        <v/>
      </c>
      <c r="C152" s="89" t="str">
        <f>IF(A152="","",IFERROR(VLOOKUP(A152,DB_Customers!$A:$N,14,0),""))</f>
        <v/>
      </c>
      <c r="D152" s="90" t="str">
        <f t="shared" ca="1" si="12"/>
        <v/>
      </c>
      <c r="E152" s="82"/>
      <c r="F152" s="91" t="str">
        <f t="shared" si="13"/>
        <v/>
      </c>
      <c r="G152" s="27"/>
      <c r="H152" s="84"/>
      <c r="I152" s="92" t="str">
        <f>IF(A152="","Pending",IF(H152="","⚠️ Enter Code",IF(IFERROR(VLOOKUP(G152,DB_Agents!$B:$I,8,0),"")=H152,IF(AND(A152&lt;&gt;"",E152&lt;&gt;""),"Saved","Pending"),"🔒 BLOCKED — Wrong Code")))</f>
        <v>Pending</v>
      </c>
      <c r="J152" s="93" t="str">
        <f t="shared" ca="1" si="14"/>
        <v>—</v>
      </c>
      <c r="K152" s="94"/>
    </row>
    <row r="153" spans="1:11" x14ac:dyDescent="0.25">
      <c r="A153" s="79"/>
      <c r="B153" s="21" t="str">
        <f>IF(A153="","",IFERROR(VLOOKUP(A153,DB_Customers!$A:$D,4,0),"❌ Account Not Found"))</f>
        <v/>
      </c>
      <c r="C153" s="80" t="str">
        <f>IF(A153="","",IFERROR(VLOOKUP(A153,DB_Customers!$A:$N,14,0),""))</f>
        <v/>
      </c>
      <c r="D153" s="81" t="str">
        <f t="shared" ca="1" si="12"/>
        <v/>
      </c>
      <c r="E153" s="82"/>
      <c r="F153" s="83" t="str">
        <f t="shared" si="13"/>
        <v/>
      </c>
      <c r="G153" s="23"/>
      <c r="H153" s="84"/>
      <c r="I153" s="85" t="str">
        <f>IF(A153="","Pending",IF(H153="","⚠️ Enter Code",IF(IFERROR(VLOOKUP(G153,DB_Agents!$B:$I,8,0),"")=H153,IF(AND(A153&lt;&gt;"",E153&lt;&gt;""),"Saved","Pending"),"🔒 BLOCKED — Wrong Code")))</f>
        <v>Pending</v>
      </c>
      <c r="J153" s="86" t="str">
        <f t="shared" ca="1" si="14"/>
        <v>—</v>
      </c>
      <c r="K153" s="87"/>
    </row>
    <row r="154" spans="1:11" x14ac:dyDescent="0.25">
      <c r="A154" s="88"/>
      <c r="B154" s="25" t="str">
        <f>IF(A154="","",IFERROR(VLOOKUP(A154,DB_Customers!$A:$D,4,0),"❌ Account Not Found"))</f>
        <v/>
      </c>
      <c r="C154" s="89" t="str">
        <f>IF(A154="","",IFERROR(VLOOKUP(A154,DB_Customers!$A:$N,14,0),""))</f>
        <v/>
      </c>
      <c r="D154" s="90" t="str">
        <f t="shared" ca="1" si="12"/>
        <v/>
      </c>
      <c r="E154" s="82"/>
      <c r="F154" s="91" t="str">
        <f t="shared" si="13"/>
        <v/>
      </c>
      <c r="G154" s="27"/>
      <c r="H154" s="84"/>
      <c r="I154" s="92" t="str">
        <f>IF(A154="","Pending",IF(H154="","⚠️ Enter Code",IF(IFERROR(VLOOKUP(G154,DB_Agents!$B:$I,8,0),"")=H154,IF(AND(A154&lt;&gt;"",E154&lt;&gt;""),"Saved","Pending"),"🔒 BLOCKED — Wrong Code")))</f>
        <v>Pending</v>
      </c>
      <c r="J154" s="93" t="str">
        <f t="shared" ca="1" si="14"/>
        <v>—</v>
      </c>
      <c r="K154" s="94"/>
    </row>
    <row r="155" spans="1:11" x14ac:dyDescent="0.25">
      <c r="A155" s="79"/>
      <c r="B155" s="21" t="str">
        <f>IF(A155="","",IFERROR(VLOOKUP(A155,DB_Customers!$A:$D,4,0),"❌ Account Not Found"))</f>
        <v/>
      </c>
      <c r="C155" s="80" t="str">
        <f>IF(A155="","",IFERROR(VLOOKUP(A155,DB_Customers!$A:$N,14,0),""))</f>
        <v/>
      </c>
      <c r="D155" s="81" t="str">
        <f t="shared" ca="1" si="12"/>
        <v/>
      </c>
      <c r="E155" s="82"/>
      <c r="F155" s="83" t="str">
        <f t="shared" si="13"/>
        <v/>
      </c>
      <c r="G155" s="23"/>
      <c r="H155" s="84"/>
      <c r="I155" s="85" t="str">
        <f>IF(A155="","Pending",IF(H155="","⚠️ Enter Code",IF(IFERROR(VLOOKUP(G155,DB_Agents!$B:$I,8,0),"")=H155,IF(AND(A155&lt;&gt;"",E155&lt;&gt;""),"Saved","Pending"),"🔒 BLOCKED — Wrong Code")))</f>
        <v>Pending</v>
      </c>
      <c r="J155" s="86" t="str">
        <f t="shared" ca="1" si="14"/>
        <v>—</v>
      </c>
      <c r="K155" s="87"/>
    </row>
    <row r="156" spans="1:11" x14ac:dyDescent="0.25">
      <c r="A156" s="88"/>
      <c r="B156" s="25" t="str">
        <f>IF(A156="","",IFERROR(VLOOKUP(A156,DB_Customers!$A:$D,4,0),"❌ Account Not Found"))</f>
        <v/>
      </c>
      <c r="C156" s="89" t="str">
        <f>IF(A156="","",IFERROR(VLOOKUP(A156,DB_Customers!$A:$N,14,0),""))</f>
        <v/>
      </c>
      <c r="D156" s="90" t="str">
        <f t="shared" ca="1" si="12"/>
        <v/>
      </c>
      <c r="E156" s="82"/>
      <c r="F156" s="91" t="str">
        <f t="shared" si="13"/>
        <v/>
      </c>
      <c r="G156" s="27"/>
      <c r="H156" s="84"/>
      <c r="I156" s="92" t="str">
        <f>IF(A156="","Pending",IF(H156="","⚠️ Enter Code",IF(IFERROR(VLOOKUP(G156,DB_Agents!$B:$I,8,0),"")=H156,IF(AND(A156&lt;&gt;"",E156&lt;&gt;""),"Saved","Pending"),"🔒 BLOCKED — Wrong Code")))</f>
        <v>Pending</v>
      </c>
      <c r="J156" s="93" t="str">
        <f t="shared" ca="1" si="14"/>
        <v>—</v>
      </c>
      <c r="K156" s="94"/>
    </row>
    <row r="157" spans="1:11" x14ac:dyDescent="0.25">
      <c r="A157" s="79"/>
      <c r="B157" s="21" t="str">
        <f>IF(A157="","",IFERROR(VLOOKUP(A157,DB_Customers!$A:$D,4,0),"❌ Account Not Found"))</f>
        <v/>
      </c>
      <c r="C157" s="80" t="str">
        <f>IF(A157="","",IFERROR(VLOOKUP(A157,DB_Customers!$A:$N,14,0),""))</f>
        <v/>
      </c>
      <c r="D157" s="81" t="str">
        <f t="shared" ca="1" si="12"/>
        <v/>
      </c>
      <c r="E157" s="82"/>
      <c r="F157" s="83" t="str">
        <f t="shared" si="13"/>
        <v/>
      </c>
      <c r="G157" s="23"/>
      <c r="H157" s="84"/>
      <c r="I157" s="85" t="str">
        <f>IF(A157="","Pending",IF(H157="","⚠️ Enter Code",IF(IFERROR(VLOOKUP(G157,DB_Agents!$B:$I,8,0),"")=H157,IF(AND(A157&lt;&gt;"",E157&lt;&gt;""),"Saved","Pending"),"🔒 BLOCKED — Wrong Code")))</f>
        <v>Pending</v>
      </c>
      <c r="J157" s="86" t="str">
        <f t="shared" ca="1" si="14"/>
        <v>—</v>
      </c>
      <c r="K157" s="87"/>
    </row>
    <row r="158" spans="1:11" x14ac:dyDescent="0.25">
      <c r="A158" s="88"/>
      <c r="B158" s="25" t="str">
        <f>IF(A158="","",IFERROR(VLOOKUP(A158,DB_Customers!$A:$D,4,0),"❌ Account Not Found"))</f>
        <v/>
      </c>
      <c r="C158" s="89" t="str">
        <f>IF(A158="","",IFERROR(VLOOKUP(A158,DB_Customers!$A:$N,14,0),""))</f>
        <v/>
      </c>
      <c r="D158" s="90" t="str">
        <f t="shared" ca="1" si="12"/>
        <v/>
      </c>
      <c r="E158" s="82"/>
      <c r="F158" s="91" t="str">
        <f t="shared" si="13"/>
        <v/>
      </c>
      <c r="G158" s="27"/>
      <c r="H158" s="84"/>
      <c r="I158" s="92" t="str">
        <f>IF(A158="","Pending",IF(H158="","⚠️ Enter Code",IF(IFERROR(VLOOKUP(G158,DB_Agents!$B:$I,8,0),"")=H158,IF(AND(A158&lt;&gt;"",E158&lt;&gt;""),"Saved","Pending"),"🔒 BLOCKED — Wrong Code")))</f>
        <v>Pending</v>
      </c>
      <c r="J158" s="93" t="str">
        <f t="shared" ca="1" si="14"/>
        <v>—</v>
      </c>
      <c r="K158" s="94"/>
    </row>
    <row r="159" spans="1:11" x14ac:dyDescent="0.25">
      <c r="A159" s="79"/>
      <c r="B159" s="21" t="str">
        <f>IF(A159="","",IFERROR(VLOOKUP(A159,DB_Customers!$A:$D,4,0),"❌ Account Not Found"))</f>
        <v/>
      </c>
      <c r="C159" s="80" t="str">
        <f>IF(A159="","",IFERROR(VLOOKUP(A159,DB_Customers!$A:$N,14,0),""))</f>
        <v/>
      </c>
      <c r="D159" s="81" t="str">
        <f t="shared" ca="1" si="12"/>
        <v/>
      </c>
      <c r="E159" s="82"/>
      <c r="F159" s="83" t="str">
        <f t="shared" si="13"/>
        <v/>
      </c>
      <c r="G159" s="23"/>
      <c r="H159" s="84"/>
      <c r="I159" s="85" t="str">
        <f>IF(A159="","Pending",IF(H159="","⚠️ Enter Code",IF(IFERROR(VLOOKUP(G159,DB_Agents!$B:$I,8,0),"")=H159,IF(AND(A159&lt;&gt;"",E159&lt;&gt;""),"Saved","Pending"),"🔒 BLOCKED — Wrong Code")))</f>
        <v>Pending</v>
      </c>
      <c r="J159" s="86" t="str">
        <f t="shared" ca="1" si="14"/>
        <v>—</v>
      </c>
      <c r="K159" s="87"/>
    </row>
    <row r="160" spans="1:11" x14ac:dyDescent="0.25">
      <c r="A160" s="88"/>
      <c r="B160" s="25" t="str">
        <f>IF(A160="","",IFERROR(VLOOKUP(A160,DB_Customers!$A:$D,4,0),"❌ Account Not Found"))</f>
        <v/>
      </c>
      <c r="C160" s="89" t="str">
        <f>IF(A160="","",IFERROR(VLOOKUP(A160,DB_Customers!$A:$N,14,0),""))</f>
        <v/>
      </c>
      <c r="D160" s="90" t="str">
        <f t="shared" ca="1" si="12"/>
        <v/>
      </c>
      <c r="E160" s="82"/>
      <c r="F160" s="91" t="str">
        <f t="shared" si="13"/>
        <v/>
      </c>
      <c r="G160" s="27"/>
      <c r="H160" s="84"/>
      <c r="I160" s="92" t="str">
        <f>IF(A160="","Pending",IF(H160="","⚠️ Enter Code",IF(IFERROR(VLOOKUP(G160,DB_Agents!$B:$I,8,0),"")=H160,IF(AND(A160&lt;&gt;"",E160&lt;&gt;""),"Saved","Pending"),"🔒 BLOCKED — Wrong Code")))</f>
        <v>Pending</v>
      </c>
      <c r="J160" s="93" t="str">
        <f t="shared" ca="1" si="14"/>
        <v>—</v>
      </c>
      <c r="K160" s="94"/>
    </row>
    <row r="161" spans="1:11" x14ac:dyDescent="0.25">
      <c r="A161" s="79"/>
      <c r="B161" s="21" t="str">
        <f>IF(A161="","",IFERROR(VLOOKUP(A161,DB_Customers!$A:$D,4,0),"❌ Account Not Found"))</f>
        <v/>
      </c>
      <c r="C161" s="80" t="str">
        <f>IF(A161="","",IFERROR(VLOOKUP(A161,DB_Customers!$A:$N,14,0),""))</f>
        <v/>
      </c>
      <c r="D161" s="81" t="str">
        <f t="shared" ca="1" si="12"/>
        <v/>
      </c>
      <c r="E161" s="82"/>
      <c r="F161" s="83" t="str">
        <f t="shared" si="13"/>
        <v/>
      </c>
      <c r="G161" s="23"/>
      <c r="H161" s="84"/>
      <c r="I161" s="85" t="str">
        <f>IF(A161="","Pending",IF(H161="","⚠️ Enter Code",IF(IFERROR(VLOOKUP(G161,DB_Agents!$B:$I,8,0),"")=H161,IF(AND(A161&lt;&gt;"",E161&lt;&gt;""),"Saved","Pending"),"🔒 BLOCKED — Wrong Code")))</f>
        <v>Pending</v>
      </c>
      <c r="J161" s="86" t="str">
        <f t="shared" ca="1" si="14"/>
        <v>—</v>
      </c>
      <c r="K161" s="87"/>
    </row>
    <row r="162" spans="1:11" x14ac:dyDescent="0.25">
      <c r="A162" s="88"/>
      <c r="B162" s="25" t="str">
        <f>IF(A162="","",IFERROR(VLOOKUP(A162,DB_Customers!$A:$D,4,0),"❌ Account Not Found"))</f>
        <v/>
      </c>
      <c r="C162" s="89" t="str">
        <f>IF(A162="","",IFERROR(VLOOKUP(A162,DB_Customers!$A:$N,14,0),""))</f>
        <v/>
      </c>
      <c r="D162" s="90" t="str">
        <f t="shared" ca="1" si="12"/>
        <v/>
      </c>
      <c r="E162" s="82"/>
      <c r="F162" s="91" t="str">
        <f t="shared" si="13"/>
        <v/>
      </c>
      <c r="G162" s="27"/>
      <c r="H162" s="84"/>
      <c r="I162" s="92" t="str">
        <f>IF(A162="","Pending",IF(H162="","⚠️ Enter Code",IF(IFERROR(VLOOKUP(G162,DB_Agents!$B:$I,8,0),"")=H162,IF(AND(A162&lt;&gt;"",E162&lt;&gt;""),"Saved","Pending"),"🔒 BLOCKED — Wrong Code")))</f>
        <v>Pending</v>
      </c>
      <c r="J162" s="93" t="str">
        <f t="shared" ca="1" si="14"/>
        <v>—</v>
      </c>
      <c r="K162" s="94"/>
    </row>
    <row r="163" spans="1:11" x14ac:dyDescent="0.25">
      <c r="A163" s="79"/>
      <c r="B163" s="21" t="str">
        <f>IF(A163="","",IFERROR(VLOOKUP(A163,DB_Customers!$A:$D,4,0),"❌ Account Not Found"))</f>
        <v/>
      </c>
      <c r="C163" s="80" t="str">
        <f>IF(A163="","",IFERROR(VLOOKUP(A163,DB_Customers!$A:$N,14,0),""))</f>
        <v/>
      </c>
      <c r="D163" s="81" t="str">
        <f t="shared" ca="1" si="12"/>
        <v/>
      </c>
      <c r="E163" s="82"/>
      <c r="F163" s="83" t="str">
        <f t="shared" si="13"/>
        <v/>
      </c>
      <c r="G163" s="23"/>
      <c r="H163" s="84"/>
      <c r="I163" s="85" t="str">
        <f>IF(A163="","Pending",IF(H163="","⚠️ Enter Code",IF(IFERROR(VLOOKUP(G163,DB_Agents!$B:$I,8,0),"")=H163,IF(AND(A163&lt;&gt;"",E163&lt;&gt;""),"Saved","Pending"),"🔒 BLOCKED — Wrong Code")))</f>
        <v>Pending</v>
      </c>
      <c r="J163" s="86" t="str">
        <f t="shared" ca="1" si="14"/>
        <v>—</v>
      </c>
      <c r="K163" s="87"/>
    </row>
    <row r="164" spans="1:11" x14ac:dyDescent="0.25">
      <c r="A164" s="88"/>
      <c r="B164" s="25" t="str">
        <f>IF(A164="","",IFERROR(VLOOKUP(A164,DB_Customers!$A:$D,4,0),"❌ Account Not Found"))</f>
        <v/>
      </c>
      <c r="C164" s="89" t="str">
        <f>IF(A164="","",IFERROR(VLOOKUP(A164,DB_Customers!$A:$N,14,0),""))</f>
        <v/>
      </c>
      <c r="D164" s="90" t="str">
        <f t="shared" ca="1" si="12"/>
        <v/>
      </c>
      <c r="E164" s="82"/>
      <c r="F164" s="91" t="str">
        <f t="shared" si="13"/>
        <v/>
      </c>
      <c r="G164" s="27"/>
      <c r="H164" s="84"/>
      <c r="I164" s="92" t="str">
        <f>IF(A164="","Pending",IF(H164="","⚠️ Enter Code",IF(IFERROR(VLOOKUP(G164,DB_Agents!$B:$I,8,0),"")=H164,IF(AND(A164&lt;&gt;"",E164&lt;&gt;""),"Saved","Pending"),"🔒 BLOCKED — Wrong Code")))</f>
        <v>Pending</v>
      </c>
      <c r="J164" s="93" t="str">
        <f t="shared" ca="1" si="14"/>
        <v>—</v>
      </c>
      <c r="K164" s="94"/>
    </row>
    <row r="165" spans="1:11" x14ac:dyDescent="0.25">
      <c r="A165" s="79"/>
      <c r="B165" s="21" t="str">
        <f>IF(A165="","",IFERROR(VLOOKUP(A165,DB_Customers!$A:$D,4,0),"❌ Account Not Found"))</f>
        <v/>
      </c>
      <c r="C165" s="80" t="str">
        <f>IF(A165="","",IFERROR(VLOOKUP(A165,DB_Customers!$A:$N,14,0),""))</f>
        <v/>
      </c>
      <c r="D165" s="81" t="str">
        <f t="shared" ca="1" si="12"/>
        <v/>
      </c>
      <c r="E165" s="82"/>
      <c r="F165" s="83" t="str">
        <f t="shared" si="13"/>
        <v/>
      </c>
      <c r="G165" s="23"/>
      <c r="H165" s="84"/>
      <c r="I165" s="85" t="str">
        <f>IF(A165="","Pending",IF(H165="","⚠️ Enter Code",IF(IFERROR(VLOOKUP(G165,DB_Agents!$B:$I,8,0),"")=H165,IF(AND(A165&lt;&gt;"",E165&lt;&gt;""),"Saved","Pending"),"🔒 BLOCKED — Wrong Code")))</f>
        <v>Pending</v>
      </c>
      <c r="J165" s="86" t="str">
        <f t="shared" ca="1" si="14"/>
        <v>—</v>
      </c>
      <c r="K165" s="87"/>
    </row>
    <row r="166" spans="1:11" x14ac:dyDescent="0.25">
      <c r="A166" s="88"/>
      <c r="B166" s="25" t="str">
        <f>IF(A166="","",IFERROR(VLOOKUP(A166,DB_Customers!$A:$D,4,0),"❌ Account Not Found"))</f>
        <v/>
      </c>
      <c r="C166" s="89" t="str">
        <f>IF(A166="","",IFERROR(VLOOKUP(A166,DB_Customers!$A:$N,14,0),""))</f>
        <v/>
      </c>
      <c r="D166" s="90" t="str">
        <f t="shared" ca="1" si="12"/>
        <v/>
      </c>
      <c r="E166" s="82"/>
      <c r="F166" s="91" t="str">
        <f t="shared" si="13"/>
        <v/>
      </c>
      <c r="G166" s="27"/>
      <c r="H166" s="84"/>
      <c r="I166" s="92" t="str">
        <f>IF(A166="","Pending",IF(H166="","⚠️ Enter Code",IF(IFERROR(VLOOKUP(G166,DB_Agents!$B:$I,8,0),"")=H166,IF(AND(A166&lt;&gt;"",E166&lt;&gt;""),"Saved","Pending"),"🔒 BLOCKED — Wrong Code")))</f>
        <v>Pending</v>
      </c>
      <c r="J166" s="93" t="str">
        <f t="shared" ca="1" si="14"/>
        <v>—</v>
      </c>
      <c r="K166" s="94"/>
    </row>
    <row r="167" spans="1:11" x14ac:dyDescent="0.25">
      <c r="A167" s="79"/>
      <c r="B167" s="21" t="str">
        <f>IF(A167="","",IFERROR(VLOOKUP(A167,DB_Customers!$A:$D,4,0),"❌ Account Not Found"))</f>
        <v/>
      </c>
      <c r="C167" s="80" t="str">
        <f>IF(A167="","",IFERROR(VLOOKUP(A167,DB_Customers!$A:$N,14,0),""))</f>
        <v/>
      </c>
      <c r="D167" s="81" t="str">
        <f t="shared" ca="1" si="12"/>
        <v/>
      </c>
      <c r="E167" s="82"/>
      <c r="F167" s="83" t="str">
        <f t="shared" si="13"/>
        <v/>
      </c>
      <c r="G167" s="23"/>
      <c r="H167" s="84"/>
      <c r="I167" s="85" t="str">
        <f>IF(A167="","Pending",IF(H167="","⚠️ Enter Code",IF(IFERROR(VLOOKUP(G167,DB_Agents!$B:$I,8,0),"")=H167,IF(AND(A167&lt;&gt;"",E167&lt;&gt;""),"Saved","Pending"),"🔒 BLOCKED — Wrong Code")))</f>
        <v>Pending</v>
      </c>
      <c r="J167" s="86" t="str">
        <f t="shared" ca="1" si="14"/>
        <v>—</v>
      </c>
      <c r="K167" s="87"/>
    </row>
    <row r="168" spans="1:11" x14ac:dyDescent="0.25">
      <c r="A168" s="88"/>
      <c r="B168" s="25" t="str">
        <f>IF(A168="","",IFERROR(VLOOKUP(A168,DB_Customers!$A:$D,4,0),"❌ Account Not Found"))</f>
        <v/>
      </c>
      <c r="C168" s="89" t="str">
        <f>IF(A168="","",IFERROR(VLOOKUP(A168,DB_Customers!$A:$N,14,0),""))</f>
        <v/>
      </c>
      <c r="D168" s="90" t="str">
        <f t="shared" ca="1" si="12"/>
        <v/>
      </c>
      <c r="E168" s="82"/>
      <c r="F168" s="91" t="str">
        <f t="shared" si="13"/>
        <v/>
      </c>
      <c r="G168" s="27"/>
      <c r="H168" s="84"/>
      <c r="I168" s="92" t="str">
        <f>IF(A168="","Pending",IF(H168="","⚠️ Enter Code",IF(IFERROR(VLOOKUP(G168,DB_Agents!$B:$I,8,0),"")=H168,IF(AND(A168&lt;&gt;"",E168&lt;&gt;""),"Saved","Pending"),"🔒 BLOCKED — Wrong Code")))</f>
        <v>Pending</v>
      </c>
      <c r="J168" s="93" t="str">
        <f t="shared" ca="1" si="14"/>
        <v>—</v>
      </c>
      <c r="K168" s="94"/>
    </row>
    <row r="169" spans="1:11" x14ac:dyDescent="0.25">
      <c r="A169" s="79"/>
      <c r="B169" s="21" t="str">
        <f>IF(A169="","",IFERROR(VLOOKUP(A169,DB_Customers!$A:$D,4,0),"❌ Account Not Found"))</f>
        <v/>
      </c>
      <c r="C169" s="80" t="str">
        <f>IF(A169="","",IFERROR(VLOOKUP(A169,DB_Customers!$A:$N,14,0),""))</f>
        <v/>
      </c>
      <c r="D169" s="81" t="str">
        <f t="shared" ref="D169:D200" ca="1" si="15">IF(A169="","",TODAY())</f>
        <v/>
      </c>
      <c r="E169" s="82"/>
      <c r="F169" s="83" t="str">
        <f t="shared" ref="F169:F200" si="16">IF(OR(A169="",E169=""),"",IF(C169="","",C169+E169))</f>
        <v/>
      </c>
      <c r="G169" s="23"/>
      <c r="H169" s="84"/>
      <c r="I169" s="85" t="str">
        <f>IF(A169="","Pending",IF(H169="","⚠️ Enter Code",IF(IFERROR(VLOOKUP(G169,DB_Agents!$B:$I,8,0),"")=H169,IF(AND(A169&lt;&gt;"",E169&lt;&gt;""),"Saved","Pending"),"🔒 BLOCKED — Wrong Code")))</f>
        <v>Pending</v>
      </c>
      <c r="J169" s="86" t="str">
        <f t="shared" ref="J169:J200" ca="1" si="17">IF(I169="Saved",TEXT(TODAY(),"YYYY-MM-DD")&amp;" Auto","—")</f>
        <v>—</v>
      </c>
      <c r="K169" s="87"/>
    </row>
    <row r="170" spans="1:11" x14ac:dyDescent="0.25">
      <c r="A170" s="88"/>
      <c r="B170" s="25" t="str">
        <f>IF(A170="","",IFERROR(VLOOKUP(A170,DB_Customers!$A:$D,4,0),"❌ Account Not Found"))</f>
        <v/>
      </c>
      <c r="C170" s="89" t="str">
        <f>IF(A170="","",IFERROR(VLOOKUP(A170,DB_Customers!$A:$N,14,0),""))</f>
        <v/>
      </c>
      <c r="D170" s="90" t="str">
        <f t="shared" ca="1" si="15"/>
        <v/>
      </c>
      <c r="E170" s="82"/>
      <c r="F170" s="91" t="str">
        <f t="shared" si="16"/>
        <v/>
      </c>
      <c r="G170" s="27"/>
      <c r="H170" s="84"/>
      <c r="I170" s="92" t="str">
        <f>IF(A170="","Pending",IF(H170="","⚠️ Enter Code",IF(IFERROR(VLOOKUP(G170,DB_Agents!$B:$I,8,0),"")=H170,IF(AND(A170&lt;&gt;"",E170&lt;&gt;""),"Saved","Pending"),"🔒 BLOCKED — Wrong Code")))</f>
        <v>Pending</v>
      </c>
      <c r="J170" s="93" t="str">
        <f t="shared" ca="1" si="17"/>
        <v>—</v>
      </c>
      <c r="K170" s="94"/>
    </row>
    <row r="171" spans="1:11" x14ac:dyDescent="0.25">
      <c r="A171" s="79"/>
      <c r="B171" s="21" t="str">
        <f>IF(A171="","",IFERROR(VLOOKUP(A171,DB_Customers!$A:$D,4,0),"❌ Account Not Found"))</f>
        <v/>
      </c>
      <c r="C171" s="80" t="str">
        <f>IF(A171="","",IFERROR(VLOOKUP(A171,DB_Customers!$A:$N,14,0),""))</f>
        <v/>
      </c>
      <c r="D171" s="81" t="str">
        <f t="shared" ca="1" si="15"/>
        <v/>
      </c>
      <c r="E171" s="82"/>
      <c r="F171" s="83" t="str">
        <f t="shared" si="16"/>
        <v/>
      </c>
      <c r="G171" s="23"/>
      <c r="H171" s="84"/>
      <c r="I171" s="85" t="str">
        <f>IF(A171="","Pending",IF(H171="","⚠️ Enter Code",IF(IFERROR(VLOOKUP(G171,DB_Agents!$B:$I,8,0),"")=H171,IF(AND(A171&lt;&gt;"",E171&lt;&gt;""),"Saved","Pending"),"🔒 BLOCKED — Wrong Code")))</f>
        <v>Pending</v>
      </c>
      <c r="J171" s="86" t="str">
        <f t="shared" ca="1" si="17"/>
        <v>—</v>
      </c>
      <c r="K171" s="87"/>
    </row>
    <row r="172" spans="1:11" x14ac:dyDescent="0.25">
      <c r="A172" s="88"/>
      <c r="B172" s="25" t="str">
        <f>IF(A172="","",IFERROR(VLOOKUP(A172,DB_Customers!$A:$D,4,0),"❌ Account Not Found"))</f>
        <v/>
      </c>
      <c r="C172" s="89" t="str">
        <f>IF(A172="","",IFERROR(VLOOKUP(A172,DB_Customers!$A:$N,14,0),""))</f>
        <v/>
      </c>
      <c r="D172" s="90" t="str">
        <f t="shared" ca="1" si="15"/>
        <v/>
      </c>
      <c r="E172" s="82"/>
      <c r="F172" s="91" t="str">
        <f t="shared" si="16"/>
        <v/>
      </c>
      <c r="G172" s="27"/>
      <c r="H172" s="84"/>
      <c r="I172" s="92" t="str">
        <f>IF(A172="","Pending",IF(H172="","⚠️ Enter Code",IF(IFERROR(VLOOKUP(G172,DB_Agents!$B:$I,8,0),"")=H172,IF(AND(A172&lt;&gt;"",E172&lt;&gt;""),"Saved","Pending"),"🔒 BLOCKED — Wrong Code")))</f>
        <v>Pending</v>
      </c>
      <c r="J172" s="93" t="str">
        <f t="shared" ca="1" si="17"/>
        <v>—</v>
      </c>
      <c r="K172" s="94"/>
    </row>
    <row r="173" spans="1:11" x14ac:dyDescent="0.25">
      <c r="A173" s="79"/>
      <c r="B173" s="21" t="str">
        <f>IF(A173="","",IFERROR(VLOOKUP(A173,DB_Customers!$A:$D,4,0),"❌ Account Not Found"))</f>
        <v/>
      </c>
      <c r="C173" s="80" t="str">
        <f>IF(A173="","",IFERROR(VLOOKUP(A173,DB_Customers!$A:$N,14,0),""))</f>
        <v/>
      </c>
      <c r="D173" s="81" t="str">
        <f t="shared" ca="1" si="15"/>
        <v/>
      </c>
      <c r="E173" s="82"/>
      <c r="F173" s="83" t="str">
        <f t="shared" si="16"/>
        <v/>
      </c>
      <c r="G173" s="23"/>
      <c r="H173" s="84"/>
      <c r="I173" s="85" t="str">
        <f>IF(A173="","Pending",IF(H173="","⚠️ Enter Code",IF(IFERROR(VLOOKUP(G173,DB_Agents!$B:$I,8,0),"")=H173,IF(AND(A173&lt;&gt;"",E173&lt;&gt;""),"Saved","Pending"),"🔒 BLOCKED — Wrong Code")))</f>
        <v>Pending</v>
      </c>
      <c r="J173" s="86" t="str">
        <f t="shared" ca="1" si="17"/>
        <v>—</v>
      </c>
      <c r="K173" s="87"/>
    </row>
    <row r="174" spans="1:11" x14ac:dyDescent="0.25">
      <c r="A174" s="88"/>
      <c r="B174" s="25" t="str">
        <f>IF(A174="","",IFERROR(VLOOKUP(A174,DB_Customers!$A:$D,4,0),"❌ Account Not Found"))</f>
        <v/>
      </c>
      <c r="C174" s="89" t="str">
        <f>IF(A174="","",IFERROR(VLOOKUP(A174,DB_Customers!$A:$N,14,0),""))</f>
        <v/>
      </c>
      <c r="D174" s="90" t="str">
        <f t="shared" ca="1" si="15"/>
        <v/>
      </c>
      <c r="E174" s="82"/>
      <c r="F174" s="91" t="str">
        <f t="shared" si="16"/>
        <v/>
      </c>
      <c r="G174" s="27"/>
      <c r="H174" s="84"/>
      <c r="I174" s="92" t="str">
        <f>IF(A174="","Pending",IF(H174="","⚠️ Enter Code",IF(IFERROR(VLOOKUP(G174,DB_Agents!$B:$I,8,0),"")=H174,IF(AND(A174&lt;&gt;"",E174&lt;&gt;""),"Saved","Pending"),"🔒 BLOCKED — Wrong Code")))</f>
        <v>Pending</v>
      </c>
      <c r="J174" s="93" t="str">
        <f t="shared" ca="1" si="17"/>
        <v>—</v>
      </c>
      <c r="K174" s="94"/>
    </row>
    <row r="175" spans="1:11" x14ac:dyDescent="0.25">
      <c r="A175" s="79"/>
      <c r="B175" s="21" t="str">
        <f>IF(A175="","",IFERROR(VLOOKUP(A175,DB_Customers!$A:$D,4,0),"❌ Account Not Found"))</f>
        <v/>
      </c>
      <c r="C175" s="80" t="str">
        <f>IF(A175="","",IFERROR(VLOOKUP(A175,DB_Customers!$A:$N,14,0),""))</f>
        <v/>
      </c>
      <c r="D175" s="81" t="str">
        <f t="shared" ca="1" si="15"/>
        <v/>
      </c>
      <c r="E175" s="82"/>
      <c r="F175" s="83" t="str">
        <f t="shared" si="16"/>
        <v/>
      </c>
      <c r="G175" s="23"/>
      <c r="H175" s="84"/>
      <c r="I175" s="85" t="str">
        <f>IF(A175="","Pending",IF(H175="","⚠️ Enter Code",IF(IFERROR(VLOOKUP(G175,DB_Agents!$B:$I,8,0),"")=H175,IF(AND(A175&lt;&gt;"",E175&lt;&gt;""),"Saved","Pending"),"🔒 BLOCKED — Wrong Code")))</f>
        <v>Pending</v>
      </c>
      <c r="J175" s="86" t="str">
        <f t="shared" ca="1" si="17"/>
        <v>—</v>
      </c>
      <c r="K175" s="87"/>
    </row>
    <row r="176" spans="1:11" x14ac:dyDescent="0.25">
      <c r="A176" s="88"/>
      <c r="B176" s="25" t="str">
        <f>IF(A176="","",IFERROR(VLOOKUP(A176,DB_Customers!$A:$D,4,0),"❌ Account Not Found"))</f>
        <v/>
      </c>
      <c r="C176" s="89" t="str">
        <f>IF(A176="","",IFERROR(VLOOKUP(A176,DB_Customers!$A:$N,14,0),""))</f>
        <v/>
      </c>
      <c r="D176" s="90" t="str">
        <f t="shared" ca="1" si="15"/>
        <v/>
      </c>
      <c r="E176" s="82"/>
      <c r="F176" s="91" t="str">
        <f t="shared" si="16"/>
        <v/>
      </c>
      <c r="G176" s="27"/>
      <c r="H176" s="84"/>
      <c r="I176" s="92" t="str">
        <f>IF(A176="","Pending",IF(H176="","⚠️ Enter Code",IF(IFERROR(VLOOKUP(G176,DB_Agents!$B:$I,8,0),"")=H176,IF(AND(A176&lt;&gt;"",E176&lt;&gt;""),"Saved","Pending"),"🔒 BLOCKED — Wrong Code")))</f>
        <v>Pending</v>
      </c>
      <c r="J176" s="93" t="str">
        <f t="shared" ca="1" si="17"/>
        <v>—</v>
      </c>
      <c r="K176" s="94"/>
    </row>
    <row r="177" spans="1:11" x14ac:dyDescent="0.25">
      <c r="A177" s="79"/>
      <c r="B177" s="21" t="str">
        <f>IF(A177="","",IFERROR(VLOOKUP(A177,DB_Customers!$A:$D,4,0),"❌ Account Not Found"))</f>
        <v/>
      </c>
      <c r="C177" s="80" t="str">
        <f>IF(A177="","",IFERROR(VLOOKUP(A177,DB_Customers!$A:$N,14,0),""))</f>
        <v/>
      </c>
      <c r="D177" s="81" t="str">
        <f t="shared" ca="1" si="15"/>
        <v/>
      </c>
      <c r="E177" s="82"/>
      <c r="F177" s="83" t="str">
        <f t="shared" si="16"/>
        <v/>
      </c>
      <c r="G177" s="23"/>
      <c r="H177" s="84"/>
      <c r="I177" s="85" t="str">
        <f>IF(A177="","Pending",IF(H177="","⚠️ Enter Code",IF(IFERROR(VLOOKUP(G177,DB_Agents!$B:$I,8,0),"")=H177,IF(AND(A177&lt;&gt;"",E177&lt;&gt;""),"Saved","Pending"),"🔒 BLOCKED — Wrong Code")))</f>
        <v>Pending</v>
      </c>
      <c r="J177" s="86" t="str">
        <f t="shared" ca="1" si="17"/>
        <v>—</v>
      </c>
      <c r="K177" s="87"/>
    </row>
    <row r="178" spans="1:11" x14ac:dyDescent="0.25">
      <c r="A178" s="88"/>
      <c r="B178" s="25" t="str">
        <f>IF(A178="","",IFERROR(VLOOKUP(A178,DB_Customers!$A:$D,4,0),"❌ Account Not Found"))</f>
        <v/>
      </c>
      <c r="C178" s="89" t="str">
        <f>IF(A178="","",IFERROR(VLOOKUP(A178,DB_Customers!$A:$N,14,0),""))</f>
        <v/>
      </c>
      <c r="D178" s="90" t="str">
        <f t="shared" ca="1" si="15"/>
        <v/>
      </c>
      <c r="E178" s="82"/>
      <c r="F178" s="91" t="str">
        <f t="shared" si="16"/>
        <v/>
      </c>
      <c r="G178" s="27"/>
      <c r="H178" s="84"/>
      <c r="I178" s="92" t="str">
        <f>IF(A178="","Pending",IF(H178="","⚠️ Enter Code",IF(IFERROR(VLOOKUP(G178,DB_Agents!$B:$I,8,0),"")=H178,IF(AND(A178&lt;&gt;"",E178&lt;&gt;""),"Saved","Pending"),"🔒 BLOCKED — Wrong Code")))</f>
        <v>Pending</v>
      </c>
      <c r="J178" s="93" t="str">
        <f t="shared" ca="1" si="17"/>
        <v>—</v>
      </c>
      <c r="K178" s="94"/>
    </row>
    <row r="179" spans="1:11" x14ac:dyDescent="0.25">
      <c r="A179" s="79"/>
      <c r="B179" s="21" t="str">
        <f>IF(A179="","",IFERROR(VLOOKUP(A179,DB_Customers!$A:$D,4,0),"❌ Account Not Found"))</f>
        <v/>
      </c>
      <c r="C179" s="80" t="str">
        <f>IF(A179="","",IFERROR(VLOOKUP(A179,DB_Customers!$A:$N,14,0),""))</f>
        <v/>
      </c>
      <c r="D179" s="81" t="str">
        <f t="shared" ca="1" si="15"/>
        <v/>
      </c>
      <c r="E179" s="82"/>
      <c r="F179" s="83" t="str">
        <f t="shared" si="16"/>
        <v/>
      </c>
      <c r="G179" s="23"/>
      <c r="H179" s="84"/>
      <c r="I179" s="85" t="str">
        <f>IF(A179="","Pending",IF(H179="","⚠️ Enter Code",IF(IFERROR(VLOOKUP(G179,DB_Agents!$B:$I,8,0),"")=H179,IF(AND(A179&lt;&gt;"",E179&lt;&gt;""),"Saved","Pending"),"🔒 BLOCKED — Wrong Code")))</f>
        <v>Pending</v>
      </c>
      <c r="J179" s="86" t="str">
        <f t="shared" ca="1" si="17"/>
        <v>—</v>
      </c>
      <c r="K179" s="87"/>
    </row>
    <row r="180" spans="1:11" x14ac:dyDescent="0.25">
      <c r="A180" s="88"/>
      <c r="B180" s="25" t="str">
        <f>IF(A180="","",IFERROR(VLOOKUP(A180,DB_Customers!$A:$D,4,0),"❌ Account Not Found"))</f>
        <v/>
      </c>
      <c r="C180" s="89" t="str">
        <f>IF(A180="","",IFERROR(VLOOKUP(A180,DB_Customers!$A:$N,14,0),""))</f>
        <v/>
      </c>
      <c r="D180" s="90" t="str">
        <f t="shared" ca="1" si="15"/>
        <v/>
      </c>
      <c r="E180" s="82"/>
      <c r="F180" s="91" t="str">
        <f t="shared" si="16"/>
        <v/>
      </c>
      <c r="G180" s="27"/>
      <c r="H180" s="84"/>
      <c r="I180" s="92" t="str">
        <f>IF(A180="","Pending",IF(H180="","⚠️ Enter Code",IF(IFERROR(VLOOKUP(G180,DB_Agents!$B:$I,8,0),"")=H180,IF(AND(A180&lt;&gt;"",E180&lt;&gt;""),"Saved","Pending"),"🔒 BLOCKED — Wrong Code")))</f>
        <v>Pending</v>
      </c>
      <c r="J180" s="93" t="str">
        <f t="shared" ca="1" si="17"/>
        <v>—</v>
      </c>
      <c r="K180" s="94"/>
    </row>
    <row r="181" spans="1:11" x14ac:dyDescent="0.25">
      <c r="A181" s="79"/>
      <c r="B181" s="21" t="str">
        <f>IF(A181="","",IFERROR(VLOOKUP(A181,DB_Customers!$A:$D,4,0),"❌ Account Not Found"))</f>
        <v/>
      </c>
      <c r="C181" s="80" t="str">
        <f>IF(A181="","",IFERROR(VLOOKUP(A181,DB_Customers!$A:$N,14,0),""))</f>
        <v/>
      </c>
      <c r="D181" s="81" t="str">
        <f t="shared" ca="1" si="15"/>
        <v/>
      </c>
      <c r="E181" s="82"/>
      <c r="F181" s="83" t="str">
        <f t="shared" si="16"/>
        <v/>
      </c>
      <c r="G181" s="23"/>
      <c r="H181" s="84"/>
      <c r="I181" s="85" t="str">
        <f>IF(A181="","Pending",IF(H181="","⚠️ Enter Code",IF(IFERROR(VLOOKUP(G181,DB_Agents!$B:$I,8,0),"")=H181,IF(AND(A181&lt;&gt;"",E181&lt;&gt;""),"Saved","Pending"),"🔒 BLOCKED — Wrong Code")))</f>
        <v>Pending</v>
      </c>
      <c r="J181" s="86" t="str">
        <f t="shared" ca="1" si="17"/>
        <v>—</v>
      </c>
      <c r="K181" s="87"/>
    </row>
    <row r="182" spans="1:11" x14ac:dyDescent="0.25">
      <c r="A182" s="88"/>
      <c r="B182" s="25" t="str">
        <f>IF(A182="","",IFERROR(VLOOKUP(A182,DB_Customers!$A:$D,4,0),"❌ Account Not Found"))</f>
        <v/>
      </c>
      <c r="C182" s="89" t="str">
        <f>IF(A182="","",IFERROR(VLOOKUP(A182,DB_Customers!$A:$N,14,0),""))</f>
        <v/>
      </c>
      <c r="D182" s="90" t="str">
        <f t="shared" ca="1" si="15"/>
        <v/>
      </c>
      <c r="E182" s="82"/>
      <c r="F182" s="91" t="str">
        <f t="shared" si="16"/>
        <v/>
      </c>
      <c r="G182" s="27"/>
      <c r="H182" s="84"/>
      <c r="I182" s="92" t="str">
        <f>IF(A182="","Pending",IF(H182="","⚠️ Enter Code",IF(IFERROR(VLOOKUP(G182,DB_Agents!$B:$I,8,0),"")=H182,IF(AND(A182&lt;&gt;"",E182&lt;&gt;""),"Saved","Pending"),"🔒 BLOCKED — Wrong Code")))</f>
        <v>Pending</v>
      </c>
      <c r="J182" s="93" t="str">
        <f t="shared" ca="1" si="17"/>
        <v>—</v>
      </c>
      <c r="K182" s="94"/>
    </row>
    <row r="183" spans="1:11" x14ac:dyDescent="0.25">
      <c r="A183" s="79"/>
      <c r="B183" s="21" t="str">
        <f>IF(A183="","",IFERROR(VLOOKUP(A183,DB_Customers!$A:$D,4,0),"❌ Account Not Found"))</f>
        <v/>
      </c>
      <c r="C183" s="80" t="str">
        <f>IF(A183="","",IFERROR(VLOOKUP(A183,DB_Customers!$A:$N,14,0),""))</f>
        <v/>
      </c>
      <c r="D183" s="81" t="str">
        <f t="shared" ca="1" si="15"/>
        <v/>
      </c>
      <c r="E183" s="82"/>
      <c r="F183" s="83" t="str">
        <f t="shared" si="16"/>
        <v/>
      </c>
      <c r="G183" s="23"/>
      <c r="H183" s="84"/>
      <c r="I183" s="85" t="str">
        <f>IF(A183="","Pending",IF(H183="","⚠️ Enter Code",IF(IFERROR(VLOOKUP(G183,DB_Agents!$B:$I,8,0),"")=H183,IF(AND(A183&lt;&gt;"",E183&lt;&gt;""),"Saved","Pending"),"🔒 BLOCKED — Wrong Code")))</f>
        <v>Pending</v>
      </c>
      <c r="J183" s="86" t="str">
        <f t="shared" ca="1" si="17"/>
        <v>—</v>
      </c>
      <c r="K183" s="87"/>
    </row>
    <row r="184" spans="1:11" x14ac:dyDescent="0.25">
      <c r="A184" s="88"/>
      <c r="B184" s="25" t="str">
        <f>IF(A184="","",IFERROR(VLOOKUP(A184,DB_Customers!$A:$D,4,0),"❌ Account Not Found"))</f>
        <v/>
      </c>
      <c r="C184" s="89" t="str">
        <f>IF(A184="","",IFERROR(VLOOKUP(A184,DB_Customers!$A:$N,14,0),""))</f>
        <v/>
      </c>
      <c r="D184" s="90" t="str">
        <f t="shared" ca="1" si="15"/>
        <v/>
      </c>
      <c r="E184" s="82"/>
      <c r="F184" s="91" t="str">
        <f t="shared" si="16"/>
        <v/>
      </c>
      <c r="G184" s="27"/>
      <c r="H184" s="84"/>
      <c r="I184" s="92" t="str">
        <f>IF(A184="","Pending",IF(H184="","⚠️ Enter Code",IF(IFERROR(VLOOKUP(G184,DB_Agents!$B:$I,8,0),"")=H184,IF(AND(A184&lt;&gt;"",E184&lt;&gt;""),"Saved","Pending"),"🔒 BLOCKED — Wrong Code")))</f>
        <v>Pending</v>
      </c>
      <c r="J184" s="93" t="str">
        <f t="shared" ca="1" si="17"/>
        <v>—</v>
      </c>
      <c r="K184" s="94"/>
    </row>
    <row r="185" spans="1:11" x14ac:dyDescent="0.25">
      <c r="A185" s="79"/>
      <c r="B185" s="21" t="str">
        <f>IF(A185="","",IFERROR(VLOOKUP(A185,DB_Customers!$A:$D,4,0),"❌ Account Not Found"))</f>
        <v/>
      </c>
      <c r="C185" s="80" t="str">
        <f>IF(A185="","",IFERROR(VLOOKUP(A185,DB_Customers!$A:$N,14,0),""))</f>
        <v/>
      </c>
      <c r="D185" s="81" t="str">
        <f t="shared" ca="1" si="15"/>
        <v/>
      </c>
      <c r="E185" s="82"/>
      <c r="F185" s="83" t="str">
        <f t="shared" si="16"/>
        <v/>
      </c>
      <c r="G185" s="23"/>
      <c r="H185" s="84"/>
      <c r="I185" s="85" t="str">
        <f>IF(A185="","Pending",IF(H185="","⚠️ Enter Code",IF(IFERROR(VLOOKUP(G185,DB_Agents!$B:$I,8,0),"")=H185,IF(AND(A185&lt;&gt;"",E185&lt;&gt;""),"Saved","Pending"),"🔒 BLOCKED — Wrong Code")))</f>
        <v>Pending</v>
      </c>
      <c r="J185" s="86" t="str">
        <f t="shared" ca="1" si="17"/>
        <v>—</v>
      </c>
      <c r="K185" s="87"/>
    </row>
    <row r="186" spans="1:11" x14ac:dyDescent="0.25">
      <c r="A186" s="88"/>
      <c r="B186" s="25" t="str">
        <f>IF(A186="","",IFERROR(VLOOKUP(A186,DB_Customers!$A:$D,4,0),"❌ Account Not Found"))</f>
        <v/>
      </c>
      <c r="C186" s="89" t="str">
        <f>IF(A186="","",IFERROR(VLOOKUP(A186,DB_Customers!$A:$N,14,0),""))</f>
        <v/>
      </c>
      <c r="D186" s="90" t="str">
        <f t="shared" ca="1" si="15"/>
        <v/>
      </c>
      <c r="E186" s="82"/>
      <c r="F186" s="91" t="str">
        <f t="shared" si="16"/>
        <v/>
      </c>
      <c r="G186" s="27"/>
      <c r="H186" s="84"/>
      <c r="I186" s="92" t="str">
        <f>IF(A186="","Pending",IF(H186="","⚠️ Enter Code",IF(IFERROR(VLOOKUP(G186,DB_Agents!$B:$I,8,0),"")=H186,IF(AND(A186&lt;&gt;"",E186&lt;&gt;""),"Saved","Pending"),"🔒 BLOCKED — Wrong Code")))</f>
        <v>Pending</v>
      </c>
      <c r="J186" s="93" t="str">
        <f t="shared" ca="1" si="17"/>
        <v>—</v>
      </c>
      <c r="K186" s="94"/>
    </row>
    <row r="187" spans="1:11" x14ac:dyDescent="0.25">
      <c r="A187" s="79"/>
      <c r="B187" s="21" t="str">
        <f>IF(A187="","",IFERROR(VLOOKUP(A187,DB_Customers!$A:$D,4,0),"❌ Account Not Found"))</f>
        <v/>
      </c>
      <c r="C187" s="80" t="str">
        <f>IF(A187="","",IFERROR(VLOOKUP(A187,DB_Customers!$A:$N,14,0),""))</f>
        <v/>
      </c>
      <c r="D187" s="81" t="str">
        <f t="shared" ca="1" si="15"/>
        <v/>
      </c>
      <c r="E187" s="82"/>
      <c r="F187" s="83" t="str">
        <f t="shared" si="16"/>
        <v/>
      </c>
      <c r="G187" s="23"/>
      <c r="H187" s="84"/>
      <c r="I187" s="85" t="str">
        <f>IF(A187="","Pending",IF(H187="","⚠️ Enter Code",IF(IFERROR(VLOOKUP(G187,DB_Agents!$B:$I,8,0),"")=H187,IF(AND(A187&lt;&gt;"",E187&lt;&gt;""),"Saved","Pending"),"🔒 BLOCKED — Wrong Code")))</f>
        <v>Pending</v>
      </c>
      <c r="J187" s="86" t="str">
        <f t="shared" ca="1" si="17"/>
        <v>—</v>
      </c>
      <c r="K187" s="87"/>
    </row>
    <row r="188" spans="1:11" x14ac:dyDescent="0.25">
      <c r="A188" s="88"/>
      <c r="B188" s="25" t="str">
        <f>IF(A188="","",IFERROR(VLOOKUP(A188,DB_Customers!$A:$D,4,0),"❌ Account Not Found"))</f>
        <v/>
      </c>
      <c r="C188" s="89" t="str">
        <f>IF(A188="","",IFERROR(VLOOKUP(A188,DB_Customers!$A:$N,14,0),""))</f>
        <v/>
      </c>
      <c r="D188" s="90" t="str">
        <f t="shared" ca="1" si="15"/>
        <v/>
      </c>
      <c r="E188" s="82"/>
      <c r="F188" s="91" t="str">
        <f t="shared" si="16"/>
        <v/>
      </c>
      <c r="G188" s="27"/>
      <c r="H188" s="84"/>
      <c r="I188" s="92" t="str">
        <f>IF(A188="","Pending",IF(H188="","⚠️ Enter Code",IF(IFERROR(VLOOKUP(G188,DB_Agents!$B:$I,8,0),"")=H188,IF(AND(A188&lt;&gt;"",E188&lt;&gt;""),"Saved","Pending"),"🔒 BLOCKED — Wrong Code")))</f>
        <v>Pending</v>
      </c>
      <c r="J188" s="93" t="str">
        <f t="shared" ca="1" si="17"/>
        <v>—</v>
      </c>
      <c r="K188" s="94"/>
    </row>
    <row r="189" spans="1:11" x14ac:dyDescent="0.25">
      <c r="A189" s="79"/>
      <c r="B189" s="21" t="str">
        <f>IF(A189="","",IFERROR(VLOOKUP(A189,DB_Customers!$A:$D,4,0),"❌ Account Not Found"))</f>
        <v/>
      </c>
      <c r="C189" s="80" t="str">
        <f>IF(A189="","",IFERROR(VLOOKUP(A189,DB_Customers!$A:$N,14,0),""))</f>
        <v/>
      </c>
      <c r="D189" s="81" t="str">
        <f t="shared" ca="1" si="15"/>
        <v/>
      </c>
      <c r="E189" s="82"/>
      <c r="F189" s="83" t="str">
        <f t="shared" si="16"/>
        <v/>
      </c>
      <c r="G189" s="23"/>
      <c r="H189" s="84"/>
      <c r="I189" s="85" t="str">
        <f>IF(A189="","Pending",IF(H189="","⚠️ Enter Code",IF(IFERROR(VLOOKUP(G189,DB_Agents!$B:$I,8,0),"")=H189,IF(AND(A189&lt;&gt;"",E189&lt;&gt;""),"Saved","Pending"),"🔒 BLOCKED — Wrong Code")))</f>
        <v>Pending</v>
      </c>
      <c r="J189" s="86" t="str">
        <f t="shared" ca="1" si="17"/>
        <v>—</v>
      </c>
      <c r="K189" s="87"/>
    </row>
    <row r="190" spans="1:11" x14ac:dyDescent="0.25">
      <c r="A190" s="88"/>
      <c r="B190" s="25" t="str">
        <f>IF(A190="","",IFERROR(VLOOKUP(A190,DB_Customers!$A:$D,4,0),"❌ Account Not Found"))</f>
        <v/>
      </c>
      <c r="C190" s="89" t="str">
        <f>IF(A190="","",IFERROR(VLOOKUP(A190,DB_Customers!$A:$N,14,0),""))</f>
        <v/>
      </c>
      <c r="D190" s="90" t="str">
        <f t="shared" ca="1" si="15"/>
        <v/>
      </c>
      <c r="E190" s="82"/>
      <c r="F190" s="91" t="str">
        <f t="shared" si="16"/>
        <v/>
      </c>
      <c r="G190" s="27"/>
      <c r="H190" s="84"/>
      <c r="I190" s="92" t="str">
        <f>IF(A190="","Pending",IF(H190="","⚠️ Enter Code",IF(IFERROR(VLOOKUP(G190,DB_Agents!$B:$I,8,0),"")=H190,IF(AND(A190&lt;&gt;"",E190&lt;&gt;""),"Saved","Pending"),"🔒 BLOCKED — Wrong Code")))</f>
        <v>Pending</v>
      </c>
      <c r="J190" s="93" t="str">
        <f t="shared" ca="1" si="17"/>
        <v>—</v>
      </c>
      <c r="K190" s="94"/>
    </row>
    <row r="191" spans="1:11" x14ac:dyDescent="0.25">
      <c r="A191" s="79"/>
      <c r="B191" s="21" t="str">
        <f>IF(A191="","",IFERROR(VLOOKUP(A191,DB_Customers!$A:$D,4,0),"❌ Account Not Found"))</f>
        <v/>
      </c>
      <c r="C191" s="80" t="str">
        <f>IF(A191="","",IFERROR(VLOOKUP(A191,DB_Customers!$A:$N,14,0),""))</f>
        <v/>
      </c>
      <c r="D191" s="81" t="str">
        <f t="shared" ca="1" si="15"/>
        <v/>
      </c>
      <c r="E191" s="82"/>
      <c r="F191" s="83" t="str">
        <f t="shared" si="16"/>
        <v/>
      </c>
      <c r="G191" s="23"/>
      <c r="H191" s="84"/>
      <c r="I191" s="85" t="str">
        <f>IF(A191="","Pending",IF(H191="","⚠️ Enter Code",IF(IFERROR(VLOOKUP(G191,DB_Agents!$B:$I,8,0),"")=H191,IF(AND(A191&lt;&gt;"",E191&lt;&gt;""),"Saved","Pending"),"🔒 BLOCKED — Wrong Code")))</f>
        <v>Pending</v>
      </c>
      <c r="J191" s="86" t="str">
        <f t="shared" ca="1" si="17"/>
        <v>—</v>
      </c>
      <c r="K191" s="87"/>
    </row>
    <row r="192" spans="1:11" x14ac:dyDescent="0.25">
      <c r="A192" s="88"/>
      <c r="B192" s="25" t="str">
        <f>IF(A192="","",IFERROR(VLOOKUP(A192,DB_Customers!$A:$D,4,0),"❌ Account Not Found"))</f>
        <v/>
      </c>
      <c r="C192" s="89" t="str">
        <f>IF(A192="","",IFERROR(VLOOKUP(A192,DB_Customers!$A:$N,14,0),""))</f>
        <v/>
      </c>
      <c r="D192" s="90" t="str">
        <f t="shared" ca="1" si="15"/>
        <v/>
      </c>
      <c r="E192" s="82"/>
      <c r="F192" s="91" t="str">
        <f t="shared" si="16"/>
        <v/>
      </c>
      <c r="G192" s="27"/>
      <c r="H192" s="84"/>
      <c r="I192" s="92" t="str">
        <f>IF(A192="","Pending",IF(H192="","⚠️ Enter Code",IF(IFERROR(VLOOKUP(G192,DB_Agents!$B:$I,8,0),"")=H192,IF(AND(A192&lt;&gt;"",E192&lt;&gt;""),"Saved","Pending"),"🔒 BLOCKED — Wrong Code")))</f>
        <v>Pending</v>
      </c>
      <c r="J192" s="93" t="str">
        <f t="shared" ca="1" si="17"/>
        <v>—</v>
      </c>
      <c r="K192" s="94"/>
    </row>
    <row r="193" spans="1:11" x14ac:dyDescent="0.25">
      <c r="A193" s="79"/>
      <c r="B193" s="21" t="str">
        <f>IF(A193="","",IFERROR(VLOOKUP(A193,DB_Customers!$A:$D,4,0),"❌ Account Not Found"))</f>
        <v/>
      </c>
      <c r="C193" s="80" t="str">
        <f>IF(A193="","",IFERROR(VLOOKUP(A193,DB_Customers!$A:$N,14,0),""))</f>
        <v/>
      </c>
      <c r="D193" s="81" t="str">
        <f t="shared" ca="1" si="15"/>
        <v/>
      </c>
      <c r="E193" s="82"/>
      <c r="F193" s="83" t="str">
        <f t="shared" si="16"/>
        <v/>
      </c>
      <c r="G193" s="23"/>
      <c r="H193" s="84"/>
      <c r="I193" s="85" t="str">
        <f>IF(A193="","Pending",IF(H193="","⚠️ Enter Code",IF(IFERROR(VLOOKUP(G193,DB_Agents!$B:$I,8,0),"")=H193,IF(AND(A193&lt;&gt;"",E193&lt;&gt;""),"Saved","Pending"),"🔒 BLOCKED — Wrong Code")))</f>
        <v>Pending</v>
      </c>
      <c r="J193" s="86" t="str">
        <f t="shared" ca="1" si="17"/>
        <v>—</v>
      </c>
      <c r="K193" s="87"/>
    </row>
    <row r="194" spans="1:11" x14ac:dyDescent="0.25">
      <c r="A194" s="88"/>
      <c r="B194" s="25" t="str">
        <f>IF(A194="","",IFERROR(VLOOKUP(A194,DB_Customers!$A:$D,4,0),"❌ Account Not Found"))</f>
        <v/>
      </c>
      <c r="C194" s="89" t="str">
        <f>IF(A194="","",IFERROR(VLOOKUP(A194,DB_Customers!$A:$N,14,0),""))</f>
        <v/>
      </c>
      <c r="D194" s="90" t="str">
        <f t="shared" ca="1" si="15"/>
        <v/>
      </c>
      <c r="E194" s="82"/>
      <c r="F194" s="91" t="str">
        <f t="shared" si="16"/>
        <v/>
      </c>
      <c r="G194" s="27"/>
      <c r="H194" s="84"/>
      <c r="I194" s="92" t="str">
        <f>IF(A194="","Pending",IF(H194="","⚠️ Enter Code",IF(IFERROR(VLOOKUP(G194,DB_Agents!$B:$I,8,0),"")=H194,IF(AND(A194&lt;&gt;"",E194&lt;&gt;""),"Saved","Pending"),"🔒 BLOCKED — Wrong Code")))</f>
        <v>Pending</v>
      </c>
      <c r="J194" s="93" t="str">
        <f t="shared" ca="1" si="17"/>
        <v>—</v>
      </c>
      <c r="K194" s="94"/>
    </row>
    <row r="195" spans="1:11" x14ac:dyDescent="0.25">
      <c r="A195" s="79"/>
      <c r="B195" s="21" t="str">
        <f>IF(A195="","",IFERROR(VLOOKUP(A195,DB_Customers!$A:$D,4,0),"❌ Account Not Found"))</f>
        <v/>
      </c>
      <c r="C195" s="80" t="str">
        <f>IF(A195="","",IFERROR(VLOOKUP(A195,DB_Customers!$A:$N,14,0),""))</f>
        <v/>
      </c>
      <c r="D195" s="81" t="str">
        <f t="shared" ca="1" si="15"/>
        <v/>
      </c>
      <c r="E195" s="82"/>
      <c r="F195" s="83" t="str">
        <f t="shared" si="16"/>
        <v/>
      </c>
      <c r="G195" s="23"/>
      <c r="H195" s="84"/>
      <c r="I195" s="85" t="str">
        <f>IF(A195="","Pending",IF(H195="","⚠️ Enter Code",IF(IFERROR(VLOOKUP(G195,DB_Agents!$B:$I,8,0),"")=H195,IF(AND(A195&lt;&gt;"",E195&lt;&gt;""),"Saved","Pending"),"🔒 BLOCKED — Wrong Code")))</f>
        <v>Pending</v>
      </c>
      <c r="J195" s="86" t="str">
        <f t="shared" ca="1" si="17"/>
        <v>—</v>
      </c>
      <c r="K195" s="87"/>
    </row>
    <row r="196" spans="1:11" x14ac:dyDescent="0.25">
      <c r="A196" s="88"/>
      <c r="B196" s="25" t="str">
        <f>IF(A196="","",IFERROR(VLOOKUP(A196,DB_Customers!$A:$D,4,0),"❌ Account Not Found"))</f>
        <v/>
      </c>
      <c r="C196" s="89" t="str">
        <f>IF(A196="","",IFERROR(VLOOKUP(A196,DB_Customers!$A:$N,14,0),""))</f>
        <v/>
      </c>
      <c r="D196" s="90" t="str">
        <f t="shared" ca="1" si="15"/>
        <v/>
      </c>
      <c r="E196" s="82"/>
      <c r="F196" s="91" t="str">
        <f t="shared" si="16"/>
        <v/>
      </c>
      <c r="G196" s="27"/>
      <c r="H196" s="84"/>
      <c r="I196" s="92" t="str">
        <f>IF(A196="","Pending",IF(H196="","⚠️ Enter Code",IF(IFERROR(VLOOKUP(G196,DB_Agents!$B:$I,8,0),"")=H196,IF(AND(A196&lt;&gt;"",E196&lt;&gt;""),"Saved","Pending"),"🔒 BLOCKED — Wrong Code")))</f>
        <v>Pending</v>
      </c>
      <c r="J196" s="93" t="str">
        <f t="shared" ca="1" si="17"/>
        <v>—</v>
      </c>
      <c r="K196" s="94"/>
    </row>
    <row r="197" spans="1:11" x14ac:dyDescent="0.25">
      <c r="A197" s="79"/>
      <c r="B197" s="21" t="str">
        <f>IF(A197="","",IFERROR(VLOOKUP(A197,DB_Customers!$A:$D,4,0),"❌ Account Not Found"))</f>
        <v/>
      </c>
      <c r="C197" s="80" t="str">
        <f>IF(A197="","",IFERROR(VLOOKUP(A197,DB_Customers!$A:$N,14,0),""))</f>
        <v/>
      </c>
      <c r="D197" s="81" t="str">
        <f t="shared" ca="1" si="15"/>
        <v/>
      </c>
      <c r="E197" s="82"/>
      <c r="F197" s="83" t="str">
        <f t="shared" si="16"/>
        <v/>
      </c>
      <c r="G197" s="23"/>
      <c r="H197" s="84"/>
      <c r="I197" s="85" t="str">
        <f>IF(A197="","Pending",IF(H197="","⚠️ Enter Code",IF(IFERROR(VLOOKUP(G197,DB_Agents!$B:$I,8,0),"")=H197,IF(AND(A197&lt;&gt;"",E197&lt;&gt;""),"Saved","Pending"),"🔒 BLOCKED — Wrong Code")))</f>
        <v>Pending</v>
      </c>
      <c r="J197" s="86" t="str">
        <f t="shared" ca="1" si="17"/>
        <v>—</v>
      </c>
      <c r="K197" s="87"/>
    </row>
    <row r="198" spans="1:11" x14ac:dyDescent="0.25">
      <c r="A198" s="88"/>
      <c r="B198" s="25" t="str">
        <f>IF(A198="","",IFERROR(VLOOKUP(A198,DB_Customers!$A:$D,4,0),"❌ Account Not Found"))</f>
        <v/>
      </c>
      <c r="C198" s="89" t="str">
        <f>IF(A198="","",IFERROR(VLOOKUP(A198,DB_Customers!$A:$N,14,0),""))</f>
        <v/>
      </c>
      <c r="D198" s="90" t="str">
        <f t="shared" ca="1" si="15"/>
        <v/>
      </c>
      <c r="E198" s="82"/>
      <c r="F198" s="91" t="str">
        <f t="shared" si="16"/>
        <v/>
      </c>
      <c r="G198" s="27"/>
      <c r="H198" s="84"/>
      <c r="I198" s="92" t="str">
        <f>IF(A198="","Pending",IF(H198="","⚠️ Enter Code",IF(IFERROR(VLOOKUP(G198,DB_Agents!$B:$I,8,0),"")=H198,IF(AND(A198&lt;&gt;"",E198&lt;&gt;""),"Saved","Pending"),"🔒 BLOCKED — Wrong Code")))</f>
        <v>Pending</v>
      </c>
      <c r="J198" s="93" t="str">
        <f t="shared" ca="1" si="17"/>
        <v>—</v>
      </c>
      <c r="K198" s="94"/>
    </row>
    <row r="199" spans="1:11" x14ac:dyDescent="0.25">
      <c r="A199" s="79"/>
      <c r="B199" s="21" t="str">
        <f>IF(A199="","",IFERROR(VLOOKUP(A199,DB_Customers!$A:$D,4,0),"❌ Account Not Found"))</f>
        <v/>
      </c>
      <c r="C199" s="80" t="str">
        <f>IF(A199="","",IFERROR(VLOOKUP(A199,DB_Customers!$A:$N,14,0),""))</f>
        <v/>
      </c>
      <c r="D199" s="81" t="str">
        <f t="shared" ca="1" si="15"/>
        <v/>
      </c>
      <c r="E199" s="82"/>
      <c r="F199" s="83" t="str">
        <f t="shared" si="16"/>
        <v/>
      </c>
      <c r="G199" s="23"/>
      <c r="H199" s="84"/>
      <c r="I199" s="85" t="str">
        <f>IF(A199="","Pending",IF(H199="","⚠️ Enter Code",IF(IFERROR(VLOOKUP(G199,DB_Agents!$B:$I,8,0),"")=H199,IF(AND(A199&lt;&gt;"",E199&lt;&gt;""),"Saved","Pending"),"🔒 BLOCKED — Wrong Code")))</f>
        <v>Pending</v>
      </c>
      <c r="J199" s="86" t="str">
        <f t="shared" ca="1" si="17"/>
        <v>—</v>
      </c>
      <c r="K199" s="87"/>
    </row>
    <row r="200" spans="1:11" x14ac:dyDescent="0.25">
      <c r="A200" s="88"/>
      <c r="B200" s="25" t="str">
        <f>IF(A200="","",IFERROR(VLOOKUP(A200,DB_Customers!$A:$D,4,0),"❌ Account Not Found"))</f>
        <v/>
      </c>
      <c r="C200" s="89" t="str">
        <f>IF(A200="","",IFERROR(VLOOKUP(A200,DB_Customers!$A:$N,14,0),""))</f>
        <v/>
      </c>
      <c r="D200" s="90" t="str">
        <f t="shared" ca="1" si="15"/>
        <v/>
      </c>
      <c r="E200" s="82"/>
      <c r="F200" s="91" t="str">
        <f t="shared" si="16"/>
        <v/>
      </c>
      <c r="G200" s="27"/>
      <c r="H200" s="84"/>
      <c r="I200" s="92" t="str">
        <f>IF(A200="","Pending",IF(H200="","⚠️ Enter Code",IF(IFERROR(VLOOKUP(G200,DB_Agents!$B:$I,8,0),"")=H200,IF(AND(A200&lt;&gt;"",E200&lt;&gt;""),"Saved","Pending"),"🔒 BLOCKED — Wrong Code")))</f>
        <v>Pending</v>
      </c>
      <c r="J200" s="93" t="str">
        <f t="shared" ca="1" si="17"/>
        <v>—</v>
      </c>
      <c r="K200" s="94"/>
    </row>
    <row r="201" spans="1:11" x14ac:dyDescent="0.25">
      <c r="A201" s="79"/>
      <c r="B201" s="21" t="str">
        <f>IF(A201="","",IFERROR(VLOOKUP(A201,DB_Customers!$A:$D,4,0),"❌ Account Not Found"))</f>
        <v/>
      </c>
      <c r="C201" s="80" t="str">
        <f>IF(A201="","",IFERROR(VLOOKUP(A201,DB_Customers!$A:$N,14,0),""))</f>
        <v/>
      </c>
      <c r="D201" s="81" t="str">
        <f t="shared" ref="D201:D208" ca="1" si="18">IF(A201="","",TODAY())</f>
        <v/>
      </c>
      <c r="E201" s="82"/>
      <c r="F201" s="83" t="str">
        <f t="shared" ref="F201:F232" si="19">IF(OR(A201="",E201=""),"",IF(C201="","",C201+E201))</f>
        <v/>
      </c>
      <c r="G201" s="23"/>
      <c r="H201" s="84"/>
      <c r="I201" s="85" t="str">
        <f>IF(A201="","Pending",IF(H201="","⚠️ Enter Code",IF(IFERROR(VLOOKUP(G201,DB_Agents!$B:$I,8,0),"")=H201,IF(AND(A201&lt;&gt;"",E201&lt;&gt;""),"Saved","Pending"),"🔒 BLOCKED — Wrong Code")))</f>
        <v>Pending</v>
      </c>
      <c r="J201" s="86" t="str">
        <f t="shared" ref="J201:J232" ca="1" si="20">IF(I201="Saved",TEXT(TODAY(),"YYYY-MM-DD")&amp;" Auto","—")</f>
        <v>—</v>
      </c>
      <c r="K201" s="87"/>
    </row>
    <row r="202" spans="1:11" x14ac:dyDescent="0.25">
      <c r="A202" s="88"/>
      <c r="B202" s="25" t="str">
        <f>IF(A202="","",IFERROR(VLOOKUP(A202,DB_Customers!$A:$D,4,0),"❌ Account Not Found"))</f>
        <v/>
      </c>
      <c r="C202" s="89" t="str">
        <f>IF(A202="","",IFERROR(VLOOKUP(A202,DB_Customers!$A:$N,14,0),""))</f>
        <v/>
      </c>
      <c r="D202" s="90" t="str">
        <f t="shared" ca="1" si="18"/>
        <v/>
      </c>
      <c r="E202" s="82"/>
      <c r="F202" s="91" t="str">
        <f t="shared" si="19"/>
        <v/>
      </c>
      <c r="G202" s="27"/>
      <c r="H202" s="84"/>
      <c r="I202" s="92" t="str">
        <f>IF(A202="","Pending",IF(H202="","⚠️ Enter Code",IF(IFERROR(VLOOKUP(G202,DB_Agents!$B:$I,8,0),"")=H202,IF(AND(A202&lt;&gt;"",E202&lt;&gt;""),"Saved","Pending"),"🔒 BLOCKED — Wrong Code")))</f>
        <v>Pending</v>
      </c>
      <c r="J202" s="93" t="str">
        <f t="shared" ca="1" si="20"/>
        <v>—</v>
      </c>
      <c r="K202" s="94"/>
    </row>
    <row r="203" spans="1:11" x14ac:dyDescent="0.25">
      <c r="A203" s="79"/>
      <c r="B203" s="21" t="str">
        <f>IF(A203="","",IFERROR(VLOOKUP(A203,DB_Customers!$A:$D,4,0),"❌ Account Not Found"))</f>
        <v/>
      </c>
      <c r="C203" s="80" t="str">
        <f>IF(A203="","",IFERROR(VLOOKUP(A203,DB_Customers!$A:$N,14,0),""))</f>
        <v/>
      </c>
      <c r="D203" s="81" t="str">
        <f t="shared" ca="1" si="18"/>
        <v/>
      </c>
      <c r="E203" s="82"/>
      <c r="F203" s="83" t="str">
        <f t="shared" si="19"/>
        <v/>
      </c>
      <c r="G203" s="23"/>
      <c r="H203" s="84"/>
      <c r="I203" s="85" t="str">
        <f>IF(A203="","Pending",IF(H203="","⚠️ Enter Code",IF(IFERROR(VLOOKUP(G203,DB_Agents!$B:$I,8,0),"")=H203,IF(AND(A203&lt;&gt;"",E203&lt;&gt;""),"Saved","Pending"),"🔒 BLOCKED — Wrong Code")))</f>
        <v>Pending</v>
      </c>
      <c r="J203" s="86" t="str">
        <f t="shared" ca="1" si="20"/>
        <v>—</v>
      </c>
      <c r="K203" s="87"/>
    </row>
    <row r="204" spans="1:11" x14ac:dyDescent="0.25">
      <c r="A204" s="88"/>
      <c r="B204" s="25" t="str">
        <f>IF(A204="","",IFERROR(VLOOKUP(A204,DB_Customers!$A:$D,4,0),"❌ Account Not Found"))</f>
        <v/>
      </c>
      <c r="C204" s="89" t="str">
        <f>IF(A204="","",IFERROR(VLOOKUP(A204,DB_Customers!$A:$N,14,0),""))</f>
        <v/>
      </c>
      <c r="D204" s="90" t="str">
        <f t="shared" ca="1" si="18"/>
        <v/>
      </c>
      <c r="E204" s="82"/>
      <c r="F204" s="91" t="str">
        <f t="shared" si="19"/>
        <v/>
      </c>
      <c r="G204" s="27"/>
      <c r="H204" s="84"/>
      <c r="I204" s="92" t="str">
        <f>IF(A204="","Pending",IF(H204="","⚠️ Enter Code",IF(IFERROR(VLOOKUP(G204,DB_Agents!$B:$I,8,0),"")=H204,IF(AND(A204&lt;&gt;"",E204&lt;&gt;""),"Saved","Pending"),"🔒 BLOCKED — Wrong Code")))</f>
        <v>Pending</v>
      </c>
      <c r="J204" s="93" t="str">
        <f t="shared" ca="1" si="20"/>
        <v>—</v>
      </c>
      <c r="K204" s="94"/>
    </row>
    <row r="205" spans="1:11" x14ac:dyDescent="0.25">
      <c r="A205" s="79"/>
      <c r="B205" s="21" t="str">
        <f>IF(A205="","",IFERROR(VLOOKUP(A205,DB_Customers!$A:$D,4,0),"❌ Account Not Found"))</f>
        <v/>
      </c>
      <c r="C205" s="80" t="str">
        <f>IF(A205="","",IFERROR(VLOOKUP(A205,DB_Customers!$A:$N,14,0),""))</f>
        <v/>
      </c>
      <c r="D205" s="81" t="str">
        <f t="shared" ca="1" si="18"/>
        <v/>
      </c>
      <c r="E205" s="82"/>
      <c r="F205" s="83" t="str">
        <f t="shared" si="19"/>
        <v/>
      </c>
      <c r="G205" s="23"/>
      <c r="H205" s="84"/>
      <c r="I205" s="85" t="str">
        <f>IF(A205="","Pending",IF(H205="","⚠️ Enter Code",IF(IFERROR(VLOOKUP(G205,DB_Agents!$B:$I,8,0),"")=H205,IF(AND(A205&lt;&gt;"",E205&lt;&gt;""),"Saved","Pending"),"🔒 BLOCKED — Wrong Code")))</f>
        <v>Pending</v>
      </c>
      <c r="J205" s="86" t="str">
        <f t="shared" ca="1" si="20"/>
        <v>—</v>
      </c>
      <c r="K205" s="87"/>
    </row>
    <row r="206" spans="1:11" x14ac:dyDescent="0.25">
      <c r="A206" s="88"/>
      <c r="B206" s="25" t="str">
        <f>IF(A206="","",IFERROR(VLOOKUP(A206,DB_Customers!$A:$D,4,0),"❌ Account Not Found"))</f>
        <v/>
      </c>
      <c r="C206" s="89" t="str">
        <f>IF(A206="","",IFERROR(VLOOKUP(A206,DB_Customers!$A:$N,14,0),""))</f>
        <v/>
      </c>
      <c r="D206" s="90" t="str">
        <f t="shared" ca="1" si="18"/>
        <v/>
      </c>
      <c r="E206" s="82"/>
      <c r="F206" s="91" t="str">
        <f t="shared" si="19"/>
        <v/>
      </c>
      <c r="G206" s="27"/>
      <c r="H206" s="84"/>
      <c r="I206" s="92" t="str">
        <f>IF(A206="","Pending",IF(H206="","⚠️ Enter Code",IF(IFERROR(VLOOKUP(G206,DB_Agents!$B:$I,8,0),"")=H206,IF(AND(A206&lt;&gt;"",E206&lt;&gt;""),"Saved","Pending"),"🔒 BLOCKED — Wrong Code")))</f>
        <v>Pending</v>
      </c>
      <c r="J206" s="93" t="str">
        <f t="shared" ca="1" si="20"/>
        <v>—</v>
      </c>
      <c r="K206" s="94"/>
    </row>
    <row r="207" spans="1:11" x14ac:dyDescent="0.25">
      <c r="A207" s="79"/>
      <c r="B207" s="21" t="str">
        <f>IF(A207="","",IFERROR(VLOOKUP(A207,DB_Customers!$A:$D,4,0),"❌ Account Not Found"))</f>
        <v/>
      </c>
      <c r="C207" s="80" t="str">
        <f>IF(A207="","",IFERROR(VLOOKUP(A207,DB_Customers!$A:$N,14,0),""))</f>
        <v/>
      </c>
      <c r="D207" s="81" t="str">
        <f t="shared" ca="1" si="18"/>
        <v/>
      </c>
      <c r="E207" s="82"/>
      <c r="F207" s="83" t="str">
        <f t="shared" si="19"/>
        <v/>
      </c>
      <c r="G207" s="23"/>
      <c r="H207" s="84"/>
      <c r="I207" s="85" t="str">
        <f>IF(A207="","Pending",IF(H207="","⚠️ Enter Code",IF(IFERROR(VLOOKUP(G207,DB_Agents!$B:$I,8,0),"")=H207,IF(AND(A207&lt;&gt;"",E207&lt;&gt;""),"Saved","Pending"),"🔒 BLOCKED — Wrong Code")))</f>
        <v>Pending</v>
      </c>
      <c r="J207" s="86" t="str">
        <f t="shared" ca="1" si="20"/>
        <v>—</v>
      </c>
      <c r="K207" s="87"/>
    </row>
    <row r="208" spans="1:11" x14ac:dyDescent="0.25">
      <c r="A208" s="88"/>
      <c r="B208" s="25" t="str">
        <f>IF(A208="","",IFERROR(VLOOKUP(A208,DB_Customers!$A:$D,4,0),"❌ Account Not Found"))</f>
        <v/>
      </c>
      <c r="C208" s="89" t="str">
        <f>IF(A208="","",IFERROR(VLOOKUP(A208,DB_Customers!$A:$N,14,0),""))</f>
        <v/>
      </c>
      <c r="D208" s="90" t="str">
        <f t="shared" ca="1" si="18"/>
        <v/>
      </c>
      <c r="E208" s="82"/>
      <c r="F208" s="91" t="str">
        <f t="shared" si="19"/>
        <v/>
      </c>
      <c r="G208" s="27"/>
      <c r="H208" s="84"/>
      <c r="I208" s="92" t="str">
        <f>IF(A208="","Pending",IF(H208="","⚠️ Enter Code",IF(IFERROR(VLOOKUP(G208,DB_Agents!$B:$I,8,0),"")=H208,IF(AND(A208&lt;&gt;"",E208&lt;&gt;""),"Saved","Pending"),"🔒 BLOCKED — Wrong Code")))</f>
        <v>Pending</v>
      </c>
      <c r="J208" s="93" t="str">
        <f t="shared" ca="1" si="20"/>
        <v>—</v>
      </c>
      <c r="K208" s="94"/>
    </row>
  </sheetData>
  <mergeCells count="12">
    <mergeCell ref="A7:L7"/>
    <mergeCell ref="A4:C4"/>
    <mergeCell ref="D4:F4"/>
    <mergeCell ref="G4:I4"/>
    <mergeCell ref="J4:L4"/>
    <mergeCell ref="A5:L5"/>
    <mergeCell ref="A1:L1"/>
    <mergeCell ref="A2:L2"/>
    <mergeCell ref="A3:C3"/>
    <mergeCell ref="D3:F3"/>
    <mergeCell ref="G3:I3"/>
    <mergeCell ref="J3:L3"/>
  </mergeCells>
  <conditionalFormatting sqref="H9:H208">
    <cfRule type="cellIs" dxfId="82" priority="2" operator="equal">
      <formula>"Saved"</formula>
    </cfRule>
    <cfRule type="cellIs" dxfId="81" priority="3" operator="equal">
      <formula>"Pending"</formula>
    </cfRule>
  </conditionalFormatting>
  <conditionalFormatting sqref="A9:J208">
    <cfRule type="expression" dxfId="80" priority="4">
      <formula>$H9="Saved"</formula>
    </cfRule>
  </conditionalFormatting>
  <dataValidations count="2">
    <dataValidation type="decimal" operator="greaterThan" showErrorMessage="1" error="Must be &gt; 0" sqref="E9:E208" xr:uid="{00000000-0002-0000-0B00-000000000000}">
      <formula1>0</formula1>
      <formula2>0</formula2>
    </dataValidation>
    <dataValidation type="list" sqref="G9:G208" xr:uid="{00000000-0002-0000-0B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C0392B"/>
  </sheetPr>
  <dimension ref="A1:M208"/>
  <sheetViews>
    <sheetView zoomScaleNormal="100" workbookViewId="0">
      <pane ySplit="8" topLeftCell="A9" activePane="bottomLeft" state="frozen"/>
      <selection pane="bottomLeft"/>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5" customWidth="1"/>
    <col min="8" max="8" width="12" customWidth="1"/>
    <col min="9" max="9" width="14" customWidth="1"/>
    <col min="10" max="10" width="22" customWidth="1"/>
    <col min="11" max="11" width="20" customWidth="1"/>
  </cols>
  <sheetData>
    <row r="1" spans="1:13" ht="31.5" customHeight="1" x14ac:dyDescent="0.25">
      <c r="A1" s="210" t="s">
        <v>202</v>
      </c>
      <c r="B1" s="210"/>
      <c r="C1" s="210"/>
      <c r="D1" s="210"/>
      <c r="E1" s="210"/>
      <c r="F1" s="210"/>
      <c r="G1" s="210"/>
      <c r="H1" s="210"/>
      <c r="I1" s="210"/>
      <c r="J1" s="210"/>
      <c r="K1" s="210"/>
      <c r="L1" s="210"/>
      <c r="M1" s="210"/>
    </row>
    <row r="2" spans="1:13" ht="19.5" customHeight="1" x14ac:dyDescent="0.25">
      <c r="A2" s="211" t="s">
        <v>203</v>
      </c>
      <c r="B2" s="211"/>
      <c r="C2" s="211"/>
      <c r="D2" s="211"/>
      <c r="E2" s="211"/>
      <c r="F2" s="211"/>
      <c r="G2" s="211"/>
      <c r="H2" s="211"/>
      <c r="I2" s="211"/>
      <c r="J2" s="211"/>
      <c r="K2" s="211"/>
      <c r="L2" s="211"/>
      <c r="M2" s="211"/>
    </row>
    <row r="3" spans="1:13" ht="18" customHeight="1" x14ac:dyDescent="0.25">
      <c r="A3" s="178" t="s">
        <v>180</v>
      </c>
      <c r="B3" s="178"/>
      <c r="C3" s="178"/>
      <c r="D3" s="177" t="s">
        <v>181</v>
      </c>
      <c r="E3" s="177"/>
      <c r="F3" s="177"/>
      <c r="G3" s="19" t="s">
        <v>182</v>
      </c>
      <c r="K3" s="48" t="s">
        <v>169</v>
      </c>
    </row>
    <row r="4" spans="1:13" ht="27.75" customHeight="1" x14ac:dyDescent="0.25">
      <c r="A4" s="212">
        <f ca="1">SUMIFS(DB_Withdrawals!$G:$G,DB_Withdrawals!$J:$J,"Agent 03",DB_Withdrawals!$F:$F,TODAY())</f>
        <v>0</v>
      </c>
      <c r="B4" s="212"/>
      <c r="C4" s="212"/>
      <c r="D4" s="213">
        <f ca="1">COUNTIFS(DB_Withdrawals!$J:$J,"Agent 03",DB_Withdrawals!$K:$K,"Successful",DB_Withdrawals!$F:$F,TODAY())</f>
        <v>0</v>
      </c>
      <c r="E4" s="213"/>
      <c r="F4" s="213"/>
      <c r="G4" s="95">
        <f ca="1">COUNTIFS(DB_Withdrawals!$J:$J,"Agent 03",DB_Withdrawals!$K:$K,"Unsuccessful",DB_Withdrawals!$F:$F,TODAY())</f>
        <v>0</v>
      </c>
      <c r="K4" s="77" t="str">
        <f ca="1">TEXT(TODAY(),"DD MMM YYYY")</f>
        <v>19 Apr 2026</v>
      </c>
    </row>
    <row r="5" spans="1:13" ht="19.5" customHeight="1" x14ac:dyDescent="0.25">
      <c r="A5" s="214" t="s">
        <v>183</v>
      </c>
      <c r="B5" s="214"/>
      <c r="C5" s="214"/>
      <c r="D5" s="214"/>
      <c r="E5" s="214"/>
      <c r="F5" s="214"/>
      <c r="G5" s="214"/>
      <c r="H5" s="214"/>
      <c r="I5" s="214"/>
      <c r="J5" s="214"/>
      <c r="K5" s="214"/>
      <c r="L5" s="214"/>
      <c r="M5" s="214"/>
    </row>
    <row r="6" spans="1:13" ht="7.5" customHeight="1" x14ac:dyDescent="0.25"/>
    <row r="7" spans="1:13" ht="19.5" customHeight="1" x14ac:dyDescent="0.25">
      <c r="A7" s="215" t="s">
        <v>184</v>
      </c>
      <c r="B7" s="215"/>
      <c r="C7" s="215"/>
      <c r="D7" s="215"/>
      <c r="E7" s="215"/>
      <c r="F7" s="215"/>
      <c r="G7" s="215"/>
      <c r="H7" s="215"/>
      <c r="I7" s="215"/>
      <c r="J7" s="215"/>
      <c r="K7" s="215"/>
      <c r="L7" s="215"/>
      <c r="M7" s="215"/>
    </row>
    <row r="8" spans="1:13" ht="19.5" customHeight="1" x14ac:dyDescent="0.25">
      <c r="A8" s="96" t="s">
        <v>171</v>
      </c>
      <c r="B8" s="96" t="s">
        <v>118</v>
      </c>
      <c r="C8" s="96" t="s">
        <v>185</v>
      </c>
      <c r="D8" s="96" t="s">
        <v>111</v>
      </c>
      <c r="E8" s="96" t="s">
        <v>186</v>
      </c>
      <c r="F8" s="96" t="s">
        <v>187</v>
      </c>
      <c r="G8" s="96" t="s">
        <v>174</v>
      </c>
      <c r="H8" s="96" t="s">
        <v>32</v>
      </c>
      <c r="I8" s="78" t="s">
        <v>175</v>
      </c>
      <c r="J8" s="96" t="s">
        <v>155</v>
      </c>
      <c r="K8" s="96" t="s">
        <v>176</v>
      </c>
      <c r="L8" s="96" t="s">
        <v>177</v>
      </c>
    </row>
    <row r="9" spans="1:13" x14ac:dyDescent="0.25">
      <c r="A9" s="79"/>
      <c r="B9" s="21" t="str">
        <f>IF(A9="","",IFERROR(VLOOKUP(A9,DB_Customers!$A:$D,4,0),"❌ Account Not Found"))</f>
        <v/>
      </c>
      <c r="C9" s="80" t="str">
        <f>IF(A9="","",IFERROR(VLOOKUP(A9,DB_Customers!$A:$N,14,0),""))</f>
        <v/>
      </c>
      <c r="D9" s="81" t="str">
        <f t="shared" ref="D9:D40" ca="1" si="0">IF(A9="","",TODAY())</f>
        <v/>
      </c>
      <c r="E9" s="97"/>
      <c r="F9" s="21"/>
      <c r="G9" s="98" t="str">
        <f t="shared" ref="G9:G40" si="1">IF(OR(A9="",E9=""),"",IF(C9="","",C9-E9))</f>
        <v/>
      </c>
      <c r="H9" s="23" t="s">
        <v>43</v>
      </c>
      <c r="I9" s="84"/>
      <c r="J9" s="85" t="str">
        <f>IF(AND(A9&lt;&gt;"",E9&lt;&gt;""),IF(I9="","⚠️ Enter Code",IF(IFERROR(VLOOKUP(H9,DB_Agents!$B:$I,8,0),"")=I9,IF(C9&gt;=E9,"Successful","Unsuccessful"),"🔒 BLOCKED — Wrong Code")),"—")</f>
        <v>—</v>
      </c>
      <c r="K9" s="86" t="str">
        <f t="shared" ref="K9:K40" ca="1" si="2">IF(J9="Successful",TEXT(TODAY(),"YYYY-MM-DD")&amp;" Auto","—")</f>
        <v>—</v>
      </c>
      <c r="L9" s="87"/>
    </row>
    <row r="10" spans="1:13" x14ac:dyDescent="0.25">
      <c r="A10" s="88"/>
      <c r="B10" s="25" t="str">
        <f>IF(A10="","",IFERROR(VLOOKUP(A10,DB_Customers!$A:$D,4,0),"❌ Account Not Found"))</f>
        <v/>
      </c>
      <c r="C10" s="89" t="str">
        <f>IF(A10="","",IFERROR(VLOOKUP(A10,DB_Customers!$A:$N,14,0),""))</f>
        <v/>
      </c>
      <c r="D10" s="90" t="str">
        <f t="shared" ca="1" si="0"/>
        <v/>
      </c>
      <c r="E10" s="97"/>
      <c r="F10" s="25"/>
      <c r="G10" s="99" t="str">
        <f t="shared" si="1"/>
        <v/>
      </c>
      <c r="H10" s="27" t="s">
        <v>43</v>
      </c>
      <c r="I10" s="84"/>
      <c r="J10" s="92" t="str">
        <f>IF(AND(A10&lt;&gt;"",E10&lt;&gt;""),IF(I10="","⚠️ Enter Code",IF(IFERROR(VLOOKUP(H10,DB_Agents!$B:$I,8,0),"")=I10,IF(C10&gt;=E10,"Successful","Unsuccessful"),"🔒 BLOCKED — Wrong Code")),"—")</f>
        <v>—</v>
      </c>
      <c r="K10" s="93" t="str">
        <f t="shared" ca="1" si="2"/>
        <v>—</v>
      </c>
      <c r="L10" s="94"/>
    </row>
    <row r="11" spans="1:13" x14ac:dyDescent="0.25">
      <c r="A11" s="79"/>
      <c r="B11" s="21" t="str">
        <f>IF(A11="","",IFERROR(VLOOKUP(A11,DB_Customers!$A:$D,4,0),"❌ Account Not Found"))</f>
        <v/>
      </c>
      <c r="C11" s="80" t="str">
        <f>IF(A11="","",IFERROR(VLOOKUP(A11,DB_Customers!$A:$N,14,0),""))</f>
        <v/>
      </c>
      <c r="D11" s="81" t="str">
        <f t="shared" ca="1" si="0"/>
        <v/>
      </c>
      <c r="E11" s="97"/>
      <c r="F11" s="21"/>
      <c r="G11" s="98" t="str">
        <f t="shared" si="1"/>
        <v/>
      </c>
      <c r="H11" s="23" t="s">
        <v>43</v>
      </c>
      <c r="I11" s="84"/>
      <c r="J11" s="85" t="str">
        <f>IF(AND(A11&lt;&gt;"",E11&lt;&gt;""),IF(I11="","⚠️ Enter Code",IF(IFERROR(VLOOKUP(H11,DB_Agents!$B:$I,8,0),"")=I11,IF(C11&gt;=E11,"Successful","Unsuccessful"),"🔒 BLOCKED — Wrong Code")),"—")</f>
        <v>—</v>
      </c>
      <c r="K11" s="86" t="str">
        <f t="shared" ca="1" si="2"/>
        <v>—</v>
      </c>
      <c r="L11" s="87"/>
    </row>
    <row r="12" spans="1:13" x14ac:dyDescent="0.25">
      <c r="A12" s="88"/>
      <c r="B12" s="25" t="str">
        <f>IF(A12="","",IFERROR(VLOOKUP(A12,DB_Customers!$A:$D,4,0),"❌ Account Not Found"))</f>
        <v/>
      </c>
      <c r="C12" s="89" t="str">
        <f>IF(A12="","",IFERROR(VLOOKUP(A12,DB_Customers!$A:$N,14,0),""))</f>
        <v/>
      </c>
      <c r="D12" s="90" t="str">
        <f t="shared" ca="1" si="0"/>
        <v/>
      </c>
      <c r="E12" s="97"/>
      <c r="F12" s="25"/>
      <c r="G12" s="99" t="str">
        <f t="shared" si="1"/>
        <v/>
      </c>
      <c r="H12" s="27" t="s">
        <v>43</v>
      </c>
      <c r="I12" s="84"/>
      <c r="J12" s="92" t="str">
        <f>IF(AND(A12&lt;&gt;"",E12&lt;&gt;""),IF(I12="","⚠️ Enter Code",IF(IFERROR(VLOOKUP(H12,DB_Agents!$B:$I,8,0),"")=I12,IF(C12&gt;=E12,"Successful","Unsuccessful"),"🔒 BLOCKED — Wrong Code")),"—")</f>
        <v>—</v>
      </c>
      <c r="K12" s="93" t="str">
        <f t="shared" ca="1" si="2"/>
        <v>—</v>
      </c>
      <c r="L12" s="94"/>
    </row>
    <row r="13" spans="1:13" x14ac:dyDescent="0.25">
      <c r="A13" s="79"/>
      <c r="B13" s="21" t="str">
        <f>IF(A13="","",IFERROR(VLOOKUP(A13,DB_Customers!$A:$D,4,0),"❌ Account Not Found"))</f>
        <v/>
      </c>
      <c r="C13" s="80" t="str">
        <f>IF(A13="","",IFERROR(VLOOKUP(A13,DB_Customers!$A:$N,14,0),""))</f>
        <v/>
      </c>
      <c r="D13" s="81" t="str">
        <f t="shared" ca="1" si="0"/>
        <v/>
      </c>
      <c r="E13" s="97"/>
      <c r="F13" s="21"/>
      <c r="G13" s="98" t="str">
        <f t="shared" si="1"/>
        <v/>
      </c>
      <c r="H13" s="23" t="s">
        <v>43</v>
      </c>
      <c r="I13" s="84"/>
      <c r="J13" s="85" t="str">
        <f>IF(AND(A13&lt;&gt;"",E13&lt;&gt;""),IF(I13="","⚠️ Enter Code",IF(IFERROR(VLOOKUP(H13,DB_Agents!$B:$I,8,0),"")=I13,IF(C13&gt;=E13,"Successful","Unsuccessful"),"🔒 BLOCKED — Wrong Code")),"—")</f>
        <v>—</v>
      </c>
      <c r="K13" s="86" t="str">
        <f t="shared" ca="1" si="2"/>
        <v>—</v>
      </c>
      <c r="L13" s="87"/>
    </row>
    <row r="14" spans="1:13" x14ac:dyDescent="0.25">
      <c r="A14" s="88"/>
      <c r="B14" s="25" t="str">
        <f>IF(A14="","",IFERROR(VLOOKUP(A14,DB_Customers!$A:$D,4,0),"❌ Account Not Found"))</f>
        <v/>
      </c>
      <c r="C14" s="89" t="str">
        <f>IF(A14="","",IFERROR(VLOOKUP(A14,DB_Customers!$A:$N,14,0),""))</f>
        <v/>
      </c>
      <c r="D14" s="90" t="str">
        <f t="shared" ca="1" si="0"/>
        <v/>
      </c>
      <c r="E14" s="97"/>
      <c r="F14" s="25"/>
      <c r="G14" s="99" t="str">
        <f t="shared" si="1"/>
        <v/>
      </c>
      <c r="H14" s="27"/>
      <c r="I14" s="84"/>
      <c r="J14" s="92" t="str">
        <f>IF(AND(A14&lt;&gt;"",E14&lt;&gt;""),IF(I14="","⚠️ Enter Code",IF(IFERROR(VLOOKUP(H14,DB_Agents!$B:$I,8,0),"")=I14,IF(C14&gt;=E14,"Successful","Unsuccessful"),"🔒 BLOCKED — Wrong Code")),"—")</f>
        <v>—</v>
      </c>
      <c r="K14" s="93" t="str">
        <f t="shared" ca="1" si="2"/>
        <v>—</v>
      </c>
      <c r="L14" s="94"/>
    </row>
    <row r="15" spans="1:13" x14ac:dyDescent="0.25">
      <c r="A15" s="79"/>
      <c r="B15" s="21" t="str">
        <f>IF(A15="","",IFERROR(VLOOKUP(A15,DB_Customers!$A:$D,4,0),"❌ Account Not Found"))</f>
        <v/>
      </c>
      <c r="C15" s="80" t="str">
        <f>IF(A15="","",IFERROR(VLOOKUP(A15,DB_Customers!$A:$N,14,0),""))</f>
        <v/>
      </c>
      <c r="D15" s="81" t="str">
        <f t="shared" ca="1" si="0"/>
        <v/>
      </c>
      <c r="E15" s="97"/>
      <c r="F15" s="21"/>
      <c r="G15" s="98" t="str">
        <f t="shared" si="1"/>
        <v/>
      </c>
      <c r="H15" s="23"/>
      <c r="I15" s="84"/>
      <c r="J15" s="85" t="str">
        <f>IF(AND(A15&lt;&gt;"",E15&lt;&gt;""),IF(I15="","⚠️ Enter Code",IF(IFERROR(VLOOKUP(H15,DB_Agents!$B:$I,8,0),"")=I15,IF(C15&gt;=E15,"Successful","Unsuccessful"),"🔒 BLOCKED — Wrong Code")),"—")</f>
        <v>—</v>
      </c>
      <c r="K15" s="86" t="str">
        <f t="shared" ca="1" si="2"/>
        <v>—</v>
      </c>
      <c r="L15" s="87"/>
    </row>
    <row r="16" spans="1:13" x14ac:dyDescent="0.25">
      <c r="A16" s="88"/>
      <c r="B16" s="25" t="str">
        <f>IF(A16="","",IFERROR(VLOOKUP(A16,DB_Customers!$A:$D,4,0),"❌ Account Not Found"))</f>
        <v/>
      </c>
      <c r="C16" s="89" t="str">
        <f>IF(A16="","",IFERROR(VLOOKUP(A16,DB_Customers!$A:$N,14,0),""))</f>
        <v/>
      </c>
      <c r="D16" s="90" t="str">
        <f t="shared" ca="1" si="0"/>
        <v/>
      </c>
      <c r="E16" s="97"/>
      <c r="F16" s="25"/>
      <c r="G16" s="99" t="str">
        <f t="shared" si="1"/>
        <v/>
      </c>
      <c r="H16" s="27"/>
      <c r="I16" s="84"/>
      <c r="J16" s="92" t="str">
        <f>IF(AND(A16&lt;&gt;"",E16&lt;&gt;""),IF(I16="","⚠️ Enter Code",IF(IFERROR(VLOOKUP(H16,DB_Agents!$B:$I,8,0),"")=I16,IF(C16&gt;=E16,"Successful","Unsuccessful"),"🔒 BLOCKED — Wrong Code")),"—")</f>
        <v>—</v>
      </c>
      <c r="K16" s="93" t="str">
        <f t="shared" ca="1" si="2"/>
        <v>—</v>
      </c>
      <c r="L16" s="94"/>
    </row>
    <row r="17" spans="1:12" x14ac:dyDescent="0.25">
      <c r="A17" s="79"/>
      <c r="B17" s="21" t="str">
        <f>IF(A17="","",IFERROR(VLOOKUP(A17,DB_Customers!$A:$D,4,0),"❌ Account Not Found"))</f>
        <v/>
      </c>
      <c r="C17" s="80" t="str">
        <f>IF(A17="","",IFERROR(VLOOKUP(A17,DB_Customers!$A:$N,14,0),""))</f>
        <v/>
      </c>
      <c r="D17" s="81" t="str">
        <f t="shared" ca="1" si="0"/>
        <v/>
      </c>
      <c r="E17" s="97"/>
      <c r="F17" s="21"/>
      <c r="G17" s="98" t="str">
        <f t="shared" si="1"/>
        <v/>
      </c>
      <c r="H17" s="23"/>
      <c r="I17" s="84"/>
      <c r="J17" s="85" t="str">
        <f>IF(AND(A17&lt;&gt;"",E17&lt;&gt;""),IF(I17="","⚠️ Enter Code",IF(IFERROR(VLOOKUP(H17,DB_Agents!$B:$I,8,0),"")=I17,IF(C17&gt;=E17,"Successful","Unsuccessful"),"🔒 BLOCKED — Wrong Code")),"—")</f>
        <v>—</v>
      </c>
      <c r="K17" s="86" t="str">
        <f t="shared" ca="1" si="2"/>
        <v>—</v>
      </c>
      <c r="L17" s="87"/>
    </row>
    <row r="18" spans="1:12" x14ac:dyDescent="0.25">
      <c r="A18" s="88"/>
      <c r="B18" s="25" t="str">
        <f>IF(A18="","",IFERROR(VLOOKUP(A18,DB_Customers!$A:$D,4,0),"❌ Account Not Found"))</f>
        <v/>
      </c>
      <c r="C18" s="89" t="str">
        <f>IF(A18="","",IFERROR(VLOOKUP(A18,DB_Customers!$A:$N,14,0),""))</f>
        <v/>
      </c>
      <c r="D18" s="90" t="str">
        <f t="shared" ca="1" si="0"/>
        <v/>
      </c>
      <c r="E18" s="97"/>
      <c r="F18" s="25"/>
      <c r="G18" s="99" t="str">
        <f t="shared" si="1"/>
        <v/>
      </c>
      <c r="H18" s="27"/>
      <c r="I18" s="84"/>
      <c r="J18" s="92" t="str">
        <f>IF(AND(A18&lt;&gt;"",E18&lt;&gt;""),IF(I18="","⚠️ Enter Code",IF(IFERROR(VLOOKUP(H18,DB_Agents!$B:$I,8,0),"")=I18,IF(C18&gt;=E18,"Successful","Unsuccessful"),"🔒 BLOCKED — Wrong Code")),"—")</f>
        <v>—</v>
      </c>
      <c r="K18" s="93" t="str">
        <f t="shared" ca="1" si="2"/>
        <v>—</v>
      </c>
      <c r="L18" s="94"/>
    </row>
    <row r="19" spans="1:12" x14ac:dyDescent="0.25">
      <c r="A19" s="79"/>
      <c r="B19" s="21" t="str">
        <f>IF(A19="","",IFERROR(VLOOKUP(A19,DB_Customers!$A:$D,4,0),"❌ Account Not Found"))</f>
        <v/>
      </c>
      <c r="C19" s="80" t="str">
        <f>IF(A19="","",IFERROR(VLOOKUP(A19,DB_Customers!$A:$N,14,0),""))</f>
        <v/>
      </c>
      <c r="D19" s="81" t="str">
        <f t="shared" ca="1" si="0"/>
        <v/>
      </c>
      <c r="E19" s="97"/>
      <c r="F19" s="21"/>
      <c r="G19" s="98" t="str">
        <f t="shared" si="1"/>
        <v/>
      </c>
      <c r="H19" s="23"/>
      <c r="I19" s="84"/>
      <c r="J19" s="85" t="str">
        <f>IF(AND(A19&lt;&gt;"",E19&lt;&gt;""),IF(I19="","⚠️ Enter Code",IF(IFERROR(VLOOKUP(H19,DB_Agents!$B:$I,8,0),"")=I19,IF(C19&gt;=E19,"Successful","Unsuccessful"),"🔒 BLOCKED — Wrong Code")),"—")</f>
        <v>—</v>
      </c>
      <c r="K19" s="86" t="str">
        <f t="shared" ca="1" si="2"/>
        <v>—</v>
      </c>
      <c r="L19" s="87"/>
    </row>
    <row r="20" spans="1:12" x14ac:dyDescent="0.25">
      <c r="A20" s="88"/>
      <c r="B20" s="25" t="str">
        <f>IF(A20="","",IFERROR(VLOOKUP(A20,DB_Customers!$A:$D,4,0),"❌ Account Not Found"))</f>
        <v/>
      </c>
      <c r="C20" s="89" t="str">
        <f>IF(A20="","",IFERROR(VLOOKUP(A20,DB_Customers!$A:$N,14,0),""))</f>
        <v/>
      </c>
      <c r="D20" s="90" t="str">
        <f t="shared" ca="1" si="0"/>
        <v/>
      </c>
      <c r="E20" s="97"/>
      <c r="F20" s="25"/>
      <c r="G20" s="99" t="str">
        <f t="shared" si="1"/>
        <v/>
      </c>
      <c r="H20" s="27"/>
      <c r="I20" s="84"/>
      <c r="J20" s="92" t="str">
        <f>IF(AND(A20&lt;&gt;"",E20&lt;&gt;""),IF(I20="","⚠️ Enter Code",IF(IFERROR(VLOOKUP(H20,DB_Agents!$B:$I,8,0),"")=I20,IF(C20&gt;=E20,"Successful","Unsuccessful"),"🔒 BLOCKED — Wrong Code")),"—")</f>
        <v>—</v>
      </c>
      <c r="K20" s="93" t="str">
        <f t="shared" ca="1" si="2"/>
        <v>—</v>
      </c>
      <c r="L20" s="94"/>
    </row>
    <row r="21" spans="1:12" x14ac:dyDescent="0.25">
      <c r="A21" s="79"/>
      <c r="B21" s="21" t="str">
        <f>IF(A21="","",IFERROR(VLOOKUP(A21,DB_Customers!$A:$D,4,0),"❌ Account Not Found"))</f>
        <v/>
      </c>
      <c r="C21" s="80" t="str">
        <f>IF(A21="","",IFERROR(VLOOKUP(A21,DB_Customers!$A:$N,14,0),""))</f>
        <v/>
      </c>
      <c r="D21" s="81" t="str">
        <f t="shared" ca="1" si="0"/>
        <v/>
      </c>
      <c r="E21" s="97"/>
      <c r="F21" s="21"/>
      <c r="G21" s="98" t="str">
        <f t="shared" si="1"/>
        <v/>
      </c>
      <c r="H21" s="23"/>
      <c r="I21" s="84"/>
      <c r="J21" s="85" t="str">
        <f>IF(AND(A21&lt;&gt;"",E21&lt;&gt;""),IF(I21="","⚠️ Enter Code",IF(IFERROR(VLOOKUP(H21,DB_Agents!$B:$I,8,0),"")=I21,IF(C21&gt;=E21,"Successful","Unsuccessful"),"🔒 BLOCKED — Wrong Code")),"—")</f>
        <v>—</v>
      </c>
      <c r="K21" s="86" t="str">
        <f t="shared" ca="1" si="2"/>
        <v>—</v>
      </c>
      <c r="L21" s="87"/>
    </row>
    <row r="22" spans="1:12" x14ac:dyDescent="0.25">
      <c r="A22" s="88"/>
      <c r="B22" s="25" t="str">
        <f>IF(A22="","",IFERROR(VLOOKUP(A22,DB_Customers!$A:$D,4,0),"❌ Account Not Found"))</f>
        <v/>
      </c>
      <c r="C22" s="89" t="str">
        <f>IF(A22="","",IFERROR(VLOOKUP(A22,DB_Customers!$A:$N,14,0),""))</f>
        <v/>
      </c>
      <c r="D22" s="90" t="str">
        <f t="shared" ca="1" si="0"/>
        <v/>
      </c>
      <c r="E22" s="97"/>
      <c r="F22" s="25"/>
      <c r="G22" s="99" t="str">
        <f t="shared" si="1"/>
        <v/>
      </c>
      <c r="H22" s="27"/>
      <c r="I22" s="84"/>
      <c r="J22" s="92" t="str">
        <f>IF(AND(A22&lt;&gt;"",E22&lt;&gt;""),IF(I22="","⚠️ Enter Code",IF(IFERROR(VLOOKUP(H22,DB_Agents!$B:$I,8,0),"")=I22,IF(C22&gt;=E22,"Successful","Unsuccessful"),"🔒 BLOCKED — Wrong Code")),"—")</f>
        <v>—</v>
      </c>
      <c r="K22" s="93" t="str">
        <f t="shared" ca="1" si="2"/>
        <v>—</v>
      </c>
      <c r="L22" s="94"/>
    </row>
    <row r="23" spans="1:12" x14ac:dyDescent="0.25">
      <c r="A23" s="79"/>
      <c r="B23" s="21" t="str">
        <f>IF(A23="","",IFERROR(VLOOKUP(A23,DB_Customers!$A:$D,4,0),"❌ Account Not Found"))</f>
        <v/>
      </c>
      <c r="C23" s="80" t="str">
        <f>IF(A23="","",IFERROR(VLOOKUP(A23,DB_Customers!$A:$N,14,0),""))</f>
        <v/>
      </c>
      <c r="D23" s="81" t="str">
        <f t="shared" ca="1" si="0"/>
        <v/>
      </c>
      <c r="E23" s="97"/>
      <c r="F23" s="21"/>
      <c r="G23" s="98" t="str">
        <f t="shared" si="1"/>
        <v/>
      </c>
      <c r="H23" s="23"/>
      <c r="I23" s="84"/>
      <c r="J23" s="85" t="str">
        <f>IF(AND(A23&lt;&gt;"",E23&lt;&gt;""),IF(I23="","⚠️ Enter Code",IF(IFERROR(VLOOKUP(H23,DB_Agents!$B:$I,8,0),"")=I23,IF(C23&gt;=E23,"Successful","Unsuccessful"),"🔒 BLOCKED — Wrong Code")),"—")</f>
        <v>—</v>
      </c>
      <c r="K23" s="86" t="str">
        <f t="shared" ca="1" si="2"/>
        <v>—</v>
      </c>
      <c r="L23" s="87"/>
    </row>
    <row r="24" spans="1:12" x14ac:dyDescent="0.25">
      <c r="A24" s="88"/>
      <c r="B24" s="25" t="str">
        <f>IF(A24="","",IFERROR(VLOOKUP(A24,DB_Customers!$A:$D,4,0),"❌ Account Not Found"))</f>
        <v/>
      </c>
      <c r="C24" s="89" t="str">
        <f>IF(A24="","",IFERROR(VLOOKUP(A24,DB_Customers!$A:$N,14,0),""))</f>
        <v/>
      </c>
      <c r="D24" s="90" t="str">
        <f t="shared" ca="1" si="0"/>
        <v/>
      </c>
      <c r="E24" s="97"/>
      <c r="F24" s="25"/>
      <c r="G24" s="99" t="str">
        <f t="shared" si="1"/>
        <v/>
      </c>
      <c r="H24" s="27"/>
      <c r="I24" s="84"/>
      <c r="J24" s="92" t="str">
        <f>IF(AND(A24&lt;&gt;"",E24&lt;&gt;""),IF(I24="","⚠️ Enter Code",IF(IFERROR(VLOOKUP(H24,DB_Agents!$B:$I,8,0),"")=I24,IF(C24&gt;=E24,"Successful","Unsuccessful"),"🔒 BLOCKED — Wrong Code")),"—")</f>
        <v>—</v>
      </c>
      <c r="K24" s="93" t="str">
        <f t="shared" ca="1" si="2"/>
        <v>—</v>
      </c>
      <c r="L24" s="94"/>
    </row>
    <row r="25" spans="1:12" x14ac:dyDescent="0.25">
      <c r="A25" s="79"/>
      <c r="B25" s="21" t="str">
        <f>IF(A25="","",IFERROR(VLOOKUP(A25,DB_Customers!$A:$D,4,0),"❌ Account Not Found"))</f>
        <v/>
      </c>
      <c r="C25" s="80" t="str">
        <f>IF(A25="","",IFERROR(VLOOKUP(A25,DB_Customers!$A:$N,14,0),""))</f>
        <v/>
      </c>
      <c r="D25" s="81" t="str">
        <f t="shared" ca="1" si="0"/>
        <v/>
      </c>
      <c r="E25" s="97"/>
      <c r="F25" s="21"/>
      <c r="G25" s="98" t="str">
        <f t="shared" si="1"/>
        <v/>
      </c>
      <c r="H25" s="23"/>
      <c r="I25" s="84"/>
      <c r="J25" s="85" t="str">
        <f>IF(AND(A25&lt;&gt;"",E25&lt;&gt;""),IF(I25="","⚠️ Enter Code",IF(IFERROR(VLOOKUP(H25,DB_Agents!$B:$I,8,0),"")=I25,IF(C25&gt;=E25,"Successful","Unsuccessful"),"🔒 BLOCKED — Wrong Code")),"—")</f>
        <v>—</v>
      </c>
      <c r="K25" s="86" t="str">
        <f t="shared" ca="1" si="2"/>
        <v>—</v>
      </c>
      <c r="L25" s="87"/>
    </row>
    <row r="26" spans="1:12" x14ac:dyDescent="0.25">
      <c r="A26" s="88"/>
      <c r="B26" s="25" t="str">
        <f>IF(A26="","",IFERROR(VLOOKUP(A26,DB_Customers!$A:$D,4,0),"❌ Account Not Found"))</f>
        <v/>
      </c>
      <c r="C26" s="89" t="str">
        <f>IF(A26="","",IFERROR(VLOOKUP(A26,DB_Customers!$A:$N,14,0),""))</f>
        <v/>
      </c>
      <c r="D26" s="90" t="str">
        <f t="shared" ca="1" si="0"/>
        <v/>
      </c>
      <c r="E26" s="97"/>
      <c r="F26" s="25"/>
      <c r="G26" s="99" t="str">
        <f t="shared" si="1"/>
        <v/>
      </c>
      <c r="H26" s="27"/>
      <c r="I26" s="84"/>
      <c r="J26" s="92" t="str">
        <f>IF(AND(A26&lt;&gt;"",E26&lt;&gt;""),IF(I26="","⚠️ Enter Code",IF(IFERROR(VLOOKUP(H26,DB_Agents!$B:$I,8,0),"")=I26,IF(C26&gt;=E26,"Successful","Unsuccessful"),"🔒 BLOCKED — Wrong Code")),"—")</f>
        <v>—</v>
      </c>
      <c r="K26" s="93" t="str">
        <f t="shared" ca="1" si="2"/>
        <v>—</v>
      </c>
      <c r="L26" s="94"/>
    </row>
    <row r="27" spans="1:12" x14ac:dyDescent="0.25">
      <c r="A27" s="79"/>
      <c r="B27" s="21" t="str">
        <f>IF(A27="","",IFERROR(VLOOKUP(A27,DB_Customers!$A:$D,4,0),"❌ Account Not Found"))</f>
        <v/>
      </c>
      <c r="C27" s="80" t="str">
        <f>IF(A27="","",IFERROR(VLOOKUP(A27,DB_Customers!$A:$N,14,0),""))</f>
        <v/>
      </c>
      <c r="D27" s="81" t="str">
        <f t="shared" ca="1" si="0"/>
        <v/>
      </c>
      <c r="E27" s="97"/>
      <c r="F27" s="21"/>
      <c r="G27" s="98" t="str">
        <f t="shared" si="1"/>
        <v/>
      </c>
      <c r="H27" s="23"/>
      <c r="I27" s="84"/>
      <c r="J27" s="85" t="str">
        <f>IF(AND(A27&lt;&gt;"",E27&lt;&gt;""),IF(I27="","⚠️ Enter Code",IF(IFERROR(VLOOKUP(H27,DB_Agents!$B:$I,8,0),"")=I27,IF(C27&gt;=E27,"Successful","Unsuccessful"),"🔒 BLOCKED — Wrong Code")),"—")</f>
        <v>—</v>
      </c>
      <c r="K27" s="86" t="str">
        <f t="shared" ca="1" si="2"/>
        <v>—</v>
      </c>
      <c r="L27" s="87"/>
    </row>
    <row r="28" spans="1:12" x14ac:dyDescent="0.25">
      <c r="A28" s="88"/>
      <c r="B28" s="25" t="str">
        <f>IF(A28="","",IFERROR(VLOOKUP(A28,DB_Customers!$A:$D,4,0),"❌ Account Not Found"))</f>
        <v/>
      </c>
      <c r="C28" s="89" t="str">
        <f>IF(A28="","",IFERROR(VLOOKUP(A28,DB_Customers!$A:$N,14,0),""))</f>
        <v/>
      </c>
      <c r="D28" s="90" t="str">
        <f t="shared" ca="1" si="0"/>
        <v/>
      </c>
      <c r="E28" s="97"/>
      <c r="F28" s="25"/>
      <c r="G28" s="99" t="str">
        <f t="shared" si="1"/>
        <v/>
      </c>
      <c r="H28" s="27"/>
      <c r="I28" s="84"/>
      <c r="J28" s="92" t="str">
        <f>IF(AND(A28&lt;&gt;"",E28&lt;&gt;""),IF(I28="","⚠️ Enter Code",IF(IFERROR(VLOOKUP(H28,DB_Agents!$B:$I,8,0),"")=I28,IF(C28&gt;=E28,"Successful","Unsuccessful"),"🔒 BLOCKED — Wrong Code")),"—")</f>
        <v>—</v>
      </c>
      <c r="K28" s="93" t="str">
        <f t="shared" ca="1" si="2"/>
        <v>—</v>
      </c>
      <c r="L28" s="94"/>
    </row>
    <row r="29" spans="1:12" x14ac:dyDescent="0.25">
      <c r="A29" s="79"/>
      <c r="B29" s="21" t="str">
        <f>IF(A29="","",IFERROR(VLOOKUP(A29,DB_Customers!$A:$D,4,0),"❌ Account Not Found"))</f>
        <v/>
      </c>
      <c r="C29" s="80" t="str">
        <f>IF(A29="","",IFERROR(VLOOKUP(A29,DB_Customers!$A:$N,14,0),""))</f>
        <v/>
      </c>
      <c r="D29" s="81" t="str">
        <f t="shared" ca="1" si="0"/>
        <v/>
      </c>
      <c r="E29" s="97"/>
      <c r="F29" s="21"/>
      <c r="G29" s="98" t="str">
        <f t="shared" si="1"/>
        <v/>
      </c>
      <c r="H29" s="23"/>
      <c r="I29" s="84"/>
      <c r="J29" s="85" t="str">
        <f>IF(AND(A29&lt;&gt;"",E29&lt;&gt;""),IF(I29="","⚠️ Enter Code",IF(IFERROR(VLOOKUP(H29,DB_Agents!$B:$I,8,0),"")=I29,IF(C29&gt;=E29,"Successful","Unsuccessful"),"🔒 BLOCKED — Wrong Code")),"—")</f>
        <v>—</v>
      </c>
      <c r="K29" s="86" t="str">
        <f t="shared" ca="1" si="2"/>
        <v>—</v>
      </c>
      <c r="L29" s="87"/>
    </row>
    <row r="30" spans="1:12" x14ac:dyDescent="0.25">
      <c r="A30" s="88"/>
      <c r="B30" s="25" t="str">
        <f>IF(A30="","",IFERROR(VLOOKUP(A30,DB_Customers!$A:$D,4,0),"❌ Account Not Found"))</f>
        <v/>
      </c>
      <c r="C30" s="89" t="str">
        <f>IF(A30="","",IFERROR(VLOOKUP(A30,DB_Customers!$A:$N,14,0),""))</f>
        <v/>
      </c>
      <c r="D30" s="90" t="str">
        <f t="shared" ca="1" si="0"/>
        <v/>
      </c>
      <c r="E30" s="97"/>
      <c r="F30" s="25"/>
      <c r="G30" s="99" t="str">
        <f t="shared" si="1"/>
        <v/>
      </c>
      <c r="H30" s="27"/>
      <c r="I30" s="84"/>
      <c r="J30" s="92" t="str">
        <f>IF(AND(A30&lt;&gt;"",E30&lt;&gt;""),IF(I30="","⚠️ Enter Code",IF(IFERROR(VLOOKUP(H30,DB_Agents!$B:$I,8,0),"")=I30,IF(C30&gt;=E30,"Successful","Unsuccessful"),"🔒 BLOCKED — Wrong Code")),"—")</f>
        <v>—</v>
      </c>
      <c r="K30" s="93" t="str">
        <f t="shared" ca="1" si="2"/>
        <v>—</v>
      </c>
      <c r="L30" s="94"/>
    </row>
    <row r="31" spans="1:12" x14ac:dyDescent="0.25">
      <c r="A31" s="79"/>
      <c r="B31" s="21" t="str">
        <f>IF(A31="","",IFERROR(VLOOKUP(A31,DB_Customers!$A:$D,4,0),"❌ Account Not Found"))</f>
        <v/>
      </c>
      <c r="C31" s="80" t="str">
        <f>IF(A31="","",IFERROR(VLOOKUP(A31,DB_Customers!$A:$N,14,0),""))</f>
        <v/>
      </c>
      <c r="D31" s="81" t="str">
        <f t="shared" ca="1" si="0"/>
        <v/>
      </c>
      <c r="E31" s="97"/>
      <c r="F31" s="21"/>
      <c r="G31" s="98" t="str">
        <f t="shared" si="1"/>
        <v/>
      </c>
      <c r="H31" s="23"/>
      <c r="I31" s="84"/>
      <c r="J31" s="85" t="str">
        <f>IF(AND(A31&lt;&gt;"",E31&lt;&gt;""),IF(I31="","⚠️ Enter Code",IF(IFERROR(VLOOKUP(H31,DB_Agents!$B:$I,8,0),"")=I31,IF(C31&gt;=E31,"Successful","Unsuccessful"),"🔒 BLOCKED — Wrong Code")),"—")</f>
        <v>—</v>
      </c>
      <c r="K31" s="86" t="str">
        <f t="shared" ca="1" si="2"/>
        <v>—</v>
      </c>
      <c r="L31" s="87"/>
    </row>
    <row r="32" spans="1:12" x14ac:dyDescent="0.25">
      <c r="A32" s="88"/>
      <c r="B32" s="25" t="str">
        <f>IF(A32="","",IFERROR(VLOOKUP(A32,DB_Customers!$A:$D,4,0),"❌ Account Not Found"))</f>
        <v/>
      </c>
      <c r="C32" s="89" t="str">
        <f>IF(A32="","",IFERROR(VLOOKUP(A32,DB_Customers!$A:$N,14,0),""))</f>
        <v/>
      </c>
      <c r="D32" s="90" t="str">
        <f t="shared" ca="1" si="0"/>
        <v/>
      </c>
      <c r="E32" s="97"/>
      <c r="F32" s="25"/>
      <c r="G32" s="99" t="str">
        <f t="shared" si="1"/>
        <v/>
      </c>
      <c r="H32" s="27"/>
      <c r="I32" s="84"/>
      <c r="J32" s="92" t="str">
        <f>IF(AND(A32&lt;&gt;"",E32&lt;&gt;""),IF(I32="","⚠️ Enter Code",IF(IFERROR(VLOOKUP(H32,DB_Agents!$B:$I,8,0),"")=I32,IF(C32&gt;=E32,"Successful","Unsuccessful"),"🔒 BLOCKED — Wrong Code")),"—")</f>
        <v>—</v>
      </c>
      <c r="K32" s="93" t="str">
        <f t="shared" ca="1" si="2"/>
        <v>—</v>
      </c>
      <c r="L32" s="94"/>
    </row>
    <row r="33" spans="1:12" x14ac:dyDescent="0.25">
      <c r="A33" s="79"/>
      <c r="B33" s="21" t="str">
        <f>IF(A33="","",IFERROR(VLOOKUP(A33,DB_Customers!$A:$D,4,0),"❌ Account Not Found"))</f>
        <v/>
      </c>
      <c r="C33" s="80" t="str">
        <f>IF(A33="","",IFERROR(VLOOKUP(A33,DB_Customers!$A:$N,14,0),""))</f>
        <v/>
      </c>
      <c r="D33" s="81" t="str">
        <f t="shared" ca="1" si="0"/>
        <v/>
      </c>
      <c r="E33" s="97"/>
      <c r="F33" s="21"/>
      <c r="G33" s="98" t="str">
        <f t="shared" si="1"/>
        <v/>
      </c>
      <c r="H33" s="23"/>
      <c r="I33" s="84"/>
      <c r="J33" s="85" t="str">
        <f>IF(AND(A33&lt;&gt;"",E33&lt;&gt;""),IF(I33="","⚠️ Enter Code",IF(IFERROR(VLOOKUP(H33,DB_Agents!$B:$I,8,0),"")=I33,IF(C33&gt;=E33,"Successful","Unsuccessful"),"🔒 BLOCKED — Wrong Code")),"—")</f>
        <v>—</v>
      </c>
      <c r="K33" s="86" t="str">
        <f t="shared" ca="1" si="2"/>
        <v>—</v>
      </c>
      <c r="L33" s="87"/>
    </row>
    <row r="34" spans="1:12" x14ac:dyDescent="0.25">
      <c r="A34" s="88"/>
      <c r="B34" s="25" t="str">
        <f>IF(A34="","",IFERROR(VLOOKUP(A34,DB_Customers!$A:$D,4,0),"❌ Account Not Found"))</f>
        <v/>
      </c>
      <c r="C34" s="89" t="str">
        <f>IF(A34="","",IFERROR(VLOOKUP(A34,DB_Customers!$A:$N,14,0),""))</f>
        <v/>
      </c>
      <c r="D34" s="90" t="str">
        <f t="shared" ca="1" si="0"/>
        <v/>
      </c>
      <c r="E34" s="97"/>
      <c r="F34" s="25"/>
      <c r="G34" s="99" t="str">
        <f t="shared" si="1"/>
        <v/>
      </c>
      <c r="H34" s="27"/>
      <c r="I34" s="84"/>
      <c r="J34" s="92" t="str">
        <f>IF(AND(A34&lt;&gt;"",E34&lt;&gt;""),IF(I34="","⚠️ Enter Code",IF(IFERROR(VLOOKUP(H34,DB_Agents!$B:$I,8,0),"")=I34,IF(C34&gt;=E34,"Successful","Unsuccessful"),"🔒 BLOCKED — Wrong Code")),"—")</f>
        <v>—</v>
      </c>
      <c r="K34" s="93" t="str">
        <f t="shared" ca="1" si="2"/>
        <v>—</v>
      </c>
      <c r="L34" s="94"/>
    </row>
    <row r="35" spans="1:12" x14ac:dyDescent="0.25">
      <c r="A35" s="79"/>
      <c r="B35" s="21" t="str">
        <f>IF(A35="","",IFERROR(VLOOKUP(A35,DB_Customers!$A:$D,4,0),"❌ Account Not Found"))</f>
        <v/>
      </c>
      <c r="C35" s="80" t="str">
        <f>IF(A35="","",IFERROR(VLOOKUP(A35,DB_Customers!$A:$N,14,0),""))</f>
        <v/>
      </c>
      <c r="D35" s="81" t="str">
        <f t="shared" ca="1" si="0"/>
        <v/>
      </c>
      <c r="E35" s="97"/>
      <c r="F35" s="21"/>
      <c r="G35" s="98" t="str">
        <f t="shared" si="1"/>
        <v/>
      </c>
      <c r="H35" s="23"/>
      <c r="I35" s="84"/>
      <c r="J35" s="85" t="str">
        <f>IF(AND(A35&lt;&gt;"",E35&lt;&gt;""),IF(I35="","⚠️ Enter Code",IF(IFERROR(VLOOKUP(H35,DB_Agents!$B:$I,8,0),"")=I35,IF(C35&gt;=E35,"Successful","Unsuccessful"),"🔒 BLOCKED — Wrong Code")),"—")</f>
        <v>—</v>
      </c>
      <c r="K35" s="86" t="str">
        <f t="shared" ca="1" si="2"/>
        <v>—</v>
      </c>
      <c r="L35" s="87"/>
    </row>
    <row r="36" spans="1:12" x14ac:dyDescent="0.25">
      <c r="A36" s="88"/>
      <c r="B36" s="25" t="str">
        <f>IF(A36="","",IFERROR(VLOOKUP(A36,DB_Customers!$A:$D,4,0),"❌ Account Not Found"))</f>
        <v/>
      </c>
      <c r="C36" s="89" t="str">
        <f>IF(A36="","",IFERROR(VLOOKUP(A36,DB_Customers!$A:$N,14,0),""))</f>
        <v/>
      </c>
      <c r="D36" s="90" t="str">
        <f t="shared" ca="1" si="0"/>
        <v/>
      </c>
      <c r="E36" s="97"/>
      <c r="F36" s="25"/>
      <c r="G36" s="99" t="str">
        <f t="shared" si="1"/>
        <v/>
      </c>
      <c r="H36" s="27"/>
      <c r="I36" s="84"/>
      <c r="J36" s="92" t="str">
        <f>IF(AND(A36&lt;&gt;"",E36&lt;&gt;""),IF(I36="","⚠️ Enter Code",IF(IFERROR(VLOOKUP(H36,DB_Agents!$B:$I,8,0),"")=I36,IF(C36&gt;=E36,"Successful","Unsuccessful"),"🔒 BLOCKED — Wrong Code")),"—")</f>
        <v>—</v>
      </c>
      <c r="K36" s="93" t="str">
        <f t="shared" ca="1" si="2"/>
        <v>—</v>
      </c>
      <c r="L36" s="94"/>
    </row>
    <row r="37" spans="1:12" x14ac:dyDescent="0.25">
      <c r="A37" s="79"/>
      <c r="B37" s="21" t="str">
        <f>IF(A37="","",IFERROR(VLOOKUP(A37,DB_Customers!$A:$D,4,0),"❌ Account Not Found"))</f>
        <v/>
      </c>
      <c r="C37" s="80" t="str">
        <f>IF(A37="","",IFERROR(VLOOKUP(A37,DB_Customers!$A:$N,14,0),""))</f>
        <v/>
      </c>
      <c r="D37" s="81" t="str">
        <f t="shared" ca="1" si="0"/>
        <v/>
      </c>
      <c r="E37" s="97"/>
      <c r="F37" s="21"/>
      <c r="G37" s="98" t="str">
        <f t="shared" si="1"/>
        <v/>
      </c>
      <c r="H37" s="23"/>
      <c r="I37" s="84"/>
      <c r="J37" s="85" t="str">
        <f>IF(AND(A37&lt;&gt;"",E37&lt;&gt;""),IF(I37="","⚠️ Enter Code",IF(IFERROR(VLOOKUP(H37,DB_Agents!$B:$I,8,0),"")=I37,IF(C37&gt;=E37,"Successful","Unsuccessful"),"🔒 BLOCKED — Wrong Code")),"—")</f>
        <v>—</v>
      </c>
      <c r="K37" s="86" t="str">
        <f t="shared" ca="1" si="2"/>
        <v>—</v>
      </c>
      <c r="L37" s="87"/>
    </row>
    <row r="38" spans="1:12" x14ac:dyDescent="0.25">
      <c r="A38" s="88"/>
      <c r="B38" s="25" t="str">
        <f>IF(A38="","",IFERROR(VLOOKUP(A38,DB_Customers!$A:$D,4,0),"❌ Account Not Found"))</f>
        <v/>
      </c>
      <c r="C38" s="89" t="str">
        <f>IF(A38="","",IFERROR(VLOOKUP(A38,DB_Customers!$A:$N,14,0),""))</f>
        <v/>
      </c>
      <c r="D38" s="90" t="str">
        <f t="shared" ca="1" si="0"/>
        <v/>
      </c>
      <c r="E38" s="97"/>
      <c r="F38" s="25"/>
      <c r="G38" s="99" t="str">
        <f t="shared" si="1"/>
        <v/>
      </c>
      <c r="H38" s="27"/>
      <c r="I38" s="84"/>
      <c r="J38" s="92" t="str">
        <f>IF(AND(A38&lt;&gt;"",E38&lt;&gt;""),IF(I38="","⚠️ Enter Code",IF(IFERROR(VLOOKUP(H38,DB_Agents!$B:$I,8,0),"")=I38,IF(C38&gt;=E38,"Successful","Unsuccessful"),"🔒 BLOCKED — Wrong Code")),"—")</f>
        <v>—</v>
      </c>
      <c r="K38" s="93" t="str">
        <f t="shared" ca="1" si="2"/>
        <v>—</v>
      </c>
      <c r="L38" s="94"/>
    </row>
    <row r="39" spans="1:12" x14ac:dyDescent="0.25">
      <c r="A39" s="79"/>
      <c r="B39" s="21" t="str">
        <f>IF(A39="","",IFERROR(VLOOKUP(A39,DB_Customers!$A:$D,4,0),"❌ Account Not Found"))</f>
        <v/>
      </c>
      <c r="C39" s="80" t="str">
        <f>IF(A39="","",IFERROR(VLOOKUP(A39,DB_Customers!$A:$N,14,0),""))</f>
        <v/>
      </c>
      <c r="D39" s="81" t="str">
        <f t="shared" ca="1" si="0"/>
        <v/>
      </c>
      <c r="E39" s="97"/>
      <c r="F39" s="21"/>
      <c r="G39" s="98" t="str">
        <f t="shared" si="1"/>
        <v/>
      </c>
      <c r="H39" s="23"/>
      <c r="I39" s="84"/>
      <c r="J39" s="85" t="str">
        <f>IF(AND(A39&lt;&gt;"",E39&lt;&gt;""),IF(I39="","⚠️ Enter Code",IF(IFERROR(VLOOKUP(H39,DB_Agents!$B:$I,8,0),"")=I39,IF(C39&gt;=E39,"Successful","Unsuccessful"),"🔒 BLOCKED — Wrong Code")),"—")</f>
        <v>—</v>
      </c>
      <c r="K39" s="86" t="str">
        <f t="shared" ca="1" si="2"/>
        <v>—</v>
      </c>
      <c r="L39" s="87"/>
    </row>
    <row r="40" spans="1:12" x14ac:dyDescent="0.25">
      <c r="A40" s="88"/>
      <c r="B40" s="25" t="str">
        <f>IF(A40="","",IFERROR(VLOOKUP(A40,DB_Customers!$A:$D,4,0),"❌ Account Not Found"))</f>
        <v/>
      </c>
      <c r="C40" s="89" t="str">
        <f>IF(A40="","",IFERROR(VLOOKUP(A40,DB_Customers!$A:$N,14,0),""))</f>
        <v/>
      </c>
      <c r="D40" s="90" t="str">
        <f t="shared" ca="1" si="0"/>
        <v/>
      </c>
      <c r="E40" s="97"/>
      <c r="F40" s="25"/>
      <c r="G40" s="99" t="str">
        <f t="shared" si="1"/>
        <v/>
      </c>
      <c r="H40" s="27"/>
      <c r="I40" s="84"/>
      <c r="J40" s="92" t="str">
        <f>IF(AND(A40&lt;&gt;"",E40&lt;&gt;""),IF(I40="","⚠️ Enter Code",IF(IFERROR(VLOOKUP(H40,DB_Agents!$B:$I,8,0),"")=I40,IF(C40&gt;=E40,"Successful","Unsuccessful"),"🔒 BLOCKED — Wrong Code")),"—")</f>
        <v>—</v>
      </c>
      <c r="K40" s="93" t="str">
        <f t="shared" ca="1" si="2"/>
        <v>—</v>
      </c>
      <c r="L40" s="94"/>
    </row>
    <row r="41" spans="1:12" x14ac:dyDescent="0.25">
      <c r="A41" s="79"/>
      <c r="B41" s="21" t="str">
        <f>IF(A41="","",IFERROR(VLOOKUP(A41,DB_Customers!$A:$D,4,0),"❌ Account Not Found"))</f>
        <v/>
      </c>
      <c r="C41" s="80" t="str">
        <f>IF(A41="","",IFERROR(VLOOKUP(A41,DB_Customers!$A:$N,14,0),""))</f>
        <v/>
      </c>
      <c r="D41" s="81" t="str">
        <f t="shared" ref="D41:D72" ca="1" si="3">IF(A41="","",TODAY())</f>
        <v/>
      </c>
      <c r="E41" s="97"/>
      <c r="F41" s="21"/>
      <c r="G41" s="98" t="str">
        <f t="shared" ref="G41:G72" si="4">IF(OR(A41="",E41=""),"",IF(C41="","",C41-E41))</f>
        <v/>
      </c>
      <c r="H41" s="23"/>
      <c r="I41" s="84"/>
      <c r="J41" s="85" t="str">
        <f>IF(AND(A41&lt;&gt;"",E41&lt;&gt;""),IF(I41="","⚠️ Enter Code",IF(IFERROR(VLOOKUP(H41,DB_Agents!$B:$I,8,0),"")=I41,IF(C41&gt;=E41,"Successful","Unsuccessful"),"🔒 BLOCKED — Wrong Code")),"—")</f>
        <v>—</v>
      </c>
      <c r="K41" s="86" t="str">
        <f t="shared" ref="K41:K72" ca="1" si="5">IF(J41="Successful",TEXT(TODAY(),"YYYY-MM-DD")&amp;" Auto","—")</f>
        <v>—</v>
      </c>
      <c r="L41" s="87"/>
    </row>
    <row r="42" spans="1:12" x14ac:dyDescent="0.25">
      <c r="A42" s="88"/>
      <c r="B42" s="25" t="str">
        <f>IF(A42="","",IFERROR(VLOOKUP(A42,DB_Customers!$A:$D,4,0),"❌ Account Not Found"))</f>
        <v/>
      </c>
      <c r="C42" s="89" t="str">
        <f>IF(A42="","",IFERROR(VLOOKUP(A42,DB_Customers!$A:$N,14,0),""))</f>
        <v/>
      </c>
      <c r="D42" s="90" t="str">
        <f t="shared" ca="1" si="3"/>
        <v/>
      </c>
      <c r="E42" s="97"/>
      <c r="F42" s="25"/>
      <c r="G42" s="99" t="str">
        <f t="shared" si="4"/>
        <v/>
      </c>
      <c r="H42" s="27"/>
      <c r="I42" s="84"/>
      <c r="J42" s="92" t="str">
        <f>IF(AND(A42&lt;&gt;"",E42&lt;&gt;""),IF(I42="","⚠️ Enter Code",IF(IFERROR(VLOOKUP(H42,DB_Agents!$B:$I,8,0),"")=I42,IF(C42&gt;=E42,"Successful","Unsuccessful"),"🔒 BLOCKED — Wrong Code")),"—")</f>
        <v>—</v>
      </c>
      <c r="K42" s="93" t="str">
        <f t="shared" ca="1" si="5"/>
        <v>—</v>
      </c>
      <c r="L42" s="94"/>
    </row>
    <row r="43" spans="1:12" x14ac:dyDescent="0.25">
      <c r="A43" s="79"/>
      <c r="B43" s="21" t="str">
        <f>IF(A43="","",IFERROR(VLOOKUP(A43,DB_Customers!$A:$D,4,0),"❌ Account Not Found"))</f>
        <v/>
      </c>
      <c r="C43" s="80" t="str">
        <f>IF(A43="","",IFERROR(VLOOKUP(A43,DB_Customers!$A:$N,14,0),""))</f>
        <v/>
      </c>
      <c r="D43" s="81" t="str">
        <f t="shared" ca="1" si="3"/>
        <v/>
      </c>
      <c r="E43" s="97"/>
      <c r="F43" s="21"/>
      <c r="G43" s="98" t="str">
        <f t="shared" si="4"/>
        <v/>
      </c>
      <c r="H43" s="23"/>
      <c r="I43" s="84"/>
      <c r="J43" s="85" t="str">
        <f>IF(AND(A43&lt;&gt;"",E43&lt;&gt;""),IF(I43="","⚠️ Enter Code",IF(IFERROR(VLOOKUP(H43,DB_Agents!$B:$I,8,0),"")=I43,IF(C43&gt;=E43,"Successful","Unsuccessful"),"🔒 BLOCKED — Wrong Code")),"—")</f>
        <v>—</v>
      </c>
      <c r="K43" s="86" t="str">
        <f t="shared" ca="1" si="5"/>
        <v>—</v>
      </c>
      <c r="L43" s="87"/>
    </row>
    <row r="44" spans="1:12" x14ac:dyDescent="0.25">
      <c r="A44" s="88"/>
      <c r="B44" s="25" t="str">
        <f>IF(A44="","",IFERROR(VLOOKUP(A44,DB_Customers!$A:$D,4,0),"❌ Account Not Found"))</f>
        <v/>
      </c>
      <c r="C44" s="89" t="str">
        <f>IF(A44="","",IFERROR(VLOOKUP(A44,DB_Customers!$A:$N,14,0),""))</f>
        <v/>
      </c>
      <c r="D44" s="90" t="str">
        <f t="shared" ca="1" si="3"/>
        <v/>
      </c>
      <c r="E44" s="97"/>
      <c r="F44" s="25"/>
      <c r="G44" s="99" t="str">
        <f t="shared" si="4"/>
        <v/>
      </c>
      <c r="H44" s="27"/>
      <c r="I44" s="84"/>
      <c r="J44" s="92" t="str">
        <f>IF(AND(A44&lt;&gt;"",E44&lt;&gt;""),IF(I44="","⚠️ Enter Code",IF(IFERROR(VLOOKUP(H44,DB_Agents!$B:$I,8,0),"")=I44,IF(C44&gt;=E44,"Successful","Unsuccessful"),"🔒 BLOCKED — Wrong Code")),"—")</f>
        <v>—</v>
      </c>
      <c r="K44" s="93" t="str">
        <f t="shared" ca="1" si="5"/>
        <v>—</v>
      </c>
      <c r="L44" s="94"/>
    </row>
    <row r="45" spans="1:12" x14ac:dyDescent="0.25">
      <c r="A45" s="79"/>
      <c r="B45" s="21" t="str">
        <f>IF(A45="","",IFERROR(VLOOKUP(A45,DB_Customers!$A:$D,4,0),"❌ Account Not Found"))</f>
        <v/>
      </c>
      <c r="C45" s="80" t="str">
        <f>IF(A45="","",IFERROR(VLOOKUP(A45,DB_Customers!$A:$N,14,0),""))</f>
        <v/>
      </c>
      <c r="D45" s="81" t="str">
        <f t="shared" ca="1" si="3"/>
        <v/>
      </c>
      <c r="E45" s="97"/>
      <c r="F45" s="21"/>
      <c r="G45" s="98" t="str">
        <f t="shared" si="4"/>
        <v/>
      </c>
      <c r="H45" s="23"/>
      <c r="I45" s="84"/>
      <c r="J45" s="85" t="str">
        <f>IF(AND(A45&lt;&gt;"",E45&lt;&gt;""),IF(I45="","⚠️ Enter Code",IF(IFERROR(VLOOKUP(H45,DB_Agents!$B:$I,8,0),"")=I45,IF(C45&gt;=E45,"Successful","Unsuccessful"),"🔒 BLOCKED — Wrong Code")),"—")</f>
        <v>—</v>
      </c>
      <c r="K45" s="86" t="str">
        <f t="shared" ca="1" si="5"/>
        <v>—</v>
      </c>
      <c r="L45" s="87"/>
    </row>
    <row r="46" spans="1:12" x14ac:dyDescent="0.25">
      <c r="A46" s="88"/>
      <c r="B46" s="25" t="str">
        <f>IF(A46="","",IFERROR(VLOOKUP(A46,DB_Customers!$A:$D,4,0),"❌ Account Not Found"))</f>
        <v/>
      </c>
      <c r="C46" s="89" t="str">
        <f>IF(A46="","",IFERROR(VLOOKUP(A46,DB_Customers!$A:$N,14,0),""))</f>
        <v/>
      </c>
      <c r="D46" s="90" t="str">
        <f t="shared" ca="1" si="3"/>
        <v/>
      </c>
      <c r="E46" s="97"/>
      <c r="F46" s="25"/>
      <c r="G46" s="99" t="str">
        <f t="shared" si="4"/>
        <v/>
      </c>
      <c r="H46" s="27"/>
      <c r="I46" s="84"/>
      <c r="J46" s="92" t="str">
        <f>IF(AND(A46&lt;&gt;"",E46&lt;&gt;""),IF(I46="","⚠️ Enter Code",IF(IFERROR(VLOOKUP(H46,DB_Agents!$B:$I,8,0),"")=I46,IF(C46&gt;=E46,"Successful","Unsuccessful"),"🔒 BLOCKED — Wrong Code")),"—")</f>
        <v>—</v>
      </c>
      <c r="K46" s="93" t="str">
        <f t="shared" ca="1" si="5"/>
        <v>—</v>
      </c>
      <c r="L46" s="94"/>
    </row>
    <row r="47" spans="1:12" x14ac:dyDescent="0.25">
      <c r="A47" s="79"/>
      <c r="B47" s="21" t="str">
        <f>IF(A47="","",IFERROR(VLOOKUP(A47,DB_Customers!$A:$D,4,0),"❌ Account Not Found"))</f>
        <v/>
      </c>
      <c r="C47" s="80" t="str">
        <f>IF(A47="","",IFERROR(VLOOKUP(A47,DB_Customers!$A:$N,14,0),""))</f>
        <v/>
      </c>
      <c r="D47" s="81" t="str">
        <f t="shared" ca="1" si="3"/>
        <v/>
      </c>
      <c r="E47" s="97"/>
      <c r="F47" s="21"/>
      <c r="G47" s="98" t="str">
        <f t="shared" si="4"/>
        <v/>
      </c>
      <c r="H47" s="23"/>
      <c r="I47" s="84"/>
      <c r="J47" s="85" t="str">
        <f>IF(AND(A47&lt;&gt;"",E47&lt;&gt;""),IF(I47="","⚠️ Enter Code",IF(IFERROR(VLOOKUP(H47,DB_Agents!$B:$I,8,0),"")=I47,IF(C47&gt;=E47,"Successful","Unsuccessful"),"🔒 BLOCKED — Wrong Code")),"—")</f>
        <v>—</v>
      </c>
      <c r="K47" s="86" t="str">
        <f t="shared" ca="1" si="5"/>
        <v>—</v>
      </c>
      <c r="L47" s="87"/>
    </row>
    <row r="48" spans="1:12" x14ac:dyDescent="0.25">
      <c r="A48" s="88"/>
      <c r="B48" s="25" t="str">
        <f>IF(A48="","",IFERROR(VLOOKUP(A48,DB_Customers!$A:$D,4,0),"❌ Account Not Found"))</f>
        <v/>
      </c>
      <c r="C48" s="89" t="str">
        <f>IF(A48="","",IFERROR(VLOOKUP(A48,DB_Customers!$A:$N,14,0),""))</f>
        <v/>
      </c>
      <c r="D48" s="90" t="str">
        <f t="shared" ca="1" si="3"/>
        <v/>
      </c>
      <c r="E48" s="97"/>
      <c r="F48" s="25"/>
      <c r="G48" s="99" t="str">
        <f t="shared" si="4"/>
        <v/>
      </c>
      <c r="H48" s="27"/>
      <c r="I48" s="84"/>
      <c r="J48" s="92" t="str">
        <f>IF(AND(A48&lt;&gt;"",E48&lt;&gt;""),IF(I48="","⚠️ Enter Code",IF(IFERROR(VLOOKUP(H48,DB_Agents!$B:$I,8,0),"")=I48,IF(C48&gt;=E48,"Successful","Unsuccessful"),"🔒 BLOCKED — Wrong Code")),"—")</f>
        <v>—</v>
      </c>
      <c r="K48" s="93" t="str">
        <f t="shared" ca="1" si="5"/>
        <v>—</v>
      </c>
      <c r="L48" s="94"/>
    </row>
    <row r="49" spans="1:12" x14ac:dyDescent="0.25">
      <c r="A49" s="79"/>
      <c r="B49" s="21" t="str">
        <f>IF(A49="","",IFERROR(VLOOKUP(A49,DB_Customers!$A:$D,4,0),"❌ Account Not Found"))</f>
        <v/>
      </c>
      <c r="C49" s="80" t="str">
        <f>IF(A49="","",IFERROR(VLOOKUP(A49,DB_Customers!$A:$N,14,0),""))</f>
        <v/>
      </c>
      <c r="D49" s="81" t="str">
        <f t="shared" ca="1" si="3"/>
        <v/>
      </c>
      <c r="E49" s="97"/>
      <c r="F49" s="21"/>
      <c r="G49" s="98" t="str">
        <f t="shared" si="4"/>
        <v/>
      </c>
      <c r="H49" s="23"/>
      <c r="I49" s="84"/>
      <c r="J49" s="85" t="str">
        <f>IF(AND(A49&lt;&gt;"",E49&lt;&gt;""),IF(I49="","⚠️ Enter Code",IF(IFERROR(VLOOKUP(H49,DB_Agents!$B:$I,8,0),"")=I49,IF(C49&gt;=E49,"Successful","Unsuccessful"),"🔒 BLOCKED — Wrong Code")),"—")</f>
        <v>—</v>
      </c>
      <c r="K49" s="86" t="str">
        <f t="shared" ca="1" si="5"/>
        <v>—</v>
      </c>
      <c r="L49" s="87"/>
    </row>
    <row r="50" spans="1:12" x14ac:dyDescent="0.25">
      <c r="A50" s="88"/>
      <c r="B50" s="25" t="str">
        <f>IF(A50="","",IFERROR(VLOOKUP(A50,DB_Customers!$A:$D,4,0),"❌ Account Not Found"))</f>
        <v/>
      </c>
      <c r="C50" s="89" t="str">
        <f>IF(A50="","",IFERROR(VLOOKUP(A50,DB_Customers!$A:$N,14,0),""))</f>
        <v/>
      </c>
      <c r="D50" s="90" t="str">
        <f t="shared" ca="1" si="3"/>
        <v/>
      </c>
      <c r="E50" s="97"/>
      <c r="F50" s="25"/>
      <c r="G50" s="99" t="str">
        <f t="shared" si="4"/>
        <v/>
      </c>
      <c r="H50" s="27"/>
      <c r="I50" s="84"/>
      <c r="J50" s="92" t="str">
        <f>IF(AND(A50&lt;&gt;"",E50&lt;&gt;""),IF(I50="","⚠️ Enter Code",IF(IFERROR(VLOOKUP(H50,DB_Agents!$B:$I,8,0),"")=I50,IF(C50&gt;=E50,"Successful","Unsuccessful"),"🔒 BLOCKED — Wrong Code")),"—")</f>
        <v>—</v>
      </c>
      <c r="K50" s="93" t="str">
        <f t="shared" ca="1" si="5"/>
        <v>—</v>
      </c>
      <c r="L50" s="94"/>
    </row>
    <row r="51" spans="1:12" x14ac:dyDescent="0.25">
      <c r="A51" s="79"/>
      <c r="B51" s="21" t="str">
        <f>IF(A51="","",IFERROR(VLOOKUP(A51,DB_Customers!$A:$D,4,0),"❌ Account Not Found"))</f>
        <v/>
      </c>
      <c r="C51" s="80" t="str">
        <f>IF(A51="","",IFERROR(VLOOKUP(A51,DB_Customers!$A:$N,14,0),""))</f>
        <v/>
      </c>
      <c r="D51" s="81" t="str">
        <f t="shared" ca="1" si="3"/>
        <v/>
      </c>
      <c r="E51" s="97"/>
      <c r="F51" s="21"/>
      <c r="G51" s="98" t="str">
        <f t="shared" si="4"/>
        <v/>
      </c>
      <c r="H51" s="23"/>
      <c r="I51" s="84"/>
      <c r="J51" s="85" t="str">
        <f>IF(AND(A51&lt;&gt;"",E51&lt;&gt;""),IF(I51="","⚠️ Enter Code",IF(IFERROR(VLOOKUP(H51,DB_Agents!$B:$I,8,0),"")=I51,IF(C51&gt;=E51,"Successful","Unsuccessful"),"🔒 BLOCKED — Wrong Code")),"—")</f>
        <v>—</v>
      </c>
      <c r="K51" s="86" t="str">
        <f t="shared" ca="1" si="5"/>
        <v>—</v>
      </c>
      <c r="L51" s="87"/>
    </row>
    <row r="52" spans="1:12" x14ac:dyDescent="0.25">
      <c r="A52" s="88"/>
      <c r="B52" s="25" t="str">
        <f>IF(A52="","",IFERROR(VLOOKUP(A52,DB_Customers!$A:$D,4,0),"❌ Account Not Found"))</f>
        <v/>
      </c>
      <c r="C52" s="89" t="str">
        <f>IF(A52="","",IFERROR(VLOOKUP(A52,DB_Customers!$A:$N,14,0),""))</f>
        <v/>
      </c>
      <c r="D52" s="90" t="str">
        <f t="shared" ca="1" si="3"/>
        <v/>
      </c>
      <c r="E52" s="97"/>
      <c r="F52" s="25"/>
      <c r="G52" s="99" t="str">
        <f t="shared" si="4"/>
        <v/>
      </c>
      <c r="H52" s="27"/>
      <c r="I52" s="84"/>
      <c r="J52" s="92" t="str">
        <f>IF(AND(A52&lt;&gt;"",E52&lt;&gt;""),IF(I52="","⚠️ Enter Code",IF(IFERROR(VLOOKUP(H52,DB_Agents!$B:$I,8,0),"")=I52,IF(C52&gt;=E52,"Successful","Unsuccessful"),"🔒 BLOCKED — Wrong Code")),"—")</f>
        <v>—</v>
      </c>
      <c r="K52" s="93" t="str">
        <f t="shared" ca="1" si="5"/>
        <v>—</v>
      </c>
      <c r="L52" s="94"/>
    </row>
    <row r="53" spans="1:12" x14ac:dyDescent="0.25">
      <c r="A53" s="79"/>
      <c r="B53" s="21" t="str">
        <f>IF(A53="","",IFERROR(VLOOKUP(A53,DB_Customers!$A:$D,4,0),"❌ Account Not Found"))</f>
        <v/>
      </c>
      <c r="C53" s="80" t="str">
        <f>IF(A53="","",IFERROR(VLOOKUP(A53,DB_Customers!$A:$N,14,0),""))</f>
        <v/>
      </c>
      <c r="D53" s="81" t="str">
        <f t="shared" ca="1" si="3"/>
        <v/>
      </c>
      <c r="E53" s="97"/>
      <c r="F53" s="21"/>
      <c r="G53" s="98" t="str">
        <f t="shared" si="4"/>
        <v/>
      </c>
      <c r="H53" s="23"/>
      <c r="I53" s="84"/>
      <c r="J53" s="85" t="str">
        <f>IF(AND(A53&lt;&gt;"",E53&lt;&gt;""),IF(I53="","⚠️ Enter Code",IF(IFERROR(VLOOKUP(H53,DB_Agents!$B:$I,8,0),"")=I53,IF(C53&gt;=E53,"Successful","Unsuccessful"),"🔒 BLOCKED — Wrong Code")),"—")</f>
        <v>—</v>
      </c>
      <c r="K53" s="86" t="str">
        <f t="shared" ca="1" si="5"/>
        <v>—</v>
      </c>
      <c r="L53" s="87"/>
    </row>
    <row r="54" spans="1:12" x14ac:dyDescent="0.25">
      <c r="A54" s="88"/>
      <c r="B54" s="25" t="str">
        <f>IF(A54="","",IFERROR(VLOOKUP(A54,DB_Customers!$A:$D,4,0),"❌ Account Not Found"))</f>
        <v/>
      </c>
      <c r="C54" s="89" t="str">
        <f>IF(A54="","",IFERROR(VLOOKUP(A54,DB_Customers!$A:$N,14,0),""))</f>
        <v/>
      </c>
      <c r="D54" s="90" t="str">
        <f t="shared" ca="1" si="3"/>
        <v/>
      </c>
      <c r="E54" s="97"/>
      <c r="F54" s="25"/>
      <c r="G54" s="99" t="str">
        <f t="shared" si="4"/>
        <v/>
      </c>
      <c r="H54" s="27"/>
      <c r="I54" s="84"/>
      <c r="J54" s="92" t="str">
        <f>IF(AND(A54&lt;&gt;"",E54&lt;&gt;""),IF(I54="","⚠️ Enter Code",IF(IFERROR(VLOOKUP(H54,DB_Agents!$B:$I,8,0),"")=I54,IF(C54&gt;=E54,"Successful","Unsuccessful"),"🔒 BLOCKED — Wrong Code")),"—")</f>
        <v>—</v>
      </c>
      <c r="K54" s="93" t="str">
        <f t="shared" ca="1" si="5"/>
        <v>—</v>
      </c>
      <c r="L54" s="94"/>
    </row>
    <row r="55" spans="1:12" x14ac:dyDescent="0.25">
      <c r="A55" s="79"/>
      <c r="B55" s="21" t="str">
        <f>IF(A55="","",IFERROR(VLOOKUP(A55,DB_Customers!$A:$D,4,0),"❌ Account Not Found"))</f>
        <v/>
      </c>
      <c r="C55" s="80" t="str">
        <f>IF(A55="","",IFERROR(VLOOKUP(A55,DB_Customers!$A:$N,14,0),""))</f>
        <v/>
      </c>
      <c r="D55" s="81" t="str">
        <f t="shared" ca="1" si="3"/>
        <v/>
      </c>
      <c r="E55" s="97"/>
      <c r="F55" s="21"/>
      <c r="G55" s="98" t="str">
        <f t="shared" si="4"/>
        <v/>
      </c>
      <c r="H55" s="23"/>
      <c r="I55" s="84"/>
      <c r="J55" s="85" t="str">
        <f>IF(AND(A55&lt;&gt;"",E55&lt;&gt;""),IF(I55="","⚠️ Enter Code",IF(IFERROR(VLOOKUP(H55,DB_Agents!$B:$I,8,0),"")=I55,IF(C55&gt;=E55,"Successful","Unsuccessful"),"🔒 BLOCKED — Wrong Code")),"—")</f>
        <v>—</v>
      </c>
      <c r="K55" s="86" t="str">
        <f t="shared" ca="1" si="5"/>
        <v>—</v>
      </c>
      <c r="L55" s="87"/>
    </row>
    <row r="56" spans="1:12" x14ac:dyDescent="0.25">
      <c r="A56" s="88"/>
      <c r="B56" s="25" t="str">
        <f>IF(A56="","",IFERROR(VLOOKUP(A56,DB_Customers!$A:$D,4,0),"❌ Account Not Found"))</f>
        <v/>
      </c>
      <c r="C56" s="89" t="str">
        <f>IF(A56="","",IFERROR(VLOOKUP(A56,DB_Customers!$A:$N,14,0),""))</f>
        <v/>
      </c>
      <c r="D56" s="90" t="str">
        <f t="shared" ca="1" si="3"/>
        <v/>
      </c>
      <c r="E56" s="97"/>
      <c r="F56" s="25"/>
      <c r="G56" s="99" t="str">
        <f t="shared" si="4"/>
        <v/>
      </c>
      <c r="H56" s="27"/>
      <c r="I56" s="84"/>
      <c r="J56" s="92" t="str">
        <f>IF(AND(A56&lt;&gt;"",E56&lt;&gt;""),IF(I56="","⚠️ Enter Code",IF(IFERROR(VLOOKUP(H56,DB_Agents!$B:$I,8,0),"")=I56,IF(C56&gt;=E56,"Successful","Unsuccessful"),"🔒 BLOCKED — Wrong Code")),"—")</f>
        <v>—</v>
      </c>
      <c r="K56" s="93" t="str">
        <f t="shared" ca="1" si="5"/>
        <v>—</v>
      </c>
      <c r="L56" s="94"/>
    </row>
    <row r="57" spans="1:12" x14ac:dyDescent="0.25">
      <c r="A57" s="79"/>
      <c r="B57" s="21" t="str">
        <f>IF(A57="","",IFERROR(VLOOKUP(A57,DB_Customers!$A:$D,4,0),"❌ Account Not Found"))</f>
        <v/>
      </c>
      <c r="C57" s="80" t="str">
        <f>IF(A57="","",IFERROR(VLOOKUP(A57,DB_Customers!$A:$N,14,0),""))</f>
        <v/>
      </c>
      <c r="D57" s="81" t="str">
        <f t="shared" ca="1" si="3"/>
        <v/>
      </c>
      <c r="E57" s="97"/>
      <c r="F57" s="21"/>
      <c r="G57" s="98" t="str">
        <f t="shared" si="4"/>
        <v/>
      </c>
      <c r="H57" s="23"/>
      <c r="I57" s="84"/>
      <c r="J57" s="85" t="str">
        <f>IF(AND(A57&lt;&gt;"",E57&lt;&gt;""),IF(I57="","⚠️ Enter Code",IF(IFERROR(VLOOKUP(H57,DB_Agents!$B:$I,8,0),"")=I57,IF(C57&gt;=E57,"Successful","Unsuccessful"),"🔒 BLOCKED — Wrong Code")),"—")</f>
        <v>—</v>
      </c>
      <c r="K57" s="86" t="str">
        <f t="shared" ca="1" si="5"/>
        <v>—</v>
      </c>
      <c r="L57" s="87"/>
    </row>
    <row r="58" spans="1:12" x14ac:dyDescent="0.25">
      <c r="A58" s="88"/>
      <c r="B58" s="25" t="str">
        <f>IF(A58="","",IFERROR(VLOOKUP(A58,DB_Customers!$A:$D,4,0),"❌ Account Not Found"))</f>
        <v/>
      </c>
      <c r="C58" s="89" t="str">
        <f>IF(A58="","",IFERROR(VLOOKUP(A58,DB_Customers!$A:$N,14,0),""))</f>
        <v/>
      </c>
      <c r="D58" s="90" t="str">
        <f t="shared" ca="1" si="3"/>
        <v/>
      </c>
      <c r="E58" s="97"/>
      <c r="F58" s="25"/>
      <c r="G58" s="99" t="str">
        <f t="shared" si="4"/>
        <v/>
      </c>
      <c r="H58" s="27"/>
      <c r="I58" s="84"/>
      <c r="J58" s="92" t="str">
        <f>IF(AND(A58&lt;&gt;"",E58&lt;&gt;""),IF(I58="","⚠️ Enter Code",IF(IFERROR(VLOOKUP(H58,DB_Agents!$B:$I,8,0),"")=I58,IF(C58&gt;=E58,"Successful","Unsuccessful"),"🔒 BLOCKED — Wrong Code")),"—")</f>
        <v>—</v>
      </c>
      <c r="K58" s="93" t="str">
        <f t="shared" ca="1" si="5"/>
        <v>—</v>
      </c>
      <c r="L58" s="94"/>
    </row>
    <row r="59" spans="1:12" x14ac:dyDescent="0.25">
      <c r="A59" s="79"/>
      <c r="B59" s="21" t="str">
        <f>IF(A59="","",IFERROR(VLOOKUP(A59,DB_Customers!$A:$D,4,0),"❌ Account Not Found"))</f>
        <v/>
      </c>
      <c r="C59" s="80" t="str">
        <f>IF(A59="","",IFERROR(VLOOKUP(A59,DB_Customers!$A:$N,14,0),""))</f>
        <v/>
      </c>
      <c r="D59" s="81" t="str">
        <f t="shared" ca="1" si="3"/>
        <v/>
      </c>
      <c r="E59" s="97"/>
      <c r="F59" s="21"/>
      <c r="G59" s="98" t="str">
        <f t="shared" si="4"/>
        <v/>
      </c>
      <c r="H59" s="23"/>
      <c r="I59" s="84"/>
      <c r="J59" s="85" t="str">
        <f>IF(AND(A59&lt;&gt;"",E59&lt;&gt;""),IF(I59="","⚠️ Enter Code",IF(IFERROR(VLOOKUP(H59,DB_Agents!$B:$I,8,0),"")=I59,IF(C59&gt;=E59,"Successful","Unsuccessful"),"🔒 BLOCKED — Wrong Code")),"—")</f>
        <v>—</v>
      </c>
      <c r="K59" s="86" t="str">
        <f t="shared" ca="1" si="5"/>
        <v>—</v>
      </c>
      <c r="L59" s="87"/>
    </row>
    <row r="60" spans="1:12" x14ac:dyDescent="0.25">
      <c r="A60" s="88"/>
      <c r="B60" s="25" t="str">
        <f>IF(A60="","",IFERROR(VLOOKUP(A60,DB_Customers!$A:$D,4,0),"❌ Account Not Found"))</f>
        <v/>
      </c>
      <c r="C60" s="89" t="str">
        <f>IF(A60="","",IFERROR(VLOOKUP(A60,DB_Customers!$A:$N,14,0),""))</f>
        <v/>
      </c>
      <c r="D60" s="90" t="str">
        <f t="shared" ca="1" si="3"/>
        <v/>
      </c>
      <c r="E60" s="97"/>
      <c r="F60" s="25"/>
      <c r="G60" s="99" t="str">
        <f t="shared" si="4"/>
        <v/>
      </c>
      <c r="H60" s="27"/>
      <c r="I60" s="84"/>
      <c r="J60" s="92" t="str">
        <f>IF(AND(A60&lt;&gt;"",E60&lt;&gt;""),IF(I60="","⚠️ Enter Code",IF(IFERROR(VLOOKUP(H60,DB_Agents!$B:$I,8,0),"")=I60,IF(C60&gt;=E60,"Successful","Unsuccessful"),"🔒 BLOCKED — Wrong Code")),"—")</f>
        <v>—</v>
      </c>
      <c r="K60" s="93" t="str">
        <f t="shared" ca="1" si="5"/>
        <v>—</v>
      </c>
      <c r="L60" s="94"/>
    </row>
    <row r="61" spans="1:12" x14ac:dyDescent="0.25">
      <c r="A61" s="79"/>
      <c r="B61" s="21" t="str">
        <f>IF(A61="","",IFERROR(VLOOKUP(A61,DB_Customers!$A:$D,4,0),"❌ Account Not Found"))</f>
        <v/>
      </c>
      <c r="C61" s="80" t="str">
        <f>IF(A61="","",IFERROR(VLOOKUP(A61,DB_Customers!$A:$N,14,0),""))</f>
        <v/>
      </c>
      <c r="D61" s="81" t="str">
        <f t="shared" ca="1" si="3"/>
        <v/>
      </c>
      <c r="E61" s="97"/>
      <c r="F61" s="21"/>
      <c r="G61" s="98" t="str">
        <f t="shared" si="4"/>
        <v/>
      </c>
      <c r="H61" s="23"/>
      <c r="I61" s="84"/>
      <c r="J61" s="85" t="str">
        <f>IF(AND(A61&lt;&gt;"",E61&lt;&gt;""),IF(I61="","⚠️ Enter Code",IF(IFERROR(VLOOKUP(H61,DB_Agents!$B:$I,8,0),"")=I61,IF(C61&gt;=E61,"Successful","Unsuccessful"),"🔒 BLOCKED — Wrong Code")),"—")</f>
        <v>—</v>
      </c>
      <c r="K61" s="86" t="str">
        <f t="shared" ca="1" si="5"/>
        <v>—</v>
      </c>
      <c r="L61" s="87"/>
    </row>
    <row r="62" spans="1:12" x14ac:dyDescent="0.25">
      <c r="A62" s="88"/>
      <c r="B62" s="25" t="str">
        <f>IF(A62="","",IFERROR(VLOOKUP(A62,DB_Customers!$A:$D,4,0),"❌ Account Not Found"))</f>
        <v/>
      </c>
      <c r="C62" s="89" t="str">
        <f>IF(A62="","",IFERROR(VLOOKUP(A62,DB_Customers!$A:$N,14,0),""))</f>
        <v/>
      </c>
      <c r="D62" s="90" t="str">
        <f t="shared" ca="1" si="3"/>
        <v/>
      </c>
      <c r="E62" s="97"/>
      <c r="F62" s="25"/>
      <c r="G62" s="99" t="str">
        <f t="shared" si="4"/>
        <v/>
      </c>
      <c r="H62" s="27"/>
      <c r="I62" s="84"/>
      <c r="J62" s="92" t="str">
        <f>IF(AND(A62&lt;&gt;"",E62&lt;&gt;""),IF(I62="","⚠️ Enter Code",IF(IFERROR(VLOOKUP(H62,DB_Agents!$B:$I,8,0),"")=I62,IF(C62&gt;=E62,"Successful","Unsuccessful"),"🔒 BLOCKED — Wrong Code")),"—")</f>
        <v>—</v>
      </c>
      <c r="K62" s="93" t="str">
        <f t="shared" ca="1" si="5"/>
        <v>—</v>
      </c>
      <c r="L62" s="94"/>
    </row>
    <row r="63" spans="1:12" x14ac:dyDescent="0.25">
      <c r="A63" s="79"/>
      <c r="B63" s="21" t="str">
        <f>IF(A63="","",IFERROR(VLOOKUP(A63,DB_Customers!$A:$D,4,0),"❌ Account Not Found"))</f>
        <v/>
      </c>
      <c r="C63" s="80" t="str">
        <f>IF(A63="","",IFERROR(VLOOKUP(A63,DB_Customers!$A:$N,14,0),""))</f>
        <v/>
      </c>
      <c r="D63" s="81" t="str">
        <f t="shared" ca="1" si="3"/>
        <v/>
      </c>
      <c r="E63" s="97"/>
      <c r="F63" s="21"/>
      <c r="G63" s="98" t="str">
        <f t="shared" si="4"/>
        <v/>
      </c>
      <c r="H63" s="23"/>
      <c r="I63" s="84"/>
      <c r="J63" s="85" t="str">
        <f>IF(AND(A63&lt;&gt;"",E63&lt;&gt;""),IF(I63="","⚠️ Enter Code",IF(IFERROR(VLOOKUP(H63,DB_Agents!$B:$I,8,0),"")=I63,IF(C63&gt;=E63,"Successful","Unsuccessful"),"🔒 BLOCKED — Wrong Code")),"—")</f>
        <v>—</v>
      </c>
      <c r="K63" s="86" t="str">
        <f t="shared" ca="1" si="5"/>
        <v>—</v>
      </c>
      <c r="L63" s="87"/>
    </row>
    <row r="64" spans="1:12" x14ac:dyDescent="0.25">
      <c r="A64" s="88"/>
      <c r="B64" s="25" t="str">
        <f>IF(A64="","",IFERROR(VLOOKUP(A64,DB_Customers!$A:$D,4,0),"❌ Account Not Found"))</f>
        <v/>
      </c>
      <c r="C64" s="89" t="str">
        <f>IF(A64="","",IFERROR(VLOOKUP(A64,DB_Customers!$A:$N,14,0),""))</f>
        <v/>
      </c>
      <c r="D64" s="90" t="str">
        <f t="shared" ca="1" si="3"/>
        <v/>
      </c>
      <c r="E64" s="97"/>
      <c r="F64" s="25"/>
      <c r="G64" s="99" t="str">
        <f t="shared" si="4"/>
        <v/>
      </c>
      <c r="H64" s="27"/>
      <c r="I64" s="84"/>
      <c r="J64" s="92" t="str">
        <f>IF(AND(A64&lt;&gt;"",E64&lt;&gt;""),IF(I64="","⚠️ Enter Code",IF(IFERROR(VLOOKUP(H64,DB_Agents!$B:$I,8,0),"")=I64,IF(C64&gt;=E64,"Successful","Unsuccessful"),"🔒 BLOCKED — Wrong Code")),"—")</f>
        <v>—</v>
      </c>
      <c r="K64" s="93" t="str">
        <f t="shared" ca="1" si="5"/>
        <v>—</v>
      </c>
      <c r="L64" s="94"/>
    </row>
    <row r="65" spans="1:12" x14ac:dyDescent="0.25">
      <c r="A65" s="79"/>
      <c r="B65" s="21" t="str">
        <f>IF(A65="","",IFERROR(VLOOKUP(A65,DB_Customers!$A:$D,4,0),"❌ Account Not Found"))</f>
        <v/>
      </c>
      <c r="C65" s="80" t="str">
        <f>IF(A65="","",IFERROR(VLOOKUP(A65,DB_Customers!$A:$N,14,0),""))</f>
        <v/>
      </c>
      <c r="D65" s="81" t="str">
        <f t="shared" ca="1" si="3"/>
        <v/>
      </c>
      <c r="E65" s="97"/>
      <c r="F65" s="21"/>
      <c r="G65" s="98" t="str">
        <f t="shared" si="4"/>
        <v/>
      </c>
      <c r="H65" s="23"/>
      <c r="I65" s="84"/>
      <c r="J65" s="85" t="str">
        <f>IF(AND(A65&lt;&gt;"",E65&lt;&gt;""),IF(I65="","⚠️ Enter Code",IF(IFERROR(VLOOKUP(H65,DB_Agents!$B:$I,8,0),"")=I65,IF(C65&gt;=E65,"Successful","Unsuccessful"),"🔒 BLOCKED — Wrong Code")),"—")</f>
        <v>—</v>
      </c>
      <c r="K65" s="86" t="str">
        <f t="shared" ca="1" si="5"/>
        <v>—</v>
      </c>
      <c r="L65" s="87"/>
    </row>
    <row r="66" spans="1:12" x14ac:dyDescent="0.25">
      <c r="A66" s="88"/>
      <c r="B66" s="25" t="str">
        <f>IF(A66="","",IFERROR(VLOOKUP(A66,DB_Customers!$A:$D,4,0),"❌ Account Not Found"))</f>
        <v/>
      </c>
      <c r="C66" s="89" t="str">
        <f>IF(A66="","",IFERROR(VLOOKUP(A66,DB_Customers!$A:$N,14,0),""))</f>
        <v/>
      </c>
      <c r="D66" s="90" t="str">
        <f t="shared" ca="1" si="3"/>
        <v/>
      </c>
      <c r="E66" s="97"/>
      <c r="F66" s="25"/>
      <c r="G66" s="99" t="str">
        <f t="shared" si="4"/>
        <v/>
      </c>
      <c r="H66" s="27"/>
      <c r="I66" s="84"/>
      <c r="J66" s="92" t="str">
        <f>IF(AND(A66&lt;&gt;"",E66&lt;&gt;""),IF(I66="","⚠️ Enter Code",IF(IFERROR(VLOOKUP(H66,DB_Agents!$B:$I,8,0),"")=I66,IF(C66&gt;=E66,"Successful","Unsuccessful"),"🔒 BLOCKED — Wrong Code")),"—")</f>
        <v>—</v>
      </c>
      <c r="K66" s="93" t="str">
        <f t="shared" ca="1" si="5"/>
        <v>—</v>
      </c>
      <c r="L66" s="94"/>
    </row>
    <row r="67" spans="1:12" x14ac:dyDescent="0.25">
      <c r="A67" s="79"/>
      <c r="B67" s="21" t="str">
        <f>IF(A67="","",IFERROR(VLOOKUP(A67,DB_Customers!$A:$D,4,0),"❌ Account Not Found"))</f>
        <v/>
      </c>
      <c r="C67" s="80" t="str">
        <f>IF(A67="","",IFERROR(VLOOKUP(A67,DB_Customers!$A:$N,14,0),""))</f>
        <v/>
      </c>
      <c r="D67" s="81" t="str">
        <f t="shared" ca="1" si="3"/>
        <v/>
      </c>
      <c r="E67" s="97"/>
      <c r="F67" s="21"/>
      <c r="G67" s="98" t="str">
        <f t="shared" si="4"/>
        <v/>
      </c>
      <c r="H67" s="23"/>
      <c r="I67" s="84"/>
      <c r="J67" s="85" t="str">
        <f>IF(AND(A67&lt;&gt;"",E67&lt;&gt;""),IF(I67="","⚠️ Enter Code",IF(IFERROR(VLOOKUP(H67,DB_Agents!$B:$I,8,0),"")=I67,IF(C67&gt;=E67,"Successful","Unsuccessful"),"🔒 BLOCKED — Wrong Code")),"—")</f>
        <v>—</v>
      </c>
      <c r="K67" s="86" t="str">
        <f t="shared" ca="1" si="5"/>
        <v>—</v>
      </c>
      <c r="L67" s="87"/>
    </row>
    <row r="68" spans="1:12" x14ac:dyDescent="0.25">
      <c r="A68" s="88"/>
      <c r="B68" s="25" t="str">
        <f>IF(A68="","",IFERROR(VLOOKUP(A68,DB_Customers!$A:$D,4,0),"❌ Account Not Found"))</f>
        <v/>
      </c>
      <c r="C68" s="89" t="str">
        <f>IF(A68="","",IFERROR(VLOOKUP(A68,DB_Customers!$A:$N,14,0),""))</f>
        <v/>
      </c>
      <c r="D68" s="90" t="str">
        <f t="shared" ca="1" si="3"/>
        <v/>
      </c>
      <c r="E68" s="97"/>
      <c r="F68" s="25"/>
      <c r="G68" s="99" t="str">
        <f t="shared" si="4"/>
        <v/>
      </c>
      <c r="H68" s="27"/>
      <c r="I68" s="84"/>
      <c r="J68" s="92" t="str">
        <f>IF(AND(A68&lt;&gt;"",E68&lt;&gt;""),IF(I68="","⚠️ Enter Code",IF(IFERROR(VLOOKUP(H68,DB_Agents!$B:$I,8,0),"")=I68,IF(C68&gt;=E68,"Successful","Unsuccessful"),"🔒 BLOCKED — Wrong Code")),"—")</f>
        <v>—</v>
      </c>
      <c r="K68" s="93" t="str">
        <f t="shared" ca="1" si="5"/>
        <v>—</v>
      </c>
      <c r="L68" s="94"/>
    </row>
    <row r="69" spans="1:12" x14ac:dyDescent="0.25">
      <c r="A69" s="79"/>
      <c r="B69" s="21" t="str">
        <f>IF(A69="","",IFERROR(VLOOKUP(A69,DB_Customers!$A:$D,4,0),"❌ Account Not Found"))</f>
        <v/>
      </c>
      <c r="C69" s="80" t="str">
        <f>IF(A69="","",IFERROR(VLOOKUP(A69,DB_Customers!$A:$N,14,0),""))</f>
        <v/>
      </c>
      <c r="D69" s="81" t="str">
        <f t="shared" ca="1" si="3"/>
        <v/>
      </c>
      <c r="E69" s="97"/>
      <c r="F69" s="21"/>
      <c r="G69" s="98" t="str">
        <f t="shared" si="4"/>
        <v/>
      </c>
      <c r="H69" s="23"/>
      <c r="I69" s="84"/>
      <c r="J69" s="85" t="str">
        <f>IF(AND(A69&lt;&gt;"",E69&lt;&gt;""),IF(I69="","⚠️ Enter Code",IF(IFERROR(VLOOKUP(H69,DB_Agents!$B:$I,8,0),"")=I69,IF(C69&gt;=E69,"Successful","Unsuccessful"),"🔒 BLOCKED — Wrong Code")),"—")</f>
        <v>—</v>
      </c>
      <c r="K69" s="86" t="str">
        <f t="shared" ca="1" si="5"/>
        <v>—</v>
      </c>
      <c r="L69" s="87"/>
    </row>
    <row r="70" spans="1:12" x14ac:dyDescent="0.25">
      <c r="A70" s="88"/>
      <c r="B70" s="25" t="str">
        <f>IF(A70="","",IFERROR(VLOOKUP(A70,DB_Customers!$A:$D,4,0),"❌ Account Not Found"))</f>
        <v/>
      </c>
      <c r="C70" s="89" t="str">
        <f>IF(A70="","",IFERROR(VLOOKUP(A70,DB_Customers!$A:$N,14,0),""))</f>
        <v/>
      </c>
      <c r="D70" s="90" t="str">
        <f t="shared" ca="1" si="3"/>
        <v/>
      </c>
      <c r="E70" s="97"/>
      <c r="F70" s="25"/>
      <c r="G70" s="99" t="str">
        <f t="shared" si="4"/>
        <v/>
      </c>
      <c r="H70" s="27"/>
      <c r="I70" s="84"/>
      <c r="J70" s="92" t="str">
        <f>IF(AND(A70&lt;&gt;"",E70&lt;&gt;""),IF(I70="","⚠️ Enter Code",IF(IFERROR(VLOOKUP(H70,DB_Agents!$B:$I,8,0),"")=I70,IF(C70&gt;=E70,"Successful","Unsuccessful"),"🔒 BLOCKED — Wrong Code")),"—")</f>
        <v>—</v>
      </c>
      <c r="K70" s="93" t="str">
        <f t="shared" ca="1" si="5"/>
        <v>—</v>
      </c>
      <c r="L70" s="94"/>
    </row>
    <row r="71" spans="1:12" x14ac:dyDescent="0.25">
      <c r="A71" s="79"/>
      <c r="B71" s="21" t="str">
        <f>IF(A71="","",IFERROR(VLOOKUP(A71,DB_Customers!$A:$D,4,0),"❌ Account Not Found"))</f>
        <v/>
      </c>
      <c r="C71" s="80" t="str">
        <f>IF(A71="","",IFERROR(VLOOKUP(A71,DB_Customers!$A:$N,14,0),""))</f>
        <v/>
      </c>
      <c r="D71" s="81" t="str">
        <f t="shared" ca="1" si="3"/>
        <v/>
      </c>
      <c r="E71" s="97"/>
      <c r="F71" s="21"/>
      <c r="G71" s="98" t="str">
        <f t="shared" si="4"/>
        <v/>
      </c>
      <c r="H71" s="23"/>
      <c r="I71" s="84"/>
      <c r="J71" s="85" t="str">
        <f>IF(AND(A71&lt;&gt;"",E71&lt;&gt;""),IF(I71="","⚠️ Enter Code",IF(IFERROR(VLOOKUP(H71,DB_Agents!$B:$I,8,0),"")=I71,IF(C71&gt;=E71,"Successful","Unsuccessful"),"🔒 BLOCKED — Wrong Code")),"—")</f>
        <v>—</v>
      </c>
      <c r="K71" s="86" t="str">
        <f t="shared" ca="1" si="5"/>
        <v>—</v>
      </c>
      <c r="L71" s="87"/>
    </row>
    <row r="72" spans="1:12" x14ac:dyDescent="0.25">
      <c r="A72" s="88"/>
      <c r="B72" s="25" t="str">
        <f>IF(A72="","",IFERROR(VLOOKUP(A72,DB_Customers!$A:$D,4,0),"❌ Account Not Found"))</f>
        <v/>
      </c>
      <c r="C72" s="89" t="str">
        <f>IF(A72="","",IFERROR(VLOOKUP(A72,DB_Customers!$A:$N,14,0),""))</f>
        <v/>
      </c>
      <c r="D72" s="90" t="str">
        <f t="shared" ca="1" si="3"/>
        <v/>
      </c>
      <c r="E72" s="97"/>
      <c r="F72" s="25"/>
      <c r="G72" s="99" t="str">
        <f t="shared" si="4"/>
        <v/>
      </c>
      <c r="H72" s="27"/>
      <c r="I72" s="84"/>
      <c r="J72" s="92" t="str">
        <f>IF(AND(A72&lt;&gt;"",E72&lt;&gt;""),IF(I72="","⚠️ Enter Code",IF(IFERROR(VLOOKUP(H72,DB_Agents!$B:$I,8,0),"")=I72,IF(C72&gt;=E72,"Successful","Unsuccessful"),"🔒 BLOCKED — Wrong Code")),"—")</f>
        <v>—</v>
      </c>
      <c r="K72" s="93" t="str">
        <f t="shared" ca="1" si="5"/>
        <v>—</v>
      </c>
      <c r="L72" s="94"/>
    </row>
    <row r="73" spans="1:12" x14ac:dyDescent="0.25">
      <c r="A73" s="79"/>
      <c r="B73" s="21" t="str">
        <f>IF(A73="","",IFERROR(VLOOKUP(A73,DB_Customers!$A:$D,4,0),"❌ Account Not Found"))</f>
        <v/>
      </c>
      <c r="C73" s="80" t="str">
        <f>IF(A73="","",IFERROR(VLOOKUP(A73,DB_Customers!$A:$N,14,0),""))</f>
        <v/>
      </c>
      <c r="D73" s="81" t="str">
        <f t="shared" ref="D73:D104" ca="1" si="6">IF(A73="","",TODAY())</f>
        <v/>
      </c>
      <c r="E73" s="97"/>
      <c r="F73" s="21"/>
      <c r="G73" s="98" t="str">
        <f t="shared" ref="G73:G104" si="7">IF(OR(A73="",E73=""),"",IF(C73="","",C73-E73))</f>
        <v/>
      </c>
      <c r="H73" s="23"/>
      <c r="I73" s="84"/>
      <c r="J73" s="85" t="str">
        <f>IF(AND(A73&lt;&gt;"",E73&lt;&gt;""),IF(I73="","⚠️ Enter Code",IF(IFERROR(VLOOKUP(H73,DB_Agents!$B:$I,8,0),"")=I73,IF(C73&gt;=E73,"Successful","Unsuccessful"),"🔒 BLOCKED — Wrong Code")),"—")</f>
        <v>—</v>
      </c>
      <c r="K73" s="86" t="str">
        <f t="shared" ref="K73:K104" ca="1" si="8">IF(J73="Successful",TEXT(TODAY(),"YYYY-MM-DD")&amp;" Auto","—")</f>
        <v>—</v>
      </c>
      <c r="L73" s="87"/>
    </row>
    <row r="74" spans="1:12" x14ac:dyDescent="0.25">
      <c r="A74" s="88"/>
      <c r="B74" s="25" t="str">
        <f>IF(A74="","",IFERROR(VLOOKUP(A74,DB_Customers!$A:$D,4,0),"❌ Account Not Found"))</f>
        <v/>
      </c>
      <c r="C74" s="89" t="str">
        <f>IF(A74="","",IFERROR(VLOOKUP(A74,DB_Customers!$A:$N,14,0),""))</f>
        <v/>
      </c>
      <c r="D74" s="90" t="str">
        <f t="shared" ca="1" si="6"/>
        <v/>
      </c>
      <c r="E74" s="97"/>
      <c r="F74" s="25"/>
      <c r="G74" s="99" t="str">
        <f t="shared" si="7"/>
        <v/>
      </c>
      <c r="H74" s="27"/>
      <c r="I74" s="84"/>
      <c r="J74" s="92" t="str">
        <f>IF(AND(A74&lt;&gt;"",E74&lt;&gt;""),IF(I74="","⚠️ Enter Code",IF(IFERROR(VLOOKUP(H74,DB_Agents!$B:$I,8,0),"")=I74,IF(C74&gt;=E74,"Successful","Unsuccessful"),"🔒 BLOCKED — Wrong Code")),"—")</f>
        <v>—</v>
      </c>
      <c r="K74" s="93" t="str">
        <f t="shared" ca="1" si="8"/>
        <v>—</v>
      </c>
      <c r="L74" s="94"/>
    </row>
    <row r="75" spans="1:12" x14ac:dyDescent="0.25">
      <c r="A75" s="79"/>
      <c r="B75" s="21" t="str">
        <f>IF(A75="","",IFERROR(VLOOKUP(A75,DB_Customers!$A:$D,4,0),"❌ Account Not Found"))</f>
        <v/>
      </c>
      <c r="C75" s="80" t="str">
        <f>IF(A75="","",IFERROR(VLOOKUP(A75,DB_Customers!$A:$N,14,0),""))</f>
        <v/>
      </c>
      <c r="D75" s="81" t="str">
        <f t="shared" ca="1" si="6"/>
        <v/>
      </c>
      <c r="E75" s="97"/>
      <c r="F75" s="21"/>
      <c r="G75" s="98" t="str">
        <f t="shared" si="7"/>
        <v/>
      </c>
      <c r="H75" s="23"/>
      <c r="I75" s="84"/>
      <c r="J75" s="85" t="str">
        <f>IF(AND(A75&lt;&gt;"",E75&lt;&gt;""),IF(I75="","⚠️ Enter Code",IF(IFERROR(VLOOKUP(H75,DB_Agents!$B:$I,8,0),"")=I75,IF(C75&gt;=E75,"Successful","Unsuccessful"),"🔒 BLOCKED — Wrong Code")),"—")</f>
        <v>—</v>
      </c>
      <c r="K75" s="86" t="str">
        <f t="shared" ca="1" si="8"/>
        <v>—</v>
      </c>
      <c r="L75" s="87"/>
    </row>
    <row r="76" spans="1:12" x14ac:dyDescent="0.25">
      <c r="A76" s="88"/>
      <c r="B76" s="25" t="str">
        <f>IF(A76="","",IFERROR(VLOOKUP(A76,DB_Customers!$A:$D,4,0),"❌ Account Not Found"))</f>
        <v/>
      </c>
      <c r="C76" s="89" t="str">
        <f>IF(A76="","",IFERROR(VLOOKUP(A76,DB_Customers!$A:$N,14,0),""))</f>
        <v/>
      </c>
      <c r="D76" s="90" t="str">
        <f t="shared" ca="1" si="6"/>
        <v/>
      </c>
      <c r="E76" s="97"/>
      <c r="F76" s="25"/>
      <c r="G76" s="99" t="str">
        <f t="shared" si="7"/>
        <v/>
      </c>
      <c r="H76" s="27"/>
      <c r="I76" s="84"/>
      <c r="J76" s="92" t="str">
        <f>IF(AND(A76&lt;&gt;"",E76&lt;&gt;""),IF(I76="","⚠️ Enter Code",IF(IFERROR(VLOOKUP(H76,DB_Agents!$B:$I,8,0),"")=I76,IF(C76&gt;=E76,"Successful","Unsuccessful"),"🔒 BLOCKED — Wrong Code")),"—")</f>
        <v>—</v>
      </c>
      <c r="K76" s="93" t="str">
        <f t="shared" ca="1" si="8"/>
        <v>—</v>
      </c>
      <c r="L76" s="94"/>
    </row>
    <row r="77" spans="1:12" x14ac:dyDescent="0.25">
      <c r="A77" s="79"/>
      <c r="B77" s="21" t="str">
        <f>IF(A77="","",IFERROR(VLOOKUP(A77,DB_Customers!$A:$D,4,0),"❌ Account Not Found"))</f>
        <v/>
      </c>
      <c r="C77" s="80" t="str">
        <f>IF(A77="","",IFERROR(VLOOKUP(A77,DB_Customers!$A:$N,14,0),""))</f>
        <v/>
      </c>
      <c r="D77" s="81" t="str">
        <f t="shared" ca="1" si="6"/>
        <v/>
      </c>
      <c r="E77" s="97"/>
      <c r="F77" s="21"/>
      <c r="G77" s="98" t="str">
        <f t="shared" si="7"/>
        <v/>
      </c>
      <c r="H77" s="23"/>
      <c r="I77" s="84"/>
      <c r="J77" s="85" t="str">
        <f>IF(AND(A77&lt;&gt;"",E77&lt;&gt;""),IF(I77="","⚠️ Enter Code",IF(IFERROR(VLOOKUP(H77,DB_Agents!$B:$I,8,0),"")=I77,IF(C77&gt;=E77,"Successful","Unsuccessful"),"🔒 BLOCKED — Wrong Code")),"—")</f>
        <v>—</v>
      </c>
      <c r="K77" s="86" t="str">
        <f t="shared" ca="1" si="8"/>
        <v>—</v>
      </c>
      <c r="L77" s="87"/>
    </row>
    <row r="78" spans="1:12" x14ac:dyDescent="0.25">
      <c r="A78" s="88"/>
      <c r="B78" s="25" t="str">
        <f>IF(A78="","",IFERROR(VLOOKUP(A78,DB_Customers!$A:$D,4,0),"❌ Account Not Found"))</f>
        <v/>
      </c>
      <c r="C78" s="89" t="str">
        <f>IF(A78="","",IFERROR(VLOOKUP(A78,DB_Customers!$A:$N,14,0),""))</f>
        <v/>
      </c>
      <c r="D78" s="90" t="str">
        <f t="shared" ca="1" si="6"/>
        <v/>
      </c>
      <c r="E78" s="97"/>
      <c r="F78" s="25"/>
      <c r="G78" s="99" t="str">
        <f t="shared" si="7"/>
        <v/>
      </c>
      <c r="H78" s="27"/>
      <c r="I78" s="84"/>
      <c r="J78" s="92" t="str">
        <f>IF(AND(A78&lt;&gt;"",E78&lt;&gt;""),IF(I78="","⚠️ Enter Code",IF(IFERROR(VLOOKUP(H78,DB_Agents!$B:$I,8,0),"")=I78,IF(C78&gt;=E78,"Successful","Unsuccessful"),"🔒 BLOCKED — Wrong Code")),"—")</f>
        <v>—</v>
      </c>
      <c r="K78" s="93" t="str">
        <f t="shared" ca="1" si="8"/>
        <v>—</v>
      </c>
      <c r="L78" s="94"/>
    </row>
    <row r="79" spans="1:12" x14ac:dyDescent="0.25">
      <c r="A79" s="79"/>
      <c r="B79" s="21" t="str">
        <f>IF(A79="","",IFERROR(VLOOKUP(A79,DB_Customers!$A:$D,4,0),"❌ Account Not Found"))</f>
        <v/>
      </c>
      <c r="C79" s="80" t="str">
        <f>IF(A79="","",IFERROR(VLOOKUP(A79,DB_Customers!$A:$N,14,0),""))</f>
        <v/>
      </c>
      <c r="D79" s="81" t="str">
        <f t="shared" ca="1" si="6"/>
        <v/>
      </c>
      <c r="E79" s="97"/>
      <c r="F79" s="21"/>
      <c r="G79" s="98" t="str">
        <f t="shared" si="7"/>
        <v/>
      </c>
      <c r="H79" s="23"/>
      <c r="I79" s="84"/>
      <c r="J79" s="85" t="str">
        <f>IF(AND(A79&lt;&gt;"",E79&lt;&gt;""),IF(I79="","⚠️ Enter Code",IF(IFERROR(VLOOKUP(H79,DB_Agents!$B:$I,8,0),"")=I79,IF(C79&gt;=E79,"Successful","Unsuccessful"),"🔒 BLOCKED — Wrong Code")),"—")</f>
        <v>—</v>
      </c>
      <c r="K79" s="86" t="str">
        <f t="shared" ca="1" si="8"/>
        <v>—</v>
      </c>
      <c r="L79" s="87"/>
    </row>
    <row r="80" spans="1:12" x14ac:dyDescent="0.25">
      <c r="A80" s="88"/>
      <c r="B80" s="25" t="str">
        <f>IF(A80="","",IFERROR(VLOOKUP(A80,DB_Customers!$A:$D,4,0),"❌ Account Not Found"))</f>
        <v/>
      </c>
      <c r="C80" s="89" t="str">
        <f>IF(A80="","",IFERROR(VLOOKUP(A80,DB_Customers!$A:$N,14,0),""))</f>
        <v/>
      </c>
      <c r="D80" s="90" t="str">
        <f t="shared" ca="1" si="6"/>
        <v/>
      </c>
      <c r="E80" s="97"/>
      <c r="F80" s="25"/>
      <c r="G80" s="99" t="str">
        <f t="shared" si="7"/>
        <v/>
      </c>
      <c r="H80" s="27"/>
      <c r="I80" s="84"/>
      <c r="J80" s="92" t="str">
        <f>IF(AND(A80&lt;&gt;"",E80&lt;&gt;""),IF(I80="","⚠️ Enter Code",IF(IFERROR(VLOOKUP(H80,DB_Agents!$B:$I,8,0),"")=I80,IF(C80&gt;=E80,"Successful","Unsuccessful"),"🔒 BLOCKED — Wrong Code")),"—")</f>
        <v>—</v>
      </c>
      <c r="K80" s="93" t="str">
        <f t="shared" ca="1" si="8"/>
        <v>—</v>
      </c>
      <c r="L80" s="94"/>
    </row>
    <row r="81" spans="1:12" x14ac:dyDescent="0.25">
      <c r="A81" s="79"/>
      <c r="B81" s="21" t="str">
        <f>IF(A81="","",IFERROR(VLOOKUP(A81,DB_Customers!$A:$D,4,0),"❌ Account Not Found"))</f>
        <v/>
      </c>
      <c r="C81" s="80" t="str">
        <f>IF(A81="","",IFERROR(VLOOKUP(A81,DB_Customers!$A:$N,14,0),""))</f>
        <v/>
      </c>
      <c r="D81" s="81" t="str">
        <f t="shared" ca="1" si="6"/>
        <v/>
      </c>
      <c r="E81" s="97"/>
      <c r="F81" s="21"/>
      <c r="G81" s="98" t="str">
        <f t="shared" si="7"/>
        <v/>
      </c>
      <c r="H81" s="23"/>
      <c r="I81" s="84"/>
      <c r="J81" s="85" t="str">
        <f>IF(AND(A81&lt;&gt;"",E81&lt;&gt;""),IF(I81="","⚠️ Enter Code",IF(IFERROR(VLOOKUP(H81,DB_Agents!$B:$I,8,0),"")=I81,IF(C81&gt;=E81,"Successful","Unsuccessful"),"🔒 BLOCKED — Wrong Code")),"—")</f>
        <v>—</v>
      </c>
      <c r="K81" s="86" t="str">
        <f t="shared" ca="1" si="8"/>
        <v>—</v>
      </c>
      <c r="L81" s="87"/>
    </row>
    <row r="82" spans="1:12" x14ac:dyDescent="0.25">
      <c r="A82" s="88"/>
      <c r="B82" s="25" t="str">
        <f>IF(A82="","",IFERROR(VLOOKUP(A82,DB_Customers!$A:$D,4,0),"❌ Account Not Found"))</f>
        <v/>
      </c>
      <c r="C82" s="89" t="str">
        <f>IF(A82="","",IFERROR(VLOOKUP(A82,DB_Customers!$A:$N,14,0),""))</f>
        <v/>
      </c>
      <c r="D82" s="90" t="str">
        <f t="shared" ca="1" si="6"/>
        <v/>
      </c>
      <c r="E82" s="97"/>
      <c r="F82" s="25"/>
      <c r="G82" s="99" t="str">
        <f t="shared" si="7"/>
        <v/>
      </c>
      <c r="H82" s="27"/>
      <c r="I82" s="84"/>
      <c r="J82" s="92" t="str">
        <f>IF(AND(A82&lt;&gt;"",E82&lt;&gt;""),IF(I82="","⚠️ Enter Code",IF(IFERROR(VLOOKUP(H82,DB_Agents!$B:$I,8,0),"")=I82,IF(C82&gt;=E82,"Successful","Unsuccessful"),"🔒 BLOCKED — Wrong Code")),"—")</f>
        <v>—</v>
      </c>
      <c r="K82" s="93" t="str">
        <f t="shared" ca="1" si="8"/>
        <v>—</v>
      </c>
      <c r="L82" s="94"/>
    </row>
    <row r="83" spans="1:12" x14ac:dyDescent="0.25">
      <c r="A83" s="79"/>
      <c r="B83" s="21" t="str">
        <f>IF(A83="","",IFERROR(VLOOKUP(A83,DB_Customers!$A:$D,4,0),"❌ Account Not Found"))</f>
        <v/>
      </c>
      <c r="C83" s="80" t="str">
        <f>IF(A83="","",IFERROR(VLOOKUP(A83,DB_Customers!$A:$N,14,0),""))</f>
        <v/>
      </c>
      <c r="D83" s="81" t="str">
        <f t="shared" ca="1" si="6"/>
        <v/>
      </c>
      <c r="E83" s="97"/>
      <c r="F83" s="21"/>
      <c r="G83" s="98" t="str">
        <f t="shared" si="7"/>
        <v/>
      </c>
      <c r="H83" s="23"/>
      <c r="I83" s="84"/>
      <c r="J83" s="85" t="str">
        <f>IF(AND(A83&lt;&gt;"",E83&lt;&gt;""),IF(I83="","⚠️ Enter Code",IF(IFERROR(VLOOKUP(H83,DB_Agents!$B:$I,8,0),"")=I83,IF(C83&gt;=E83,"Successful","Unsuccessful"),"🔒 BLOCKED — Wrong Code")),"—")</f>
        <v>—</v>
      </c>
      <c r="K83" s="86" t="str">
        <f t="shared" ca="1" si="8"/>
        <v>—</v>
      </c>
      <c r="L83" s="87"/>
    </row>
    <row r="84" spans="1:12" x14ac:dyDescent="0.25">
      <c r="A84" s="88"/>
      <c r="B84" s="25" t="str">
        <f>IF(A84="","",IFERROR(VLOOKUP(A84,DB_Customers!$A:$D,4,0),"❌ Account Not Found"))</f>
        <v/>
      </c>
      <c r="C84" s="89" t="str">
        <f>IF(A84="","",IFERROR(VLOOKUP(A84,DB_Customers!$A:$N,14,0),""))</f>
        <v/>
      </c>
      <c r="D84" s="90" t="str">
        <f t="shared" ca="1" si="6"/>
        <v/>
      </c>
      <c r="E84" s="97"/>
      <c r="F84" s="25"/>
      <c r="G84" s="99" t="str">
        <f t="shared" si="7"/>
        <v/>
      </c>
      <c r="H84" s="27"/>
      <c r="I84" s="84"/>
      <c r="J84" s="92" t="str">
        <f>IF(AND(A84&lt;&gt;"",E84&lt;&gt;""),IF(I84="","⚠️ Enter Code",IF(IFERROR(VLOOKUP(H84,DB_Agents!$B:$I,8,0),"")=I84,IF(C84&gt;=E84,"Successful","Unsuccessful"),"🔒 BLOCKED — Wrong Code")),"—")</f>
        <v>—</v>
      </c>
      <c r="K84" s="93" t="str">
        <f t="shared" ca="1" si="8"/>
        <v>—</v>
      </c>
      <c r="L84" s="94"/>
    </row>
    <row r="85" spans="1:12" x14ac:dyDescent="0.25">
      <c r="A85" s="79"/>
      <c r="B85" s="21" t="str">
        <f>IF(A85="","",IFERROR(VLOOKUP(A85,DB_Customers!$A:$D,4,0),"❌ Account Not Found"))</f>
        <v/>
      </c>
      <c r="C85" s="80" t="str">
        <f>IF(A85="","",IFERROR(VLOOKUP(A85,DB_Customers!$A:$N,14,0),""))</f>
        <v/>
      </c>
      <c r="D85" s="81" t="str">
        <f t="shared" ca="1" si="6"/>
        <v/>
      </c>
      <c r="E85" s="97"/>
      <c r="F85" s="21"/>
      <c r="G85" s="98" t="str">
        <f t="shared" si="7"/>
        <v/>
      </c>
      <c r="H85" s="23"/>
      <c r="I85" s="84"/>
      <c r="J85" s="85" t="str">
        <f>IF(AND(A85&lt;&gt;"",E85&lt;&gt;""),IF(I85="","⚠️ Enter Code",IF(IFERROR(VLOOKUP(H85,DB_Agents!$B:$I,8,0),"")=I85,IF(C85&gt;=E85,"Successful","Unsuccessful"),"🔒 BLOCKED — Wrong Code")),"—")</f>
        <v>—</v>
      </c>
      <c r="K85" s="86" t="str">
        <f t="shared" ca="1" si="8"/>
        <v>—</v>
      </c>
      <c r="L85" s="87"/>
    </row>
    <row r="86" spans="1:12" x14ac:dyDescent="0.25">
      <c r="A86" s="88"/>
      <c r="B86" s="25" t="str">
        <f>IF(A86="","",IFERROR(VLOOKUP(A86,DB_Customers!$A:$D,4,0),"❌ Account Not Found"))</f>
        <v/>
      </c>
      <c r="C86" s="89" t="str">
        <f>IF(A86="","",IFERROR(VLOOKUP(A86,DB_Customers!$A:$N,14,0),""))</f>
        <v/>
      </c>
      <c r="D86" s="90" t="str">
        <f t="shared" ca="1" si="6"/>
        <v/>
      </c>
      <c r="E86" s="97"/>
      <c r="F86" s="25"/>
      <c r="G86" s="99" t="str">
        <f t="shared" si="7"/>
        <v/>
      </c>
      <c r="H86" s="27"/>
      <c r="I86" s="84"/>
      <c r="J86" s="92" t="str">
        <f>IF(AND(A86&lt;&gt;"",E86&lt;&gt;""),IF(I86="","⚠️ Enter Code",IF(IFERROR(VLOOKUP(H86,DB_Agents!$B:$I,8,0),"")=I86,IF(C86&gt;=E86,"Successful","Unsuccessful"),"🔒 BLOCKED — Wrong Code")),"—")</f>
        <v>—</v>
      </c>
      <c r="K86" s="93" t="str">
        <f t="shared" ca="1" si="8"/>
        <v>—</v>
      </c>
      <c r="L86" s="94"/>
    </row>
    <row r="87" spans="1:12" x14ac:dyDescent="0.25">
      <c r="A87" s="79"/>
      <c r="B87" s="21" t="str">
        <f>IF(A87="","",IFERROR(VLOOKUP(A87,DB_Customers!$A:$D,4,0),"❌ Account Not Found"))</f>
        <v/>
      </c>
      <c r="C87" s="80" t="str">
        <f>IF(A87="","",IFERROR(VLOOKUP(A87,DB_Customers!$A:$N,14,0),""))</f>
        <v/>
      </c>
      <c r="D87" s="81" t="str">
        <f t="shared" ca="1" si="6"/>
        <v/>
      </c>
      <c r="E87" s="97"/>
      <c r="F87" s="21"/>
      <c r="G87" s="98" t="str">
        <f t="shared" si="7"/>
        <v/>
      </c>
      <c r="H87" s="23"/>
      <c r="I87" s="84"/>
      <c r="J87" s="85" t="str">
        <f>IF(AND(A87&lt;&gt;"",E87&lt;&gt;""),IF(I87="","⚠️ Enter Code",IF(IFERROR(VLOOKUP(H87,DB_Agents!$B:$I,8,0),"")=I87,IF(C87&gt;=E87,"Successful","Unsuccessful"),"🔒 BLOCKED — Wrong Code")),"—")</f>
        <v>—</v>
      </c>
      <c r="K87" s="86" t="str">
        <f t="shared" ca="1" si="8"/>
        <v>—</v>
      </c>
      <c r="L87" s="87"/>
    </row>
    <row r="88" spans="1:12" x14ac:dyDescent="0.25">
      <c r="A88" s="88"/>
      <c r="B88" s="25" t="str">
        <f>IF(A88="","",IFERROR(VLOOKUP(A88,DB_Customers!$A:$D,4,0),"❌ Account Not Found"))</f>
        <v/>
      </c>
      <c r="C88" s="89" t="str">
        <f>IF(A88="","",IFERROR(VLOOKUP(A88,DB_Customers!$A:$N,14,0),""))</f>
        <v/>
      </c>
      <c r="D88" s="90" t="str">
        <f t="shared" ca="1" si="6"/>
        <v/>
      </c>
      <c r="E88" s="97"/>
      <c r="F88" s="25"/>
      <c r="G88" s="99" t="str">
        <f t="shared" si="7"/>
        <v/>
      </c>
      <c r="H88" s="27"/>
      <c r="I88" s="84"/>
      <c r="J88" s="92" t="str">
        <f>IF(AND(A88&lt;&gt;"",E88&lt;&gt;""),IF(I88="","⚠️ Enter Code",IF(IFERROR(VLOOKUP(H88,DB_Agents!$B:$I,8,0),"")=I88,IF(C88&gt;=E88,"Successful","Unsuccessful"),"🔒 BLOCKED — Wrong Code")),"—")</f>
        <v>—</v>
      </c>
      <c r="K88" s="93" t="str">
        <f t="shared" ca="1" si="8"/>
        <v>—</v>
      </c>
      <c r="L88" s="94"/>
    </row>
    <row r="89" spans="1:12" x14ac:dyDescent="0.25">
      <c r="A89" s="79"/>
      <c r="B89" s="21" t="str">
        <f>IF(A89="","",IFERROR(VLOOKUP(A89,DB_Customers!$A:$D,4,0),"❌ Account Not Found"))</f>
        <v/>
      </c>
      <c r="C89" s="80" t="str">
        <f>IF(A89="","",IFERROR(VLOOKUP(A89,DB_Customers!$A:$N,14,0),""))</f>
        <v/>
      </c>
      <c r="D89" s="81" t="str">
        <f t="shared" ca="1" si="6"/>
        <v/>
      </c>
      <c r="E89" s="97"/>
      <c r="F89" s="21"/>
      <c r="G89" s="98" t="str">
        <f t="shared" si="7"/>
        <v/>
      </c>
      <c r="H89" s="23"/>
      <c r="I89" s="84"/>
      <c r="J89" s="85" t="str">
        <f>IF(AND(A89&lt;&gt;"",E89&lt;&gt;""),IF(I89="","⚠️ Enter Code",IF(IFERROR(VLOOKUP(H89,DB_Agents!$B:$I,8,0),"")=I89,IF(C89&gt;=E89,"Successful","Unsuccessful"),"🔒 BLOCKED — Wrong Code")),"—")</f>
        <v>—</v>
      </c>
      <c r="K89" s="86" t="str">
        <f t="shared" ca="1" si="8"/>
        <v>—</v>
      </c>
      <c r="L89" s="87"/>
    </row>
    <row r="90" spans="1:12" x14ac:dyDescent="0.25">
      <c r="A90" s="88"/>
      <c r="B90" s="25" t="str">
        <f>IF(A90="","",IFERROR(VLOOKUP(A90,DB_Customers!$A:$D,4,0),"❌ Account Not Found"))</f>
        <v/>
      </c>
      <c r="C90" s="89" t="str">
        <f>IF(A90="","",IFERROR(VLOOKUP(A90,DB_Customers!$A:$N,14,0),""))</f>
        <v/>
      </c>
      <c r="D90" s="90" t="str">
        <f t="shared" ca="1" si="6"/>
        <v/>
      </c>
      <c r="E90" s="97"/>
      <c r="F90" s="25"/>
      <c r="G90" s="99" t="str">
        <f t="shared" si="7"/>
        <v/>
      </c>
      <c r="H90" s="27"/>
      <c r="I90" s="84"/>
      <c r="J90" s="92" t="str">
        <f>IF(AND(A90&lt;&gt;"",E90&lt;&gt;""),IF(I90="","⚠️ Enter Code",IF(IFERROR(VLOOKUP(H90,DB_Agents!$B:$I,8,0),"")=I90,IF(C90&gt;=E90,"Successful","Unsuccessful"),"🔒 BLOCKED — Wrong Code")),"—")</f>
        <v>—</v>
      </c>
      <c r="K90" s="93" t="str">
        <f t="shared" ca="1" si="8"/>
        <v>—</v>
      </c>
      <c r="L90" s="94"/>
    </row>
    <row r="91" spans="1:12" x14ac:dyDescent="0.25">
      <c r="A91" s="79"/>
      <c r="B91" s="21" t="str">
        <f>IF(A91="","",IFERROR(VLOOKUP(A91,DB_Customers!$A:$D,4,0),"❌ Account Not Found"))</f>
        <v/>
      </c>
      <c r="C91" s="80" t="str">
        <f>IF(A91="","",IFERROR(VLOOKUP(A91,DB_Customers!$A:$N,14,0),""))</f>
        <v/>
      </c>
      <c r="D91" s="81" t="str">
        <f t="shared" ca="1" si="6"/>
        <v/>
      </c>
      <c r="E91" s="97"/>
      <c r="F91" s="21"/>
      <c r="G91" s="98" t="str">
        <f t="shared" si="7"/>
        <v/>
      </c>
      <c r="H91" s="23"/>
      <c r="I91" s="84"/>
      <c r="J91" s="85" t="str">
        <f>IF(AND(A91&lt;&gt;"",E91&lt;&gt;""),IF(I91="","⚠️ Enter Code",IF(IFERROR(VLOOKUP(H91,DB_Agents!$B:$I,8,0),"")=I91,IF(C91&gt;=E91,"Successful","Unsuccessful"),"🔒 BLOCKED — Wrong Code")),"—")</f>
        <v>—</v>
      </c>
      <c r="K91" s="86" t="str">
        <f t="shared" ca="1" si="8"/>
        <v>—</v>
      </c>
      <c r="L91" s="87"/>
    </row>
    <row r="92" spans="1:12" x14ac:dyDescent="0.25">
      <c r="A92" s="88"/>
      <c r="B92" s="25" t="str">
        <f>IF(A92="","",IFERROR(VLOOKUP(A92,DB_Customers!$A:$D,4,0),"❌ Account Not Found"))</f>
        <v/>
      </c>
      <c r="C92" s="89" t="str">
        <f>IF(A92="","",IFERROR(VLOOKUP(A92,DB_Customers!$A:$N,14,0),""))</f>
        <v/>
      </c>
      <c r="D92" s="90" t="str">
        <f t="shared" ca="1" si="6"/>
        <v/>
      </c>
      <c r="E92" s="97"/>
      <c r="F92" s="25"/>
      <c r="G92" s="99" t="str">
        <f t="shared" si="7"/>
        <v/>
      </c>
      <c r="H92" s="27"/>
      <c r="I92" s="84"/>
      <c r="J92" s="92" t="str">
        <f>IF(AND(A92&lt;&gt;"",E92&lt;&gt;""),IF(I92="","⚠️ Enter Code",IF(IFERROR(VLOOKUP(H92,DB_Agents!$B:$I,8,0),"")=I92,IF(C92&gt;=E92,"Successful","Unsuccessful"),"🔒 BLOCKED — Wrong Code")),"—")</f>
        <v>—</v>
      </c>
      <c r="K92" s="93" t="str">
        <f t="shared" ca="1" si="8"/>
        <v>—</v>
      </c>
      <c r="L92" s="94"/>
    </row>
    <row r="93" spans="1:12" x14ac:dyDescent="0.25">
      <c r="A93" s="79"/>
      <c r="B93" s="21" t="str">
        <f>IF(A93="","",IFERROR(VLOOKUP(A93,DB_Customers!$A:$D,4,0),"❌ Account Not Found"))</f>
        <v/>
      </c>
      <c r="C93" s="80" t="str">
        <f>IF(A93="","",IFERROR(VLOOKUP(A93,DB_Customers!$A:$N,14,0),""))</f>
        <v/>
      </c>
      <c r="D93" s="81" t="str">
        <f t="shared" ca="1" si="6"/>
        <v/>
      </c>
      <c r="E93" s="97"/>
      <c r="F93" s="21"/>
      <c r="G93" s="98" t="str">
        <f t="shared" si="7"/>
        <v/>
      </c>
      <c r="H93" s="23"/>
      <c r="I93" s="84"/>
      <c r="J93" s="85" t="str">
        <f>IF(AND(A93&lt;&gt;"",E93&lt;&gt;""),IF(I93="","⚠️ Enter Code",IF(IFERROR(VLOOKUP(H93,DB_Agents!$B:$I,8,0),"")=I93,IF(C93&gt;=E93,"Successful","Unsuccessful"),"🔒 BLOCKED — Wrong Code")),"—")</f>
        <v>—</v>
      </c>
      <c r="K93" s="86" t="str">
        <f t="shared" ca="1" si="8"/>
        <v>—</v>
      </c>
      <c r="L93" s="87"/>
    </row>
    <row r="94" spans="1:12" x14ac:dyDescent="0.25">
      <c r="A94" s="88"/>
      <c r="B94" s="25" t="str">
        <f>IF(A94="","",IFERROR(VLOOKUP(A94,DB_Customers!$A:$D,4,0),"❌ Account Not Found"))</f>
        <v/>
      </c>
      <c r="C94" s="89" t="str">
        <f>IF(A94="","",IFERROR(VLOOKUP(A94,DB_Customers!$A:$N,14,0),""))</f>
        <v/>
      </c>
      <c r="D94" s="90" t="str">
        <f t="shared" ca="1" si="6"/>
        <v/>
      </c>
      <c r="E94" s="97"/>
      <c r="F94" s="25"/>
      <c r="G94" s="99" t="str">
        <f t="shared" si="7"/>
        <v/>
      </c>
      <c r="H94" s="27"/>
      <c r="I94" s="84"/>
      <c r="J94" s="92" t="str">
        <f>IF(AND(A94&lt;&gt;"",E94&lt;&gt;""),IF(I94="","⚠️ Enter Code",IF(IFERROR(VLOOKUP(H94,DB_Agents!$B:$I,8,0),"")=I94,IF(C94&gt;=E94,"Successful","Unsuccessful"),"🔒 BLOCKED — Wrong Code")),"—")</f>
        <v>—</v>
      </c>
      <c r="K94" s="93" t="str">
        <f t="shared" ca="1" si="8"/>
        <v>—</v>
      </c>
      <c r="L94" s="94"/>
    </row>
    <row r="95" spans="1:12" x14ac:dyDescent="0.25">
      <c r="A95" s="79"/>
      <c r="B95" s="21" t="str">
        <f>IF(A95="","",IFERROR(VLOOKUP(A95,DB_Customers!$A:$D,4,0),"❌ Account Not Found"))</f>
        <v/>
      </c>
      <c r="C95" s="80" t="str">
        <f>IF(A95="","",IFERROR(VLOOKUP(A95,DB_Customers!$A:$N,14,0),""))</f>
        <v/>
      </c>
      <c r="D95" s="81" t="str">
        <f t="shared" ca="1" si="6"/>
        <v/>
      </c>
      <c r="E95" s="97"/>
      <c r="F95" s="21"/>
      <c r="G95" s="98" t="str">
        <f t="shared" si="7"/>
        <v/>
      </c>
      <c r="H95" s="23"/>
      <c r="I95" s="84"/>
      <c r="J95" s="85" t="str">
        <f>IF(AND(A95&lt;&gt;"",E95&lt;&gt;""),IF(I95="","⚠️ Enter Code",IF(IFERROR(VLOOKUP(H95,DB_Agents!$B:$I,8,0),"")=I95,IF(C95&gt;=E95,"Successful","Unsuccessful"),"🔒 BLOCKED — Wrong Code")),"—")</f>
        <v>—</v>
      </c>
      <c r="K95" s="86" t="str">
        <f t="shared" ca="1" si="8"/>
        <v>—</v>
      </c>
      <c r="L95" s="87"/>
    </row>
    <row r="96" spans="1:12" x14ac:dyDescent="0.25">
      <c r="A96" s="88"/>
      <c r="B96" s="25" t="str">
        <f>IF(A96="","",IFERROR(VLOOKUP(A96,DB_Customers!$A:$D,4,0),"❌ Account Not Found"))</f>
        <v/>
      </c>
      <c r="C96" s="89" t="str">
        <f>IF(A96="","",IFERROR(VLOOKUP(A96,DB_Customers!$A:$N,14,0),""))</f>
        <v/>
      </c>
      <c r="D96" s="90" t="str">
        <f t="shared" ca="1" si="6"/>
        <v/>
      </c>
      <c r="E96" s="97"/>
      <c r="F96" s="25"/>
      <c r="G96" s="99" t="str">
        <f t="shared" si="7"/>
        <v/>
      </c>
      <c r="H96" s="27"/>
      <c r="I96" s="84"/>
      <c r="J96" s="92" t="str">
        <f>IF(AND(A96&lt;&gt;"",E96&lt;&gt;""),IF(I96="","⚠️ Enter Code",IF(IFERROR(VLOOKUP(H96,DB_Agents!$B:$I,8,0),"")=I96,IF(C96&gt;=E96,"Successful","Unsuccessful"),"🔒 BLOCKED — Wrong Code")),"—")</f>
        <v>—</v>
      </c>
      <c r="K96" s="93" t="str">
        <f t="shared" ca="1" si="8"/>
        <v>—</v>
      </c>
      <c r="L96" s="94"/>
    </row>
    <row r="97" spans="1:12" x14ac:dyDescent="0.25">
      <c r="A97" s="79"/>
      <c r="B97" s="21" t="str">
        <f>IF(A97="","",IFERROR(VLOOKUP(A97,DB_Customers!$A:$D,4,0),"❌ Account Not Found"))</f>
        <v/>
      </c>
      <c r="C97" s="80" t="str">
        <f>IF(A97="","",IFERROR(VLOOKUP(A97,DB_Customers!$A:$N,14,0),""))</f>
        <v/>
      </c>
      <c r="D97" s="81" t="str">
        <f t="shared" ca="1" si="6"/>
        <v/>
      </c>
      <c r="E97" s="97"/>
      <c r="F97" s="21"/>
      <c r="G97" s="98" t="str">
        <f t="shared" si="7"/>
        <v/>
      </c>
      <c r="H97" s="23"/>
      <c r="I97" s="84"/>
      <c r="J97" s="85" t="str">
        <f>IF(AND(A97&lt;&gt;"",E97&lt;&gt;""),IF(I97="","⚠️ Enter Code",IF(IFERROR(VLOOKUP(H97,DB_Agents!$B:$I,8,0),"")=I97,IF(C97&gt;=E97,"Successful","Unsuccessful"),"🔒 BLOCKED — Wrong Code")),"—")</f>
        <v>—</v>
      </c>
      <c r="K97" s="86" t="str">
        <f t="shared" ca="1" si="8"/>
        <v>—</v>
      </c>
      <c r="L97" s="87"/>
    </row>
    <row r="98" spans="1:12" x14ac:dyDescent="0.25">
      <c r="A98" s="88"/>
      <c r="B98" s="25" t="str">
        <f>IF(A98="","",IFERROR(VLOOKUP(A98,DB_Customers!$A:$D,4,0),"❌ Account Not Found"))</f>
        <v/>
      </c>
      <c r="C98" s="89" t="str">
        <f>IF(A98="","",IFERROR(VLOOKUP(A98,DB_Customers!$A:$N,14,0),""))</f>
        <v/>
      </c>
      <c r="D98" s="90" t="str">
        <f t="shared" ca="1" si="6"/>
        <v/>
      </c>
      <c r="E98" s="97"/>
      <c r="F98" s="25"/>
      <c r="G98" s="99" t="str">
        <f t="shared" si="7"/>
        <v/>
      </c>
      <c r="H98" s="27"/>
      <c r="I98" s="84"/>
      <c r="J98" s="92" t="str">
        <f>IF(AND(A98&lt;&gt;"",E98&lt;&gt;""),IF(I98="","⚠️ Enter Code",IF(IFERROR(VLOOKUP(H98,DB_Agents!$B:$I,8,0),"")=I98,IF(C98&gt;=E98,"Successful","Unsuccessful"),"🔒 BLOCKED — Wrong Code")),"—")</f>
        <v>—</v>
      </c>
      <c r="K98" s="93" t="str">
        <f t="shared" ca="1" si="8"/>
        <v>—</v>
      </c>
      <c r="L98" s="94"/>
    </row>
    <row r="99" spans="1:12" x14ac:dyDescent="0.25">
      <c r="A99" s="79"/>
      <c r="B99" s="21" t="str">
        <f>IF(A99="","",IFERROR(VLOOKUP(A99,DB_Customers!$A:$D,4,0),"❌ Account Not Found"))</f>
        <v/>
      </c>
      <c r="C99" s="80" t="str">
        <f>IF(A99="","",IFERROR(VLOOKUP(A99,DB_Customers!$A:$N,14,0),""))</f>
        <v/>
      </c>
      <c r="D99" s="81" t="str">
        <f t="shared" ca="1" si="6"/>
        <v/>
      </c>
      <c r="E99" s="97"/>
      <c r="F99" s="21"/>
      <c r="G99" s="98" t="str">
        <f t="shared" si="7"/>
        <v/>
      </c>
      <c r="H99" s="23"/>
      <c r="I99" s="84"/>
      <c r="J99" s="85" t="str">
        <f>IF(AND(A99&lt;&gt;"",E99&lt;&gt;""),IF(I99="","⚠️ Enter Code",IF(IFERROR(VLOOKUP(H99,DB_Agents!$B:$I,8,0),"")=I99,IF(C99&gt;=E99,"Successful","Unsuccessful"),"🔒 BLOCKED — Wrong Code")),"—")</f>
        <v>—</v>
      </c>
      <c r="K99" s="86" t="str">
        <f t="shared" ca="1" si="8"/>
        <v>—</v>
      </c>
      <c r="L99" s="87"/>
    </row>
    <row r="100" spans="1:12" x14ac:dyDescent="0.25">
      <c r="A100" s="88"/>
      <c r="B100" s="25" t="str">
        <f>IF(A100="","",IFERROR(VLOOKUP(A100,DB_Customers!$A:$D,4,0),"❌ Account Not Found"))</f>
        <v/>
      </c>
      <c r="C100" s="89" t="str">
        <f>IF(A100="","",IFERROR(VLOOKUP(A100,DB_Customers!$A:$N,14,0),""))</f>
        <v/>
      </c>
      <c r="D100" s="90" t="str">
        <f t="shared" ca="1" si="6"/>
        <v/>
      </c>
      <c r="E100" s="97"/>
      <c r="F100" s="25"/>
      <c r="G100" s="99" t="str">
        <f t="shared" si="7"/>
        <v/>
      </c>
      <c r="H100" s="27"/>
      <c r="I100" s="84"/>
      <c r="J100" s="92" t="str">
        <f>IF(AND(A100&lt;&gt;"",E100&lt;&gt;""),IF(I100="","⚠️ Enter Code",IF(IFERROR(VLOOKUP(H100,DB_Agents!$B:$I,8,0),"")=I100,IF(C100&gt;=E100,"Successful","Unsuccessful"),"🔒 BLOCKED — Wrong Code")),"—")</f>
        <v>—</v>
      </c>
      <c r="K100" s="93" t="str">
        <f t="shared" ca="1" si="8"/>
        <v>—</v>
      </c>
      <c r="L100" s="94"/>
    </row>
    <row r="101" spans="1:12" x14ac:dyDescent="0.25">
      <c r="A101" s="79"/>
      <c r="B101" s="21" t="str">
        <f>IF(A101="","",IFERROR(VLOOKUP(A101,DB_Customers!$A:$D,4,0),"❌ Account Not Found"))</f>
        <v/>
      </c>
      <c r="C101" s="80" t="str">
        <f>IF(A101="","",IFERROR(VLOOKUP(A101,DB_Customers!$A:$N,14,0),""))</f>
        <v/>
      </c>
      <c r="D101" s="81" t="str">
        <f t="shared" ca="1" si="6"/>
        <v/>
      </c>
      <c r="E101" s="97"/>
      <c r="F101" s="21"/>
      <c r="G101" s="98" t="str">
        <f t="shared" si="7"/>
        <v/>
      </c>
      <c r="H101" s="23"/>
      <c r="I101" s="84"/>
      <c r="J101" s="85" t="str">
        <f>IF(AND(A101&lt;&gt;"",E101&lt;&gt;""),IF(I101="","⚠️ Enter Code",IF(IFERROR(VLOOKUP(H101,DB_Agents!$B:$I,8,0),"")=I101,IF(C101&gt;=E101,"Successful","Unsuccessful"),"🔒 BLOCKED — Wrong Code")),"—")</f>
        <v>—</v>
      </c>
      <c r="K101" s="86" t="str">
        <f t="shared" ca="1" si="8"/>
        <v>—</v>
      </c>
      <c r="L101" s="87"/>
    </row>
    <row r="102" spans="1:12" x14ac:dyDescent="0.25">
      <c r="A102" s="88"/>
      <c r="B102" s="25" t="str">
        <f>IF(A102="","",IFERROR(VLOOKUP(A102,DB_Customers!$A:$D,4,0),"❌ Account Not Found"))</f>
        <v/>
      </c>
      <c r="C102" s="89" t="str">
        <f>IF(A102="","",IFERROR(VLOOKUP(A102,DB_Customers!$A:$N,14,0),""))</f>
        <v/>
      </c>
      <c r="D102" s="90" t="str">
        <f t="shared" ca="1" si="6"/>
        <v/>
      </c>
      <c r="E102" s="97"/>
      <c r="F102" s="25"/>
      <c r="G102" s="99" t="str">
        <f t="shared" si="7"/>
        <v/>
      </c>
      <c r="H102" s="27"/>
      <c r="I102" s="84"/>
      <c r="J102" s="92" t="str">
        <f>IF(AND(A102&lt;&gt;"",E102&lt;&gt;""),IF(I102="","⚠️ Enter Code",IF(IFERROR(VLOOKUP(H102,DB_Agents!$B:$I,8,0),"")=I102,IF(C102&gt;=E102,"Successful","Unsuccessful"),"🔒 BLOCKED — Wrong Code")),"—")</f>
        <v>—</v>
      </c>
      <c r="K102" s="93" t="str">
        <f t="shared" ca="1" si="8"/>
        <v>—</v>
      </c>
      <c r="L102" s="94"/>
    </row>
    <row r="103" spans="1:12" x14ac:dyDescent="0.25">
      <c r="A103" s="79"/>
      <c r="B103" s="21" t="str">
        <f>IF(A103="","",IFERROR(VLOOKUP(A103,DB_Customers!$A:$D,4,0),"❌ Account Not Found"))</f>
        <v/>
      </c>
      <c r="C103" s="80" t="str">
        <f>IF(A103="","",IFERROR(VLOOKUP(A103,DB_Customers!$A:$N,14,0),""))</f>
        <v/>
      </c>
      <c r="D103" s="81" t="str">
        <f t="shared" ca="1" si="6"/>
        <v/>
      </c>
      <c r="E103" s="97"/>
      <c r="F103" s="21"/>
      <c r="G103" s="98" t="str">
        <f t="shared" si="7"/>
        <v/>
      </c>
      <c r="H103" s="23"/>
      <c r="I103" s="84"/>
      <c r="J103" s="85" t="str">
        <f>IF(AND(A103&lt;&gt;"",E103&lt;&gt;""),IF(I103="","⚠️ Enter Code",IF(IFERROR(VLOOKUP(H103,DB_Agents!$B:$I,8,0),"")=I103,IF(C103&gt;=E103,"Successful","Unsuccessful"),"🔒 BLOCKED — Wrong Code")),"—")</f>
        <v>—</v>
      </c>
      <c r="K103" s="86" t="str">
        <f t="shared" ca="1" si="8"/>
        <v>—</v>
      </c>
      <c r="L103" s="87"/>
    </row>
    <row r="104" spans="1:12" x14ac:dyDescent="0.25">
      <c r="A104" s="88"/>
      <c r="B104" s="25" t="str">
        <f>IF(A104="","",IFERROR(VLOOKUP(A104,DB_Customers!$A:$D,4,0),"❌ Account Not Found"))</f>
        <v/>
      </c>
      <c r="C104" s="89" t="str">
        <f>IF(A104="","",IFERROR(VLOOKUP(A104,DB_Customers!$A:$N,14,0),""))</f>
        <v/>
      </c>
      <c r="D104" s="90" t="str">
        <f t="shared" ca="1" si="6"/>
        <v/>
      </c>
      <c r="E104" s="97"/>
      <c r="F104" s="25"/>
      <c r="G104" s="99" t="str">
        <f t="shared" si="7"/>
        <v/>
      </c>
      <c r="H104" s="27"/>
      <c r="I104" s="84"/>
      <c r="J104" s="92" t="str">
        <f>IF(AND(A104&lt;&gt;"",E104&lt;&gt;""),IF(I104="","⚠️ Enter Code",IF(IFERROR(VLOOKUP(H104,DB_Agents!$B:$I,8,0),"")=I104,IF(C104&gt;=E104,"Successful","Unsuccessful"),"🔒 BLOCKED — Wrong Code")),"—")</f>
        <v>—</v>
      </c>
      <c r="K104" s="93" t="str">
        <f t="shared" ca="1" si="8"/>
        <v>—</v>
      </c>
      <c r="L104" s="94"/>
    </row>
    <row r="105" spans="1:12" x14ac:dyDescent="0.25">
      <c r="A105" s="79"/>
      <c r="B105" s="21" t="str">
        <f>IF(A105="","",IFERROR(VLOOKUP(A105,DB_Customers!$A:$D,4,0),"❌ Account Not Found"))</f>
        <v/>
      </c>
      <c r="C105" s="80" t="str">
        <f>IF(A105="","",IFERROR(VLOOKUP(A105,DB_Customers!$A:$N,14,0),""))</f>
        <v/>
      </c>
      <c r="D105" s="81" t="str">
        <f t="shared" ref="D105:D136" ca="1" si="9">IF(A105="","",TODAY())</f>
        <v/>
      </c>
      <c r="E105" s="97"/>
      <c r="F105" s="21"/>
      <c r="G105" s="98" t="str">
        <f t="shared" ref="G105:G136" si="10">IF(OR(A105="",E105=""),"",IF(C105="","",C105-E105))</f>
        <v/>
      </c>
      <c r="H105" s="23"/>
      <c r="I105" s="84"/>
      <c r="J105" s="85" t="str">
        <f>IF(AND(A105&lt;&gt;"",E105&lt;&gt;""),IF(I105="","⚠️ Enter Code",IF(IFERROR(VLOOKUP(H105,DB_Agents!$B:$I,8,0),"")=I105,IF(C105&gt;=E105,"Successful","Unsuccessful"),"🔒 BLOCKED — Wrong Code")),"—")</f>
        <v>—</v>
      </c>
      <c r="K105" s="86" t="str">
        <f t="shared" ref="K105:K136" ca="1" si="11">IF(J105="Successful",TEXT(TODAY(),"YYYY-MM-DD")&amp;" Auto","—")</f>
        <v>—</v>
      </c>
      <c r="L105" s="87"/>
    </row>
    <row r="106" spans="1:12" x14ac:dyDescent="0.25">
      <c r="A106" s="88"/>
      <c r="B106" s="25" t="str">
        <f>IF(A106="","",IFERROR(VLOOKUP(A106,DB_Customers!$A:$D,4,0),"❌ Account Not Found"))</f>
        <v/>
      </c>
      <c r="C106" s="89" t="str">
        <f>IF(A106="","",IFERROR(VLOOKUP(A106,DB_Customers!$A:$N,14,0),""))</f>
        <v/>
      </c>
      <c r="D106" s="90" t="str">
        <f t="shared" ca="1" si="9"/>
        <v/>
      </c>
      <c r="E106" s="97"/>
      <c r="F106" s="25"/>
      <c r="G106" s="99" t="str">
        <f t="shared" si="10"/>
        <v/>
      </c>
      <c r="H106" s="27"/>
      <c r="I106" s="84"/>
      <c r="J106" s="92" t="str">
        <f>IF(AND(A106&lt;&gt;"",E106&lt;&gt;""),IF(I106="","⚠️ Enter Code",IF(IFERROR(VLOOKUP(H106,DB_Agents!$B:$I,8,0),"")=I106,IF(C106&gt;=E106,"Successful","Unsuccessful"),"🔒 BLOCKED — Wrong Code")),"—")</f>
        <v>—</v>
      </c>
      <c r="K106" s="93" t="str">
        <f t="shared" ca="1" si="11"/>
        <v>—</v>
      </c>
      <c r="L106" s="94"/>
    </row>
    <row r="107" spans="1:12" x14ac:dyDescent="0.25">
      <c r="A107" s="79"/>
      <c r="B107" s="21" t="str">
        <f>IF(A107="","",IFERROR(VLOOKUP(A107,DB_Customers!$A:$D,4,0),"❌ Account Not Found"))</f>
        <v/>
      </c>
      <c r="C107" s="80" t="str">
        <f>IF(A107="","",IFERROR(VLOOKUP(A107,DB_Customers!$A:$N,14,0),""))</f>
        <v/>
      </c>
      <c r="D107" s="81" t="str">
        <f t="shared" ca="1" si="9"/>
        <v/>
      </c>
      <c r="E107" s="97"/>
      <c r="F107" s="21"/>
      <c r="G107" s="98" t="str">
        <f t="shared" si="10"/>
        <v/>
      </c>
      <c r="H107" s="23"/>
      <c r="I107" s="84"/>
      <c r="J107" s="85" t="str">
        <f>IF(AND(A107&lt;&gt;"",E107&lt;&gt;""),IF(I107="","⚠️ Enter Code",IF(IFERROR(VLOOKUP(H107,DB_Agents!$B:$I,8,0),"")=I107,IF(C107&gt;=E107,"Successful","Unsuccessful"),"🔒 BLOCKED — Wrong Code")),"—")</f>
        <v>—</v>
      </c>
      <c r="K107" s="86" t="str">
        <f t="shared" ca="1" si="11"/>
        <v>—</v>
      </c>
      <c r="L107" s="87"/>
    </row>
    <row r="108" spans="1:12" x14ac:dyDescent="0.25">
      <c r="A108" s="88"/>
      <c r="B108" s="25" t="str">
        <f>IF(A108="","",IFERROR(VLOOKUP(A108,DB_Customers!$A:$D,4,0),"❌ Account Not Found"))</f>
        <v/>
      </c>
      <c r="C108" s="89" t="str">
        <f>IF(A108="","",IFERROR(VLOOKUP(A108,DB_Customers!$A:$N,14,0),""))</f>
        <v/>
      </c>
      <c r="D108" s="90" t="str">
        <f t="shared" ca="1" si="9"/>
        <v/>
      </c>
      <c r="E108" s="97"/>
      <c r="F108" s="25"/>
      <c r="G108" s="99" t="str">
        <f t="shared" si="10"/>
        <v/>
      </c>
      <c r="H108" s="27"/>
      <c r="I108" s="84"/>
      <c r="J108" s="92" t="str">
        <f>IF(AND(A108&lt;&gt;"",E108&lt;&gt;""),IF(I108="","⚠️ Enter Code",IF(IFERROR(VLOOKUP(H108,DB_Agents!$B:$I,8,0),"")=I108,IF(C108&gt;=E108,"Successful","Unsuccessful"),"🔒 BLOCKED — Wrong Code")),"—")</f>
        <v>—</v>
      </c>
      <c r="K108" s="93" t="str">
        <f t="shared" ca="1" si="11"/>
        <v>—</v>
      </c>
      <c r="L108" s="94"/>
    </row>
    <row r="109" spans="1:12" x14ac:dyDescent="0.25">
      <c r="A109" s="79"/>
      <c r="B109" s="21" t="str">
        <f>IF(A109="","",IFERROR(VLOOKUP(A109,DB_Customers!$A:$D,4,0),"❌ Account Not Found"))</f>
        <v/>
      </c>
      <c r="C109" s="80" t="str">
        <f>IF(A109="","",IFERROR(VLOOKUP(A109,DB_Customers!$A:$N,14,0),""))</f>
        <v/>
      </c>
      <c r="D109" s="81" t="str">
        <f t="shared" ca="1" si="9"/>
        <v/>
      </c>
      <c r="E109" s="97"/>
      <c r="F109" s="21"/>
      <c r="G109" s="98" t="str">
        <f t="shared" si="10"/>
        <v/>
      </c>
      <c r="H109" s="23"/>
      <c r="I109" s="84"/>
      <c r="J109" s="85" t="str">
        <f>IF(AND(A109&lt;&gt;"",E109&lt;&gt;""),IF(I109="","⚠️ Enter Code",IF(IFERROR(VLOOKUP(H109,DB_Agents!$B:$I,8,0),"")=I109,IF(C109&gt;=E109,"Successful","Unsuccessful"),"🔒 BLOCKED — Wrong Code")),"—")</f>
        <v>—</v>
      </c>
      <c r="K109" s="86" t="str">
        <f t="shared" ca="1" si="11"/>
        <v>—</v>
      </c>
      <c r="L109" s="87"/>
    </row>
    <row r="110" spans="1:12" x14ac:dyDescent="0.25">
      <c r="A110" s="88"/>
      <c r="B110" s="25" t="str">
        <f>IF(A110="","",IFERROR(VLOOKUP(A110,DB_Customers!$A:$D,4,0),"❌ Account Not Found"))</f>
        <v/>
      </c>
      <c r="C110" s="89" t="str">
        <f>IF(A110="","",IFERROR(VLOOKUP(A110,DB_Customers!$A:$N,14,0),""))</f>
        <v/>
      </c>
      <c r="D110" s="90" t="str">
        <f t="shared" ca="1" si="9"/>
        <v/>
      </c>
      <c r="E110" s="97"/>
      <c r="F110" s="25"/>
      <c r="G110" s="99" t="str">
        <f t="shared" si="10"/>
        <v/>
      </c>
      <c r="H110" s="27"/>
      <c r="I110" s="84"/>
      <c r="J110" s="92" t="str">
        <f>IF(AND(A110&lt;&gt;"",E110&lt;&gt;""),IF(I110="","⚠️ Enter Code",IF(IFERROR(VLOOKUP(H110,DB_Agents!$B:$I,8,0),"")=I110,IF(C110&gt;=E110,"Successful","Unsuccessful"),"🔒 BLOCKED — Wrong Code")),"—")</f>
        <v>—</v>
      </c>
      <c r="K110" s="93" t="str">
        <f t="shared" ca="1" si="11"/>
        <v>—</v>
      </c>
      <c r="L110" s="94"/>
    </row>
    <row r="111" spans="1:12" x14ac:dyDescent="0.25">
      <c r="A111" s="79"/>
      <c r="B111" s="21" t="str">
        <f>IF(A111="","",IFERROR(VLOOKUP(A111,DB_Customers!$A:$D,4,0),"❌ Account Not Found"))</f>
        <v/>
      </c>
      <c r="C111" s="80" t="str">
        <f>IF(A111="","",IFERROR(VLOOKUP(A111,DB_Customers!$A:$N,14,0),""))</f>
        <v/>
      </c>
      <c r="D111" s="81" t="str">
        <f t="shared" ca="1" si="9"/>
        <v/>
      </c>
      <c r="E111" s="97"/>
      <c r="F111" s="21"/>
      <c r="G111" s="98" t="str">
        <f t="shared" si="10"/>
        <v/>
      </c>
      <c r="H111" s="23"/>
      <c r="I111" s="84"/>
      <c r="J111" s="85" t="str">
        <f>IF(AND(A111&lt;&gt;"",E111&lt;&gt;""),IF(I111="","⚠️ Enter Code",IF(IFERROR(VLOOKUP(H111,DB_Agents!$B:$I,8,0),"")=I111,IF(C111&gt;=E111,"Successful","Unsuccessful"),"🔒 BLOCKED — Wrong Code")),"—")</f>
        <v>—</v>
      </c>
      <c r="K111" s="86" t="str">
        <f t="shared" ca="1" si="11"/>
        <v>—</v>
      </c>
      <c r="L111" s="87"/>
    </row>
    <row r="112" spans="1:12" x14ac:dyDescent="0.25">
      <c r="A112" s="88"/>
      <c r="B112" s="25" t="str">
        <f>IF(A112="","",IFERROR(VLOOKUP(A112,DB_Customers!$A:$D,4,0),"❌ Account Not Found"))</f>
        <v/>
      </c>
      <c r="C112" s="89" t="str">
        <f>IF(A112="","",IFERROR(VLOOKUP(A112,DB_Customers!$A:$N,14,0),""))</f>
        <v/>
      </c>
      <c r="D112" s="90" t="str">
        <f t="shared" ca="1" si="9"/>
        <v/>
      </c>
      <c r="E112" s="97"/>
      <c r="F112" s="25"/>
      <c r="G112" s="99" t="str">
        <f t="shared" si="10"/>
        <v/>
      </c>
      <c r="H112" s="27"/>
      <c r="I112" s="84"/>
      <c r="J112" s="92" t="str">
        <f>IF(AND(A112&lt;&gt;"",E112&lt;&gt;""),IF(I112="","⚠️ Enter Code",IF(IFERROR(VLOOKUP(H112,DB_Agents!$B:$I,8,0),"")=I112,IF(C112&gt;=E112,"Successful","Unsuccessful"),"🔒 BLOCKED — Wrong Code")),"—")</f>
        <v>—</v>
      </c>
      <c r="K112" s="93" t="str">
        <f t="shared" ca="1" si="11"/>
        <v>—</v>
      </c>
      <c r="L112" s="94"/>
    </row>
    <row r="113" spans="1:12" x14ac:dyDescent="0.25">
      <c r="A113" s="79"/>
      <c r="B113" s="21" t="str">
        <f>IF(A113="","",IFERROR(VLOOKUP(A113,DB_Customers!$A:$D,4,0),"❌ Account Not Found"))</f>
        <v/>
      </c>
      <c r="C113" s="80" t="str">
        <f>IF(A113="","",IFERROR(VLOOKUP(A113,DB_Customers!$A:$N,14,0),""))</f>
        <v/>
      </c>
      <c r="D113" s="81" t="str">
        <f t="shared" ca="1" si="9"/>
        <v/>
      </c>
      <c r="E113" s="97"/>
      <c r="F113" s="21"/>
      <c r="G113" s="98" t="str">
        <f t="shared" si="10"/>
        <v/>
      </c>
      <c r="H113" s="23"/>
      <c r="I113" s="84"/>
      <c r="J113" s="85" t="str">
        <f>IF(AND(A113&lt;&gt;"",E113&lt;&gt;""),IF(I113="","⚠️ Enter Code",IF(IFERROR(VLOOKUP(H113,DB_Agents!$B:$I,8,0),"")=I113,IF(C113&gt;=E113,"Successful","Unsuccessful"),"🔒 BLOCKED — Wrong Code")),"—")</f>
        <v>—</v>
      </c>
      <c r="K113" s="86" t="str">
        <f t="shared" ca="1" si="11"/>
        <v>—</v>
      </c>
      <c r="L113" s="87"/>
    </row>
    <row r="114" spans="1:12" x14ac:dyDescent="0.25">
      <c r="A114" s="88"/>
      <c r="B114" s="25" t="str">
        <f>IF(A114="","",IFERROR(VLOOKUP(A114,DB_Customers!$A:$D,4,0),"❌ Account Not Found"))</f>
        <v/>
      </c>
      <c r="C114" s="89" t="str">
        <f>IF(A114="","",IFERROR(VLOOKUP(A114,DB_Customers!$A:$N,14,0),""))</f>
        <v/>
      </c>
      <c r="D114" s="90" t="str">
        <f t="shared" ca="1" si="9"/>
        <v/>
      </c>
      <c r="E114" s="97"/>
      <c r="F114" s="25"/>
      <c r="G114" s="99" t="str">
        <f t="shared" si="10"/>
        <v/>
      </c>
      <c r="H114" s="27"/>
      <c r="I114" s="84"/>
      <c r="J114" s="92" t="str">
        <f>IF(AND(A114&lt;&gt;"",E114&lt;&gt;""),IF(I114="","⚠️ Enter Code",IF(IFERROR(VLOOKUP(H114,DB_Agents!$B:$I,8,0),"")=I114,IF(C114&gt;=E114,"Successful","Unsuccessful"),"🔒 BLOCKED — Wrong Code")),"—")</f>
        <v>—</v>
      </c>
      <c r="K114" s="93" t="str">
        <f t="shared" ca="1" si="11"/>
        <v>—</v>
      </c>
      <c r="L114" s="94"/>
    </row>
    <row r="115" spans="1:12" x14ac:dyDescent="0.25">
      <c r="A115" s="79"/>
      <c r="B115" s="21" t="str">
        <f>IF(A115="","",IFERROR(VLOOKUP(A115,DB_Customers!$A:$D,4,0),"❌ Account Not Found"))</f>
        <v/>
      </c>
      <c r="C115" s="80" t="str">
        <f>IF(A115="","",IFERROR(VLOOKUP(A115,DB_Customers!$A:$N,14,0),""))</f>
        <v/>
      </c>
      <c r="D115" s="81" t="str">
        <f t="shared" ca="1" si="9"/>
        <v/>
      </c>
      <c r="E115" s="97"/>
      <c r="F115" s="21"/>
      <c r="G115" s="98" t="str">
        <f t="shared" si="10"/>
        <v/>
      </c>
      <c r="H115" s="23"/>
      <c r="I115" s="84"/>
      <c r="J115" s="85" t="str">
        <f>IF(AND(A115&lt;&gt;"",E115&lt;&gt;""),IF(I115="","⚠️ Enter Code",IF(IFERROR(VLOOKUP(H115,DB_Agents!$B:$I,8,0),"")=I115,IF(C115&gt;=E115,"Successful","Unsuccessful"),"🔒 BLOCKED — Wrong Code")),"—")</f>
        <v>—</v>
      </c>
      <c r="K115" s="86" t="str">
        <f t="shared" ca="1" si="11"/>
        <v>—</v>
      </c>
      <c r="L115" s="87"/>
    </row>
    <row r="116" spans="1:12" x14ac:dyDescent="0.25">
      <c r="A116" s="88"/>
      <c r="B116" s="25" t="str">
        <f>IF(A116="","",IFERROR(VLOOKUP(A116,DB_Customers!$A:$D,4,0),"❌ Account Not Found"))</f>
        <v/>
      </c>
      <c r="C116" s="89" t="str">
        <f>IF(A116="","",IFERROR(VLOOKUP(A116,DB_Customers!$A:$N,14,0),""))</f>
        <v/>
      </c>
      <c r="D116" s="90" t="str">
        <f t="shared" ca="1" si="9"/>
        <v/>
      </c>
      <c r="E116" s="97"/>
      <c r="F116" s="25"/>
      <c r="G116" s="99" t="str">
        <f t="shared" si="10"/>
        <v/>
      </c>
      <c r="H116" s="27"/>
      <c r="I116" s="84"/>
      <c r="J116" s="92" t="str">
        <f>IF(AND(A116&lt;&gt;"",E116&lt;&gt;""),IF(I116="","⚠️ Enter Code",IF(IFERROR(VLOOKUP(H116,DB_Agents!$B:$I,8,0),"")=I116,IF(C116&gt;=E116,"Successful","Unsuccessful"),"🔒 BLOCKED — Wrong Code")),"—")</f>
        <v>—</v>
      </c>
      <c r="K116" s="93" t="str">
        <f t="shared" ca="1" si="11"/>
        <v>—</v>
      </c>
      <c r="L116" s="94"/>
    </row>
    <row r="117" spans="1:12" x14ac:dyDescent="0.25">
      <c r="A117" s="79"/>
      <c r="B117" s="21" t="str">
        <f>IF(A117="","",IFERROR(VLOOKUP(A117,DB_Customers!$A:$D,4,0),"❌ Account Not Found"))</f>
        <v/>
      </c>
      <c r="C117" s="80" t="str">
        <f>IF(A117="","",IFERROR(VLOOKUP(A117,DB_Customers!$A:$N,14,0),""))</f>
        <v/>
      </c>
      <c r="D117" s="81" t="str">
        <f t="shared" ca="1" si="9"/>
        <v/>
      </c>
      <c r="E117" s="97"/>
      <c r="F117" s="21"/>
      <c r="G117" s="98" t="str">
        <f t="shared" si="10"/>
        <v/>
      </c>
      <c r="H117" s="23"/>
      <c r="I117" s="84"/>
      <c r="J117" s="85" t="str">
        <f>IF(AND(A117&lt;&gt;"",E117&lt;&gt;""),IF(I117="","⚠️ Enter Code",IF(IFERROR(VLOOKUP(H117,DB_Agents!$B:$I,8,0),"")=I117,IF(C117&gt;=E117,"Successful","Unsuccessful"),"🔒 BLOCKED — Wrong Code")),"—")</f>
        <v>—</v>
      </c>
      <c r="K117" s="86" t="str">
        <f t="shared" ca="1" si="11"/>
        <v>—</v>
      </c>
      <c r="L117" s="87"/>
    </row>
    <row r="118" spans="1:12" x14ac:dyDescent="0.25">
      <c r="A118" s="88"/>
      <c r="B118" s="25" t="str">
        <f>IF(A118="","",IFERROR(VLOOKUP(A118,DB_Customers!$A:$D,4,0),"❌ Account Not Found"))</f>
        <v/>
      </c>
      <c r="C118" s="89" t="str">
        <f>IF(A118="","",IFERROR(VLOOKUP(A118,DB_Customers!$A:$N,14,0),""))</f>
        <v/>
      </c>
      <c r="D118" s="90" t="str">
        <f t="shared" ca="1" si="9"/>
        <v/>
      </c>
      <c r="E118" s="97"/>
      <c r="F118" s="25"/>
      <c r="G118" s="99" t="str">
        <f t="shared" si="10"/>
        <v/>
      </c>
      <c r="H118" s="27"/>
      <c r="I118" s="84"/>
      <c r="J118" s="92" t="str">
        <f>IF(AND(A118&lt;&gt;"",E118&lt;&gt;""),IF(I118="","⚠️ Enter Code",IF(IFERROR(VLOOKUP(H118,DB_Agents!$B:$I,8,0),"")=I118,IF(C118&gt;=E118,"Successful","Unsuccessful"),"🔒 BLOCKED — Wrong Code")),"—")</f>
        <v>—</v>
      </c>
      <c r="K118" s="93" t="str">
        <f t="shared" ca="1" si="11"/>
        <v>—</v>
      </c>
      <c r="L118" s="94"/>
    </row>
    <row r="119" spans="1:12" x14ac:dyDescent="0.25">
      <c r="A119" s="79"/>
      <c r="B119" s="21" t="str">
        <f>IF(A119="","",IFERROR(VLOOKUP(A119,DB_Customers!$A:$D,4,0),"❌ Account Not Found"))</f>
        <v/>
      </c>
      <c r="C119" s="80" t="str">
        <f>IF(A119="","",IFERROR(VLOOKUP(A119,DB_Customers!$A:$N,14,0),""))</f>
        <v/>
      </c>
      <c r="D119" s="81" t="str">
        <f t="shared" ca="1" si="9"/>
        <v/>
      </c>
      <c r="E119" s="97"/>
      <c r="F119" s="21"/>
      <c r="G119" s="98" t="str">
        <f t="shared" si="10"/>
        <v/>
      </c>
      <c r="H119" s="23"/>
      <c r="I119" s="84"/>
      <c r="J119" s="85" t="str">
        <f>IF(AND(A119&lt;&gt;"",E119&lt;&gt;""),IF(I119="","⚠️ Enter Code",IF(IFERROR(VLOOKUP(H119,DB_Agents!$B:$I,8,0),"")=I119,IF(C119&gt;=E119,"Successful","Unsuccessful"),"🔒 BLOCKED — Wrong Code")),"—")</f>
        <v>—</v>
      </c>
      <c r="K119" s="86" t="str">
        <f t="shared" ca="1" si="11"/>
        <v>—</v>
      </c>
      <c r="L119" s="87"/>
    </row>
    <row r="120" spans="1:12" x14ac:dyDescent="0.25">
      <c r="A120" s="88"/>
      <c r="B120" s="25" t="str">
        <f>IF(A120="","",IFERROR(VLOOKUP(A120,DB_Customers!$A:$D,4,0),"❌ Account Not Found"))</f>
        <v/>
      </c>
      <c r="C120" s="89" t="str">
        <f>IF(A120="","",IFERROR(VLOOKUP(A120,DB_Customers!$A:$N,14,0),""))</f>
        <v/>
      </c>
      <c r="D120" s="90" t="str">
        <f t="shared" ca="1" si="9"/>
        <v/>
      </c>
      <c r="E120" s="97"/>
      <c r="F120" s="25"/>
      <c r="G120" s="99" t="str">
        <f t="shared" si="10"/>
        <v/>
      </c>
      <c r="H120" s="27"/>
      <c r="I120" s="84"/>
      <c r="J120" s="92" t="str">
        <f>IF(AND(A120&lt;&gt;"",E120&lt;&gt;""),IF(I120="","⚠️ Enter Code",IF(IFERROR(VLOOKUP(H120,DB_Agents!$B:$I,8,0),"")=I120,IF(C120&gt;=E120,"Successful","Unsuccessful"),"🔒 BLOCKED — Wrong Code")),"—")</f>
        <v>—</v>
      </c>
      <c r="K120" s="93" t="str">
        <f t="shared" ca="1" si="11"/>
        <v>—</v>
      </c>
      <c r="L120" s="94"/>
    </row>
    <row r="121" spans="1:12" x14ac:dyDescent="0.25">
      <c r="A121" s="79"/>
      <c r="B121" s="21" t="str">
        <f>IF(A121="","",IFERROR(VLOOKUP(A121,DB_Customers!$A:$D,4,0),"❌ Account Not Found"))</f>
        <v/>
      </c>
      <c r="C121" s="80" t="str">
        <f>IF(A121="","",IFERROR(VLOOKUP(A121,DB_Customers!$A:$N,14,0),""))</f>
        <v/>
      </c>
      <c r="D121" s="81" t="str">
        <f t="shared" ca="1" si="9"/>
        <v/>
      </c>
      <c r="E121" s="97"/>
      <c r="F121" s="21"/>
      <c r="G121" s="98" t="str">
        <f t="shared" si="10"/>
        <v/>
      </c>
      <c r="H121" s="23"/>
      <c r="I121" s="84"/>
      <c r="J121" s="85" t="str">
        <f>IF(AND(A121&lt;&gt;"",E121&lt;&gt;""),IF(I121="","⚠️ Enter Code",IF(IFERROR(VLOOKUP(H121,DB_Agents!$B:$I,8,0),"")=I121,IF(C121&gt;=E121,"Successful","Unsuccessful"),"🔒 BLOCKED — Wrong Code")),"—")</f>
        <v>—</v>
      </c>
      <c r="K121" s="86" t="str">
        <f t="shared" ca="1" si="11"/>
        <v>—</v>
      </c>
      <c r="L121" s="87"/>
    </row>
    <row r="122" spans="1:12" x14ac:dyDescent="0.25">
      <c r="A122" s="88"/>
      <c r="B122" s="25" t="str">
        <f>IF(A122="","",IFERROR(VLOOKUP(A122,DB_Customers!$A:$D,4,0),"❌ Account Not Found"))</f>
        <v/>
      </c>
      <c r="C122" s="89" t="str">
        <f>IF(A122="","",IFERROR(VLOOKUP(A122,DB_Customers!$A:$N,14,0),""))</f>
        <v/>
      </c>
      <c r="D122" s="90" t="str">
        <f t="shared" ca="1" si="9"/>
        <v/>
      </c>
      <c r="E122" s="97"/>
      <c r="F122" s="25"/>
      <c r="G122" s="99" t="str">
        <f t="shared" si="10"/>
        <v/>
      </c>
      <c r="H122" s="27"/>
      <c r="I122" s="84"/>
      <c r="J122" s="92" t="str">
        <f>IF(AND(A122&lt;&gt;"",E122&lt;&gt;""),IF(I122="","⚠️ Enter Code",IF(IFERROR(VLOOKUP(H122,DB_Agents!$B:$I,8,0),"")=I122,IF(C122&gt;=E122,"Successful","Unsuccessful"),"🔒 BLOCKED — Wrong Code")),"—")</f>
        <v>—</v>
      </c>
      <c r="K122" s="93" t="str">
        <f t="shared" ca="1" si="11"/>
        <v>—</v>
      </c>
      <c r="L122" s="94"/>
    </row>
    <row r="123" spans="1:12" x14ac:dyDescent="0.25">
      <c r="A123" s="79"/>
      <c r="B123" s="21" t="str">
        <f>IF(A123="","",IFERROR(VLOOKUP(A123,DB_Customers!$A:$D,4,0),"❌ Account Not Found"))</f>
        <v/>
      </c>
      <c r="C123" s="80" t="str">
        <f>IF(A123="","",IFERROR(VLOOKUP(A123,DB_Customers!$A:$N,14,0),""))</f>
        <v/>
      </c>
      <c r="D123" s="81" t="str">
        <f t="shared" ca="1" si="9"/>
        <v/>
      </c>
      <c r="E123" s="97"/>
      <c r="F123" s="21"/>
      <c r="G123" s="98" t="str">
        <f t="shared" si="10"/>
        <v/>
      </c>
      <c r="H123" s="23"/>
      <c r="I123" s="84"/>
      <c r="J123" s="85" t="str">
        <f>IF(AND(A123&lt;&gt;"",E123&lt;&gt;""),IF(I123="","⚠️ Enter Code",IF(IFERROR(VLOOKUP(H123,DB_Agents!$B:$I,8,0),"")=I123,IF(C123&gt;=E123,"Successful","Unsuccessful"),"🔒 BLOCKED — Wrong Code")),"—")</f>
        <v>—</v>
      </c>
      <c r="K123" s="86" t="str">
        <f t="shared" ca="1" si="11"/>
        <v>—</v>
      </c>
      <c r="L123" s="87"/>
    </row>
    <row r="124" spans="1:12" x14ac:dyDescent="0.25">
      <c r="A124" s="88"/>
      <c r="B124" s="25" t="str">
        <f>IF(A124="","",IFERROR(VLOOKUP(A124,DB_Customers!$A:$D,4,0),"❌ Account Not Found"))</f>
        <v/>
      </c>
      <c r="C124" s="89" t="str">
        <f>IF(A124="","",IFERROR(VLOOKUP(A124,DB_Customers!$A:$N,14,0),""))</f>
        <v/>
      </c>
      <c r="D124" s="90" t="str">
        <f t="shared" ca="1" si="9"/>
        <v/>
      </c>
      <c r="E124" s="97"/>
      <c r="F124" s="25"/>
      <c r="G124" s="99" t="str">
        <f t="shared" si="10"/>
        <v/>
      </c>
      <c r="H124" s="27"/>
      <c r="I124" s="84"/>
      <c r="J124" s="92" t="str">
        <f>IF(AND(A124&lt;&gt;"",E124&lt;&gt;""),IF(I124="","⚠️ Enter Code",IF(IFERROR(VLOOKUP(H124,DB_Agents!$B:$I,8,0),"")=I124,IF(C124&gt;=E124,"Successful","Unsuccessful"),"🔒 BLOCKED — Wrong Code")),"—")</f>
        <v>—</v>
      </c>
      <c r="K124" s="93" t="str">
        <f t="shared" ca="1" si="11"/>
        <v>—</v>
      </c>
      <c r="L124" s="94"/>
    </row>
    <row r="125" spans="1:12" x14ac:dyDescent="0.25">
      <c r="A125" s="79"/>
      <c r="B125" s="21" t="str">
        <f>IF(A125="","",IFERROR(VLOOKUP(A125,DB_Customers!$A:$D,4,0),"❌ Account Not Found"))</f>
        <v/>
      </c>
      <c r="C125" s="80" t="str">
        <f>IF(A125="","",IFERROR(VLOOKUP(A125,DB_Customers!$A:$N,14,0),""))</f>
        <v/>
      </c>
      <c r="D125" s="81" t="str">
        <f t="shared" ca="1" si="9"/>
        <v/>
      </c>
      <c r="E125" s="97"/>
      <c r="F125" s="21"/>
      <c r="G125" s="98" t="str">
        <f t="shared" si="10"/>
        <v/>
      </c>
      <c r="H125" s="23"/>
      <c r="I125" s="84"/>
      <c r="J125" s="85" t="str">
        <f>IF(AND(A125&lt;&gt;"",E125&lt;&gt;""),IF(I125="","⚠️ Enter Code",IF(IFERROR(VLOOKUP(H125,DB_Agents!$B:$I,8,0),"")=I125,IF(C125&gt;=E125,"Successful","Unsuccessful"),"🔒 BLOCKED — Wrong Code")),"—")</f>
        <v>—</v>
      </c>
      <c r="K125" s="86" t="str">
        <f t="shared" ca="1" si="11"/>
        <v>—</v>
      </c>
      <c r="L125" s="87"/>
    </row>
    <row r="126" spans="1:12" x14ac:dyDescent="0.25">
      <c r="A126" s="88"/>
      <c r="B126" s="25" t="str">
        <f>IF(A126="","",IFERROR(VLOOKUP(A126,DB_Customers!$A:$D,4,0),"❌ Account Not Found"))</f>
        <v/>
      </c>
      <c r="C126" s="89" t="str">
        <f>IF(A126="","",IFERROR(VLOOKUP(A126,DB_Customers!$A:$N,14,0),""))</f>
        <v/>
      </c>
      <c r="D126" s="90" t="str">
        <f t="shared" ca="1" si="9"/>
        <v/>
      </c>
      <c r="E126" s="97"/>
      <c r="F126" s="25"/>
      <c r="G126" s="99" t="str">
        <f t="shared" si="10"/>
        <v/>
      </c>
      <c r="H126" s="27"/>
      <c r="I126" s="84"/>
      <c r="J126" s="92" t="str">
        <f>IF(AND(A126&lt;&gt;"",E126&lt;&gt;""),IF(I126="","⚠️ Enter Code",IF(IFERROR(VLOOKUP(H126,DB_Agents!$B:$I,8,0),"")=I126,IF(C126&gt;=E126,"Successful","Unsuccessful"),"🔒 BLOCKED — Wrong Code")),"—")</f>
        <v>—</v>
      </c>
      <c r="K126" s="93" t="str">
        <f t="shared" ca="1" si="11"/>
        <v>—</v>
      </c>
      <c r="L126" s="94"/>
    </row>
    <row r="127" spans="1:12" x14ac:dyDescent="0.25">
      <c r="A127" s="79"/>
      <c r="B127" s="21" t="str">
        <f>IF(A127="","",IFERROR(VLOOKUP(A127,DB_Customers!$A:$D,4,0),"❌ Account Not Found"))</f>
        <v/>
      </c>
      <c r="C127" s="80" t="str">
        <f>IF(A127="","",IFERROR(VLOOKUP(A127,DB_Customers!$A:$N,14,0),""))</f>
        <v/>
      </c>
      <c r="D127" s="81" t="str">
        <f t="shared" ca="1" si="9"/>
        <v/>
      </c>
      <c r="E127" s="97"/>
      <c r="F127" s="21"/>
      <c r="G127" s="98" t="str">
        <f t="shared" si="10"/>
        <v/>
      </c>
      <c r="H127" s="23"/>
      <c r="I127" s="84"/>
      <c r="J127" s="85" t="str">
        <f>IF(AND(A127&lt;&gt;"",E127&lt;&gt;""),IF(I127="","⚠️ Enter Code",IF(IFERROR(VLOOKUP(H127,DB_Agents!$B:$I,8,0),"")=I127,IF(C127&gt;=E127,"Successful","Unsuccessful"),"🔒 BLOCKED — Wrong Code")),"—")</f>
        <v>—</v>
      </c>
      <c r="K127" s="86" t="str">
        <f t="shared" ca="1" si="11"/>
        <v>—</v>
      </c>
      <c r="L127" s="87"/>
    </row>
    <row r="128" spans="1:12" x14ac:dyDescent="0.25">
      <c r="A128" s="88"/>
      <c r="B128" s="25" t="str">
        <f>IF(A128="","",IFERROR(VLOOKUP(A128,DB_Customers!$A:$D,4,0),"❌ Account Not Found"))</f>
        <v/>
      </c>
      <c r="C128" s="89" t="str">
        <f>IF(A128="","",IFERROR(VLOOKUP(A128,DB_Customers!$A:$N,14,0),""))</f>
        <v/>
      </c>
      <c r="D128" s="90" t="str">
        <f t="shared" ca="1" si="9"/>
        <v/>
      </c>
      <c r="E128" s="97"/>
      <c r="F128" s="25"/>
      <c r="G128" s="99" t="str">
        <f t="shared" si="10"/>
        <v/>
      </c>
      <c r="H128" s="27"/>
      <c r="I128" s="84"/>
      <c r="J128" s="92" t="str">
        <f>IF(AND(A128&lt;&gt;"",E128&lt;&gt;""),IF(I128="","⚠️ Enter Code",IF(IFERROR(VLOOKUP(H128,DB_Agents!$B:$I,8,0),"")=I128,IF(C128&gt;=E128,"Successful","Unsuccessful"),"🔒 BLOCKED — Wrong Code")),"—")</f>
        <v>—</v>
      </c>
      <c r="K128" s="93" t="str">
        <f t="shared" ca="1" si="11"/>
        <v>—</v>
      </c>
      <c r="L128" s="94"/>
    </row>
    <row r="129" spans="1:12" x14ac:dyDescent="0.25">
      <c r="A129" s="79"/>
      <c r="B129" s="21" t="str">
        <f>IF(A129="","",IFERROR(VLOOKUP(A129,DB_Customers!$A:$D,4,0),"❌ Account Not Found"))</f>
        <v/>
      </c>
      <c r="C129" s="80" t="str">
        <f>IF(A129="","",IFERROR(VLOOKUP(A129,DB_Customers!$A:$N,14,0),""))</f>
        <v/>
      </c>
      <c r="D129" s="81" t="str">
        <f t="shared" ca="1" si="9"/>
        <v/>
      </c>
      <c r="E129" s="97"/>
      <c r="F129" s="21"/>
      <c r="G129" s="98" t="str">
        <f t="shared" si="10"/>
        <v/>
      </c>
      <c r="H129" s="23"/>
      <c r="I129" s="84"/>
      <c r="J129" s="85" t="str">
        <f>IF(AND(A129&lt;&gt;"",E129&lt;&gt;""),IF(I129="","⚠️ Enter Code",IF(IFERROR(VLOOKUP(H129,DB_Agents!$B:$I,8,0),"")=I129,IF(C129&gt;=E129,"Successful","Unsuccessful"),"🔒 BLOCKED — Wrong Code")),"—")</f>
        <v>—</v>
      </c>
      <c r="K129" s="86" t="str">
        <f t="shared" ca="1" si="11"/>
        <v>—</v>
      </c>
      <c r="L129" s="87"/>
    </row>
    <row r="130" spans="1:12" x14ac:dyDescent="0.25">
      <c r="A130" s="88"/>
      <c r="B130" s="25" t="str">
        <f>IF(A130="","",IFERROR(VLOOKUP(A130,DB_Customers!$A:$D,4,0),"❌ Account Not Found"))</f>
        <v/>
      </c>
      <c r="C130" s="89" t="str">
        <f>IF(A130="","",IFERROR(VLOOKUP(A130,DB_Customers!$A:$N,14,0),""))</f>
        <v/>
      </c>
      <c r="D130" s="90" t="str">
        <f t="shared" ca="1" si="9"/>
        <v/>
      </c>
      <c r="E130" s="97"/>
      <c r="F130" s="25"/>
      <c r="G130" s="99" t="str">
        <f t="shared" si="10"/>
        <v/>
      </c>
      <c r="H130" s="27"/>
      <c r="I130" s="84"/>
      <c r="J130" s="92" t="str">
        <f>IF(AND(A130&lt;&gt;"",E130&lt;&gt;""),IF(I130="","⚠️ Enter Code",IF(IFERROR(VLOOKUP(H130,DB_Agents!$B:$I,8,0),"")=I130,IF(C130&gt;=E130,"Successful","Unsuccessful"),"🔒 BLOCKED — Wrong Code")),"—")</f>
        <v>—</v>
      </c>
      <c r="K130" s="93" t="str">
        <f t="shared" ca="1" si="11"/>
        <v>—</v>
      </c>
      <c r="L130" s="94"/>
    </row>
    <row r="131" spans="1:12" x14ac:dyDescent="0.25">
      <c r="A131" s="79"/>
      <c r="B131" s="21" t="str">
        <f>IF(A131="","",IFERROR(VLOOKUP(A131,DB_Customers!$A:$D,4,0),"❌ Account Not Found"))</f>
        <v/>
      </c>
      <c r="C131" s="80" t="str">
        <f>IF(A131="","",IFERROR(VLOOKUP(A131,DB_Customers!$A:$N,14,0),""))</f>
        <v/>
      </c>
      <c r="D131" s="81" t="str">
        <f t="shared" ca="1" si="9"/>
        <v/>
      </c>
      <c r="E131" s="97"/>
      <c r="F131" s="21"/>
      <c r="G131" s="98" t="str">
        <f t="shared" si="10"/>
        <v/>
      </c>
      <c r="H131" s="23"/>
      <c r="I131" s="84"/>
      <c r="J131" s="85" t="str">
        <f>IF(AND(A131&lt;&gt;"",E131&lt;&gt;""),IF(I131="","⚠️ Enter Code",IF(IFERROR(VLOOKUP(H131,DB_Agents!$B:$I,8,0),"")=I131,IF(C131&gt;=E131,"Successful","Unsuccessful"),"🔒 BLOCKED — Wrong Code")),"—")</f>
        <v>—</v>
      </c>
      <c r="K131" s="86" t="str">
        <f t="shared" ca="1" si="11"/>
        <v>—</v>
      </c>
      <c r="L131" s="87"/>
    </row>
    <row r="132" spans="1:12" x14ac:dyDescent="0.25">
      <c r="A132" s="88"/>
      <c r="B132" s="25" t="str">
        <f>IF(A132="","",IFERROR(VLOOKUP(A132,DB_Customers!$A:$D,4,0),"❌ Account Not Found"))</f>
        <v/>
      </c>
      <c r="C132" s="89" t="str">
        <f>IF(A132="","",IFERROR(VLOOKUP(A132,DB_Customers!$A:$N,14,0),""))</f>
        <v/>
      </c>
      <c r="D132" s="90" t="str">
        <f t="shared" ca="1" si="9"/>
        <v/>
      </c>
      <c r="E132" s="97"/>
      <c r="F132" s="25"/>
      <c r="G132" s="99" t="str">
        <f t="shared" si="10"/>
        <v/>
      </c>
      <c r="H132" s="27"/>
      <c r="I132" s="84"/>
      <c r="J132" s="92" t="str">
        <f>IF(AND(A132&lt;&gt;"",E132&lt;&gt;""),IF(I132="","⚠️ Enter Code",IF(IFERROR(VLOOKUP(H132,DB_Agents!$B:$I,8,0),"")=I132,IF(C132&gt;=E132,"Successful","Unsuccessful"),"🔒 BLOCKED — Wrong Code")),"—")</f>
        <v>—</v>
      </c>
      <c r="K132" s="93" t="str">
        <f t="shared" ca="1" si="11"/>
        <v>—</v>
      </c>
      <c r="L132" s="94"/>
    </row>
    <row r="133" spans="1:12" x14ac:dyDescent="0.25">
      <c r="A133" s="79"/>
      <c r="B133" s="21" t="str">
        <f>IF(A133="","",IFERROR(VLOOKUP(A133,DB_Customers!$A:$D,4,0),"❌ Account Not Found"))</f>
        <v/>
      </c>
      <c r="C133" s="80" t="str">
        <f>IF(A133="","",IFERROR(VLOOKUP(A133,DB_Customers!$A:$N,14,0),""))</f>
        <v/>
      </c>
      <c r="D133" s="81" t="str">
        <f t="shared" ca="1" si="9"/>
        <v/>
      </c>
      <c r="E133" s="97"/>
      <c r="F133" s="21"/>
      <c r="G133" s="98" t="str">
        <f t="shared" si="10"/>
        <v/>
      </c>
      <c r="H133" s="23"/>
      <c r="I133" s="84"/>
      <c r="J133" s="85" t="str">
        <f>IF(AND(A133&lt;&gt;"",E133&lt;&gt;""),IF(I133="","⚠️ Enter Code",IF(IFERROR(VLOOKUP(H133,DB_Agents!$B:$I,8,0),"")=I133,IF(C133&gt;=E133,"Successful","Unsuccessful"),"🔒 BLOCKED — Wrong Code")),"—")</f>
        <v>—</v>
      </c>
      <c r="K133" s="86" t="str">
        <f t="shared" ca="1" si="11"/>
        <v>—</v>
      </c>
      <c r="L133" s="87"/>
    </row>
    <row r="134" spans="1:12" x14ac:dyDescent="0.25">
      <c r="A134" s="88"/>
      <c r="B134" s="25" t="str">
        <f>IF(A134="","",IFERROR(VLOOKUP(A134,DB_Customers!$A:$D,4,0),"❌ Account Not Found"))</f>
        <v/>
      </c>
      <c r="C134" s="89" t="str">
        <f>IF(A134="","",IFERROR(VLOOKUP(A134,DB_Customers!$A:$N,14,0),""))</f>
        <v/>
      </c>
      <c r="D134" s="90" t="str">
        <f t="shared" ca="1" si="9"/>
        <v/>
      </c>
      <c r="E134" s="97"/>
      <c r="F134" s="25"/>
      <c r="G134" s="99" t="str">
        <f t="shared" si="10"/>
        <v/>
      </c>
      <c r="H134" s="27"/>
      <c r="I134" s="84"/>
      <c r="J134" s="92" t="str">
        <f>IF(AND(A134&lt;&gt;"",E134&lt;&gt;""),IF(I134="","⚠️ Enter Code",IF(IFERROR(VLOOKUP(H134,DB_Agents!$B:$I,8,0),"")=I134,IF(C134&gt;=E134,"Successful","Unsuccessful"),"🔒 BLOCKED — Wrong Code")),"—")</f>
        <v>—</v>
      </c>
      <c r="K134" s="93" t="str">
        <f t="shared" ca="1" si="11"/>
        <v>—</v>
      </c>
      <c r="L134" s="94"/>
    </row>
    <row r="135" spans="1:12" x14ac:dyDescent="0.25">
      <c r="A135" s="79"/>
      <c r="B135" s="21" t="str">
        <f>IF(A135="","",IFERROR(VLOOKUP(A135,DB_Customers!$A:$D,4,0),"❌ Account Not Found"))</f>
        <v/>
      </c>
      <c r="C135" s="80" t="str">
        <f>IF(A135="","",IFERROR(VLOOKUP(A135,DB_Customers!$A:$N,14,0),""))</f>
        <v/>
      </c>
      <c r="D135" s="81" t="str">
        <f t="shared" ca="1" si="9"/>
        <v/>
      </c>
      <c r="E135" s="97"/>
      <c r="F135" s="21"/>
      <c r="G135" s="98" t="str">
        <f t="shared" si="10"/>
        <v/>
      </c>
      <c r="H135" s="23"/>
      <c r="I135" s="84"/>
      <c r="J135" s="85" t="str">
        <f>IF(AND(A135&lt;&gt;"",E135&lt;&gt;""),IF(I135="","⚠️ Enter Code",IF(IFERROR(VLOOKUP(H135,DB_Agents!$B:$I,8,0),"")=I135,IF(C135&gt;=E135,"Successful","Unsuccessful"),"🔒 BLOCKED — Wrong Code")),"—")</f>
        <v>—</v>
      </c>
      <c r="K135" s="86" t="str">
        <f t="shared" ca="1" si="11"/>
        <v>—</v>
      </c>
      <c r="L135" s="87"/>
    </row>
    <row r="136" spans="1:12" x14ac:dyDescent="0.25">
      <c r="A136" s="88"/>
      <c r="B136" s="25" t="str">
        <f>IF(A136="","",IFERROR(VLOOKUP(A136,DB_Customers!$A:$D,4,0),"❌ Account Not Found"))</f>
        <v/>
      </c>
      <c r="C136" s="89" t="str">
        <f>IF(A136="","",IFERROR(VLOOKUP(A136,DB_Customers!$A:$N,14,0),""))</f>
        <v/>
      </c>
      <c r="D136" s="90" t="str">
        <f t="shared" ca="1" si="9"/>
        <v/>
      </c>
      <c r="E136" s="97"/>
      <c r="F136" s="25"/>
      <c r="G136" s="99" t="str">
        <f t="shared" si="10"/>
        <v/>
      </c>
      <c r="H136" s="27"/>
      <c r="I136" s="84"/>
      <c r="J136" s="92" t="str">
        <f>IF(AND(A136&lt;&gt;"",E136&lt;&gt;""),IF(I136="","⚠️ Enter Code",IF(IFERROR(VLOOKUP(H136,DB_Agents!$B:$I,8,0),"")=I136,IF(C136&gt;=E136,"Successful","Unsuccessful"),"🔒 BLOCKED — Wrong Code")),"—")</f>
        <v>—</v>
      </c>
      <c r="K136" s="93" t="str">
        <f t="shared" ca="1" si="11"/>
        <v>—</v>
      </c>
      <c r="L136" s="94"/>
    </row>
    <row r="137" spans="1:12" x14ac:dyDescent="0.25">
      <c r="A137" s="79"/>
      <c r="B137" s="21" t="str">
        <f>IF(A137="","",IFERROR(VLOOKUP(A137,DB_Customers!$A:$D,4,0),"❌ Account Not Found"))</f>
        <v/>
      </c>
      <c r="C137" s="80" t="str">
        <f>IF(A137="","",IFERROR(VLOOKUP(A137,DB_Customers!$A:$N,14,0),""))</f>
        <v/>
      </c>
      <c r="D137" s="81" t="str">
        <f t="shared" ref="D137:D168" ca="1" si="12">IF(A137="","",TODAY())</f>
        <v/>
      </c>
      <c r="E137" s="97"/>
      <c r="F137" s="21"/>
      <c r="G137" s="98" t="str">
        <f t="shared" ref="G137:G168" si="13">IF(OR(A137="",E137=""),"",IF(C137="","",C137-E137))</f>
        <v/>
      </c>
      <c r="H137" s="23"/>
      <c r="I137" s="84"/>
      <c r="J137" s="85" t="str">
        <f>IF(AND(A137&lt;&gt;"",E137&lt;&gt;""),IF(I137="","⚠️ Enter Code",IF(IFERROR(VLOOKUP(H137,DB_Agents!$B:$I,8,0),"")=I137,IF(C137&gt;=E137,"Successful","Unsuccessful"),"🔒 BLOCKED — Wrong Code")),"—")</f>
        <v>—</v>
      </c>
      <c r="K137" s="86" t="str">
        <f t="shared" ref="K137:K168" ca="1" si="14">IF(J137="Successful",TEXT(TODAY(),"YYYY-MM-DD")&amp;" Auto","—")</f>
        <v>—</v>
      </c>
      <c r="L137" s="87"/>
    </row>
    <row r="138" spans="1:12" x14ac:dyDescent="0.25">
      <c r="A138" s="88"/>
      <c r="B138" s="25" t="str">
        <f>IF(A138="","",IFERROR(VLOOKUP(A138,DB_Customers!$A:$D,4,0),"❌ Account Not Found"))</f>
        <v/>
      </c>
      <c r="C138" s="89" t="str">
        <f>IF(A138="","",IFERROR(VLOOKUP(A138,DB_Customers!$A:$N,14,0),""))</f>
        <v/>
      </c>
      <c r="D138" s="90" t="str">
        <f t="shared" ca="1" si="12"/>
        <v/>
      </c>
      <c r="E138" s="97"/>
      <c r="F138" s="25"/>
      <c r="G138" s="99" t="str">
        <f t="shared" si="13"/>
        <v/>
      </c>
      <c r="H138" s="27"/>
      <c r="I138" s="84"/>
      <c r="J138" s="92" t="str">
        <f>IF(AND(A138&lt;&gt;"",E138&lt;&gt;""),IF(I138="","⚠️ Enter Code",IF(IFERROR(VLOOKUP(H138,DB_Agents!$B:$I,8,0),"")=I138,IF(C138&gt;=E138,"Successful","Unsuccessful"),"🔒 BLOCKED — Wrong Code")),"—")</f>
        <v>—</v>
      </c>
      <c r="K138" s="93" t="str">
        <f t="shared" ca="1" si="14"/>
        <v>—</v>
      </c>
      <c r="L138" s="94"/>
    </row>
    <row r="139" spans="1:12" x14ac:dyDescent="0.25">
      <c r="A139" s="79"/>
      <c r="B139" s="21" t="str">
        <f>IF(A139="","",IFERROR(VLOOKUP(A139,DB_Customers!$A:$D,4,0),"❌ Account Not Found"))</f>
        <v/>
      </c>
      <c r="C139" s="80" t="str">
        <f>IF(A139="","",IFERROR(VLOOKUP(A139,DB_Customers!$A:$N,14,0),""))</f>
        <v/>
      </c>
      <c r="D139" s="81" t="str">
        <f t="shared" ca="1" si="12"/>
        <v/>
      </c>
      <c r="E139" s="97"/>
      <c r="F139" s="21"/>
      <c r="G139" s="98" t="str">
        <f t="shared" si="13"/>
        <v/>
      </c>
      <c r="H139" s="23"/>
      <c r="I139" s="84"/>
      <c r="J139" s="85" t="str">
        <f>IF(AND(A139&lt;&gt;"",E139&lt;&gt;""),IF(I139="","⚠️ Enter Code",IF(IFERROR(VLOOKUP(H139,DB_Agents!$B:$I,8,0),"")=I139,IF(C139&gt;=E139,"Successful","Unsuccessful"),"🔒 BLOCKED — Wrong Code")),"—")</f>
        <v>—</v>
      </c>
      <c r="K139" s="86" t="str">
        <f t="shared" ca="1" si="14"/>
        <v>—</v>
      </c>
      <c r="L139" s="87"/>
    </row>
    <row r="140" spans="1:12" x14ac:dyDescent="0.25">
      <c r="A140" s="88"/>
      <c r="B140" s="25" t="str">
        <f>IF(A140="","",IFERROR(VLOOKUP(A140,DB_Customers!$A:$D,4,0),"❌ Account Not Found"))</f>
        <v/>
      </c>
      <c r="C140" s="89" t="str">
        <f>IF(A140="","",IFERROR(VLOOKUP(A140,DB_Customers!$A:$N,14,0),""))</f>
        <v/>
      </c>
      <c r="D140" s="90" t="str">
        <f t="shared" ca="1" si="12"/>
        <v/>
      </c>
      <c r="E140" s="97"/>
      <c r="F140" s="25"/>
      <c r="G140" s="99" t="str">
        <f t="shared" si="13"/>
        <v/>
      </c>
      <c r="H140" s="27"/>
      <c r="I140" s="84"/>
      <c r="J140" s="92" t="str">
        <f>IF(AND(A140&lt;&gt;"",E140&lt;&gt;""),IF(I140="","⚠️ Enter Code",IF(IFERROR(VLOOKUP(H140,DB_Agents!$B:$I,8,0),"")=I140,IF(C140&gt;=E140,"Successful","Unsuccessful"),"🔒 BLOCKED — Wrong Code")),"—")</f>
        <v>—</v>
      </c>
      <c r="K140" s="93" t="str">
        <f t="shared" ca="1" si="14"/>
        <v>—</v>
      </c>
      <c r="L140" s="94"/>
    </row>
    <row r="141" spans="1:12" x14ac:dyDescent="0.25">
      <c r="A141" s="79"/>
      <c r="B141" s="21" t="str">
        <f>IF(A141="","",IFERROR(VLOOKUP(A141,DB_Customers!$A:$D,4,0),"❌ Account Not Found"))</f>
        <v/>
      </c>
      <c r="C141" s="80" t="str">
        <f>IF(A141="","",IFERROR(VLOOKUP(A141,DB_Customers!$A:$N,14,0),""))</f>
        <v/>
      </c>
      <c r="D141" s="81" t="str">
        <f t="shared" ca="1" si="12"/>
        <v/>
      </c>
      <c r="E141" s="97"/>
      <c r="F141" s="21"/>
      <c r="G141" s="98" t="str">
        <f t="shared" si="13"/>
        <v/>
      </c>
      <c r="H141" s="23"/>
      <c r="I141" s="84"/>
      <c r="J141" s="85" t="str">
        <f>IF(AND(A141&lt;&gt;"",E141&lt;&gt;""),IF(I141="","⚠️ Enter Code",IF(IFERROR(VLOOKUP(H141,DB_Agents!$B:$I,8,0),"")=I141,IF(C141&gt;=E141,"Successful","Unsuccessful"),"🔒 BLOCKED — Wrong Code")),"—")</f>
        <v>—</v>
      </c>
      <c r="K141" s="86" t="str">
        <f t="shared" ca="1" si="14"/>
        <v>—</v>
      </c>
      <c r="L141" s="87"/>
    </row>
    <row r="142" spans="1:12" x14ac:dyDescent="0.25">
      <c r="A142" s="88"/>
      <c r="B142" s="25" t="str">
        <f>IF(A142="","",IFERROR(VLOOKUP(A142,DB_Customers!$A:$D,4,0),"❌ Account Not Found"))</f>
        <v/>
      </c>
      <c r="C142" s="89" t="str">
        <f>IF(A142="","",IFERROR(VLOOKUP(A142,DB_Customers!$A:$N,14,0),""))</f>
        <v/>
      </c>
      <c r="D142" s="90" t="str">
        <f t="shared" ca="1" si="12"/>
        <v/>
      </c>
      <c r="E142" s="97"/>
      <c r="F142" s="25"/>
      <c r="G142" s="99" t="str">
        <f t="shared" si="13"/>
        <v/>
      </c>
      <c r="H142" s="27"/>
      <c r="I142" s="84"/>
      <c r="J142" s="92" t="str">
        <f>IF(AND(A142&lt;&gt;"",E142&lt;&gt;""),IF(I142="","⚠️ Enter Code",IF(IFERROR(VLOOKUP(H142,DB_Agents!$B:$I,8,0),"")=I142,IF(C142&gt;=E142,"Successful","Unsuccessful"),"🔒 BLOCKED — Wrong Code")),"—")</f>
        <v>—</v>
      </c>
      <c r="K142" s="93" t="str">
        <f t="shared" ca="1" si="14"/>
        <v>—</v>
      </c>
      <c r="L142" s="94"/>
    </row>
    <row r="143" spans="1:12" x14ac:dyDescent="0.25">
      <c r="A143" s="79"/>
      <c r="B143" s="21" t="str">
        <f>IF(A143="","",IFERROR(VLOOKUP(A143,DB_Customers!$A:$D,4,0),"❌ Account Not Found"))</f>
        <v/>
      </c>
      <c r="C143" s="80" t="str">
        <f>IF(A143="","",IFERROR(VLOOKUP(A143,DB_Customers!$A:$N,14,0),""))</f>
        <v/>
      </c>
      <c r="D143" s="81" t="str">
        <f t="shared" ca="1" si="12"/>
        <v/>
      </c>
      <c r="E143" s="97"/>
      <c r="F143" s="21"/>
      <c r="G143" s="98" t="str">
        <f t="shared" si="13"/>
        <v/>
      </c>
      <c r="H143" s="23"/>
      <c r="I143" s="84"/>
      <c r="J143" s="85" t="str">
        <f>IF(AND(A143&lt;&gt;"",E143&lt;&gt;""),IF(I143="","⚠️ Enter Code",IF(IFERROR(VLOOKUP(H143,DB_Agents!$B:$I,8,0),"")=I143,IF(C143&gt;=E143,"Successful","Unsuccessful"),"🔒 BLOCKED — Wrong Code")),"—")</f>
        <v>—</v>
      </c>
      <c r="K143" s="86" t="str">
        <f t="shared" ca="1" si="14"/>
        <v>—</v>
      </c>
      <c r="L143" s="87"/>
    </row>
    <row r="144" spans="1:12" x14ac:dyDescent="0.25">
      <c r="A144" s="88"/>
      <c r="B144" s="25" t="str">
        <f>IF(A144="","",IFERROR(VLOOKUP(A144,DB_Customers!$A:$D,4,0),"❌ Account Not Found"))</f>
        <v/>
      </c>
      <c r="C144" s="89" t="str">
        <f>IF(A144="","",IFERROR(VLOOKUP(A144,DB_Customers!$A:$N,14,0),""))</f>
        <v/>
      </c>
      <c r="D144" s="90" t="str">
        <f t="shared" ca="1" si="12"/>
        <v/>
      </c>
      <c r="E144" s="97"/>
      <c r="F144" s="25"/>
      <c r="G144" s="99" t="str">
        <f t="shared" si="13"/>
        <v/>
      </c>
      <c r="H144" s="27"/>
      <c r="I144" s="84"/>
      <c r="J144" s="92" t="str">
        <f>IF(AND(A144&lt;&gt;"",E144&lt;&gt;""),IF(I144="","⚠️ Enter Code",IF(IFERROR(VLOOKUP(H144,DB_Agents!$B:$I,8,0),"")=I144,IF(C144&gt;=E144,"Successful","Unsuccessful"),"🔒 BLOCKED — Wrong Code")),"—")</f>
        <v>—</v>
      </c>
      <c r="K144" s="93" t="str">
        <f t="shared" ca="1" si="14"/>
        <v>—</v>
      </c>
      <c r="L144" s="94"/>
    </row>
    <row r="145" spans="1:12" x14ac:dyDescent="0.25">
      <c r="A145" s="79"/>
      <c r="B145" s="21" t="str">
        <f>IF(A145="","",IFERROR(VLOOKUP(A145,DB_Customers!$A:$D,4,0),"❌ Account Not Found"))</f>
        <v/>
      </c>
      <c r="C145" s="80" t="str">
        <f>IF(A145="","",IFERROR(VLOOKUP(A145,DB_Customers!$A:$N,14,0),""))</f>
        <v/>
      </c>
      <c r="D145" s="81" t="str">
        <f t="shared" ca="1" si="12"/>
        <v/>
      </c>
      <c r="E145" s="97"/>
      <c r="F145" s="21"/>
      <c r="G145" s="98" t="str">
        <f t="shared" si="13"/>
        <v/>
      </c>
      <c r="H145" s="23"/>
      <c r="I145" s="84"/>
      <c r="J145" s="85" t="str">
        <f>IF(AND(A145&lt;&gt;"",E145&lt;&gt;""),IF(I145="","⚠️ Enter Code",IF(IFERROR(VLOOKUP(H145,DB_Agents!$B:$I,8,0),"")=I145,IF(C145&gt;=E145,"Successful","Unsuccessful"),"🔒 BLOCKED — Wrong Code")),"—")</f>
        <v>—</v>
      </c>
      <c r="K145" s="86" t="str">
        <f t="shared" ca="1" si="14"/>
        <v>—</v>
      </c>
      <c r="L145" s="87"/>
    </row>
    <row r="146" spans="1:12" x14ac:dyDescent="0.25">
      <c r="A146" s="88"/>
      <c r="B146" s="25" t="str">
        <f>IF(A146="","",IFERROR(VLOOKUP(A146,DB_Customers!$A:$D,4,0),"❌ Account Not Found"))</f>
        <v/>
      </c>
      <c r="C146" s="89" t="str">
        <f>IF(A146="","",IFERROR(VLOOKUP(A146,DB_Customers!$A:$N,14,0),""))</f>
        <v/>
      </c>
      <c r="D146" s="90" t="str">
        <f t="shared" ca="1" si="12"/>
        <v/>
      </c>
      <c r="E146" s="97"/>
      <c r="F146" s="25"/>
      <c r="G146" s="99" t="str">
        <f t="shared" si="13"/>
        <v/>
      </c>
      <c r="H146" s="27"/>
      <c r="I146" s="84"/>
      <c r="J146" s="92" t="str">
        <f>IF(AND(A146&lt;&gt;"",E146&lt;&gt;""),IF(I146="","⚠️ Enter Code",IF(IFERROR(VLOOKUP(H146,DB_Agents!$B:$I,8,0),"")=I146,IF(C146&gt;=E146,"Successful","Unsuccessful"),"🔒 BLOCKED — Wrong Code")),"—")</f>
        <v>—</v>
      </c>
      <c r="K146" s="93" t="str">
        <f t="shared" ca="1" si="14"/>
        <v>—</v>
      </c>
      <c r="L146" s="94"/>
    </row>
    <row r="147" spans="1:12" x14ac:dyDescent="0.25">
      <c r="A147" s="79"/>
      <c r="B147" s="21" t="str">
        <f>IF(A147="","",IFERROR(VLOOKUP(A147,DB_Customers!$A:$D,4,0),"❌ Account Not Found"))</f>
        <v/>
      </c>
      <c r="C147" s="80" t="str">
        <f>IF(A147="","",IFERROR(VLOOKUP(A147,DB_Customers!$A:$N,14,0),""))</f>
        <v/>
      </c>
      <c r="D147" s="81" t="str">
        <f t="shared" ca="1" si="12"/>
        <v/>
      </c>
      <c r="E147" s="97"/>
      <c r="F147" s="21"/>
      <c r="G147" s="98" t="str">
        <f t="shared" si="13"/>
        <v/>
      </c>
      <c r="H147" s="23"/>
      <c r="I147" s="84"/>
      <c r="J147" s="85" t="str">
        <f>IF(AND(A147&lt;&gt;"",E147&lt;&gt;""),IF(I147="","⚠️ Enter Code",IF(IFERROR(VLOOKUP(H147,DB_Agents!$B:$I,8,0),"")=I147,IF(C147&gt;=E147,"Successful","Unsuccessful"),"🔒 BLOCKED — Wrong Code")),"—")</f>
        <v>—</v>
      </c>
      <c r="K147" s="86" t="str">
        <f t="shared" ca="1" si="14"/>
        <v>—</v>
      </c>
      <c r="L147" s="87"/>
    </row>
    <row r="148" spans="1:12" x14ac:dyDescent="0.25">
      <c r="A148" s="88"/>
      <c r="B148" s="25" t="str">
        <f>IF(A148="","",IFERROR(VLOOKUP(A148,DB_Customers!$A:$D,4,0),"❌ Account Not Found"))</f>
        <v/>
      </c>
      <c r="C148" s="89" t="str">
        <f>IF(A148="","",IFERROR(VLOOKUP(A148,DB_Customers!$A:$N,14,0),""))</f>
        <v/>
      </c>
      <c r="D148" s="90" t="str">
        <f t="shared" ca="1" si="12"/>
        <v/>
      </c>
      <c r="E148" s="97"/>
      <c r="F148" s="25"/>
      <c r="G148" s="99" t="str">
        <f t="shared" si="13"/>
        <v/>
      </c>
      <c r="H148" s="27"/>
      <c r="I148" s="84"/>
      <c r="J148" s="92" t="str">
        <f>IF(AND(A148&lt;&gt;"",E148&lt;&gt;""),IF(I148="","⚠️ Enter Code",IF(IFERROR(VLOOKUP(H148,DB_Agents!$B:$I,8,0),"")=I148,IF(C148&gt;=E148,"Successful","Unsuccessful"),"🔒 BLOCKED — Wrong Code")),"—")</f>
        <v>—</v>
      </c>
      <c r="K148" s="93" t="str">
        <f t="shared" ca="1" si="14"/>
        <v>—</v>
      </c>
      <c r="L148" s="94"/>
    </row>
    <row r="149" spans="1:12" x14ac:dyDescent="0.25">
      <c r="A149" s="79"/>
      <c r="B149" s="21" t="str">
        <f>IF(A149="","",IFERROR(VLOOKUP(A149,DB_Customers!$A:$D,4,0),"❌ Account Not Found"))</f>
        <v/>
      </c>
      <c r="C149" s="80" t="str">
        <f>IF(A149="","",IFERROR(VLOOKUP(A149,DB_Customers!$A:$N,14,0),""))</f>
        <v/>
      </c>
      <c r="D149" s="81" t="str">
        <f t="shared" ca="1" si="12"/>
        <v/>
      </c>
      <c r="E149" s="97"/>
      <c r="F149" s="21"/>
      <c r="G149" s="98" t="str">
        <f t="shared" si="13"/>
        <v/>
      </c>
      <c r="H149" s="23"/>
      <c r="I149" s="84"/>
      <c r="J149" s="85" t="str">
        <f>IF(AND(A149&lt;&gt;"",E149&lt;&gt;""),IF(I149="","⚠️ Enter Code",IF(IFERROR(VLOOKUP(H149,DB_Agents!$B:$I,8,0),"")=I149,IF(C149&gt;=E149,"Successful","Unsuccessful"),"🔒 BLOCKED — Wrong Code")),"—")</f>
        <v>—</v>
      </c>
      <c r="K149" s="86" t="str">
        <f t="shared" ca="1" si="14"/>
        <v>—</v>
      </c>
      <c r="L149" s="87"/>
    </row>
    <row r="150" spans="1:12" x14ac:dyDescent="0.25">
      <c r="A150" s="88"/>
      <c r="B150" s="25" t="str">
        <f>IF(A150="","",IFERROR(VLOOKUP(A150,DB_Customers!$A:$D,4,0),"❌ Account Not Found"))</f>
        <v/>
      </c>
      <c r="C150" s="89" t="str">
        <f>IF(A150="","",IFERROR(VLOOKUP(A150,DB_Customers!$A:$N,14,0),""))</f>
        <v/>
      </c>
      <c r="D150" s="90" t="str">
        <f t="shared" ca="1" si="12"/>
        <v/>
      </c>
      <c r="E150" s="97"/>
      <c r="F150" s="25"/>
      <c r="G150" s="99" t="str">
        <f t="shared" si="13"/>
        <v/>
      </c>
      <c r="H150" s="27"/>
      <c r="I150" s="84"/>
      <c r="J150" s="92" t="str">
        <f>IF(AND(A150&lt;&gt;"",E150&lt;&gt;""),IF(I150="","⚠️ Enter Code",IF(IFERROR(VLOOKUP(H150,DB_Agents!$B:$I,8,0),"")=I150,IF(C150&gt;=E150,"Successful","Unsuccessful"),"🔒 BLOCKED — Wrong Code")),"—")</f>
        <v>—</v>
      </c>
      <c r="K150" s="93" t="str">
        <f t="shared" ca="1" si="14"/>
        <v>—</v>
      </c>
      <c r="L150" s="94"/>
    </row>
    <row r="151" spans="1:12" x14ac:dyDescent="0.25">
      <c r="A151" s="79"/>
      <c r="B151" s="21" t="str">
        <f>IF(A151="","",IFERROR(VLOOKUP(A151,DB_Customers!$A:$D,4,0),"❌ Account Not Found"))</f>
        <v/>
      </c>
      <c r="C151" s="80" t="str">
        <f>IF(A151="","",IFERROR(VLOOKUP(A151,DB_Customers!$A:$N,14,0),""))</f>
        <v/>
      </c>
      <c r="D151" s="81" t="str">
        <f t="shared" ca="1" si="12"/>
        <v/>
      </c>
      <c r="E151" s="97"/>
      <c r="F151" s="21"/>
      <c r="G151" s="98" t="str">
        <f t="shared" si="13"/>
        <v/>
      </c>
      <c r="H151" s="23"/>
      <c r="I151" s="84"/>
      <c r="J151" s="85" t="str">
        <f>IF(AND(A151&lt;&gt;"",E151&lt;&gt;""),IF(I151="","⚠️ Enter Code",IF(IFERROR(VLOOKUP(H151,DB_Agents!$B:$I,8,0),"")=I151,IF(C151&gt;=E151,"Successful","Unsuccessful"),"🔒 BLOCKED — Wrong Code")),"—")</f>
        <v>—</v>
      </c>
      <c r="K151" s="86" t="str">
        <f t="shared" ca="1" si="14"/>
        <v>—</v>
      </c>
      <c r="L151" s="87"/>
    </row>
    <row r="152" spans="1:12" x14ac:dyDescent="0.25">
      <c r="A152" s="88"/>
      <c r="B152" s="25" t="str">
        <f>IF(A152="","",IFERROR(VLOOKUP(A152,DB_Customers!$A:$D,4,0),"❌ Account Not Found"))</f>
        <v/>
      </c>
      <c r="C152" s="89" t="str">
        <f>IF(A152="","",IFERROR(VLOOKUP(A152,DB_Customers!$A:$N,14,0),""))</f>
        <v/>
      </c>
      <c r="D152" s="90" t="str">
        <f t="shared" ca="1" si="12"/>
        <v/>
      </c>
      <c r="E152" s="97"/>
      <c r="F152" s="25"/>
      <c r="G152" s="99" t="str">
        <f t="shared" si="13"/>
        <v/>
      </c>
      <c r="H152" s="27"/>
      <c r="I152" s="84"/>
      <c r="J152" s="92" t="str">
        <f>IF(AND(A152&lt;&gt;"",E152&lt;&gt;""),IF(I152="","⚠️ Enter Code",IF(IFERROR(VLOOKUP(H152,DB_Agents!$B:$I,8,0),"")=I152,IF(C152&gt;=E152,"Successful","Unsuccessful"),"🔒 BLOCKED — Wrong Code")),"—")</f>
        <v>—</v>
      </c>
      <c r="K152" s="93" t="str">
        <f t="shared" ca="1" si="14"/>
        <v>—</v>
      </c>
      <c r="L152" s="94"/>
    </row>
    <row r="153" spans="1:12" x14ac:dyDescent="0.25">
      <c r="A153" s="79"/>
      <c r="B153" s="21" t="str">
        <f>IF(A153="","",IFERROR(VLOOKUP(A153,DB_Customers!$A:$D,4,0),"❌ Account Not Found"))</f>
        <v/>
      </c>
      <c r="C153" s="80" t="str">
        <f>IF(A153="","",IFERROR(VLOOKUP(A153,DB_Customers!$A:$N,14,0),""))</f>
        <v/>
      </c>
      <c r="D153" s="81" t="str">
        <f t="shared" ca="1" si="12"/>
        <v/>
      </c>
      <c r="E153" s="97"/>
      <c r="F153" s="21"/>
      <c r="G153" s="98" t="str">
        <f t="shared" si="13"/>
        <v/>
      </c>
      <c r="H153" s="23"/>
      <c r="I153" s="84"/>
      <c r="J153" s="85" t="str">
        <f>IF(AND(A153&lt;&gt;"",E153&lt;&gt;""),IF(I153="","⚠️ Enter Code",IF(IFERROR(VLOOKUP(H153,DB_Agents!$B:$I,8,0),"")=I153,IF(C153&gt;=E153,"Successful","Unsuccessful"),"🔒 BLOCKED — Wrong Code")),"—")</f>
        <v>—</v>
      </c>
      <c r="K153" s="86" t="str">
        <f t="shared" ca="1" si="14"/>
        <v>—</v>
      </c>
      <c r="L153" s="87"/>
    </row>
    <row r="154" spans="1:12" x14ac:dyDescent="0.25">
      <c r="A154" s="88"/>
      <c r="B154" s="25" t="str">
        <f>IF(A154="","",IFERROR(VLOOKUP(A154,DB_Customers!$A:$D,4,0),"❌ Account Not Found"))</f>
        <v/>
      </c>
      <c r="C154" s="89" t="str">
        <f>IF(A154="","",IFERROR(VLOOKUP(A154,DB_Customers!$A:$N,14,0),""))</f>
        <v/>
      </c>
      <c r="D154" s="90" t="str">
        <f t="shared" ca="1" si="12"/>
        <v/>
      </c>
      <c r="E154" s="97"/>
      <c r="F154" s="25"/>
      <c r="G154" s="99" t="str">
        <f t="shared" si="13"/>
        <v/>
      </c>
      <c r="H154" s="27"/>
      <c r="I154" s="84"/>
      <c r="J154" s="92" t="str">
        <f>IF(AND(A154&lt;&gt;"",E154&lt;&gt;""),IF(I154="","⚠️ Enter Code",IF(IFERROR(VLOOKUP(H154,DB_Agents!$B:$I,8,0),"")=I154,IF(C154&gt;=E154,"Successful","Unsuccessful"),"🔒 BLOCKED — Wrong Code")),"—")</f>
        <v>—</v>
      </c>
      <c r="K154" s="93" t="str">
        <f t="shared" ca="1" si="14"/>
        <v>—</v>
      </c>
      <c r="L154" s="94"/>
    </row>
    <row r="155" spans="1:12" x14ac:dyDescent="0.25">
      <c r="A155" s="79"/>
      <c r="B155" s="21" t="str">
        <f>IF(A155="","",IFERROR(VLOOKUP(A155,DB_Customers!$A:$D,4,0),"❌ Account Not Found"))</f>
        <v/>
      </c>
      <c r="C155" s="80" t="str">
        <f>IF(A155="","",IFERROR(VLOOKUP(A155,DB_Customers!$A:$N,14,0),""))</f>
        <v/>
      </c>
      <c r="D155" s="81" t="str">
        <f t="shared" ca="1" si="12"/>
        <v/>
      </c>
      <c r="E155" s="97"/>
      <c r="F155" s="21"/>
      <c r="G155" s="98" t="str">
        <f t="shared" si="13"/>
        <v/>
      </c>
      <c r="H155" s="23"/>
      <c r="I155" s="84"/>
      <c r="J155" s="85" t="str">
        <f>IF(AND(A155&lt;&gt;"",E155&lt;&gt;""),IF(I155="","⚠️ Enter Code",IF(IFERROR(VLOOKUP(H155,DB_Agents!$B:$I,8,0),"")=I155,IF(C155&gt;=E155,"Successful","Unsuccessful"),"🔒 BLOCKED — Wrong Code")),"—")</f>
        <v>—</v>
      </c>
      <c r="K155" s="86" t="str">
        <f t="shared" ca="1" si="14"/>
        <v>—</v>
      </c>
      <c r="L155" s="87"/>
    </row>
    <row r="156" spans="1:12" x14ac:dyDescent="0.25">
      <c r="A156" s="88"/>
      <c r="B156" s="25" t="str">
        <f>IF(A156="","",IFERROR(VLOOKUP(A156,DB_Customers!$A:$D,4,0),"❌ Account Not Found"))</f>
        <v/>
      </c>
      <c r="C156" s="89" t="str">
        <f>IF(A156="","",IFERROR(VLOOKUP(A156,DB_Customers!$A:$N,14,0),""))</f>
        <v/>
      </c>
      <c r="D156" s="90" t="str">
        <f t="shared" ca="1" si="12"/>
        <v/>
      </c>
      <c r="E156" s="97"/>
      <c r="F156" s="25"/>
      <c r="G156" s="99" t="str">
        <f t="shared" si="13"/>
        <v/>
      </c>
      <c r="H156" s="27"/>
      <c r="I156" s="84"/>
      <c r="J156" s="92" t="str">
        <f>IF(AND(A156&lt;&gt;"",E156&lt;&gt;""),IF(I156="","⚠️ Enter Code",IF(IFERROR(VLOOKUP(H156,DB_Agents!$B:$I,8,0),"")=I156,IF(C156&gt;=E156,"Successful","Unsuccessful"),"🔒 BLOCKED — Wrong Code")),"—")</f>
        <v>—</v>
      </c>
      <c r="K156" s="93" t="str">
        <f t="shared" ca="1" si="14"/>
        <v>—</v>
      </c>
      <c r="L156" s="94"/>
    </row>
    <row r="157" spans="1:12" x14ac:dyDescent="0.25">
      <c r="A157" s="79"/>
      <c r="B157" s="21" t="str">
        <f>IF(A157="","",IFERROR(VLOOKUP(A157,DB_Customers!$A:$D,4,0),"❌ Account Not Found"))</f>
        <v/>
      </c>
      <c r="C157" s="80" t="str">
        <f>IF(A157="","",IFERROR(VLOOKUP(A157,DB_Customers!$A:$N,14,0),""))</f>
        <v/>
      </c>
      <c r="D157" s="81" t="str">
        <f t="shared" ca="1" si="12"/>
        <v/>
      </c>
      <c r="E157" s="97"/>
      <c r="F157" s="21"/>
      <c r="G157" s="98" t="str">
        <f t="shared" si="13"/>
        <v/>
      </c>
      <c r="H157" s="23"/>
      <c r="I157" s="84"/>
      <c r="J157" s="85" t="str">
        <f>IF(AND(A157&lt;&gt;"",E157&lt;&gt;""),IF(I157="","⚠️ Enter Code",IF(IFERROR(VLOOKUP(H157,DB_Agents!$B:$I,8,0),"")=I157,IF(C157&gt;=E157,"Successful","Unsuccessful"),"🔒 BLOCKED — Wrong Code")),"—")</f>
        <v>—</v>
      </c>
      <c r="K157" s="86" t="str">
        <f t="shared" ca="1" si="14"/>
        <v>—</v>
      </c>
      <c r="L157" s="87"/>
    </row>
    <row r="158" spans="1:12" x14ac:dyDescent="0.25">
      <c r="A158" s="88"/>
      <c r="B158" s="25" t="str">
        <f>IF(A158="","",IFERROR(VLOOKUP(A158,DB_Customers!$A:$D,4,0),"❌ Account Not Found"))</f>
        <v/>
      </c>
      <c r="C158" s="89" t="str">
        <f>IF(A158="","",IFERROR(VLOOKUP(A158,DB_Customers!$A:$N,14,0),""))</f>
        <v/>
      </c>
      <c r="D158" s="90" t="str">
        <f t="shared" ca="1" si="12"/>
        <v/>
      </c>
      <c r="E158" s="97"/>
      <c r="F158" s="25"/>
      <c r="G158" s="99" t="str">
        <f t="shared" si="13"/>
        <v/>
      </c>
      <c r="H158" s="27"/>
      <c r="I158" s="84"/>
      <c r="J158" s="92" t="str">
        <f>IF(AND(A158&lt;&gt;"",E158&lt;&gt;""),IF(I158="","⚠️ Enter Code",IF(IFERROR(VLOOKUP(H158,DB_Agents!$B:$I,8,0),"")=I158,IF(C158&gt;=E158,"Successful","Unsuccessful"),"🔒 BLOCKED — Wrong Code")),"—")</f>
        <v>—</v>
      </c>
      <c r="K158" s="93" t="str">
        <f t="shared" ca="1" si="14"/>
        <v>—</v>
      </c>
      <c r="L158" s="94"/>
    </row>
    <row r="159" spans="1:12" x14ac:dyDescent="0.25">
      <c r="A159" s="79"/>
      <c r="B159" s="21" t="str">
        <f>IF(A159="","",IFERROR(VLOOKUP(A159,DB_Customers!$A:$D,4,0),"❌ Account Not Found"))</f>
        <v/>
      </c>
      <c r="C159" s="80" t="str">
        <f>IF(A159="","",IFERROR(VLOOKUP(A159,DB_Customers!$A:$N,14,0),""))</f>
        <v/>
      </c>
      <c r="D159" s="81" t="str">
        <f t="shared" ca="1" si="12"/>
        <v/>
      </c>
      <c r="E159" s="97"/>
      <c r="F159" s="21"/>
      <c r="G159" s="98" t="str">
        <f t="shared" si="13"/>
        <v/>
      </c>
      <c r="H159" s="23"/>
      <c r="I159" s="84"/>
      <c r="J159" s="85" t="str">
        <f>IF(AND(A159&lt;&gt;"",E159&lt;&gt;""),IF(I159="","⚠️ Enter Code",IF(IFERROR(VLOOKUP(H159,DB_Agents!$B:$I,8,0),"")=I159,IF(C159&gt;=E159,"Successful","Unsuccessful"),"🔒 BLOCKED — Wrong Code")),"—")</f>
        <v>—</v>
      </c>
      <c r="K159" s="86" t="str">
        <f t="shared" ca="1" si="14"/>
        <v>—</v>
      </c>
      <c r="L159" s="87"/>
    </row>
    <row r="160" spans="1:12" x14ac:dyDescent="0.25">
      <c r="A160" s="88"/>
      <c r="B160" s="25" t="str">
        <f>IF(A160="","",IFERROR(VLOOKUP(A160,DB_Customers!$A:$D,4,0),"❌ Account Not Found"))</f>
        <v/>
      </c>
      <c r="C160" s="89" t="str">
        <f>IF(A160="","",IFERROR(VLOOKUP(A160,DB_Customers!$A:$N,14,0),""))</f>
        <v/>
      </c>
      <c r="D160" s="90" t="str">
        <f t="shared" ca="1" si="12"/>
        <v/>
      </c>
      <c r="E160" s="97"/>
      <c r="F160" s="25"/>
      <c r="G160" s="99" t="str">
        <f t="shared" si="13"/>
        <v/>
      </c>
      <c r="H160" s="27"/>
      <c r="I160" s="84"/>
      <c r="J160" s="92" t="str">
        <f>IF(AND(A160&lt;&gt;"",E160&lt;&gt;""),IF(I160="","⚠️ Enter Code",IF(IFERROR(VLOOKUP(H160,DB_Agents!$B:$I,8,0),"")=I160,IF(C160&gt;=E160,"Successful","Unsuccessful"),"🔒 BLOCKED — Wrong Code")),"—")</f>
        <v>—</v>
      </c>
      <c r="K160" s="93" t="str">
        <f t="shared" ca="1" si="14"/>
        <v>—</v>
      </c>
      <c r="L160" s="94"/>
    </row>
    <row r="161" spans="1:12" x14ac:dyDescent="0.25">
      <c r="A161" s="79"/>
      <c r="B161" s="21" t="str">
        <f>IF(A161="","",IFERROR(VLOOKUP(A161,DB_Customers!$A:$D,4,0),"❌ Account Not Found"))</f>
        <v/>
      </c>
      <c r="C161" s="80" t="str">
        <f>IF(A161="","",IFERROR(VLOOKUP(A161,DB_Customers!$A:$N,14,0),""))</f>
        <v/>
      </c>
      <c r="D161" s="81" t="str">
        <f t="shared" ca="1" si="12"/>
        <v/>
      </c>
      <c r="E161" s="97"/>
      <c r="F161" s="21"/>
      <c r="G161" s="98" t="str">
        <f t="shared" si="13"/>
        <v/>
      </c>
      <c r="H161" s="23"/>
      <c r="I161" s="84"/>
      <c r="J161" s="85" t="str">
        <f>IF(AND(A161&lt;&gt;"",E161&lt;&gt;""),IF(I161="","⚠️ Enter Code",IF(IFERROR(VLOOKUP(H161,DB_Agents!$B:$I,8,0),"")=I161,IF(C161&gt;=E161,"Successful","Unsuccessful"),"🔒 BLOCKED — Wrong Code")),"—")</f>
        <v>—</v>
      </c>
      <c r="K161" s="86" t="str">
        <f t="shared" ca="1" si="14"/>
        <v>—</v>
      </c>
      <c r="L161" s="87"/>
    </row>
    <row r="162" spans="1:12" x14ac:dyDescent="0.25">
      <c r="A162" s="88"/>
      <c r="B162" s="25" t="str">
        <f>IF(A162="","",IFERROR(VLOOKUP(A162,DB_Customers!$A:$D,4,0),"❌ Account Not Found"))</f>
        <v/>
      </c>
      <c r="C162" s="89" t="str">
        <f>IF(A162="","",IFERROR(VLOOKUP(A162,DB_Customers!$A:$N,14,0),""))</f>
        <v/>
      </c>
      <c r="D162" s="90" t="str">
        <f t="shared" ca="1" si="12"/>
        <v/>
      </c>
      <c r="E162" s="97"/>
      <c r="F162" s="25"/>
      <c r="G162" s="99" t="str">
        <f t="shared" si="13"/>
        <v/>
      </c>
      <c r="H162" s="27"/>
      <c r="I162" s="84"/>
      <c r="J162" s="92" t="str">
        <f>IF(AND(A162&lt;&gt;"",E162&lt;&gt;""),IF(I162="","⚠️ Enter Code",IF(IFERROR(VLOOKUP(H162,DB_Agents!$B:$I,8,0),"")=I162,IF(C162&gt;=E162,"Successful","Unsuccessful"),"🔒 BLOCKED — Wrong Code")),"—")</f>
        <v>—</v>
      </c>
      <c r="K162" s="93" t="str">
        <f t="shared" ca="1" si="14"/>
        <v>—</v>
      </c>
      <c r="L162" s="94"/>
    </row>
    <row r="163" spans="1:12" x14ac:dyDescent="0.25">
      <c r="A163" s="79"/>
      <c r="B163" s="21" t="str">
        <f>IF(A163="","",IFERROR(VLOOKUP(A163,DB_Customers!$A:$D,4,0),"❌ Account Not Found"))</f>
        <v/>
      </c>
      <c r="C163" s="80" t="str">
        <f>IF(A163="","",IFERROR(VLOOKUP(A163,DB_Customers!$A:$N,14,0),""))</f>
        <v/>
      </c>
      <c r="D163" s="81" t="str">
        <f t="shared" ca="1" si="12"/>
        <v/>
      </c>
      <c r="E163" s="97"/>
      <c r="F163" s="21"/>
      <c r="G163" s="98" t="str">
        <f t="shared" si="13"/>
        <v/>
      </c>
      <c r="H163" s="23"/>
      <c r="I163" s="84"/>
      <c r="J163" s="85" t="str">
        <f>IF(AND(A163&lt;&gt;"",E163&lt;&gt;""),IF(I163="","⚠️ Enter Code",IF(IFERROR(VLOOKUP(H163,DB_Agents!$B:$I,8,0),"")=I163,IF(C163&gt;=E163,"Successful","Unsuccessful"),"🔒 BLOCKED — Wrong Code")),"—")</f>
        <v>—</v>
      </c>
      <c r="K163" s="86" t="str">
        <f t="shared" ca="1" si="14"/>
        <v>—</v>
      </c>
      <c r="L163" s="87"/>
    </row>
    <row r="164" spans="1:12" x14ac:dyDescent="0.25">
      <c r="A164" s="88"/>
      <c r="B164" s="25" t="str">
        <f>IF(A164="","",IFERROR(VLOOKUP(A164,DB_Customers!$A:$D,4,0),"❌ Account Not Found"))</f>
        <v/>
      </c>
      <c r="C164" s="89" t="str">
        <f>IF(A164="","",IFERROR(VLOOKUP(A164,DB_Customers!$A:$N,14,0),""))</f>
        <v/>
      </c>
      <c r="D164" s="90" t="str">
        <f t="shared" ca="1" si="12"/>
        <v/>
      </c>
      <c r="E164" s="97"/>
      <c r="F164" s="25"/>
      <c r="G164" s="99" t="str">
        <f t="shared" si="13"/>
        <v/>
      </c>
      <c r="H164" s="27"/>
      <c r="I164" s="84"/>
      <c r="J164" s="92" t="str">
        <f>IF(AND(A164&lt;&gt;"",E164&lt;&gt;""),IF(I164="","⚠️ Enter Code",IF(IFERROR(VLOOKUP(H164,DB_Agents!$B:$I,8,0),"")=I164,IF(C164&gt;=E164,"Successful","Unsuccessful"),"🔒 BLOCKED — Wrong Code")),"—")</f>
        <v>—</v>
      </c>
      <c r="K164" s="93" t="str">
        <f t="shared" ca="1" si="14"/>
        <v>—</v>
      </c>
      <c r="L164" s="94"/>
    </row>
    <row r="165" spans="1:12" x14ac:dyDescent="0.25">
      <c r="A165" s="79"/>
      <c r="B165" s="21" t="str">
        <f>IF(A165="","",IFERROR(VLOOKUP(A165,DB_Customers!$A:$D,4,0),"❌ Account Not Found"))</f>
        <v/>
      </c>
      <c r="C165" s="80" t="str">
        <f>IF(A165="","",IFERROR(VLOOKUP(A165,DB_Customers!$A:$N,14,0),""))</f>
        <v/>
      </c>
      <c r="D165" s="81" t="str">
        <f t="shared" ca="1" si="12"/>
        <v/>
      </c>
      <c r="E165" s="97"/>
      <c r="F165" s="21"/>
      <c r="G165" s="98" t="str">
        <f t="shared" si="13"/>
        <v/>
      </c>
      <c r="H165" s="23"/>
      <c r="I165" s="84"/>
      <c r="J165" s="85" t="str">
        <f>IF(AND(A165&lt;&gt;"",E165&lt;&gt;""),IF(I165="","⚠️ Enter Code",IF(IFERROR(VLOOKUP(H165,DB_Agents!$B:$I,8,0),"")=I165,IF(C165&gt;=E165,"Successful","Unsuccessful"),"🔒 BLOCKED — Wrong Code")),"—")</f>
        <v>—</v>
      </c>
      <c r="K165" s="86" t="str">
        <f t="shared" ca="1" si="14"/>
        <v>—</v>
      </c>
      <c r="L165" s="87"/>
    </row>
    <row r="166" spans="1:12" x14ac:dyDescent="0.25">
      <c r="A166" s="88"/>
      <c r="B166" s="25" t="str">
        <f>IF(A166="","",IFERROR(VLOOKUP(A166,DB_Customers!$A:$D,4,0),"❌ Account Not Found"))</f>
        <v/>
      </c>
      <c r="C166" s="89" t="str">
        <f>IF(A166="","",IFERROR(VLOOKUP(A166,DB_Customers!$A:$N,14,0),""))</f>
        <v/>
      </c>
      <c r="D166" s="90" t="str">
        <f t="shared" ca="1" si="12"/>
        <v/>
      </c>
      <c r="E166" s="97"/>
      <c r="F166" s="25"/>
      <c r="G166" s="99" t="str">
        <f t="shared" si="13"/>
        <v/>
      </c>
      <c r="H166" s="27"/>
      <c r="I166" s="84"/>
      <c r="J166" s="92" t="str">
        <f>IF(AND(A166&lt;&gt;"",E166&lt;&gt;""),IF(I166="","⚠️ Enter Code",IF(IFERROR(VLOOKUP(H166,DB_Agents!$B:$I,8,0),"")=I166,IF(C166&gt;=E166,"Successful","Unsuccessful"),"🔒 BLOCKED — Wrong Code")),"—")</f>
        <v>—</v>
      </c>
      <c r="K166" s="93" t="str">
        <f t="shared" ca="1" si="14"/>
        <v>—</v>
      </c>
      <c r="L166" s="94"/>
    </row>
    <row r="167" spans="1:12" x14ac:dyDescent="0.25">
      <c r="A167" s="79"/>
      <c r="B167" s="21" t="str">
        <f>IF(A167="","",IFERROR(VLOOKUP(A167,DB_Customers!$A:$D,4,0),"❌ Account Not Found"))</f>
        <v/>
      </c>
      <c r="C167" s="80" t="str">
        <f>IF(A167="","",IFERROR(VLOOKUP(A167,DB_Customers!$A:$N,14,0),""))</f>
        <v/>
      </c>
      <c r="D167" s="81" t="str">
        <f t="shared" ca="1" si="12"/>
        <v/>
      </c>
      <c r="E167" s="97"/>
      <c r="F167" s="21"/>
      <c r="G167" s="98" t="str">
        <f t="shared" si="13"/>
        <v/>
      </c>
      <c r="H167" s="23"/>
      <c r="I167" s="84"/>
      <c r="J167" s="85" t="str">
        <f>IF(AND(A167&lt;&gt;"",E167&lt;&gt;""),IF(I167="","⚠️ Enter Code",IF(IFERROR(VLOOKUP(H167,DB_Agents!$B:$I,8,0),"")=I167,IF(C167&gt;=E167,"Successful","Unsuccessful"),"🔒 BLOCKED — Wrong Code")),"—")</f>
        <v>—</v>
      </c>
      <c r="K167" s="86" t="str">
        <f t="shared" ca="1" si="14"/>
        <v>—</v>
      </c>
      <c r="L167" s="87"/>
    </row>
    <row r="168" spans="1:12" x14ac:dyDescent="0.25">
      <c r="A168" s="88"/>
      <c r="B168" s="25" t="str">
        <f>IF(A168="","",IFERROR(VLOOKUP(A168,DB_Customers!$A:$D,4,0),"❌ Account Not Found"))</f>
        <v/>
      </c>
      <c r="C168" s="89" t="str">
        <f>IF(A168="","",IFERROR(VLOOKUP(A168,DB_Customers!$A:$N,14,0),""))</f>
        <v/>
      </c>
      <c r="D168" s="90" t="str">
        <f t="shared" ca="1" si="12"/>
        <v/>
      </c>
      <c r="E168" s="97"/>
      <c r="F168" s="25"/>
      <c r="G168" s="99" t="str">
        <f t="shared" si="13"/>
        <v/>
      </c>
      <c r="H168" s="27"/>
      <c r="I168" s="84"/>
      <c r="J168" s="92" t="str">
        <f>IF(AND(A168&lt;&gt;"",E168&lt;&gt;""),IF(I168="","⚠️ Enter Code",IF(IFERROR(VLOOKUP(H168,DB_Agents!$B:$I,8,0),"")=I168,IF(C168&gt;=E168,"Successful","Unsuccessful"),"🔒 BLOCKED — Wrong Code")),"—")</f>
        <v>—</v>
      </c>
      <c r="K168" s="93" t="str">
        <f t="shared" ca="1" si="14"/>
        <v>—</v>
      </c>
      <c r="L168" s="94"/>
    </row>
    <row r="169" spans="1:12" x14ac:dyDescent="0.25">
      <c r="A169" s="79"/>
      <c r="B169" s="21" t="str">
        <f>IF(A169="","",IFERROR(VLOOKUP(A169,DB_Customers!$A:$D,4,0),"❌ Account Not Found"))</f>
        <v/>
      </c>
      <c r="C169" s="80" t="str">
        <f>IF(A169="","",IFERROR(VLOOKUP(A169,DB_Customers!$A:$N,14,0),""))</f>
        <v/>
      </c>
      <c r="D169" s="81" t="str">
        <f t="shared" ref="D169:D200" ca="1" si="15">IF(A169="","",TODAY())</f>
        <v/>
      </c>
      <c r="E169" s="97"/>
      <c r="F169" s="21"/>
      <c r="G169" s="98" t="str">
        <f t="shared" ref="G169:G200" si="16">IF(OR(A169="",E169=""),"",IF(C169="","",C169-E169))</f>
        <v/>
      </c>
      <c r="H169" s="23"/>
      <c r="I169" s="84"/>
      <c r="J169" s="85" t="str">
        <f>IF(AND(A169&lt;&gt;"",E169&lt;&gt;""),IF(I169="","⚠️ Enter Code",IF(IFERROR(VLOOKUP(H169,DB_Agents!$B:$I,8,0),"")=I169,IF(C169&gt;=E169,"Successful","Unsuccessful"),"🔒 BLOCKED — Wrong Code")),"—")</f>
        <v>—</v>
      </c>
      <c r="K169" s="86" t="str">
        <f t="shared" ref="K169:K200" ca="1" si="17">IF(J169="Successful",TEXT(TODAY(),"YYYY-MM-DD")&amp;" Auto","—")</f>
        <v>—</v>
      </c>
      <c r="L169" s="87"/>
    </row>
    <row r="170" spans="1:12" x14ac:dyDescent="0.25">
      <c r="A170" s="88"/>
      <c r="B170" s="25" t="str">
        <f>IF(A170="","",IFERROR(VLOOKUP(A170,DB_Customers!$A:$D,4,0),"❌ Account Not Found"))</f>
        <v/>
      </c>
      <c r="C170" s="89" t="str">
        <f>IF(A170="","",IFERROR(VLOOKUP(A170,DB_Customers!$A:$N,14,0),""))</f>
        <v/>
      </c>
      <c r="D170" s="90" t="str">
        <f t="shared" ca="1" si="15"/>
        <v/>
      </c>
      <c r="E170" s="97"/>
      <c r="F170" s="25"/>
      <c r="G170" s="99" t="str">
        <f t="shared" si="16"/>
        <v/>
      </c>
      <c r="H170" s="27"/>
      <c r="I170" s="84"/>
      <c r="J170" s="92" t="str">
        <f>IF(AND(A170&lt;&gt;"",E170&lt;&gt;""),IF(I170="","⚠️ Enter Code",IF(IFERROR(VLOOKUP(H170,DB_Agents!$B:$I,8,0),"")=I170,IF(C170&gt;=E170,"Successful","Unsuccessful"),"🔒 BLOCKED — Wrong Code")),"—")</f>
        <v>—</v>
      </c>
      <c r="K170" s="93" t="str">
        <f t="shared" ca="1" si="17"/>
        <v>—</v>
      </c>
      <c r="L170" s="94"/>
    </row>
    <row r="171" spans="1:12" x14ac:dyDescent="0.25">
      <c r="A171" s="79"/>
      <c r="B171" s="21" t="str">
        <f>IF(A171="","",IFERROR(VLOOKUP(A171,DB_Customers!$A:$D,4,0),"❌ Account Not Found"))</f>
        <v/>
      </c>
      <c r="C171" s="80" t="str">
        <f>IF(A171="","",IFERROR(VLOOKUP(A171,DB_Customers!$A:$N,14,0),""))</f>
        <v/>
      </c>
      <c r="D171" s="81" t="str">
        <f t="shared" ca="1" si="15"/>
        <v/>
      </c>
      <c r="E171" s="97"/>
      <c r="F171" s="21"/>
      <c r="G171" s="98" t="str">
        <f t="shared" si="16"/>
        <v/>
      </c>
      <c r="H171" s="23"/>
      <c r="I171" s="84"/>
      <c r="J171" s="85" t="str">
        <f>IF(AND(A171&lt;&gt;"",E171&lt;&gt;""),IF(I171="","⚠️ Enter Code",IF(IFERROR(VLOOKUP(H171,DB_Agents!$B:$I,8,0),"")=I171,IF(C171&gt;=E171,"Successful","Unsuccessful"),"🔒 BLOCKED — Wrong Code")),"—")</f>
        <v>—</v>
      </c>
      <c r="K171" s="86" t="str">
        <f t="shared" ca="1" si="17"/>
        <v>—</v>
      </c>
      <c r="L171" s="87"/>
    </row>
    <row r="172" spans="1:12" x14ac:dyDescent="0.25">
      <c r="A172" s="88"/>
      <c r="B172" s="25" t="str">
        <f>IF(A172="","",IFERROR(VLOOKUP(A172,DB_Customers!$A:$D,4,0),"❌ Account Not Found"))</f>
        <v/>
      </c>
      <c r="C172" s="89" t="str">
        <f>IF(A172="","",IFERROR(VLOOKUP(A172,DB_Customers!$A:$N,14,0),""))</f>
        <v/>
      </c>
      <c r="D172" s="90" t="str">
        <f t="shared" ca="1" si="15"/>
        <v/>
      </c>
      <c r="E172" s="97"/>
      <c r="F172" s="25"/>
      <c r="G172" s="99" t="str">
        <f t="shared" si="16"/>
        <v/>
      </c>
      <c r="H172" s="27"/>
      <c r="I172" s="84"/>
      <c r="J172" s="92" t="str">
        <f>IF(AND(A172&lt;&gt;"",E172&lt;&gt;""),IF(I172="","⚠️ Enter Code",IF(IFERROR(VLOOKUP(H172,DB_Agents!$B:$I,8,0),"")=I172,IF(C172&gt;=E172,"Successful","Unsuccessful"),"🔒 BLOCKED — Wrong Code")),"—")</f>
        <v>—</v>
      </c>
      <c r="K172" s="93" t="str">
        <f t="shared" ca="1" si="17"/>
        <v>—</v>
      </c>
      <c r="L172" s="94"/>
    </row>
    <row r="173" spans="1:12" x14ac:dyDescent="0.25">
      <c r="A173" s="79"/>
      <c r="B173" s="21" t="str">
        <f>IF(A173="","",IFERROR(VLOOKUP(A173,DB_Customers!$A:$D,4,0),"❌ Account Not Found"))</f>
        <v/>
      </c>
      <c r="C173" s="80" t="str">
        <f>IF(A173="","",IFERROR(VLOOKUP(A173,DB_Customers!$A:$N,14,0),""))</f>
        <v/>
      </c>
      <c r="D173" s="81" t="str">
        <f t="shared" ca="1" si="15"/>
        <v/>
      </c>
      <c r="E173" s="97"/>
      <c r="F173" s="21"/>
      <c r="G173" s="98" t="str">
        <f t="shared" si="16"/>
        <v/>
      </c>
      <c r="H173" s="23"/>
      <c r="I173" s="84"/>
      <c r="J173" s="85" t="str">
        <f>IF(AND(A173&lt;&gt;"",E173&lt;&gt;""),IF(I173="","⚠️ Enter Code",IF(IFERROR(VLOOKUP(H173,DB_Agents!$B:$I,8,0),"")=I173,IF(C173&gt;=E173,"Successful","Unsuccessful"),"🔒 BLOCKED — Wrong Code")),"—")</f>
        <v>—</v>
      </c>
      <c r="K173" s="86" t="str">
        <f t="shared" ca="1" si="17"/>
        <v>—</v>
      </c>
      <c r="L173" s="87"/>
    </row>
    <row r="174" spans="1:12" x14ac:dyDescent="0.25">
      <c r="A174" s="88"/>
      <c r="B174" s="25" t="str">
        <f>IF(A174="","",IFERROR(VLOOKUP(A174,DB_Customers!$A:$D,4,0),"❌ Account Not Found"))</f>
        <v/>
      </c>
      <c r="C174" s="89" t="str">
        <f>IF(A174="","",IFERROR(VLOOKUP(A174,DB_Customers!$A:$N,14,0),""))</f>
        <v/>
      </c>
      <c r="D174" s="90" t="str">
        <f t="shared" ca="1" si="15"/>
        <v/>
      </c>
      <c r="E174" s="97"/>
      <c r="F174" s="25"/>
      <c r="G174" s="99" t="str">
        <f t="shared" si="16"/>
        <v/>
      </c>
      <c r="H174" s="27"/>
      <c r="I174" s="84"/>
      <c r="J174" s="92" t="str">
        <f>IF(AND(A174&lt;&gt;"",E174&lt;&gt;""),IF(I174="","⚠️ Enter Code",IF(IFERROR(VLOOKUP(H174,DB_Agents!$B:$I,8,0),"")=I174,IF(C174&gt;=E174,"Successful","Unsuccessful"),"🔒 BLOCKED — Wrong Code")),"—")</f>
        <v>—</v>
      </c>
      <c r="K174" s="93" t="str">
        <f t="shared" ca="1" si="17"/>
        <v>—</v>
      </c>
      <c r="L174" s="94"/>
    </row>
    <row r="175" spans="1:12" x14ac:dyDescent="0.25">
      <c r="A175" s="79"/>
      <c r="B175" s="21" t="str">
        <f>IF(A175="","",IFERROR(VLOOKUP(A175,DB_Customers!$A:$D,4,0),"❌ Account Not Found"))</f>
        <v/>
      </c>
      <c r="C175" s="80" t="str">
        <f>IF(A175="","",IFERROR(VLOOKUP(A175,DB_Customers!$A:$N,14,0),""))</f>
        <v/>
      </c>
      <c r="D175" s="81" t="str">
        <f t="shared" ca="1" si="15"/>
        <v/>
      </c>
      <c r="E175" s="97"/>
      <c r="F175" s="21"/>
      <c r="G175" s="98" t="str">
        <f t="shared" si="16"/>
        <v/>
      </c>
      <c r="H175" s="23"/>
      <c r="I175" s="84"/>
      <c r="J175" s="85" t="str">
        <f>IF(AND(A175&lt;&gt;"",E175&lt;&gt;""),IF(I175="","⚠️ Enter Code",IF(IFERROR(VLOOKUP(H175,DB_Agents!$B:$I,8,0),"")=I175,IF(C175&gt;=E175,"Successful","Unsuccessful"),"🔒 BLOCKED — Wrong Code")),"—")</f>
        <v>—</v>
      </c>
      <c r="K175" s="86" t="str">
        <f t="shared" ca="1" si="17"/>
        <v>—</v>
      </c>
      <c r="L175" s="87"/>
    </row>
    <row r="176" spans="1:12" x14ac:dyDescent="0.25">
      <c r="A176" s="88"/>
      <c r="B176" s="25" t="str">
        <f>IF(A176="","",IFERROR(VLOOKUP(A176,DB_Customers!$A:$D,4,0),"❌ Account Not Found"))</f>
        <v/>
      </c>
      <c r="C176" s="89" t="str">
        <f>IF(A176="","",IFERROR(VLOOKUP(A176,DB_Customers!$A:$N,14,0),""))</f>
        <v/>
      </c>
      <c r="D176" s="90" t="str">
        <f t="shared" ca="1" si="15"/>
        <v/>
      </c>
      <c r="E176" s="97"/>
      <c r="F176" s="25"/>
      <c r="G176" s="99" t="str">
        <f t="shared" si="16"/>
        <v/>
      </c>
      <c r="H176" s="27"/>
      <c r="I176" s="84"/>
      <c r="J176" s="92" t="str">
        <f>IF(AND(A176&lt;&gt;"",E176&lt;&gt;""),IF(I176="","⚠️ Enter Code",IF(IFERROR(VLOOKUP(H176,DB_Agents!$B:$I,8,0),"")=I176,IF(C176&gt;=E176,"Successful","Unsuccessful"),"🔒 BLOCKED — Wrong Code")),"—")</f>
        <v>—</v>
      </c>
      <c r="K176" s="93" t="str">
        <f t="shared" ca="1" si="17"/>
        <v>—</v>
      </c>
      <c r="L176" s="94"/>
    </row>
    <row r="177" spans="1:12" x14ac:dyDescent="0.25">
      <c r="A177" s="79"/>
      <c r="B177" s="21" t="str">
        <f>IF(A177="","",IFERROR(VLOOKUP(A177,DB_Customers!$A:$D,4,0),"❌ Account Not Found"))</f>
        <v/>
      </c>
      <c r="C177" s="80" t="str">
        <f>IF(A177="","",IFERROR(VLOOKUP(A177,DB_Customers!$A:$N,14,0),""))</f>
        <v/>
      </c>
      <c r="D177" s="81" t="str">
        <f t="shared" ca="1" si="15"/>
        <v/>
      </c>
      <c r="E177" s="97"/>
      <c r="F177" s="21"/>
      <c r="G177" s="98" t="str">
        <f t="shared" si="16"/>
        <v/>
      </c>
      <c r="H177" s="23"/>
      <c r="I177" s="84"/>
      <c r="J177" s="85" t="str">
        <f>IF(AND(A177&lt;&gt;"",E177&lt;&gt;""),IF(I177="","⚠️ Enter Code",IF(IFERROR(VLOOKUP(H177,DB_Agents!$B:$I,8,0),"")=I177,IF(C177&gt;=E177,"Successful","Unsuccessful"),"🔒 BLOCKED — Wrong Code")),"—")</f>
        <v>—</v>
      </c>
      <c r="K177" s="86" t="str">
        <f t="shared" ca="1" si="17"/>
        <v>—</v>
      </c>
      <c r="L177" s="87"/>
    </row>
    <row r="178" spans="1:12" x14ac:dyDescent="0.25">
      <c r="A178" s="88"/>
      <c r="B178" s="25" t="str">
        <f>IF(A178="","",IFERROR(VLOOKUP(A178,DB_Customers!$A:$D,4,0),"❌ Account Not Found"))</f>
        <v/>
      </c>
      <c r="C178" s="89" t="str">
        <f>IF(A178="","",IFERROR(VLOOKUP(A178,DB_Customers!$A:$N,14,0),""))</f>
        <v/>
      </c>
      <c r="D178" s="90" t="str">
        <f t="shared" ca="1" si="15"/>
        <v/>
      </c>
      <c r="E178" s="97"/>
      <c r="F178" s="25"/>
      <c r="G178" s="99" t="str">
        <f t="shared" si="16"/>
        <v/>
      </c>
      <c r="H178" s="27"/>
      <c r="I178" s="84"/>
      <c r="J178" s="92" t="str">
        <f>IF(AND(A178&lt;&gt;"",E178&lt;&gt;""),IF(I178="","⚠️ Enter Code",IF(IFERROR(VLOOKUP(H178,DB_Agents!$B:$I,8,0),"")=I178,IF(C178&gt;=E178,"Successful","Unsuccessful"),"🔒 BLOCKED — Wrong Code")),"—")</f>
        <v>—</v>
      </c>
      <c r="K178" s="93" t="str">
        <f t="shared" ca="1" si="17"/>
        <v>—</v>
      </c>
      <c r="L178" s="94"/>
    </row>
    <row r="179" spans="1:12" x14ac:dyDescent="0.25">
      <c r="A179" s="79"/>
      <c r="B179" s="21" t="str">
        <f>IF(A179="","",IFERROR(VLOOKUP(A179,DB_Customers!$A:$D,4,0),"❌ Account Not Found"))</f>
        <v/>
      </c>
      <c r="C179" s="80" t="str">
        <f>IF(A179="","",IFERROR(VLOOKUP(A179,DB_Customers!$A:$N,14,0),""))</f>
        <v/>
      </c>
      <c r="D179" s="81" t="str">
        <f t="shared" ca="1" si="15"/>
        <v/>
      </c>
      <c r="E179" s="97"/>
      <c r="F179" s="21"/>
      <c r="G179" s="98" t="str">
        <f t="shared" si="16"/>
        <v/>
      </c>
      <c r="H179" s="23"/>
      <c r="I179" s="84"/>
      <c r="J179" s="85" t="str">
        <f>IF(AND(A179&lt;&gt;"",E179&lt;&gt;""),IF(I179="","⚠️ Enter Code",IF(IFERROR(VLOOKUP(H179,DB_Agents!$B:$I,8,0),"")=I179,IF(C179&gt;=E179,"Successful","Unsuccessful"),"🔒 BLOCKED — Wrong Code")),"—")</f>
        <v>—</v>
      </c>
      <c r="K179" s="86" t="str">
        <f t="shared" ca="1" si="17"/>
        <v>—</v>
      </c>
      <c r="L179" s="87"/>
    </row>
    <row r="180" spans="1:12" x14ac:dyDescent="0.25">
      <c r="A180" s="88"/>
      <c r="B180" s="25" t="str">
        <f>IF(A180="","",IFERROR(VLOOKUP(A180,DB_Customers!$A:$D,4,0),"❌ Account Not Found"))</f>
        <v/>
      </c>
      <c r="C180" s="89" t="str">
        <f>IF(A180="","",IFERROR(VLOOKUP(A180,DB_Customers!$A:$N,14,0),""))</f>
        <v/>
      </c>
      <c r="D180" s="90" t="str">
        <f t="shared" ca="1" si="15"/>
        <v/>
      </c>
      <c r="E180" s="97"/>
      <c r="F180" s="25"/>
      <c r="G180" s="99" t="str">
        <f t="shared" si="16"/>
        <v/>
      </c>
      <c r="H180" s="27"/>
      <c r="I180" s="84"/>
      <c r="J180" s="92" t="str">
        <f>IF(AND(A180&lt;&gt;"",E180&lt;&gt;""),IF(I180="","⚠️ Enter Code",IF(IFERROR(VLOOKUP(H180,DB_Agents!$B:$I,8,0),"")=I180,IF(C180&gt;=E180,"Successful","Unsuccessful"),"🔒 BLOCKED — Wrong Code")),"—")</f>
        <v>—</v>
      </c>
      <c r="K180" s="93" t="str">
        <f t="shared" ca="1" si="17"/>
        <v>—</v>
      </c>
      <c r="L180" s="94"/>
    </row>
    <row r="181" spans="1:12" x14ac:dyDescent="0.25">
      <c r="A181" s="79"/>
      <c r="B181" s="21" t="str">
        <f>IF(A181="","",IFERROR(VLOOKUP(A181,DB_Customers!$A:$D,4,0),"❌ Account Not Found"))</f>
        <v/>
      </c>
      <c r="C181" s="80" t="str">
        <f>IF(A181="","",IFERROR(VLOOKUP(A181,DB_Customers!$A:$N,14,0),""))</f>
        <v/>
      </c>
      <c r="D181" s="81" t="str">
        <f t="shared" ca="1" si="15"/>
        <v/>
      </c>
      <c r="E181" s="97"/>
      <c r="F181" s="21"/>
      <c r="G181" s="98" t="str">
        <f t="shared" si="16"/>
        <v/>
      </c>
      <c r="H181" s="23"/>
      <c r="I181" s="84"/>
      <c r="J181" s="85" t="str">
        <f>IF(AND(A181&lt;&gt;"",E181&lt;&gt;""),IF(I181="","⚠️ Enter Code",IF(IFERROR(VLOOKUP(H181,DB_Agents!$B:$I,8,0),"")=I181,IF(C181&gt;=E181,"Successful","Unsuccessful"),"🔒 BLOCKED — Wrong Code")),"—")</f>
        <v>—</v>
      </c>
      <c r="K181" s="86" t="str">
        <f t="shared" ca="1" si="17"/>
        <v>—</v>
      </c>
      <c r="L181" s="87"/>
    </row>
    <row r="182" spans="1:12" x14ac:dyDescent="0.25">
      <c r="A182" s="88"/>
      <c r="B182" s="25" t="str">
        <f>IF(A182="","",IFERROR(VLOOKUP(A182,DB_Customers!$A:$D,4,0),"❌ Account Not Found"))</f>
        <v/>
      </c>
      <c r="C182" s="89" t="str">
        <f>IF(A182="","",IFERROR(VLOOKUP(A182,DB_Customers!$A:$N,14,0),""))</f>
        <v/>
      </c>
      <c r="D182" s="90" t="str">
        <f t="shared" ca="1" si="15"/>
        <v/>
      </c>
      <c r="E182" s="97"/>
      <c r="F182" s="25"/>
      <c r="G182" s="99" t="str">
        <f t="shared" si="16"/>
        <v/>
      </c>
      <c r="H182" s="27"/>
      <c r="I182" s="84"/>
      <c r="J182" s="92" t="str">
        <f>IF(AND(A182&lt;&gt;"",E182&lt;&gt;""),IF(I182="","⚠️ Enter Code",IF(IFERROR(VLOOKUP(H182,DB_Agents!$B:$I,8,0),"")=I182,IF(C182&gt;=E182,"Successful","Unsuccessful"),"🔒 BLOCKED — Wrong Code")),"—")</f>
        <v>—</v>
      </c>
      <c r="K182" s="93" t="str">
        <f t="shared" ca="1" si="17"/>
        <v>—</v>
      </c>
      <c r="L182" s="94"/>
    </row>
    <row r="183" spans="1:12" x14ac:dyDescent="0.25">
      <c r="A183" s="79"/>
      <c r="B183" s="21" t="str">
        <f>IF(A183="","",IFERROR(VLOOKUP(A183,DB_Customers!$A:$D,4,0),"❌ Account Not Found"))</f>
        <v/>
      </c>
      <c r="C183" s="80" t="str">
        <f>IF(A183="","",IFERROR(VLOOKUP(A183,DB_Customers!$A:$N,14,0),""))</f>
        <v/>
      </c>
      <c r="D183" s="81" t="str">
        <f t="shared" ca="1" si="15"/>
        <v/>
      </c>
      <c r="E183" s="97"/>
      <c r="F183" s="21"/>
      <c r="G183" s="98" t="str">
        <f t="shared" si="16"/>
        <v/>
      </c>
      <c r="H183" s="23"/>
      <c r="I183" s="84"/>
      <c r="J183" s="85" t="str">
        <f>IF(AND(A183&lt;&gt;"",E183&lt;&gt;""),IF(I183="","⚠️ Enter Code",IF(IFERROR(VLOOKUP(H183,DB_Agents!$B:$I,8,0),"")=I183,IF(C183&gt;=E183,"Successful","Unsuccessful"),"🔒 BLOCKED — Wrong Code")),"—")</f>
        <v>—</v>
      </c>
      <c r="K183" s="86" t="str">
        <f t="shared" ca="1" si="17"/>
        <v>—</v>
      </c>
      <c r="L183" s="87"/>
    </row>
    <row r="184" spans="1:12" x14ac:dyDescent="0.25">
      <c r="A184" s="88"/>
      <c r="B184" s="25" t="str">
        <f>IF(A184="","",IFERROR(VLOOKUP(A184,DB_Customers!$A:$D,4,0),"❌ Account Not Found"))</f>
        <v/>
      </c>
      <c r="C184" s="89" t="str">
        <f>IF(A184="","",IFERROR(VLOOKUP(A184,DB_Customers!$A:$N,14,0),""))</f>
        <v/>
      </c>
      <c r="D184" s="90" t="str">
        <f t="shared" ca="1" si="15"/>
        <v/>
      </c>
      <c r="E184" s="97"/>
      <c r="F184" s="25"/>
      <c r="G184" s="99" t="str">
        <f t="shared" si="16"/>
        <v/>
      </c>
      <c r="H184" s="27"/>
      <c r="I184" s="84"/>
      <c r="J184" s="92" t="str">
        <f>IF(AND(A184&lt;&gt;"",E184&lt;&gt;""),IF(I184="","⚠️ Enter Code",IF(IFERROR(VLOOKUP(H184,DB_Agents!$B:$I,8,0),"")=I184,IF(C184&gt;=E184,"Successful","Unsuccessful"),"🔒 BLOCKED — Wrong Code")),"—")</f>
        <v>—</v>
      </c>
      <c r="K184" s="93" t="str">
        <f t="shared" ca="1" si="17"/>
        <v>—</v>
      </c>
      <c r="L184" s="94"/>
    </row>
    <row r="185" spans="1:12" x14ac:dyDescent="0.25">
      <c r="A185" s="79"/>
      <c r="B185" s="21" t="str">
        <f>IF(A185="","",IFERROR(VLOOKUP(A185,DB_Customers!$A:$D,4,0),"❌ Account Not Found"))</f>
        <v/>
      </c>
      <c r="C185" s="80" t="str">
        <f>IF(A185="","",IFERROR(VLOOKUP(A185,DB_Customers!$A:$N,14,0),""))</f>
        <v/>
      </c>
      <c r="D185" s="81" t="str">
        <f t="shared" ca="1" si="15"/>
        <v/>
      </c>
      <c r="E185" s="97"/>
      <c r="F185" s="21"/>
      <c r="G185" s="98" t="str">
        <f t="shared" si="16"/>
        <v/>
      </c>
      <c r="H185" s="23"/>
      <c r="I185" s="84"/>
      <c r="J185" s="85" t="str">
        <f>IF(AND(A185&lt;&gt;"",E185&lt;&gt;""),IF(I185="","⚠️ Enter Code",IF(IFERROR(VLOOKUP(H185,DB_Agents!$B:$I,8,0),"")=I185,IF(C185&gt;=E185,"Successful","Unsuccessful"),"🔒 BLOCKED — Wrong Code")),"—")</f>
        <v>—</v>
      </c>
      <c r="K185" s="86" t="str">
        <f t="shared" ca="1" si="17"/>
        <v>—</v>
      </c>
      <c r="L185" s="87"/>
    </row>
    <row r="186" spans="1:12" x14ac:dyDescent="0.25">
      <c r="A186" s="88"/>
      <c r="B186" s="25" t="str">
        <f>IF(A186="","",IFERROR(VLOOKUP(A186,DB_Customers!$A:$D,4,0),"❌ Account Not Found"))</f>
        <v/>
      </c>
      <c r="C186" s="89" t="str">
        <f>IF(A186="","",IFERROR(VLOOKUP(A186,DB_Customers!$A:$N,14,0),""))</f>
        <v/>
      </c>
      <c r="D186" s="90" t="str">
        <f t="shared" ca="1" si="15"/>
        <v/>
      </c>
      <c r="E186" s="97"/>
      <c r="F186" s="25"/>
      <c r="G186" s="99" t="str">
        <f t="shared" si="16"/>
        <v/>
      </c>
      <c r="H186" s="27"/>
      <c r="I186" s="84"/>
      <c r="J186" s="92" t="str">
        <f>IF(AND(A186&lt;&gt;"",E186&lt;&gt;""),IF(I186="","⚠️ Enter Code",IF(IFERROR(VLOOKUP(H186,DB_Agents!$B:$I,8,0),"")=I186,IF(C186&gt;=E186,"Successful","Unsuccessful"),"🔒 BLOCKED — Wrong Code")),"—")</f>
        <v>—</v>
      </c>
      <c r="K186" s="93" t="str">
        <f t="shared" ca="1" si="17"/>
        <v>—</v>
      </c>
      <c r="L186" s="94"/>
    </row>
    <row r="187" spans="1:12" x14ac:dyDescent="0.25">
      <c r="A187" s="79"/>
      <c r="B187" s="21" t="str">
        <f>IF(A187="","",IFERROR(VLOOKUP(A187,DB_Customers!$A:$D,4,0),"❌ Account Not Found"))</f>
        <v/>
      </c>
      <c r="C187" s="80" t="str">
        <f>IF(A187="","",IFERROR(VLOOKUP(A187,DB_Customers!$A:$N,14,0),""))</f>
        <v/>
      </c>
      <c r="D187" s="81" t="str">
        <f t="shared" ca="1" si="15"/>
        <v/>
      </c>
      <c r="E187" s="97"/>
      <c r="F187" s="21"/>
      <c r="G187" s="98" t="str">
        <f t="shared" si="16"/>
        <v/>
      </c>
      <c r="H187" s="23"/>
      <c r="I187" s="84"/>
      <c r="J187" s="85" t="str">
        <f>IF(AND(A187&lt;&gt;"",E187&lt;&gt;""),IF(I187="","⚠️ Enter Code",IF(IFERROR(VLOOKUP(H187,DB_Agents!$B:$I,8,0),"")=I187,IF(C187&gt;=E187,"Successful","Unsuccessful"),"🔒 BLOCKED — Wrong Code")),"—")</f>
        <v>—</v>
      </c>
      <c r="K187" s="86" t="str">
        <f t="shared" ca="1" si="17"/>
        <v>—</v>
      </c>
      <c r="L187" s="87"/>
    </row>
    <row r="188" spans="1:12" x14ac:dyDescent="0.25">
      <c r="A188" s="88"/>
      <c r="B188" s="25" t="str">
        <f>IF(A188="","",IFERROR(VLOOKUP(A188,DB_Customers!$A:$D,4,0),"❌ Account Not Found"))</f>
        <v/>
      </c>
      <c r="C188" s="89" t="str">
        <f>IF(A188="","",IFERROR(VLOOKUP(A188,DB_Customers!$A:$N,14,0),""))</f>
        <v/>
      </c>
      <c r="D188" s="90" t="str">
        <f t="shared" ca="1" si="15"/>
        <v/>
      </c>
      <c r="E188" s="97"/>
      <c r="F188" s="25"/>
      <c r="G188" s="99" t="str">
        <f t="shared" si="16"/>
        <v/>
      </c>
      <c r="H188" s="27"/>
      <c r="I188" s="84"/>
      <c r="J188" s="92" t="str">
        <f>IF(AND(A188&lt;&gt;"",E188&lt;&gt;""),IF(I188="","⚠️ Enter Code",IF(IFERROR(VLOOKUP(H188,DB_Agents!$B:$I,8,0),"")=I188,IF(C188&gt;=E188,"Successful","Unsuccessful"),"🔒 BLOCKED — Wrong Code")),"—")</f>
        <v>—</v>
      </c>
      <c r="K188" s="93" t="str">
        <f t="shared" ca="1" si="17"/>
        <v>—</v>
      </c>
      <c r="L188" s="94"/>
    </row>
    <row r="189" spans="1:12" x14ac:dyDescent="0.25">
      <c r="A189" s="79"/>
      <c r="B189" s="21" t="str">
        <f>IF(A189="","",IFERROR(VLOOKUP(A189,DB_Customers!$A:$D,4,0),"❌ Account Not Found"))</f>
        <v/>
      </c>
      <c r="C189" s="80" t="str">
        <f>IF(A189="","",IFERROR(VLOOKUP(A189,DB_Customers!$A:$N,14,0),""))</f>
        <v/>
      </c>
      <c r="D189" s="81" t="str">
        <f t="shared" ca="1" si="15"/>
        <v/>
      </c>
      <c r="E189" s="97"/>
      <c r="F189" s="21"/>
      <c r="G189" s="98" t="str">
        <f t="shared" si="16"/>
        <v/>
      </c>
      <c r="H189" s="23"/>
      <c r="I189" s="84"/>
      <c r="J189" s="85" t="str">
        <f>IF(AND(A189&lt;&gt;"",E189&lt;&gt;""),IF(I189="","⚠️ Enter Code",IF(IFERROR(VLOOKUP(H189,DB_Agents!$B:$I,8,0),"")=I189,IF(C189&gt;=E189,"Successful","Unsuccessful"),"🔒 BLOCKED — Wrong Code")),"—")</f>
        <v>—</v>
      </c>
      <c r="K189" s="86" t="str">
        <f t="shared" ca="1" si="17"/>
        <v>—</v>
      </c>
      <c r="L189" s="87"/>
    </row>
    <row r="190" spans="1:12" x14ac:dyDescent="0.25">
      <c r="A190" s="88"/>
      <c r="B190" s="25" t="str">
        <f>IF(A190="","",IFERROR(VLOOKUP(A190,DB_Customers!$A:$D,4,0),"❌ Account Not Found"))</f>
        <v/>
      </c>
      <c r="C190" s="89" t="str">
        <f>IF(A190="","",IFERROR(VLOOKUP(A190,DB_Customers!$A:$N,14,0),""))</f>
        <v/>
      </c>
      <c r="D190" s="90" t="str">
        <f t="shared" ca="1" si="15"/>
        <v/>
      </c>
      <c r="E190" s="97"/>
      <c r="F190" s="25"/>
      <c r="G190" s="99" t="str">
        <f t="shared" si="16"/>
        <v/>
      </c>
      <c r="H190" s="27"/>
      <c r="I190" s="84"/>
      <c r="J190" s="92" t="str">
        <f>IF(AND(A190&lt;&gt;"",E190&lt;&gt;""),IF(I190="","⚠️ Enter Code",IF(IFERROR(VLOOKUP(H190,DB_Agents!$B:$I,8,0),"")=I190,IF(C190&gt;=E190,"Successful","Unsuccessful"),"🔒 BLOCKED — Wrong Code")),"—")</f>
        <v>—</v>
      </c>
      <c r="K190" s="93" t="str">
        <f t="shared" ca="1" si="17"/>
        <v>—</v>
      </c>
      <c r="L190" s="94"/>
    </row>
    <row r="191" spans="1:12" x14ac:dyDescent="0.25">
      <c r="A191" s="79"/>
      <c r="B191" s="21" t="str">
        <f>IF(A191="","",IFERROR(VLOOKUP(A191,DB_Customers!$A:$D,4,0),"❌ Account Not Found"))</f>
        <v/>
      </c>
      <c r="C191" s="80" t="str">
        <f>IF(A191="","",IFERROR(VLOOKUP(A191,DB_Customers!$A:$N,14,0),""))</f>
        <v/>
      </c>
      <c r="D191" s="81" t="str">
        <f t="shared" ca="1" si="15"/>
        <v/>
      </c>
      <c r="E191" s="97"/>
      <c r="F191" s="21"/>
      <c r="G191" s="98" t="str">
        <f t="shared" si="16"/>
        <v/>
      </c>
      <c r="H191" s="23"/>
      <c r="I191" s="84"/>
      <c r="J191" s="85" t="str">
        <f>IF(AND(A191&lt;&gt;"",E191&lt;&gt;""),IF(I191="","⚠️ Enter Code",IF(IFERROR(VLOOKUP(H191,DB_Agents!$B:$I,8,0),"")=I191,IF(C191&gt;=E191,"Successful","Unsuccessful"),"🔒 BLOCKED — Wrong Code")),"—")</f>
        <v>—</v>
      </c>
      <c r="K191" s="86" t="str">
        <f t="shared" ca="1" si="17"/>
        <v>—</v>
      </c>
      <c r="L191" s="87"/>
    </row>
    <row r="192" spans="1:12" x14ac:dyDescent="0.25">
      <c r="A192" s="88"/>
      <c r="B192" s="25" t="str">
        <f>IF(A192="","",IFERROR(VLOOKUP(A192,DB_Customers!$A:$D,4,0),"❌ Account Not Found"))</f>
        <v/>
      </c>
      <c r="C192" s="89" t="str">
        <f>IF(A192="","",IFERROR(VLOOKUP(A192,DB_Customers!$A:$N,14,0),""))</f>
        <v/>
      </c>
      <c r="D192" s="90" t="str">
        <f t="shared" ca="1" si="15"/>
        <v/>
      </c>
      <c r="E192" s="97"/>
      <c r="F192" s="25"/>
      <c r="G192" s="99" t="str">
        <f t="shared" si="16"/>
        <v/>
      </c>
      <c r="H192" s="27"/>
      <c r="I192" s="84"/>
      <c r="J192" s="92" t="str">
        <f>IF(AND(A192&lt;&gt;"",E192&lt;&gt;""),IF(I192="","⚠️ Enter Code",IF(IFERROR(VLOOKUP(H192,DB_Agents!$B:$I,8,0),"")=I192,IF(C192&gt;=E192,"Successful","Unsuccessful"),"🔒 BLOCKED — Wrong Code")),"—")</f>
        <v>—</v>
      </c>
      <c r="K192" s="93" t="str">
        <f t="shared" ca="1" si="17"/>
        <v>—</v>
      </c>
      <c r="L192" s="94"/>
    </row>
    <row r="193" spans="1:12" x14ac:dyDescent="0.25">
      <c r="A193" s="79"/>
      <c r="B193" s="21" t="str">
        <f>IF(A193="","",IFERROR(VLOOKUP(A193,DB_Customers!$A:$D,4,0),"❌ Account Not Found"))</f>
        <v/>
      </c>
      <c r="C193" s="80" t="str">
        <f>IF(A193="","",IFERROR(VLOOKUP(A193,DB_Customers!$A:$N,14,0),""))</f>
        <v/>
      </c>
      <c r="D193" s="81" t="str">
        <f t="shared" ca="1" si="15"/>
        <v/>
      </c>
      <c r="E193" s="97"/>
      <c r="F193" s="21"/>
      <c r="G193" s="98" t="str">
        <f t="shared" si="16"/>
        <v/>
      </c>
      <c r="H193" s="23"/>
      <c r="I193" s="84"/>
      <c r="J193" s="85" t="str">
        <f>IF(AND(A193&lt;&gt;"",E193&lt;&gt;""),IF(I193="","⚠️ Enter Code",IF(IFERROR(VLOOKUP(H193,DB_Agents!$B:$I,8,0),"")=I193,IF(C193&gt;=E193,"Successful","Unsuccessful"),"🔒 BLOCKED — Wrong Code")),"—")</f>
        <v>—</v>
      </c>
      <c r="K193" s="86" t="str">
        <f t="shared" ca="1" si="17"/>
        <v>—</v>
      </c>
      <c r="L193" s="87"/>
    </row>
    <row r="194" spans="1:12" x14ac:dyDescent="0.25">
      <c r="A194" s="88"/>
      <c r="B194" s="25" t="str">
        <f>IF(A194="","",IFERROR(VLOOKUP(A194,DB_Customers!$A:$D,4,0),"❌ Account Not Found"))</f>
        <v/>
      </c>
      <c r="C194" s="89" t="str">
        <f>IF(A194="","",IFERROR(VLOOKUP(A194,DB_Customers!$A:$N,14,0),""))</f>
        <v/>
      </c>
      <c r="D194" s="90" t="str">
        <f t="shared" ca="1" si="15"/>
        <v/>
      </c>
      <c r="E194" s="97"/>
      <c r="F194" s="25"/>
      <c r="G194" s="99" t="str">
        <f t="shared" si="16"/>
        <v/>
      </c>
      <c r="H194" s="27"/>
      <c r="I194" s="84"/>
      <c r="J194" s="92" t="str">
        <f>IF(AND(A194&lt;&gt;"",E194&lt;&gt;""),IF(I194="","⚠️ Enter Code",IF(IFERROR(VLOOKUP(H194,DB_Agents!$B:$I,8,0),"")=I194,IF(C194&gt;=E194,"Successful","Unsuccessful"),"🔒 BLOCKED — Wrong Code")),"—")</f>
        <v>—</v>
      </c>
      <c r="K194" s="93" t="str">
        <f t="shared" ca="1" si="17"/>
        <v>—</v>
      </c>
      <c r="L194" s="94"/>
    </row>
    <row r="195" spans="1:12" x14ac:dyDescent="0.25">
      <c r="A195" s="79"/>
      <c r="B195" s="21" t="str">
        <f>IF(A195="","",IFERROR(VLOOKUP(A195,DB_Customers!$A:$D,4,0),"❌ Account Not Found"))</f>
        <v/>
      </c>
      <c r="C195" s="80" t="str">
        <f>IF(A195="","",IFERROR(VLOOKUP(A195,DB_Customers!$A:$N,14,0),""))</f>
        <v/>
      </c>
      <c r="D195" s="81" t="str">
        <f t="shared" ca="1" si="15"/>
        <v/>
      </c>
      <c r="E195" s="97"/>
      <c r="F195" s="21"/>
      <c r="G195" s="98" t="str">
        <f t="shared" si="16"/>
        <v/>
      </c>
      <c r="H195" s="23"/>
      <c r="I195" s="84"/>
      <c r="J195" s="85" t="str">
        <f>IF(AND(A195&lt;&gt;"",E195&lt;&gt;""),IF(I195="","⚠️ Enter Code",IF(IFERROR(VLOOKUP(H195,DB_Agents!$B:$I,8,0),"")=I195,IF(C195&gt;=E195,"Successful","Unsuccessful"),"🔒 BLOCKED — Wrong Code")),"—")</f>
        <v>—</v>
      </c>
      <c r="K195" s="86" t="str">
        <f t="shared" ca="1" si="17"/>
        <v>—</v>
      </c>
      <c r="L195" s="87"/>
    </row>
    <row r="196" spans="1:12" x14ac:dyDescent="0.25">
      <c r="A196" s="88"/>
      <c r="B196" s="25" t="str">
        <f>IF(A196="","",IFERROR(VLOOKUP(A196,DB_Customers!$A:$D,4,0),"❌ Account Not Found"))</f>
        <v/>
      </c>
      <c r="C196" s="89" t="str">
        <f>IF(A196="","",IFERROR(VLOOKUP(A196,DB_Customers!$A:$N,14,0),""))</f>
        <v/>
      </c>
      <c r="D196" s="90" t="str">
        <f t="shared" ca="1" si="15"/>
        <v/>
      </c>
      <c r="E196" s="97"/>
      <c r="F196" s="25"/>
      <c r="G196" s="99" t="str">
        <f t="shared" si="16"/>
        <v/>
      </c>
      <c r="H196" s="27"/>
      <c r="I196" s="84"/>
      <c r="J196" s="92" t="str">
        <f>IF(AND(A196&lt;&gt;"",E196&lt;&gt;""),IF(I196="","⚠️ Enter Code",IF(IFERROR(VLOOKUP(H196,DB_Agents!$B:$I,8,0),"")=I196,IF(C196&gt;=E196,"Successful","Unsuccessful"),"🔒 BLOCKED — Wrong Code")),"—")</f>
        <v>—</v>
      </c>
      <c r="K196" s="93" t="str">
        <f t="shared" ca="1" si="17"/>
        <v>—</v>
      </c>
      <c r="L196" s="94"/>
    </row>
    <row r="197" spans="1:12" x14ac:dyDescent="0.25">
      <c r="A197" s="79"/>
      <c r="B197" s="21" t="str">
        <f>IF(A197="","",IFERROR(VLOOKUP(A197,DB_Customers!$A:$D,4,0),"❌ Account Not Found"))</f>
        <v/>
      </c>
      <c r="C197" s="80" t="str">
        <f>IF(A197="","",IFERROR(VLOOKUP(A197,DB_Customers!$A:$N,14,0),""))</f>
        <v/>
      </c>
      <c r="D197" s="81" t="str">
        <f t="shared" ca="1" si="15"/>
        <v/>
      </c>
      <c r="E197" s="97"/>
      <c r="F197" s="21"/>
      <c r="G197" s="98" t="str">
        <f t="shared" si="16"/>
        <v/>
      </c>
      <c r="H197" s="23"/>
      <c r="I197" s="84"/>
      <c r="J197" s="85" t="str">
        <f>IF(AND(A197&lt;&gt;"",E197&lt;&gt;""),IF(I197="","⚠️ Enter Code",IF(IFERROR(VLOOKUP(H197,DB_Agents!$B:$I,8,0),"")=I197,IF(C197&gt;=E197,"Successful","Unsuccessful"),"🔒 BLOCKED — Wrong Code")),"—")</f>
        <v>—</v>
      </c>
      <c r="K197" s="86" t="str">
        <f t="shared" ca="1" si="17"/>
        <v>—</v>
      </c>
      <c r="L197" s="87"/>
    </row>
    <row r="198" spans="1:12" x14ac:dyDescent="0.25">
      <c r="A198" s="88"/>
      <c r="B198" s="25" t="str">
        <f>IF(A198="","",IFERROR(VLOOKUP(A198,DB_Customers!$A:$D,4,0),"❌ Account Not Found"))</f>
        <v/>
      </c>
      <c r="C198" s="89" t="str">
        <f>IF(A198="","",IFERROR(VLOOKUP(A198,DB_Customers!$A:$N,14,0),""))</f>
        <v/>
      </c>
      <c r="D198" s="90" t="str">
        <f t="shared" ca="1" si="15"/>
        <v/>
      </c>
      <c r="E198" s="97"/>
      <c r="F198" s="25"/>
      <c r="G198" s="99" t="str">
        <f t="shared" si="16"/>
        <v/>
      </c>
      <c r="H198" s="27"/>
      <c r="I198" s="84"/>
      <c r="J198" s="92" t="str">
        <f>IF(AND(A198&lt;&gt;"",E198&lt;&gt;""),IF(I198="","⚠️ Enter Code",IF(IFERROR(VLOOKUP(H198,DB_Agents!$B:$I,8,0),"")=I198,IF(C198&gt;=E198,"Successful","Unsuccessful"),"🔒 BLOCKED — Wrong Code")),"—")</f>
        <v>—</v>
      </c>
      <c r="K198" s="93" t="str">
        <f t="shared" ca="1" si="17"/>
        <v>—</v>
      </c>
      <c r="L198" s="94"/>
    </row>
    <row r="199" spans="1:12" x14ac:dyDescent="0.25">
      <c r="A199" s="79"/>
      <c r="B199" s="21" t="str">
        <f>IF(A199="","",IFERROR(VLOOKUP(A199,DB_Customers!$A:$D,4,0),"❌ Account Not Found"))</f>
        <v/>
      </c>
      <c r="C199" s="80" t="str">
        <f>IF(A199="","",IFERROR(VLOOKUP(A199,DB_Customers!$A:$N,14,0),""))</f>
        <v/>
      </c>
      <c r="D199" s="81" t="str">
        <f t="shared" ca="1" si="15"/>
        <v/>
      </c>
      <c r="E199" s="97"/>
      <c r="F199" s="21"/>
      <c r="G199" s="98" t="str">
        <f t="shared" si="16"/>
        <v/>
      </c>
      <c r="H199" s="23"/>
      <c r="I199" s="84"/>
      <c r="J199" s="85" t="str">
        <f>IF(AND(A199&lt;&gt;"",E199&lt;&gt;""),IF(I199="","⚠️ Enter Code",IF(IFERROR(VLOOKUP(H199,DB_Agents!$B:$I,8,0),"")=I199,IF(C199&gt;=E199,"Successful","Unsuccessful"),"🔒 BLOCKED — Wrong Code")),"—")</f>
        <v>—</v>
      </c>
      <c r="K199" s="86" t="str">
        <f t="shared" ca="1" si="17"/>
        <v>—</v>
      </c>
      <c r="L199" s="87"/>
    </row>
    <row r="200" spans="1:12" x14ac:dyDescent="0.25">
      <c r="A200" s="88"/>
      <c r="B200" s="25" t="str">
        <f>IF(A200="","",IFERROR(VLOOKUP(A200,DB_Customers!$A:$D,4,0),"❌ Account Not Found"))</f>
        <v/>
      </c>
      <c r="C200" s="89" t="str">
        <f>IF(A200="","",IFERROR(VLOOKUP(A200,DB_Customers!$A:$N,14,0),""))</f>
        <v/>
      </c>
      <c r="D200" s="90" t="str">
        <f t="shared" ca="1" si="15"/>
        <v/>
      </c>
      <c r="E200" s="97"/>
      <c r="F200" s="25"/>
      <c r="G200" s="99" t="str">
        <f t="shared" si="16"/>
        <v/>
      </c>
      <c r="H200" s="27"/>
      <c r="I200" s="84"/>
      <c r="J200" s="92" t="str">
        <f>IF(AND(A200&lt;&gt;"",E200&lt;&gt;""),IF(I200="","⚠️ Enter Code",IF(IFERROR(VLOOKUP(H200,DB_Agents!$B:$I,8,0),"")=I200,IF(C200&gt;=E200,"Successful","Unsuccessful"),"🔒 BLOCKED — Wrong Code")),"—")</f>
        <v>—</v>
      </c>
      <c r="K200" s="93" t="str">
        <f t="shared" ca="1" si="17"/>
        <v>—</v>
      </c>
      <c r="L200" s="94"/>
    </row>
    <row r="201" spans="1:12" x14ac:dyDescent="0.25">
      <c r="A201" s="79"/>
      <c r="B201" s="21" t="str">
        <f>IF(A201="","",IFERROR(VLOOKUP(A201,DB_Customers!$A:$D,4,0),"❌ Account Not Found"))</f>
        <v/>
      </c>
      <c r="C201" s="80" t="str">
        <f>IF(A201="","",IFERROR(VLOOKUP(A201,DB_Customers!$A:$N,14,0),""))</f>
        <v/>
      </c>
      <c r="D201" s="81" t="str">
        <f t="shared" ref="D201:D208" ca="1" si="18">IF(A201="","",TODAY())</f>
        <v/>
      </c>
      <c r="E201" s="97"/>
      <c r="F201" s="21"/>
      <c r="G201" s="98" t="str">
        <f t="shared" ref="G201:G208" si="19">IF(OR(A201="",E201=""),"",IF(C201="","",C201-E201))</f>
        <v/>
      </c>
      <c r="H201" s="23"/>
      <c r="I201" s="84"/>
      <c r="J201" s="85" t="str">
        <f>IF(AND(A201&lt;&gt;"",E201&lt;&gt;""),IF(I201="","⚠️ Enter Code",IF(IFERROR(VLOOKUP(H201,DB_Agents!$B:$I,8,0),"")=I201,IF(C201&gt;=E201,"Successful","Unsuccessful"),"🔒 BLOCKED — Wrong Code")),"—")</f>
        <v>—</v>
      </c>
      <c r="K201" s="86" t="str">
        <f t="shared" ref="K201:K232" ca="1" si="20">IF(J201="Successful",TEXT(TODAY(),"YYYY-MM-DD")&amp;" Auto","—")</f>
        <v>—</v>
      </c>
      <c r="L201" s="87"/>
    </row>
    <row r="202" spans="1:12" x14ac:dyDescent="0.25">
      <c r="A202" s="88"/>
      <c r="B202" s="25" t="str">
        <f>IF(A202="","",IFERROR(VLOOKUP(A202,DB_Customers!$A:$D,4,0),"❌ Account Not Found"))</f>
        <v/>
      </c>
      <c r="C202" s="89" t="str">
        <f>IF(A202="","",IFERROR(VLOOKUP(A202,DB_Customers!$A:$N,14,0),""))</f>
        <v/>
      </c>
      <c r="D202" s="90" t="str">
        <f t="shared" ca="1" si="18"/>
        <v/>
      </c>
      <c r="E202" s="97"/>
      <c r="F202" s="25"/>
      <c r="G202" s="99" t="str">
        <f t="shared" si="19"/>
        <v/>
      </c>
      <c r="H202" s="27"/>
      <c r="I202" s="84"/>
      <c r="J202" s="92" t="str">
        <f>IF(AND(A202&lt;&gt;"",E202&lt;&gt;""),IF(I202="","⚠️ Enter Code",IF(IFERROR(VLOOKUP(H202,DB_Agents!$B:$I,8,0),"")=I202,IF(C202&gt;=E202,"Successful","Unsuccessful"),"🔒 BLOCKED — Wrong Code")),"—")</f>
        <v>—</v>
      </c>
      <c r="K202" s="93" t="str">
        <f t="shared" ca="1" si="20"/>
        <v>—</v>
      </c>
      <c r="L202" s="94"/>
    </row>
    <row r="203" spans="1:12" x14ac:dyDescent="0.25">
      <c r="A203" s="79"/>
      <c r="B203" s="21" t="str">
        <f>IF(A203="","",IFERROR(VLOOKUP(A203,DB_Customers!$A:$D,4,0),"❌ Account Not Found"))</f>
        <v/>
      </c>
      <c r="C203" s="80" t="str">
        <f>IF(A203="","",IFERROR(VLOOKUP(A203,DB_Customers!$A:$N,14,0),""))</f>
        <v/>
      </c>
      <c r="D203" s="81" t="str">
        <f t="shared" ca="1" si="18"/>
        <v/>
      </c>
      <c r="E203" s="97"/>
      <c r="F203" s="21"/>
      <c r="G203" s="98" t="str">
        <f t="shared" si="19"/>
        <v/>
      </c>
      <c r="H203" s="23"/>
      <c r="I203" s="84"/>
      <c r="J203" s="85" t="str">
        <f>IF(AND(A203&lt;&gt;"",E203&lt;&gt;""),IF(I203="","⚠️ Enter Code",IF(IFERROR(VLOOKUP(H203,DB_Agents!$B:$I,8,0),"")=I203,IF(C203&gt;=E203,"Successful","Unsuccessful"),"🔒 BLOCKED — Wrong Code")),"—")</f>
        <v>—</v>
      </c>
      <c r="K203" s="86" t="str">
        <f t="shared" ca="1" si="20"/>
        <v>—</v>
      </c>
      <c r="L203" s="87"/>
    </row>
    <row r="204" spans="1:12" x14ac:dyDescent="0.25">
      <c r="A204" s="88"/>
      <c r="B204" s="25" t="str">
        <f>IF(A204="","",IFERROR(VLOOKUP(A204,DB_Customers!$A:$D,4,0),"❌ Account Not Found"))</f>
        <v/>
      </c>
      <c r="C204" s="89" t="str">
        <f>IF(A204="","",IFERROR(VLOOKUP(A204,DB_Customers!$A:$N,14,0),""))</f>
        <v/>
      </c>
      <c r="D204" s="90" t="str">
        <f t="shared" ca="1" si="18"/>
        <v/>
      </c>
      <c r="E204" s="97"/>
      <c r="F204" s="25"/>
      <c r="G204" s="99" t="str">
        <f t="shared" si="19"/>
        <v/>
      </c>
      <c r="H204" s="27"/>
      <c r="I204" s="84"/>
      <c r="J204" s="92" t="str">
        <f>IF(AND(A204&lt;&gt;"",E204&lt;&gt;""),IF(I204="","⚠️ Enter Code",IF(IFERROR(VLOOKUP(H204,DB_Agents!$B:$I,8,0),"")=I204,IF(C204&gt;=E204,"Successful","Unsuccessful"),"🔒 BLOCKED — Wrong Code")),"—")</f>
        <v>—</v>
      </c>
      <c r="K204" s="93" t="str">
        <f t="shared" ca="1" si="20"/>
        <v>—</v>
      </c>
      <c r="L204" s="94"/>
    </row>
    <row r="205" spans="1:12" x14ac:dyDescent="0.25">
      <c r="A205" s="79"/>
      <c r="B205" s="21" t="str">
        <f>IF(A205="","",IFERROR(VLOOKUP(A205,DB_Customers!$A:$D,4,0),"❌ Account Not Found"))</f>
        <v/>
      </c>
      <c r="C205" s="80" t="str">
        <f>IF(A205="","",IFERROR(VLOOKUP(A205,DB_Customers!$A:$N,14,0),""))</f>
        <v/>
      </c>
      <c r="D205" s="81" t="str">
        <f t="shared" ca="1" si="18"/>
        <v/>
      </c>
      <c r="E205" s="97"/>
      <c r="F205" s="21"/>
      <c r="G205" s="98" t="str">
        <f t="shared" si="19"/>
        <v/>
      </c>
      <c r="H205" s="23"/>
      <c r="I205" s="84"/>
      <c r="J205" s="85" t="str">
        <f>IF(AND(A205&lt;&gt;"",E205&lt;&gt;""),IF(I205="","⚠️ Enter Code",IF(IFERROR(VLOOKUP(H205,DB_Agents!$B:$I,8,0),"")=I205,IF(C205&gt;=E205,"Successful","Unsuccessful"),"🔒 BLOCKED — Wrong Code")),"—")</f>
        <v>—</v>
      </c>
      <c r="K205" s="86" t="str">
        <f t="shared" ca="1" si="20"/>
        <v>—</v>
      </c>
      <c r="L205" s="87"/>
    </row>
    <row r="206" spans="1:12" x14ac:dyDescent="0.25">
      <c r="A206" s="88"/>
      <c r="B206" s="25" t="str">
        <f>IF(A206="","",IFERROR(VLOOKUP(A206,DB_Customers!$A:$D,4,0),"❌ Account Not Found"))</f>
        <v/>
      </c>
      <c r="C206" s="89" t="str">
        <f>IF(A206="","",IFERROR(VLOOKUP(A206,DB_Customers!$A:$N,14,0),""))</f>
        <v/>
      </c>
      <c r="D206" s="90" t="str">
        <f t="shared" ca="1" si="18"/>
        <v/>
      </c>
      <c r="E206" s="97"/>
      <c r="F206" s="25"/>
      <c r="G206" s="99" t="str">
        <f t="shared" si="19"/>
        <v/>
      </c>
      <c r="H206" s="27"/>
      <c r="I206" s="84"/>
      <c r="J206" s="92" t="str">
        <f>IF(AND(A206&lt;&gt;"",E206&lt;&gt;""),IF(I206="","⚠️ Enter Code",IF(IFERROR(VLOOKUP(H206,DB_Agents!$B:$I,8,0),"")=I206,IF(C206&gt;=E206,"Successful","Unsuccessful"),"🔒 BLOCKED — Wrong Code")),"—")</f>
        <v>—</v>
      </c>
      <c r="K206" s="93" t="str">
        <f t="shared" ca="1" si="20"/>
        <v>—</v>
      </c>
      <c r="L206" s="94"/>
    </row>
    <row r="207" spans="1:12" x14ac:dyDescent="0.25">
      <c r="A207" s="79"/>
      <c r="B207" s="21" t="str">
        <f>IF(A207="","",IFERROR(VLOOKUP(A207,DB_Customers!$A:$D,4,0),"❌ Account Not Found"))</f>
        <v/>
      </c>
      <c r="C207" s="80" t="str">
        <f>IF(A207="","",IFERROR(VLOOKUP(A207,DB_Customers!$A:$N,14,0),""))</f>
        <v/>
      </c>
      <c r="D207" s="81" t="str">
        <f t="shared" ca="1" si="18"/>
        <v/>
      </c>
      <c r="E207" s="97"/>
      <c r="F207" s="21"/>
      <c r="G207" s="98" t="str">
        <f t="shared" si="19"/>
        <v/>
      </c>
      <c r="H207" s="23"/>
      <c r="I207" s="84"/>
      <c r="J207" s="85" t="str">
        <f>IF(AND(A207&lt;&gt;"",E207&lt;&gt;""),IF(I207="","⚠️ Enter Code",IF(IFERROR(VLOOKUP(H207,DB_Agents!$B:$I,8,0),"")=I207,IF(C207&gt;=E207,"Successful","Unsuccessful"),"🔒 BLOCKED — Wrong Code")),"—")</f>
        <v>—</v>
      </c>
      <c r="K207" s="86" t="str">
        <f t="shared" ca="1" si="20"/>
        <v>—</v>
      </c>
      <c r="L207" s="87"/>
    </row>
    <row r="208" spans="1:12" x14ac:dyDescent="0.25">
      <c r="A208" s="88"/>
      <c r="B208" s="25" t="str">
        <f>IF(A208="","",IFERROR(VLOOKUP(A208,DB_Customers!$A:$D,4,0),"❌ Account Not Found"))</f>
        <v/>
      </c>
      <c r="C208" s="89" t="str">
        <f>IF(A208="","",IFERROR(VLOOKUP(A208,DB_Customers!$A:$N,14,0),""))</f>
        <v/>
      </c>
      <c r="D208" s="90" t="str">
        <f t="shared" ca="1" si="18"/>
        <v/>
      </c>
      <c r="E208" s="97"/>
      <c r="F208" s="25"/>
      <c r="G208" s="99" t="str">
        <f t="shared" si="19"/>
        <v/>
      </c>
      <c r="H208" s="27"/>
      <c r="I208" s="84"/>
      <c r="J208" s="92" t="str">
        <f>IF(AND(A208&lt;&gt;"",E208&lt;&gt;""),IF(I208="","⚠️ Enter Code",IF(IFERROR(VLOOKUP(H208,DB_Agents!$B:$I,8,0),"")=I208,IF(C208&gt;=E208,"Successful","Unsuccessful"),"🔒 BLOCKED — Wrong Code")),"—")</f>
        <v>—</v>
      </c>
      <c r="K208" s="93" t="str">
        <f t="shared" ca="1" si="20"/>
        <v>—</v>
      </c>
      <c r="L208" s="94"/>
    </row>
  </sheetData>
  <mergeCells count="8">
    <mergeCell ref="A5:M5"/>
    <mergeCell ref="A7:M7"/>
    <mergeCell ref="A1:M1"/>
    <mergeCell ref="A2:M2"/>
    <mergeCell ref="A3:C3"/>
    <mergeCell ref="D3:F3"/>
    <mergeCell ref="A4:C4"/>
    <mergeCell ref="D4:F4"/>
  </mergeCells>
  <conditionalFormatting sqref="I9:I208">
    <cfRule type="cellIs" dxfId="79" priority="2" operator="equal">
      <formula>"Successful"</formula>
    </cfRule>
    <cfRule type="cellIs" dxfId="78" priority="3" operator="equal">
      <formula>"Unsuccessful"</formula>
    </cfRule>
  </conditionalFormatting>
  <conditionalFormatting sqref="A9:K208">
    <cfRule type="expression" dxfId="77" priority="4">
      <formula>$I9="Unsuccessful"</formula>
    </cfRule>
  </conditionalFormatting>
  <conditionalFormatting sqref="G9:G208">
    <cfRule type="cellIs" dxfId="76" priority="5" operator="lessThan">
      <formula>0</formula>
    </cfRule>
  </conditionalFormatting>
  <dataValidations count="1">
    <dataValidation type="list" sqref="H9:H208" xr:uid="{00000000-0002-0000-0C00-000000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E67E22"/>
  </sheetPr>
  <dimension ref="A1:N213"/>
  <sheetViews>
    <sheetView zoomScaleNormal="100" workbookViewId="0">
      <pane ySplit="13" topLeftCell="A14" activePane="bottomLeft" state="frozen"/>
      <selection pane="bottomLeft"/>
    </sheetView>
  </sheetViews>
  <sheetFormatPr defaultColWidth="8.7109375" defaultRowHeight="15" x14ac:dyDescent="0.25"/>
  <cols>
    <col min="1" max="1" width="22" customWidth="1"/>
    <col min="2" max="2" width="16" customWidth="1"/>
    <col min="3" max="3" width="22" customWidth="1"/>
    <col min="4" max="4" width="13" customWidth="1"/>
    <col min="5" max="5" width="14" customWidth="1"/>
    <col min="6" max="6" width="22" customWidth="1"/>
    <col min="7" max="7" width="9" customWidth="1"/>
    <col min="8" max="8" width="8" customWidth="1"/>
    <col min="9" max="9" width="16" customWidth="1"/>
    <col min="10" max="10" width="15" customWidth="1"/>
    <col min="11" max="11" width="14" customWidth="1"/>
    <col min="12" max="12" width="12" customWidth="1"/>
    <col min="13" max="13" width="14" customWidth="1"/>
  </cols>
  <sheetData>
    <row r="1" spans="1:14" ht="31.5" customHeight="1" x14ac:dyDescent="0.25">
      <c r="A1" s="216" t="s">
        <v>204</v>
      </c>
      <c r="B1" s="216"/>
      <c r="C1" s="216"/>
      <c r="D1" s="216"/>
      <c r="E1" s="216"/>
      <c r="F1" s="216"/>
      <c r="G1" s="216"/>
      <c r="H1" s="216"/>
      <c r="I1" s="216"/>
      <c r="J1" s="216"/>
      <c r="K1" s="216"/>
      <c r="L1" s="216"/>
      <c r="M1" s="216"/>
      <c r="N1" s="216"/>
    </row>
    <row r="2" spans="1:14" ht="19.5" customHeight="1" x14ac:dyDescent="0.25">
      <c r="A2" s="217" t="s">
        <v>189</v>
      </c>
      <c r="B2" s="217"/>
      <c r="C2" s="217"/>
      <c r="D2" s="217"/>
      <c r="E2" s="217"/>
      <c r="F2" s="217"/>
      <c r="G2" s="217"/>
      <c r="H2" s="217"/>
      <c r="I2" s="217"/>
      <c r="J2" s="217"/>
      <c r="K2" s="217"/>
      <c r="L2" s="217"/>
      <c r="M2" s="217"/>
      <c r="N2" s="217"/>
    </row>
    <row r="4" spans="1:14" ht="21.75" customHeight="1" x14ac:dyDescent="0.25">
      <c r="A4" s="218" t="s">
        <v>190</v>
      </c>
      <c r="B4" s="218"/>
      <c r="C4" s="218"/>
      <c r="D4" s="218"/>
    </row>
    <row r="5" spans="1:14" ht="19.5" customHeight="1" x14ac:dyDescent="0.25">
      <c r="A5" s="101" t="s">
        <v>191</v>
      </c>
      <c r="B5" s="219"/>
      <c r="C5" s="219"/>
      <c r="D5" s="219"/>
    </row>
    <row r="6" spans="1:14" ht="19.5" customHeight="1" x14ac:dyDescent="0.25">
      <c r="A6" s="101" t="s">
        <v>192</v>
      </c>
      <c r="B6" s="219"/>
      <c r="C6" s="219"/>
      <c r="D6" s="219"/>
    </row>
    <row r="7" spans="1:14" ht="19.5" customHeight="1" x14ac:dyDescent="0.25">
      <c r="A7" s="102" t="s">
        <v>193</v>
      </c>
      <c r="B7" s="220">
        <v>2.5</v>
      </c>
      <c r="C7" s="220"/>
      <c r="D7" s="220"/>
    </row>
    <row r="8" spans="1:14" ht="19.5" customHeight="1" x14ac:dyDescent="0.25">
      <c r="A8" s="102" t="s">
        <v>194</v>
      </c>
      <c r="B8" s="221" t="str">
        <f>IF(B5="","",B5*B7/100*B6)</f>
        <v/>
      </c>
      <c r="C8" s="221"/>
      <c r="D8" s="221"/>
    </row>
    <row r="9" spans="1:14" ht="19.5" customHeight="1" x14ac:dyDescent="0.25">
      <c r="A9" s="102"/>
      <c r="B9" s="222" t="str">
        <f>IF(B5="","",B5+(B5*B7/100*B6))</f>
        <v/>
      </c>
      <c r="C9" s="222"/>
      <c r="D9" s="222"/>
    </row>
    <row r="10" spans="1:14" ht="19.5" customHeight="1" x14ac:dyDescent="0.25">
      <c r="A10" s="102"/>
      <c r="B10" s="222" t="str">
        <f>IFERROR(B9/B6,"")</f>
        <v/>
      </c>
      <c r="C10" s="222"/>
      <c r="D10" s="222"/>
    </row>
    <row r="11" spans="1:14" ht="7.5" customHeight="1" x14ac:dyDescent="0.25"/>
    <row r="12" spans="1:14" ht="21.75" customHeight="1" x14ac:dyDescent="0.25">
      <c r="A12" s="223"/>
      <c r="B12" s="223"/>
      <c r="C12" s="223"/>
      <c r="D12" s="223"/>
      <c r="E12" s="223"/>
      <c r="F12" s="223"/>
      <c r="G12" s="223"/>
      <c r="H12" s="223"/>
      <c r="I12" s="223"/>
      <c r="J12" s="223"/>
      <c r="K12" s="223"/>
      <c r="L12" s="223"/>
      <c r="M12" s="223"/>
      <c r="N12" s="223"/>
    </row>
    <row r="13" spans="1:14" ht="19.5" customHeight="1" x14ac:dyDescent="0.25">
      <c r="A13" s="103"/>
      <c r="B13" s="103"/>
      <c r="C13" s="103"/>
      <c r="D13" s="103"/>
      <c r="E13" s="103"/>
      <c r="F13" s="103"/>
      <c r="G13" s="103"/>
      <c r="H13" s="103"/>
      <c r="I13" s="103"/>
      <c r="J13" s="103"/>
      <c r="K13" s="103"/>
      <c r="L13" s="103" t="s">
        <v>32</v>
      </c>
      <c r="M13" s="78"/>
      <c r="N13" s="103"/>
    </row>
    <row r="14" spans="1:14" x14ac:dyDescent="0.25">
      <c r="A14" s="92" t="str">
        <f t="shared" ref="A14:A45" si="0">IF(B14="","",IF(C14="❌ Account Not Found","INVALID","LN"&amp;TEXT(D14,"YYYYMMDD")&amp;TEXT(ROW()-13,"0000")))</f>
        <v/>
      </c>
      <c r="B14" s="88"/>
      <c r="C14" s="25" t="str">
        <f>IF(B14="","",IFERROR(VLOOKUP(B14,DB_Customers!$A:$D,4,0),"❌ Account Not Found"))</f>
        <v/>
      </c>
      <c r="D14" s="90" t="str">
        <f t="shared" ref="D14:D45" ca="1" si="1">IF(B14="","",TODAY())</f>
        <v/>
      </c>
      <c r="E14" s="104"/>
      <c r="F14" s="25"/>
      <c r="G14" s="105"/>
      <c r="H14" s="106"/>
      <c r="I14" s="107" t="str">
        <f t="shared" ref="I14:I45" si="2">IF(E14="","",E14+(E14*H14/100*G14))</f>
        <v/>
      </c>
      <c r="J14" s="108" t="str">
        <f t="shared" ref="J14:J45" si="3">IFERROR(I14/G14,"")</f>
        <v/>
      </c>
      <c r="K14" s="109" t="str">
        <f>IF(B14="","Pending",IF(M14="","⚠️ Enter Code",IF(IFERROR(VLOOKUP(L14,DB_Agents!$B:$I,8,0),"")=M14,"Pending","🔒 BLOCKED — Wrong Code")))</f>
        <v>Pending</v>
      </c>
      <c r="L14" s="27" t="s">
        <v>43</v>
      </c>
      <c r="M14" s="84"/>
      <c r="N14" s="94"/>
    </row>
    <row r="15" spans="1:14" x14ac:dyDescent="0.25">
      <c r="A15" s="85" t="str">
        <f t="shared" si="0"/>
        <v/>
      </c>
      <c r="B15" s="79"/>
      <c r="C15" s="21" t="str">
        <f>IF(B15="","",IFERROR(VLOOKUP(B15,DB_Customers!$A:$D,4,0),"❌ Account Not Found"))</f>
        <v/>
      </c>
      <c r="D15" s="81" t="str">
        <f t="shared" ca="1" si="1"/>
        <v/>
      </c>
      <c r="E15" s="104"/>
      <c r="F15" s="21"/>
      <c r="G15" s="110"/>
      <c r="H15" s="111"/>
      <c r="I15" s="107" t="str">
        <f t="shared" si="2"/>
        <v/>
      </c>
      <c r="J15" s="112" t="str">
        <f t="shared" si="3"/>
        <v/>
      </c>
      <c r="K15" s="113" t="str">
        <f>IF(B15="","Pending",IF(M15="","⚠️ Enter Code",IF(IFERROR(VLOOKUP(L15,DB_Agents!$B:$I,8,0),"")=M15,"Pending","🔒 BLOCKED — Wrong Code")))</f>
        <v>Pending</v>
      </c>
      <c r="L15" s="23" t="s">
        <v>43</v>
      </c>
      <c r="M15" s="84"/>
      <c r="N15" s="87"/>
    </row>
    <row r="16" spans="1:14" x14ac:dyDescent="0.25">
      <c r="A16" s="92" t="str">
        <f t="shared" si="0"/>
        <v/>
      </c>
      <c r="B16" s="88"/>
      <c r="C16" s="25" t="str">
        <f>IF(B16="","",IFERROR(VLOOKUP(B16,DB_Customers!$A:$D,4,0),"❌ Account Not Found"))</f>
        <v/>
      </c>
      <c r="D16" s="90" t="str">
        <f t="shared" ca="1" si="1"/>
        <v/>
      </c>
      <c r="E16" s="104"/>
      <c r="F16" s="25"/>
      <c r="G16" s="105"/>
      <c r="H16" s="106"/>
      <c r="I16" s="107" t="str">
        <f t="shared" si="2"/>
        <v/>
      </c>
      <c r="J16" s="108" t="str">
        <f t="shared" si="3"/>
        <v/>
      </c>
      <c r="K16" s="109" t="str">
        <f>IF(B16="","Pending",IF(M16="","⚠️ Enter Code",IF(IFERROR(VLOOKUP(L16,DB_Agents!$B:$I,8,0),"")=M16,"Pending","🔒 BLOCKED — Wrong Code")))</f>
        <v>Pending</v>
      </c>
      <c r="L16" s="27" t="s">
        <v>43</v>
      </c>
      <c r="M16" s="84"/>
      <c r="N16" s="94"/>
    </row>
    <row r="17" spans="1:14" x14ac:dyDescent="0.25">
      <c r="A17" s="85" t="str">
        <f t="shared" si="0"/>
        <v/>
      </c>
      <c r="B17" s="79"/>
      <c r="C17" s="21" t="str">
        <f>IF(B17="","",IFERROR(VLOOKUP(B17,DB_Customers!$A:$D,4,0),"❌ Account Not Found"))</f>
        <v/>
      </c>
      <c r="D17" s="81" t="str">
        <f t="shared" ca="1" si="1"/>
        <v/>
      </c>
      <c r="E17" s="104"/>
      <c r="F17" s="21"/>
      <c r="G17" s="110"/>
      <c r="H17" s="111"/>
      <c r="I17" s="107" t="str">
        <f t="shared" si="2"/>
        <v/>
      </c>
      <c r="J17" s="112" t="str">
        <f t="shared" si="3"/>
        <v/>
      </c>
      <c r="K17" s="113" t="str">
        <f>IF(B17="","Pending",IF(M17="","⚠️ Enter Code",IF(IFERROR(VLOOKUP(L17,DB_Agents!$B:$I,8,0),"")=M17,"Pending","🔒 BLOCKED — Wrong Code")))</f>
        <v>Pending</v>
      </c>
      <c r="L17" s="23" t="s">
        <v>43</v>
      </c>
      <c r="M17" s="84"/>
      <c r="N17" s="87"/>
    </row>
    <row r="18" spans="1:14" x14ac:dyDescent="0.25">
      <c r="A18" s="92" t="str">
        <f t="shared" si="0"/>
        <v/>
      </c>
      <c r="B18" s="88"/>
      <c r="C18" s="25" t="str">
        <f>IF(B18="","",IFERROR(VLOOKUP(B18,DB_Customers!$A:$D,4,0),"❌ Account Not Found"))</f>
        <v/>
      </c>
      <c r="D18" s="90" t="str">
        <f t="shared" ca="1" si="1"/>
        <v/>
      </c>
      <c r="E18" s="104"/>
      <c r="F18" s="25"/>
      <c r="G18" s="105"/>
      <c r="H18" s="106"/>
      <c r="I18" s="107" t="str">
        <f t="shared" si="2"/>
        <v/>
      </c>
      <c r="J18" s="108" t="str">
        <f t="shared" si="3"/>
        <v/>
      </c>
      <c r="K18" s="109" t="str">
        <f>IF(B18="","Pending",IF(M18="","⚠️ Enter Code",IF(IFERROR(VLOOKUP(L18,DB_Agents!$B:$I,8,0),"")=M18,"Pending","🔒 BLOCKED — Wrong Code")))</f>
        <v>Pending</v>
      </c>
      <c r="L18" s="27" t="s">
        <v>43</v>
      </c>
      <c r="M18" s="84"/>
      <c r="N18" s="94"/>
    </row>
    <row r="19" spans="1:14" x14ac:dyDescent="0.25">
      <c r="A19" s="85" t="str">
        <f t="shared" si="0"/>
        <v/>
      </c>
      <c r="B19" s="79"/>
      <c r="C19" s="21" t="str">
        <f>IF(B19="","",IFERROR(VLOOKUP(B19,DB_Customers!$A:$D,4,0),"❌ Account Not Found"))</f>
        <v/>
      </c>
      <c r="D19" s="81" t="str">
        <f t="shared" ca="1" si="1"/>
        <v/>
      </c>
      <c r="E19" s="104"/>
      <c r="F19" s="21"/>
      <c r="G19" s="110"/>
      <c r="H19" s="111"/>
      <c r="I19" s="107" t="str">
        <f t="shared" si="2"/>
        <v/>
      </c>
      <c r="J19" s="112" t="str">
        <f t="shared" si="3"/>
        <v/>
      </c>
      <c r="K19" s="113" t="str">
        <f>IF(B19="","Pending",IF(M19="","⚠️ Enter Code",IF(IFERROR(VLOOKUP(L19,DB_Agents!$B:$I,8,0),"")=M19,"Pending","🔒 BLOCKED — Wrong Code")))</f>
        <v>Pending</v>
      </c>
      <c r="L19" s="23"/>
      <c r="M19" s="84"/>
      <c r="N19" s="87"/>
    </row>
    <row r="20" spans="1:14" x14ac:dyDescent="0.25">
      <c r="A20" s="92" t="str">
        <f t="shared" si="0"/>
        <v/>
      </c>
      <c r="B20" s="88"/>
      <c r="C20" s="25" t="str">
        <f>IF(B20="","",IFERROR(VLOOKUP(B20,DB_Customers!$A:$D,4,0),"❌ Account Not Found"))</f>
        <v/>
      </c>
      <c r="D20" s="90" t="str">
        <f t="shared" ca="1" si="1"/>
        <v/>
      </c>
      <c r="E20" s="104"/>
      <c r="F20" s="25"/>
      <c r="G20" s="105"/>
      <c r="H20" s="106"/>
      <c r="I20" s="107" t="str">
        <f t="shared" si="2"/>
        <v/>
      </c>
      <c r="J20" s="108" t="str">
        <f t="shared" si="3"/>
        <v/>
      </c>
      <c r="K20" s="109" t="str">
        <f>IF(B20="","Pending",IF(M20="","⚠️ Enter Code",IF(IFERROR(VLOOKUP(L20,DB_Agents!$B:$I,8,0),"")=M20,"Pending","🔒 BLOCKED — Wrong Code")))</f>
        <v>Pending</v>
      </c>
      <c r="L20" s="27"/>
      <c r="M20" s="84"/>
      <c r="N20" s="94"/>
    </row>
    <row r="21" spans="1:14" x14ac:dyDescent="0.25">
      <c r="A21" s="85" t="str">
        <f t="shared" si="0"/>
        <v/>
      </c>
      <c r="B21" s="79"/>
      <c r="C21" s="21" t="str">
        <f>IF(B21="","",IFERROR(VLOOKUP(B21,DB_Customers!$A:$D,4,0),"❌ Account Not Found"))</f>
        <v/>
      </c>
      <c r="D21" s="81" t="str">
        <f t="shared" ca="1" si="1"/>
        <v/>
      </c>
      <c r="E21" s="104"/>
      <c r="F21" s="21"/>
      <c r="G21" s="110"/>
      <c r="H21" s="111"/>
      <c r="I21" s="107" t="str">
        <f t="shared" si="2"/>
        <v/>
      </c>
      <c r="J21" s="112" t="str">
        <f t="shared" si="3"/>
        <v/>
      </c>
      <c r="K21" s="113" t="str">
        <f>IF(B21="","Pending",IF(M21="","⚠️ Enter Code",IF(IFERROR(VLOOKUP(L21,DB_Agents!$B:$I,8,0),"")=M21,"Pending","🔒 BLOCKED — Wrong Code")))</f>
        <v>Pending</v>
      </c>
      <c r="L21" s="23"/>
      <c r="M21" s="84"/>
      <c r="N21" s="87"/>
    </row>
    <row r="22" spans="1:14" x14ac:dyDescent="0.25">
      <c r="A22" s="92" t="str">
        <f t="shared" si="0"/>
        <v/>
      </c>
      <c r="B22" s="88"/>
      <c r="C22" s="25" t="str">
        <f>IF(B22="","",IFERROR(VLOOKUP(B22,DB_Customers!$A:$D,4,0),"❌ Account Not Found"))</f>
        <v/>
      </c>
      <c r="D22" s="90" t="str">
        <f t="shared" ca="1" si="1"/>
        <v/>
      </c>
      <c r="E22" s="104"/>
      <c r="F22" s="25"/>
      <c r="G22" s="105"/>
      <c r="H22" s="106"/>
      <c r="I22" s="107" t="str">
        <f t="shared" si="2"/>
        <v/>
      </c>
      <c r="J22" s="108" t="str">
        <f t="shared" si="3"/>
        <v/>
      </c>
      <c r="K22" s="109" t="str">
        <f>IF(B22="","Pending",IF(M22="","⚠️ Enter Code",IF(IFERROR(VLOOKUP(L22,DB_Agents!$B:$I,8,0),"")=M22,"Pending","🔒 BLOCKED — Wrong Code")))</f>
        <v>Pending</v>
      </c>
      <c r="L22" s="27"/>
      <c r="M22" s="84"/>
      <c r="N22" s="94"/>
    </row>
    <row r="23" spans="1:14" x14ac:dyDescent="0.25">
      <c r="A23" s="85" t="str">
        <f t="shared" si="0"/>
        <v/>
      </c>
      <c r="B23" s="79"/>
      <c r="C23" s="21" t="str">
        <f>IF(B23="","",IFERROR(VLOOKUP(B23,DB_Customers!$A:$D,4,0),"❌ Account Not Found"))</f>
        <v/>
      </c>
      <c r="D23" s="81" t="str">
        <f t="shared" ca="1" si="1"/>
        <v/>
      </c>
      <c r="E23" s="104"/>
      <c r="F23" s="21"/>
      <c r="G23" s="110"/>
      <c r="H23" s="111"/>
      <c r="I23" s="107" t="str">
        <f t="shared" si="2"/>
        <v/>
      </c>
      <c r="J23" s="112" t="str">
        <f t="shared" si="3"/>
        <v/>
      </c>
      <c r="K23" s="113" t="str">
        <f>IF(B23="","Pending",IF(M23="","⚠️ Enter Code",IF(IFERROR(VLOOKUP(L23,DB_Agents!$B:$I,8,0),"")=M23,"Pending","🔒 BLOCKED — Wrong Code")))</f>
        <v>Pending</v>
      </c>
      <c r="L23" s="23"/>
      <c r="M23" s="84"/>
      <c r="N23" s="87"/>
    </row>
    <row r="24" spans="1:14" x14ac:dyDescent="0.25">
      <c r="A24" s="92" t="str">
        <f t="shared" si="0"/>
        <v/>
      </c>
      <c r="B24" s="88"/>
      <c r="C24" s="25" t="str">
        <f>IF(B24="","",IFERROR(VLOOKUP(B24,DB_Customers!$A:$D,4,0),"❌ Account Not Found"))</f>
        <v/>
      </c>
      <c r="D24" s="90" t="str">
        <f t="shared" ca="1" si="1"/>
        <v/>
      </c>
      <c r="E24" s="104"/>
      <c r="F24" s="25"/>
      <c r="G24" s="105"/>
      <c r="H24" s="106"/>
      <c r="I24" s="107" t="str">
        <f t="shared" si="2"/>
        <v/>
      </c>
      <c r="J24" s="108" t="str">
        <f t="shared" si="3"/>
        <v/>
      </c>
      <c r="K24" s="109" t="str">
        <f>IF(B24="","Pending",IF(M24="","⚠️ Enter Code",IF(IFERROR(VLOOKUP(L24,DB_Agents!$B:$I,8,0),"")=M24,"Pending","🔒 BLOCKED — Wrong Code")))</f>
        <v>Pending</v>
      </c>
      <c r="L24" s="27"/>
      <c r="M24" s="84"/>
      <c r="N24" s="94"/>
    </row>
    <row r="25" spans="1:14" x14ac:dyDescent="0.25">
      <c r="A25" s="85" t="str">
        <f t="shared" si="0"/>
        <v/>
      </c>
      <c r="B25" s="79"/>
      <c r="C25" s="21" t="str">
        <f>IF(B25="","",IFERROR(VLOOKUP(B25,DB_Customers!$A:$D,4,0),"❌ Account Not Found"))</f>
        <v/>
      </c>
      <c r="D25" s="81" t="str">
        <f t="shared" ca="1" si="1"/>
        <v/>
      </c>
      <c r="E25" s="104"/>
      <c r="F25" s="21"/>
      <c r="G25" s="110"/>
      <c r="H25" s="111"/>
      <c r="I25" s="107" t="str">
        <f t="shared" si="2"/>
        <v/>
      </c>
      <c r="J25" s="112" t="str">
        <f t="shared" si="3"/>
        <v/>
      </c>
      <c r="K25" s="113" t="str">
        <f>IF(B25="","Pending",IF(M25="","⚠️ Enter Code",IF(IFERROR(VLOOKUP(L25,DB_Agents!$B:$I,8,0),"")=M25,"Pending","🔒 BLOCKED — Wrong Code")))</f>
        <v>Pending</v>
      </c>
      <c r="L25" s="23"/>
      <c r="M25" s="84"/>
      <c r="N25" s="87"/>
    </row>
    <row r="26" spans="1:14" x14ac:dyDescent="0.25">
      <c r="A26" s="92" t="str">
        <f t="shared" si="0"/>
        <v/>
      </c>
      <c r="B26" s="88"/>
      <c r="C26" s="25" t="str">
        <f>IF(B26="","",IFERROR(VLOOKUP(B26,DB_Customers!$A:$D,4,0),"❌ Account Not Found"))</f>
        <v/>
      </c>
      <c r="D26" s="90" t="str">
        <f t="shared" ca="1" si="1"/>
        <v/>
      </c>
      <c r="E26" s="104"/>
      <c r="F26" s="25"/>
      <c r="G26" s="105"/>
      <c r="H26" s="106"/>
      <c r="I26" s="107" t="str">
        <f t="shared" si="2"/>
        <v/>
      </c>
      <c r="J26" s="108" t="str">
        <f t="shared" si="3"/>
        <v/>
      </c>
      <c r="K26" s="109" t="str">
        <f>IF(B26="","Pending",IF(M26="","⚠️ Enter Code",IF(IFERROR(VLOOKUP(L26,DB_Agents!$B:$I,8,0),"")=M26,"Pending","🔒 BLOCKED — Wrong Code")))</f>
        <v>Pending</v>
      </c>
      <c r="L26" s="27"/>
      <c r="M26" s="84"/>
      <c r="N26" s="94"/>
    </row>
    <row r="27" spans="1:14" x14ac:dyDescent="0.25">
      <c r="A27" s="85" t="str">
        <f t="shared" si="0"/>
        <v/>
      </c>
      <c r="B27" s="79"/>
      <c r="C27" s="21" t="str">
        <f>IF(B27="","",IFERROR(VLOOKUP(B27,DB_Customers!$A:$D,4,0),"❌ Account Not Found"))</f>
        <v/>
      </c>
      <c r="D27" s="81" t="str">
        <f t="shared" ca="1" si="1"/>
        <v/>
      </c>
      <c r="E27" s="104"/>
      <c r="F27" s="21"/>
      <c r="G27" s="110"/>
      <c r="H27" s="111"/>
      <c r="I27" s="107" t="str">
        <f t="shared" si="2"/>
        <v/>
      </c>
      <c r="J27" s="112" t="str">
        <f t="shared" si="3"/>
        <v/>
      </c>
      <c r="K27" s="113" t="str">
        <f>IF(B27="","Pending",IF(M27="","⚠️ Enter Code",IF(IFERROR(VLOOKUP(L27,DB_Agents!$B:$I,8,0),"")=M27,"Pending","🔒 BLOCKED — Wrong Code")))</f>
        <v>Pending</v>
      </c>
      <c r="L27" s="23"/>
      <c r="M27" s="84"/>
      <c r="N27" s="87"/>
    </row>
    <row r="28" spans="1:14" x14ac:dyDescent="0.25">
      <c r="A28" s="92" t="str">
        <f t="shared" si="0"/>
        <v/>
      </c>
      <c r="B28" s="88"/>
      <c r="C28" s="25" t="str">
        <f>IF(B28="","",IFERROR(VLOOKUP(B28,DB_Customers!$A:$D,4,0),"❌ Account Not Found"))</f>
        <v/>
      </c>
      <c r="D28" s="90" t="str">
        <f t="shared" ca="1" si="1"/>
        <v/>
      </c>
      <c r="E28" s="104"/>
      <c r="F28" s="25"/>
      <c r="G28" s="105"/>
      <c r="H28" s="106"/>
      <c r="I28" s="107" t="str">
        <f t="shared" si="2"/>
        <v/>
      </c>
      <c r="J28" s="108" t="str">
        <f t="shared" si="3"/>
        <v/>
      </c>
      <c r="K28" s="109" t="str">
        <f>IF(B28="","Pending",IF(M28="","⚠️ Enter Code",IF(IFERROR(VLOOKUP(L28,DB_Agents!$B:$I,8,0),"")=M28,"Pending","🔒 BLOCKED — Wrong Code")))</f>
        <v>Pending</v>
      </c>
      <c r="L28" s="27"/>
      <c r="M28" s="84"/>
      <c r="N28" s="94"/>
    </row>
    <row r="29" spans="1:14" x14ac:dyDescent="0.25">
      <c r="A29" s="85" t="str">
        <f t="shared" si="0"/>
        <v/>
      </c>
      <c r="B29" s="79"/>
      <c r="C29" s="21" t="str">
        <f>IF(B29="","",IFERROR(VLOOKUP(B29,DB_Customers!$A:$D,4,0),"❌ Account Not Found"))</f>
        <v/>
      </c>
      <c r="D29" s="81" t="str">
        <f t="shared" ca="1" si="1"/>
        <v/>
      </c>
      <c r="E29" s="104"/>
      <c r="F29" s="21"/>
      <c r="G29" s="110"/>
      <c r="H29" s="111"/>
      <c r="I29" s="107" t="str">
        <f t="shared" si="2"/>
        <v/>
      </c>
      <c r="J29" s="112" t="str">
        <f t="shared" si="3"/>
        <v/>
      </c>
      <c r="K29" s="113" t="str">
        <f>IF(B29="","Pending",IF(M29="","⚠️ Enter Code",IF(IFERROR(VLOOKUP(L29,DB_Agents!$B:$I,8,0),"")=M29,"Pending","🔒 BLOCKED — Wrong Code")))</f>
        <v>Pending</v>
      </c>
      <c r="L29" s="23"/>
      <c r="M29" s="84"/>
      <c r="N29" s="87"/>
    </row>
    <row r="30" spans="1:14" x14ac:dyDescent="0.25">
      <c r="A30" s="92" t="str">
        <f t="shared" si="0"/>
        <v/>
      </c>
      <c r="B30" s="88"/>
      <c r="C30" s="25" t="str">
        <f>IF(B30="","",IFERROR(VLOOKUP(B30,DB_Customers!$A:$D,4,0),"❌ Account Not Found"))</f>
        <v/>
      </c>
      <c r="D30" s="90" t="str">
        <f t="shared" ca="1" si="1"/>
        <v/>
      </c>
      <c r="E30" s="104"/>
      <c r="F30" s="25"/>
      <c r="G30" s="105"/>
      <c r="H30" s="106"/>
      <c r="I30" s="107" t="str">
        <f t="shared" si="2"/>
        <v/>
      </c>
      <c r="J30" s="108" t="str">
        <f t="shared" si="3"/>
        <v/>
      </c>
      <c r="K30" s="109" t="str">
        <f>IF(B30="","Pending",IF(M30="","⚠️ Enter Code",IF(IFERROR(VLOOKUP(L30,DB_Agents!$B:$I,8,0),"")=M30,"Pending","🔒 BLOCKED — Wrong Code")))</f>
        <v>Pending</v>
      </c>
      <c r="L30" s="27"/>
      <c r="M30" s="84"/>
      <c r="N30" s="94"/>
    </row>
    <row r="31" spans="1:14" x14ac:dyDescent="0.25">
      <c r="A31" s="85" t="str">
        <f t="shared" si="0"/>
        <v/>
      </c>
      <c r="B31" s="79"/>
      <c r="C31" s="21" t="str">
        <f>IF(B31="","",IFERROR(VLOOKUP(B31,DB_Customers!$A:$D,4,0),"❌ Account Not Found"))</f>
        <v/>
      </c>
      <c r="D31" s="81" t="str">
        <f t="shared" ca="1" si="1"/>
        <v/>
      </c>
      <c r="E31" s="104"/>
      <c r="F31" s="21"/>
      <c r="G31" s="110"/>
      <c r="H31" s="111"/>
      <c r="I31" s="107" t="str">
        <f t="shared" si="2"/>
        <v/>
      </c>
      <c r="J31" s="112" t="str">
        <f t="shared" si="3"/>
        <v/>
      </c>
      <c r="K31" s="113" t="str">
        <f>IF(B31="","Pending",IF(M31="","⚠️ Enter Code",IF(IFERROR(VLOOKUP(L31,DB_Agents!$B:$I,8,0),"")=M31,"Pending","🔒 BLOCKED — Wrong Code")))</f>
        <v>Pending</v>
      </c>
      <c r="L31" s="23"/>
      <c r="M31" s="84"/>
      <c r="N31" s="87"/>
    </row>
    <row r="32" spans="1:14" x14ac:dyDescent="0.25">
      <c r="A32" s="92" t="str">
        <f t="shared" si="0"/>
        <v/>
      </c>
      <c r="B32" s="88"/>
      <c r="C32" s="25" t="str">
        <f>IF(B32="","",IFERROR(VLOOKUP(B32,DB_Customers!$A:$D,4,0),"❌ Account Not Found"))</f>
        <v/>
      </c>
      <c r="D32" s="90" t="str">
        <f t="shared" ca="1" si="1"/>
        <v/>
      </c>
      <c r="E32" s="104"/>
      <c r="F32" s="25"/>
      <c r="G32" s="105"/>
      <c r="H32" s="106"/>
      <c r="I32" s="107" t="str">
        <f t="shared" si="2"/>
        <v/>
      </c>
      <c r="J32" s="108" t="str">
        <f t="shared" si="3"/>
        <v/>
      </c>
      <c r="K32" s="109" t="str">
        <f>IF(B32="","Pending",IF(M32="","⚠️ Enter Code",IF(IFERROR(VLOOKUP(L32,DB_Agents!$B:$I,8,0),"")=M32,"Pending","🔒 BLOCKED — Wrong Code")))</f>
        <v>Pending</v>
      </c>
      <c r="L32" s="27"/>
      <c r="M32" s="84"/>
      <c r="N32" s="94"/>
    </row>
    <row r="33" spans="1:14" x14ac:dyDescent="0.25">
      <c r="A33" s="85" t="str">
        <f t="shared" si="0"/>
        <v/>
      </c>
      <c r="B33" s="79"/>
      <c r="C33" s="21" t="str">
        <f>IF(B33="","",IFERROR(VLOOKUP(B33,DB_Customers!$A:$D,4,0),"❌ Account Not Found"))</f>
        <v/>
      </c>
      <c r="D33" s="81" t="str">
        <f t="shared" ca="1" si="1"/>
        <v/>
      </c>
      <c r="E33" s="104"/>
      <c r="F33" s="21"/>
      <c r="G33" s="110"/>
      <c r="H33" s="111"/>
      <c r="I33" s="107" t="str">
        <f t="shared" si="2"/>
        <v/>
      </c>
      <c r="J33" s="112" t="str">
        <f t="shared" si="3"/>
        <v/>
      </c>
      <c r="K33" s="113" t="str">
        <f>IF(B33="","Pending",IF(M33="","⚠️ Enter Code",IF(IFERROR(VLOOKUP(L33,DB_Agents!$B:$I,8,0),"")=M33,"Pending","🔒 BLOCKED — Wrong Code")))</f>
        <v>Pending</v>
      </c>
      <c r="L33" s="23"/>
      <c r="M33" s="84"/>
      <c r="N33" s="87"/>
    </row>
    <row r="34" spans="1:14" x14ac:dyDescent="0.25">
      <c r="A34" s="92" t="str">
        <f t="shared" si="0"/>
        <v/>
      </c>
      <c r="B34" s="88"/>
      <c r="C34" s="25" t="str">
        <f>IF(B34="","",IFERROR(VLOOKUP(B34,DB_Customers!$A:$D,4,0),"❌ Account Not Found"))</f>
        <v/>
      </c>
      <c r="D34" s="90" t="str">
        <f t="shared" ca="1" si="1"/>
        <v/>
      </c>
      <c r="E34" s="104"/>
      <c r="F34" s="25"/>
      <c r="G34" s="105"/>
      <c r="H34" s="106"/>
      <c r="I34" s="107" t="str">
        <f t="shared" si="2"/>
        <v/>
      </c>
      <c r="J34" s="108" t="str">
        <f t="shared" si="3"/>
        <v/>
      </c>
      <c r="K34" s="109" t="str">
        <f>IF(B34="","Pending",IF(M34="","⚠️ Enter Code",IF(IFERROR(VLOOKUP(L34,DB_Agents!$B:$I,8,0),"")=M34,"Pending","🔒 BLOCKED — Wrong Code")))</f>
        <v>Pending</v>
      </c>
      <c r="L34" s="27"/>
      <c r="M34" s="84"/>
      <c r="N34" s="94"/>
    </row>
    <row r="35" spans="1:14" x14ac:dyDescent="0.25">
      <c r="A35" s="85" t="str">
        <f t="shared" si="0"/>
        <v/>
      </c>
      <c r="B35" s="79"/>
      <c r="C35" s="21" t="str">
        <f>IF(B35="","",IFERROR(VLOOKUP(B35,DB_Customers!$A:$D,4,0),"❌ Account Not Found"))</f>
        <v/>
      </c>
      <c r="D35" s="81" t="str">
        <f t="shared" ca="1" si="1"/>
        <v/>
      </c>
      <c r="E35" s="104"/>
      <c r="F35" s="21"/>
      <c r="G35" s="110"/>
      <c r="H35" s="111"/>
      <c r="I35" s="107" t="str">
        <f t="shared" si="2"/>
        <v/>
      </c>
      <c r="J35" s="112" t="str">
        <f t="shared" si="3"/>
        <v/>
      </c>
      <c r="K35" s="113" t="str">
        <f>IF(B35="","Pending",IF(M35="","⚠️ Enter Code",IF(IFERROR(VLOOKUP(L35,DB_Agents!$B:$I,8,0),"")=M35,"Pending","🔒 BLOCKED — Wrong Code")))</f>
        <v>Pending</v>
      </c>
      <c r="L35" s="23"/>
      <c r="M35" s="84"/>
      <c r="N35" s="87"/>
    </row>
    <row r="36" spans="1:14" x14ac:dyDescent="0.25">
      <c r="A36" s="92" t="str">
        <f t="shared" si="0"/>
        <v/>
      </c>
      <c r="B36" s="88"/>
      <c r="C36" s="25" t="str">
        <f>IF(B36="","",IFERROR(VLOOKUP(B36,DB_Customers!$A:$D,4,0),"❌ Account Not Found"))</f>
        <v/>
      </c>
      <c r="D36" s="90" t="str">
        <f t="shared" ca="1" si="1"/>
        <v/>
      </c>
      <c r="E36" s="104"/>
      <c r="F36" s="25"/>
      <c r="G36" s="105"/>
      <c r="H36" s="106"/>
      <c r="I36" s="107" t="str">
        <f t="shared" si="2"/>
        <v/>
      </c>
      <c r="J36" s="108" t="str">
        <f t="shared" si="3"/>
        <v/>
      </c>
      <c r="K36" s="109" t="str">
        <f>IF(B36="","Pending",IF(M36="","⚠️ Enter Code",IF(IFERROR(VLOOKUP(L36,DB_Agents!$B:$I,8,0),"")=M36,"Pending","🔒 BLOCKED — Wrong Code")))</f>
        <v>Pending</v>
      </c>
      <c r="L36" s="27"/>
      <c r="M36" s="84"/>
      <c r="N36" s="94"/>
    </row>
    <row r="37" spans="1:14" x14ac:dyDescent="0.25">
      <c r="A37" s="85" t="str">
        <f t="shared" si="0"/>
        <v/>
      </c>
      <c r="B37" s="79"/>
      <c r="C37" s="21" t="str">
        <f>IF(B37="","",IFERROR(VLOOKUP(B37,DB_Customers!$A:$D,4,0),"❌ Account Not Found"))</f>
        <v/>
      </c>
      <c r="D37" s="81" t="str">
        <f t="shared" ca="1" si="1"/>
        <v/>
      </c>
      <c r="E37" s="104"/>
      <c r="F37" s="21"/>
      <c r="G37" s="110"/>
      <c r="H37" s="111"/>
      <c r="I37" s="107" t="str">
        <f t="shared" si="2"/>
        <v/>
      </c>
      <c r="J37" s="112" t="str">
        <f t="shared" si="3"/>
        <v/>
      </c>
      <c r="K37" s="113" t="str">
        <f>IF(B37="","Pending",IF(M37="","⚠️ Enter Code",IF(IFERROR(VLOOKUP(L37,DB_Agents!$B:$I,8,0),"")=M37,"Pending","🔒 BLOCKED — Wrong Code")))</f>
        <v>Pending</v>
      </c>
      <c r="L37" s="23"/>
      <c r="M37" s="84"/>
      <c r="N37" s="87"/>
    </row>
    <row r="38" spans="1:14" x14ac:dyDescent="0.25">
      <c r="A38" s="92" t="str">
        <f t="shared" si="0"/>
        <v/>
      </c>
      <c r="B38" s="88"/>
      <c r="C38" s="25" t="str">
        <f>IF(B38="","",IFERROR(VLOOKUP(B38,DB_Customers!$A:$D,4,0),"❌ Account Not Found"))</f>
        <v/>
      </c>
      <c r="D38" s="90" t="str">
        <f t="shared" ca="1" si="1"/>
        <v/>
      </c>
      <c r="E38" s="104"/>
      <c r="F38" s="25"/>
      <c r="G38" s="105"/>
      <c r="H38" s="106"/>
      <c r="I38" s="107" t="str">
        <f t="shared" si="2"/>
        <v/>
      </c>
      <c r="J38" s="108" t="str">
        <f t="shared" si="3"/>
        <v/>
      </c>
      <c r="K38" s="109" t="str">
        <f>IF(B38="","Pending",IF(M38="","⚠️ Enter Code",IF(IFERROR(VLOOKUP(L38,DB_Agents!$B:$I,8,0),"")=M38,"Pending","🔒 BLOCKED — Wrong Code")))</f>
        <v>Pending</v>
      </c>
      <c r="L38" s="27"/>
      <c r="M38" s="84"/>
      <c r="N38" s="94"/>
    </row>
    <row r="39" spans="1:14" x14ac:dyDescent="0.25">
      <c r="A39" s="85" t="str">
        <f t="shared" si="0"/>
        <v/>
      </c>
      <c r="B39" s="79"/>
      <c r="C39" s="21" t="str">
        <f>IF(B39="","",IFERROR(VLOOKUP(B39,DB_Customers!$A:$D,4,0),"❌ Account Not Found"))</f>
        <v/>
      </c>
      <c r="D39" s="81" t="str">
        <f t="shared" ca="1" si="1"/>
        <v/>
      </c>
      <c r="E39" s="104"/>
      <c r="F39" s="21"/>
      <c r="G39" s="110"/>
      <c r="H39" s="111"/>
      <c r="I39" s="107" t="str">
        <f t="shared" si="2"/>
        <v/>
      </c>
      <c r="J39" s="112" t="str">
        <f t="shared" si="3"/>
        <v/>
      </c>
      <c r="K39" s="113" t="str">
        <f>IF(B39="","Pending",IF(M39="","⚠️ Enter Code",IF(IFERROR(VLOOKUP(L39,DB_Agents!$B:$I,8,0),"")=M39,"Pending","🔒 BLOCKED — Wrong Code")))</f>
        <v>Pending</v>
      </c>
      <c r="L39" s="23"/>
      <c r="M39" s="84"/>
      <c r="N39" s="87"/>
    </row>
    <row r="40" spans="1:14" x14ac:dyDescent="0.25">
      <c r="A40" s="92" t="str">
        <f t="shared" si="0"/>
        <v/>
      </c>
      <c r="B40" s="88"/>
      <c r="C40" s="25" t="str">
        <f>IF(B40="","",IFERROR(VLOOKUP(B40,DB_Customers!$A:$D,4,0),"❌ Account Not Found"))</f>
        <v/>
      </c>
      <c r="D40" s="90" t="str">
        <f t="shared" ca="1" si="1"/>
        <v/>
      </c>
      <c r="E40" s="104"/>
      <c r="F40" s="25"/>
      <c r="G40" s="105"/>
      <c r="H40" s="106"/>
      <c r="I40" s="107" t="str">
        <f t="shared" si="2"/>
        <v/>
      </c>
      <c r="J40" s="108" t="str">
        <f t="shared" si="3"/>
        <v/>
      </c>
      <c r="K40" s="109" t="str">
        <f>IF(B40="","Pending",IF(M40="","⚠️ Enter Code",IF(IFERROR(VLOOKUP(L40,DB_Agents!$B:$I,8,0),"")=M40,"Pending","🔒 BLOCKED — Wrong Code")))</f>
        <v>Pending</v>
      </c>
      <c r="L40" s="27"/>
      <c r="M40" s="84"/>
      <c r="N40" s="94"/>
    </row>
    <row r="41" spans="1:14" x14ac:dyDescent="0.25">
      <c r="A41" s="85" t="str">
        <f t="shared" si="0"/>
        <v/>
      </c>
      <c r="B41" s="79"/>
      <c r="C41" s="21" t="str">
        <f>IF(B41="","",IFERROR(VLOOKUP(B41,DB_Customers!$A:$D,4,0),"❌ Account Not Found"))</f>
        <v/>
      </c>
      <c r="D41" s="81" t="str">
        <f t="shared" ca="1" si="1"/>
        <v/>
      </c>
      <c r="E41" s="104"/>
      <c r="F41" s="21"/>
      <c r="G41" s="110"/>
      <c r="H41" s="111"/>
      <c r="I41" s="107" t="str">
        <f t="shared" si="2"/>
        <v/>
      </c>
      <c r="J41" s="112" t="str">
        <f t="shared" si="3"/>
        <v/>
      </c>
      <c r="K41" s="113" t="str">
        <f>IF(B41="","Pending",IF(M41="","⚠️ Enter Code",IF(IFERROR(VLOOKUP(L41,DB_Agents!$B:$I,8,0),"")=M41,"Pending","🔒 BLOCKED — Wrong Code")))</f>
        <v>Pending</v>
      </c>
      <c r="L41" s="23"/>
      <c r="M41" s="84"/>
      <c r="N41" s="87"/>
    </row>
    <row r="42" spans="1:14" x14ac:dyDescent="0.25">
      <c r="A42" s="92" t="str">
        <f t="shared" si="0"/>
        <v/>
      </c>
      <c r="B42" s="88"/>
      <c r="C42" s="25" t="str">
        <f>IF(B42="","",IFERROR(VLOOKUP(B42,DB_Customers!$A:$D,4,0),"❌ Account Not Found"))</f>
        <v/>
      </c>
      <c r="D42" s="90" t="str">
        <f t="shared" ca="1" si="1"/>
        <v/>
      </c>
      <c r="E42" s="104"/>
      <c r="F42" s="25"/>
      <c r="G42" s="105"/>
      <c r="H42" s="106"/>
      <c r="I42" s="107" t="str">
        <f t="shared" si="2"/>
        <v/>
      </c>
      <c r="J42" s="108" t="str">
        <f t="shared" si="3"/>
        <v/>
      </c>
      <c r="K42" s="109" t="str">
        <f>IF(B42="","Pending",IF(M42="","⚠️ Enter Code",IF(IFERROR(VLOOKUP(L42,DB_Agents!$B:$I,8,0),"")=M42,"Pending","🔒 BLOCKED — Wrong Code")))</f>
        <v>Pending</v>
      </c>
      <c r="L42" s="27"/>
      <c r="M42" s="84"/>
      <c r="N42" s="94"/>
    </row>
    <row r="43" spans="1:14" x14ac:dyDescent="0.25">
      <c r="A43" s="85" t="str">
        <f t="shared" si="0"/>
        <v/>
      </c>
      <c r="B43" s="79"/>
      <c r="C43" s="21" t="str">
        <f>IF(B43="","",IFERROR(VLOOKUP(B43,DB_Customers!$A:$D,4,0),"❌ Account Not Found"))</f>
        <v/>
      </c>
      <c r="D43" s="81" t="str">
        <f t="shared" ca="1" si="1"/>
        <v/>
      </c>
      <c r="E43" s="104"/>
      <c r="F43" s="21"/>
      <c r="G43" s="110"/>
      <c r="H43" s="111"/>
      <c r="I43" s="107" t="str">
        <f t="shared" si="2"/>
        <v/>
      </c>
      <c r="J43" s="112" t="str">
        <f t="shared" si="3"/>
        <v/>
      </c>
      <c r="K43" s="113" t="str">
        <f>IF(B43="","Pending",IF(M43="","⚠️ Enter Code",IF(IFERROR(VLOOKUP(L43,DB_Agents!$B:$I,8,0),"")=M43,"Pending","🔒 BLOCKED — Wrong Code")))</f>
        <v>Pending</v>
      </c>
      <c r="L43" s="23"/>
      <c r="M43" s="84"/>
      <c r="N43" s="87"/>
    </row>
    <row r="44" spans="1:14" x14ac:dyDescent="0.25">
      <c r="A44" s="92" t="str">
        <f t="shared" si="0"/>
        <v/>
      </c>
      <c r="B44" s="88"/>
      <c r="C44" s="25" t="str">
        <f>IF(B44="","",IFERROR(VLOOKUP(B44,DB_Customers!$A:$D,4,0),"❌ Account Not Found"))</f>
        <v/>
      </c>
      <c r="D44" s="90" t="str">
        <f t="shared" ca="1" si="1"/>
        <v/>
      </c>
      <c r="E44" s="104"/>
      <c r="F44" s="25"/>
      <c r="G44" s="105"/>
      <c r="H44" s="106"/>
      <c r="I44" s="107" t="str">
        <f t="shared" si="2"/>
        <v/>
      </c>
      <c r="J44" s="108" t="str">
        <f t="shared" si="3"/>
        <v/>
      </c>
      <c r="K44" s="109" t="str">
        <f>IF(B44="","Pending",IF(M44="","⚠️ Enter Code",IF(IFERROR(VLOOKUP(L44,DB_Agents!$B:$I,8,0),"")=M44,"Pending","🔒 BLOCKED — Wrong Code")))</f>
        <v>Pending</v>
      </c>
      <c r="L44" s="27"/>
      <c r="M44" s="84"/>
      <c r="N44" s="94"/>
    </row>
    <row r="45" spans="1:14" x14ac:dyDescent="0.25">
      <c r="A45" s="85" t="str">
        <f t="shared" si="0"/>
        <v/>
      </c>
      <c r="B45" s="79"/>
      <c r="C45" s="21" t="str">
        <f>IF(B45="","",IFERROR(VLOOKUP(B45,DB_Customers!$A:$D,4,0),"❌ Account Not Found"))</f>
        <v/>
      </c>
      <c r="D45" s="81" t="str">
        <f t="shared" ca="1" si="1"/>
        <v/>
      </c>
      <c r="E45" s="104"/>
      <c r="F45" s="21"/>
      <c r="G45" s="110"/>
      <c r="H45" s="111"/>
      <c r="I45" s="107" t="str">
        <f t="shared" si="2"/>
        <v/>
      </c>
      <c r="J45" s="112" t="str">
        <f t="shared" si="3"/>
        <v/>
      </c>
      <c r="K45" s="113" t="str">
        <f>IF(B45="","Pending",IF(M45="","⚠️ Enter Code",IF(IFERROR(VLOOKUP(L45,DB_Agents!$B:$I,8,0),"")=M45,"Pending","🔒 BLOCKED — Wrong Code")))</f>
        <v>Pending</v>
      </c>
      <c r="L45" s="23"/>
      <c r="M45" s="84"/>
      <c r="N45" s="87"/>
    </row>
    <row r="46" spans="1:14" x14ac:dyDescent="0.25">
      <c r="A46" s="92" t="str">
        <f t="shared" ref="A46:A77" si="4">IF(B46="","",IF(C46="❌ Account Not Found","INVALID","LN"&amp;TEXT(D46,"YYYYMMDD")&amp;TEXT(ROW()-13,"0000")))</f>
        <v/>
      </c>
      <c r="B46" s="88"/>
      <c r="C46" s="25" t="str">
        <f>IF(B46="","",IFERROR(VLOOKUP(B46,DB_Customers!$A:$D,4,0),"❌ Account Not Found"))</f>
        <v/>
      </c>
      <c r="D46" s="90" t="str">
        <f t="shared" ref="D46:D77" ca="1" si="5">IF(B46="","",TODAY())</f>
        <v/>
      </c>
      <c r="E46" s="104"/>
      <c r="F46" s="25"/>
      <c r="G46" s="105"/>
      <c r="H46" s="106"/>
      <c r="I46" s="107" t="str">
        <f t="shared" ref="I46:I77" si="6">IF(E46="","",E46+(E46*H46/100*G46))</f>
        <v/>
      </c>
      <c r="J46" s="108" t="str">
        <f t="shared" ref="J46:J77" si="7">IFERROR(I46/G46,"")</f>
        <v/>
      </c>
      <c r="K46" s="109" t="str">
        <f>IF(B46="","Pending",IF(M46="","⚠️ Enter Code",IF(IFERROR(VLOOKUP(L46,DB_Agents!$B:$I,8,0),"")=M46,"Pending","🔒 BLOCKED — Wrong Code")))</f>
        <v>Pending</v>
      </c>
      <c r="L46" s="27"/>
      <c r="M46" s="84"/>
      <c r="N46" s="94"/>
    </row>
    <row r="47" spans="1:14" x14ac:dyDescent="0.25">
      <c r="A47" s="85" t="str">
        <f t="shared" si="4"/>
        <v/>
      </c>
      <c r="B47" s="79"/>
      <c r="C47" s="21" t="str">
        <f>IF(B47="","",IFERROR(VLOOKUP(B47,DB_Customers!$A:$D,4,0),"❌ Account Not Found"))</f>
        <v/>
      </c>
      <c r="D47" s="81" t="str">
        <f t="shared" ca="1" si="5"/>
        <v/>
      </c>
      <c r="E47" s="104"/>
      <c r="F47" s="21"/>
      <c r="G47" s="110"/>
      <c r="H47" s="111"/>
      <c r="I47" s="107" t="str">
        <f t="shared" si="6"/>
        <v/>
      </c>
      <c r="J47" s="112" t="str">
        <f t="shared" si="7"/>
        <v/>
      </c>
      <c r="K47" s="113" t="str">
        <f>IF(B47="","Pending",IF(M47="","⚠️ Enter Code",IF(IFERROR(VLOOKUP(L47,DB_Agents!$B:$I,8,0),"")=M47,"Pending","🔒 BLOCKED — Wrong Code")))</f>
        <v>Pending</v>
      </c>
      <c r="L47" s="23"/>
      <c r="M47" s="84"/>
      <c r="N47" s="87"/>
    </row>
    <row r="48" spans="1:14" x14ac:dyDescent="0.25">
      <c r="A48" s="92" t="str">
        <f t="shared" si="4"/>
        <v/>
      </c>
      <c r="B48" s="88"/>
      <c r="C48" s="25" t="str">
        <f>IF(B48="","",IFERROR(VLOOKUP(B48,DB_Customers!$A:$D,4,0),"❌ Account Not Found"))</f>
        <v/>
      </c>
      <c r="D48" s="90" t="str">
        <f t="shared" ca="1" si="5"/>
        <v/>
      </c>
      <c r="E48" s="104"/>
      <c r="F48" s="25"/>
      <c r="G48" s="105"/>
      <c r="H48" s="106"/>
      <c r="I48" s="107" t="str">
        <f t="shared" si="6"/>
        <v/>
      </c>
      <c r="J48" s="108" t="str">
        <f t="shared" si="7"/>
        <v/>
      </c>
      <c r="K48" s="109" t="str">
        <f>IF(B48="","Pending",IF(M48="","⚠️ Enter Code",IF(IFERROR(VLOOKUP(L48,DB_Agents!$B:$I,8,0),"")=M48,"Pending","🔒 BLOCKED — Wrong Code")))</f>
        <v>Pending</v>
      </c>
      <c r="L48" s="27"/>
      <c r="M48" s="84"/>
      <c r="N48" s="94"/>
    </row>
    <row r="49" spans="1:14" x14ac:dyDescent="0.25">
      <c r="A49" s="85" t="str">
        <f t="shared" si="4"/>
        <v/>
      </c>
      <c r="B49" s="79"/>
      <c r="C49" s="21" t="str">
        <f>IF(B49="","",IFERROR(VLOOKUP(B49,DB_Customers!$A:$D,4,0),"❌ Account Not Found"))</f>
        <v/>
      </c>
      <c r="D49" s="81" t="str">
        <f t="shared" ca="1" si="5"/>
        <v/>
      </c>
      <c r="E49" s="104"/>
      <c r="F49" s="21"/>
      <c r="G49" s="110"/>
      <c r="H49" s="111"/>
      <c r="I49" s="107" t="str">
        <f t="shared" si="6"/>
        <v/>
      </c>
      <c r="J49" s="112" t="str">
        <f t="shared" si="7"/>
        <v/>
      </c>
      <c r="K49" s="113" t="str">
        <f>IF(B49="","Pending",IF(M49="","⚠️ Enter Code",IF(IFERROR(VLOOKUP(L49,DB_Agents!$B:$I,8,0),"")=M49,"Pending","🔒 BLOCKED — Wrong Code")))</f>
        <v>Pending</v>
      </c>
      <c r="L49" s="23"/>
      <c r="M49" s="84"/>
      <c r="N49" s="87"/>
    </row>
    <row r="50" spans="1:14" x14ac:dyDescent="0.25">
      <c r="A50" s="92" t="str">
        <f t="shared" si="4"/>
        <v/>
      </c>
      <c r="B50" s="88"/>
      <c r="C50" s="25" t="str">
        <f>IF(B50="","",IFERROR(VLOOKUP(B50,DB_Customers!$A:$D,4,0),"❌ Account Not Found"))</f>
        <v/>
      </c>
      <c r="D50" s="90" t="str">
        <f t="shared" ca="1" si="5"/>
        <v/>
      </c>
      <c r="E50" s="104"/>
      <c r="F50" s="25"/>
      <c r="G50" s="105"/>
      <c r="H50" s="106"/>
      <c r="I50" s="107" t="str">
        <f t="shared" si="6"/>
        <v/>
      </c>
      <c r="J50" s="108" t="str">
        <f t="shared" si="7"/>
        <v/>
      </c>
      <c r="K50" s="109" t="str">
        <f>IF(B50="","Pending",IF(M50="","⚠️ Enter Code",IF(IFERROR(VLOOKUP(L50,DB_Agents!$B:$I,8,0),"")=M50,"Pending","🔒 BLOCKED — Wrong Code")))</f>
        <v>Pending</v>
      </c>
      <c r="L50" s="27"/>
      <c r="M50" s="84"/>
      <c r="N50" s="94"/>
    </row>
    <row r="51" spans="1:14" x14ac:dyDescent="0.25">
      <c r="A51" s="85" t="str">
        <f t="shared" si="4"/>
        <v/>
      </c>
      <c r="B51" s="79"/>
      <c r="C51" s="21" t="str">
        <f>IF(B51="","",IFERROR(VLOOKUP(B51,DB_Customers!$A:$D,4,0),"❌ Account Not Found"))</f>
        <v/>
      </c>
      <c r="D51" s="81" t="str">
        <f t="shared" ca="1" si="5"/>
        <v/>
      </c>
      <c r="E51" s="104"/>
      <c r="F51" s="21"/>
      <c r="G51" s="110"/>
      <c r="H51" s="111"/>
      <c r="I51" s="107" t="str">
        <f t="shared" si="6"/>
        <v/>
      </c>
      <c r="J51" s="112" t="str">
        <f t="shared" si="7"/>
        <v/>
      </c>
      <c r="K51" s="113" t="str">
        <f>IF(B51="","Pending",IF(M51="","⚠️ Enter Code",IF(IFERROR(VLOOKUP(L51,DB_Agents!$B:$I,8,0),"")=M51,"Pending","🔒 BLOCKED — Wrong Code")))</f>
        <v>Pending</v>
      </c>
      <c r="L51" s="23"/>
      <c r="M51" s="84"/>
      <c r="N51" s="87"/>
    </row>
    <row r="52" spans="1:14" x14ac:dyDescent="0.25">
      <c r="A52" s="92" t="str">
        <f t="shared" si="4"/>
        <v/>
      </c>
      <c r="B52" s="88"/>
      <c r="C52" s="25" t="str">
        <f>IF(B52="","",IFERROR(VLOOKUP(B52,DB_Customers!$A:$D,4,0),"❌ Account Not Found"))</f>
        <v/>
      </c>
      <c r="D52" s="90" t="str">
        <f t="shared" ca="1" si="5"/>
        <v/>
      </c>
      <c r="E52" s="104"/>
      <c r="F52" s="25"/>
      <c r="G52" s="105"/>
      <c r="H52" s="106"/>
      <c r="I52" s="107" t="str">
        <f t="shared" si="6"/>
        <v/>
      </c>
      <c r="J52" s="108" t="str">
        <f t="shared" si="7"/>
        <v/>
      </c>
      <c r="K52" s="109" t="str">
        <f>IF(B52="","Pending",IF(M52="","⚠️ Enter Code",IF(IFERROR(VLOOKUP(L52,DB_Agents!$B:$I,8,0),"")=M52,"Pending","🔒 BLOCKED — Wrong Code")))</f>
        <v>Pending</v>
      </c>
      <c r="L52" s="27"/>
      <c r="M52" s="84"/>
      <c r="N52" s="94"/>
    </row>
    <row r="53" spans="1:14" x14ac:dyDescent="0.25">
      <c r="A53" s="85" t="str">
        <f t="shared" si="4"/>
        <v/>
      </c>
      <c r="B53" s="79"/>
      <c r="C53" s="21" t="str">
        <f>IF(B53="","",IFERROR(VLOOKUP(B53,DB_Customers!$A:$D,4,0),"❌ Account Not Found"))</f>
        <v/>
      </c>
      <c r="D53" s="81" t="str">
        <f t="shared" ca="1" si="5"/>
        <v/>
      </c>
      <c r="E53" s="104"/>
      <c r="F53" s="21"/>
      <c r="G53" s="110"/>
      <c r="H53" s="111"/>
      <c r="I53" s="107" t="str">
        <f t="shared" si="6"/>
        <v/>
      </c>
      <c r="J53" s="112" t="str">
        <f t="shared" si="7"/>
        <v/>
      </c>
      <c r="K53" s="113" t="str">
        <f>IF(B53="","Pending",IF(M53="","⚠️ Enter Code",IF(IFERROR(VLOOKUP(L53,DB_Agents!$B:$I,8,0),"")=M53,"Pending","🔒 BLOCKED — Wrong Code")))</f>
        <v>Pending</v>
      </c>
      <c r="L53" s="23"/>
      <c r="M53" s="84"/>
      <c r="N53" s="87"/>
    </row>
    <row r="54" spans="1:14" x14ac:dyDescent="0.25">
      <c r="A54" s="92" t="str">
        <f t="shared" si="4"/>
        <v/>
      </c>
      <c r="B54" s="88"/>
      <c r="C54" s="25" t="str">
        <f>IF(B54="","",IFERROR(VLOOKUP(B54,DB_Customers!$A:$D,4,0),"❌ Account Not Found"))</f>
        <v/>
      </c>
      <c r="D54" s="90" t="str">
        <f t="shared" ca="1" si="5"/>
        <v/>
      </c>
      <c r="E54" s="104"/>
      <c r="F54" s="25"/>
      <c r="G54" s="105"/>
      <c r="H54" s="106"/>
      <c r="I54" s="107" t="str">
        <f t="shared" si="6"/>
        <v/>
      </c>
      <c r="J54" s="108" t="str">
        <f t="shared" si="7"/>
        <v/>
      </c>
      <c r="K54" s="109" t="str">
        <f>IF(B54="","Pending",IF(M54="","⚠️ Enter Code",IF(IFERROR(VLOOKUP(L54,DB_Agents!$B:$I,8,0),"")=M54,"Pending","🔒 BLOCKED — Wrong Code")))</f>
        <v>Pending</v>
      </c>
      <c r="L54" s="27"/>
      <c r="M54" s="84"/>
      <c r="N54" s="94"/>
    </row>
    <row r="55" spans="1:14" x14ac:dyDescent="0.25">
      <c r="A55" s="85" t="str">
        <f t="shared" si="4"/>
        <v/>
      </c>
      <c r="B55" s="79"/>
      <c r="C55" s="21" t="str">
        <f>IF(B55="","",IFERROR(VLOOKUP(B55,DB_Customers!$A:$D,4,0),"❌ Account Not Found"))</f>
        <v/>
      </c>
      <c r="D55" s="81" t="str">
        <f t="shared" ca="1" si="5"/>
        <v/>
      </c>
      <c r="E55" s="104"/>
      <c r="F55" s="21"/>
      <c r="G55" s="110"/>
      <c r="H55" s="111"/>
      <c r="I55" s="107" t="str">
        <f t="shared" si="6"/>
        <v/>
      </c>
      <c r="J55" s="112" t="str">
        <f t="shared" si="7"/>
        <v/>
      </c>
      <c r="K55" s="113" t="str">
        <f>IF(B55="","Pending",IF(M55="","⚠️ Enter Code",IF(IFERROR(VLOOKUP(L55,DB_Agents!$B:$I,8,0),"")=M55,"Pending","🔒 BLOCKED — Wrong Code")))</f>
        <v>Pending</v>
      </c>
      <c r="L55" s="23"/>
      <c r="M55" s="84"/>
      <c r="N55" s="87"/>
    </row>
    <row r="56" spans="1:14" x14ac:dyDescent="0.25">
      <c r="A56" s="92" t="str">
        <f t="shared" si="4"/>
        <v/>
      </c>
      <c r="B56" s="88"/>
      <c r="C56" s="25" t="str">
        <f>IF(B56="","",IFERROR(VLOOKUP(B56,DB_Customers!$A:$D,4,0),"❌ Account Not Found"))</f>
        <v/>
      </c>
      <c r="D56" s="90" t="str">
        <f t="shared" ca="1" si="5"/>
        <v/>
      </c>
      <c r="E56" s="104"/>
      <c r="F56" s="25"/>
      <c r="G56" s="105"/>
      <c r="H56" s="106"/>
      <c r="I56" s="107" t="str">
        <f t="shared" si="6"/>
        <v/>
      </c>
      <c r="J56" s="108" t="str">
        <f t="shared" si="7"/>
        <v/>
      </c>
      <c r="K56" s="109" t="str">
        <f>IF(B56="","Pending",IF(M56="","⚠️ Enter Code",IF(IFERROR(VLOOKUP(L56,DB_Agents!$B:$I,8,0),"")=M56,"Pending","🔒 BLOCKED — Wrong Code")))</f>
        <v>Pending</v>
      </c>
      <c r="L56" s="27"/>
      <c r="M56" s="84"/>
      <c r="N56" s="94"/>
    </row>
    <row r="57" spans="1:14" x14ac:dyDescent="0.25">
      <c r="A57" s="85" t="str">
        <f t="shared" si="4"/>
        <v/>
      </c>
      <c r="B57" s="79"/>
      <c r="C57" s="21" t="str">
        <f>IF(B57="","",IFERROR(VLOOKUP(B57,DB_Customers!$A:$D,4,0),"❌ Account Not Found"))</f>
        <v/>
      </c>
      <c r="D57" s="81" t="str">
        <f t="shared" ca="1" si="5"/>
        <v/>
      </c>
      <c r="E57" s="104"/>
      <c r="F57" s="21"/>
      <c r="G57" s="110"/>
      <c r="H57" s="111"/>
      <c r="I57" s="107" t="str">
        <f t="shared" si="6"/>
        <v/>
      </c>
      <c r="J57" s="112" t="str">
        <f t="shared" si="7"/>
        <v/>
      </c>
      <c r="K57" s="113" t="str">
        <f>IF(B57="","Pending",IF(M57="","⚠️ Enter Code",IF(IFERROR(VLOOKUP(L57,DB_Agents!$B:$I,8,0),"")=M57,"Pending","🔒 BLOCKED — Wrong Code")))</f>
        <v>Pending</v>
      </c>
      <c r="L57" s="23"/>
      <c r="M57" s="84"/>
      <c r="N57" s="87"/>
    </row>
    <row r="58" spans="1:14" x14ac:dyDescent="0.25">
      <c r="A58" s="92" t="str">
        <f t="shared" si="4"/>
        <v/>
      </c>
      <c r="B58" s="88"/>
      <c r="C58" s="25" t="str">
        <f>IF(B58="","",IFERROR(VLOOKUP(B58,DB_Customers!$A:$D,4,0),"❌ Account Not Found"))</f>
        <v/>
      </c>
      <c r="D58" s="90" t="str">
        <f t="shared" ca="1" si="5"/>
        <v/>
      </c>
      <c r="E58" s="104"/>
      <c r="F58" s="25"/>
      <c r="G58" s="105"/>
      <c r="H58" s="106"/>
      <c r="I58" s="107" t="str">
        <f t="shared" si="6"/>
        <v/>
      </c>
      <c r="J58" s="108" t="str">
        <f t="shared" si="7"/>
        <v/>
      </c>
      <c r="K58" s="109" t="str">
        <f>IF(B58="","Pending",IF(M58="","⚠️ Enter Code",IF(IFERROR(VLOOKUP(L58,DB_Agents!$B:$I,8,0),"")=M58,"Pending","🔒 BLOCKED — Wrong Code")))</f>
        <v>Pending</v>
      </c>
      <c r="L58" s="27"/>
      <c r="M58" s="84"/>
      <c r="N58" s="94"/>
    </row>
    <row r="59" spans="1:14" x14ac:dyDescent="0.25">
      <c r="A59" s="85" t="str">
        <f t="shared" si="4"/>
        <v/>
      </c>
      <c r="B59" s="79"/>
      <c r="C59" s="21" t="str">
        <f>IF(B59="","",IFERROR(VLOOKUP(B59,DB_Customers!$A:$D,4,0),"❌ Account Not Found"))</f>
        <v/>
      </c>
      <c r="D59" s="81" t="str">
        <f t="shared" ca="1" si="5"/>
        <v/>
      </c>
      <c r="E59" s="104"/>
      <c r="F59" s="21"/>
      <c r="G59" s="110"/>
      <c r="H59" s="111"/>
      <c r="I59" s="107" t="str">
        <f t="shared" si="6"/>
        <v/>
      </c>
      <c r="J59" s="112" t="str">
        <f t="shared" si="7"/>
        <v/>
      </c>
      <c r="K59" s="113" t="str">
        <f>IF(B59="","Pending",IF(M59="","⚠️ Enter Code",IF(IFERROR(VLOOKUP(L59,DB_Agents!$B:$I,8,0),"")=M59,"Pending","🔒 BLOCKED — Wrong Code")))</f>
        <v>Pending</v>
      </c>
      <c r="L59" s="23"/>
      <c r="M59" s="84"/>
      <c r="N59" s="87"/>
    </row>
    <row r="60" spans="1:14" x14ac:dyDescent="0.25">
      <c r="A60" s="92" t="str">
        <f t="shared" si="4"/>
        <v/>
      </c>
      <c r="B60" s="88"/>
      <c r="C60" s="25" t="str">
        <f>IF(B60="","",IFERROR(VLOOKUP(B60,DB_Customers!$A:$D,4,0),"❌ Account Not Found"))</f>
        <v/>
      </c>
      <c r="D60" s="90" t="str">
        <f t="shared" ca="1" si="5"/>
        <v/>
      </c>
      <c r="E60" s="104"/>
      <c r="F60" s="25"/>
      <c r="G60" s="105"/>
      <c r="H60" s="106"/>
      <c r="I60" s="107" t="str">
        <f t="shared" si="6"/>
        <v/>
      </c>
      <c r="J60" s="108" t="str">
        <f t="shared" si="7"/>
        <v/>
      </c>
      <c r="K60" s="109" t="str">
        <f>IF(B60="","Pending",IF(M60="","⚠️ Enter Code",IF(IFERROR(VLOOKUP(L60,DB_Agents!$B:$I,8,0),"")=M60,"Pending","🔒 BLOCKED — Wrong Code")))</f>
        <v>Pending</v>
      </c>
      <c r="L60" s="27"/>
      <c r="M60" s="84"/>
      <c r="N60" s="94"/>
    </row>
    <row r="61" spans="1:14" x14ac:dyDescent="0.25">
      <c r="A61" s="85" t="str">
        <f t="shared" si="4"/>
        <v/>
      </c>
      <c r="B61" s="79"/>
      <c r="C61" s="21" t="str">
        <f>IF(B61="","",IFERROR(VLOOKUP(B61,DB_Customers!$A:$D,4,0),"❌ Account Not Found"))</f>
        <v/>
      </c>
      <c r="D61" s="81" t="str">
        <f t="shared" ca="1" si="5"/>
        <v/>
      </c>
      <c r="E61" s="104"/>
      <c r="F61" s="21"/>
      <c r="G61" s="110"/>
      <c r="H61" s="111"/>
      <c r="I61" s="107" t="str">
        <f t="shared" si="6"/>
        <v/>
      </c>
      <c r="J61" s="112" t="str">
        <f t="shared" si="7"/>
        <v/>
      </c>
      <c r="K61" s="113" t="str">
        <f>IF(B61="","Pending",IF(M61="","⚠️ Enter Code",IF(IFERROR(VLOOKUP(L61,DB_Agents!$B:$I,8,0),"")=M61,"Pending","🔒 BLOCKED — Wrong Code")))</f>
        <v>Pending</v>
      </c>
      <c r="L61" s="23"/>
      <c r="M61" s="84"/>
      <c r="N61" s="87"/>
    </row>
    <row r="62" spans="1:14" x14ac:dyDescent="0.25">
      <c r="A62" s="92" t="str">
        <f t="shared" si="4"/>
        <v/>
      </c>
      <c r="B62" s="88"/>
      <c r="C62" s="25" t="str">
        <f>IF(B62="","",IFERROR(VLOOKUP(B62,DB_Customers!$A:$D,4,0),"❌ Account Not Found"))</f>
        <v/>
      </c>
      <c r="D62" s="90" t="str">
        <f t="shared" ca="1" si="5"/>
        <v/>
      </c>
      <c r="E62" s="104"/>
      <c r="F62" s="25"/>
      <c r="G62" s="105"/>
      <c r="H62" s="106"/>
      <c r="I62" s="107" t="str">
        <f t="shared" si="6"/>
        <v/>
      </c>
      <c r="J62" s="108" t="str">
        <f t="shared" si="7"/>
        <v/>
      </c>
      <c r="K62" s="109" t="str">
        <f>IF(B62="","Pending",IF(M62="","⚠️ Enter Code",IF(IFERROR(VLOOKUP(L62,DB_Agents!$B:$I,8,0),"")=M62,"Pending","🔒 BLOCKED — Wrong Code")))</f>
        <v>Pending</v>
      </c>
      <c r="L62" s="27"/>
      <c r="M62" s="84"/>
      <c r="N62" s="94"/>
    </row>
    <row r="63" spans="1:14" x14ac:dyDescent="0.25">
      <c r="A63" s="85" t="str">
        <f t="shared" si="4"/>
        <v/>
      </c>
      <c r="B63" s="79"/>
      <c r="C63" s="21" t="str">
        <f>IF(B63="","",IFERROR(VLOOKUP(B63,DB_Customers!$A:$D,4,0),"❌ Account Not Found"))</f>
        <v/>
      </c>
      <c r="D63" s="81" t="str">
        <f t="shared" ca="1" si="5"/>
        <v/>
      </c>
      <c r="E63" s="104"/>
      <c r="F63" s="21"/>
      <c r="G63" s="110"/>
      <c r="H63" s="111"/>
      <c r="I63" s="107" t="str">
        <f t="shared" si="6"/>
        <v/>
      </c>
      <c r="J63" s="112" t="str">
        <f t="shared" si="7"/>
        <v/>
      </c>
      <c r="K63" s="113" t="str">
        <f>IF(B63="","Pending",IF(M63="","⚠️ Enter Code",IF(IFERROR(VLOOKUP(L63,DB_Agents!$B:$I,8,0),"")=M63,"Pending","🔒 BLOCKED — Wrong Code")))</f>
        <v>Pending</v>
      </c>
      <c r="L63" s="23"/>
      <c r="M63" s="84"/>
      <c r="N63" s="87"/>
    </row>
    <row r="64" spans="1:14" x14ac:dyDescent="0.25">
      <c r="A64" s="92" t="str">
        <f t="shared" si="4"/>
        <v/>
      </c>
      <c r="B64" s="88"/>
      <c r="C64" s="25" t="str">
        <f>IF(B64="","",IFERROR(VLOOKUP(B64,DB_Customers!$A:$D,4,0),"❌ Account Not Found"))</f>
        <v/>
      </c>
      <c r="D64" s="90" t="str">
        <f t="shared" ca="1" si="5"/>
        <v/>
      </c>
      <c r="E64" s="104"/>
      <c r="F64" s="25"/>
      <c r="G64" s="105"/>
      <c r="H64" s="106"/>
      <c r="I64" s="107" t="str">
        <f t="shared" si="6"/>
        <v/>
      </c>
      <c r="J64" s="108" t="str">
        <f t="shared" si="7"/>
        <v/>
      </c>
      <c r="K64" s="109" t="str">
        <f>IF(B64="","Pending",IF(M64="","⚠️ Enter Code",IF(IFERROR(VLOOKUP(L64,DB_Agents!$B:$I,8,0),"")=M64,"Pending","🔒 BLOCKED — Wrong Code")))</f>
        <v>Pending</v>
      </c>
      <c r="L64" s="27"/>
      <c r="M64" s="84"/>
      <c r="N64" s="94"/>
    </row>
    <row r="65" spans="1:14" x14ac:dyDescent="0.25">
      <c r="A65" s="85" t="str">
        <f t="shared" si="4"/>
        <v/>
      </c>
      <c r="B65" s="79"/>
      <c r="C65" s="21" t="str">
        <f>IF(B65="","",IFERROR(VLOOKUP(B65,DB_Customers!$A:$D,4,0),"❌ Account Not Found"))</f>
        <v/>
      </c>
      <c r="D65" s="81" t="str">
        <f t="shared" ca="1" si="5"/>
        <v/>
      </c>
      <c r="E65" s="104"/>
      <c r="F65" s="21"/>
      <c r="G65" s="110"/>
      <c r="H65" s="111"/>
      <c r="I65" s="107" t="str">
        <f t="shared" si="6"/>
        <v/>
      </c>
      <c r="J65" s="112" t="str">
        <f t="shared" si="7"/>
        <v/>
      </c>
      <c r="K65" s="113" t="str">
        <f>IF(B65="","Pending",IF(M65="","⚠️ Enter Code",IF(IFERROR(VLOOKUP(L65,DB_Agents!$B:$I,8,0),"")=M65,"Pending","🔒 BLOCKED — Wrong Code")))</f>
        <v>Pending</v>
      </c>
      <c r="L65" s="23"/>
      <c r="M65" s="84"/>
      <c r="N65" s="87"/>
    </row>
    <row r="66" spans="1:14" x14ac:dyDescent="0.25">
      <c r="A66" s="92" t="str">
        <f t="shared" si="4"/>
        <v/>
      </c>
      <c r="B66" s="88"/>
      <c r="C66" s="25" t="str">
        <f>IF(B66="","",IFERROR(VLOOKUP(B66,DB_Customers!$A:$D,4,0),"❌ Account Not Found"))</f>
        <v/>
      </c>
      <c r="D66" s="90" t="str">
        <f t="shared" ca="1" si="5"/>
        <v/>
      </c>
      <c r="E66" s="104"/>
      <c r="F66" s="25"/>
      <c r="G66" s="105"/>
      <c r="H66" s="106"/>
      <c r="I66" s="107" t="str">
        <f t="shared" si="6"/>
        <v/>
      </c>
      <c r="J66" s="108" t="str">
        <f t="shared" si="7"/>
        <v/>
      </c>
      <c r="K66" s="109" t="str">
        <f>IF(B66="","Pending",IF(M66="","⚠️ Enter Code",IF(IFERROR(VLOOKUP(L66,DB_Agents!$B:$I,8,0),"")=M66,"Pending","🔒 BLOCKED — Wrong Code")))</f>
        <v>Pending</v>
      </c>
      <c r="L66" s="27"/>
      <c r="M66" s="84"/>
      <c r="N66" s="94"/>
    </row>
    <row r="67" spans="1:14" x14ac:dyDescent="0.25">
      <c r="A67" s="85" t="str">
        <f t="shared" si="4"/>
        <v/>
      </c>
      <c r="B67" s="79"/>
      <c r="C67" s="21" t="str">
        <f>IF(B67="","",IFERROR(VLOOKUP(B67,DB_Customers!$A:$D,4,0),"❌ Account Not Found"))</f>
        <v/>
      </c>
      <c r="D67" s="81" t="str">
        <f t="shared" ca="1" si="5"/>
        <v/>
      </c>
      <c r="E67" s="104"/>
      <c r="F67" s="21"/>
      <c r="G67" s="110"/>
      <c r="H67" s="111"/>
      <c r="I67" s="107" t="str">
        <f t="shared" si="6"/>
        <v/>
      </c>
      <c r="J67" s="112" t="str">
        <f t="shared" si="7"/>
        <v/>
      </c>
      <c r="K67" s="113" t="str">
        <f>IF(B67="","Pending",IF(M67="","⚠️ Enter Code",IF(IFERROR(VLOOKUP(L67,DB_Agents!$B:$I,8,0),"")=M67,"Pending","🔒 BLOCKED — Wrong Code")))</f>
        <v>Pending</v>
      </c>
      <c r="L67" s="23"/>
      <c r="M67" s="84"/>
      <c r="N67" s="87"/>
    </row>
    <row r="68" spans="1:14" x14ac:dyDescent="0.25">
      <c r="A68" s="92" t="str">
        <f t="shared" si="4"/>
        <v/>
      </c>
      <c r="B68" s="88"/>
      <c r="C68" s="25" t="str">
        <f>IF(B68="","",IFERROR(VLOOKUP(B68,DB_Customers!$A:$D,4,0),"❌ Account Not Found"))</f>
        <v/>
      </c>
      <c r="D68" s="90" t="str">
        <f t="shared" ca="1" si="5"/>
        <v/>
      </c>
      <c r="E68" s="104"/>
      <c r="F68" s="25"/>
      <c r="G68" s="105"/>
      <c r="H68" s="106"/>
      <c r="I68" s="107" t="str">
        <f t="shared" si="6"/>
        <v/>
      </c>
      <c r="J68" s="108" t="str">
        <f t="shared" si="7"/>
        <v/>
      </c>
      <c r="K68" s="109" t="str">
        <f>IF(B68="","Pending",IF(M68="","⚠️ Enter Code",IF(IFERROR(VLOOKUP(L68,DB_Agents!$B:$I,8,0),"")=M68,"Pending","🔒 BLOCKED — Wrong Code")))</f>
        <v>Pending</v>
      </c>
      <c r="L68" s="27"/>
      <c r="M68" s="84"/>
      <c r="N68" s="94"/>
    </row>
    <row r="69" spans="1:14" x14ac:dyDescent="0.25">
      <c r="A69" s="85" t="str">
        <f t="shared" si="4"/>
        <v/>
      </c>
      <c r="B69" s="79"/>
      <c r="C69" s="21" t="str">
        <f>IF(B69="","",IFERROR(VLOOKUP(B69,DB_Customers!$A:$D,4,0),"❌ Account Not Found"))</f>
        <v/>
      </c>
      <c r="D69" s="81" t="str">
        <f t="shared" ca="1" si="5"/>
        <v/>
      </c>
      <c r="E69" s="104"/>
      <c r="F69" s="21"/>
      <c r="G69" s="110"/>
      <c r="H69" s="111"/>
      <c r="I69" s="107" t="str">
        <f t="shared" si="6"/>
        <v/>
      </c>
      <c r="J69" s="112" t="str">
        <f t="shared" si="7"/>
        <v/>
      </c>
      <c r="K69" s="113" t="str">
        <f>IF(B69="","Pending",IF(M69="","⚠️ Enter Code",IF(IFERROR(VLOOKUP(L69,DB_Agents!$B:$I,8,0),"")=M69,"Pending","🔒 BLOCKED — Wrong Code")))</f>
        <v>Pending</v>
      </c>
      <c r="L69" s="23"/>
      <c r="M69" s="84"/>
      <c r="N69" s="87"/>
    </row>
    <row r="70" spans="1:14" x14ac:dyDescent="0.25">
      <c r="A70" s="92" t="str">
        <f t="shared" si="4"/>
        <v/>
      </c>
      <c r="B70" s="88"/>
      <c r="C70" s="25" t="str">
        <f>IF(B70="","",IFERROR(VLOOKUP(B70,DB_Customers!$A:$D,4,0),"❌ Account Not Found"))</f>
        <v/>
      </c>
      <c r="D70" s="90" t="str">
        <f t="shared" ca="1" si="5"/>
        <v/>
      </c>
      <c r="E70" s="104"/>
      <c r="F70" s="25"/>
      <c r="G70" s="105"/>
      <c r="H70" s="106"/>
      <c r="I70" s="107" t="str">
        <f t="shared" si="6"/>
        <v/>
      </c>
      <c r="J70" s="108" t="str">
        <f t="shared" si="7"/>
        <v/>
      </c>
      <c r="K70" s="109" t="str">
        <f>IF(B70="","Pending",IF(M70="","⚠️ Enter Code",IF(IFERROR(VLOOKUP(L70,DB_Agents!$B:$I,8,0),"")=M70,"Pending","🔒 BLOCKED — Wrong Code")))</f>
        <v>Pending</v>
      </c>
      <c r="L70" s="27"/>
      <c r="M70" s="84"/>
      <c r="N70" s="94"/>
    </row>
    <row r="71" spans="1:14" x14ac:dyDescent="0.25">
      <c r="A71" s="85" t="str">
        <f t="shared" si="4"/>
        <v/>
      </c>
      <c r="B71" s="79"/>
      <c r="C71" s="21" t="str">
        <f>IF(B71="","",IFERROR(VLOOKUP(B71,DB_Customers!$A:$D,4,0),"❌ Account Not Found"))</f>
        <v/>
      </c>
      <c r="D71" s="81" t="str">
        <f t="shared" ca="1" si="5"/>
        <v/>
      </c>
      <c r="E71" s="104"/>
      <c r="F71" s="21"/>
      <c r="G71" s="110"/>
      <c r="H71" s="111"/>
      <c r="I71" s="107" t="str">
        <f t="shared" si="6"/>
        <v/>
      </c>
      <c r="J71" s="112" t="str">
        <f t="shared" si="7"/>
        <v/>
      </c>
      <c r="K71" s="113" t="str">
        <f>IF(B71="","Pending",IF(M71="","⚠️ Enter Code",IF(IFERROR(VLOOKUP(L71,DB_Agents!$B:$I,8,0),"")=M71,"Pending","🔒 BLOCKED — Wrong Code")))</f>
        <v>Pending</v>
      </c>
      <c r="L71" s="23"/>
      <c r="M71" s="84"/>
      <c r="N71" s="87"/>
    </row>
    <row r="72" spans="1:14" x14ac:dyDescent="0.25">
      <c r="A72" s="92" t="str">
        <f t="shared" si="4"/>
        <v/>
      </c>
      <c r="B72" s="88"/>
      <c r="C72" s="25" t="str">
        <f>IF(B72="","",IFERROR(VLOOKUP(B72,DB_Customers!$A:$D,4,0),"❌ Account Not Found"))</f>
        <v/>
      </c>
      <c r="D72" s="90" t="str">
        <f t="shared" ca="1" si="5"/>
        <v/>
      </c>
      <c r="E72" s="104"/>
      <c r="F72" s="25"/>
      <c r="G72" s="105"/>
      <c r="H72" s="106"/>
      <c r="I72" s="107" t="str">
        <f t="shared" si="6"/>
        <v/>
      </c>
      <c r="J72" s="108" t="str">
        <f t="shared" si="7"/>
        <v/>
      </c>
      <c r="K72" s="109" t="str">
        <f>IF(B72="","Pending",IF(M72="","⚠️ Enter Code",IF(IFERROR(VLOOKUP(L72,DB_Agents!$B:$I,8,0),"")=M72,"Pending","🔒 BLOCKED — Wrong Code")))</f>
        <v>Pending</v>
      </c>
      <c r="L72" s="27"/>
      <c r="M72" s="84"/>
      <c r="N72" s="94"/>
    </row>
    <row r="73" spans="1:14" x14ac:dyDescent="0.25">
      <c r="A73" s="85" t="str">
        <f t="shared" si="4"/>
        <v/>
      </c>
      <c r="B73" s="79"/>
      <c r="C73" s="21" t="str">
        <f>IF(B73="","",IFERROR(VLOOKUP(B73,DB_Customers!$A:$D,4,0),"❌ Account Not Found"))</f>
        <v/>
      </c>
      <c r="D73" s="81" t="str">
        <f t="shared" ca="1" si="5"/>
        <v/>
      </c>
      <c r="E73" s="104"/>
      <c r="F73" s="21"/>
      <c r="G73" s="110"/>
      <c r="H73" s="111"/>
      <c r="I73" s="107" t="str">
        <f t="shared" si="6"/>
        <v/>
      </c>
      <c r="J73" s="112" t="str">
        <f t="shared" si="7"/>
        <v/>
      </c>
      <c r="K73" s="113" t="str">
        <f>IF(B73="","Pending",IF(M73="","⚠️ Enter Code",IF(IFERROR(VLOOKUP(L73,DB_Agents!$B:$I,8,0),"")=M73,"Pending","🔒 BLOCKED — Wrong Code")))</f>
        <v>Pending</v>
      </c>
      <c r="L73" s="23"/>
      <c r="M73" s="84"/>
      <c r="N73" s="87"/>
    </row>
    <row r="74" spans="1:14" x14ac:dyDescent="0.25">
      <c r="A74" s="92" t="str">
        <f t="shared" si="4"/>
        <v/>
      </c>
      <c r="B74" s="88"/>
      <c r="C74" s="25" t="str">
        <f>IF(B74="","",IFERROR(VLOOKUP(B74,DB_Customers!$A:$D,4,0),"❌ Account Not Found"))</f>
        <v/>
      </c>
      <c r="D74" s="90" t="str">
        <f t="shared" ca="1" si="5"/>
        <v/>
      </c>
      <c r="E74" s="104"/>
      <c r="F74" s="25"/>
      <c r="G74" s="105"/>
      <c r="H74" s="106"/>
      <c r="I74" s="107" t="str">
        <f t="shared" si="6"/>
        <v/>
      </c>
      <c r="J74" s="108" t="str">
        <f t="shared" si="7"/>
        <v/>
      </c>
      <c r="K74" s="109" t="str">
        <f>IF(B74="","Pending",IF(M74="","⚠️ Enter Code",IF(IFERROR(VLOOKUP(L74,DB_Agents!$B:$I,8,0),"")=M74,"Pending","🔒 BLOCKED — Wrong Code")))</f>
        <v>Pending</v>
      </c>
      <c r="L74" s="27"/>
      <c r="M74" s="84"/>
      <c r="N74" s="94"/>
    </row>
    <row r="75" spans="1:14" x14ac:dyDescent="0.25">
      <c r="A75" s="85" t="str">
        <f t="shared" si="4"/>
        <v/>
      </c>
      <c r="B75" s="79"/>
      <c r="C75" s="21" t="str">
        <f>IF(B75="","",IFERROR(VLOOKUP(B75,DB_Customers!$A:$D,4,0),"❌ Account Not Found"))</f>
        <v/>
      </c>
      <c r="D75" s="81" t="str">
        <f t="shared" ca="1" si="5"/>
        <v/>
      </c>
      <c r="E75" s="104"/>
      <c r="F75" s="21"/>
      <c r="G75" s="110"/>
      <c r="H75" s="111"/>
      <c r="I75" s="107" t="str">
        <f t="shared" si="6"/>
        <v/>
      </c>
      <c r="J75" s="112" t="str">
        <f t="shared" si="7"/>
        <v/>
      </c>
      <c r="K75" s="113" t="str">
        <f>IF(B75="","Pending",IF(M75="","⚠️ Enter Code",IF(IFERROR(VLOOKUP(L75,DB_Agents!$B:$I,8,0),"")=M75,"Pending","🔒 BLOCKED — Wrong Code")))</f>
        <v>Pending</v>
      </c>
      <c r="L75" s="23"/>
      <c r="M75" s="84"/>
      <c r="N75" s="87"/>
    </row>
    <row r="76" spans="1:14" x14ac:dyDescent="0.25">
      <c r="A76" s="92" t="str">
        <f t="shared" si="4"/>
        <v/>
      </c>
      <c r="B76" s="88"/>
      <c r="C76" s="25" t="str">
        <f>IF(B76="","",IFERROR(VLOOKUP(B76,DB_Customers!$A:$D,4,0),"❌ Account Not Found"))</f>
        <v/>
      </c>
      <c r="D76" s="90" t="str">
        <f t="shared" ca="1" si="5"/>
        <v/>
      </c>
      <c r="E76" s="104"/>
      <c r="F76" s="25"/>
      <c r="G76" s="105"/>
      <c r="H76" s="106"/>
      <c r="I76" s="107" t="str">
        <f t="shared" si="6"/>
        <v/>
      </c>
      <c r="J76" s="108" t="str">
        <f t="shared" si="7"/>
        <v/>
      </c>
      <c r="K76" s="109" t="str">
        <f>IF(B76="","Pending",IF(M76="","⚠️ Enter Code",IF(IFERROR(VLOOKUP(L76,DB_Agents!$B:$I,8,0),"")=M76,"Pending","🔒 BLOCKED — Wrong Code")))</f>
        <v>Pending</v>
      </c>
      <c r="L76" s="27"/>
      <c r="M76" s="84"/>
      <c r="N76" s="94"/>
    </row>
    <row r="77" spans="1:14" x14ac:dyDescent="0.25">
      <c r="A77" s="85" t="str">
        <f t="shared" si="4"/>
        <v/>
      </c>
      <c r="B77" s="79"/>
      <c r="C77" s="21" t="str">
        <f>IF(B77="","",IFERROR(VLOOKUP(B77,DB_Customers!$A:$D,4,0),"❌ Account Not Found"))</f>
        <v/>
      </c>
      <c r="D77" s="81" t="str">
        <f t="shared" ca="1" si="5"/>
        <v/>
      </c>
      <c r="E77" s="104"/>
      <c r="F77" s="21"/>
      <c r="G77" s="110"/>
      <c r="H77" s="111"/>
      <c r="I77" s="107" t="str">
        <f t="shared" si="6"/>
        <v/>
      </c>
      <c r="J77" s="112" t="str">
        <f t="shared" si="7"/>
        <v/>
      </c>
      <c r="K77" s="113" t="str">
        <f>IF(B77="","Pending",IF(M77="","⚠️ Enter Code",IF(IFERROR(VLOOKUP(L77,DB_Agents!$B:$I,8,0),"")=M77,"Pending","🔒 BLOCKED — Wrong Code")))</f>
        <v>Pending</v>
      </c>
      <c r="L77" s="23"/>
      <c r="M77" s="84"/>
      <c r="N77" s="87"/>
    </row>
    <row r="78" spans="1:14" x14ac:dyDescent="0.25">
      <c r="A78" s="92" t="str">
        <f t="shared" ref="A78:A109" si="8">IF(B78="","",IF(C78="❌ Account Not Found","INVALID","LN"&amp;TEXT(D78,"YYYYMMDD")&amp;TEXT(ROW()-13,"0000")))</f>
        <v/>
      </c>
      <c r="B78" s="88"/>
      <c r="C78" s="25" t="str">
        <f>IF(B78="","",IFERROR(VLOOKUP(B78,DB_Customers!$A:$D,4,0),"❌ Account Not Found"))</f>
        <v/>
      </c>
      <c r="D78" s="90" t="str">
        <f t="shared" ref="D78:D113" ca="1" si="9">IF(B78="","",TODAY())</f>
        <v/>
      </c>
      <c r="E78" s="104"/>
      <c r="F78" s="25"/>
      <c r="G78" s="105"/>
      <c r="H78" s="106"/>
      <c r="I78" s="107" t="str">
        <f t="shared" ref="I78:I109" si="10">IF(E78="","",E78+(E78*H78/100*G78))</f>
        <v/>
      </c>
      <c r="J78" s="108" t="str">
        <f t="shared" ref="J78:J109" si="11">IFERROR(I78/G78,"")</f>
        <v/>
      </c>
      <c r="K78" s="109" t="str">
        <f>IF(B78="","Pending",IF(M78="","⚠️ Enter Code",IF(IFERROR(VLOOKUP(L78,DB_Agents!$B:$I,8,0),"")=M78,"Pending","🔒 BLOCKED — Wrong Code")))</f>
        <v>Pending</v>
      </c>
      <c r="L78" s="27"/>
      <c r="M78" s="84"/>
      <c r="N78" s="94"/>
    </row>
    <row r="79" spans="1:14" x14ac:dyDescent="0.25">
      <c r="A79" s="85" t="str">
        <f t="shared" si="8"/>
        <v/>
      </c>
      <c r="B79" s="79"/>
      <c r="C79" s="21" t="str">
        <f>IF(B79="","",IFERROR(VLOOKUP(B79,DB_Customers!$A:$D,4,0),"❌ Account Not Found"))</f>
        <v/>
      </c>
      <c r="D79" s="81" t="str">
        <f t="shared" ca="1" si="9"/>
        <v/>
      </c>
      <c r="E79" s="104"/>
      <c r="F79" s="21"/>
      <c r="G79" s="110"/>
      <c r="H79" s="111"/>
      <c r="I79" s="107" t="str">
        <f t="shared" si="10"/>
        <v/>
      </c>
      <c r="J79" s="112" t="str">
        <f t="shared" si="11"/>
        <v/>
      </c>
      <c r="K79" s="113" t="str">
        <f>IF(B79="","Pending",IF(M79="","⚠️ Enter Code",IF(IFERROR(VLOOKUP(L79,DB_Agents!$B:$I,8,0),"")=M79,"Pending","🔒 BLOCKED — Wrong Code")))</f>
        <v>Pending</v>
      </c>
      <c r="L79" s="23"/>
      <c r="M79" s="84"/>
      <c r="N79" s="87"/>
    </row>
    <row r="80" spans="1:14" x14ac:dyDescent="0.25">
      <c r="A80" s="92" t="str">
        <f t="shared" si="8"/>
        <v/>
      </c>
      <c r="B80" s="88"/>
      <c r="C80" s="25" t="str">
        <f>IF(B80="","",IFERROR(VLOOKUP(B80,DB_Customers!$A:$D,4,0),"❌ Account Not Found"))</f>
        <v/>
      </c>
      <c r="D80" s="90" t="str">
        <f t="shared" ca="1" si="9"/>
        <v/>
      </c>
      <c r="E80" s="104"/>
      <c r="F80" s="25"/>
      <c r="G80" s="105"/>
      <c r="H80" s="106"/>
      <c r="I80" s="107" t="str">
        <f t="shared" si="10"/>
        <v/>
      </c>
      <c r="J80" s="108" t="str">
        <f t="shared" si="11"/>
        <v/>
      </c>
      <c r="K80" s="109" t="str">
        <f>IF(B80="","Pending",IF(M80="","⚠️ Enter Code",IF(IFERROR(VLOOKUP(L80,DB_Agents!$B:$I,8,0),"")=M80,"Pending","🔒 BLOCKED — Wrong Code")))</f>
        <v>Pending</v>
      </c>
      <c r="L80" s="27"/>
      <c r="M80" s="84"/>
      <c r="N80" s="94"/>
    </row>
    <row r="81" spans="1:14" x14ac:dyDescent="0.25">
      <c r="A81" s="85" t="str">
        <f t="shared" si="8"/>
        <v/>
      </c>
      <c r="B81" s="79"/>
      <c r="C81" s="21" t="str">
        <f>IF(B81="","",IFERROR(VLOOKUP(B81,DB_Customers!$A:$D,4,0),"❌ Account Not Found"))</f>
        <v/>
      </c>
      <c r="D81" s="81" t="str">
        <f t="shared" ca="1" si="9"/>
        <v/>
      </c>
      <c r="E81" s="104"/>
      <c r="F81" s="21"/>
      <c r="G81" s="110"/>
      <c r="H81" s="111"/>
      <c r="I81" s="107" t="str">
        <f t="shared" si="10"/>
        <v/>
      </c>
      <c r="J81" s="112" t="str">
        <f t="shared" si="11"/>
        <v/>
      </c>
      <c r="K81" s="113" t="str">
        <f>IF(B81="","Pending",IF(M81="","⚠️ Enter Code",IF(IFERROR(VLOOKUP(L81,DB_Agents!$B:$I,8,0),"")=M81,"Pending","🔒 BLOCKED — Wrong Code")))</f>
        <v>Pending</v>
      </c>
      <c r="L81" s="23"/>
      <c r="M81" s="84"/>
      <c r="N81" s="87"/>
    </row>
    <row r="82" spans="1:14" x14ac:dyDescent="0.25">
      <c r="A82" s="92" t="str">
        <f t="shared" si="8"/>
        <v/>
      </c>
      <c r="B82" s="88"/>
      <c r="C82" s="25" t="str">
        <f>IF(B82="","",IFERROR(VLOOKUP(B82,DB_Customers!$A:$D,4,0),"❌ Account Not Found"))</f>
        <v/>
      </c>
      <c r="D82" s="90" t="str">
        <f t="shared" ca="1" si="9"/>
        <v/>
      </c>
      <c r="E82" s="104"/>
      <c r="F82" s="25"/>
      <c r="G82" s="105"/>
      <c r="H82" s="106"/>
      <c r="I82" s="107" t="str">
        <f t="shared" si="10"/>
        <v/>
      </c>
      <c r="J82" s="108" t="str">
        <f t="shared" si="11"/>
        <v/>
      </c>
      <c r="K82" s="109" t="str">
        <f>IF(B82="","Pending",IF(M82="","⚠️ Enter Code",IF(IFERROR(VLOOKUP(L82,DB_Agents!$B:$I,8,0),"")=M82,"Pending","🔒 BLOCKED — Wrong Code")))</f>
        <v>Pending</v>
      </c>
      <c r="L82" s="27"/>
      <c r="M82" s="84"/>
      <c r="N82" s="94"/>
    </row>
    <row r="83" spans="1:14" x14ac:dyDescent="0.25">
      <c r="A83" s="85" t="str">
        <f t="shared" si="8"/>
        <v/>
      </c>
      <c r="B83" s="79"/>
      <c r="C83" s="21" t="str">
        <f>IF(B83="","",IFERROR(VLOOKUP(B83,DB_Customers!$A:$D,4,0),"❌ Account Not Found"))</f>
        <v/>
      </c>
      <c r="D83" s="81" t="str">
        <f t="shared" ca="1" si="9"/>
        <v/>
      </c>
      <c r="E83" s="104"/>
      <c r="F83" s="21"/>
      <c r="G83" s="110"/>
      <c r="H83" s="111"/>
      <c r="I83" s="107" t="str">
        <f t="shared" si="10"/>
        <v/>
      </c>
      <c r="J83" s="112" t="str">
        <f t="shared" si="11"/>
        <v/>
      </c>
      <c r="K83" s="113" t="str">
        <f>IF(B83="","Pending",IF(M83="","⚠️ Enter Code",IF(IFERROR(VLOOKUP(L83,DB_Agents!$B:$I,8,0),"")=M83,"Pending","🔒 BLOCKED — Wrong Code")))</f>
        <v>Pending</v>
      </c>
      <c r="L83" s="23"/>
      <c r="M83" s="84"/>
      <c r="N83" s="87"/>
    </row>
    <row r="84" spans="1:14" x14ac:dyDescent="0.25">
      <c r="A84" s="92" t="str">
        <f t="shared" si="8"/>
        <v/>
      </c>
      <c r="B84" s="88"/>
      <c r="C84" s="25" t="str">
        <f>IF(B84="","",IFERROR(VLOOKUP(B84,DB_Customers!$A:$D,4,0),"❌ Account Not Found"))</f>
        <v/>
      </c>
      <c r="D84" s="90" t="str">
        <f t="shared" ca="1" si="9"/>
        <v/>
      </c>
      <c r="E84" s="104"/>
      <c r="F84" s="25"/>
      <c r="G84" s="105"/>
      <c r="H84" s="106"/>
      <c r="I84" s="107" t="str">
        <f t="shared" si="10"/>
        <v/>
      </c>
      <c r="J84" s="108" t="str">
        <f t="shared" si="11"/>
        <v/>
      </c>
      <c r="K84" s="109" t="str">
        <f>IF(B84="","Pending",IF(M84="","⚠️ Enter Code",IF(IFERROR(VLOOKUP(L84,DB_Agents!$B:$I,8,0),"")=M84,"Pending","🔒 BLOCKED — Wrong Code")))</f>
        <v>Pending</v>
      </c>
      <c r="L84" s="27"/>
      <c r="M84" s="84"/>
      <c r="N84" s="94"/>
    </row>
    <row r="85" spans="1:14" x14ac:dyDescent="0.25">
      <c r="A85" s="85" t="str">
        <f t="shared" si="8"/>
        <v/>
      </c>
      <c r="B85" s="79"/>
      <c r="C85" s="21" t="str">
        <f>IF(B85="","",IFERROR(VLOOKUP(B85,DB_Customers!$A:$D,4,0),"❌ Account Not Found"))</f>
        <v/>
      </c>
      <c r="D85" s="81" t="str">
        <f t="shared" ca="1" si="9"/>
        <v/>
      </c>
      <c r="E85" s="104"/>
      <c r="F85" s="21"/>
      <c r="G85" s="110"/>
      <c r="H85" s="111"/>
      <c r="I85" s="107" t="str">
        <f t="shared" si="10"/>
        <v/>
      </c>
      <c r="J85" s="112" t="str">
        <f t="shared" si="11"/>
        <v/>
      </c>
      <c r="K85" s="113" t="str">
        <f>IF(B85="","Pending",IF(M85="","⚠️ Enter Code",IF(IFERROR(VLOOKUP(L85,DB_Agents!$B:$I,8,0),"")=M85,"Pending","🔒 BLOCKED — Wrong Code")))</f>
        <v>Pending</v>
      </c>
      <c r="L85" s="23"/>
      <c r="M85" s="84"/>
      <c r="N85" s="87"/>
    </row>
    <row r="86" spans="1:14" x14ac:dyDescent="0.25">
      <c r="A86" s="92" t="str">
        <f t="shared" si="8"/>
        <v/>
      </c>
      <c r="B86" s="88"/>
      <c r="C86" s="25" t="str">
        <f>IF(B86="","",IFERROR(VLOOKUP(B86,DB_Customers!$A:$D,4,0),"❌ Account Not Found"))</f>
        <v/>
      </c>
      <c r="D86" s="90" t="str">
        <f t="shared" ca="1" si="9"/>
        <v/>
      </c>
      <c r="E86" s="104"/>
      <c r="F86" s="25"/>
      <c r="G86" s="105"/>
      <c r="H86" s="106"/>
      <c r="I86" s="107" t="str">
        <f t="shared" si="10"/>
        <v/>
      </c>
      <c r="J86" s="108" t="str">
        <f t="shared" si="11"/>
        <v/>
      </c>
      <c r="K86" s="109" t="str">
        <f>IF(B86="","Pending",IF(M86="","⚠️ Enter Code",IF(IFERROR(VLOOKUP(L86,DB_Agents!$B:$I,8,0),"")=M86,"Pending","🔒 BLOCKED — Wrong Code")))</f>
        <v>Pending</v>
      </c>
      <c r="L86" s="27"/>
      <c r="M86" s="84"/>
      <c r="N86" s="94"/>
    </row>
    <row r="87" spans="1:14" x14ac:dyDescent="0.25">
      <c r="A87" s="85" t="str">
        <f t="shared" si="8"/>
        <v/>
      </c>
      <c r="B87" s="79"/>
      <c r="C87" s="21" t="str">
        <f>IF(B87="","",IFERROR(VLOOKUP(B87,DB_Customers!$A:$D,4,0),"❌ Account Not Found"))</f>
        <v/>
      </c>
      <c r="D87" s="81" t="str">
        <f t="shared" ca="1" si="9"/>
        <v/>
      </c>
      <c r="E87" s="104"/>
      <c r="F87" s="21"/>
      <c r="G87" s="110"/>
      <c r="H87" s="111"/>
      <c r="I87" s="107" t="str">
        <f t="shared" si="10"/>
        <v/>
      </c>
      <c r="J87" s="112" t="str">
        <f t="shared" si="11"/>
        <v/>
      </c>
      <c r="K87" s="113" t="str">
        <f>IF(B87="","Pending",IF(M87="","⚠️ Enter Code",IF(IFERROR(VLOOKUP(L87,DB_Agents!$B:$I,8,0),"")=M87,"Pending","🔒 BLOCKED — Wrong Code")))</f>
        <v>Pending</v>
      </c>
      <c r="L87" s="23"/>
      <c r="M87" s="84"/>
      <c r="N87" s="87"/>
    </row>
    <row r="88" spans="1:14" x14ac:dyDescent="0.25">
      <c r="A88" s="92" t="str">
        <f t="shared" si="8"/>
        <v/>
      </c>
      <c r="B88" s="88"/>
      <c r="C88" s="25" t="str">
        <f>IF(B88="","",IFERROR(VLOOKUP(B88,DB_Customers!$A:$D,4,0),"❌ Account Not Found"))</f>
        <v/>
      </c>
      <c r="D88" s="90" t="str">
        <f t="shared" ca="1" si="9"/>
        <v/>
      </c>
      <c r="E88" s="104"/>
      <c r="F88" s="25"/>
      <c r="G88" s="105"/>
      <c r="H88" s="106"/>
      <c r="I88" s="107" t="str">
        <f t="shared" si="10"/>
        <v/>
      </c>
      <c r="J88" s="108" t="str">
        <f t="shared" si="11"/>
        <v/>
      </c>
      <c r="K88" s="109" t="str">
        <f>IF(B88="","Pending",IF(M88="","⚠️ Enter Code",IF(IFERROR(VLOOKUP(L88,DB_Agents!$B:$I,8,0),"")=M88,"Pending","🔒 BLOCKED — Wrong Code")))</f>
        <v>Pending</v>
      </c>
      <c r="L88" s="27"/>
      <c r="M88" s="84"/>
      <c r="N88" s="94"/>
    </row>
    <row r="89" spans="1:14" x14ac:dyDescent="0.25">
      <c r="A89" s="85" t="str">
        <f t="shared" si="8"/>
        <v/>
      </c>
      <c r="B89" s="79"/>
      <c r="C89" s="21" t="str">
        <f>IF(B89="","",IFERROR(VLOOKUP(B89,DB_Customers!$A:$D,4,0),"❌ Account Not Found"))</f>
        <v/>
      </c>
      <c r="D89" s="81" t="str">
        <f t="shared" ca="1" si="9"/>
        <v/>
      </c>
      <c r="E89" s="104"/>
      <c r="F89" s="21"/>
      <c r="G89" s="110"/>
      <c r="H89" s="111"/>
      <c r="I89" s="107" t="str">
        <f t="shared" si="10"/>
        <v/>
      </c>
      <c r="J89" s="112" t="str">
        <f t="shared" si="11"/>
        <v/>
      </c>
      <c r="K89" s="113" t="str">
        <f>IF(B89="","Pending",IF(M89="","⚠️ Enter Code",IF(IFERROR(VLOOKUP(L89,DB_Agents!$B:$I,8,0),"")=M89,"Pending","🔒 BLOCKED — Wrong Code")))</f>
        <v>Pending</v>
      </c>
      <c r="L89" s="23"/>
      <c r="M89" s="84"/>
      <c r="N89" s="87"/>
    </row>
    <row r="90" spans="1:14" x14ac:dyDescent="0.25">
      <c r="A90" s="92" t="str">
        <f t="shared" si="8"/>
        <v/>
      </c>
      <c r="B90" s="88"/>
      <c r="C90" s="25" t="str">
        <f>IF(B90="","",IFERROR(VLOOKUP(B90,DB_Customers!$A:$D,4,0),"❌ Account Not Found"))</f>
        <v/>
      </c>
      <c r="D90" s="90" t="str">
        <f t="shared" ca="1" si="9"/>
        <v/>
      </c>
      <c r="E90" s="104"/>
      <c r="F90" s="25"/>
      <c r="G90" s="105"/>
      <c r="H90" s="106"/>
      <c r="I90" s="107" t="str">
        <f t="shared" si="10"/>
        <v/>
      </c>
      <c r="J90" s="108" t="str">
        <f t="shared" si="11"/>
        <v/>
      </c>
      <c r="K90" s="109" t="str">
        <f>IF(B90="","Pending",IF(M90="","⚠️ Enter Code",IF(IFERROR(VLOOKUP(L90,DB_Agents!$B:$I,8,0),"")=M90,"Pending","🔒 BLOCKED — Wrong Code")))</f>
        <v>Pending</v>
      </c>
      <c r="L90" s="27"/>
      <c r="M90" s="84"/>
      <c r="N90" s="94"/>
    </row>
    <row r="91" spans="1:14" x14ac:dyDescent="0.25">
      <c r="A91" s="85" t="str">
        <f t="shared" si="8"/>
        <v/>
      </c>
      <c r="B91" s="79"/>
      <c r="C91" s="21" t="str">
        <f>IF(B91="","",IFERROR(VLOOKUP(B91,DB_Customers!$A:$D,4,0),"❌ Account Not Found"))</f>
        <v/>
      </c>
      <c r="D91" s="81" t="str">
        <f t="shared" ca="1" si="9"/>
        <v/>
      </c>
      <c r="E91" s="104"/>
      <c r="F91" s="21"/>
      <c r="G91" s="110"/>
      <c r="H91" s="111"/>
      <c r="I91" s="107" t="str">
        <f t="shared" si="10"/>
        <v/>
      </c>
      <c r="J91" s="112" t="str">
        <f t="shared" si="11"/>
        <v/>
      </c>
      <c r="K91" s="113" t="str">
        <f>IF(B91="","Pending",IF(M91="","⚠️ Enter Code",IF(IFERROR(VLOOKUP(L91,DB_Agents!$B:$I,8,0),"")=M91,"Pending","🔒 BLOCKED — Wrong Code")))</f>
        <v>Pending</v>
      </c>
      <c r="L91" s="23"/>
      <c r="M91" s="84"/>
      <c r="N91" s="87"/>
    </row>
    <row r="92" spans="1:14" x14ac:dyDescent="0.25">
      <c r="A92" s="92" t="str">
        <f t="shared" si="8"/>
        <v/>
      </c>
      <c r="B92" s="88"/>
      <c r="C92" s="25" t="str">
        <f>IF(B92="","",IFERROR(VLOOKUP(B92,DB_Customers!$A:$D,4,0),"❌ Account Not Found"))</f>
        <v/>
      </c>
      <c r="D92" s="90" t="str">
        <f t="shared" ca="1" si="9"/>
        <v/>
      </c>
      <c r="E92" s="104"/>
      <c r="F92" s="25"/>
      <c r="G92" s="105"/>
      <c r="H92" s="106"/>
      <c r="I92" s="107" t="str">
        <f t="shared" si="10"/>
        <v/>
      </c>
      <c r="J92" s="108" t="str">
        <f t="shared" si="11"/>
        <v/>
      </c>
      <c r="K92" s="109" t="str">
        <f>IF(B92="","Pending",IF(M92="","⚠️ Enter Code",IF(IFERROR(VLOOKUP(L92,DB_Agents!$B:$I,8,0),"")=M92,"Pending","🔒 BLOCKED — Wrong Code")))</f>
        <v>Pending</v>
      </c>
      <c r="L92" s="27"/>
      <c r="M92" s="84"/>
      <c r="N92" s="94"/>
    </row>
    <row r="93" spans="1:14" x14ac:dyDescent="0.25">
      <c r="A93" s="85" t="str">
        <f t="shared" si="8"/>
        <v/>
      </c>
      <c r="B93" s="79"/>
      <c r="C93" s="21" t="str">
        <f>IF(B93="","",IFERROR(VLOOKUP(B93,DB_Customers!$A:$D,4,0),"❌ Account Not Found"))</f>
        <v/>
      </c>
      <c r="D93" s="81" t="str">
        <f t="shared" ca="1" si="9"/>
        <v/>
      </c>
      <c r="E93" s="104"/>
      <c r="F93" s="21"/>
      <c r="G93" s="110"/>
      <c r="H93" s="111"/>
      <c r="I93" s="107" t="str">
        <f t="shared" si="10"/>
        <v/>
      </c>
      <c r="J93" s="112" t="str">
        <f t="shared" si="11"/>
        <v/>
      </c>
      <c r="K93" s="113" t="str">
        <f>IF(B93="","Pending",IF(M93="","⚠️ Enter Code",IF(IFERROR(VLOOKUP(L93,DB_Agents!$B:$I,8,0),"")=M93,"Pending","🔒 BLOCKED — Wrong Code")))</f>
        <v>Pending</v>
      </c>
      <c r="L93" s="23"/>
      <c r="M93" s="84"/>
      <c r="N93" s="87"/>
    </row>
    <row r="94" spans="1:14" x14ac:dyDescent="0.25">
      <c r="A94" s="92" t="str">
        <f t="shared" si="8"/>
        <v/>
      </c>
      <c r="B94" s="88"/>
      <c r="C94" s="25" t="str">
        <f>IF(B94="","",IFERROR(VLOOKUP(B94,DB_Customers!$A:$D,4,0),"❌ Account Not Found"))</f>
        <v/>
      </c>
      <c r="D94" s="90" t="str">
        <f t="shared" ca="1" si="9"/>
        <v/>
      </c>
      <c r="E94" s="104"/>
      <c r="F94" s="25"/>
      <c r="G94" s="105"/>
      <c r="H94" s="106"/>
      <c r="I94" s="107" t="str">
        <f t="shared" si="10"/>
        <v/>
      </c>
      <c r="J94" s="108" t="str">
        <f t="shared" si="11"/>
        <v/>
      </c>
      <c r="K94" s="109" t="str">
        <f>IF(B94="","Pending",IF(M94="","⚠️ Enter Code",IF(IFERROR(VLOOKUP(L94,DB_Agents!$B:$I,8,0),"")=M94,"Pending","🔒 BLOCKED — Wrong Code")))</f>
        <v>Pending</v>
      </c>
      <c r="L94" s="27"/>
      <c r="M94" s="84"/>
      <c r="N94" s="94"/>
    </row>
    <row r="95" spans="1:14" x14ac:dyDescent="0.25">
      <c r="A95" s="85" t="str">
        <f t="shared" si="8"/>
        <v/>
      </c>
      <c r="B95" s="79"/>
      <c r="C95" s="21" t="str">
        <f>IF(B95="","",IFERROR(VLOOKUP(B95,DB_Customers!$A:$D,4,0),"❌ Account Not Found"))</f>
        <v/>
      </c>
      <c r="D95" s="81" t="str">
        <f t="shared" ca="1" si="9"/>
        <v/>
      </c>
      <c r="E95" s="104"/>
      <c r="F95" s="21"/>
      <c r="G95" s="110"/>
      <c r="H95" s="111"/>
      <c r="I95" s="107" t="str">
        <f t="shared" si="10"/>
        <v/>
      </c>
      <c r="J95" s="112" t="str">
        <f t="shared" si="11"/>
        <v/>
      </c>
      <c r="K95" s="113" t="str">
        <f>IF(B95="","Pending",IF(M95="","⚠️ Enter Code",IF(IFERROR(VLOOKUP(L95,DB_Agents!$B:$I,8,0),"")=M95,"Pending","🔒 BLOCKED — Wrong Code")))</f>
        <v>Pending</v>
      </c>
      <c r="L95" s="23"/>
      <c r="M95" s="84"/>
      <c r="N95" s="87"/>
    </row>
    <row r="96" spans="1:14" x14ac:dyDescent="0.25">
      <c r="A96" s="92" t="str">
        <f t="shared" si="8"/>
        <v/>
      </c>
      <c r="B96" s="88"/>
      <c r="C96" s="25" t="str">
        <f>IF(B96="","",IFERROR(VLOOKUP(B96,DB_Customers!$A:$D,4,0),"❌ Account Not Found"))</f>
        <v/>
      </c>
      <c r="D96" s="90" t="str">
        <f t="shared" ca="1" si="9"/>
        <v/>
      </c>
      <c r="E96" s="104"/>
      <c r="F96" s="25"/>
      <c r="G96" s="105"/>
      <c r="H96" s="106"/>
      <c r="I96" s="107" t="str">
        <f t="shared" si="10"/>
        <v/>
      </c>
      <c r="J96" s="108" t="str">
        <f t="shared" si="11"/>
        <v/>
      </c>
      <c r="K96" s="109" t="str">
        <f>IF(B96="","Pending",IF(M96="","⚠️ Enter Code",IF(IFERROR(VLOOKUP(L96,DB_Agents!$B:$I,8,0),"")=M96,"Pending","🔒 BLOCKED — Wrong Code")))</f>
        <v>Pending</v>
      </c>
      <c r="L96" s="27"/>
      <c r="M96" s="84"/>
      <c r="N96" s="94"/>
    </row>
    <row r="97" spans="1:14" x14ac:dyDescent="0.25">
      <c r="A97" s="85" t="str">
        <f t="shared" si="8"/>
        <v/>
      </c>
      <c r="B97" s="79"/>
      <c r="C97" s="21" t="str">
        <f>IF(B97="","",IFERROR(VLOOKUP(B97,DB_Customers!$A:$D,4,0),"❌ Account Not Found"))</f>
        <v/>
      </c>
      <c r="D97" s="81" t="str">
        <f t="shared" ca="1" si="9"/>
        <v/>
      </c>
      <c r="E97" s="104"/>
      <c r="F97" s="21"/>
      <c r="G97" s="110"/>
      <c r="H97" s="111"/>
      <c r="I97" s="107" t="str">
        <f t="shared" si="10"/>
        <v/>
      </c>
      <c r="J97" s="112" t="str">
        <f t="shared" si="11"/>
        <v/>
      </c>
      <c r="K97" s="113" t="str">
        <f>IF(B97="","Pending",IF(M97="","⚠️ Enter Code",IF(IFERROR(VLOOKUP(L97,DB_Agents!$B:$I,8,0),"")=M97,"Pending","🔒 BLOCKED — Wrong Code")))</f>
        <v>Pending</v>
      </c>
      <c r="L97" s="23"/>
      <c r="M97" s="84"/>
      <c r="N97" s="87"/>
    </row>
    <row r="98" spans="1:14" x14ac:dyDescent="0.25">
      <c r="A98" s="92" t="str">
        <f t="shared" si="8"/>
        <v/>
      </c>
      <c r="B98" s="88"/>
      <c r="C98" s="25" t="str">
        <f>IF(B98="","",IFERROR(VLOOKUP(B98,DB_Customers!$A:$D,4,0),"❌ Account Not Found"))</f>
        <v/>
      </c>
      <c r="D98" s="90" t="str">
        <f t="shared" ca="1" si="9"/>
        <v/>
      </c>
      <c r="E98" s="104"/>
      <c r="F98" s="25"/>
      <c r="G98" s="105"/>
      <c r="H98" s="106"/>
      <c r="I98" s="107" t="str">
        <f t="shared" si="10"/>
        <v/>
      </c>
      <c r="J98" s="108" t="str">
        <f t="shared" si="11"/>
        <v/>
      </c>
      <c r="K98" s="109" t="str">
        <f>IF(B98="","Pending",IF(M98="","⚠️ Enter Code",IF(IFERROR(VLOOKUP(L98,DB_Agents!$B:$I,8,0),"")=M98,"Pending","🔒 BLOCKED — Wrong Code")))</f>
        <v>Pending</v>
      </c>
      <c r="L98" s="27"/>
      <c r="M98" s="84"/>
      <c r="N98" s="94"/>
    </row>
    <row r="99" spans="1:14" x14ac:dyDescent="0.25">
      <c r="A99" s="85" t="str">
        <f t="shared" si="8"/>
        <v/>
      </c>
      <c r="B99" s="79"/>
      <c r="C99" s="21" t="str">
        <f>IF(B99="","",IFERROR(VLOOKUP(B99,DB_Customers!$A:$D,4,0),"❌ Account Not Found"))</f>
        <v/>
      </c>
      <c r="D99" s="81" t="str">
        <f t="shared" ca="1" si="9"/>
        <v/>
      </c>
      <c r="E99" s="104"/>
      <c r="F99" s="21"/>
      <c r="G99" s="110"/>
      <c r="H99" s="111"/>
      <c r="I99" s="107" t="str">
        <f t="shared" si="10"/>
        <v/>
      </c>
      <c r="J99" s="112" t="str">
        <f t="shared" si="11"/>
        <v/>
      </c>
      <c r="K99" s="113" t="str">
        <f>IF(B99="","Pending",IF(M99="","⚠️ Enter Code",IF(IFERROR(VLOOKUP(L99,DB_Agents!$B:$I,8,0),"")=M99,"Pending","🔒 BLOCKED — Wrong Code")))</f>
        <v>Pending</v>
      </c>
      <c r="L99" s="23"/>
      <c r="M99" s="84"/>
      <c r="N99" s="87"/>
    </row>
    <row r="100" spans="1:14" x14ac:dyDescent="0.25">
      <c r="A100" s="92" t="str">
        <f t="shared" si="8"/>
        <v/>
      </c>
      <c r="B100" s="88"/>
      <c r="C100" s="25" t="str">
        <f>IF(B100="","",IFERROR(VLOOKUP(B100,DB_Customers!$A:$D,4,0),"❌ Account Not Found"))</f>
        <v/>
      </c>
      <c r="D100" s="90" t="str">
        <f t="shared" ca="1" si="9"/>
        <v/>
      </c>
      <c r="E100" s="104"/>
      <c r="F100" s="25"/>
      <c r="G100" s="105"/>
      <c r="H100" s="106"/>
      <c r="I100" s="107" t="str">
        <f t="shared" si="10"/>
        <v/>
      </c>
      <c r="J100" s="108" t="str">
        <f t="shared" si="11"/>
        <v/>
      </c>
      <c r="K100" s="109" t="str">
        <f>IF(B100="","Pending",IF(M100="","⚠️ Enter Code",IF(IFERROR(VLOOKUP(L100,DB_Agents!$B:$I,8,0),"")=M100,"Pending","🔒 BLOCKED — Wrong Code")))</f>
        <v>Pending</v>
      </c>
      <c r="L100" s="27"/>
      <c r="M100" s="84"/>
      <c r="N100" s="94"/>
    </row>
    <row r="101" spans="1:14" x14ac:dyDescent="0.25">
      <c r="A101" s="85" t="str">
        <f t="shared" si="8"/>
        <v/>
      </c>
      <c r="B101" s="79"/>
      <c r="C101" s="21" t="str">
        <f>IF(B101="","",IFERROR(VLOOKUP(B101,DB_Customers!$A:$D,4,0),"❌ Account Not Found"))</f>
        <v/>
      </c>
      <c r="D101" s="81" t="str">
        <f t="shared" ca="1" si="9"/>
        <v/>
      </c>
      <c r="E101" s="104"/>
      <c r="F101" s="21"/>
      <c r="G101" s="110"/>
      <c r="H101" s="111"/>
      <c r="I101" s="107" t="str">
        <f t="shared" si="10"/>
        <v/>
      </c>
      <c r="J101" s="112" t="str">
        <f t="shared" si="11"/>
        <v/>
      </c>
      <c r="K101" s="113" t="str">
        <f>IF(B101="","Pending",IF(M101="","⚠️ Enter Code",IF(IFERROR(VLOOKUP(L101,DB_Agents!$B:$I,8,0),"")=M101,"Pending","🔒 BLOCKED — Wrong Code")))</f>
        <v>Pending</v>
      </c>
      <c r="L101" s="23"/>
      <c r="M101" s="84"/>
      <c r="N101" s="87"/>
    </row>
    <row r="102" spans="1:14" x14ac:dyDescent="0.25">
      <c r="A102" s="92" t="str">
        <f t="shared" si="8"/>
        <v/>
      </c>
      <c r="B102" s="88"/>
      <c r="C102" s="25" t="str">
        <f>IF(B102="","",IFERROR(VLOOKUP(B102,DB_Customers!$A:$D,4,0),"❌ Account Not Found"))</f>
        <v/>
      </c>
      <c r="D102" s="90" t="str">
        <f t="shared" ca="1" si="9"/>
        <v/>
      </c>
      <c r="E102" s="104"/>
      <c r="F102" s="25"/>
      <c r="G102" s="105"/>
      <c r="H102" s="106"/>
      <c r="I102" s="107" t="str">
        <f t="shared" si="10"/>
        <v/>
      </c>
      <c r="J102" s="108" t="str">
        <f t="shared" si="11"/>
        <v/>
      </c>
      <c r="K102" s="109" t="str">
        <f>IF(B102="","Pending",IF(M102="","⚠️ Enter Code",IF(IFERROR(VLOOKUP(L102,DB_Agents!$B:$I,8,0),"")=M102,"Pending","🔒 BLOCKED — Wrong Code")))</f>
        <v>Pending</v>
      </c>
      <c r="L102" s="27"/>
      <c r="M102" s="84"/>
      <c r="N102" s="94"/>
    </row>
    <row r="103" spans="1:14" x14ac:dyDescent="0.25">
      <c r="A103" s="85" t="str">
        <f t="shared" si="8"/>
        <v/>
      </c>
      <c r="B103" s="79"/>
      <c r="C103" s="21" t="str">
        <f>IF(B103="","",IFERROR(VLOOKUP(B103,DB_Customers!$A:$D,4,0),"❌ Account Not Found"))</f>
        <v/>
      </c>
      <c r="D103" s="81" t="str">
        <f t="shared" ca="1" si="9"/>
        <v/>
      </c>
      <c r="E103" s="104"/>
      <c r="F103" s="21"/>
      <c r="G103" s="110"/>
      <c r="H103" s="111"/>
      <c r="I103" s="107" t="str">
        <f t="shared" si="10"/>
        <v/>
      </c>
      <c r="J103" s="112" t="str">
        <f t="shared" si="11"/>
        <v/>
      </c>
      <c r="K103" s="113" t="str">
        <f>IF(B103="","Pending",IF(M103="","⚠️ Enter Code",IF(IFERROR(VLOOKUP(L103,DB_Agents!$B:$I,8,0),"")=M103,"Pending","🔒 BLOCKED — Wrong Code")))</f>
        <v>Pending</v>
      </c>
      <c r="L103" s="23"/>
      <c r="M103" s="84"/>
      <c r="N103" s="87"/>
    </row>
    <row r="104" spans="1:14" x14ac:dyDescent="0.25">
      <c r="A104" s="92" t="str">
        <f t="shared" si="8"/>
        <v/>
      </c>
      <c r="B104" s="88"/>
      <c r="C104" s="25" t="str">
        <f>IF(B104="","",IFERROR(VLOOKUP(B104,DB_Customers!$A:$D,4,0),"❌ Account Not Found"))</f>
        <v/>
      </c>
      <c r="D104" s="90" t="str">
        <f t="shared" ca="1" si="9"/>
        <v/>
      </c>
      <c r="E104" s="104"/>
      <c r="F104" s="25"/>
      <c r="G104" s="105"/>
      <c r="H104" s="106"/>
      <c r="I104" s="107" t="str">
        <f t="shared" si="10"/>
        <v/>
      </c>
      <c r="J104" s="108" t="str">
        <f t="shared" si="11"/>
        <v/>
      </c>
      <c r="K104" s="109" t="str">
        <f>IF(B104="","Pending",IF(M104="","⚠️ Enter Code",IF(IFERROR(VLOOKUP(L104,DB_Agents!$B:$I,8,0),"")=M104,"Pending","🔒 BLOCKED — Wrong Code")))</f>
        <v>Pending</v>
      </c>
      <c r="L104" s="27"/>
      <c r="M104" s="84"/>
      <c r="N104" s="94"/>
    </row>
    <row r="105" spans="1:14" x14ac:dyDescent="0.25">
      <c r="A105" s="85" t="str">
        <f t="shared" si="8"/>
        <v/>
      </c>
      <c r="B105" s="79"/>
      <c r="C105" s="21" t="str">
        <f>IF(B105="","",IFERROR(VLOOKUP(B105,DB_Customers!$A:$D,4,0),"❌ Account Not Found"))</f>
        <v/>
      </c>
      <c r="D105" s="81" t="str">
        <f t="shared" ca="1" si="9"/>
        <v/>
      </c>
      <c r="E105" s="104"/>
      <c r="F105" s="21"/>
      <c r="G105" s="110"/>
      <c r="H105" s="111"/>
      <c r="I105" s="107" t="str">
        <f t="shared" si="10"/>
        <v/>
      </c>
      <c r="J105" s="112" t="str">
        <f t="shared" si="11"/>
        <v/>
      </c>
      <c r="K105" s="113" t="str">
        <f>IF(B105="","Pending",IF(M105="","⚠️ Enter Code",IF(IFERROR(VLOOKUP(L105,DB_Agents!$B:$I,8,0),"")=M105,"Pending","🔒 BLOCKED — Wrong Code")))</f>
        <v>Pending</v>
      </c>
      <c r="L105" s="23"/>
      <c r="M105" s="84"/>
      <c r="N105" s="87"/>
    </row>
    <row r="106" spans="1:14" x14ac:dyDescent="0.25">
      <c r="A106" s="92" t="str">
        <f t="shared" si="8"/>
        <v/>
      </c>
      <c r="B106" s="88"/>
      <c r="C106" s="25" t="str">
        <f>IF(B106="","",IFERROR(VLOOKUP(B106,DB_Customers!$A:$D,4,0),"❌ Account Not Found"))</f>
        <v/>
      </c>
      <c r="D106" s="90" t="str">
        <f t="shared" ca="1" si="9"/>
        <v/>
      </c>
      <c r="E106" s="104"/>
      <c r="F106" s="25"/>
      <c r="G106" s="105"/>
      <c r="H106" s="106"/>
      <c r="I106" s="107" t="str">
        <f t="shared" si="10"/>
        <v/>
      </c>
      <c r="J106" s="108" t="str">
        <f t="shared" si="11"/>
        <v/>
      </c>
      <c r="K106" s="109" t="str">
        <f>IF(B106="","Pending",IF(M106="","⚠️ Enter Code",IF(IFERROR(VLOOKUP(L106,DB_Agents!$B:$I,8,0),"")=M106,"Pending","🔒 BLOCKED — Wrong Code")))</f>
        <v>Pending</v>
      </c>
      <c r="L106" s="27"/>
      <c r="M106" s="84"/>
      <c r="N106" s="94"/>
    </row>
    <row r="107" spans="1:14" x14ac:dyDescent="0.25">
      <c r="A107" s="85" t="str">
        <f t="shared" si="8"/>
        <v/>
      </c>
      <c r="B107" s="79"/>
      <c r="C107" s="21" t="str">
        <f>IF(B107="","",IFERROR(VLOOKUP(B107,DB_Customers!$A:$D,4,0),"❌ Account Not Found"))</f>
        <v/>
      </c>
      <c r="D107" s="81" t="str">
        <f t="shared" ca="1" si="9"/>
        <v/>
      </c>
      <c r="E107" s="104"/>
      <c r="F107" s="21"/>
      <c r="G107" s="110"/>
      <c r="H107" s="111"/>
      <c r="I107" s="107" t="str">
        <f t="shared" si="10"/>
        <v/>
      </c>
      <c r="J107" s="112" t="str">
        <f t="shared" si="11"/>
        <v/>
      </c>
      <c r="K107" s="113" t="str">
        <f>IF(B107="","Pending",IF(M107="","⚠️ Enter Code",IF(IFERROR(VLOOKUP(L107,DB_Agents!$B:$I,8,0),"")=M107,"Pending","🔒 BLOCKED — Wrong Code")))</f>
        <v>Pending</v>
      </c>
      <c r="L107" s="23"/>
      <c r="M107" s="84"/>
      <c r="N107" s="87"/>
    </row>
    <row r="108" spans="1:14" x14ac:dyDescent="0.25">
      <c r="A108" s="92" t="str">
        <f t="shared" si="8"/>
        <v/>
      </c>
      <c r="B108" s="88"/>
      <c r="C108" s="25" t="str">
        <f>IF(B108="","",IFERROR(VLOOKUP(B108,DB_Customers!$A:$D,4,0),"❌ Account Not Found"))</f>
        <v/>
      </c>
      <c r="D108" s="90" t="str">
        <f t="shared" ca="1" si="9"/>
        <v/>
      </c>
      <c r="E108" s="104"/>
      <c r="F108" s="25"/>
      <c r="G108" s="105"/>
      <c r="H108" s="106"/>
      <c r="I108" s="107" t="str">
        <f t="shared" si="10"/>
        <v/>
      </c>
      <c r="J108" s="108" t="str">
        <f t="shared" si="11"/>
        <v/>
      </c>
      <c r="K108" s="109" t="str">
        <f>IF(B108="","Pending",IF(M108="","⚠️ Enter Code",IF(IFERROR(VLOOKUP(L108,DB_Agents!$B:$I,8,0),"")=M108,"Pending","🔒 BLOCKED — Wrong Code")))</f>
        <v>Pending</v>
      </c>
      <c r="L108" s="27"/>
      <c r="M108" s="84"/>
      <c r="N108" s="94"/>
    </row>
    <row r="109" spans="1:14" x14ac:dyDescent="0.25">
      <c r="A109" s="85" t="str">
        <f t="shared" si="8"/>
        <v/>
      </c>
      <c r="B109" s="79"/>
      <c r="C109" s="21" t="str">
        <f>IF(B109="","",IFERROR(VLOOKUP(B109,DB_Customers!$A:$D,4,0),"❌ Account Not Found"))</f>
        <v/>
      </c>
      <c r="D109" s="81" t="str">
        <f t="shared" ca="1" si="9"/>
        <v/>
      </c>
      <c r="E109" s="104"/>
      <c r="F109" s="21"/>
      <c r="G109" s="110"/>
      <c r="H109" s="111"/>
      <c r="I109" s="107" t="str">
        <f t="shared" si="10"/>
        <v/>
      </c>
      <c r="J109" s="112" t="str">
        <f t="shared" si="11"/>
        <v/>
      </c>
      <c r="K109" s="113" t="str">
        <f>IF(B109="","Pending",IF(M109="","⚠️ Enter Code",IF(IFERROR(VLOOKUP(L109,DB_Agents!$B:$I,8,0),"")=M109,"Pending","🔒 BLOCKED — Wrong Code")))</f>
        <v>Pending</v>
      </c>
      <c r="L109" s="23"/>
      <c r="M109" s="84"/>
      <c r="N109" s="87"/>
    </row>
    <row r="110" spans="1:14" x14ac:dyDescent="0.25">
      <c r="A110" s="92" t="str">
        <f t="shared" ref="A110:A141" si="12">IF(B110="","",IF(C110="❌ Account Not Found","INVALID","LN"&amp;TEXT(D110,"YYYYMMDD")&amp;TEXT(ROW()-13,"0000")))</f>
        <v/>
      </c>
      <c r="B110" s="88"/>
      <c r="C110" s="25" t="str">
        <f>IF(B110="","",IFERROR(VLOOKUP(B110,DB_Customers!$A:$D,4,0),"❌ Account Not Found"))</f>
        <v/>
      </c>
      <c r="D110" s="90" t="str">
        <f t="shared" ca="1" si="9"/>
        <v/>
      </c>
      <c r="E110" s="104"/>
      <c r="F110" s="25"/>
      <c r="G110" s="105"/>
      <c r="H110" s="106"/>
      <c r="I110" s="107" t="str">
        <f t="shared" ref="I110:I141" si="13">IF(E110="","",E110+(E110*H110/100*G110))</f>
        <v/>
      </c>
      <c r="J110" s="108" t="str">
        <f t="shared" ref="J110:J141" si="14">IFERROR(I110/G110,"")</f>
        <v/>
      </c>
      <c r="K110" s="109" t="str">
        <f>IF(B110="","Pending",IF(M110="","⚠️ Enter Code",IF(IFERROR(VLOOKUP(L110,DB_Agents!$B:$I,8,0),"")=M110,"Pending","🔒 BLOCKED — Wrong Code")))</f>
        <v>Pending</v>
      </c>
      <c r="L110" s="27"/>
      <c r="M110" s="84"/>
      <c r="N110" s="94"/>
    </row>
    <row r="111" spans="1:14" x14ac:dyDescent="0.25">
      <c r="A111" s="85" t="str">
        <f t="shared" si="12"/>
        <v/>
      </c>
      <c r="B111" s="79"/>
      <c r="C111" s="21" t="str">
        <f>IF(B111="","",IFERROR(VLOOKUP(B111,DB_Customers!$A:$D,4,0),"❌ Account Not Found"))</f>
        <v/>
      </c>
      <c r="D111" s="81" t="str">
        <f t="shared" ca="1" si="9"/>
        <v/>
      </c>
      <c r="E111" s="104"/>
      <c r="F111" s="21"/>
      <c r="G111" s="110"/>
      <c r="H111" s="111"/>
      <c r="I111" s="107" t="str">
        <f t="shared" si="13"/>
        <v/>
      </c>
      <c r="J111" s="112" t="str">
        <f t="shared" si="14"/>
        <v/>
      </c>
      <c r="K111" s="113" t="str">
        <f>IF(B111="","Pending",IF(M111="","⚠️ Enter Code",IF(IFERROR(VLOOKUP(L111,DB_Agents!$B:$I,8,0),"")=M111,"Pending","🔒 BLOCKED — Wrong Code")))</f>
        <v>Pending</v>
      </c>
      <c r="L111" s="23"/>
      <c r="M111" s="84"/>
      <c r="N111" s="87"/>
    </row>
    <row r="112" spans="1:14" x14ac:dyDescent="0.25">
      <c r="A112" s="92" t="str">
        <f t="shared" si="12"/>
        <v/>
      </c>
      <c r="B112" s="88"/>
      <c r="C112" s="25" t="str">
        <f>IF(B112="","",IFERROR(VLOOKUP(B112,DB_Customers!$A:$D,4,0),"❌ Account Not Found"))</f>
        <v/>
      </c>
      <c r="D112" s="90" t="str">
        <f t="shared" ca="1" si="9"/>
        <v/>
      </c>
      <c r="E112" s="104"/>
      <c r="F112" s="25"/>
      <c r="G112" s="105"/>
      <c r="H112" s="106"/>
      <c r="I112" s="107" t="str">
        <f t="shared" si="13"/>
        <v/>
      </c>
      <c r="J112" s="108" t="str">
        <f t="shared" si="14"/>
        <v/>
      </c>
      <c r="K112" s="109" t="str">
        <f>IF(B112="","Pending",IF(M112="","⚠️ Enter Code",IF(IFERROR(VLOOKUP(L112,DB_Agents!$B:$I,8,0),"")=M112,"Pending","🔒 BLOCKED — Wrong Code")))</f>
        <v>Pending</v>
      </c>
      <c r="L112" s="27"/>
      <c r="M112" s="84"/>
      <c r="N112" s="94"/>
    </row>
    <row r="113" spans="1:14" x14ac:dyDescent="0.25">
      <c r="A113" s="85" t="str">
        <f t="shared" si="12"/>
        <v/>
      </c>
      <c r="B113" s="79"/>
      <c r="C113" s="21" t="str">
        <f>IF(B113="","",IFERROR(VLOOKUP(B113,DB_Customers!$A:$D,4,0),"❌ Account Not Found"))</f>
        <v/>
      </c>
      <c r="D113" s="81" t="str">
        <f t="shared" ca="1" si="9"/>
        <v/>
      </c>
      <c r="E113" s="104"/>
      <c r="F113" s="21"/>
      <c r="G113" s="110"/>
      <c r="H113" s="111"/>
      <c r="I113" s="107" t="str">
        <f t="shared" si="13"/>
        <v/>
      </c>
      <c r="J113" s="112" t="str">
        <f t="shared" si="14"/>
        <v/>
      </c>
      <c r="K113" s="113" t="str">
        <f>IF(B113="","Pending",IF(M113="","⚠️ Enter Code",IF(IFERROR(VLOOKUP(L113,DB_Agents!$B:$I,8,0),"")=M113,"Pending","🔒 BLOCKED — Wrong Code")))</f>
        <v>Pending</v>
      </c>
      <c r="L113" s="23"/>
      <c r="M113" s="84"/>
      <c r="N113" s="87"/>
    </row>
    <row r="114" spans="1:14" x14ac:dyDescent="0.25">
      <c r="H114" s="114"/>
      <c r="K114" s="115" t="str">
        <f>IF(B114="","Pending",IF(M114="","⚠️ Enter Code",IF(IFERROR(VLOOKUP(L114,DB_Agents!$B:$I,8,0),"")=M114,"Pending","🔒 BLOCKED — Wrong Code")))</f>
        <v>Pending</v>
      </c>
      <c r="M114" s="84"/>
    </row>
    <row r="115" spans="1:14" x14ac:dyDescent="0.25">
      <c r="H115" s="114"/>
      <c r="K115" s="15" t="str">
        <f>IF(B115="","Pending",IF(M115="","⚠️ Enter Code",IF(IFERROR(VLOOKUP(L115,DB_Agents!$B:$I,8,0),"")=M115,"Pending","🔒 BLOCKED — Wrong Code")))</f>
        <v>Pending</v>
      </c>
      <c r="M115" s="84"/>
    </row>
    <row r="116" spans="1:14" x14ac:dyDescent="0.25">
      <c r="H116" s="114"/>
      <c r="K116" s="115" t="str">
        <f>IF(B116="","Pending",IF(M116="","⚠️ Enter Code",IF(IFERROR(VLOOKUP(L116,DB_Agents!$B:$I,8,0),"")=M116,"Pending","🔒 BLOCKED — Wrong Code")))</f>
        <v>Pending</v>
      </c>
      <c r="M116" s="84"/>
    </row>
    <row r="117" spans="1:14" x14ac:dyDescent="0.25">
      <c r="H117" s="114"/>
      <c r="K117" s="15" t="str">
        <f>IF(B117="","Pending",IF(M117="","⚠️ Enter Code",IF(IFERROR(VLOOKUP(L117,DB_Agents!$B:$I,8,0),"")=M117,"Pending","🔒 BLOCKED — Wrong Code")))</f>
        <v>Pending</v>
      </c>
      <c r="M117" s="84"/>
    </row>
    <row r="118" spans="1:14" x14ac:dyDescent="0.25">
      <c r="H118" s="114"/>
      <c r="K118" s="115" t="str">
        <f>IF(B118="","Pending",IF(M118="","⚠️ Enter Code",IF(IFERROR(VLOOKUP(L118,DB_Agents!$B:$I,8,0),"")=M118,"Pending","🔒 BLOCKED — Wrong Code")))</f>
        <v>Pending</v>
      </c>
      <c r="M118" s="84"/>
    </row>
    <row r="119" spans="1:14" x14ac:dyDescent="0.25">
      <c r="H119" s="114"/>
      <c r="K119" s="15" t="str">
        <f>IF(B119="","Pending",IF(M119="","⚠️ Enter Code",IF(IFERROR(VLOOKUP(L119,DB_Agents!$B:$I,8,0),"")=M119,"Pending","🔒 BLOCKED — Wrong Code")))</f>
        <v>Pending</v>
      </c>
      <c r="M119" s="84"/>
    </row>
    <row r="120" spans="1:14" x14ac:dyDescent="0.25">
      <c r="H120" s="114"/>
      <c r="K120" s="115" t="str">
        <f>IF(B120="","Pending",IF(M120="","⚠️ Enter Code",IF(IFERROR(VLOOKUP(L120,DB_Agents!$B:$I,8,0),"")=M120,"Pending","🔒 BLOCKED — Wrong Code")))</f>
        <v>Pending</v>
      </c>
      <c r="M120" s="84"/>
    </row>
    <row r="121" spans="1:14" x14ac:dyDescent="0.25">
      <c r="H121" s="114"/>
      <c r="K121" s="15" t="str">
        <f>IF(B121="","Pending",IF(M121="","⚠️ Enter Code",IF(IFERROR(VLOOKUP(L121,DB_Agents!$B:$I,8,0),"")=M121,"Pending","🔒 BLOCKED — Wrong Code")))</f>
        <v>Pending</v>
      </c>
      <c r="M121" s="84"/>
    </row>
    <row r="122" spans="1:14" x14ac:dyDescent="0.25">
      <c r="H122" s="114"/>
      <c r="K122" s="115" t="str">
        <f>IF(B122="","Pending",IF(M122="","⚠️ Enter Code",IF(IFERROR(VLOOKUP(L122,DB_Agents!$B:$I,8,0),"")=M122,"Pending","🔒 BLOCKED — Wrong Code")))</f>
        <v>Pending</v>
      </c>
      <c r="M122" s="84"/>
    </row>
    <row r="123" spans="1:14" x14ac:dyDescent="0.25">
      <c r="H123" s="114"/>
      <c r="K123" s="15" t="str">
        <f>IF(B123="","Pending",IF(M123="","⚠️ Enter Code",IF(IFERROR(VLOOKUP(L123,DB_Agents!$B:$I,8,0),"")=M123,"Pending","🔒 BLOCKED — Wrong Code")))</f>
        <v>Pending</v>
      </c>
      <c r="M123" s="84"/>
    </row>
    <row r="124" spans="1:14" x14ac:dyDescent="0.25">
      <c r="H124" s="114"/>
      <c r="K124" s="115" t="str">
        <f>IF(B124="","Pending",IF(M124="","⚠️ Enter Code",IF(IFERROR(VLOOKUP(L124,DB_Agents!$B:$I,8,0),"")=M124,"Pending","🔒 BLOCKED — Wrong Code")))</f>
        <v>Pending</v>
      </c>
      <c r="M124" s="84"/>
    </row>
    <row r="125" spans="1:14" x14ac:dyDescent="0.25">
      <c r="H125" s="114"/>
      <c r="K125" s="15" t="str">
        <f>IF(B125="","Pending",IF(M125="","⚠️ Enter Code",IF(IFERROR(VLOOKUP(L125,DB_Agents!$B:$I,8,0),"")=M125,"Pending","🔒 BLOCKED — Wrong Code")))</f>
        <v>Pending</v>
      </c>
      <c r="M125" s="84"/>
    </row>
    <row r="126" spans="1:14" x14ac:dyDescent="0.25">
      <c r="H126" s="114"/>
      <c r="K126" s="115" t="str">
        <f>IF(B126="","Pending",IF(M126="","⚠️ Enter Code",IF(IFERROR(VLOOKUP(L126,DB_Agents!$B:$I,8,0),"")=M126,"Pending","🔒 BLOCKED — Wrong Code")))</f>
        <v>Pending</v>
      </c>
      <c r="M126" s="84"/>
    </row>
    <row r="127" spans="1:14" x14ac:dyDescent="0.25">
      <c r="H127" s="114"/>
      <c r="K127" s="15" t="str">
        <f>IF(B127="","Pending",IF(M127="","⚠️ Enter Code",IF(IFERROR(VLOOKUP(L127,DB_Agents!$B:$I,8,0),"")=M127,"Pending","🔒 BLOCKED — Wrong Code")))</f>
        <v>Pending</v>
      </c>
      <c r="M127" s="84"/>
    </row>
    <row r="128" spans="1:14" x14ac:dyDescent="0.25">
      <c r="H128" s="114"/>
      <c r="K128" s="115" t="str">
        <f>IF(B128="","Pending",IF(M128="","⚠️ Enter Code",IF(IFERROR(VLOOKUP(L128,DB_Agents!$B:$I,8,0),"")=M128,"Pending","🔒 BLOCKED — Wrong Code")))</f>
        <v>Pending</v>
      </c>
      <c r="M128" s="84"/>
    </row>
    <row r="129" spans="8:13" x14ac:dyDescent="0.25">
      <c r="H129" s="114"/>
      <c r="K129" s="15" t="str">
        <f>IF(B129="","Pending",IF(M129="","⚠️ Enter Code",IF(IFERROR(VLOOKUP(L129,DB_Agents!$B:$I,8,0),"")=M129,"Pending","🔒 BLOCKED — Wrong Code")))</f>
        <v>Pending</v>
      </c>
      <c r="M129" s="84"/>
    </row>
    <row r="130" spans="8:13" x14ac:dyDescent="0.25">
      <c r="H130" s="114"/>
      <c r="K130" s="115" t="str">
        <f>IF(B130="","Pending",IF(M130="","⚠️ Enter Code",IF(IFERROR(VLOOKUP(L130,DB_Agents!$B:$I,8,0),"")=M130,"Pending","🔒 BLOCKED — Wrong Code")))</f>
        <v>Pending</v>
      </c>
      <c r="M130" s="84"/>
    </row>
    <row r="131" spans="8:13" x14ac:dyDescent="0.25">
      <c r="H131" s="114"/>
      <c r="K131" s="15" t="str">
        <f>IF(B131="","Pending",IF(M131="","⚠️ Enter Code",IF(IFERROR(VLOOKUP(L131,DB_Agents!$B:$I,8,0),"")=M131,"Pending","🔒 BLOCKED — Wrong Code")))</f>
        <v>Pending</v>
      </c>
      <c r="M131" s="84"/>
    </row>
    <row r="132" spans="8:13" x14ac:dyDescent="0.25">
      <c r="H132" s="114"/>
      <c r="K132" s="115" t="str">
        <f>IF(B132="","Pending",IF(M132="","⚠️ Enter Code",IF(IFERROR(VLOOKUP(L132,DB_Agents!$B:$I,8,0),"")=M132,"Pending","🔒 BLOCKED — Wrong Code")))</f>
        <v>Pending</v>
      </c>
      <c r="M132" s="84"/>
    </row>
    <row r="133" spans="8:13" x14ac:dyDescent="0.25">
      <c r="H133" s="114"/>
      <c r="K133" s="15" t="str">
        <f>IF(B133="","Pending",IF(M133="","⚠️ Enter Code",IF(IFERROR(VLOOKUP(L133,DB_Agents!$B:$I,8,0),"")=M133,"Pending","🔒 BLOCKED — Wrong Code")))</f>
        <v>Pending</v>
      </c>
      <c r="M133" s="84"/>
    </row>
    <row r="134" spans="8:13" x14ac:dyDescent="0.25">
      <c r="H134" s="114"/>
      <c r="K134" s="115" t="str">
        <f>IF(B134="","Pending",IF(M134="","⚠️ Enter Code",IF(IFERROR(VLOOKUP(L134,DB_Agents!$B:$I,8,0),"")=M134,"Pending","🔒 BLOCKED — Wrong Code")))</f>
        <v>Pending</v>
      </c>
      <c r="M134" s="84"/>
    </row>
    <row r="135" spans="8:13" x14ac:dyDescent="0.25">
      <c r="H135" s="114"/>
      <c r="K135" s="15" t="str">
        <f>IF(B135="","Pending",IF(M135="","⚠️ Enter Code",IF(IFERROR(VLOOKUP(L135,DB_Agents!$B:$I,8,0),"")=M135,"Pending","🔒 BLOCKED — Wrong Code")))</f>
        <v>Pending</v>
      </c>
      <c r="M135" s="84"/>
    </row>
    <row r="136" spans="8:13" x14ac:dyDescent="0.25">
      <c r="H136" s="114"/>
      <c r="K136" s="115" t="str">
        <f>IF(B136="","Pending",IF(M136="","⚠️ Enter Code",IF(IFERROR(VLOOKUP(L136,DB_Agents!$B:$I,8,0),"")=M136,"Pending","🔒 BLOCKED — Wrong Code")))</f>
        <v>Pending</v>
      </c>
      <c r="M136" s="84"/>
    </row>
    <row r="137" spans="8:13" x14ac:dyDescent="0.25">
      <c r="H137" s="114"/>
      <c r="K137" s="15" t="str">
        <f>IF(B137="","Pending",IF(M137="","⚠️ Enter Code",IF(IFERROR(VLOOKUP(L137,DB_Agents!$B:$I,8,0),"")=M137,"Pending","🔒 BLOCKED — Wrong Code")))</f>
        <v>Pending</v>
      </c>
      <c r="M137" s="84"/>
    </row>
    <row r="138" spans="8:13" x14ac:dyDescent="0.25">
      <c r="H138" s="114"/>
      <c r="K138" s="115" t="str">
        <f>IF(B138="","Pending",IF(M138="","⚠️ Enter Code",IF(IFERROR(VLOOKUP(L138,DB_Agents!$B:$I,8,0),"")=M138,"Pending","🔒 BLOCKED — Wrong Code")))</f>
        <v>Pending</v>
      </c>
      <c r="M138" s="84"/>
    </row>
    <row r="139" spans="8:13" x14ac:dyDescent="0.25">
      <c r="H139" s="114"/>
      <c r="K139" s="15" t="str">
        <f>IF(B139="","Pending",IF(M139="","⚠️ Enter Code",IF(IFERROR(VLOOKUP(L139,DB_Agents!$B:$I,8,0),"")=M139,"Pending","🔒 BLOCKED — Wrong Code")))</f>
        <v>Pending</v>
      </c>
      <c r="M139" s="84"/>
    </row>
    <row r="140" spans="8:13" x14ac:dyDescent="0.25">
      <c r="H140" s="114"/>
      <c r="K140" s="115" t="str">
        <f>IF(B140="","Pending",IF(M140="","⚠️ Enter Code",IF(IFERROR(VLOOKUP(L140,DB_Agents!$B:$I,8,0),"")=M140,"Pending","🔒 BLOCKED — Wrong Code")))</f>
        <v>Pending</v>
      </c>
      <c r="M140" s="84"/>
    </row>
    <row r="141" spans="8:13" x14ac:dyDescent="0.25">
      <c r="H141" s="114"/>
      <c r="K141" s="15" t="str">
        <f>IF(B141="","Pending",IF(M141="","⚠️ Enter Code",IF(IFERROR(VLOOKUP(L141,DB_Agents!$B:$I,8,0),"")=M141,"Pending","🔒 BLOCKED — Wrong Code")))</f>
        <v>Pending</v>
      </c>
      <c r="M141" s="84"/>
    </row>
    <row r="142" spans="8:13" x14ac:dyDescent="0.25">
      <c r="H142" s="114"/>
      <c r="K142" s="115" t="str">
        <f>IF(B142="","Pending",IF(M142="","⚠️ Enter Code",IF(IFERROR(VLOOKUP(L142,DB_Agents!$B:$I,8,0),"")=M142,"Pending","🔒 BLOCKED — Wrong Code")))</f>
        <v>Pending</v>
      </c>
      <c r="M142" s="84"/>
    </row>
    <row r="143" spans="8:13" x14ac:dyDescent="0.25">
      <c r="H143" s="114"/>
      <c r="K143" s="15" t="str">
        <f>IF(B143="","Pending",IF(M143="","⚠️ Enter Code",IF(IFERROR(VLOOKUP(L143,DB_Agents!$B:$I,8,0),"")=M143,"Pending","🔒 BLOCKED — Wrong Code")))</f>
        <v>Pending</v>
      </c>
      <c r="M143" s="84"/>
    </row>
    <row r="144" spans="8:13" x14ac:dyDescent="0.25">
      <c r="H144" s="114"/>
      <c r="K144" s="115" t="str">
        <f>IF(B144="","Pending",IF(M144="","⚠️ Enter Code",IF(IFERROR(VLOOKUP(L144,DB_Agents!$B:$I,8,0),"")=M144,"Pending","🔒 BLOCKED — Wrong Code")))</f>
        <v>Pending</v>
      </c>
      <c r="M144" s="84"/>
    </row>
    <row r="145" spans="8:13" x14ac:dyDescent="0.25">
      <c r="H145" s="114"/>
      <c r="K145" s="15" t="str">
        <f>IF(B145="","Pending",IF(M145="","⚠️ Enter Code",IF(IFERROR(VLOOKUP(L145,DB_Agents!$B:$I,8,0),"")=M145,"Pending","🔒 BLOCKED — Wrong Code")))</f>
        <v>Pending</v>
      </c>
      <c r="M145" s="84"/>
    </row>
    <row r="146" spans="8:13" x14ac:dyDescent="0.25">
      <c r="H146" s="114"/>
      <c r="K146" s="115" t="str">
        <f>IF(B146="","Pending",IF(M146="","⚠️ Enter Code",IF(IFERROR(VLOOKUP(L146,DB_Agents!$B:$I,8,0),"")=M146,"Pending","🔒 BLOCKED — Wrong Code")))</f>
        <v>Pending</v>
      </c>
      <c r="M146" s="84"/>
    </row>
    <row r="147" spans="8:13" x14ac:dyDescent="0.25">
      <c r="H147" s="114"/>
      <c r="K147" s="15" t="str">
        <f>IF(B147="","Pending",IF(M147="","⚠️ Enter Code",IF(IFERROR(VLOOKUP(L147,DB_Agents!$B:$I,8,0),"")=M147,"Pending","🔒 BLOCKED — Wrong Code")))</f>
        <v>Pending</v>
      </c>
      <c r="M147" s="84"/>
    </row>
    <row r="148" spans="8:13" x14ac:dyDescent="0.25">
      <c r="H148" s="114"/>
      <c r="K148" s="115" t="str">
        <f>IF(B148="","Pending",IF(M148="","⚠️ Enter Code",IF(IFERROR(VLOOKUP(L148,DB_Agents!$B:$I,8,0),"")=M148,"Pending","🔒 BLOCKED — Wrong Code")))</f>
        <v>Pending</v>
      </c>
      <c r="M148" s="84"/>
    </row>
    <row r="149" spans="8:13" x14ac:dyDescent="0.25">
      <c r="H149" s="114"/>
      <c r="K149" s="15" t="str">
        <f>IF(B149="","Pending",IF(M149="","⚠️ Enter Code",IF(IFERROR(VLOOKUP(L149,DB_Agents!$B:$I,8,0),"")=M149,"Pending","🔒 BLOCKED — Wrong Code")))</f>
        <v>Pending</v>
      </c>
      <c r="M149" s="84"/>
    </row>
    <row r="150" spans="8:13" x14ac:dyDescent="0.25">
      <c r="H150" s="114"/>
      <c r="K150" s="115" t="str">
        <f>IF(B150="","Pending",IF(M150="","⚠️ Enter Code",IF(IFERROR(VLOOKUP(L150,DB_Agents!$B:$I,8,0),"")=M150,"Pending","🔒 BLOCKED — Wrong Code")))</f>
        <v>Pending</v>
      </c>
      <c r="M150" s="84"/>
    </row>
    <row r="151" spans="8:13" x14ac:dyDescent="0.25">
      <c r="H151" s="114"/>
      <c r="K151" s="15" t="str">
        <f>IF(B151="","Pending",IF(M151="","⚠️ Enter Code",IF(IFERROR(VLOOKUP(L151,DB_Agents!$B:$I,8,0),"")=M151,"Pending","🔒 BLOCKED — Wrong Code")))</f>
        <v>Pending</v>
      </c>
      <c r="M151" s="84"/>
    </row>
    <row r="152" spans="8:13" x14ac:dyDescent="0.25">
      <c r="H152" s="114"/>
      <c r="K152" s="115" t="str">
        <f>IF(B152="","Pending",IF(M152="","⚠️ Enter Code",IF(IFERROR(VLOOKUP(L152,DB_Agents!$B:$I,8,0),"")=M152,"Pending","🔒 BLOCKED — Wrong Code")))</f>
        <v>Pending</v>
      </c>
      <c r="M152" s="84"/>
    </row>
    <row r="153" spans="8:13" x14ac:dyDescent="0.25">
      <c r="H153" s="114"/>
      <c r="K153" s="15" t="str">
        <f>IF(B153="","Pending",IF(M153="","⚠️ Enter Code",IF(IFERROR(VLOOKUP(L153,DB_Agents!$B:$I,8,0),"")=M153,"Pending","🔒 BLOCKED — Wrong Code")))</f>
        <v>Pending</v>
      </c>
      <c r="M153" s="84"/>
    </row>
    <row r="154" spans="8:13" x14ac:dyDescent="0.25">
      <c r="H154" s="114"/>
      <c r="K154" s="115" t="str">
        <f>IF(B154="","Pending",IF(M154="","⚠️ Enter Code",IF(IFERROR(VLOOKUP(L154,DB_Agents!$B:$I,8,0),"")=M154,"Pending","🔒 BLOCKED — Wrong Code")))</f>
        <v>Pending</v>
      </c>
      <c r="M154" s="84"/>
    </row>
    <row r="155" spans="8:13" x14ac:dyDescent="0.25">
      <c r="H155" s="114"/>
      <c r="K155" s="15" t="str">
        <f>IF(B155="","Pending",IF(M155="","⚠️ Enter Code",IF(IFERROR(VLOOKUP(L155,DB_Agents!$B:$I,8,0),"")=M155,"Pending","🔒 BLOCKED — Wrong Code")))</f>
        <v>Pending</v>
      </c>
      <c r="M155" s="84"/>
    </row>
    <row r="156" spans="8:13" x14ac:dyDescent="0.25">
      <c r="H156" s="114"/>
      <c r="K156" s="115" t="str">
        <f>IF(B156="","Pending",IF(M156="","⚠️ Enter Code",IF(IFERROR(VLOOKUP(L156,DB_Agents!$B:$I,8,0),"")=M156,"Pending","🔒 BLOCKED — Wrong Code")))</f>
        <v>Pending</v>
      </c>
      <c r="M156" s="84"/>
    </row>
    <row r="157" spans="8:13" x14ac:dyDescent="0.25">
      <c r="H157" s="114"/>
      <c r="K157" s="15" t="str">
        <f>IF(B157="","Pending",IF(M157="","⚠️ Enter Code",IF(IFERROR(VLOOKUP(L157,DB_Agents!$B:$I,8,0),"")=M157,"Pending","🔒 BLOCKED — Wrong Code")))</f>
        <v>Pending</v>
      </c>
      <c r="M157" s="84"/>
    </row>
    <row r="158" spans="8:13" x14ac:dyDescent="0.25">
      <c r="H158" s="114"/>
      <c r="K158" s="115" t="str">
        <f>IF(B158="","Pending",IF(M158="","⚠️ Enter Code",IF(IFERROR(VLOOKUP(L158,DB_Agents!$B:$I,8,0),"")=M158,"Pending","🔒 BLOCKED — Wrong Code")))</f>
        <v>Pending</v>
      </c>
      <c r="M158" s="84"/>
    </row>
    <row r="159" spans="8:13" x14ac:dyDescent="0.25">
      <c r="H159" s="114"/>
      <c r="K159" s="15" t="str">
        <f>IF(B159="","Pending",IF(M159="","⚠️ Enter Code",IF(IFERROR(VLOOKUP(L159,DB_Agents!$B:$I,8,0),"")=M159,"Pending","🔒 BLOCKED — Wrong Code")))</f>
        <v>Pending</v>
      </c>
      <c r="M159" s="84"/>
    </row>
    <row r="160" spans="8:13" x14ac:dyDescent="0.25">
      <c r="H160" s="114"/>
      <c r="K160" s="115" t="str">
        <f>IF(B160="","Pending",IF(M160="","⚠️ Enter Code",IF(IFERROR(VLOOKUP(L160,DB_Agents!$B:$I,8,0),"")=M160,"Pending","🔒 BLOCKED — Wrong Code")))</f>
        <v>Pending</v>
      </c>
      <c r="M160" s="84"/>
    </row>
    <row r="161" spans="8:13" x14ac:dyDescent="0.25">
      <c r="H161" s="114"/>
      <c r="K161" s="15" t="str">
        <f>IF(B161="","Pending",IF(M161="","⚠️ Enter Code",IF(IFERROR(VLOOKUP(L161,DB_Agents!$B:$I,8,0),"")=M161,"Pending","🔒 BLOCKED — Wrong Code")))</f>
        <v>Pending</v>
      </c>
      <c r="M161" s="84"/>
    </row>
    <row r="162" spans="8:13" x14ac:dyDescent="0.25">
      <c r="H162" s="114"/>
      <c r="K162" s="115" t="str">
        <f>IF(B162="","Pending",IF(M162="","⚠️ Enter Code",IF(IFERROR(VLOOKUP(L162,DB_Agents!$B:$I,8,0),"")=M162,"Pending","🔒 BLOCKED — Wrong Code")))</f>
        <v>Pending</v>
      </c>
      <c r="M162" s="84"/>
    </row>
    <row r="163" spans="8:13" x14ac:dyDescent="0.25">
      <c r="H163" s="114"/>
      <c r="K163" s="15" t="str">
        <f>IF(B163="","Pending",IF(M163="","⚠️ Enter Code",IF(IFERROR(VLOOKUP(L163,DB_Agents!$B:$I,8,0),"")=M163,"Pending","🔒 BLOCKED — Wrong Code")))</f>
        <v>Pending</v>
      </c>
      <c r="M163" s="84"/>
    </row>
    <row r="164" spans="8:13" x14ac:dyDescent="0.25">
      <c r="H164" s="114"/>
      <c r="K164" s="115" t="str">
        <f>IF(B164="","Pending",IF(M164="","⚠️ Enter Code",IF(IFERROR(VLOOKUP(L164,DB_Agents!$B:$I,8,0),"")=M164,"Pending","🔒 BLOCKED — Wrong Code")))</f>
        <v>Pending</v>
      </c>
      <c r="M164" s="84"/>
    </row>
    <row r="165" spans="8:13" x14ac:dyDescent="0.25">
      <c r="H165" s="114"/>
      <c r="K165" s="15" t="str">
        <f>IF(B165="","Pending",IF(M165="","⚠️ Enter Code",IF(IFERROR(VLOOKUP(L165,DB_Agents!$B:$I,8,0),"")=M165,"Pending","🔒 BLOCKED — Wrong Code")))</f>
        <v>Pending</v>
      </c>
      <c r="M165" s="84"/>
    </row>
    <row r="166" spans="8:13" x14ac:dyDescent="0.25">
      <c r="H166" s="114"/>
      <c r="K166" s="115" t="str">
        <f>IF(B166="","Pending",IF(M166="","⚠️ Enter Code",IF(IFERROR(VLOOKUP(L166,DB_Agents!$B:$I,8,0),"")=M166,"Pending","🔒 BLOCKED — Wrong Code")))</f>
        <v>Pending</v>
      </c>
      <c r="M166" s="84"/>
    </row>
    <row r="167" spans="8:13" x14ac:dyDescent="0.25">
      <c r="H167" s="114"/>
      <c r="K167" s="15" t="str">
        <f>IF(B167="","Pending",IF(M167="","⚠️ Enter Code",IF(IFERROR(VLOOKUP(L167,DB_Agents!$B:$I,8,0),"")=M167,"Pending","🔒 BLOCKED — Wrong Code")))</f>
        <v>Pending</v>
      </c>
      <c r="M167" s="84"/>
    </row>
    <row r="168" spans="8:13" x14ac:dyDescent="0.25">
      <c r="H168" s="114"/>
      <c r="K168" s="115" t="str">
        <f>IF(B168="","Pending",IF(M168="","⚠️ Enter Code",IF(IFERROR(VLOOKUP(L168,DB_Agents!$B:$I,8,0),"")=M168,"Pending","🔒 BLOCKED — Wrong Code")))</f>
        <v>Pending</v>
      </c>
      <c r="M168" s="84"/>
    </row>
    <row r="169" spans="8:13" x14ac:dyDescent="0.25">
      <c r="H169" s="114"/>
      <c r="K169" s="15" t="str">
        <f>IF(B169="","Pending",IF(M169="","⚠️ Enter Code",IF(IFERROR(VLOOKUP(L169,DB_Agents!$B:$I,8,0),"")=M169,"Pending","🔒 BLOCKED — Wrong Code")))</f>
        <v>Pending</v>
      </c>
      <c r="M169" s="84"/>
    </row>
    <row r="170" spans="8:13" x14ac:dyDescent="0.25">
      <c r="H170" s="114"/>
      <c r="K170" s="115" t="str">
        <f>IF(B170="","Pending",IF(M170="","⚠️ Enter Code",IF(IFERROR(VLOOKUP(L170,DB_Agents!$B:$I,8,0),"")=M170,"Pending","🔒 BLOCKED — Wrong Code")))</f>
        <v>Pending</v>
      </c>
      <c r="M170" s="84"/>
    </row>
    <row r="171" spans="8:13" x14ac:dyDescent="0.25">
      <c r="H171" s="114"/>
      <c r="K171" s="15" t="str">
        <f>IF(B171="","Pending",IF(M171="","⚠️ Enter Code",IF(IFERROR(VLOOKUP(L171,DB_Agents!$B:$I,8,0),"")=M171,"Pending","🔒 BLOCKED — Wrong Code")))</f>
        <v>Pending</v>
      </c>
      <c r="M171" s="84"/>
    </row>
    <row r="172" spans="8:13" x14ac:dyDescent="0.25">
      <c r="H172" s="114"/>
      <c r="K172" s="115" t="str">
        <f>IF(B172="","Pending",IF(M172="","⚠️ Enter Code",IF(IFERROR(VLOOKUP(L172,DB_Agents!$B:$I,8,0),"")=M172,"Pending","🔒 BLOCKED — Wrong Code")))</f>
        <v>Pending</v>
      </c>
      <c r="M172" s="84"/>
    </row>
    <row r="173" spans="8:13" x14ac:dyDescent="0.25">
      <c r="H173" s="114"/>
      <c r="K173" s="15" t="str">
        <f>IF(B173="","Pending",IF(M173="","⚠️ Enter Code",IF(IFERROR(VLOOKUP(L173,DB_Agents!$B:$I,8,0),"")=M173,"Pending","🔒 BLOCKED — Wrong Code")))</f>
        <v>Pending</v>
      </c>
      <c r="M173" s="84"/>
    </row>
    <row r="174" spans="8:13" x14ac:dyDescent="0.25">
      <c r="H174" s="114"/>
      <c r="K174" s="115" t="str">
        <f>IF(B174="","Pending",IF(M174="","⚠️ Enter Code",IF(IFERROR(VLOOKUP(L174,DB_Agents!$B:$I,8,0),"")=M174,"Pending","🔒 BLOCKED — Wrong Code")))</f>
        <v>Pending</v>
      </c>
      <c r="M174" s="84"/>
    </row>
    <row r="175" spans="8:13" x14ac:dyDescent="0.25">
      <c r="H175" s="114"/>
      <c r="K175" s="15" t="str">
        <f>IF(B175="","Pending",IF(M175="","⚠️ Enter Code",IF(IFERROR(VLOOKUP(L175,DB_Agents!$B:$I,8,0),"")=M175,"Pending","🔒 BLOCKED — Wrong Code")))</f>
        <v>Pending</v>
      </c>
      <c r="M175" s="84"/>
    </row>
    <row r="176" spans="8:13" x14ac:dyDescent="0.25">
      <c r="H176" s="114"/>
      <c r="K176" s="115" t="str">
        <f>IF(B176="","Pending",IF(M176="","⚠️ Enter Code",IF(IFERROR(VLOOKUP(L176,DB_Agents!$B:$I,8,0),"")=M176,"Pending","🔒 BLOCKED — Wrong Code")))</f>
        <v>Pending</v>
      </c>
      <c r="M176" s="84"/>
    </row>
    <row r="177" spans="8:13" x14ac:dyDescent="0.25">
      <c r="H177" s="114"/>
      <c r="K177" s="15" t="str">
        <f>IF(B177="","Pending",IF(M177="","⚠️ Enter Code",IF(IFERROR(VLOOKUP(L177,DB_Agents!$B:$I,8,0),"")=M177,"Pending","🔒 BLOCKED — Wrong Code")))</f>
        <v>Pending</v>
      </c>
      <c r="M177" s="84"/>
    </row>
    <row r="178" spans="8:13" x14ac:dyDescent="0.25">
      <c r="H178" s="114"/>
      <c r="K178" s="115" t="str">
        <f>IF(B178="","Pending",IF(M178="","⚠️ Enter Code",IF(IFERROR(VLOOKUP(L178,DB_Agents!$B:$I,8,0),"")=M178,"Pending","🔒 BLOCKED — Wrong Code")))</f>
        <v>Pending</v>
      </c>
      <c r="M178" s="84"/>
    </row>
    <row r="179" spans="8:13" x14ac:dyDescent="0.25">
      <c r="H179" s="114"/>
      <c r="K179" s="15" t="str">
        <f>IF(B179="","Pending",IF(M179="","⚠️ Enter Code",IF(IFERROR(VLOOKUP(L179,DB_Agents!$B:$I,8,0),"")=M179,"Pending","🔒 BLOCKED — Wrong Code")))</f>
        <v>Pending</v>
      </c>
      <c r="M179" s="84"/>
    </row>
    <row r="180" spans="8:13" x14ac:dyDescent="0.25">
      <c r="H180" s="114"/>
      <c r="K180" s="115" t="str">
        <f>IF(B180="","Pending",IF(M180="","⚠️ Enter Code",IF(IFERROR(VLOOKUP(L180,DB_Agents!$B:$I,8,0),"")=M180,"Pending","🔒 BLOCKED — Wrong Code")))</f>
        <v>Pending</v>
      </c>
      <c r="M180" s="84"/>
    </row>
    <row r="181" spans="8:13" x14ac:dyDescent="0.25">
      <c r="H181" s="114"/>
      <c r="K181" s="15" t="str">
        <f>IF(B181="","Pending",IF(M181="","⚠️ Enter Code",IF(IFERROR(VLOOKUP(L181,DB_Agents!$B:$I,8,0),"")=M181,"Pending","🔒 BLOCKED — Wrong Code")))</f>
        <v>Pending</v>
      </c>
      <c r="M181" s="84"/>
    </row>
    <row r="182" spans="8:13" x14ac:dyDescent="0.25">
      <c r="H182" s="114"/>
      <c r="K182" s="115" t="str">
        <f>IF(B182="","Pending",IF(M182="","⚠️ Enter Code",IF(IFERROR(VLOOKUP(L182,DB_Agents!$B:$I,8,0),"")=M182,"Pending","🔒 BLOCKED — Wrong Code")))</f>
        <v>Pending</v>
      </c>
      <c r="M182" s="84"/>
    </row>
    <row r="183" spans="8:13" x14ac:dyDescent="0.25">
      <c r="H183" s="114"/>
      <c r="K183" s="15" t="str">
        <f>IF(B183="","Pending",IF(M183="","⚠️ Enter Code",IF(IFERROR(VLOOKUP(L183,DB_Agents!$B:$I,8,0),"")=M183,"Pending","🔒 BLOCKED — Wrong Code")))</f>
        <v>Pending</v>
      </c>
      <c r="M183" s="84"/>
    </row>
    <row r="184" spans="8:13" x14ac:dyDescent="0.25">
      <c r="H184" s="114"/>
      <c r="K184" s="115" t="str">
        <f>IF(B184="","Pending",IF(M184="","⚠️ Enter Code",IF(IFERROR(VLOOKUP(L184,DB_Agents!$B:$I,8,0),"")=M184,"Pending","🔒 BLOCKED — Wrong Code")))</f>
        <v>Pending</v>
      </c>
      <c r="M184" s="84"/>
    </row>
    <row r="185" spans="8:13" x14ac:dyDescent="0.25">
      <c r="H185" s="114"/>
      <c r="K185" s="15" t="str">
        <f>IF(B185="","Pending",IF(M185="","⚠️ Enter Code",IF(IFERROR(VLOOKUP(L185,DB_Agents!$B:$I,8,0),"")=M185,"Pending","🔒 BLOCKED — Wrong Code")))</f>
        <v>Pending</v>
      </c>
      <c r="M185" s="84"/>
    </row>
    <row r="186" spans="8:13" x14ac:dyDescent="0.25">
      <c r="H186" s="114"/>
      <c r="K186" s="115" t="str">
        <f>IF(B186="","Pending",IF(M186="","⚠️ Enter Code",IF(IFERROR(VLOOKUP(L186,DB_Agents!$B:$I,8,0),"")=M186,"Pending","🔒 BLOCKED — Wrong Code")))</f>
        <v>Pending</v>
      </c>
      <c r="M186" s="84"/>
    </row>
    <row r="187" spans="8:13" x14ac:dyDescent="0.25">
      <c r="H187" s="114"/>
      <c r="K187" s="15" t="str">
        <f>IF(B187="","Pending",IF(M187="","⚠️ Enter Code",IF(IFERROR(VLOOKUP(L187,DB_Agents!$B:$I,8,0),"")=M187,"Pending","🔒 BLOCKED — Wrong Code")))</f>
        <v>Pending</v>
      </c>
      <c r="M187" s="84"/>
    </row>
    <row r="188" spans="8:13" x14ac:dyDescent="0.25">
      <c r="H188" s="114"/>
      <c r="K188" s="115" t="str">
        <f>IF(B188="","Pending",IF(M188="","⚠️ Enter Code",IF(IFERROR(VLOOKUP(L188,DB_Agents!$B:$I,8,0),"")=M188,"Pending","🔒 BLOCKED — Wrong Code")))</f>
        <v>Pending</v>
      </c>
      <c r="M188" s="84"/>
    </row>
    <row r="189" spans="8:13" x14ac:dyDescent="0.25">
      <c r="H189" s="114"/>
      <c r="K189" s="15" t="str">
        <f>IF(B189="","Pending",IF(M189="","⚠️ Enter Code",IF(IFERROR(VLOOKUP(L189,DB_Agents!$B:$I,8,0),"")=M189,"Pending","🔒 BLOCKED — Wrong Code")))</f>
        <v>Pending</v>
      </c>
      <c r="M189" s="84"/>
    </row>
    <row r="190" spans="8:13" x14ac:dyDescent="0.25">
      <c r="H190" s="114"/>
      <c r="K190" s="115" t="str">
        <f>IF(B190="","Pending",IF(M190="","⚠️ Enter Code",IF(IFERROR(VLOOKUP(L190,DB_Agents!$B:$I,8,0),"")=M190,"Pending","🔒 BLOCKED — Wrong Code")))</f>
        <v>Pending</v>
      </c>
      <c r="M190" s="84"/>
    </row>
    <row r="191" spans="8:13" x14ac:dyDescent="0.25">
      <c r="H191" s="114"/>
      <c r="K191" s="15" t="str">
        <f>IF(B191="","Pending",IF(M191="","⚠️ Enter Code",IF(IFERROR(VLOOKUP(L191,DB_Agents!$B:$I,8,0),"")=M191,"Pending","🔒 BLOCKED — Wrong Code")))</f>
        <v>Pending</v>
      </c>
      <c r="M191" s="84"/>
    </row>
    <row r="192" spans="8:13" x14ac:dyDescent="0.25">
      <c r="H192" s="114"/>
      <c r="K192" s="115" t="str">
        <f>IF(B192="","Pending",IF(M192="","⚠️ Enter Code",IF(IFERROR(VLOOKUP(L192,DB_Agents!$B:$I,8,0),"")=M192,"Pending","🔒 BLOCKED — Wrong Code")))</f>
        <v>Pending</v>
      </c>
      <c r="M192" s="84"/>
    </row>
    <row r="193" spans="8:13" x14ac:dyDescent="0.25">
      <c r="H193" s="114"/>
      <c r="K193" s="15" t="str">
        <f>IF(B193="","Pending",IF(M193="","⚠️ Enter Code",IF(IFERROR(VLOOKUP(L193,DB_Agents!$B:$I,8,0),"")=M193,"Pending","🔒 BLOCKED — Wrong Code")))</f>
        <v>Pending</v>
      </c>
      <c r="M193" s="84"/>
    </row>
    <row r="194" spans="8:13" x14ac:dyDescent="0.25">
      <c r="H194" s="114"/>
      <c r="K194" s="115" t="str">
        <f>IF(B194="","Pending",IF(M194="","⚠️ Enter Code",IF(IFERROR(VLOOKUP(L194,DB_Agents!$B:$I,8,0),"")=M194,"Pending","🔒 BLOCKED — Wrong Code")))</f>
        <v>Pending</v>
      </c>
      <c r="M194" s="84"/>
    </row>
    <row r="195" spans="8:13" x14ac:dyDescent="0.25">
      <c r="H195" s="114"/>
      <c r="K195" s="15" t="str">
        <f>IF(B195="","Pending",IF(M195="","⚠️ Enter Code",IF(IFERROR(VLOOKUP(L195,DB_Agents!$B:$I,8,0),"")=M195,"Pending","🔒 BLOCKED — Wrong Code")))</f>
        <v>Pending</v>
      </c>
      <c r="M195" s="84"/>
    </row>
    <row r="196" spans="8:13" x14ac:dyDescent="0.25">
      <c r="H196" s="114"/>
      <c r="K196" s="115" t="str">
        <f>IF(B196="","Pending",IF(M196="","⚠️ Enter Code",IF(IFERROR(VLOOKUP(L196,DB_Agents!$B:$I,8,0),"")=M196,"Pending","🔒 BLOCKED — Wrong Code")))</f>
        <v>Pending</v>
      </c>
      <c r="M196" s="84"/>
    </row>
    <row r="197" spans="8:13" x14ac:dyDescent="0.25">
      <c r="H197" s="114"/>
      <c r="K197" s="15" t="str">
        <f>IF(B197="","Pending",IF(M197="","⚠️ Enter Code",IF(IFERROR(VLOOKUP(L197,DB_Agents!$B:$I,8,0),"")=M197,"Pending","🔒 BLOCKED — Wrong Code")))</f>
        <v>Pending</v>
      </c>
      <c r="M197" s="84"/>
    </row>
    <row r="198" spans="8:13" x14ac:dyDescent="0.25">
      <c r="H198" s="114"/>
      <c r="K198" s="115" t="str">
        <f>IF(B198="","Pending",IF(M198="","⚠️ Enter Code",IF(IFERROR(VLOOKUP(L198,DB_Agents!$B:$I,8,0),"")=M198,"Pending","🔒 BLOCKED — Wrong Code")))</f>
        <v>Pending</v>
      </c>
      <c r="M198" s="84"/>
    </row>
    <row r="199" spans="8:13" x14ac:dyDescent="0.25">
      <c r="H199" s="114"/>
      <c r="K199" s="15" t="str">
        <f>IF(B199="","Pending",IF(M199="","⚠️ Enter Code",IF(IFERROR(VLOOKUP(L199,DB_Agents!$B:$I,8,0),"")=M199,"Pending","🔒 BLOCKED — Wrong Code")))</f>
        <v>Pending</v>
      </c>
      <c r="M199" s="84"/>
    </row>
    <row r="200" spans="8:13" x14ac:dyDescent="0.25">
      <c r="H200" s="114"/>
      <c r="K200" s="115" t="str">
        <f>IF(B200="","Pending",IF(M200="","⚠️ Enter Code",IF(IFERROR(VLOOKUP(L200,DB_Agents!$B:$I,8,0),"")=M200,"Pending","🔒 BLOCKED — Wrong Code")))</f>
        <v>Pending</v>
      </c>
      <c r="M200" s="84"/>
    </row>
    <row r="201" spans="8:13" x14ac:dyDescent="0.25">
      <c r="K201" s="15" t="str">
        <f>IF(B201="","Pending",IF(M201="","⚠️ Enter Code",IF(IFERROR(VLOOKUP(L201,DB_Agents!$B:$I,8,0),"")=M201,"Pending","🔒 BLOCKED — Wrong Code")))</f>
        <v>Pending</v>
      </c>
      <c r="M201" s="84"/>
    </row>
    <row r="202" spans="8:13" x14ac:dyDescent="0.25">
      <c r="K202" s="115" t="str">
        <f>IF(B202="","Pending",IF(M202="","⚠️ Enter Code",IF(IFERROR(VLOOKUP(L202,DB_Agents!$B:$I,8,0),"")=M202,"Pending","🔒 BLOCKED — Wrong Code")))</f>
        <v>Pending</v>
      </c>
      <c r="M202" s="84"/>
    </row>
    <row r="203" spans="8:13" x14ac:dyDescent="0.25">
      <c r="K203" s="15" t="str">
        <f>IF(B203="","Pending",IF(M203="","⚠️ Enter Code",IF(IFERROR(VLOOKUP(L203,DB_Agents!$B:$I,8,0),"")=M203,"Pending","🔒 BLOCKED — Wrong Code")))</f>
        <v>Pending</v>
      </c>
      <c r="M203" s="84"/>
    </row>
    <row r="204" spans="8:13" x14ac:dyDescent="0.25">
      <c r="K204" s="115" t="str">
        <f>IF(B204="","Pending",IF(M204="","⚠️ Enter Code",IF(IFERROR(VLOOKUP(L204,DB_Agents!$B:$I,8,0),"")=M204,"Pending","🔒 BLOCKED — Wrong Code")))</f>
        <v>Pending</v>
      </c>
      <c r="M204" s="84"/>
    </row>
    <row r="205" spans="8:13" x14ac:dyDescent="0.25">
      <c r="K205" s="15" t="str">
        <f>IF(B205="","Pending",IF(M205="","⚠️ Enter Code",IF(IFERROR(VLOOKUP(L205,DB_Agents!$B:$I,8,0),"")=M205,"Pending","🔒 BLOCKED — Wrong Code")))</f>
        <v>Pending</v>
      </c>
      <c r="M205" s="84"/>
    </row>
    <row r="206" spans="8:13" x14ac:dyDescent="0.25">
      <c r="K206" s="115" t="str">
        <f>IF(B206="","Pending",IF(M206="","⚠️ Enter Code",IF(IFERROR(VLOOKUP(L206,DB_Agents!$B:$I,8,0),"")=M206,"Pending","🔒 BLOCKED — Wrong Code")))</f>
        <v>Pending</v>
      </c>
      <c r="M206" s="84"/>
    </row>
    <row r="207" spans="8:13" x14ac:dyDescent="0.25">
      <c r="K207" s="15" t="str">
        <f>IF(B207="","Pending",IF(M207="","⚠️ Enter Code",IF(IFERROR(VLOOKUP(L207,DB_Agents!$B:$I,8,0),"")=M207,"Pending","🔒 BLOCKED — Wrong Code")))</f>
        <v>Pending</v>
      </c>
      <c r="M207" s="84"/>
    </row>
    <row r="208" spans="8:13" x14ac:dyDescent="0.25">
      <c r="K208" s="115" t="str">
        <f>IF(B208="","Pending",IF(M208="","⚠️ Enter Code",IF(IFERROR(VLOOKUP(L208,DB_Agents!$B:$I,8,0),"")=M208,"Pending","🔒 BLOCKED — Wrong Code")))</f>
        <v>Pending</v>
      </c>
      <c r="M208" s="84"/>
    </row>
    <row r="209" spans="11:13" x14ac:dyDescent="0.25">
      <c r="K209" s="15" t="str">
        <f>IF(B209="","Pending",IF(M209="","⚠️ Enter Code",IF(IFERROR(VLOOKUP(L209,DB_Agents!$B:$I,8,0),"")=M209,"Pending","🔒 BLOCKED — Wrong Code")))</f>
        <v>Pending</v>
      </c>
      <c r="M209" s="84"/>
    </row>
    <row r="210" spans="11:13" x14ac:dyDescent="0.25">
      <c r="K210" s="115" t="str">
        <f>IF(B210="","Pending",IF(M210="","⚠️ Enter Code",IF(IFERROR(VLOOKUP(L210,DB_Agents!$B:$I,8,0),"")=M210,"Pending","🔒 BLOCKED — Wrong Code")))</f>
        <v>Pending</v>
      </c>
      <c r="M210" s="84"/>
    </row>
    <row r="211" spans="11:13" x14ac:dyDescent="0.25">
      <c r="K211" s="15" t="str">
        <f>IF(B211="","Pending",IF(M211="","⚠️ Enter Code",IF(IFERROR(VLOOKUP(L211,DB_Agents!$B:$I,8,0),"")=M211,"Pending","🔒 BLOCKED — Wrong Code")))</f>
        <v>Pending</v>
      </c>
      <c r="M211" s="84"/>
    </row>
    <row r="212" spans="11:13" x14ac:dyDescent="0.25">
      <c r="K212" s="115" t="str">
        <f>IF(B212="","Pending",IF(M212="","⚠️ Enter Code",IF(IFERROR(VLOOKUP(L212,DB_Agents!$B:$I,8,0),"")=M212,"Pending","🔒 BLOCKED — Wrong Code")))</f>
        <v>Pending</v>
      </c>
      <c r="M212" s="84"/>
    </row>
    <row r="213" spans="11:13" x14ac:dyDescent="0.25">
      <c r="K213" s="15" t="str">
        <f>IF(B213="","Pending",IF(M213="","⚠️ Enter Code",IF(IFERROR(VLOOKUP(L213,DB_Agents!$B:$I,8,0),"")=M213,"Pending","🔒 BLOCKED — Wrong Code")))</f>
        <v>Pending</v>
      </c>
      <c r="M213" s="84"/>
    </row>
  </sheetData>
  <mergeCells count="10">
    <mergeCell ref="B7:D7"/>
    <mergeCell ref="B8:D8"/>
    <mergeCell ref="B9:D9"/>
    <mergeCell ref="B10:D10"/>
    <mergeCell ref="A12:N12"/>
    <mergeCell ref="A1:N1"/>
    <mergeCell ref="A2:N2"/>
    <mergeCell ref="A4:D4"/>
    <mergeCell ref="B5:D5"/>
    <mergeCell ref="B6:D6"/>
  </mergeCells>
  <conditionalFormatting sqref="K14:K113">
    <cfRule type="cellIs" dxfId="75" priority="2" operator="equal">
      <formula>"Approved"</formula>
    </cfRule>
    <cfRule type="cellIs" dxfId="74" priority="3" operator="equal">
      <formula>"Pending"</formula>
    </cfRule>
    <cfRule type="cellIs" dxfId="73" priority="4" operator="equal">
      <formula>"Rejected"</formula>
    </cfRule>
  </conditionalFormatting>
  <dataValidations count="2">
    <dataValidation type="whole" showErrorMessage="1" error="Enter 1-36 months" sqref="G14:G113" xr:uid="{00000000-0002-0000-0D00-000000000000}">
      <formula1>1</formula1>
      <formula2>36</formula2>
    </dataValidation>
    <dataValidation type="list" sqref="L14:L113" xr:uid="{00000000-0002-0000-0D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27AE60"/>
  </sheetPr>
  <dimension ref="A1:L208"/>
  <sheetViews>
    <sheetView zoomScaleNormal="100" workbookViewId="0">
      <pane ySplit="8" topLeftCell="A9" activePane="bottomLeft" state="frozen"/>
      <selection pane="bottomLeft"/>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2" customWidth="1"/>
    <col min="8" max="8" width="14" customWidth="1"/>
    <col min="9" max="10" width="22" customWidth="1"/>
  </cols>
  <sheetData>
    <row r="1" spans="1:12" ht="31.5" customHeight="1" x14ac:dyDescent="0.25">
      <c r="A1" s="14" t="s">
        <v>205</v>
      </c>
      <c r="B1" s="14"/>
      <c r="C1" s="14"/>
      <c r="D1" s="14"/>
      <c r="E1" s="14"/>
      <c r="F1" s="14"/>
      <c r="G1" s="14"/>
      <c r="H1" s="14"/>
      <c r="I1" s="14"/>
      <c r="J1" s="14"/>
      <c r="K1" s="14"/>
      <c r="L1" s="14"/>
    </row>
    <row r="2" spans="1:12" ht="19.5" customHeight="1" x14ac:dyDescent="0.25">
      <c r="A2" s="204" t="s">
        <v>206</v>
      </c>
      <c r="B2" s="204"/>
      <c r="C2" s="204"/>
      <c r="D2" s="204"/>
      <c r="E2" s="204"/>
      <c r="F2" s="204"/>
      <c r="G2" s="204"/>
      <c r="H2" s="204"/>
      <c r="I2" s="204"/>
      <c r="J2" s="204"/>
      <c r="K2" s="204"/>
      <c r="L2" s="204"/>
    </row>
    <row r="3" spans="1:12" ht="18" customHeight="1" x14ac:dyDescent="0.25">
      <c r="A3" s="177" t="s">
        <v>167</v>
      </c>
      <c r="B3" s="177"/>
      <c r="C3" s="177"/>
      <c r="D3" s="180" t="s">
        <v>168</v>
      </c>
      <c r="E3" s="180"/>
      <c r="F3" s="180"/>
      <c r="G3" s="154" t="s">
        <v>169</v>
      </c>
      <c r="H3" s="154"/>
      <c r="I3" s="154"/>
      <c r="J3" s="2"/>
      <c r="K3" s="2"/>
      <c r="L3" s="2"/>
    </row>
    <row r="4" spans="1:12" ht="27.75" customHeight="1" x14ac:dyDescent="0.25">
      <c r="A4" s="205">
        <f ca="1">SUMIFS(DB_Savings!$F:$F,DB_Savings!$G:$G,"Agent 04",DB_Savings!$E:$E,TODAY())</f>
        <v>0</v>
      </c>
      <c r="B4" s="205"/>
      <c r="C4" s="205"/>
      <c r="D4" s="206">
        <f ca="1">COUNTIFS(DB_Savings!$G:$G,"Agent 04",DB_Savings!$E:$E,TODAY())</f>
        <v>0</v>
      </c>
      <c r="E4" s="206"/>
      <c r="F4" s="206"/>
      <c r="G4" s="207" t="str">
        <f ca="1">TEXT(TODAY(),"DDDD, DD MMMM YYYY")</f>
        <v>Sunday, 19 April 2026</v>
      </c>
      <c r="H4" s="207"/>
      <c r="I4" s="207"/>
      <c r="J4" s="2"/>
      <c r="K4" s="2"/>
      <c r="L4" s="2"/>
    </row>
    <row r="5" spans="1:12" ht="21.75" customHeight="1" x14ac:dyDescent="0.25">
      <c r="A5" s="208" t="str">
        <f ca="1">IF(SUMIFS(DB_Savings!$F:$F,DB_Savings!$G:$G,"Agent 04",DB_Savings!$E:$E,TODAY())&gt;=J4,"✅ DAILY TARGET ACHIEVED! Well done Agent 04!","⏳ Collection in progress — Keep going! Remaining: GHC "&amp;TEXT(J4-SUMIFS(DB_Savings!$F:$F,DB_Savings!$G:$G,"Agent 04",DB_Savings!$E:$E,TODAY()),"#,##0.00"))</f>
        <v>✅ DAILY TARGET ACHIEVED! Well done Agent 04!</v>
      </c>
      <c r="B5" s="208"/>
      <c r="C5" s="208"/>
      <c r="D5" s="208"/>
      <c r="E5" s="208"/>
      <c r="F5" s="208"/>
      <c r="G5" s="208"/>
      <c r="H5" s="208"/>
      <c r="I5" s="208"/>
      <c r="J5" s="208"/>
      <c r="K5" s="208"/>
      <c r="L5" s="208"/>
    </row>
    <row r="6" spans="1:12" ht="7.5" customHeight="1" x14ac:dyDescent="0.25"/>
    <row r="7" spans="1:12" ht="19.5" customHeight="1" x14ac:dyDescent="0.25">
      <c r="A7" s="209" t="s">
        <v>170</v>
      </c>
      <c r="B7" s="209"/>
      <c r="C7" s="209"/>
      <c r="D7" s="209"/>
      <c r="E7" s="209"/>
      <c r="F7" s="209"/>
      <c r="G7" s="209"/>
      <c r="H7" s="209"/>
      <c r="I7" s="209"/>
      <c r="J7" s="209"/>
      <c r="K7" s="209"/>
      <c r="L7" s="209"/>
    </row>
    <row r="8" spans="1:12" ht="19.5" customHeight="1" x14ac:dyDescent="0.25">
      <c r="A8" s="20" t="s">
        <v>171</v>
      </c>
      <c r="B8" s="20" t="s">
        <v>118</v>
      </c>
      <c r="C8" s="20" t="s">
        <v>172</v>
      </c>
      <c r="D8" s="20" t="s">
        <v>111</v>
      </c>
      <c r="E8" s="20" t="s">
        <v>173</v>
      </c>
      <c r="F8" s="20" t="s">
        <v>174</v>
      </c>
      <c r="G8" s="20" t="s">
        <v>32</v>
      </c>
      <c r="H8" s="78" t="s">
        <v>175</v>
      </c>
      <c r="I8" s="20" t="s">
        <v>155</v>
      </c>
      <c r="J8" s="20" t="s">
        <v>176</v>
      </c>
      <c r="K8" s="20" t="s">
        <v>177</v>
      </c>
    </row>
    <row r="9" spans="1:12" x14ac:dyDescent="0.25">
      <c r="A9" s="79"/>
      <c r="B9" s="21" t="str">
        <f>IF(A9="","",IFERROR(VLOOKUP(A9,DB_Customers!$A:$D,4,0),"❌ Account Not Found"))</f>
        <v/>
      </c>
      <c r="C9" s="80" t="str">
        <f>IF(A9="","",IFERROR(VLOOKUP(A9,DB_Customers!$A:$N,14,0),""))</f>
        <v/>
      </c>
      <c r="D9" s="81" t="str">
        <f t="shared" ref="D9:D40" ca="1" si="0">IF(A9="","",TODAY())</f>
        <v/>
      </c>
      <c r="E9" s="82"/>
      <c r="F9" s="83" t="str">
        <f t="shared" ref="F9:F40" si="1">IF(OR(A9="",E9=""),"",IF(C9="","",C9+E9))</f>
        <v/>
      </c>
      <c r="G9" s="23" t="s">
        <v>44</v>
      </c>
      <c r="H9" s="84"/>
      <c r="I9" s="85" t="str">
        <f>IF(A9="","Pending",IF(H9="","⚠️ Enter Code",IF(IFERROR(VLOOKUP(G9,DB_Agents!$B:$I,8,0),"")=H9,IF(AND(A9&lt;&gt;"",E9&lt;&gt;""),"Saved","Pending"),"🔒 BLOCKED — Wrong Code")))</f>
        <v>Pending</v>
      </c>
      <c r="J9" s="86" t="str">
        <f t="shared" ref="J9:J40" ca="1" si="2">IF(I9="Saved",TEXT(TODAY(),"YYYY-MM-DD")&amp;" Auto","—")</f>
        <v>—</v>
      </c>
      <c r="K9" s="87"/>
    </row>
    <row r="10" spans="1:12" x14ac:dyDescent="0.25">
      <c r="A10" s="88"/>
      <c r="B10" s="25" t="str">
        <f>IF(A10="","",IFERROR(VLOOKUP(A10,DB_Customers!$A:$D,4,0),"❌ Account Not Found"))</f>
        <v/>
      </c>
      <c r="C10" s="89" t="str">
        <f>IF(A10="","",IFERROR(VLOOKUP(A10,DB_Customers!$A:$N,14,0),""))</f>
        <v/>
      </c>
      <c r="D10" s="90" t="str">
        <f t="shared" ca="1" si="0"/>
        <v/>
      </c>
      <c r="E10" s="82"/>
      <c r="F10" s="91" t="str">
        <f t="shared" si="1"/>
        <v/>
      </c>
      <c r="G10" s="27" t="s">
        <v>44</v>
      </c>
      <c r="H10" s="84"/>
      <c r="I10" s="92" t="str">
        <f>IF(A10="","Pending",IF(H10="","⚠️ Enter Code",IF(IFERROR(VLOOKUP(G10,DB_Agents!$B:$I,8,0),"")=H10,IF(AND(A10&lt;&gt;"",E10&lt;&gt;""),"Saved","Pending"),"🔒 BLOCKED — Wrong Code")))</f>
        <v>Pending</v>
      </c>
      <c r="J10" s="93" t="str">
        <f t="shared" ca="1" si="2"/>
        <v>—</v>
      </c>
      <c r="K10" s="94"/>
    </row>
    <row r="11" spans="1:12" x14ac:dyDescent="0.25">
      <c r="A11" s="79"/>
      <c r="B11" s="21" t="str">
        <f>IF(A11="","",IFERROR(VLOOKUP(A11,DB_Customers!$A:$D,4,0),"❌ Account Not Found"))</f>
        <v/>
      </c>
      <c r="C11" s="80" t="str">
        <f>IF(A11="","",IFERROR(VLOOKUP(A11,DB_Customers!$A:$N,14,0),""))</f>
        <v/>
      </c>
      <c r="D11" s="81" t="str">
        <f t="shared" ca="1" si="0"/>
        <v/>
      </c>
      <c r="E11" s="82"/>
      <c r="F11" s="83" t="str">
        <f t="shared" si="1"/>
        <v/>
      </c>
      <c r="G11" s="23" t="s">
        <v>44</v>
      </c>
      <c r="H11" s="84"/>
      <c r="I11" s="85" t="str">
        <f>IF(A11="","Pending",IF(H11="","⚠️ Enter Code",IF(IFERROR(VLOOKUP(G11,DB_Agents!$B:$I,8,0),"")=H11,IF(AND(A11&lt;&gt;"",E11&lt;&gt;""),"Saved","Pending"),"🔒 BLOCKED — Wrong Code")))</f>
        <v>Pending</v>
      </c>
      <c r="J11" s="86" t="str">
        <f t="shared" ca="1" si="2"/>
        <v>—</v>
      </c>
      <c r="K11" s="87"/>
    </row>
    <row r="12" spans="1:12" x14ac:dyDescent="0.25">
      <c r="A12" s="88"/>
      <c r="B12" s="25" t="str">
        <f>IF(A12="","",IFERROR(VLOOKUP(A12,DB_Customers!$A:$D,4,0),"❌ Account Not Found"))</f>
        <v/>
      </c>
      <c r="C12" s="89" t="str">
        <f>IF(A12="","",IFERROR(VLOOKUP(A12,DB_Customers!$A:$N,14,0),""))</f>
        <v/>
      </c>
      <c r="D12" s="90" t="str">
        <f t="shared" ca="1" si="0"/>
        <v/>
      </c>
      <c r="E12" s="82"/>
      <c r="F12" s="91" t="str">
        <f t="shared" si="1"/>
        <v/>
      </c>
      <c r="G12" s="27" t="s">
        <v>44</v>
      </c>
      <c r="H12" s="84"/>
      <c r="I12" s="92" t="str">
        <f>IF(A12="","Pending",IF(H12="","⚠️ Enter Code",IF(IFERROR(VLOOKUP(G12,DB_Agents!$B:$I,8,0),"")=H12,IF(AND(A12&lt;&gt;"",E12&lt;&gt;""),"Saved","Pending"),"🔒 BLOCKED — Wrong Code")))</f>
        <v>Pending</v>
      </c>
      <c r="J12" s="93" t="str">
        <f t="shared" ca="1" si="2"/>
        <v>—</v>
      </c>
      <c r="K12" s="94"/>
    </row>
    <row r="13" spans="1:12" x14ac:dyDescent="0.25">
      <c r="A13" s="79"/>
      <c r="B13" s="21" t="str">
        <f>IF(A13="","",IFERROR(VLOOKUP(A13,DB_Customers!$A:$D,4,0),"❌ Account Not Found"))</f>
        <v/>
      </c>
      <c r="C13" s="80" t="str">
        <f>IF(A13="","",IFERROR(VLOOKUP(A13,DB_Customers!$A:$N,14,0),""))</f>
        <v/>
      </c>
      <c r="D13" s="81" t="str">
        <f t="shared" ca="1" si="0"/>
        <v/>
      </c>
      <c r="E13" s="82"/>
      <c r="F13" s="83" t="str">
        <f t="shared" si="1"/>
        <v/>
      </c>
      <c r="G13" s="23" t="s">
        <v>44</v>
      </c>
      <c r="H13" s="84"/>
      <c r="I13" s="85" t="str">
        <f>IF(A13="","Pending",IF(H13="","⚠️ Enter Code",IF(IFERROR(VLOOKUP(G13,DB_Agents!$B:$I,8,0),"")=H13,IF(AND(A13&lt;&gt;"",E13&lt;&gt;""),"Saved","Pending"),"🔒 BLOCKED — Wrong Code")))</f>
        <v>Pending</v>
      </c>
      <c r="J13" s="86" t="str">
        <f t="shared" ca="1" si="2"/>
        <v>—</v>
      </c>
      <c r="K13" s="87"/>
    </row>
    <row r="14" spans="1:12" x14ac:dyDescent="0.25">
      <c r="A14" s="88"/>
      <c r="B14" s="25" t="str">
        <f>IF(A14="","",IFERROR(VLOOKUP(A14,DB_Customers!$A:$D,4,0),"❌ Account Not Found"))</f>
        <v/>
      </c>
      <c r="C14" s="89" t="str">
        <f>IF(A14="","",IFERROR(VLOOKUP(A14,DB_Customers!$A:$N,14,0),""))</f>
        <v/>
      </c>
      <c r="D14" s="90" t="str">
        <f t="shared" ca="1" si="0"/>
        <v/>
      </c>
      <c r="E14" s="82"/>
      <c r="F14" s="91" t="str">
        <f t="shared" si="1"/>
        <v/>
      </c>
      <c r="G14" s="27"/>
      <c r="H14" s="84"/>
      <c r="I14" s="92" t="str">
        <f>IF(A14="","Pending",IF(H14="","⚠️ Enter Code",IF(IFERROR(VLOOKUP(G14,DB_Agents!$B:$I,8,0),"")=H14,IF(AND(A14&lt;&gt;"",E14&lt;&gt;""),"Saved","Pending"),"🔒 BLOCKED — Wrong Code")))</f>
        <v>Pending</v>
      </c>
      <c r="J14" s="93" t="str">
        <f t="shared" ca="1" si="2"/>
        <v>—</v>
      </c>
      <c r="K14" s="94"/>
    </row>
    <row r="15" spans="1:12" x14ac:dyDescent="0.25">
      <c r="A15" s="79"/>
      <c r="B15" s="21" t="str">
        <f>IF(A15="","",IFERROR(VLOOKUP(A15,DB_Customers!$A:$D,4,0),"❌ Account Not Found"))</f>
        <v/>
      </c>
      <c r="C15" s="80" t="str">
        <f>IF(A15="","",IFERROR(VLOOKUP(A15,DB_Customers!$A:$N,14,0),""))</f>
        <v/>
      </c>
      <c r="D15" s="81" t="str">
        <f t="shared" ca="1" si="0"/>
        <v/>
      </c>
      <c r="E15" s="82"/>
      <c r="F15" s="83" t="str">
        <f t="shared" si="1"/>
        <v/>
      </c>
      <c r="G15" s="23"/>
      <c r="H15" s="84"/>
      <c r="I15" s="85" t="str">
        <f>IF(A15="","Pending",IF(H15="","⚠️ Enter Code",IF(IFERROR(VLOOKUP(G15,DB_Agents!$B:$I,8,0),"")=H15,IF(AND(A15&lt;&gt;"",E15&lt;&gt;""),"Saved","Pending"),"🔒 BLOCKED — Wrong Code")))</f>
        <v>Pending</v>
      </c>
      <c r="J15" s="86" t="str">
        <f t="shared" ca="1" si="2"/>
        <v>—</v>
      </c>
      <c r="K15" s="87"/>
    </row>
    <row r="16" spans="1:12" x14ac:dyDescent="0.25">
      <c r="A16" s="88"/>
      <c r="B16" s="25" t="str">
        <f>IF(A16="","",IFERROR(VLOOKUP(A16,DB_Customers!$A:$D,4,0),"❌ Account Not Found"))</f>
        <v/>
      </c>
      <c r="C16" s="89" t="str">
        <f>IF(A16="","",IFERROR(VLOOKUP(A16,DB_Customers!$A:$N,14,0),""))</f>
        <v/>
      </c>
      <c r="D16" s="90" t="str">
        <f t="shared" ca="1" si="0"/>
        <v/>
      </c>
      <c r="E16" s="82"/>
      <c r="F16" s="91" t="str">
        <f t="shared" si="1"/>
        <v/>
      </c>
      <c r="G16" s="27"/>
      <c r="H16" s="84"/>
      <c r="I16" s="92" t="str">
        <f>IF(A16="","Pending",IF(H16="","⚠️ Enter Code",IF(IFERROR(VLOOKUP(G16,DB_Agents!$B:$I,8,0),"")=H16,IF(AND(A16&lt;&gt;"",E16&lt;&gt;""),"Saved","Pending"),"🔒 BLOCKED — Wrong Code")))</f>
        <v>Pending</v>
      </c>
      <c r="J16" s="93" t="str">
        <f t="shared" ca="1" si="2"/>
        <v>—</v>
      </c>
      <c r="K16" s="94"/>
    </row>
    <row r="17" spans="1:11" x14ac:dyDescent="0.25">
      <c r="A17" s="79"/>
      <c r="B17" s="21" t="str">
        <f>IF(A17="","",IFERROR(VLOOKUP(A17,DB_Customers!$A:$D,4,0),"❌ Account Not Found"))</f>
        <v/>
      </c>
      <c r="C17" s="80" t="str">
        <f>IF(A17="","",IFERROR(VLOOKUP(A17,DB_Customers!$A:$N,14,0),""))</f>
        <v/>
      </c>
      <c r="D17" s="81" t="str">
        <f t="shared" ca="1" si="0"/>
        <v/>
      </c>
      <c r="E17" s="82"/>
      <c r="F17" s="83" t="str">
        <f t="shared" si="1"/>
        <v/>
      </c>
      <c r="G17" s="23"/>
      <c r="H17" s="84"/>
      <c r="I17" s="85" t="str">
        <f>IF(A17="","Pending",IF(H17="","⚠️ Enter Code",IF(IFERROR(VLOOKUP(G17,DB_Agents!$B:$I,8,0),"")=H17,IF(AND(A17&lt;&gt;"",E17&lt;&gt;""),"Saved","Pending"),"🔒 BLOCKED — Wrong Code")))</f>
        <v>Pending</v>
      </c>
      <c r="J17" s="86" t="str">
        <f t="shared" ca="1" si="2"/>
        <v>—</v>
      </c>
      <c r="K17" s="87"/>
    </row>
    <row r="18" spans="1:11" x14ac:dyDescent="0.25">
      <c r="A18" s="88"/>
      <c r="B18" s="25" t="str">
        <f>IF(A18="","",IFERROR(VLOOKUP(A18,DB_Customers!$A:$D,4,0),"❌ Account Not Found"))</f>
        <v/>
      </c>
      <c r="C18" s="89" t="str">
        <f>IF(A18="","",IFERROR(VLOOKUP(A18,DB_Customers!$A:$N,14,0),""))</f>
        <v/>
      </c>
      <c r="D18" s="90" t="str">
        <f t="shared" ca="1" si="0"/>
        <v/>
      </c>
      <c r="E18" s="82"/>
      <c r="F18" s="91" t="str">
        <f t="shared" si="1"/>
        <v/>
      </c>
      <c r="G18" s="27"/>
      <c r="H18" s="84"/>
      <c r="I18" s="92" t="str">
        <f>IF(A18="","Pending",IF(H18="","⚠️ Enter Code",IF(IFERROR(VLOOKUP(G18,DB_Agents!$B:$I,8,0),"")=H18,IF(AND(A18&lt;&gt;"",E18&lt;&gt;""),"Saved","Pending"),"🔒 BLOCKED — Wrong Code")))</f>
        <v>Pending</v>
      </c>
      <c r="J18" s="93" t="str">
        <f t="shared" ca="1" si="2"/>
        <v>—</v>
      </c>
      <c r="K18" s="94"/>
    </row>
    <row r="19" spans="1:11" x14ac:dyDescent="0.25">
      <c r="A19" s="79"/>
      <c r="B19" s="21" t="str">
        <f>IF(A19="","",IFERROR(VLOOKUP(A19,DB_Customers!$A:$D,4,0),"❌ Account Not Found"))</f>
        <v/>
      </c>
      <c r="C19" s="80" t="str">
        <f>IF(A19="","",IFERROR(VLOOKUP(A19,DB_Customers!$A:$N,14,0),""))</f>
        <v/>
      </c>
      <c r="D19" s="81" t="str">
        <f t="shared" ca="1" si="0"/>
        <v/>
      </c>
      <c r="E19" s="82"/>
      <c r="F19" s="83" t="str">
        <f t="shared" si="1"/>
        <v/>
      </c>
      <c r="G19" s="23"/>
      <c r="H19" s="84"/>
      <c r="I19" s="85" t="str">
        <f>IF(A19="","Pending",IF(H19="","⚠️ Enter Code",IF(IFERROR(VLOOKUP(G19,DB_Agents!$B:$I,8,0),"")=H19,IF(AND(A19&lt;&gt;"",E19&lt;&gt;""),"Saved","Pending"),"🔒 BLOCKED — Wrong Code")))</f>
        <v>Pending</v>
      </c>
      <c r="J19" s="86" t="str">
        <f t="shared" ca="1" si="2"/>
        <v>—</v>
      </c>
      <c r="K19" s="87"/>
    </row>
    <row r="20" spans="1:11" x14ac:dyDescent="0.25">
      <c r="A20" s="88"/>
      <c r="B20" s="25" t="str">
        <f>IF(A20="","",IFERROR(VLOOKUP(A20,DB_Customers!$A:$D,4,0),"❌ Account Not Found"))</f>
        <v/>
      </c>
      <c r="C20" s="89" t="str">
        <f>IF(A20="","",IFERROR(VLOOKUP(A20,DB_Customers!$A:$N,14,0),""))</f>
        <v/>
      </c>
      <c r="D20" s="90" t="str">
        <f t="shared" ca="1" si="0"/>
        <v/>
      </c>
      <c r="E20" s="82"/>
      <c r="F20" s="91" t="str">
        <f t="shared" si="1"/>
        <v/>
      </c>
      <c r="G20" s="27"/>
      <c r="H20" s="84"/>
      <c r="I20" s="92" t="str">
        <f>IF(A20="","Pending",IF(H20="","⚠️ Enter Code",IF(IFERROR(VLOOKUP(G20,DB_Agents!$B:$I,8,0),"")=H20,IF(AND(A20&lt;&gt;"",E20&lt;&gt;""),"Saved","Pending"),"🔒 BLOCKED — Wrong Code")))</f>
        <v>Pending</v>
      </c>
      <c r="J20" s="93" t="str">
        <f t="shared" ca="1" si="2"/>
        <v>—</v>
      </c>
      <c r="K20" s="94"/>
    </row>
    <row r="21" spans="1:11" x14ac:dyDescent="0.25">
      <c r="A21" s="79"/>
      <c r="B21" s="21" t="str">
        <f>IF(A21="","",IFERROR(VLOOKUP(A21,DB_Customers!$A:$D,4,0),"❌ Account Not Found"))</f>
        <v/>
      </c>
      <c r="C21" s="80" t="str">
        <f>IF(A21="","",IFERROR(VLOOKUP(A21,DB_Customers!$A:$N,14,0),""))</f>
        <v/>
      </c>
      <c r="D21" s="81" t="str">
        <f t="shared" ca="1" si="0"/>
        <v/>
      </c>
      <c r="E21" s="82"/>
      <c r="F21" s="83" t="str">
        <f t="shared" si="1"/>
        <v/>
      </c>
      <c r="G21" s="23"/>
      <c r="H21" s="84"/>
      <c r="I21" s="85" t="str">
        <f>IF(A21="","Pending",IF(H21="","⚠️ Enter Code",IF(IFERROR(VLOOKUP(G21,DB_Agents!$B:$I,8,0),"")=H21,IF(AND(A21&lt;&gt;"",E21&lt;&gt;""),"Saved","Pending"),"🔒 BLOCKED — Wrong Code")))</f>
        <v>Pending</v>
      </c>
      <c r="J21" s="86" t="str">
        <f t="shared" ca="1" si="2"/>
        <v>—</v>
      </c>
      <c r="K21" s="87"/>
    </row>
    <row r="22" spans="1:11" x14ac:dyDescent="0.25">
      <c r="A22" s="88"/>
      <c r="B22" s="25" t="str">
        <f>IF(A22="","",IFERROR(VLOOKUP(A22,DB_Customers!$A:$D,4,0),"❌ Account Not Found"))</f>
        <v/>
      </c>
      <c r="C22" s="89" t="str">
        <f>IF(A22="","",IFERROR(VLOOKUP(A22,DB_Customers!$A:$N,14,0),""))</f>
        <v/>
      </c>
      <c r="D22" s="90" t="str">
        <f t="shared" ca="1" si="0"/>
        <v/>
      </c>
      <c r="E22" s="82"/>
      <c r="F22" s="91" t="str">
        <f t="shared" si="1"/>
        <v/>
      </c>
      <c r="G22" s="27"/>
      <c r="H22" s="84"/>
      <c r="I22" s="92" t="str">
        <f>IF(A22="","Pending",IF(H22="","⚠️ Enter Code",IF(IFERROR(VLOOKUP(G22,DB_Agents!$B:$I,8,0),"")=H22,IF(AND(A22&lt;&gt;"",E22&lt;&gt;""),"Saved","Pending"),"🔒 BLOCKED — Wrong Code")))</f>
        <v>Pending</v>
      </c>
      <c r="J22" s="93" t="str">
        <f t="shared" ca="1" si="2"/>
        <v>—</v>
      </c>
      <c r="K22" s="94"/>
    </row>
    <row r="23" spans="1:11" x14ac:dyDescent="0.25">
      <c r="A23" s="79"/>
      <c r="B23" s="21" t="str">
        <f>IF(A23="","",IFERROR(VLOOKUP(A23,DB_Customers!$A:$D,4,0),"❌ Account Not Found"))</f>
        <v/>
      </c>
      <c r="C23" s="80" t="str">
        <f>IF(A23="","",IFERROR(VLOOKUP(A23,DB_Customers!$A:$N,14,0),""))</f>
        <v/>
      </c>
      <c r="D23" s="81" t="str">
        <f t="shared" ca="1" si="0"/>
        <v/>
      </c>
      <c r="E23" s="82"/>
      <c r="F23" s="83" t="str">
        <f t="shared" si="1"/>
        <v/>
      </c>
      <c r="G23" s="23"/>
      <c r="H23" s="84"/>
      <c r="I23" s="85" t="str">
        <f>IF(A23="","Pending",IF(H23="","⚠️ Enter Code",IF(IFERROR(VLOOKUP(G23,DB_Agents!$B:$I,8,0),"")=H23,IF(AND(A23&lt;&gt;"",E23&lt;&gt;""),"Saved","Pending"),"🔒 BLOCKED — Wrong Code")))</f>
        <v>Pending</v>
      </c>
      <c r="J23" s="86" t="str">
        <f t="shared" ca="1" si="2"/>
        <v>—</v>
      </c>
      <c r="K23" s="87"/>
    </row>
    <row r="24" spans="1:11" x14ac:dyDescent="0.25">
      <c r="A24" s="88"/>
      <c r="B24" s="25" t="str">
        <f>IF(A24="","",IFERROR(VLOOKUP(A24,DB_Customers!$A:$D,4,0),"❌ Account Not Found"))</f>
        <v/>
      </c>
      <c r="C24" s="89" t="str">
        <f>IF(A24="","",IFERROR(VLOOKUP(A24,DB_Customers!$A:$N,14,0),""))</f>
        <v/>
      </c>
      <c r="D24" s="90" t="str">
        <f t="shared" ca="1" si="0"/>
        <v/>
      </c>
      <c r="E24" s="82"/>
      <c r="F24" s="91" t="str">
        <f t="shared" si="1"/>
        <v/>
      </c>
      <c r="G24" s="27"/>
      <c r="H24" s="84"/>
      <c r="I24" s="92" t="str">
        <f>IF(A24="","Pending",IF(H24="","⚠️ Enter Code",IF(IFERROR(VLOOKUP(G24,DB_Agents!$B:$I,8,0),"")=H24,IF(AND(A24&lt;&gt;"",E24&lt;&gt;""),"Saved","Pending"),"🔒 BLOCKED — Wrong Code")))</f>
        <v>Pending</v>
      </c>
      <c r="J24" s="93" t="str">
        <f t="shared" ca="1" si="2"/>
        <v>—</v>
      </c>
      <c r="K24" s="94"/>
    </row>
    <row r="25" spans="1:11" x14ac:dyDescent="0.25">
      <c r="A25" s="79"/>
      <c r="B25" s="21" t="str">
        <f>IF(A25="","",IFERROR(VLOOKUP(A25,DB_Customers!$A:$D,4,0),"❌ Account Not Found"))</f>
        <v/>
      </c>
      <c r="C25" s="80" t="str">
        <f>IF(A25="","",IFERROR(VLOOKUP(A25,DB_Customers!$A:$N,14,0),""))</f>
        <v/>
      </c>
      <c r="D25" s="81" t="str">
        <f t="shared" ca="1" si="0"/>
        <v/>
      </c>
      <c r="E25" s="82"/>
      <c r="F25" s="83" t="str">
        <f t="shared" si="1"/>
        <v/>
      </c>
      <c r="G25" s="23"/>
      <c r="H25" s="84"/>
      <c r="I25" s="85" t="str">
        <f>IF(A25="","Pending",IF(H25="","⚠️ Enter Code",IF(IFERROR(VLOOKUP(G25,DB_Agents!$B:$I,8,0),"")=H25,IF(AND(A25&lt;&gt;"",E25&lt;&gt;""),"Saved","Pending"),"🔒 BLOCKED — Wrong Code")))</f>
        <v>Pending</v>
      </c>
      <c r="J25" s="86" t="str">
        <f t="shared" ca="1" si="2"/>
        <v>—</v>
      </c>
      <c r="K25" s="87"/>
    </row>
    <row r="26" spans="1:11" x14ac:dyDescent="0.25">
      <c r="A26" s="88"/>
      <c r="B26" s="25" t="str">
        <f>IF(A26="","",IFERROR(VLOOKUP(A26,DB_Customers!$A:$D,4,0),"❌ Account Not Found"))</f>
        <v/>
      </c>
      <c r="C26" s="89" t="str">
        <f>IF(A26="","",IFERROR(VLOOKUP(A26,DB_Customers!$A:$N,14,0),""))</f>
        <v/>
      </c>
      <c r="D26" s="90" t="str">
        <f t="shared" ca="1" si="0"/>
        <v/>
      </c>
      <c r="E26" s="82"/>
      <c r="F26" s="91" t="str">
        <f t="shared" si="1"/>
        <v/>
      </c>
      <c r="G26" s="27"/>
      <c r="H26" s="84"/>
      <c r="I26" s="92" t="str">
        <f>IF(A26="","Pending",IF(H26="","⚠️ Enter Code",IF(IFERROR(VLOOKUP(G26,DB_Agents!$B:$I,8,0),"")=H26,IF(AND(A26&lt;&gt;"",E26&lt;&gt;""),"Saved","Pending"),"🔒 BLOCKED — Wrong Code")))</f>
        <v>Pending</v>
      </c>
      <c r="J26" s="93" t="str">
        <f t="shared" ca="1" si="2"/>
        <v>—</v>
      </c>
      <c r="K26" s="94"/>
    </row>
    <row r="27" spans="1:11" x14ac:dyDescent="0.25">
      <c r="A27" s="79"/>
      <c r="B27" s="21" t="str">
        <f>IF(A27="","",IFERROR(VLOOKUP(A27,DB_Customers!$A:$D,4,0),"❌ Account Not Found"))</f>
        <v/>
      </c>
      <c r="C27" s="80" t="str">
        <f>IF(A27="","",IFERROR(VLOOKUP(A27,DB_Customers!$A:$N,14,0),""))</f>
        <v/>
      </c>
      <c r="D27" s="81" t="str">
        <f t="shared" ca="1" si="0"/>
        <v/>
      </c>
      <c r="E27" s="82"/>
      <c r="F27" s="83" t="str">
        <f t="shared" si="1"/>
        <v/>
      </c>
      <c r="G27" s="23"/>
      <c r="H27" s="84"/>
      <c r="I27" s="85" t="str">
        <f>IF(A27="","Pending",IF(H27="","⚠️ Enter Code",IF(IFERROR(VLOOKUP(G27,DB_Agents!$B:$I,8,0),"")=H27,IF(AND(A27&lt;&gt;"",E27&lt;&gt;""),"Saved","Pending"),"🔒 BLOCKED — Wrong Code")))</f>
        <v>Pending</v>
      </c>
      <c r="J27" s="86" t="str">
        <f t="shared" ca="1" si="2"/>
        <v>—</v>
      </c>
      <c r="K27" s="87"/>
    </row>
    <row r="28" spans="1:11" x14ac:dyDescent="0.25">
      <c r="A28" s="88"/>
      <c r="B28" s="25" t="str">
        <f>IF(A28="","",IFERROR(VLOOKUP(A28,DB_Customers!$A:$D,4,0),"❌ Account Not Found"))</f>
        <v/>
      </c>
      <c r="C28" s="89" t="str">
        <f>IF(A28="","",IFERROR(VLOOKUP(A28,DB_Customers!$A:$N,14,0),""))</f>
        <v/>
      </c>
      <c r="D28" s="90" t="str">
        <f t="shared" ca="1" si="0"/>
        <v/>
      </c>
      <c r="E28" s="82"/>
      <c r="F28" s="91" t="str">
        <f t="shared" si="1"/>
        <v/>
      </c>
      <c r="G28" s="27"/>
      <c r="H28" s="84"/>
      <c r="I28" s="92" t="str">
        <f>IF(A28="","Pending",IF(H28="","⚠️ Enter Code",IF(IFERROR(VLOOKUP(G28,DB_Agents!$B:$I,8,0),"")=H28,IF(AND(A28&lt;&gt;"",E28&lt;&gt;""),"Saved","Pending"),"🔒 BLOCKED — Wrong Code")))</f>
        <v>Pending</v>
      </c>
      <c r="J28" s="93" t="str">
        <f t="shared" ca="1" si="2"/>
        <v>—</v>
      </c>
      <c r="K28" s="94"/>
    </row>
    <row r="29" spans="1:11" x14ac:dyDescent="0.25">
      <c r="A29" s="79"/>
      <c r="B29" s="21" t="str">
        <f>IF(A29="","",IFERROR(VLOOKUP(A29,DB_Customers!$A:$D,4,0),"❌ Account Not Found"))</f>
        <v/>
      </c>
      <c r="C29" s="80" t="str">
        <f>IF(A29="","",IFERROR(VLOOKUP(A29,DB_Customers!$A:$N,14,0),""))</f>
        <v/>
      </c>
      <c r="D29" s="81" t="str">
        <f t="shared" ca="1" si="0"/>
        <v/>
      </c>
      <c r="E29" s="82"/>
      <c r="F29" s="83" t="str">
        <f t="shared" si="1"/>
        <v/>
      </c>
      <c r="G29" s="23"/>
      <c r="H29" s="84"/>
      <c r="I29" s="85" t="str">
        <f>IF(A29="","Pending",IF(H29="","⚠️ Enter Code",IF(IFERROR(VLOOKUP(G29,DB_Agents!$B:$I,8,0),"")=H29,IF(AND(A29&lt;&gt;"",E29&lt;&gt;""),"Saved","Pending"),"🔒 BLOCKED — Wrong Code")))</f>
        <v>Pending</v>
      </c>
      <c r="J29" s="86" t="str">
        <f t="shared" ca="1" si="2"/>
        <v>—</v>
      </c>
      <c r="K29" s="87"/>
    </row>
    <row r="30" spans="1:11" x14ac:dyDescent="0.25">
      <c r="A30" s="88"/>
      <c r="B30" s="25" t="str">
        <f>IF(A30="","",IFERROR(VLOOKUP(A30,DB_Customers!$A:$D,4,0),"❌ Account Not Found"))</f>
        <v/>
      </c>
      <c r="C30" s="89" t="str">
        <f>IF(A30="","",IFERROR(VLOOKUP(A30,DB_Customers!$A:$N,14,0),""))</f>
        <v/>
      </c>
      <c r="D30" s="90" t="str">
        <f t="shared" ca="1" si="0"/>
        <v/>
      </c>
      <c r="E30" s="82"/>
      <c r="F30" s="91" t="str">
        <f t="shared" si="1"/>
        <v/>
      </c>
      <c r="G30" s="27"/>
      <c r="H30" s="84"/>
      <c r="I30" s="92" t="str">
        <f>IF(A30="","Pending",IF(H30="","⚠️ Enter Code",IF(IFERROR(VLOOKUP(G30,DB_Agents!$B:$I,8,0),"")=H30,IF(AND(A30&lt;&gt;"",E30&lt;&gt;""),"Saved","Pending"),"🔒 BLOCKED — Wrong Code")))</f>
        <v>Pending</v>
      </c>
      <c r="J30" s="93" t="str">
        <f t="shared" ca="1" si="2"/>
        <v>—</v>
      </c>
      <c r="K30" s="94"/>
    </row>
    <row r="31" spans="1:11" x14ac:dyDescent="0.25">
      <c r="A31" s="79"/>
      <c r="B31" s="21" t="str">
        <f>IF(A31="","",IFERROR(VLOOKUP(A31,DB_Customers!$A:$D,4,0),"❌ Account Not Found"))</f>
        <v/>
      </c>
      <c r="C31" s="80" t="str">
        <f>IF(A31="","",IFERROR(VLOOKUP(A31,DB_Customers!$A:$N,14,0),""))</f>
        <v/>
      </c>
      <c r="D31" s="81" t="str">
        <f t="shared" ca="1" si="0"/>
        <v/>
      </c>
      <c r="E31" s="82"/>
      <c r="F31" s="83" t="str">
        <f t="shared" si="1"/>
        <v/>
      </c>
      <c r="G31" s="23"/>
      <c r="H31" s="84"/>
      <c r="I31" s="85" t="str">
        <f>IF(A31="","Pending",IF(H31="","⚠️ Enter Code",IF(IFERROR(VLOOKUP(G31,DB_Agents!$B:$I,8,0),"")=H31,IF(AND(A31&lt;&gt;"",E31&lt;&gt;""),"Saved","Pending"),"🔒 BLOCKED — Wrong Code")))</f>
        <v>Pending</v>
      </c>
      <c r="J31" s="86" t="str">
        <f t="shared" ca="1" si="2"/>
        <v>—</v>
      </c>
      <c r="K31" s="87"/>
    </row>
    <row r="32" spans="1:11" x14ac:dyDescent="0.25">
      <c r="A32" s="88"/>
      <c r="B32" s="25" t="str">
        <f>IF(A32="","",IFERROR(VLOOKUP(A32,DB_Customers!$A:$D,4,0),"❌ Account Not Found"))</f>
        <v/>
      </c>
      <c r="C32" s="89" t="str">
        <f>IF(A32="","",IFERROR(VLOOKUP(A32,DB_Customers!$A:$N,14,0),""))</f>
        <v/>
      </c>
      <c r="D32" s="90" t="str">
        <f t="shared" ca="1" si="0"/>
        <v/>
      </c>
      <c r="E32" s="82"/>
      <c r="F32" s="91" t="str">
        <f t="shared" si="1"/>
        <v/>
      </c>
      <c r="G32" s="27"/>
      <c r="H32" s="84"/>
      <c r="I32" s="92" t="str">
        <f>IF(A32="","Pending",IF(H32="","⚠️ Enter Code",IF(IFERROR(VLOOKUP(G32,DB_Agents!$B:$I,8,0),"")=H32,IF(AND(A32&lt;&gt;"",E32&lt;&gt;""),"Saved","Pending"),"🔒 BLOCKED — Wrong Code")))</f>
        <v>Pending</v>
      </c>
      <c r="J32" s="93" t="str">
        <f t="shared" ca="1" si="2"/>
        <v>—</v>
      </c>
      <c r="K32" s="94"/>
    </row>
    <row r="33" spans="1:11" x14ac:dyDescent="0.25">
      <c r="A33" s="79"/>
      <c r="B33" s="21" t="str">
        <f>IF(A33="","",IFERROR(VLOOKUP(A33,DB_Customers!$A:$D,4,0),"❌ Account Not Found"))</f>
        <v/>
      </c>
      <c r="C33" s="80" t="str">
        <f>IF(A33="","",IFERROR(VLOOKUP(A33,DB_Customers!$A:$N,14,0),""))</f>
        <v/>
      </c>
      <c r="D33" s="81" t="str">
        <f t="shared" ca="1" si="0"/>
        <v/>
      </c>
      <c r="E33" s="82"/>
      <c r="F33" s="83" t="str">
        <f t="shared" si="1"/>
        <v/>
      </c>
      <c r="G33" s="23"/>
      <c r="H33" s="84"/>
      <c r="I33" s="85" t="str">
        <f>IF(A33="","Pending",IF(H33="","⚠️ Enter Code",IF(IFERROR(VLOOKUP(G33,DB_Agents!$B:$I,8,0),"")=H33,IF(AND(A33&lt;&gt;"",E33&lt;&gt;""),"Saved","Pending"),"🔒 BLOCKED — Wrong Code")))</f>
        <v>Pending</v>
      </c>
      <c r="J33" s="86" t="str">
        <f t="shared" ca="1" si="2"/>
        <v>—</v>
      </c>
      <c r="K33" s="87"/>
    </row>
    <row r="34" spans="1:11" x14ac:dyDescent="0.25">
      <c r="A34" s="88"/>
      <c r="B34" s="25" t="str">
        <f>IF(A34="","",IFERROR(VLOOKUP(A34,DB_Customers!$A:$D,4,0),"❌ Account Not Found"))</f>
        <v/>
      </c>
      <c r="C34" s="89" t="str">
        <f>IF(A34="","",IFERROR(VLOOKUP(A34,DB_Customers!$A:$N,14,0),""))</f>
        <v/>
      </c>
      <c r="D34" s="90" t="str">
        <f t="shared" ca="1" si="0"/>
        <v/>
      </c>
      <c r="E34" s="82"/>
      <c r="F34" s="91" t="str">
        <f t="shared" si="1"/>
        <v/>
      </c>
      <c r="G34" s="27"/>
      <c r="H34" s="84"/>
      <c r="I34" s="92" t="str">
        <f>IF(A34="","Pending",IF(H34="","⚠️ Enter Code",IF(IFERROR(VLOOKUP(G34,DB_Agents!$B:$I,8,0),"")=H34,IF(AND(A34&lt;&gt;"",E34&lt;&gt;""),"Saved","Pending"),"🔒 BLOCKED — Wrong Code")))</f>
        <v>Pending</v>
      </c>
      <c r="J34" s="93" t="str">
        <f t="shared" ca="1" si="2"/>
        <v>—</v>
      </c>
      <c r="K34" s="94"/>
    </row>
    <row r="35" spans="1:11" x14ac:dyDescent="0.25">
      <c r="A35" s="79"/>
      <c r="B35" s="21" t="str">
        <f>IF(A35="","",IFERROR(VLOOKUP(A35,DB_Customers!$A:$D,4,0),"❌ Account Not Found"))</f>
        <v/>
      </c>
      <c r="C35" s="80" t="str">
        <f>IF(A35="","",IFERROR(VLOOKUP(A35,DB_Customers!$A:$N,14,0),""))</f>
        <v/>
      </c>
      <c r="D35" s="81" t="str">
        <f t="shared" ca="1" si="0"/>
        <v/>
      </c>
      <c r="E35" s="82"/>
      <c r="F35" s="83" t="str">
        <f t="shared" si="1"/>
        <v/>
      </c>
      <c r="G35" s="23"/>
      <c r="H35" s="84"/>
      <c r="I35" s="85" t="str">
        <f>IF(A35="","Pending",IF(H35="","⚠️ Enter Code",IF(IFERROR(VLOOKUP(G35,DB_Agents!$B:$I,8,0),"")=H35,IF(AND(A35&lt;&gt;"",E35&lt;&gt;""),"Saved","Pending"),"🔒 BLOCKED — Wrong Code")))</f>
        <v>Pending</v>
      </c>
      <c r="J35" s="86" t="str">
        <f t="shared" ca="1" si="2"/>
        <v>—</v>
      </c>
      <c r="K35" s="87"/>
    </row>
    <row r="36" spans="1:11" x14ac:dyDescent="0.25">
      <c r="A36" s="88"/>
      <c r="B36" s="25" t="str">
        <f>IF(A36="","",IFERROR(VLOOKUP(A36,DB_Customers!$A:$D,4,0),"❌ Account Not Found"))</f>
        <v/>
      </c>
      <c r="C36" s="89" t="str">
        <f>IF(A36="","",IFERROR(VLOOKUP(A36,DB_Customers!$A:$N,14,0),""))</f>
        <v/>
      </c>
      <c r="D36" s="90" t="str">
        <f t="shared" ca="1" si="0"/>
        <v/>
      </c>
      <c r="E36" s="82"/>
      <c r="F36" s="91" t="str">
        <f t="shared" si="1"/>
        <v/>
      </c>
      <c r="G36" s="27"/>
      <c r="H36" s="84"/>
      <c r="I36" s="92" t="str">
        <f>IF(A36="","Pending",IF(H36="","⚠️ Enter Code",IF(IFERROR(VLOOKUP(G36,DB_Agents!$B:$I,8,0),"")=H36,IF(AND(A36&lt;&gt;"",E36&lt;&gt;""),"Saved","Pending"),"🔒 BLOCKED — Wrong Code")))</f>
        <v>Pending</v>
      </c>
      <c r="J36" s="93" t="str">
        <f t="shared" ca="1" si="2"/>
        <v>—</v>
      </c>
      <c r="K36" s="94"/>
    </row>
    <row r="37" spans="1:11" x14ac:dyDescent="0.25">
      <c r="A37" s="79"/>
      <c r="B37" s="21" t="str">
        <f>IF(A37="","",IFERROR(VLOOKUP(A37,DB_Customers!$A:$D,4,0),"❌ Account Not Found"))</f>
        <v/>
      </c>
      <c r="C37" s="80" t="str">
        <f>IF(A37="","",IFERROR(VLOOKUP(A37,DB_Customers!$A:$N,14,0),""))</f>
        <v/>
      </c>
      <c r="D37" s="81" t="str">
        <f t="shared" ca="1" si="0"/>
        <v/>
      </c>
      <c r="E37" s="82"/>
      <c r="F37" s="83" t="str">
        <f t="shared" si="1"/>
        <v/>
      </c>
      <c r="G37" s="23"/>
      <c r="H37" s="84"/>
      <c r="I37" s="85" t="str">
        <f>IF(A37="","Pending",IF(H37="","⚠️ Enter Code",IF(IFERROR(VLOOKUP(G37,DB_Agents!$B:$I,8,0),"")=H37,IF(AND(A37&lt;&gt;"",E37&lt;&gt;""),"Saved","Pending"),"🔒 BLOCKED — Wrong Code")))</f>
        <v>Pending</v>
      </c>
      <c r="J37" s="86" t="str">
        <f t="shared" ca="1" si="2"/>
        <v>—</v>
      </c>
      <c r="K37" s="87"/>
    </row>
    <row r="38" spans="1:11" x14ac:dyDescent="0.25">
      <c r="A38" s="88"/>
      <c r="B38" s="25" t="str">
        <f>IF(A38="","",IFERROR(VLOOKUP(A38,DB_Customers!$A:$D,4,0),"❌ Account Not Found"))</f>
        <v/>
      </c>
      <c r="C38" s="89" t="str">
        <f>IF(A38="","",IFERROR(VLOOKUP(A38,DB_Customers!$A:$N,14,0),""))</f>
        <v/>
      </c>
      <c r="D38" s="90" t="str">
        <f t="shared" ca="1" si="0"/>
        <v/>
      </c>
      <c r="E38" s="82"/>
      <c r="F38" s="91" t="str">
        <f t="shared" si="1"/>
        <v/>
      </c>
      <c r="G38" s="27"/>
      <c r="H38" s="84"/>
      <c r="I38" s="92" t="str">
        <f>IF(A38="","Pending",IF(H38="","⚠️ Enter Code",IF(IFERROR(VLOOKUP(G38,DB_Agents!$B:$I,8,0),"")=H38,IF(AND(A38&lt;&gt;"",E38&lt;&gt;""),"Saved","Pending"),"🔒 BLOCKED — Wrong Code")))</f>
        <v>Pending</v>
      </c>
      <c r="J38" s="93" t="str">
        <f t="shared" ca="1" si="2"/>
        <v>—</v>
      </c>
      <c r="K38" s="94"/>
    </row>
    <row r="39" spans="1:11" x14ac:dyDescent="0.25">
      <c r="A39" s="79"/>
      <c r="B39" s="21" t="str">
        <f>IF(A39="","",IFERROR(VLOOKUP(A39,DB_Customers!$A:$D,4,0),"❌ Account Not Found"))</f>
        <v/>
      </c>
      <c r="C39" s="80" t="str">
        <f>IF(A39="","",IFERROR(VLOOKUP(A39,DB_Customers!$A:$N,14,0),""))</f>
        <v/>
      </c>
      <c r="D39" s="81" t="str">
        <f t="shared" ca="1" si="0"/>
        <v/>
      </c>
      <c r="E39" s="82"/>
      <c r="F39" s="83" t="str">
        <f t="shared" si="1"/>
        <v/>
      </c>
      <c r="G39" s="23"/>
      <c r="H39" s="84"/>
      <c r="I39" s="85" t="str">
        <f>IF(A39="","Pending",IF(H39="","⚠️ Enter Code",IF(IFERROR(VLOOKUP(G39,DB_Agents!$B:$I,8,0),"")=H39,IF(AND(A39&lt;&gt;"",E39&lt;&gt;""),"Saved","Pending"),"🔒 BLOCKED — Wrong Code")))</f>
        <v>Pending</v>
      </c>
      <c r="J39" s="86" t="str">
        <f t="shared" ca="1" si="2"/>
        <v>—</v>
      </c>
      <c r="K39" s="87"/>
    </row>
    <row r="40" spans="1:11" x14ac:dyDescent="0.25">
      <c r="A40" s="88"/>
      <c r="B40" s="25" t="str">
        <f>IF(A40="","",IFERROR(VLOOKUP(A40,DB_Customers!$A:$D,4,0),"❌ Account Not Found"))</f>
        <v/>
      </c>
      <c r="C40" s="89" t="str">
        <f>IF(A40="","",IFERROR(VLOOKUP(A40,DB_Customers!$A:$N,14,0),""))</f>
        <v/>
      </c>
      <c r="D40" s="90" t="str">
        <f t="shared" ca="1" si="0"/>
        <v/>
      </c>
      <c r="E40" s="82"/>
      <c r="F40" s="91" t="str">
        <f t="shared" si="1"/>
        <v/>
      </c>
      <c r="G40" s="27"/>
      <c r="H40" s="84"/>
      <c r="I40" s="92" t="str">
        <f>IF(A40="","Pending",IF(H40="","⚠️ Enter Code",IF(IFERROR(VLOOKUP(G40,DB_Agents!$B:$I,8,0),"")=H40,IF(AND(A40&lt;&gt;"",E40&lt;&gt;""),"Saved","Pending"),"🔒 BLOCKED — Wrong Code")))</f>
        <v>Pending</v>
      </c>
      <c r="J40" s="93" t="str">
        <f t="shared" ca="1" si="2"/>
        <v>—</v>
      </c>
      <c r="K40" s="94"/>
    </row>
    <row r="41" spans="1:11" x14ac:dyDescent="0.25">
      <c r="A41" s="79"/>
      <c r="B41" s="21" t="str">
        <f>IF(A41="","",IFERROR(VLOOKUP(A41,DB_Customers!$A:$D,4,0),"❌ Account Not Found"))</f>
        <v/>
      </c>
      <c r="C41" s="80" t="str">
        <f>IF(A41="","",IFERROR(VLOOKUP(A41,DB_Customers!$A:$N,14,0),""))</f>
        <v/>
      </c>
      <c r="D41" s="81" t="str">
        <f t="shared" ref="D41:D72" ca="1" si="3">IF(A41="","",TODAY())</f>
        <v/>
      </c>
      <c r="E41" s="82"/>
      <c r="F41" s="83" t="str">
        <f t="shared" ref="F41:F72" si="4">IF(OR(A41="",E41=""),"",IF(C41="","",C41+E41))</f>
        <v/>
      </c>
      <c r="G41" s="23"/>
      <c r="H41" s="84"/>
      <c r="I41" s="85" t="str">
        <f>IF(A41="","Pending",IF(H41="","⚠️ Enter Code",IF(IFERROR(VLOOKUP(G41,DB_Agents!$B:$I,8,0),"")=H41,IF(AND(A41&lt;&gt;"",E41&lt;&gt;""),"Saved","Pending"),"🔒 BLOCKED — Wrong Code")))</f>
        <v>Pending</v>
      </c>
      <c r="J41" s="86" t="str">
        <f t="shared" ref="J41:J72" ca="1" si="5">IF(I41="Saved",TEXT(TODAY(),"YYYY-MM-DD")&amp;" Auto","—")</f>
        <v>—</v>
      </c>
      <c r="K41" s="87"/>
    </row>
    <row r="42" spans="1:11" x14ac:dyDescent="0.25">
      <c r="A42" s="88"/>
      <c r="B42" s="25" t="str">
        <f>IF(A42="","",IFERROR(VLOOKUP(A42,DB_Customers!$A:$D,4,0),"❌ Account Not Found"))</f>
        <v/>
      </c>
      <c r="C42" s="89" t="str">
        <f>IF(A42="","",IFERROR(VLOOKUP(A42,DB_Customers!$A:$N,14,0),""))</f>
        <v/>
      </c>
      <c r="D42" s="90" t="str">
        <f t="shared" ca="1" si="3"/>
        <v/>
      </c>
      <c r="E42" s="82"/>
      <c r="F42" s="91" t="str">
        <f t="shared" si="4"/>
        <v/>
      </c>
      <c r="G42" s="27"/>
      <c r="H42" s="84"/>
      <c r="I42" s="92" t="str">
        <f>IF(A42="","Pending",IF(H42="","⚠️ Enter Code",IF(IFERROR(VLOOKUP(G42,DB_Agents!$B:$I,8,0),"")=H42,IF(AND(A42&lt;&gt;"",E42&lt;&gt;""),"Saved","Pending"),"🔒 BLOCKED — Wrong Code")))</f>
        <v>Pending</v>
      </c>
      <c r="J42" s="93" t="str">
        <f t="shared" ca="1" si="5"/>
        <v>—</v>
      </c>
      <c r="K42" s="94"/>
    </row>
    <row r="43" spans="1:11" x14ac:dyDescent="0.25">
      <c r="A43" s="79"/>
      <c r="B43" s="21" t="str">
        <f>IF(A43="","",IFERROR(VLOOKUP(A43,DB_Customers!$A:$D,4,0),"❌ Account Not Found"))</f>
        <v/>
      </c>
      <c r="C43" s="80" t="str">
        <f>IF(A43="","",IFERROR(VLOOKUP(A43,DB_Customers!$A:$N,14,0),""))</f>
        <v/>
      </c>
      <c r="D43" s="81" t="str">
        <f t="shared" ca="1" si="3"/>
        <v/>
      </c>
      <c r="E43" s="82"/>
      <c r="F43" s="83" t="str">
        <f t="shared" si="4"/>
        <v/>
      </c>
      <c r="G43" s="23"/>
      <c r="H43" s="84"/>
      <c r="I43" s="85" t="str">
        <f>IF(A43="","Pending",IF(H43="","⚠️ Enter Code",IF(IFERROR(VLOOKUP(G43,DB_Agents!$B:$I,8,0),"")=H43,IF(AND(A43&lt;&gt;"",E43&lt;&gt;""),"Saved","Pending"),"🔒 BLOCKED — Wrong Code")))</f>
        <v>Pending</v>
      </c>
      <c r="J43" s="86" t="str">
        <f t="shared" ca="1" si="5"/>
        <v>—</v>
      </c>
      <c r="K43" s="87"/>
    </row>
    <row r="44" spans="1:11" x14ac:dyDescent="0.25">
      <c r="A44" s="88"/>
      <c r="B44" s="25" t="str">
        <f>IF(A44="","",IFERROR(VLOOKUP(A44,DB_Customers!$A:$D,4,0),"❌ Account Not Found"))</f>
        <v/>
      </c>
      <c r="C44" s="89" t="str">
        <f>IF(A44="","",IFERROR(VLOOKUP(A44,DB_Customers!$A:$N,14,0),""))</f>
        <v/>
      </c>
      <c r="D44" s="90" t="str">
        <f t="shared" ca="1" si="3"/>
        <v/>
      </c>
      <c r="E44" s="82"/>
      <c r="F44" s="91" t="str">
        <f t="shared" si="4"/>
        <v/>
      </c>
      <c r="G44" s="27"/>
      <c r="H44" s="84"/>
      <c r="I44" s="92" t="str">
        <f>IF(A44="","Pending",IF(H44="","⚠️ Enter Code",IF(IFERROR(VLOOKUP(G44,DB_Agents!$B:$I,8,0),"")=H44,IF(AND(A44&lt;&gt;"",E44&lt;&gt;""),"Saved","Pending"),"🔒 BLOCKED — Wrong Code")))</f>
        <v>Pending</v>
      </c>
      <c r="J44" s="93" t="str">
        <f t="shared" ca="1" si="5"/>
        <v>—</v>
      </c>
      <c r="K44" s="94"/>
    </row>
    <row r="45" spans="1:11" x14ac:dyDescent="0.25">
      <c r="A45" s="79"/>
      <c r="B45" s="21" t="str">
        <f>IF(A45="","",IFERROR(VLOOKUP(A45,DB_Customers!$A:$D,4,0),"❌ Account Not Found"))</f>
        <v/>
      </c>
      <c r="C45" s="80" t="str">
        <f>IF(A45="","",IFERROR(VLOOKUP(A45,DB_Customers!$A:$N,14,0),""))</f>
        <v/>
      </c>
      <c r="D45" s="81" t="str">
        <f t="shared" ca="1" si="3"/>
        <v/>
      </c>
      <c r="E45" s="82"/>
      <c r="F45" s="83" t="str">
        <f t="shared" si="4"/>
        <v/>
      </c>
      <c r="G45" s="23"/>
      <c r="H45" s="84"/>
      <c r="I45" s="85" t="str">
        <f>IF(A45="","Pending",IF(H45="","⚠️ Enter Code",IF(IFERROR(VLOOKUP(G45,DB_Agents!$B:$I,8,0),"")=H45,IF(AND(A45&lt;&gt;"",E45&lt;&gt;""),"Saved","Pending"),"🔒 BLOCKED — Wrong Code")))</f>
        <v>Pending</v>
      </c>
      <c r="J45" s="86" t="str">
        <f t="shared" ca="1" si="5"/>
        <v>—</v>
      </c>
      <c r="K45" s="87"/>
    </row>
    <row r="46" spans="1:11" x14ac:dyDescent="0.25">
      <c r="A46" s="88"/>
      <c r="B46" s="25" t="str">
        <f>IF(A46="","",IFERROR(VLOOKUP(A46,DB_Customers!$A:$D,4,0),"❌ Account Not Found"))</f>
        <v/>
      </c>
      <c r="C46" s="89" t="str">
        <f>IF(A46="","",IFERROR(VLOOKUP(A46,DB_Customers!$A:$N,14,0),""))</f>
        <v/>
      </c>
      <c r="D46" s="90" t="str">
        <f t="shared" ca="1" si="3"/>
        <v/>
      </c>
      <c r="E46" s="82"/>
      <c r="F46" s="91" t="str">
        <f t="shared" si="4"/>
        <v/>
      </c>
      <c r="G46" s="27"/>
      <c r="H46" s="84"/>
      <c r="I46" s="92" t="str">
        <f>IF(A46="","Pending",IF(H46="","⚠️ Enter Code",IF(IFERROR(VLOOKUP(G46,DB_Agents!$B:$I,8,0),"")=H46,IF(AND(A46&lt;&gt;"",E46&lt;&gt;""),"Saved","Pending"),"🔒 BLOCKED — Wrong Code")))</f>
        <v>Pending</v>
      </c>
      <c r="J46" s="93" t="str">
        <f t="shared" ca="1" si="5"/>
        <v>—</v>
      </c>
      <c r="K46" s="94"/>
    </row>
    <row r="47" spans="1:11" x14ac:dyDescent="0.25">
      <c r="A47" s="79"/>
      <c r="B47" s="21" t="str">
        <f>IF(A47="","",IFERROR(VLOOKUP(A47,DB_Customers!$A:$D,4,0),"❌ Account Not Found"))</f>
        <v/>
      </c>
      <c r="C47" s="80" t="str">
        <f>IF(A47="","",IFERROR(VLOOKUP(A47,DB_Customers!$A:$N,14,0),""))</f>
        <v/>
      </c>
      <c r="D47" s="81" t="str">
        <f t="shared" ca="1" si="3"/>
        <v/>
      </c>
      <c r="E47" s="82"/>
      <c r="F47" s="83" t="str">
        <f t="shared" si="4"/>
        <v/>
      </c>
      <c r="G47" s="23"/>
      <c r="H47" s="84"/>
      <c r="I47" s="85" t="str">
        <f>IF(A47="","Pending",IF(H47="","⚠️ Enter Code",IF(IFERROR(VLOOKUP(G47,DB_Agents!$B:$I,8,0),"")=H47,IF(AND(A47&lt;&gt;"",E47&lt;&gt;""),"Saved","Pending"),"🔒 BLOCKED — Wrong Code")))</f>
        <v>Pending</v>
      </c>
      <c r="J47" s="86" t="str">
        <f t="shared" ca="1" si="5"/>
        <v>—</v>
      </c>
      <c r="K47" s="87"/>
    </row>
    <row r="48" spans="1:11" x14ac:dyDescent="0.25">
      <c r="A48" s="88"/>
      <c r="B48" s="25" t="str">
        <f>IF(A48="","",IFERROR(VLOOKUP(A48,DB_Customers!$A:$D,4,0),"❌ Account Not Found"))</f>
        <v/>
      </c>
      <c r="C48" s="89" t="str">
        <f>IF(A48="","",IFERROR(VLOOKUP(A48,DB_Customers!$A:$N,14,0),""))</f>
        <v/>
      </c>
      <c r="D48" s="90" t="str">
        <f t="shared" ca="1" si="3"/>
        <v/>
      </c>
      <c r="E48" s="82"/>
      <c r="F48" s="91" t="str">
        <f t="shared" si="4"/>
        <v/>
      </c>
      <c r="G48" s="27"/>
      <c r="H48" s="84"/>
      <c r="I48" s="92" t="str">
        <f>IF(A48="","Pending",IF(H48="","⚠️ Enter Code",IF(IFERROR(VLOOKUP(G48,DB_Agents!$B:$I,8,0),"")=H48,IF(AND(A48&lt;&gt;"",E48&lt;&gt;""),"Saved","Pending"),"🔒 BLOCKED — Wrong Code")))</f>
        <v>Pending</v>
      </c>
      <c r="J48" s="93" t="str">
        <f t="shared" ca="1" si="5"/>
        <v>—</v>
      </c>
      <c r="K48" s="94"/>
    </row>
    <row r="49" spans="1:11" x14ac:dyDescent="0.25">
      <c r="A49" s="79"/>
      <c r="B49" s="21" t="str">
        <f>IF(A49="","",IFERROR(VLOOKUP(A49,DB_Customers!$A:$D,4,0),"❌ Account Not Found"))</f>
        <v/>
      </c>
      <c r="C49" s="80" t="str">
        <f>IF(A49="","",IFERROR(VLOOKUP(A49,DB_Customers!$A:$N,14,0),""))</f>
        <v/>
      </c>
      <c r="D49" s="81" t="str">
        <f t="shared" ca="1" si="3"/>
        <v/>
      </c>
      <c r="E49" s="82"/>
      <c r="F49" s="83" t="str">
        <f t="shared" si="4"/>
        <v/>
      </c>
      <c r="G49" s="23"/>
      <c r="H49" s="84"/>
      <c r="I49" s="85" t="str">
        <f>IF(A49="","Pending",IF(H49="","⚠️ Enter Code",IF(IFERROR(VLOOKUP(G49,DB_Agents!$B:$I,8,0),"")=H49,IF(AND(A49&lt;&gt;"",E49&lt;&gt;""),"Saved","Pending"),"🔒 BLOCKED — Wrong Code")))</f>
        <v>Pending</v>
      </c>
      <c r="J49" s="86" t="str">
        <f t="shared" ca="1" si="5"/>
        <v>—</v>
      </c>
      <c r="K49" s="87"/>
    </row>
    <row r="50" spans="1:11" x14ac:dyDescent="0.25">
      <c r="A50" s="88"/>
      <c r="B50" s="25" t="str">
        <f>IF(A50="","",IFERROR(VLOOKUP(A50,DB_Customers!$A:$D,4,0),"❌ Account Not Found"))</f>
        <v/>
      </c>
      <c r="C50" s="89" t="str">
        <f>IF(A50="","",IFERROR(VLOOKUP(A50,DB_Customers!$A:$N,14,0),""))</f>
        <v/>
      </c>
      <c r="D50" s="90" t="str">
        <f t="shared" ca="1" si="3"/>
        <v/>
      </c>
      <c r="E50" s="82"/>
      <c r="F50" s="91" t="str">
        <f t="shared" si="4"/>
        <v/>
      </c>
      <c r="G50" s="27"/>
      <c r="H50" s="84"/>
      <c r="I50" s="92" t="str">
        <f>IF(A50="","Pending",IF(H50="","⚠️ Enter Code",IF(IFERROR(VLOOKUP(G50,DB_Agents!$B:$I,8,0),"")=H50,IF(AND(A50&lt;&gt;"",E50&lt;&gt;""),"Saved","Pending"),"🔒 BLOCKED — Wrong Code")))</f>
        <v>Pending</v>
      </c>
      <c r="J50" s="93" t="str">
        <f t="shared" ca="1" si="5"/>
        <v>—</v>
      </c>
      <c r="K50" s="94"/>
    </row>
    <row r="51" spans="1:11" x14ac:dyDescent="0.25">
      <c r="A51" s="79"/>
      <c r="B51" s="21" t="str">
        <f>IF(A51="","",IFERROR(VLOOKUP(A51,DB_Customers!$A:$D,4,0),"❌ Account Not Found"))</f>
        <v/>
      </c>
      <c r="C51" s="80" t="str">
        <f>IF(A51="","",IFERROR(VLOOKUP(A51,DB_Customers!$A:$N,14,0),""))</f>
        <v/>
      </c>
      <c r="D51" s="81" t="str">
        <f t="shared" ca="1" si="3"/>
        <v/>
      </c>
      <c r="E51" s="82"/>
      <c r="F51" s="83" t="str">
        <f t="shared" si="4"/>
        <v/>
      </c>
      <c r="G51" s="23"/>
      <c r="H51" s="84"/>
      <c r="I51" s="85" t="str">
        <f>IF(A51="","Pending",IF(H51="","⚠️ Enter Code",IF(IFERROR(VLOOKUP(G51,DB_Agents!$B:$I,8,0),"")=H51,IF(AND(A51&lt;&gt;"",E51&lt;&gt;""),"Saved","Pending"),"🔒 BLOCKED — Wrong Code")))</f>
        <v>Pending</v>
      </c>
      <c r="J51" s="86" t="str">
        <f t="shared" ca="1" si="5"/>
        <v>—</v>
      </c>
      <c r="K51" s="87"/>
    </row>
    <row r="52" spans="1:11" x14ac:dyDescent="0.25">
      <c r="A52" s="88"/>
      <c r="B52" s="25" t="str">
        <f>IF(A52="","",IFERROR(VLOOKUP(A52,DB_Customers!$A:$D,4,0),"❌ Account Not Found"))</f>
        <v/>
      </c>
      <c r="C52" s="89" t="str">
        <f>IF(A52="","",IFERROR(VLOOKUP(A52,DB_Customers!$A:$N,14,0),""))</f>
        <v/>
      </c>
      <c r="D52" s="90" t="str">
        <f t="shared" ca="1" si="3"/>
        <v/>
      </c>
      <c r="E52" s="82"/>
      <c r="F52" s="91" t="str">
        <f t="shared" si="4"/>
        <v/>
      </c>
      <c r="G52" s="27"/>
      <c r="H52" s="84"/>
      <c r="I52" s="92" t="str">
        <f>IF(A52="","Pending",IF(H52="","⚠️ Enter Code",IF(IFERROR(VLOOKUP(G52,DB_Agents!$B:$I,8,0),"")=H52,IF(AND(A52&lt;&gt;"",E52&lt;&gt;""),"Saved","Pending"),"🔒 BLOCKED — Wrong Code")))</f>
        <v>Pending</v>
      </c>
      <c r="J52" s="93" t="str">
        <f t="shared" ca="1" si="5"/>
        <v>—</v>
      </c>
      <c r="K52" s="94"/>
    </row>
    <row r="53" spans="1:11" x14ac:dyDescent="0.25">
      <c r="A53" s="79"/>
      <c r="B53" s="21" t="str">
        <f>IF(A53="","",IFERROR(VLOOKUP(A53,DB_Customers!$A:$D,4,0),"❌ Account Not Found"))</f>
        <v/>
      </c>
      <c r="C53" s="80" t="str">
        <f>IF(A53="","",IFERROR(VLOOKUP(A53,DB_Customers!$A:$N,14,0),""))</f>
        <v/>
      </c>
      <c r="D53" s="81" t="str">
        <f t="shared" ca="1" si="3"/>
        <v/>
      </c>
      <c r="E53" s="82"/>
      <c r="F53" s="83" t="str">
        <f t="shared" si="4"/>
        <v/>
      </c>
      <c r="G53" s="23"/>
      <c r="H53" s="84"/>
      <c r="I53" s="85" t="str">
        <f>IF(A53="","Pending",IF(H53="","⚠️ Enter Code",IF(IFERROR(VLOOKUP(G53,DB_Agents!$B:$I,8,0),"")=H53,IF(AND(A53&lt;&gt;"",E53&lt;&gt;""),"Saved","Pending"),"🔒 BLOCKED — Wrong Code")))</f>
        <v>Pending</v>
      </c>
      <c r="J53" s="86" t="str">
        <f t="shared" ca="1" si="5"/>
        <v>—</v>
      </c>
      <c r="K53" s="87"/>
    </row>
    <row r="54" spans="1:11" x14ac:dyDescent="0.25">
      <c r="A54" s="88"/>
      <c r="B54" s="25" t="str">
        <f>IF(A54="","",IFERROR(VLOOKUP(A54,DB_Customers!$A:$D,4,0),"❌ Account Not Found"))</f>
        <v/>
      </c>
      <c r="C54" s="89" t="str">
        <f>IF(A54="","",IFERROR(VLOOKUP(A54,DB_Customers!$A:$N,14,0),""))</f>
        <v/>
      </c>
      <c r="D54" s="90" t="str">
        <f t="shared" ca="1" si="3"/>
        <v/>
      </c>
      <c r="E54" s="82"/>
      <c r="F54" s="91" t="str">
        <f t="shared" si="4"/>
        <v/>
      </c>
      <c r="G54" s="27"/>
      <c r="H54" s="84"/>
      <c r="I54" s="92" t="str">
        <f>IF(A54="","Pending",IF(H54="","⚠️ Enter Code",IF(IFERROR(VLOOKUP(G54,DB_Agents!$B:$I,8,0),"")=H54,IF(AND(A54&lt;&gt;"",E54&lt;&gt;""),"Saved","Pending"),"🔒 BLOCKED — Wrong Code")))</f>
        <v>Pending</v>
      </c>
      <c r="J54" s="93" t="str">
        <f t="shared" ca="1" si="5"/>
        <v>—</v>
      </c>
      <c r="K54" s="94"/>
    </row>
    <row r="55" spans="1:11" x14ac:dyDescent="0.25">
      <c r="A55" s="79"/>
      <c r="B55" s="21" t="str">
        <f>IF(A55="","",IFERROR(VLOOKUP(A55,DB_Customers!$A:$D,4,0),"❌ Account Not Found"))</f>
        <v/>
      </c>
      <c r="C55" s="80" t="str">
        <f>IF(A55="","",IFERROR(VLOOKUP(A55,DB_Customers!$A:$N,14,0),""))</f>
        <v/>
      </c>
      <c r="D55" s="81" t="str">
        <f t="shared" ca="1" si="3"/>
        <v/>
      </c>
      <c r="E55" s="82"/>
      <c r="F55" s="83" t="str">
        <f t="shared" si="4"/>
        <v/>
      </c>
      <c r="G55" s="23"/>
      <c r="H55" s="84"/>
      <c r="I55" s="85" t="str">
        <f>IF(A55="","Pending",IF(H55="","⚠️ Enter Code",IF(IFERROR(VLOOKUP(G55,DB_Agents!$B:$I,8,0),"")=H55,IF(AND(A55&lt;&gt;"",E55&lt;&gt;""),"Saved","Pending"),"🔒 BLOCKED — Wrong Code")))</f>
        <v>Pending</v>
      </c>
      <c r="J55" s="86" t="str">
        <f t="shared" ca="1" si="5"/>
        <v>—</v>
      </c>
      <c r="K55" s="87"/>
    </row>
    <row r="56" spans="1:11" x14ac:dyDescent="0.25">
      <c r="A56" s="88"/>
      <c r="B56" s="25" t="str">
        <f>IF(A56="","",IFERROR(VLOOKUP(A56,DB_Customers!$A:$D,4,0),"❌ Account Not Found"))</f>
        <v/>
      </c>
      <c r="C56" s="89" t="str">
        <f>IF(A56="","",IFERROR(VLOOKUP(A56,DB_Customers!$A:$N,14,0),""))</f>
        <v/>
      </c>
      <c r="D56" s="90" t="str">
        <f t="shared" ca="1" si="3"/>
        <v/>
      </c>
      <c r="E56" s="82"/>
      <c r="F56" s="91" t="str">
        <f t="shared" si="4"/>
        <v/>
      </c>
      <c r="G56" s="27"/>
      <c r="H56" s="84"/>
      <c r="I56" s="92" t="str">
        <f>IF(A56="","Pending",IF(H56="","⚠️ Enter Code",IF(IFERROR(VLOOKUP(G56,DB_Agents!$B:$I,8,0),"")=H56,IF(AND(A56&lt;&gt;"",E56&lt;&gt;""),"Saved","Pending"),"🔒 BLOCKED — Wrong Code")))</f>
        <v>Pending</v>
      </c>
      <c r="J56" s="93" t="str">
        <f t="shared" ca="1" si="5"/>
        <v>—</v>
      </c>
      <c r="K56" s="94"/>
    </row>
    <row r="57" spans="1:11" x14ac:dyDescent="0.25">
      <c r="A57" s="79"/>
      <c r="B57" s="21" t="str">
        <f>IF(A57="","",IFERROR(VLOOKUP(A57,DB_Customers!$A:$D,4,0),"❌ Account Not Found"))</f>
        <v/>
      </c>
      <c r="C57" s="80" t="str">
        <f>IF(A57="","",IFERROR(VLOOKUP(A57,DB_Customers!$A:$N,14,0),""))</f>
        <v/>
      </c>
      <c r="D57" s="81" t="str">
        <f t="shared" ca="1" si="3"/>
        <v/>
      </c>
      <c r="E57" s="82"/>
      <c r="F57" s="83" t="str">
        <f t="shared" si="4"/>
        <v/>
      </c>
      <c r="G57" s="23"/>
      <c r="H57" s="84"/>
      <c r="I57" s="85" t="str">
        <f>IF(A57="","Pending",IF(H57="","⚠️ Enter Code",IF(IFERROR(VLOOKUP(G57,DB_Agents!$B:$I,8,0),"")=H57,IF(AND(A57&lt;&gt;"",E57&lt;&gt;""),"Saved","Pending"),"🔒 BLOCKED — Wrong Code")))</f>
        <v>Pending</v>
      </c>
      <c r="J57" s="86" t="str">
        <f t="shared" ca="1" si="5"/>
        <v>—</v>
      </c>
      <c r="K57" s="87"/>
    </row>
    <row r="58" spans="1:11" x14ac:dyDescent="0.25">
      <c r="A58" s="88"/>
      <c r="B58" s="25" t="str">
        <f>IF(A58="","",IFERROR(VLOOKUP(A58,DB_Customers!$A:$D,4,0),"❌ Account Not Found"))</f>
        <v/>
      </c>
      <c r="C58" s="89" t="str">
        <f>IF(A58="","",IFERROR(VLOOKUP(A58,DB_Customers!$A:$N,14,0),""))</f>
        <v/>
      </c>
      <c r="D58" s="90" t="str">
        <f t="shared" ca="1" si="3"/>
        <v/>
      </c>
      <c r="E58" s="82"/>
      <c r="F58" s="91" t="str">
        <f t="shared" si="4"/>
        <v/>
      </c>
      <c r="G58" s="27"/>
      <c r="H58" s="84"/>
      <c r="I58" s="92" t="str">
        <f>IF(A58="","Pending",IF(H58="","⚠️ Enter Code",IF(IFERROR(VLOOKUP(G58,DB_Agents!$B:$I,8,0),"")=H58,IF(AND(A58&lt;&gt;"",E58&lt;&gt;""),"Saved","Pending"),"🔒 BLOCKED — Wrong Code")))</f>
        <v>Pending</v>
      </c>
      <c r="J58" s="93" t="str">
        <f t="shared" ca="1" si="5"/>
        <v>—</v>
      </c>
      <c r="K58" s="94"/>
    </row>
    <row r="59" spans="1:11" x14ac:dyDescent="0.25">
      <c r="A59" s="79"/>
      <c r="B59" s="21" t="str">
        <f>IF(A59="","",IFERROR(VLOOKUP(A59,DB_Customers!$A:$D,4,0),"❌ Account Not Found"))</f>
        <v/>
      </c>
      <c r="C59" s="80" t="str">
        <f>IF(A59="","",IFERROR(VLOOKUP(A59,DB_Customers!$A:$N,14,0),""))</f>
        <v/>
      </c>
      <c r="D59" s="81" t="str">
        <f t="shared" ca="1" si="3"/>
        <v/>
      </c>
      <c r="E59" s="82"/>
      <c r="F59" s="83" t="str">
        <f t="shared" si="4"/>
        <v/>
      </c>
      <c r="G59" s="23"/>
      <c r="H59" s="84"/>
      <c r="I59" s="85" t="str">
        <f>IF(A59="","Pending",IF(H59="","⚠️ Enter Code",IF(IFERROR(VLOOKUP(G59,DB_Agents!$B:$I,8,0),"")=H59,IF(AND(A59&lt;&gt;"",E59&lt;&gt;""),"Saved","Pending"),"🔒 BLOCKED — Wrong Code")))</f>
        <v>Pending</v>
      </c>
      <c r="J59" s="86" t="str">
        <f t="shared" ca="1" si="5"/>
        <v>—</v>
      </c>
      <c r="K59" s="87"/>
    </row>
    <row r="60" spans="1:11" x14ac:dyDescent="0.25">
      <c r="A60" s="88"/>
      <c r="B60" s="25" t="str">
        <f>IF(A60="","",IFERROR(VLOOKUP(A60,DB_Customers!$A:$D,4,0),"❌ Account Not Found"))</f>
        <v/>
      </c>
      <c r="C60" s="89" t="str">
        <f>IF(A60="","",IFERROR(VLOOKUP(A60,DB_Customers!$A:$N,14,0),""))</f>
        <v/>
      </c>
      <c r="D60" s="90" t="str">
        <f t="shared" ca="1" si="3"/>
        <v/>
      </c>
      <c r="E60" s="82"/>
      <c r="F60" s="91" t="str">
        <f t="shared" si="4"/>
        <v/>
      </c>
      <c r="G60" s="27"/>
      <c r="H60" s="84"/>
      <c r="I60" s="92" t="str">
        <f>IF(A60="","Pending",IF(H60="","⚠️ Enter Code",IF(IFERROR(VLOOKUP(G60,DB_Agents!$B:$I,8,0),"")=H60,IF(AND(A60&lt;&gt;"",E60&lt;&gt;""),"Saved","Pending"),"🔒 BLOCKED — Wrong Code")))</f>
        <v>Pending</v>
      </c>
      <c r="J60" s="93" t="str">
        <f t="shared" ca="1" si="5"/>
        <v>—</v>
      </c>
      <c r="K60" s="94"/>
    </row>
    <row r="61" spans="1:11" x14ac:dyDescent="0.25">
      <c r="A61" s="79"/>
      <c r="B61" s="21" t="str">
        <f>IF(A61="","",IFERROR(VLOOKUP(A61,DB_Customers!$A:$D,4,0),"❌ Account Not Found"))</f>
        <v/>
      </c>
      <c r="C61" s="80" t="str">
        <f>IF(A61="","",IFERROR(VLOOKUP(A61,DB_Customers!$A:$N,14,0),""))</f>
        <v/>
      </c>
      <c r="D61" s="81" t="str">
        <f t="shared" ca="1" si="3"/>
        <v/>
      </c>
      <c r="E61" s="82"/>
      <c r="F61" s="83" t="str">
        <f t="shared" si="4"/>
        <v/>
      </c>
      <c r="G61" s="23"/>
      <c r="H61" s="84"/>
      <c r="I61" s="85" t="str">
        <f>IF(A61="","Pending",IF(H61="","⚠️ Enter Code",IF(IFERROR(VLOOKUP(G61,DB_Agents!$B:$I,8,0),"")=H61,IF(AND(A61&lt;&gt;"",E61&lt;&gt;""),"Saved","Pending"),"🔒 BLOCKED — Wrong Code")))</f>
        <v>Pending</v>
      </c>
      <c r="J61" s="86" t="str">
        <f t="shared" ca="1" si="5"/>
        <v>—</v>
      </c>
      <c r="K61" s="87"/>
    </row>
    <row r="62" spans="1:11" x14ac:dyDescent="0.25">
      <c r="A62" s="88"/>
      <c r="B62" s="25" t="str">
        <f>IF(A62="","",IFERROR(VLOOKUP(A62,DB_Customers!$A:$D,4,0),"❌ Account Not Found"))</f>
        <v/>
      </c>
      <c r="C62" s="89" t="str">
        <f>IF(A62="","",IFERROR(VLOOKUP(A62,DB_Customers!$A:$N,14,0),""))</f>
        <v/>
      </c>
      <c r="D62" s="90" t="str">
        <f t="shared" ca="1" si="3"/>
        <v/>
      </c>
      <c r="E62" s="82"/>
      <c r="F62" s="91" t="str">
        <f t="shared" si="4"/>
        <v/>
      </c>
      <c r="G62" s="27"/>
      <c r="H62" s="84"/>
      <c r="I62" s="92" t="str">
        <f>IF(A62="","Pending",IF(H62="","⚠️ Enter Code",IF(IFERROR(VLOOKUP(G62,DB_Agents!$B:$I,8,0),"")=H62,IF(AND(A62&lt;&gt;"",E62&lt;&gt;""),"Saved","Pending"),"🔒 BLOCKED — Wrong Code")))</f>
        <v>Pending</v>
      </c>
      <c r="J62" s="93" t="str">
        <f t="shared" ca="1" si="5"/>
        <v>—</v>
      </c>
      <c r="K62" s="94"/>
    </row>
    <row r="63" spans="1:11" x14ac:dyDescent="0.25">
      <c r="A63" s="79"/>
      <c r="B63" s="21" t="str">
        <f>IF(A63="","",IFERROR(VLOOKUP(A63,DB_Customers!$A:$D,4,0),"❌ Account Not Found"))</f>
        <v/>
      </c>
      <c r="C63" s="80" t="str">
        <f>IF(A63="","",IFERROR(VLOOKUP(A63,DB_Customers!$A:$N,14,0),""))</f>
        <v/>
      </c>
      <c r="D63" s="81" t="str">
        <f t="shared" ca="1" si="3"/>
        <v/>
      </c>
      <c r="E63" s="82"/>
      <c r="F63" s="83" t="str">
        <f t="shared" si="4"/>
        <v/>
      </c>
      <c r="G63" s="23"/>
      <c r="H63" s="84"/>
      <c r="I63" s="85" t="str">
        <f>IF(A63="","Pending",IF(H63="","⚠️ Enter Code",IF(IFERROR(VLOOKUP(G63,DB_Agents!$B:$I,8,0),"")=H63,IF(AND(A63&lt;&gt;"",E63&lt;&gt;""),"Saved","Pending"),"🔒 BLOCKED — Wrong Code")))</f>
        <v>Pending</v>
      </c>
      <c r="J63" s="86" t="str">
        <f t="shared" ca="1" si="5"/>
        <v>—</v>
      </c>
      <c r="K63" s="87"/>
    </row>
    <row r="64" spans="1:11" x14ac:dyDescent="0.25">
      <c r="A64" s="88"/>
      <c r="B64" s="25" t="str">
        <f>IF(A64="","",IFERROR(VLOOKUP(A64,DB_Customers!$A:$D,4,0),"❌ Account Not Found"))</f>
        <v/>
      </c>
      <c r="C64" s="89" t="str">
        <f>IF(A64="","",IFERROR(VLOOKUP(A64,DB_Customers!$A:$N,14,0),""))</f>
        <v/>
      </c>
      <c r="D64" s="90" t="str">
        <f t="shared" ca="1" si="3"/>
        <v/>
      </c>
      <c r="E64" s="82"/>
      <c r="F64" s="91" t="str">
        <f t="shared" si="4"/>
        <v/>
      </c>
      <c r="G64" s="27"/>
      <c r="H64" s="84"/>
      <c r="I64" s="92" t="str">
        <f>IF(A64="","Pending",IF(H64="","⚠️ Enter Code",IF(IFERROR(VLOOKUP(G64,DB_Agents!$B:$I,8,0),"")=H64,IF(AND(A64&lt;&gt;"",E64&lt;&gt;""),"Saved","Pending"),"🔒 BLOCKED — Wrong Code")))</f>
        <v>Pending</v>
      </c>
      <c r="J64" s="93" t="str">
        <f t="shared" ca="1" si="5"/>
        <v>—</v>
      </c>
      <c r="K64" s="94"/>
    </row>
    <row r="65" spans="1:11" x14ac:dyDescent="0.25">
      <c r="A65" s="79"/>
      <c r="B65" s="21" t="str">
        <f>IF(A65="","",IFERROR(VLOOKUP(A65,DB_Customers!$A:$D,4,0),"❌ Account Not Found"))</f>
        <v/>
      </c>
      <c r="C65" s="80" t="str">
        <f>IF(A65="","",IFERROR(VLOOKUP(A65,DB_Customers!$A:$N,14,0),""))</f>
        <v/>
      </c>
      <c r="D65" s="81" t="str">
        <f t="shared" ca="1" si="3"/>
        <v/>
      </c>
      <c r="E65" s="82"/>
      <c r="F65" s="83" t="str">
        <f t="shared" si="4"/>
        <v/>
      </c>
      <c r="G65" s="23"/>
      <c r="H65" s="84"/>
      <c r="I65" s="85" t="str">
        <f>IF(A65="","Pending",IF(H65="","⚠️ Enter Code",IF(IFERROR(VLOOKUP(G65,DB_Agents!$B:$I,8,0),"")=H65,IF(AND(A65&lt;&gt;"",E65&lt;&gt;""),"Saved","Pending"),"🔒 BLOCKED — Wrong Code")))</f>
        <v>Pending</v>
      </c>
      <c r="J65" s="86" t="str">
        <f t="shared" ca="1" si="5"/>
        <v>—</v>
      </c>
      <c r="K65" s="87"/>
    </row>
    <row r="66" spans="1:11" x14ac:dyDescent="0.25">
      <c r="A66" s="88"/>
      <c r="B66" s="25" t="str">
        <f>IF(A66="","",IFERROR(VLOOKUP(A66,DB_Customers!$A:$D,4,0),"❌ Account Not Found"))</f>
        <v/>
      </c>
      <c r="C66" s="89" t="str">
        <f>IF(A66="","",IFERROR(VLOOKUP(A66,DB_Customers!$A:$N,14,0),""))</f>
        <v/>
      </c>
      <c r="D66" s="90" t="str">
        <f t="shared" ca="1" si="3"/>
        <v/>
      </c>
      <c r="E66" s="82"/>
      <c r="F66" s="91" t="str">
        <f t="shared" si="4"/>
        <v/>
      </c>
      <c r="G66" s="27"/>
      <c r="H66" s="84"/>
      <c r="I66" s="92" t="str">
        <f>IF(A66="","Pending",IF(H66="","⚠️ Enter Code",IF(IFERROR(VLOOKUP(G66,DB_Agents!$B:$I,8,0),"")=H66,IF(AND(A66&lt;&gt;"",E66&lt;&gt;""),"Saved","Pending"),"🔒 BLOCKED — Wrong Code")))</f>
        <v>Pending</v>
      </c>
      <c r="J66" s="93" t="str">
        <f t="shared" ca="1" si="5"/>
        <v>—</v>
      </c>
      <c r="K66" s="94"/>
    </row>
    <row r="67" spans="1:11" x14ac:dyDescent="0.25">
      <c r="A67" s="79"/>
      <c r="B67" s="21" t="str">
        <f>IF(A67="","",IFERROR(VLOOKUP(A67,DB_Customers!$A:$D,4,0),"❌ Account Not Found"))</f>
        <v/>
      </c>
      <c r="C67" s="80" t="str">
        <f>IF(A67="","",IFERROR(VLOOKUP(A67,DB_Customers!$A:$N,14,0),""))</f>
        <v/>
      </c>
      <c r="D67" s="81" t="str">
        <f t="shared" ca="1" si="3"/>
        <v/>
      </c>
      <c r="E67" s="82"/>
      <c r="F67" s="83" t="str">
        <f t="shared" si="4"/>
        <v/>
      </c>
      <c r="G67" s="23"/>
      <c r="H67" s="84"/>
      <c r="I67" s="85" t="str">
        <f>IF(A67="","Pending",IF(H67="","⚠️ Enter Code",IF(IFERROR(VLOOKUP(G67,DB_Agents!$B:$I,8,0),"")=H67,IF(AND(A67&lt;&gt;"",E67&lt;&gt;""),"Saved","Pending"),"🔒 BLOCKED — Wrong Code")))</f>
        <v>Pending</v>
      </c>
      <c r="J67" s="86" t="str">
        <f t="shared" ca="1" si="5"/>
        <v>—</v>
      </c>
      <c r="K67" s="87"/>
    </row>
    <row r="68" spans="1:11" x14ac:dyDescent="0.25">
      <c r="A68" s="88"/>
      <c r="B68" s="25" t="str">
        <f>IF(A68="","",IFERROR(VLOOKUP(A68,DB_Customers!$A:$D,4,0),"❌ Account Not Found"))</f>
        <v/>
      </c>
      <c r="C68" s="89" t="str">
        <f>IF(A68="","",IFERROR(VLOOKUP(A68,DB_Customers!$A:$N,14,0),""))</f>
        <v/>
      </c>
      <c r="D68" s="90" t="str">
        <f t="shared" ca="1" si="3"/>
        <v/>
      </c>
      <c r="E68" s="82"/>
      <c r="F68" s="91" t="str">
        <f t="shared" si="4"/>
        <v/>
      </c>
      <c r="G68" s="27"/>
      <c r="H68" s="84"/>
      <c r="I68" s="92" t="str">
        <f>IF(A68="","Pending",IF(H68="","⚠️ Enter Code",IF(IFERROR(VLOOKUP(G68,DB_Agents!$B:$I,8,0),"")=H68,IF(AND(A68&lt;&gt;"",E68&lt;&gt;""),"Saved","Pending"),"🔒 BLOCKED — Wrong Code")))</f>
        <v>Pending</v>
      </c>
      <c r="J68" s="93" t="str">
        <f t="shared" ca="1" si="5"/>
        <v>—</v>
      </c>
      <c r="K68" s="94"/>
    </row>
    <row r="69" spans="1:11" x14ac:dyDescent="0.25">
      <c r="A69" s="79"/>
      <c r="B69" s="21" t="str">
        <f>IF(A69="","",IFERROR(VLOOKUP(A69,DB_Customers!$A:$D,4,0),"❌ Account Not Found"))</f>
        <v/>
      </c>
      <c r="C69" s="80" t="str">
        <f>IF(A69="","",IFERROR(VLOOKUP(A69,DB_Customers!$A:$N,14,0),""))</f>
        <v/>
      </c>
      <c r="D69" s="81" t="str">
        <f t="shared" ca="1" si="3"/>
        <v/>
      </c>
      <c r="E69" s="82"/>
      <c r="F69" s="83" t="str">
        <f t="shared" si="4"/>
        <v/>
      </c>
      <c r="G69" s="23"/>
      <c r="H69" s="84"/>
      <c r="I69" s="85" t="str">
        <f>IF(A69="","Pending",IF(H69="","⚠️ Enter Code",IF(IFERROR(VLOOKUP(G69,DB_Agents!$B:$I,8,0),"")=H69,IF(AND(A69&lt;&gt;"",E69&lt;&gt;""),"Saved","Pending"),"🔒 BLOCKED — Wrong Code")))</f>
        <v>Pending</v>
      </c>
      <c r="J69" s="86" t="str">
        <f t="shared" ca="1" si="5"/>
        <v>—</v>
      </c>
      <c r="K69" s="87"/>
    </row>
    <row r="70" spans="1:11" x14ac:dyDescent="0.25">
      <c r="A70" s="88"/>
      <c r="B70" s="25" t="str">
        <f>IF(A70="","",IFERROR(VLOOKUP(A70,DB_Customers!$A:$D,4,0),"❌ Account Not Found"))</f>
        <v/>
      </c>
      <c r="C70" s="89" t="str">
        <f>IF(A70="","",IFERROR(VLOOKUP(A70,DB_Customers!$A:$N,14,0),""))</f>
        <v/>
      </c>
      <c r="D70" s="90" t="str">
        <f t="shared" ca="1" si="3"/>
        <v/>
      </c>
      <c r="E70" s="82"/>
      <c r="F70" s="91" t="str">
        <f t="shared" si="4"/>
        <v/>
      </c>
      <c r="G70" s="27"/>
      <c r="H70" s="84"/>
      <c r="I70" s="92" t="str">
        <f>IF(A70="","Pending",IF(H70="","⚠️ Enter Code",IF(IFERROR(VLOOKUP(G70,DB_Agents!$B:$I,8,0),"")=H70,IF(AND(A70&lt;&gt;"",E70&lt;&gt;""),"Saved","Pending"),"🔒 BLOCKED — Wrong Code")))</f>
        <v>Pending</v>
      </c>
      <c r="J70" s="93" t="str">
        <f t="shared" ca="1" si="5"/>
        <v>—</v>
      </c>
      <c r="K70" s="94"/>
    </row>
    <row r="71" spans="1:11" x14ac:dyDescent="0.25">
      <c r="A71" s="79"/>
      <c r="B71" s="21" t="str">
        <f>IF(A71="","",IFERROR(VLOOKUP(A71,DB_Customers!$A:$D,4,0),"❌ Account Not Found"))</f>
        <v/>
      </c>
      <c r="C71" s="80" t="str">
        <f>IF(A71="","",IFERROR(VLOOKUP(A71,DB_Customers!$A:$N,14,0),""))</f>
        <v/>
      </c>
      <c r="D71" s="81" t="str">
        <f t="shared" ca="1" si="3"/>
        <v/>
      </c>
      <c r="E71" s="82"/>
      <c r="F71" s="83" t="str">
        <f t="shared" si="4"/>
        <v/>
      </c>
      <c r="G71" s="23"/>
      <c r="H71" s="84"/>
      <c r="I71" s="85" t="str">
        <f>IF(A71="","Pending",IF(H71="","⚠️ Enter Code",IF(IFERROR(VLOOKUP(G71,DB_Agents!$B:$I,8,0),"")=H71,IF(AND(A71&lt;&gt;"",E71&lt;&gt;""),"Saved","Pending"),"🔒 BLOCKED — Wrong Code")))</f>
        <v>Pending</v>
      </c>
      <c r="J71" s="86" t="str">
        <f t="shared" ca="1" si="5"/>
        <v>—</v>
      </c>
      <c r="K71" s="87"/>
    </row>
    <row r="72" spans="1:11" x14ac:dyDescent="0.25">
      <c r="A72" s="88"/>
      <c r="B72" s="25" t="str">
        <f>IF(A72="","",IFERROR(VLOOKUP(A72,DB_Customers!$A:$D,4,0),"❌ Account Not Found"))</f>
        <v/>
      </c>
      <c r="C72" s="89" t="str">
        <f>IF(A72="","",IFERROR(VLOOKUP(A72,DB_Customers!$A:$N,14,0),""))</f>
        <v/>
      </c>
      <c r="D72" s="90" t="str">
        <f t="shared" ca="1" si="3"/>
        <v/>
      </c>
      <c r="E72" s="82"/>
      <c r="F72" s="91" t="str">
        <f t="shared" si="4"/>
        <v/>
      </c>
      <c r="G72" s="27"/>
      <c r="H72" s="84"/>
      <c r="I72" s="92" t="str">
        <f>IF(A72="","Pending",IF(H72="","⚠️ Enter Code",IF(IFERROR(VLOOKUP(G72,DB_Agents!$B:$I,8,0),"")=H72,IF(AND(A72&lt;&gt;"",E72&lt;&gt;""),"Saved","Pending"),"🔒 BLOCKED — Wrong Code")))</f>
        <v>Pending</v>
      </c>
      <c r="J72" s="93" t="str">
        <f t="shared" ca="1" si="5"/>
        <v>—</v>
      </c>
      <c r="K72" s="94"/>
    </row>
    <row r="73" spans="1:11" x14ac:dyDescent="0.25">
      <c r="A73" s="79"/>
      <c r="B73" s="21" t="str">
        <f>IF(A73="","",IFERROR(VLOOKUP(A73,DB_Customers!$A:$D,4,0),"❌ Account Not Found"))</f>
        <v/>
      </c>
      <c r="C73" s="80" t="str">
        <f>IF(A73="","",IFERROR(VLOOKUP(A73,DB_Customers!$A:$N,14,0),""))</f>
        <v/>
      </c>
      <c r="D73" s="81" t="str">
        <f t="shared" ref="D73:D104" ca="1" si="6">IF(A73="","",TODAY())</f>
        <v/>
      </c>
      <c r="E73" s="82"/>
      <c r="F73" s="83" t="str">
        <f t="shared" ref="F73:F104" si="7">IF(OR(A73="",E73=""),"",IF(C73="","",C73+E73))</f>
        <v/>
      </c>
      <c r="G73" s="23"/>
      <c r="H73" s="84"/>
      <c r="I73" s="85" t="str">
        <f>IF(A73="","Pending",IF(H73="","⚠️ Enter Code",IF(IFERROR(VLOOKUP(G73,DB_Agents!$B:$I,8,0),"")=H73,IF(AND(A73&lt;&gt;"",E73&lt;&gt;""),"Saved","Pending"),"🔒 BLOCKED — Wrong Code")))</f>
        <v>Pending</v>
      </c>
      <c r="J73" s="86" t="str">
        <f t="shared" ref="J73:J104" ca="1" si="8">IF(I73="Saved",TEXT(TODAY(),"YYYY-MM-DD")&amp;" Auto","—")</f>
        <v>—</v>
      </c>
      <c r="K73" s="87"/>
    </row>
    <row r="74" spans="1:11" x14ac:dyDescent="0.25">
      <c r="A74" s="88"/>
      <c r="B74" s="25" t="str">
        <f>IF(A74="","",IFERROR(VLOOKUP(A74,DB_Customers!$A:$D,4,0),"❌ Account Not Found"))</f>
        <v/>
      </c>
      <c r="C74" s="89" t="str">
        <f>IF(A74="","",IFERROR(VLOOKUP(A74,DB_Customers!$A:$N,14,0),""))</f>
        <v/>
      </c>
      <c r="D74" s="90" t="str">
        <f t="shared" ca="1" si="6"/>
        <v/>
      </c>
      <c r="E74" s="82"/>
      <c r="F74" s="91" t="str">
        <f t="shared" si="7"/>
        <v/>
      </c>
      <c r="G74" s="27"/>
      <c r="H74" s="84"/>
      <c r="I74" s="92" t="str">
        <f>IF(A74="","Pending",IF(H74="","⚠️ Enter Code",IF(IFERROR(VLOOKUP(G74,DB_Agents!$B:$I,8,0),"")=H74,IF(AND(A74&lt;&gt;"",E74&lt;&gt;""),"Saved","Pending"),"🔒 BLOCKED — Wrong Code")))</f>
        <v>Pending</v>
      </c>
      <c r="J74" s="93" t="str">
        <f t="shared" ca="1" si="8"/>
        <v>—</v>
      </c>
      <c r="K74" s="94"/>
    </row>
    <row r="75" spans="1:11" x14ac:dyDescent="0.25">
      <c r="A75" s="79"/>
      <c r="B75" s="21" t="str">
        <f>IF(A75="","",IFERROR(VLOOKUP(A75,DB_Customers!$A:$D,4,0),"❌ Account Not Found"))</f>
        <v/>
      </c>
      <c r="C75" s="80" t="str">
        <f>IF(A75="","",IFERROR(VLOOKUP(A75,DB_Customers!$A:$N,14,0),""))</f>
        <v/>
      </c>
      <c r="D75" s="81" t="str">
        <f t="shared" ca="1" si="6"/>
        <v/>
      </c>
      <c r="E75" s="82"/>
      <c r="F75" s="83" t="str">
        <f t="shared" si="7"/>
        <v/>
      </c>
      <c r="G75" s="23"/>
      <c r="H75" s="84"/>
      <c r="I75" s="85" t="str">
        <f>IF(A75="","Pending",IF(H75="","⚠️ Enter Code",IF(IFERROR(VLOOKUP(G75,DB_Agents!$B:$I,8,0),"")=H75,IF(AND(A75&lt;&gt;"",E75&lt;&gt;""),"Saved","Pending"),"🔒 BLOCKED — Wrong Code")))</f>
        <v>Pending</v>
      </c>
      <c r="J75" s="86" t="str">
        <f t="shared" ca="1" si="8"/>
        <v>—</v>
      </c>
      <c r="K75" s="87"/>
    </row>
    <row r="76" spans="1:11" x14ac:dyDescent="0.25">
      <c r="A76" s="88"/>
      <c r="B76" s="25" t="str">
        <f>IF(A76="","",IFERROR(VLOOKUP(A76,DB_Customers!$A:$D,4,0),"❌ Account Not Found"))</f>
        <v/>
      </c>
      <c r="C76" s="89" t="str">
        <f>IF(A76="","",IFERROR(VLOOKUP(A76,DB_Customers!$A:$N,14,0),""))</f>
        <v/>
      </c>
      <c r="D76" s="90" t="str">
        <f t="shared" ca="1" si="6"/>
        <v/>
      </c>
      <c r="E76" s="82"/>
      <c r="F76" s="91" t="str">
        <f t="shared" si="7"/>
        <v/>
      </c>
      <c r="G76" s="27"/>
      <c r="H76" s="84"/>
      <c r="I76" s="92" t="str">
        <f>IF(A76="","Pending",IF(H76="","⚠️ Enter Code",IF(IFERROR(VLOOKUP(G76,DB_Agents!$B:$I,8,0),"")=H76,IF(AND(A76&lt;&gt;"",E76&lt;&gt;""),"Saved","Pending"),"🔒 BLOCKED — Wrong Code")))</f>
        <v>Pending</v>
      </c>
      <c r="J76" s="93" t="str">
        <f t="shared" ca="1" si="8"/>
        <v>—</v>
      </c>
      <c r="K76" s="94"/>
    </row>
    <row r="77" spans="1:11" x14ac:dyDescent="0.25">
      <c r="A77" s="79"/>
      <c r="B77" s="21" t="str">
        <f>IF(A77="","",IFERROR(VLOOKUP(A77,DB_Customers!$A:$D,4,0),"❌ Account Not Found"))</f>
        <v/>
      </c>
      <c r="C77" s="80" t="str">
        <f>IF(A77="","",IFERROR(VLOOKUP(A77,DB_Customers!$A:$N,14,0),""))</f>
        <v/>
      </c>
      <c r="D77" s="81" t="str">
        <f t="shared" ca="1" si="6"/>
        <v/>
      </c>
      <c r="E77" s="82"/>
      <c r="F77" s="83" t="str">
        <f t="shared" si="7"/>
        <v/>
      </c>
      <c r="G77" s="23"/>
      <c r="H77" s="84"/>
      <c r="I77" s="85" t="str">
        <f>IF(A77="","Pending",IF(H77="","⚠️ Enter Code",IF(IFERROR(VLOOKUP(G77,DB_Agents!$B:$I,8,0),"")=H77,IF(AND(A77&lt;&gt;"",E77&lt;&gt;""),"Saved","Pending"),"🔒 BLOCKED — Wrong Code")))</f>
        <v>Pending</v>
      </c>
      <c r="J77" s="86" t="str">
        <f t="shared" ca="1" si="8"/>
        <v>—</v>
      </c>
      <c r="K77" s="87"/>
    </row>
    <row r="78" spans="1:11" x14ac:dyDescent="0.25">
      <c r="A78" s="88"/>
      <c r="B78" s="25" t="str">
        <f>IF(A78="","",IFERROR(VLOOKUP(A78,DB_Customers!$A:$D,4,0),"❌ Account Not Found"))</f>
        <v/>
      </c>
      <c r="C78" s="89" t="str">
        <f>IF(A78="","",IFERROR(VLOOKUP(A78,DB_Customers!$A:$N,14,0),""))</f>
        <v/>
      </c>
      <c r="D78" s="90" t="str">
        <f t="shared" ca="1" si="6"/>
        <v/>
      </c>
      <c r="E78" s="82"/>
      <c r="F78" s="91" t="str">
        <f t="shared" si="7"/>
        <v/>
      </c>
      <c r="G78" s="27"/>
      <c r="H78" s="84"/>
      <c r="I78" s="92" t="str">
        <f>IF(A78="","Pending",IF(H78="","⚠️ Enter Code",IF(IFERROR(VLOOKUP(G78,DB_Agents!$B:$I,8,0),"")=H78,IF(AND(A78&lt;&gt;"",E78&lt;&gt;""),"Saved","Pending"),"🔒 BLOCKED — Wrong Code")))</f>
        <v>Pending</v>
      </c>
      <c r="J78" s="93" t="str">
        <f t="shared" ca="1" si="8"/>
        <v>—</v>
      </c>
      <c r="K78" s="94"/>
    </row>
    <row r="79" spans="1:11" x14ac:dyDescent="0.25">
      <c r="A79" s="79"/>
      <c r="B79" s="21" t="str">
        <f>IF(A79="","",IFERROR(VLOOKUP(A79,DB_Customers!$A:$D,4,0),"❌ Account Not Found"))</f>
        <v/>
      </c>
      <c r="C79" s="80" t="str">
        <f>IF(A79="","",IFERROR(VLOOKUP(A79,DB_Customers!$A:$N,14,0),""))</f>
        <v/>
      </c>
      <c r="D79" s="81" t="str">
        <f t="shared" ca="1" si="6"/>
        <v/>
      </c>
      <c r="E79" s="82"/>
      <c r="F79" s="83" t="str">
        <f t="shared" si="7"/>
        <v/>
      </c>
      <c r="G79" s="23"/>
      <c r="H79" s="84"/>
      <c r="I79" s="85" t="str">
        <f>IF(A79="","Pending",IF(H79="","⚠️ Enter Code",IF(IFERROR(VLOOKUP(G79,DB_Agents!$B:$I,8,0),"")=H79,IF(AND(A79&lt;&gt;"",E79&lt;&gt;""),"Saved","Pending"),"🔒 BLOCKED — Wrong Code")))</f>
        <v>Pending</v>
      </c>
      <c r="J79" s="86" t="str">
        <f t="shared" ca="1" si="8"/>
        <v>—</v>
      </c>
      <c r="K79" s="87"/>
    </row>
    <row r="80" spans="1:11" x14ac:dyDescent="0.25">
      <c r="A80" s="88"/>
      <c r="B80" s="25" t="str">
        <f>IF(A80="","",IFERROR(VLOOKUP(A80,DB_Customers!$A:$D,4,0),"❌ Account Not Found"))</f>
        <v/>
      </c>
      <c r="C80" s="89" t="str">
        <f>IF(A80="","",IFERROR(VLOOKUP(A80,DB_Customers!$A:$N,14,0),""))</f>
        <v/>
      </c>
      <c r="D80" s="90" t="str">
        <f t="shared" ca="1" si="6"/>
        <v/>
      </c>
      <c r="E80" s="82"/>
      <c r="F80" s="91" t="str">
        <f t="shared" si="7"/>
        <v/>
      </c>
      <c r="G80" s="27"/>
      <c r="H80" s="84"/>
      <c r="I80" s="92" t="str">
        <f>IF(A80="","Pending",IF(H80="","⚠️ Enter Code",IF(IFERROR(VLOOKUP(G80,DB_Agents!$B:$I,8,0),"")=H80,IF(AND(A80&lt;&gt;"",E80&lt;&gt;""),"Saved","Pending"),"🔒 BLOCKED — Wrong Code")))</f>
        <v>Pending</v>
      </c>
      <c r="J80" s="93" t="str">
        <f t="shared" ca="1" si="8"/>
        <v>—</v>
      </c>
      <c r="K80" s="94"/>
    </row>
    <row r="81" spans="1:11" x14ac:dyDescent="0.25">
      <c r="A81" s="79"/>
      <c r="B81" s="21" t="str">
        <f>IF(A81="","",IFERROR(VLOOKUP(A81,DB_Customers!$A:$D,4,0),"❌ Account Not Found"))</f>
        <v/>
      </c>
      <c r="C81" s="80" t="str">
        <f>IF(A81="","",IFERROR(VLOOKUP(A81,DB_Customers!$A:$N,14,0),""))</f>
        <v/>
      </c>
      <c r="D81" s="81" t="str">
        <f t="shared" ca="1" si="6"/>
        <v/>
      </c>
      <c r="E81" s="82"/>
      <c r="F81" s="83" t="str">
        <f t="shared" si="7"/>
        <v/>
      </c>
      <c r="G81" s="23"/>
      <c r="H81" s="84"/>
      <c r="I81" s="85" t="str">
        <f>IF(A81="","Pending",IF(H81="","⚠️ Enter Code",IF(IFERROR(VLOOKUP(G81,DB_Agents!$B:$I,8,0),"")=H81,IF(AND(A81&lt;&gt;"",E81&lt;&gt;""),"Saved","Pending"),"🔒 BLOCKED — Wrong Code")))</f>
        <v>Pending</v>
      </c>
      <c r="J81" s="86" t="str">
        <f t="shared" ca="1" si="8"/>
        <v>—</v>
      </c>
      <c r="K81" s="87"/>
    </row>
    <row r="82" spans="1:11" x14ac:dyDescent="0.25">
      <c r="A82" s="88"/>
      <c r="B82" s="25" t="str">
        <f>IF(A82="","",IFERROR(VLOOKUP(A82,DB_Customers!$A:$D,4,0),"❌ Account Not Found"))</f>
        <v/>
      </c>
      <c r="C82" s="89" t="str">
        <f>IF(A82="","",IFERROR(VLOOKUP(A82,DB_Customers!$A:$N,14,0),""))</f>
        <v/>
      </c>
      <c r="D82" s="90" t="str">
        <f t="shared" ca="1" si="6"/>
        <v/>
      </c>
      <c r="E82" s="82"/>
      <c r="F82" s="91" t="str">
        <f t="shared" si="7"/>
        <v/>
      </c>
      <c r="G82" s="27"/>
      <c r="H82" s="84"/>
      <c r="I82" s="92" t="str">
        <f>IF(A82="","Pending",IF(H82="","⚠️ Enter Code",IF(IFERROR(VLOOKUP(G82,DB_Agents!$B:$I,8,0),"")=H82,IF(AND(A82&lt;&gt;"",E82&lt;&gt;""),"Saved","Pending"),"🔒 BLOCKED — Wrong Code")))</f>
        <v>Pending</v>
      </c>
      <c r="J82" s="93" t="str">
        <f t="shared" ca="1" si="8"/>
        <v>—</v>
      </c>
      <c r="K82" s="94"/>
    </row>
    <row r="83" spans="1:11" x14ac:dyDescent="0.25">
      <c r="A83" s="79"/>
      <c r="B83" s="21" t="str">
        <f>IF(A83="","",IFERROR(VLOOKUP(A83,DB_Customers!$A:$D,4,0),"❌ Account Not Found"))</f>
        <v/>
      </c>
      <c r="C83" s="80" t="str">
        <f>IF(A83="","",IFERROR(VLOOKUP(A83,DB_Customers!$A:$N,14,0),""))</f>
        <v/>
      </c>
      <c r="D83" s="81" t="str">
        <f t="shared" ca="1" si="6"/>
        <v/>
      </c>
      <c r="E83" s="82"/>
      <c r="F83" s="83" t="str">
        <f t="shared" si="7"/>
        <v/>
      </c>
      <c r="G83" s="23"/>
      <c r="H83" s="84"/>
      <c r="I83" s="85" t="str">
        <f>IF(A83="","Pending",IF(H83="","⚠️ Enter Code",IF(IFERROR(VLOOKUP(G83,DB_Agents!$B:$I,8,0),"")=H83,IF(AND(A83&lt;&gt;"",E83&lt;&gt;""),"Saved","Pending"),"🔒 BLOCKED — Wrong Code")))</f>
        <v>Pending</v>
      </c>
      <c r="J83" s="86" t="str">
        <f t="shared" ca="1" si="8"/>
        <v>—</v>
      </c>
      <c r="K83" s="87"/>
    </row>
    <row r="84" spans="1:11" x14ac:dyDescent="0.25">
      <c r="A84" s="88"/>
      <c r="B84" s="25" t="str">
        <f>IF(A84="","",IFERROR(VLOOKUP(A84,DB_Customers!$A:$D,4,0),"❌ Account Not Found"))</f>
        <v/>
      </c>
      <c r="C84" s="89" t="str">
        <f>IF(A84="","",IFERROR(VLOOKUP(A84,DB_Customers!$A:$N,14,0),""))</f>
        <v/>
      </c>
      <c r="D84" s="90" t="str">
        <f t="shared" ca="1" si="6"/>
        <v/>
      </c>
      <c r="E84" s="82"/>
      <c r="F84" s="91" t="str">
        <f t="shared" si="7"/>
        <v/>
      </c>
      <c r="G84" s="27"/>
      <c r="H84" s="84"/>
      <c r="I84" s="92" t="str">
        <f>IF(A84="","Pending",IF(H84="","⚠️ Enter Code",IF(IFERROR(VLOOKUP(G84,DB_Agents!$B:$I,8,0),"")=H84,IF(AND(A84&lt;&gt;"",E84&lt;&gt;""),"Saved","Pending"),"🔒 BLOCKED — Wrong Code")))</f>
        <v>Pending</v>
      </c>
      <c r="J84" s="93" t="str">
        <f t="shared" ca="1" si="8"/>
        <v>—</v>
      </c>
      <c r="K84" s="94"/>
    </row>
    <row r="85" spans="1:11" x14ac:dyDescent="0.25">
      <c r="A85" s="79"/>
      <c r="B85" s="21" t="str">
        <f>IF(A85="","",IFERROR(VLOOKUP(A85,DB_Customers!$A:$D,4,0),"❌ Account Not Found"))</f>
        <v/>
      </c>
      <c r="C85" s="80" t="str">
        <f>IF(A85="","",IFERROR(VLOOKUP(A85,DB_Customers!$A:$N,14,0),""))</f>
        <v/>
      </c>
      <c r="D85" s="81" t="str">
        <f t="shared" ca="1" si="6"/>
        <v/>
      </c>
      <c r="E85" s="82"/>
      <c r="F85" s="83" t="str">
        <f t="shared" si="7"/>
        <v/>
      </c>
      <c r="G85" s="23"/>
      <c r="H85" s="84"/>
      <c r="I85" s="85" t="str">
        <f>IF(A85="","Pending",IF(H85="","⚠️ Enter Code",IF(IFERROR(VLOOKUP(G85,DB_Agents!$B:$I,8,0),"")=H85,IF(AND(A85&lt;&gt;"",E85&lt;&gt;""),"Saved","Pending"),"🔒 BLOCKED — Wrong Code")))</f>
        <v>Pending</v>
      </c>
      <c r="J85" s="86" t="str">
        <f t="shared" ca="1" si="8"/>
        <v>—</v>
      </c>
      <c r="K85" s="87"/>
    </row>
    <row r="86" spans="1:11" x14ac:dyDescent="0.25">
      <c r="A86" s="88"/>
      <c r="B86" s="25" t="str">
        <f>IF(A86="","",IFERROR(VLOOKUP(A86,DB_Customers!$A:$D,4,0),"❌ Account Not Found"))</f>
        <v/>
      </c>
      <c r="C86" s="89" t="str">
        <f>IF(A86="","",IFERROR(VLOOKUP(A86,DB_Customers!$A:$N,14,0),""))</f>
        <v/>
      </c>
      <c r="D86" s="90" t="str">
        <f t="shared" ca="1" si="6"/>
        <v/>
      </c>
      <c r="E86" s="82"/>
      <c r="F86" s="91" t="str">
        <f t="shared" si="7"/>
        <v/>
      </c>
      <c r="G86" s="27"/>
      <c r="H86" s="84"/>
      <c r="I86" s="92" t="str">
        <f>IF(A86="","Pending",IF(H86="","⚠️ Enter Code",IF(IFERROR(VLOOKUP(G86,DB_Agents!$B:$I,8,0),"")=H86,IF(AND(A86&lt;&gt;"",E86&lt;&gt;""),"Saved","Pending"),"🔒 BLOCKED — Wrong Code")))</f>
        <v>Pending</v>
      </c>
      <c r="J86" s="93" t="str">
        <f t="shared" ca="1" si="8"/>
        <v>—</v>
      </c>
      <c r="K86" s="94"/>
    </row>
    <row r="87" spans="1:11" x14ac:dyDescent="0.25">
      <c r="A87" s="79"/>
      <c r="B87" s="21" t="str">
        <f>IF(A87="","",IFERROR(VLOOKUP(A87,DB_Customers!$A:$D,4,0),"❌ Account Not Found"))</f>
        <v/>
      </c>
      <c r="C87" s="80" t="str">
        <f>IF(A87="","",IFERROR(VLOOKUP(A87,DB_Customers!$A:$N,14,0),""))</f>
        <v/>
      </c>
      <c r="D87" s="81" t="str">
        <f t="shared" ca="1" si="6"/>
        <v/>
      </c>
      <c r="E87" s="82"/>
      <c r="F87" s="83" t="str">
        <f t="shared" si="7"/>
        <v/>
      </c>
      <c r="G87" s="23"/>
      <c r="H87" s="84"/>
      <c r="I87" s="85" t="str">
        <f>IF(A87="","Pending",IF(H87="","⚠️ Enter Code",IF(IFERROR(VLOOKUP(G87,DB_Agents!$B:$I,8,0),"")=H87,IF(AND(A87&lt;&gt;"",E87&lt;&gt;""),"Saved","Pending"),"🔒 BLOCKED — Wrong Code")))</f>
        <v>Pending</v>
      </c>
      <c r="J87" s="86" t="str">
        <f t="shared" ca="1" si="8"/>
        <v>—</v>
      </c>
      <c r="K87" s="87"/>
    </row>
    <row r="88" spans="1:11" x14ac:dyDescent="0.25">
      <c r="A88" s="88"/>
      <c r="B88" s="25" t="str">
        <f>IF(A88="","",IFERROR(VLOOKUP(A88,DB_Customers!$A:$D,4,0),"❌ Account Not Found"))</f>
        <v/>
      </c>
      <c r="C88" s="89" t="str">
        <f>IF(A88="","",IFERROR(VLOOKUP(A88,DB_Customers!$A:$N,14,0),""))</f>
        <v/>
      </c>
      <c r="D88" s="90" t="str">
        <f t="shared" ca="1" si="6"/>
        <v/>
      </c>
      <c r="E88" s="82"/>
      <c r="F88" s="91" t="str">
        <f t="shared" si="7"/>
        <v/>
      </c>
      <c r="G88" s="27"/>
      <c r="H88" s="84"/>
      <c r="I88" s="92" t="str">
        <f>IF(A88="","Pending",IF(H88="","⚠️ Enter Code",IF(IFERROR(VLOOKUP(G88,DB_Agents!$B:$I,8,0),"")=H88,IF(AND(A88&lt;&gt;"",E88&lt;&gt;""),"Saved","Pending"),"🔒 BLOCKED — Wrong Code")))</f>
        <v>Pending</v>
      </c>
      <c r="J88" s="93" t="str">
        <f t="shared" ca="1" si="8"/>
        <v>—</v>
      </c>
      <c r="K88" s="94"/>
    </row>
    <row r="89" spans="1:11" x14ac:dyDescent="0.25">
      <c r="A89" s="79"/>
      <c r="B89" s="21" t="str">
        <f>IF(A89="","",IFERROR(VLOOKUP(A89,DB_Customers!$A:$D,4,0),"❌ Account Not Found"))</f>
        <v/>
      </c>
      <c r="C89" s="80" t="str">
        <f>IF(A89="","",IFERROR(VLOOKUP(A89,DB_Customers!$A:$N,14,0),""))</f>
        <v/>
      </c>
      <c r="D89" s="81" t="str">
        <f t="shared" ca="1" si="6"/>
        <v/>
      </c>
      <c r="E89" s="82"/>
      <c r="F89" s="83" t="str">
        <f t="shared" si="7"/>
        <v/>
      </c>
      <c r="G89" s="23"/>
      <c r="H89" s="84"/>
      <c r="I89" s="85" t="str">
        <f>IF(A89="","Pending",IF(H89="","⚠️ Enter Code",IF(IFERROR(VLOOKUP(G89,DB_Agents!$B:$I,8,0),"")=H89,IF(AND(A89&lt;&gt;"",E89&lt;&gt;""),"Saved","Pending"),"🔒 BLOCKED — Wrong Code")))</f>
        <v>Pending</v>
      </c>
      <c r="J89" s="86" t="str">
        <f t="shared" ca="1" si="8"/>
        <v>—</v>
      </c>
      <c r="K89" s="87"/>
    </row>
    <row r="90" spans="1:11" x14ac:dyDescent="0.25">
      <c r="A90" s="88"/>
      <c r="B90" s="25" t="str">
        <f>IF(A90="","",IFERROR(VLOOKUP(A90,DB_Customers!$A:$D,4,0),"❌ Account Not Found"))</f>
        <v/>
      </c>
      <c r="C90" s="89" t="str">
        <f>IF(A90="","",IFERROR(VLOOKUP(A90,DB_Customers!$A:$N,14,0),""))</f>
        <v/>
      </c>
      <c r="D90" s="90" t="str">
        <f t="shared" ca="1" si="6"/>
        <v/>
      </c>
      <c r="E90" s="82"/>
      <c r="F90" s="91" t="str">
        <f t="shared" si="7"/>
        <v/>
      </c>
      <c r="G90" s="27"/>
      <c r="H90" s="84"/>
      <c r="I90" s="92" t="str">
        <f>IF(A90="","Pending",IF(H90="","⚠️ Enter Code",IF(IFERROR(VLOOKUP(G90,DB_Agents!$B:$I,8,0),"")=H90,IF(AND(A90&lt;&gt;"",E90&lt;&gt;""),"Saved","Pending"),"🔒 BLOCKED — Wrong Code")))</f>
        <v>Pending</v>
      </c>
      <c r="J90" s="93" t="str">
        <f t="shared" ca="1" si="8"/>
        <v>—</v>
      </c>
      <c r="K90" s="94"/>
    </row>
    <row r="91" spans="1:11" x14ac:dyDescent="0.25">
      <c r="A91" s="79"/>
      <c r="B91" s="21" t="str">
        <f>IF(A91="","",IFERROR(VLOOKUP(A91,DB_Customers!$A:$D,4,0),"❌ Account Not Found"))</f>
        <v/>
      </c>
      <c r="C91" s="80" t="str">
        <f>IF(A91="","",IFERROR(VLOOKUP(A91,DB_Customers!$A:$N,14,0),""))</f>
        <v/>
      </c>
      <c r="D91" s="81" t="str">
        <f t="shared" ca="1" si="6"/>
        <v/>
      </c>
      <c r="E91" s="82"/>
      <c r="F91" s="83" t="str">
        <f t="shared" si="7"/>
        <v/>
      </c>
      <c r="G91" s="23"/>
      <c r="H91" s="84"/>
      <c r="I91" s="85" t="str">
        <f>IF(A91="","Pending",IF(H91="","⚠️ Enter Code",IF(IFERROR(VLOOKUP(G91,DB_Agents!$B:$I,8,0),"")=H91,IF(AND(A91&lt;&gt;"",E91&lt;&gt;""),"Saved","Pending"),"🔒 BLOCKED — Wrong Code")))</f>
        <v>Pending</v>
      </c>
      <c r="J91" s="86" t="str">
        <f t="shared" ca="1" si="8"/>
        <v>—</v>
      </c>
      <c r="K91" s="87"/>
    </row>
    <row r="92" spans="1:11" x14ac:dyDescent="0.25">
      <c r="A92" s="88"/>
      <c r="B92" s="25" t="str">
        <f>IF(A92="","",IFERROR(VLOOKUP(A92,DB_Customers!$A:$D,4,0),"❌ Account Not Found"))</f>
        <v/>
      </c>
      <c r="C92" s="89" t="str">
        <f>IF(A92="","",IFERROR(VLOOKUP(A92,DB_Customers!$A:$N,14,0),""))</f>
        <v/>
      </c>
      <c r="D92" s="90" t="str">
        <f t="shared" ca="1" si="6"/>
        <v/>
      </c>
      <c r="E92" s="82"/>
      <c r="F92" s="91" t="str">
        <f t="shared" si="7"/>
        <v/>
      </c>
      <c r="G92" s="27"/>
      <c r="H92" s="84"/>
      <c r="I92" s="92" t="str">
        <f>IF(A92="","Pending",IF(H92="","⚠️ Enter Code",IF(IFERROR(VLOOKUP(G92,DB_Agents!$B:$I,8,0),"")=H92,IF(AND(A92&lt;&gt;"",E92&lt;&gt;""),"Saved","Pending"),"🔒 BLOCKED — Wrong Code")))</f>
        <v>Pending</v>
      </c>
      <c r="J92" s="93" t="str">
        <f t="shared" ca="1" si="8"/>
        <v>—</v>
      </c>
      <c r="K92" s="94"/>
    </row>
    <row r="93" spans="1:11" x14ac:dyDescent="0.25">
      <c r="A93" s="79"/>
      <c r="B93" s="21" t="str">
        <f>IF(A93="","",IFERROR(VLOOKUP(A93,DB_Customers!$A:$D,4,0),"❌ Account Not Found"))</f>
        <v/>
      </c>
      <c r="C93" s="80" t="str">
        <f>IF(A93="","",IFERROR(VLOOKUP(A93,DB_Customers!$A:$N,14,0),""))</f>
        <v/>
      </c>
      <c r="D93" s="81" t="str">
        <f t="shared" ca="1" si="6"/>
        <v/>
      </c>
      <c r="E93" s="82"/>
      <c r="F93" s="83" t="str">
        <f t="shared" si="7"/>
        <v/>
      </c>
      <c r="G93" s="23"/>
      <c r="H93" s="84"/>
      <c r="I93" s="85" t="str">
        <f>IF(A93="","Pending",IF(H93="","⚠️ Enter Code",IF(IFERROR(VLOOKUP(G93,DB_Agents!$B:$I,8,0),"")=H93,IF(AND(A93&lt;&gt;"",E93&lt;&gt;""),"Saved","Pending"),"🔒 BLOCKED — Wrong Code")))</f>
        <v>Pending</v>
      </c>
      <c r="J93" s="86" t="str">
        <f t="shared" ca="1" si="8"/>
        <v>—</v>
      </c>
      <c r="K93" s="87"/>
    </row>
    <row r="94" spans="1:11" x14ac:dyDescent="0.25">
      <c r="A94" s="88"/>
      <c r="B94" s="25" t="str">
        <f>IF(A94="","",IFERROR(VLOOKUP(A94,DB_Customers!$A:$D,4,0),"❌ Account Not Found"))</f>
        <v/>
      </c>
      <c r="C94" s="89" t="str">
        <f>IF(A94="","",IFERROR(VLOOKUP(A94,DB_Customers!$A:$N,14,0),""))</f>
        <v/>
      </c>
      <c r="D94" s="90" t="str">
        <f t="shared" ca="1" si="6"/>
        <v/>
      </c>
      <c r="E94" s="82"/>
      <c r="F94" s="91" t="str">
        <f t="shared" si="7"/>
        <v/>
      </c>
      <c r="G94" s="27"/>
      <c r="H94" s="84"/>
      <c r="I94" s="92" t="str">
        <f>IF(A94="","Pending",IF(H94="","⚠️ Enter Code",IF(IFERROR(VLOOKUP(G94,DB_Agents!$B:$I,8,0),"")=H94,IF(AND(A94&lt;&gt;"",E94&lt;&gt;""),"Saved","Pending"),"🔒 BLOCKED — Wrong Code")))</f>
        <v>Pending</v>
      </c>
      <c r="J94" s="93" t="str">
        <f t="shared" ca="1" si="8"/>
        <v>—</v>
      </c>
      <c r="K94" s="94"/>
    </row>
    <row r="95" spans="1:11" x14ac:dyDescent="0.25">
      <c r="A95" s="79"/>
      <c r="B95" s="21" t="str">
        <f>IF(A95="","",IFERROR(VLOOKUP(A95,DB_Customers!$A:$D,4,0),"❌ Account Not Found"))</f>
        <v/>
      </c>
      <c r="C95" s="80" t="str">
        <f>IF(A95="","",IFERROR(VLOOKUP(A95,DB_Customers!$A:$N,14,0),""))</f>
        <v/>
      </c>
      <c r="D95" s="81" t="str">
        <f t="shared" ca="1" si="6"/>
        <v/>
      </c>
      <c r="E95" s="82"/>
      <c r="F95" s="83" t="str">
        <f t="shared" si="7"/>
        <v/>
      </c>
      <c r="G95" s="23"/>
      <c r="H95" s="84"/>
      <c r="I95" s="85" t="str">
        <f>IF(A95="","Pending",IF(H95="","⚠️ Enter Code",IF(IFERROR(VLOOKUP(G95,DB_Agents!$B:$I,8,0),"")=H95,IF(AND(A95&lt;&gt;"",E95&lt;&gt;""),"Saved","Pending"),"🔒 BLOCKED — Wrong Code")))</f>
        <v>Pending</v>
      </c>
      <c r="J95" s="86" t="str">
        <f t="shared" ca="1" si="8"/>
        <v>—</v>
      </c>
      <c r="K95" s="87"/>
    </row>
    <row r="96" spans="1:11" x14ac:dyDescent="0.25">
      <c r="A96" s="88"/>
      <c r="B96" s="25" t="str">
        <f>IF(A96="","",IFERROR(VLOOKUP(A96,DB_Customers!$A:$D,4,0),"❌ Account Not Found"))</f>
        <v/>
      </c>
      <c r="C96" s="89" t="str">
        <f>IF(A96="","",IFERROR(VLOOKUP(A96,DB_Customers!$A:$N,14,0),""))</f>
        <v/>
      </c>
      <c r="D96" s="90" t="str">
        <f t="shared" ca="1" si="6"/>
        <v/>
      </c>
      <c r="E96" s="82"/>
      <c r="F96" s="91" t="str">
        <f t="shared" si="7"/>
        <v/>
      </c>
      <c r="G96" s="27"/>
      <c r="H96" s="84"/>
      <c r="I96" s="92" t="str">
        <f>IF(A96="","Pending",IF(H96="","⚠️ Enter Code",IF(IFERROR(VLOOKUP(G96,DB_Agents!$B:$I,8,0),"")=H96,IF(AND(A96&lt;&gt;"",E96&lt;&gt;""),"Saved","Pending"),"🔒 BLOCKED — Wrong Code")))</f>
        <v>Pending</v>
      </c>
      <c r="J96" s="93" t="str">
        <f t="shared" ca="1" si="8"/>
        <v>—</v>
      </c>
      <c r="K96" s="94"/>
    </row>
    <row r="97" spans="1:11" x14ac:dyDescent="0.25">
      <c r="A97" s="79"/>
      <c r="B97" s="21" t="str">
        <f>IF(A97="","",IFERROR(VLOOKUP(A97,DB_Customers!$A:$D,4,0),"❌ Account Not Found"))</f>
        <v/>
      </c>
      <c r="C97" s="80" t="str">
        <f>IF(A97="","",IFERROR(VLOOKUP(A97,DB_Customers!$A:$N,14,0),""))</f>
        <v/>
      </c>
      <c r="D97" s="81" t="str">
        <f t="shared" ca="1" si="6"/>
        <v/>
      </c>
      <c r="E97" s="82"/>
      <c r="F97" s="83" t="str">
        <f t="shared" si="7"/>
        <v/>
      </c>
      <c r="G97" s="23"/>
      <c r="H97" s="84"/>
      <c r="I97" s="85" t="str">
        <f>IF(A97="","Pending",IF(H97="","⚠️ Enter Code",IF(IFERROR(VLOOKUP(G97,DB_Agents!$B:$I,8,0),"")=H97,IF(AND(A97&lt;&gt;"",E97&lt;&gt;""),"Saved","Pending"),"🔒 BLOCKED — Wrong Code")))</f>
        <v>Pending</v>
      </c>
      <c r="J97" s="86" t="str">
        <f t="shared" ca="1" si="8"/>
        <v>—</v>
      </c>
      <c r="K97" s="87"/>
    </row>
    <row r="98" spans="1:11" x14ac:dyDescent="0.25">
      <c r="A98" s="88"/>
      <c r="B98" s="25" t="str">
        <f>IF(A98="","",IFERROR(VLOOKUP(A98,DB_Customers!$A:$D,4,0),"❌ Account Not Found"))</f>
        <v/>
      </c>
      <c r="C98" s="89" t="str">
        <f>IF(A98="","",IFERROR(VLOOKUP(A98,DB_Customers!$A:$N,14,0),""))</f>
        <v/>
      </c>
      <c r="D98" s="90" t="str">
        <f t="shared" ca="1" si="6"/>
        <v/>
      </c>
      <c r="E98" s="82"/>
      <c r="F98" s="91" t="str">
        <f t="shared" si="7"/>
        <v/>
      </c>
      <c r="G98" s="27"/>
      <c r="H98" s="84"/>
      <c r="I98" s="92" t="str">
        <f>IF(A98="","Pending",IF(H98="","⚠️ Enter Code",IF(IFERROR(VLOOKUP(G98,DB_Agents!$B:$I,8,0),"")=H98,IF(AND(A98&lt;&gt;"",E98&lt;&gt;""),"Saved","Pending"),"🔒 BLOCKED — Wrong Code")))</f>
        <v>Pending</v>
      </c>
      <c r="J98" s="93" t="str">
        <f t="shared" ca="1" si="8"/>
        <v>—</v>
      </c>
      <c r="K98" s="94"/>
    </row>
    <row r="99" spans="1:11" x14ac:dyDescent="0.25">
      <c r="A99" s="79"/>
      <c r="B99" s="21" t="str">
        <f>IF(A99="","",IFERROR(VLOOKUP(A99,DB_Customers!$A:$D,4,0),"❌ Account Not Found"))</f>
        <v/>
      </c>
      <c r="C99" s="80" t="str">
        <f>IF(A99="","",IFERROR(VLOOKUP(A99,DB_Customers!$A:$N,14,0),""))</f>
        <v/>
      </c>
      <c r="D99" s="81" t="str">
        <f t="shared" ca="1" si="6"/>
        <v/>
      </c>
      <c r="E99" s="82"/>
      <c r="F99" s="83" t="str">
        <f t="shared" si="7"/>
        <v/>
      </c>
      <c r="G99" s="23"/>
      <c r="H99" s="84"/>
      <c r="I99" s="85" t="str">
        <f>IF(A99="","Pending",IF(H99="","⚠️ Enter Code",IF(IFERROR(VLOOKUP(G99,DB_Agents!$B:$I,8,0),"")=H99,IF(AND(A99&lt;&gt;"",E99&lt;&gt;""),"Saved","Pending"),"🔒 BLOCKED — Wrong Code")))</f>
        <v>Pending</v>
      </c>
      <c r="J99" s="86" t="str">
        <f t="shared" ca="1" si="8"/>
        <v>—</v>
      </c>
      <c r="K99" s="87"/>
    </row>
    <row r="100" spans="1:11" x14ac:dyDescent="0.25">
      <c r="A100" s="88"/>
      <c r="B100" s="25" t="str">
        <f>IF(A100="","",IFERROR(VLOOKUP(A100,DB_Customers!$A:$D,4,0),"❌ Account Not Found"))</f>
        <v/>
      </c>
      <c r="C100" s="89" t="str">
        <f>IF(A100="","",IFERROR(VLOOKUP(A100,DB_Customers!$A:$N,14,0),""))</f>
        <v/>
      </c>
      <c r="D100" s="90" t="str">
        <f t="shared" ca="1" si="6"/>
        <v/>
      </c>
      <c r="E100" s="82"/>
      <c r="F100" s="91" t="str">
        <f t="shared" si="7"/>
        <v/>
      </c>
      <c r="G100" s="27"/>
      <c r="H100" s="84"/>
      <c r="I100" s="92" t="str">
        <f>IF(A100="","Pending",IF(H100="","⚠️ Enter Code",IF(IFERROR(VLOOKUP(G100,DB_Agents!$B:$I,8,0),"")=H100,IF(AND(A100&lt;&gt;"",E100&lt;&gt;""),"Saved","Pending"),"🔒 BLOCKED — Wrong Code")))</f>
        <v>Pending</v>
      </c>
      <c r="J100" s="93" t="str">
        <f t="shared" ca="1" si="8"/>
        <v>—</v>
      </c>
      <c r="K100" s="94"/>
    </row>
    <row r="101" spans="1:11" x14ac:dyDescent="0.25">
      <c r="A101" s="79"/>
      <c r="B101" s="21" t="str">
        <f>IF(A101="","",IFERROR(VLOOKUP(A101,DB_Customers!$A:$D,4,0),"❌ Account Not Found"))</f>
        <v/>
      </c>
      <c r="C101" s="80" t="str">
        <f>IF(A101="","",IFERROR(VLOOKUP(A101,DB_Customers!$A:$N,14,0),""))</f>
        <v/>
      </c>
      <c r="D101" s="81" t="str">
        <f t="shared" ca="1" si="6"/>
        <v/>
      </c>
      <c r="E101" s="82"/>
      <c r="F101" s="83" t="str">
        <f t="shared" si="7"/>
        <v/>
      </c>
      <c r="G101" s="23"/>
      <c r="H101" s="84"/>
      <c r="I101" s="85" t="str">
        <f>IF(A101="","Pending",IF(H101="","⚠️ Enter Code",IF(IFERROR(VLOOKUP(G101,DB_Agents!$B:$I,8,0),"")=H101,IF(AND(A101&lt;&gt;"",E101&lt;&gt;""),"Saved","Pending"),"🔒 BLOCKED — Wrong Code")))</f>
        <v>Pending</v>
      </c>
      <c r="J101" s="86" t="str">
        <f t="shared" ca="1" si="8"/>
        <v>—</v>
      </c>
      <c r="K101" s="87"/>
    </row>
    <row r="102" spans="1:11" x14ac:dyDescent="0.25">
      <c r="A102" s="88"/>
      <c r="B102" s="25" t="str">
        <f>IF(A102="","",IFERROR(VLOOKUP(A102,DB_Customers!$A:$D,4,0),"❌ Account Not Found"))</f>
        <v/>
      </c>
      <c r="C102" s="89" t="str">
        <f>IF(A102="","",IFERROR(VLOOKUP(A102,DB_Customers!$A:$N,14,0),""))</f>
        <v/>
      </c>
      <c r="D102" s="90" t="str">
        <f t="shared" ca="1" si="6"/>
        <v/>
      </c>
      <c r="E102" s="82"/>
      <c r="F102" s="91" t="str">
        <f t="shared" si="7"/>
        <v/>
      </c>
      <c r="G102" s="27"/>
      <c r="H102" s="84"/>
      <c r="I102" s="92" t="str">
        <f>IF(A102="","Pending",IF(H102="","⚠️ Enter Code",IF(IFERROR(VLOOKUP(G102,DB_Agents!$B:$I,8,0),"")=H102,IF(AND(A102&lt;&gt;"",E102&lt;&gt;""),"Saved","Pending"),"🔒 BLOCKED — Wrong Code")))</f>
        <v>Pending</v>
      </c>
      <c r="J102" s="93" t="str">
        <f t="shared" ca="1" si="8"/>
        <v>—</v>
      </c>
      <c r="K102" s="94"/>
    </row>
    <row r="103" spans="1:11" x14ac:dyDescent="0.25">
      <c r="A103" s="79"/>
      <c r="B103" s="21" t="str">
        <f>IF(A103="","",IFERROR(VLOOKUP(A103,DB_Customers!$A:$D,4,0),"❌ Account Not Found"))</f>
        <v/>
      </c>
      <c r="C103" s="80" t="str">
        <f>IF(A103="","",IFERROR(VLOOKUP(A103,DB_Customers!$A:$N,14,0),""))</f>
        <v/>
      </c>
      <c r="D103" s="81" t="str">
        <f t="shared" ca="1" si="6"/>
        <v/>
      </c>
      <c r="E103" s="82"/>
      <c r="F103" s="83" t="str">
        <f t="shared" si="7"/>
        <v/>
      </c>
      <c r="G103" s="23"/>
      <c r="H103" s="84"/>
      <c r="I103" s="85" t="str">
        <f>IF(A103="","Pending",IF(H103="","⚠️ Enter Code",IF(IFERROR(VLOOKUP(G103,DB_Agents!$B:$I,8,0),"")=H103,IF(AND(A103&lt;&gt;"",E103&lt;&gt;""),"Saved","Pending"),"🔒 BLOCKED — Wrong Code")))</f>
        <v>Pending</v>
      </c>
      <c r="J103" s="86" t="str">
        <f t="shared" ca="1" si="8"/>
        <v>—</v>
      </c>
      <c r="K103" s="87"/>
    </row>
    <row r="104" spans="1:11" x14ac:dyDescent="0.25">
      <c r="A104" s="88"/>
      <c r="B104" s="25" t="str">
        <f>IF(A104="","",IFERROR(VLOOKUP(A104,DB_Customers!$A:$D,4,0),"❌ Account Not Found"))</f>
        <v/>
      </c>
      <c r="C104" s="89" t="str">
        <f>IF(A104="","",IFERROR(VLOOKUP(A104,DB_Customers!$A:$N,14,0),""))</f>
        <v/>
      </c>
      <c r="D104" s="90" t="str">
        <f t="shared" ca="1" si="6"/>
        <v/>
      </c>
      <c r="E104" s="82"/>
      <c r="F104" s="91" t="str">
        <f t="shared" si="7"/>
        <v/>
      </c>
      <c r="G104" s="27"/>
      <c r="H104" s="84"/>
      <c r="I104" s="92" t="str">
        <f>IF(A104="","Pending",IF(H104="","⚠️ Enter Code",IF(IFERROR(VLOOKUP(G104,DB_Agents!$B:$I,8,0),"")=H104,IF(AND(A104&lt;&gt;"",E104&lt;&gt;""),"Saved","Pending"),"🔒 BLOCKED — Wrong Code")))</f>
        <v>Pending</v>
      </c>
      <c r="J104" s="93" t="str">
        <f t="shared" ca="1" si="8"/>
        <v>—</v>
      </c>
      <c r="K104" s="94"/>
    </row>
    <row r="105" spans="1:11" x14ac:dyDescent="0.25">
      <c r="A105" s="79"/>
      <c r="B105" s="21" t="str">
        <f>IF(A105="","",IFERROR(VLOOKUP(A105,DB_Customers!$A:$D,4,0),"❌ Account Not Found"))</f>
        <v/>
      </c>
      <c r="C105" s="80" t="str">
        <f>IF(A105="","",IFERROR(VLOOKUP(A105,DB_Customers!$A:$N,14,0),""))</f>
        <v/>
      </c>
      <c r="D105" s="81" t="str">
        <f t="shared" ref="D105:D136" ca="1" si="9">IF(A105="","",TODAY())</f>
        <v/>
      </c>
      <c r="E105" s="82"/>
      <c r="F105" s="83" t="str">
        <f t="shared" ref="F105:F136" si="10">IF(OR(A105="",E105=""),"",IF(C105="","",C105+E105))</f>
        <v/>
      </c>
      <c r="G105" s="23"/>
      <c r="H105" s="84"/>
      <c r="I105" s="85" t="str">
        <f>IF(A105="","Pending",IF(H105="","⚠️ Enter Code",IF(IFERROR(VLOOKUP(G105,DB_Agents!$B:$I,8,0),"")=H105,IF(AND(A105&lt;&gt;"",E105&lt;&gt;""),"Saved","Pending"),"🔒 BLOCKED — Wrong Code")))</f>
        <v>Pending</v>
      </c>
      <c r="J105" s="86" t="str">
        <f t="shared" ref="J105:J136" ca="1" si="11">IF(I105="Saved",TEXT(TODAY(),"YYYY-MM-DD")&amp;" Auto","—")</f>
        <v>—</v>
      </c>
      <c r="K105" s="87"/>
    </row>
    <row r="106" spans="1:11" x14ac:dyDescent="0.25">
      <c r="A106" s="88"/>
      <c r="B106" s="25" t="str">
        <f>IF(A106="","",IFERROR(VLOOKUP(A106,DB_Customers!$A:$D,4,0),"❌ Account Not Found"))</f>
        <v/>
      </c>
      <c r="C106" s="89" t="str">
        <f>IF(A106="","",IFERROR(VLOOKUP(A106,DB_Customers!$A:$N,14,0),""))</f>
        <v/>
      </c>
      <c r="D106" s="90" t="str">
        <f t="shared" ca="1" si="9"/>
        <v/>
      </c>
      <c r="E106" s="82"/>
      <c r="F106" s="91" t="str">
        <f t="shared" si="10"/>
        <v/>
      </c>
      <c r="G106" s="27"/>
      <c r="H106" s="84"/>
      <c r="I106" s="92" t="str">
        <f>IF(A106="","Pending",IF(H106="","⚠️ Enter Code",IF(IFERROR(VLOOKUP(G106,DB_Agents!$B:$I,8,0),"")=H106,IF(AND(A106&lt;&gt;"",E106&lt;&gt;""),"Saved","Pending"),"🔒 BLOCKED — Wrong Code")))</f>
        <v>Pending</v>
      </c>
      <c r="J106" s="93" t="str">
        <f t="shared" ca="1" si="11"/>
        <v>—</v>
      </c>
      <c r="K106" s="94"/>
    </row>
    <row r="107" spans="1:11" x14ac:dyDescent="0.25">
      <c r="A107" s="79"/>
      <c r="B107" s="21" t="str">
        <f>IF(A107="","",IFERROR(VLOOKUP(A107,DB_Customers!$A:$D,4,0),"❌ Account Not Found"))</f>
        <v/>
      </c>
      <c r="C107" s="80" t="str">
        <f>IF(A107="","",IFERROR(VLOOKUP(A107,DB_Customers!$A:$N,14,0),""))</f>
        <v/>
      </c>
      <c r="D107" s="81" t="str">
        <f t="shared" ca="1" si="9"/>
        <v/>
      </c>
      <c r="E107" s="82"/>
      <c r="F107" s="83" t="str">
        <f t="shared" si="10"/>
        <v/>
      </c>
      <c r="G107" s="23"/>
      <c r="H107" s="84"/>
      <c r="I107" s="85" t="str">
        <f>IF(A107="","Pending",IF(H107="","⚠️ Enter Code",IF(IFERROR(VLOOKUP(G107,DB_Agents!$B:$I,8,0),"")=H107,IF(AND(A107&lt;&gt;"",E107&lt;&gt;""),"Saved","Pending"),"🔒 BLOCKED — Wrong Code")))</f>
        <v>Pending</v>
      </c>
      <c r="J107" s="86" t="str">
        <f t="shared" ca="1" si="11"/>
        <v>—</v>
      </c>
      <c r="K107" s="87"/>
    </row>
    <row r="108" spans="1:11" x14ac:dyDescent="0.25">
      <c r="A108" s="88"/>
      <c r="B108" s="25" t="str">
        <f>IF(A108="","",IFERROR(VLOOKUP(A108,DB_Customers!$A:$D,4,0),"❌ Account Not Found"))</f>
        <v/>
      </c>
      <c r="C108" s="89" t="str">
        <f>IF(A108="","",IFERROR(VLOOKUP(A108,DB_Customers!$A:$N,14,0),""))</f>
        <v/>
      </c>
      <c r="D108" s="90" t="str">
        <f t="shared" ca="1" si="9"/>
        <v/>
      </c>
      <c r="E108" s="82"/>
      <c r="F108" s="91" t="str">
        <f t="shared" si="10"/>
        <v/>
      </c>
      <c r="G108" s="27"/>
      <c r="H108" s="84"/>
      <c r="I108" s="92" t="str">
        <f>IF(A108="","Pending",IF(H108="","⚠️ Enter Code",IF(IFERROR(VLOOKUP(G108,DB_Agents!$B:$I,8,0),"")=H108,IF(AND(A108&lt;&gt;"",E108&lt;&gt;""),"Saved","Pending"),"🔒 BLOCKED — Wrong Code")))</f>
        <v>Pending</v>
      </c>
      <c r="J108" s="93" t="str">
        <f t="shared" ca="1" si="11"/>
        <v>—</v>
      </c>
      <c r="K108" s="94"/>
    </row>
    <row r="109" spans="1:11" x14ac:dyDescent="0.25">
      <c r="A109" s="79"/>
      <c r="B109" s="21" t="str">
        <f>IF(A109="","",IFERROR(VLOOKUP(A109,DB_Customers!$A:$D,4,0),"❌ Account Not Found"))</f>
        <v/>
      </c>
      <c r="C109" s="80" t="str">
        <f>IF(A109="","",IFERROR(VLOOKUP(A109,DB_Customers!$A:$N,14,0),""))</f>
        <v/>
      </c>
      <c r="D109" s="81" t="str">
        <f t="shared" ca="1" si="9"/>
        <v/>
      </c>
      <c r="E109" s="82"/>
      <c r="F109" s="83" t="str">
        <f t="shared" si="10"/>
        <v/>
      </c>
      <c r="G109" s="23"/>
      <c r="H109" s="84"/>
      <c r="I109" s="85" t="str">
        <f>IF(A109="","Pending",IF(H109="","⚠️ Enter Code",IF(IFERROR(VLOOKUP(G109,DB_Agents!$B:$I,8,0),"")=H109,IF(AND(A109&lt;&gt;"",E109&lt;&gt;""),"Saved","Pending"),"🔒 BLOCKED — Wrong Code")))</f>
        <v>Pending</v>
      </c>
      <c r="J109" s="86" t="str">
        <f t="shared" ca="1" si="11"/>
        <v>—</v>
      </c>
      <c r="K109" s="87"/>
    </row>
    <row r="110" spans="1:11" x14ac:dyDescent="0.25">
      <c r="A110" s="88"/>
      <c r="B110" s="25" t="str">
        <f>IF(A110="","",IFERROR(VLOOKUP(A110,DB_Customers!$A:$D,4,0),"❌ Account Not Found"))</f>
        <v/>
      </c>
      <c r="C110" s="89" t="str">
        <f>IF(A110="","",IFERROR(VLOOKUP(A110,DB_Customers!$A:$N,14,0),""))</f>
        <v/>
      </c>
      <c r="D110" s="90" t="str">
        <f t="shared" ca="1" si="9"/>
        <v/>
      </c>
      <c r="E110" s="82"/>
      <c r="F110" s="91" t="str">
        <f t="shared" si="10"/>
        <v/>
      </c>
      <c r="G110" s="27"/>
      <c r="H110" s="84"/>
      <c r="I110" s="92" t="str">
        <f>IF(A110="","Pending",IF(H110="","⚠️ Enter Code",IF(IFERROR(VLOOKUP(G110,DB_Agents!$B:$I,8,0),"")=H110,IF(AND(A110&lt;&gt;"",E110&lt;&gt;""),"Saved","Pending"),"🔒 BLOCKED — Wrong Code")))</f>
        <v>Pending</v>
      </c>
      <c r="J110" s="93" t="str">
        <f t="shared" ca="1" si="11"/>
        <v>—</v>
      </c>
      <c r="K110" s="94"/>
    </row>
    <row r="111" spans="1:11" x14ac:dyDescent="0.25">
      <c r="A111" s="79"/>
      <c r="B111" s="21" t="str">
        <f>IF(A111="","",IFERROR(VLOOKUP(A111,DB_Customers!$A:$D,4,0),"❌ Account Not Found"))</f>
        <v/>
      </c>
      <c r="C111" s="80" t="str">
        <f>IF(A111="","",IFERROR(VLOOKUP(A111,DB_Customers!$A:$N,14,0),""))</f>
        <v/>
      </c>
      <c r="D111" s="81" t="str">
        <f t="shared" ca="1" si="9"/>
        <v/>
      </c>
      <c r="E111" s="82"/>
      <c r="F111" s="83" t="str">
        <f t="shared" si="10"/>
        <v/>
      </c>
      <c r="G111" s="23"/>
      <c r="H111" s="84"/>
      <c r="I111" s="85" t="str">
        <f>IF(A111="","Pending",IF(H111="","⚠️ Enter Code",IF(IFERROR(VLOOKUP(G111,DB_Agents!$B:$I,8,0),"")=H111,IF(AND(A111&lt;&gt;"",E111&lt;&gt;""),"Saved","Pending"),"🔒 BLOCKED — Wrong Code")))</f>
        <v>Pending</v>
      </c>
      <c r="J111" s="86" t="str">
        <f t="shared" ca="1" si="11"/>
        <v>—</v>
      </c>
      <c r="K111" s="87"/>
    </row>
    <row r="112" spans="1:11" x14ac:dyDescent="0.25">
      <c r="A112" s="88"/>
      <c r="B112" s="25" t="str">
        <f>IF(A112="","",IFERROR(VLOOKUP(A112,DB_Customers!$A:$D,4,0),"❌ Account Not Found"))</f>
        <v/>
      </c>
      <c r="C112" s="89" t="str">
        <f>IF(A112="","",IFERROR(VLOOKUP(A112,DB_Customers!$A:$N,14,0),""))</f>
        <v/>
      </c>
      <c r="D112" s="90" t="str">
        <f t="shared" ca="1" si="9"/>
        <v/>
      </c>
      <c r="E112" s="82"/>
      <c r="F112" s="91" t="str">
        <f t="shared" si="10"/>
        <v/>
      </c>
      <c r="G112" s="27"/>
      <c r="H112" s="84"/>
      <c r="I112" s="92" t="str">
        <f>IF(A112="","Pending",IF(H112="","⚠️ Enter Code",IF(IFERROR(VLOOKUP(G112,DB_Agents!$B:$I,8,0),"")=H112,IF(AND(A112&lt;&gt;"",E112&lt;&gt;""),"Saved","Pending"),"🔒 BLOCKED — Wrong Code")))</f>
        <v>Pending</v>
      </c>
      <c r="J112" s="93" t="str">
        <f t="shared" ca="1" si="11"/>
        <v>—</v>
      </c>
      <c r="K112" s="94"/>
    </row>
    <row r="113" spans="1:11" x14ac:dyDescent="0.25">
      <c r="A113" s="79"/>
      <c r="B113" s="21" t="str">
        <f>IF(A113="","",IFERROR(VLOOKUP(A113,DB_Customers!$A:$D,4,0),"❌ Account Not Found"))</f>
        <v/>
      </c>
      <c r="C113" s="80" t="str">
        <f>IF(A113="","",IFERROR(VLOOKUP(A113,DB_Customers!$A:$N,14,0),""))</f>
        <v/>
      </c>
      <c r="D113" s="81" t="str">
        <f t="shared" ca="1" si="9"/>
        <v/>
      </c>
      <c r="E113" s="82"/>
      <c r="F113" s="83" t="str">
        <f t="shared" si="10"/>
        <v/>
      </c>
      <c r="G113" s="23"/>
      <c r="H113" s="84"/>
      <c r="I113" s="85" t="str">
        <f>IF(A113="","Pending",IF(H113="","⚠️ Enter Code",IF(IFERROR(VLOOKUP(G113,DB_Agents!$B:$I,8,0),"")=H113,IF(AND(A113&lt;&gt;"",E113&lt;&gt;""),"Saved","Pending"),"🔒 BLOCKED — Wrong Code")))</f>
        <v>Pending</v>
      </c>
      <c r="J113" s="86" t="str">
        <f t="shared" ca="1" si="11"/>
        <v>—</v>
      </c>
      <c r="K113" s="87"/>
    </row>
    <row r="114" spans="1:11" x14ac:dyDescent="0.25">
      <c r="A114" s="88"/>
      <c r="B114" s="25" t="str">
        <f>IF(A114="","",IFERROR(VLOOKUP(A114,DB_Customers!$A:$D,4,0),"❌ Account Not Found"))</f>
        <v/>
      </c>
      <c r="C114" s="89" t="str">
        <f>IF(A114="","",IFERROR(VLOOKUP(A114,DB_Customers!$A:$N,14,0),""))</f>
        <v/>
      </c>
      <c r="D114" s="90" t="str">
        <f t="shared" ca="1" si="9"/>
        <v/>
      </c>
      <c r="E114" s="82"/>
      <c r="F114" s="91" t="str">
        <f t="shared" si="10"/>
        <v/>
      </c>
      <c r="G114" s="27"/>
      <c r="H114" s="84"/>
      <c r="I114" s="92" t="str">
        <f>IF(A114="","Pending",IF(H114="","⚠️ Enter Code",IF(IFERROR(VLOOKUP(G114,DB_Agents!$B:$I,8,0),"")=H114,IF(AND(A114&lt;&gt;"",E114&lt;&gt;""),"Saved","Pending"),"🔒 BLOCKED — Wrong Code")))</f>
        <v>Pending</v>
      </c>
      <c r="J114" s="93" t="str">
        <f t="shared" ca="1" si="11"/>
        <v>—</v>
      </c>
      <c r="K114" s="94"/>
    </row>
    <row r="115" spans="1:11" x14ac:dyDescent="0.25">
      <c r="A115" s="79"/>
      <c r="B115" s="21" t="str">
        <f>IF(A115="","",IFERROR(VLOOKUP(A115,DB_Customers!$A:$D,4,0),"❌ Account Not Found"))</f>
        <v/>
      </c>
      <c r="C115" s="80" t="str">
        <f>IF(A115="","",IFERROR(VLOOKUP(A115,DB_Customers!$A:$N,14,0),""))</f>
        <v/>
      </c>
      <c r="D115" s="81" t="str">
        <f t="shared" ca="1" si="9"/>
        <v/>
      </c>
      <c r="E115" s="82"/>
      <c r="F115" s="83" t="str">
        <f t="shared" si="10"/>
        <v/>
      </c>
      <c r="G115" s="23"/>
      <c r="H115" s="84"/>
      <c r="I115" s="85" t="str">
        <f>IF(A115="","Pending",IF(H115="","⚠️ Enter Code",IF(IFERROR(VLOOKUP(G115,DB_Agents!$B:$I,8,0),"")=H115,IF(AND(A115&lt;&gt;"",E115&lt;&gt;""),"Saved","Pending"),"🔒 BLOCKED — Wrong Code")))</f>
        <v>Pending</v>
      </c>
      <c r="J115" s="86" t="str">
        <f t="shared" ca="1" si="11"/>
        <v>—</v>
      </c>
      <c r="K115" s="87"/>
    </row>
    <row r="116" spans="1:11" x14ac:dyDescent="0.25">
      <c r="A116" s="88"/>
      <c r="B116" s="25" t="str">
        <f>IF(A116="","",IFERROR(VLOOKUP(A116,DB_Customers!$A:$D,4,0),"❌ Account Not Found"))</f>
        <v/>
      </c>
      <c r="C116" s="89" t="str">
        <f>IF(A116="","",IFERROR(VLOOKUP(A116,DB_Customers!$A:$N,14,0),""))</f>
        <v/>
      </c>
      <c r="D116" s="90" t="str">
        <f t="shared" ca="1" si="9"/>
        <v/>
      </c>
      <c r="E116" s="82"/>
      <c r="F116" s="91" t="str">
        <f t="shared" si="10"/>
        <v/>
      </c>
      <c r="G116" s="27"/>
      <c r="H116" s="84"/>
      <c r="I116" s="92" t="str">
        <f>IF(A116="","Pending",IF(H116="","⚠️ Enter Code",IF(IFERROR(VLOOKUP(G116,DB_Agents!$B:$I,8,0),"")=H116,IF(AND(A116&lt;&gt;"",E116&lt;&gt;""),"Saved","Pending"),"🔒 BLOCKED — Wrong Code")))</f>
        <v>Pending</v>
      </c>
      <c r="J116" s="93" t="str">
        <f t="shared" ca="1" si="11"/>
        <v>—</v>
      </c>
      <c r="K116" s="94"/>
    </row>
    <row r="117" spans="1:11" x14ac:dyDescent="0.25">
      <c r="A117" s="79"/>
      <c r="B117" s="21" t="str">
        <f>IF(A117="","",IFERROR(VLOOKUP(A117,DB_Customers!$A:$D,4,0),"❌ Account Not Found"))</f>
        <v/>
      </c>
      <c r="C117" s="80" t="str">
        <f>IF(A117="","",IFERROR(VLOOKUP(A117,DB_Customers!$A:$N,14,0),""))</f>
        <v/>
      </c>
      <c r="D117" s="81" t="str">
        <f t="shared" ca="1" si="9"/>
        <v/>
      </c>
      <c r="E117" s="82"/>
      <c r="F117" s="83" t="str">
        <f t="shared" si="10"/>
        <v/>
      </c>
      <c r="G117" s="23"/>
      <c r="H117" s="84"/>
      <c r="I117" s="85" t="str">
        <f>IF(A117="","Pending",IF(H117="","⚠️ Enter Code",IF(IFERROR(VLOOKUP(G117,DB_Agents!$B:$I,8,0),"")=H117,IF(AND(A117&lt;&gt;"",E117&lt;&gt;""),"Saved","Pending"),"🔒 BLOCKED — Wrong Code")))</f>
        <v>Pending</v>
      </c>
      <c r="J117" s="86" t="str">
        <f t="shared" ca="1" si="11"/>
        <v>—</v>
      </c>
      <c r="K117" s="87"/>
    </row>
    <row r="118" spans="1:11" x14ac:dyDescent="0.25">
      <c r="A118" s="88"/>
      <c r="B118" s="25" t="str">
        <f>IF(A118="","",IFERROR(VLOOKUP(A118,DB_Customers!$A:$D,4,0),"❌ Account Not Found"))</f>
        <v/>
      </c>
      <c r="C118" s="89" t="str">
        <f>IF(A118="","",IFERROR(VLOOKUP(A118,DB_Customers!$A:$N,14,0),""))</f>
        <v/>
      </c>
      <c r="D118" s="90" t="str">
        <f t="shared" ca="1" si="9"/>
        <v/>
      </c>
      <c r="E118" s="82"/>
      <c r="F118" s="91" t="str">
        <f t="shared" si="10"/>
        <v/>
      </c>
      <c r="G118" s="27"/>
      <c r="H118" s="84"/>
      <c r="I118" s="92" t="str">
        <f>IF(A118="","Pending",IF(H118="","⚠️ Enter Code",IF(IFERROR(VLOOKUP(G118,DB_Agents!$B:$I,8,0),"")=H118,IF(AND(A118&lt;&gt;"",E118&lt;&gt;""),"Saved","Pending"),"🔒 BLOCKED — Wrong Code")))</f>
        <v>Pending</v>
      </c>
      <c r="J118" s="93" t="str">
        <f t="shared" ca="1" si="11"/>
        <v>—</v>
      </c>
      <c r="K118" s="94"/>
    </row>
    <row r="119" spans="1:11" x14ac:dyDescent="0.25">
      <c r="A119" s="79"/>
      <c r="B119" s="21" t="str">
        <f>IF(A119="","",IFERROR(VLOOKUP(A119,DB_Customers!$A:$D,4,0),"❌ Account Not Found"))</f>
        <v/>
      </c>
      <c r="C119" s="80" t="str">
        <f>IF(A119="","",IFERROR(VLOOKUP(A119,DB_Customers!$A:$N,14,0),""))</f>
        <v/>
      </c>
      <c r="D119" s="81" t="str">
        <f t="shared" ca="1" si="9"/>
        <v/>
      </c>
      <c r="E119" s="82"/>
      <c r="F119" s="83" t="str">
        <f t="shared" si="10"/>
        <v/>
      </c>
      <c r="G119" s="23"/>
      <c r="H119" s="84"/>
      <c r="I119" s="85" t="str">
        <f>IF(A119="","Pending",IF(H119="","⚠️ Enter Code",IF(IFERROR(VLOOKUP(G119,DB_Agents!$B:$I,8,0),"")=H119,IF(AND(A119&lt;&gt;"",E119&lt;&gt;""),"Saved","Pending"),"🔒 BLOCKED — Wrong Code")))</f>
        <v>Pending</v>
      </c>
      <c r="J119" s="86" t="str">
        <f t="shared" ca="1" si="11"/>
        <v>—</v>
      </c>
      <c r="K119" s="87"/>
    </row>
    <row r="120" spans="1:11" x14ac:dyDescent="0.25">
      <c r="A120" s="88"/>
      <c r="B120" s="25" t="str">
        <f>IF(A120="","",IFERROR(VLOOKUP(A120,DB_Customers!$A:$D,4,0),"❌ Account Not Found"))</f>
        <v/>
      </c>
      <c r="C120" s="89" t="str">
        <f>IF(A120="","",IFERROR(VLOOKUP(A120,DB_Customers!$A:$N,14,0),""))</f>
        <v/>
      </c>
      <c r="D120" s="90" t="str">
        <f t="shared" ca="1" si="9"/>
        <v/>
      </c>
      <c r="E120" s="82"/>
      <c r="F120" s="91" t="str">
        <f t="shared" si="10"/>
        <v/>
      </c>
      <c r="G120" s="27"/>
      <c r="H120" s="84"/>
      <c r="I120" s="92" t="str">
        <f>IF(A120="","Pending",IF(H120="","⚠️ Enter Code",IF(IFERROR(VLOOKUP(G120,DB_Agents!$B:$I,8,0),"")=H120,IF(AND(A120&lt;&gt;"",E120&lt;&gt;""),"Saved","Pending"),"🔒 BLOCKED — Wrong Code")))</f>
        <v>Pending</v>
      </c>
      <c r="J120" s="93" t="str">
        <f t="shared" ca="1" si="11"/>
        <v>—</v>
      </c>
      <c r="K120" s="94"/>
    </row>
    <row r="121" spans="1:11" x14ac:dyDescent="0.25">
      <c r="A121" s="79"/>
      <c r="B121" s="21" t="str">
        <f>IF(A121="","",IFERROR(VLOOKUP(A121,DB_Customers!$A:$D,4,0),"❌ Account Not Found"))</f>
        <v/>
      </c>
      <c r="C121" s="80" t="str">
        <f>IF(A121="","",IFERROR(VLOOKUP(A121,DB_Customers!$A:$N,14,0),""))</f>
        <v/>
      </c>
      <c r="D121" s="81" t="str">
        <f t="shared" ca="1" si="9"/>
        <v/>
      </c>
      <c r="E121" s="82"/>
      <c r="F121" s="83" t="str">
        <f t="shared" si="10"/>
        <v/>
      </c>
      <c r="G121" s="23"/>
      <c r="H121" s="84"/>
      <c r="I121" s="85" t="str">
        <f>IF(A121="","Pending",IF(H121="","⚠️ Enter Code",IF(IFERROR(VLOOKUP(G121,DB_Agents!$B:$I,8,0),"")=H121,IF(AND(A121&lt;&gt;"",E121&lt;&gt;""),"Saved","Pending"),"🔒 BLOCKED — Wrong Code")))</f>
        <v>Pending</v>
      </c>
      <c r="J121" s="86" t="str">
        <f t="shared" ca="1" si="11"/>
        <v>—</v>
      </c>
      <c r="K121" s="87"/>
    </row>
    <row r="122" spans="1:11" x14ac:dyDescent="0.25">
      <c r="A122" s="88"/>
      <c r="B122" s="25" t="str">
        <f>IF(A122="","",IFERROR(VLOOKUP(A122,DB_Customers!$A:$D,4,0),"❌ Account Not Found"))</f>
        <v/>
      </c>
      <c r="C122" s="89" t="str">
        <f>IF(A122="","",IFERROR(VLOOKUP(A122,DB_Customers!$A:$N,14,0),""))</f>
        <v/>
      </c>
      <c r="D122" s="90" t="str">
        <f t="shared" ca="1" si="9"/>
        <v/>
      </c>
      <c r="E122" s="82"/>
      <c r="F122" s="91" t="str">
        <f t="shared" si="10"/>
        <v/>
      </c>
      <c r="G122" s="27"/>
      <c r="H122" s="84"/>
      <c r="I122" s="92" t="str">
        <f>IF(A122="","Pending",IF(H122="","⚠️ Enter Code",IF(IFERROR(VLOOKUP(G122,DB_Agents!$B:$I,8,0),"")=H122,IF(AND(A122&lt;&gt;"",E122&lt;&gt;""),"Saved","Pending"),"🔒 BLOCKED — Wrong Code")))</f>
        <v>Pending</v>
      </c>
      <c r="J122" s="93" t="str">
        <f t="shared" ca="1" si="11"/>
        <v>—</v>
      </c>
      <c r="K122" s="94"/>
    </row>
    <row r="123" spans="1:11" x14ac:dyDescent="0.25">
      <c r="A123" s="79"/>
      <c r="B123" s="21" t="str">
        <f>IF(A123="","",IFERROR(VLOOKUP(A123,DB_Customers!$A:$D,4,0),"❌ Account Not Found"))</f>
        <v/>
      </c>
      <c r="C123" s="80" t="str">
        <f>IF(A123="","",IFERROR(VLOOKUP(A123,DB_Customers!$A:$N,14,0),""))</f>
        <v/>
      </c>
      <c r="D123" s="81" t="str">
        <f t="shared" ca="1" si="9"/>
        <v/>
      </c>
      <c r="E123" s="82"/>
      <c r="F123" s="83" t="str">
        <f t="shared" si="10"/>
        <v/>
      </c>
      <c r="G123" s="23"/>
      <c r="H123" s="84"/>
      <c r="I123" s="85" t="str">
        <f>IF(A123="","Pending",IF(H123="","⚠️ Enter Code",IF(IFERROR(VLOOKUP(G123,DB_Agents!$B:$I,8,0),"")=H123,IF(AND(A123&lt;&gt;"",E123&lt;&gt;""),"Saved","Pending"),"🔒 BLOCKED — Wrong Code")))</f>
        <v>Pending</v>
      </c>
      <c r="J123" s="86" t="str">
        <f t="shared" ca="1" si="11"/>
        <v>—</v>
      </c>
      <c r="K123" s="87"/>
    </row>
    <row r="124" spans="1:11" x14ac:dyDescent="0.25">
      <c r="A124" s="88"/>
      <c r="B124" s="25" t="str">
        <f>IF(A124="","",IFERROR(VLOOKUP(A124,DB_Customers!$A:$D,4,0),"❌ Account Not Found"))</f>
        <v/>
      </c>
      <c r="C124" s="89" t="str">
        <f>IF(A124="","",IFERROR(VLOOKUP(A124,DB_Customers!$A:$N,14,0),""))</f>
        <v/>
      </c>
      <c r="D124" s="90" t="str">
        <f t="shared" ca="1" si="9"/>
        <v/>
      </c>
      <c r="E124" s="82"/>
      <c r="F124" s="91" t="str">
        <f t="shared" si="10"/>
        <v/>
      </c>
      <c r="G124" s="27"/>
      <c r="H124" s="84"/>
      <c r="I124" s="92" t="str">
        <f>IF(A124="","Pending",IF(H124="","⚠️ Enter Code",IF(IFERROR(VLOOKUP(G124,DB_Agents!$B:$I,8,0),"")=H124,IF(AND(A124&lt;&gt;"",E124&lt;&gt;""),"Saved","Pending"),"🔒 BLOCKED — Wrong Code")))</f>
        <v>Pending</v>
      </c>
      <c r="J124" s="93" t="str">
        <f t="shared" ca="1" si="11"/>
        <v>—</v>
      </c>
      <c r="K124" s="94"/>
    </row>
    <row r="125" spans="1:11" x14ac:dyDescent="0.25">
      <c r="A125" s="79"/>
      <c r="B125" s="21" t="str">
        <f>IF(A125="","",IFERROR(VLOOKUP(A125,DB_Customers!$A:$D,4,0),"❌ Account Not Found"))</f>
        <v/>
      </c>
      <c r="C125" s="80" t="str">
        <f>IF(A125="","",IFERROR(VLOOKUP(A125,DB_Customers!$A:$N,14,0),""))</f>
        <v/>
      </c>
      <c r="D125" s="81" t="str">
        <f t="shared" ca="1" si="9"/>
        <v/>
      </c>
      <c r="E125" s="82"/>
      <c r="F125" s="83" t="str">
        <f t="shared" si="10"/>
        <v/>
      </c>
      <c r="G125" s="23"/>
      <c r="H125" s="84"/>
      <c r="I125" s="85" t="str">
        <f>IF(A125="","Pending",IF(H125="","⚠️ Enter Code",IF(IFERROR(VLOOKUP(G125,DB_Agents!$B:$I,8,0),"")=H125,IF(AND(A125&lt;&gt;"",E125&lt;&gt;""),"Saved","Pending"),"🔒 BLOCKED — Wrong Code")))</f>
        <v>Pending</v>
      </c>
      <c r="J125" s="86" t="str">
        <f t="shared" ca="1" si="11"/>
        <v>—</v>
      </c>
      <c r="K125" s="87"/>
    </row>
    <row r="126" spans="1:11" x14ac:dyDescent="0.25">
      <c r="A126" s="88"/>
      <c r="B126" s="25" t="str">
        <f>IF(A126="","",IFERROR(VLOOKUP(A126,DB_Customers!$A:$D,4,0),"❌ Account Not Found"))</f>
        <v/>
      </c>
      <c r="C126" s="89" t="str">
        <f>IF(A126="","",IFERROR(VLOOKUP(A126,DB_Customers!$A:$N,14,0),""))</f>
        <v/>
      </c>
      <c r="D126" s="90" t="str">
        <f t="shared" ca="1" si="9"/>
        <v/>
      </c>
      <c r="E126" s="82"/>
      <c r="F126" s="91" t="str">
        <f t="shared" si="10"/>
        <v/>
      </c>
      <c r="G126" s="27"/>
      <c r="H126" s="84"/>
      <c r="I126" s="92" t="str">
        <f>IF(A126="","Pending",IF(H126="","⚠️ Enter Code",IF(IFERROR(VLOOKUP(G126,DB_Agents!$B:$I,8,0),"")=H126,IF(AND(A126&lt;&gt;"",E126&lt;&gt;""),"Saved","Pending"),"🔒 BLOCKED — Wrong Code")))</f>
        <v>Pending</v>
      </c>
      <c r="J126" s="93" t="str">
        <f t="shared" ca="1" si="11"/>
        <v>—</v>
      </c>
      <c r="K126" s="94"/>
    </row>
    <row r="127" spans="1:11" x14ac:dyDescent="0.25">
      <c r="A127" s="79"/>
      <c r="B127" s="21" t="str">
        <f>IF(A127="","",IFERROR(VLOOKUP(A127,DB_Customers!$A:$D,4,0),"❌ Account Not Found"))</f>
        <v/>
      </c>
      <c r="C127" s="80" t="str">
        <f>IF(A127="","",IFERROR(VLOOKUP(A127,DB_Customers!$A:$N,14,0),""))</f>
        <v/>
      </c>
      <c r="D127" s="81" t="str">
        <f t="shared" ca="1" si="9"/>
        <v/>
      </c>
      <c r="E127" s="82"/>
      <c r="F127" s="83" t="str">
        <f t="shared" si="10"/>
        <v/>
      </c>
      <c r="G127" s="23"/>
      <c r="H127" s="84"/>
      <c r="I127" s="85" t="str">
        <f>IF(A127="","Pending",IF(H127="","⚠️ Enter Code",IF(IFERROR(VLOOKUP(G127,DB_Agents!$B:$I,8,0),"")=H127,IF(AND(A127&lt;&gt;"",E127&lt;&gt;""),"Saved","Pending"),"🔒 BLOCKED — Wrong Code")))</f>
        <v>Pending</v>
      </c>
      <c r="J127" s="86" t="str">
        <f t="shared" ca="1" si="11"/>
        <v>—</v>
      </c>
      <c r="K127" s="87"/>
    </row>
    <row r="128" spans="1:11" x14ac:dyDescent="0.25">
      <c r="A128" s="88"/>
      <c r="B128" s="25" t="str">
        <f>IF(A128="","",IFERROR(VLOOKUP(A128,DB_Customers!$A:$D,4,0),"❌ Account Not Found"))</f>
        <v/>
      </c>
      <c r="C128" s="89" t="str">
        <f>IF(A128="","",IFERROR(VLOOKUP(A128,DB_Customers!$A:$N,14,0),""))</f>
        <v/>
      </c>
      <c r="D128" s="90" t="str">
        <f t="shared" ca="1" si="9"/>
        <v/>
      </c>
      <c r="E128" s="82"/>
      <c r="F128" s="91" t="str">
        <f t="shared" si="10"/>
        <v/>
      </c>
      <c r="G128" s="27"/>
      <c r="H128" s="84"/>
      <c r="I128" s="92" t="str">
        <f>IF(A128="","Pending",IF(H128="","⚠️ Enter Code",IF(IFERROR(VLOOKUP(G128,DB_Agents!$B:$I,8,0),"")=H128,IF(AND(A128&lt;&gt;"",E128&lt;&gt;""),"Saved","Pending"),"🔒 BLOCKED — Wrong Code")))</f>
        <v>Pending</v>
      </c>
      <c r="J128" s="93" t="str">
        <f t="shared" ca="1" si="11"/>
        <v>—</v>
      </c>
      <c r="K128" s="94"/>
    </row>
    <row r="129" spans="1:11" x14ac:dyDescent="0.25">
      <c r="A129" s="79"/>
      <c r="B129" s="21" t="str">
        <f>IF(A129="","",IFERROR(VLOOKUP(A129,DB_Customers!$A:$D,4,0),"❌ Account Not Found"))</f>
        <v/>
      </c>
      <c r="C129" s="80" t="str">
        <f>IF(A129="","",IFERROR(VLOOKUP(A129,DB_Customers!$A:$N,14,0),""))</f>
        <v/>
      </c>
      <c r="D129" s="81" t="str">
        <f t="shared" ca="1" si="9"/>
        <v/>
      </c>
      <c r="E129" s="82"/>
      <c r="F129" s="83" t="str">
        <f t="shared" si="10"/>
        <v/>
      </c>
      <c r="G129" s="23"/>
      <c r="H129" s="84"/>
      <c r="I129" s="85" t="str">
        <f>IF(A129="","Pending",IF(H129="","⚠️ Enter Code",IF(IFERROR(VLOOKUP(G129,DB_Agents!$B:$I,8,0),"")=H129,IF(AND(A129&lt;&gt;"",E129&lt;&gt;""),"Saved","Pending"),"🔒 BLOCKED — Wrong Code")))</f>
        <v>Pending</v>
      </c>
      <c r="J129" s="86" t="str">
        <f t="shared" ca="1" si="11"/>
        <v>—</v>
      </c>
      <c r="K129" s="87"/>
    </row>
    <row r="130" spans="1:11" x14ac:dyDescent="0.25">
      <c r="A130" s="88"/>
      <c r="B130" s="25" t="str">
        <f>IF(A130="","",IFERROR(VLOOKUP(A130,DB_Customers!$A:$D,4,0),"❌ Account Not Found"))</f>
        <v/>
      </c>
      <c r="C130" s="89" t="str">
        <f>IF(A130="","",IFERROR(VLOOKUP(A130,DB_Customers!$A:$N,14,0),""))</f>
        <v/>
      </c>
      <c r="D130" s="90" t="str">
        <f t="shared" ca="1" si="9"/>
        <v/>
      </c>
      <c r="E130" s="82"/>
      <c r="F130" s="91" t="str">
        <f t="shared" si="10"/>
        <v/>
      </c>
      <c r="G130" s="27"/>
      <c r="H130" s="84"/>
      <c r="I130" s="92" t="str">
        <f>IF(A130="","Pending",IF(H130="","⚠️ Enter Code",IF(IFERROR(VLOOKUP(G130,DB_Agents!$B:$I,8,0),"")=H130,IF(AND(A130&lt;&gt;"",E130&lt;&gt;""),"Saved","Pending"),"🔒 BLOCKED — Wrong Code")))</f>
        <v>Pending</v>
      </c>
      <c r="J130" s="93" t="str">
        <f t="shared" ca="1" si="11"/>
        <v>—</v>
      </c>
      <c r="K130" s="94"/>
    </row>
    <row r="131" spans="1:11" x14ac:dyDescent="0.25">
      <c r="A131" s="79"/>
      <c r="B131" s="21" t="str">
        <f>IF(A131="","",IFERROR(VLOOKUP(A131,DB_Customers!$A:$D,4,0),"❌ Account Not Found"))</f>
        <v/>
      </c>
      <c r="C131" s="80" t="str">
        <f>IF(A131="","",IFERROR(VLOOKUP(A131,DB_Customers!$A:$N,14,0),""))</f>
        <v/>
      </c>
      <c r="D131" s="81" t="str">
        <f t="shared" ca="1" si="9"/>
        <v/>
      </c>
      <c r="E131" s="82"/>
      <c r="F131" s="83" t="str">
        <f t="shared" si="10"/>
        <v/>
      </c>
      <c r="G131" s="23"/>
      <c r="H131" s="84"/>
      <c r="I131" s="85" t="str">
        <f>IF(A131="","Pending",IF(H131="","⚠️ Enter Code",IF(IFERROR(VLOOKUP(G131,DB_Agents!$B:$I,8,0),"")=H131,IF(AND(A131&lt;&gt;"",E131&lt;&gt;""),"Saved","Pending"),"🔒 BLOCKED — Wrong Code")))</f>
        <v>Pending</v>
      </c>
      <c r="J131" s="86" t="str">
        <f t="shared" ca="1" si="11"/>
        <v>—</v>
      </c>
      <c r="K131" s="87"/>
    </row>
    <row r="132" spans="1:11" x14ac:dyDescent="0.25">
      <c r="A132" s="88"/>
      <c r="B132" s="25" t="str">
        <f>IF(A132="","",IFERROR(VLOOKUP(A132,DB_Customers!$A:$D,4,0),"❌ Account Not Found"))</f>
        <v/>
      </c>
      <c r="C132" s="89" t="str">
        <f>IF(A132="","",IFERROR(VLOOKUP(A132,DB_Customers!$A:$N,14,0),""))</f>
        <v/>
      </c>
      <c r="D132" s="90" t="str">
        <f t="shared" ca="1" si="9"/>
        <v/>
      </c>
      <c r="E132" s="82"/>
      <c r="F132" s="91" t="str">
        <f t="shared" si="10"/>
        <v/>
      </c>
      <c r="G132" s="27"/>
      <c r="H132" s="84"/>
      <c r="I132" s="92" t="str">
        <f>IF(A132="","Pending",IF(H132="","⚠️ Enter Code",IF(IFERROR(VLOOKUP(G132,DB_Agents!$B:$I,8,0),"")=H132,IF(AND(A132&lt;&gt;"",E132&lt;&gt;""),"Saved","Pending"),"🔒 BLOCKED — Wrong Code")))</f>
        <v>Pending</v>
      </c>
      <c r="J132" s="93" t="str">
        <f t="shared" ca="1" si="11"/>
        <v>—</v>
      </c>
      <c r="K132" s="94"/>
    </row>
    <row r="133" spans="1:11" x14ac:dyDescent="0.25">
      <c r="A133" s="79"/>
      <c r="B133" s="21" t="str">
        <f>IF(A133="","",IFERROR(VLOOKUP(A133,DB_Customers!$A:$D,4,0),"❌ Account Not Found"))</f>
        <v/>
      </c>
      <c r="C133" s="80" t="str">
        <f>IF(A133="","",IFERROR(VLOOKUP(A133,DB_Customers!$A:$N,14,0),""))</f>
        <v/>
      </c>
      <c r="D133" s="81" t="str">
        <f t="shared" ca="1" si="9"/>
        <v/>
      </c>
      <c r="E133" s="82"/>
      <c r="F133" s="83" t="str">
        <f t="shared" si="10"/>
        <v/>
      </c>
      <c r="G133" s="23"/>
      <c r="H133" s="84"/>
      <c r="I133" s="85" t="str">
        <f>IF(A133="","Pending",IF(H133="","⚠️ Enter Code",IF(IFERROR(VLOOKUP(G133,DB_Agents!$B:$I,8,0),"")=H133,IF(AND(A133&lt;&gt;"",E133&lt;&gt;""),"Saved","Pending"),"🔒 BLOCKED — Wrong Code")))</f>
        <v>Pending</v>
      </c>
      <c r="J133" s="86" t="str">
        <f t="shared" ca="1" si="11"/>
        <v>—</v>
      </c>
      <c r="K133" s="87"/>
    </row>
    <row r="134" spans="1:11" x14ac:dyDescent="0.25">
      <c r="A134" s="88"/>
      <c r="B134" s="25" t="str">
        <f>IF(A134="","",IFERROR(VLOOKUP(A134,DB_Customers!$A:$D,4,0),"❌ Account Not Found"))</f>
        <v/>
      </c>
      <c r="C134" s="89" t="str">
        <f>IF(A134="","",IFERROR(VLOOKUP(A134,DB_Customers!$A:$N,14,0),""))</f>
        <v/>
      </c>
      <c r="D134" s="90" t="str">
        <f t="shared" ca="1" si="9"/>
        <v/>
      </c>
      <c r="E134" s="82"/>
      <c r="F134" s="91" t="str">
        <f t="shared" si="10"/>
        <v/>
      </c>
      <c r="G134" s="27"/>
      <c r="H134" s="84"/>
      <c r="I134" s="92" t="str">
        <f>IF(A134="","Pending",IF(H134="","⚠️ Enter Code",IF(IFERROR(VLOOKUP(G134,DB_Agents!$B:$I,8,0),"")=H134,IF(AND(A134&lt;&gt;"",E134&lt;&gt;""),"Saved","Pending"),"🔒 BLOCKED — Wrong Code")))</f>
        <v>Pending</v>
      </c>
      <c r="J134" s="93" t="str">
        <f t="shared" ca="1" si="11"/>
        <v>—</v>
      </c>
      <c r="K134" s="94"/>
    </row>
    <row r="135" spans="1:11" x14ac:dyDescent="0.25">
      <c r="A135" s="79"/>
      <c r="B135" s="21" t="str">
        <f>IF(A135="","",IFERROR(VLOOKUP(A135,DB_Customers!$A:$D,4,0),"❌ Account Not Found"))</f>
        <v/>
      </c>
      <c r="C135" s="80" t="str">
        <f>IF(A135="","",IFERROR(VLOOKUP(A135,DB_Customers!$A:$N,14,0),""))</f>
        <v/>
      </c>
      <c r="D135" s="81" t="str">
        <f t="shared" ca="1" si="9"/>
        <v/>
      </c>
      <c r="E135" s="82"/>
      <c r="F135" s="83" t="str">
        <f t="shared" si="10"/>
        <v/>
      </c>
      <c r="G135" s="23"/>
      <c r="H135" s="84"/>
      <c r="I135" s="85" t="str">
        <f>IF(A135="","Pending",IF(H135="","⚠️ Enter Code",IF(IFERROR(VLOOKUP(G135,DB_Agents!$B:$I,8,0),"")=H135,IF(AND(A135&lt;&gt;"",E135&lt;&gt;""),"Saved","Pending"),"🔒 BLOCKED — Wrong Code")))</f>
        <v>Pending</v>
      </c>
      <c r="J135" s="86" t="str">
        <f t="shared" ca="1" si="11"/>
        <v>—</v>
      </c>
      <c r="K135" s="87"/>
    </row>
    <row r="136" spans="1:11" x14ac:dyDescent="0.25">
      <c r="A136" s="88"/>
      <c r="B136" s="25" t="str">
        <f>IF(A136="","",IFERROR(VLOOKUP(A136,DB_Customers!$A:$D,4,0),"❌ Account Not Found"))</f>
        <v/>
      </c>
      <c r="C136" s="89" t="str">
        <f>IF(A136="","",IFERROR(VLOOKUP(A136,DB_Customers!$A:$N,14,0),""))</f>
        <v/>
      </c>
      <c r="D136" s="90" t="str">
        <f t="shared" ca="1" si="9"/>
        <v/>
      </c>
      <c r="E136" s="82"/>
      <c r="F136" s="91" t="str">
        <f t="shared" si="10"/>
        <v/>
      </c>
      <c r="G136" s="27"/>
      <c r="H136" s="84"/>
      <c r="I136" s="92" t="str">
        <f>IF(A136="","Pending",IF(H136="","⚠️ Enter Code",IF(IFERROR(VLOOKUP(G136,DB_Agents!$B:$I,8,0),"")=H136,IF(AND(A136&lt;&gt;"",E136&lt;&gt;""),"Saved","Pending"),"🔒 BLOCKED — Wrong Code")))</f>
        <v>Pending</v>
      </c>
      <c r="J136" s="93" t="str">
        <f t="shared" ca="1" si="11"/>
        <v>—</v>
      </c>
      <c r="K136" s="94"/>
    </row>
    <row r="137" spans="1:11" x14ac:dyDescent="0.25">
      <c r="A137" s="79"/>
      <c r="B137" s="21" t="str">
        <f>IF(A137="","",IFERROR(VLOOKUP(A137,DB_Customers!$A:$D,4,0),"❌ Account Not Found"))</f>
        <v/>
      </c>
      <c r="C137" s="80" t="str">
        <f>IF(A137="","",IFERROR(VLOOKUP(A137,DB_Customers!$A:$N,14,0),""))</f>
        <v/>
      </c>
      <c r="D137" s="81" t="str">
        <f t="shared" ref="D137:D168" ca="1" si="12">IF(A137="","",TODAY())</f>
        <v/>
      </c>
      <c r="E137" s="82"/>
      <c r="F137" s="83" t="str">
        <f t="shared" ref="F137:F168" si="13">IF(OR(A137="",E137=""),"",IF(C137="","",C137+E137))</f>
        <v/>
      </c>
      <c r="G137" s="23"/>
      <c r="H137" s="84"/>
      <c r="I137" s="85" t="str">
        <f>IF(A137="","Pending",IF(H137="","⚠️ Enter Code",IF(IFERROR(VLOOKUP(G137,DB_Agents!$B:$I,8,0),"")=H137,IF(AND(A137&lt;&gt;"",E137&lt;&gt;""),"Saved","Pending"),"🔒 BLOCKED — Wrong Code")))</f>
        <v>Pending</v>
      </c>
      <c r="J137" s="86" t="str">
        <f t="shared" ref="J137:J168" ca="1" si="14">IF(I137="Saved",TEXT(TODAY(),"YYYY-MM-DD")&amp;" Auto","—")</f>
        <v>—</v>
      </c>
      <c r="K137" s="87"/>
    </row>
    <row r="138" spans="1:11" x14ac:dyDescent="0.25">
      <c r="A138" s="88"/>
      <c r="B138" s="25" t="str">
        <f>IF(A138="","",IFERROR(VLOOKUP(A138,DB_Customers!$A:$D,4,0),"❌ Account Not Found"))</f>
        <v/>
      </c>
      <c r="C138" s="89" t="str">
        <f>IF(A138="","",IFERROR(VLOOKUP(A138,DB_Customers!$A:$N,14,0),""))</f>
        <v/>
      </c>
      <c r="D138" s="90" t="str">
        <f t="shared" ca="1" si="12"/>
        <v/>
      </c>
      <c r="E138" s="82"/>
      <c r="F138" s="91" t="str">
        <f t="shared" si="13"/>
        <v/>
      </c>
      <c r="G138" s="27"/>
      <c r="H138" s="84"/>
      <c r="I138" s="92" t="str">
        <f>IF(A138="","Pending",IF(H138="","⚠️ Enter Code",IF(IFERROR(VLOOKUP(G138,DB_Agents!$B:$I,8,0),"")=H138,IF(AND(A138&lt;&gt;"",E138&lt;&gt;""),"Saved","Pending"),"🔒 BLOCKED — Wrong Code")))</f>
        <v>Pending</v>
      </c>
      <c r="J138" s="93" t="str">
        <f t="shared" ca="1" si="14"/>
        <v>—</v>
      </c>
      <c r="K138" s="94"/>
    </row>
    <row r="139" spans="1:11" x14ac:dyDescent="0.25">
      <c r="A139" s="79"/>
      <c r="B139" s="21" t="str">
        <f>IF(A139="","",IFERROR(VLOOKUP(A139,DB_Customers!$A:$D,4,0),"❌ Account Not Found"))</f>
        <v/>
      </c>
      <c r="C139" s="80" t="str">
        <f>IF(A139="","",IFERROR(VLOOKUP(A139,DB_Customers!$A:$N,14,0),""))</f>
        <v/>
      </c>
      <c r="D139" s="81" t="str">
        <f t="shared" ca="1" si="12"/>
        <v/>
      </c>
      <c r="E139" s="82"/>
      <c r="F139" s="83" t="str">
        <f t="shared" si="13"/>
        <v/>
      </c>
      <c r="G139" s="23"/>
      <c r="H139" s="84"/>
      <c r="I139" s="85" t="str">
        <f>IF(A139="","Pending",IF(H139="","⚠️ Enter Code",IF(IFERROR(VLOOKUP(G139,DB_Agents!$B:$I,8,0),"")=H139,IF(AND(A139&lt;&gt;"",E139&lt;&gt;""),"Saved","Pending"),"🔒 BLOCKED — Wrong Code")))</f>
        <v>Pending</v>
      </c>
      <c r="J139" s="86" t="str">
        <f t="shared" ca="1" si="14"/>
        <v>—</v>
      </c>
      <c r="K139" s="87"/>
    </row>
    <row r="140" spans="1:11" x14ac:dyDescent="0.25">
      <c r="A140" s="88"/>
      <c r="B140" s="25" t="str">
        <f>IF(A140="","",IFERROR(VLOOKUP(A140,DB_Customers!$A:$D,4,0),"❌ Account Not Found"))</f>
        <v/>
      </c>
      <c r="C140" s="89" t="str">
        <f>IF(A140="","",IFERROR(VLOOKUP(A140,DB_Customers!$A:$N,14,0),""))</f>
        <v/>
      </c>
      <c r="D140" s="90" t="str">
        <f t="shared" ca="1" si="12"/>
        <v/>
      </c>
      <c r="E140" s="82"/>
      <c r="F140" s="91" t="str">
        <f t="shared" si="13"/>
        <v/>
      </c>
      <c r="G140" s="27"/>
      <c r="H140" s="84"/>
      <c r="I140" s="92" t="str">
        <f>IF(A140="","Pending",IF(H140="","⚠️ Enter Code",IF(IFERROR(VLOOKUP(G140,DB_Agents!$B:$I,8,0),"")=H140,IF(AND(A140&lt;&gt;"",E140&lt;&gt;""),"Saved","Pending"),"🔒 BLOCKED — Wrong Code")))</f>
        <v>Pending</v>
      </c>
      <c r="J140" s="93" t="str">
        <f t="shared" ca="1" si="14"/>
        <v>—</v>
      </c>
      <c r="K140" s="94"/>
    </row>
    <row r="141" spans="1:11" x14ac:dyDescent="0.25">
      <c r="A141" s="79"/>
      <c r="B141" s="21" t="str">
        <f>IF(A141="","",IFERROR(VLOOKUP(A141,DB_Customers!$A:$D,4,0),"❌ Account Not Found"))</f>
        <v/>
      </c>
      <c r="C141" s="80" t="str">
        <f>IF(A141="","",IFERROR(VLOOKUP(A141,DB_Customers!$A:$N,14,0),""))</f>
        <v/>
      </c>
      <c r="D141" s="81" t="str">
        <f t="shared" ca="1" si="12"/>
        <v/>
      </c>
      <c r="E141" s="82"/>
      <c r="F141" s="83" t="str">
        <f t="shared" si="13"/>
        <v/>
      </c>
      <c r="G141" s="23"/>
      <c r="H141" s="84"/>
      <c r="I141" s="85" t="str">
        <f>IF(A141="","Pending",IF(H141="","⚠️ Enter Code",IF(IFERROR(VLOOKUP(G141,DB_Agents!$B:$I,8,0),"")=H141,IF(AND(A141&lt;&gt;"",E141&lt;&gt;""),"Saved","Pending"),"🔒 BLOCKED — Wrong Code")))</f>
        <v>Pending</v>
      </c>
      <c r="J141" s="86" t="str">
        <f t="shared" ca="1" si="14"/>
        <v>—</v>
      </c>
      <c r="K141" s="87"/>
    </row>
    <row r="142" spans="1:11" x14ac:dyDescent="0.25">
      <c r="A142" s="88"/>
      <c r="B142" s="25" t="str">
        <f>IF(A142="","",IFERROR(VLOOKUP(A142,DB_Customers!$A:$D,4,0),"❌ Account Not Found"))</f>
        <v/>
      </c>
      <c r="C142" s="89" t="str">
        <f>IF(A142="","",IFERROR(VLOOKUP(A142,DB_Customers!$A:$N,14,0),""))</f>
        <v/>
      </c>
      <c r="D142" s="90" t="str">
        <f t="shared" ca="1" si="12"/>
        <v/>
      </c>
      <c r="E142" s="82"/>
      <c r="F142" s="91" t="str">
        <f t="shared" si="13"/>
        <v/>
      </c>
      <c r="G142" s="27"/>
      <c r="H142" s="84"/>
      <c r="I142" s="92" t="str">
        <f>IF(A142="","Pending",IF(H142="","⚠️ Enter Code",IF(IFERROR(VLOOKUP(G142,DB_Agents!$B:$I,8,0),"")=H142,IF(AND(A142&lt;&gt;"",E142&lt;&gt;""),"Saved","Pending"),"🔒 BLOCKED — Wrong Code")))</f>
        <v>Pending</v>
      </c>
      <c r="J142" s="93" t="str">
        <f t="shared" ca="1" si="14"/>
        <v>—</v>
      </c>
      <c r="K142" s="94"/>
    </row>
    <row r="143" spans="1:11" x14ac:dyDescent="0.25">
      <c r="A143" s="79"/>
      <c r="B143" s="21" t="str">
        <f>IF(A143="","",IFERROR(VLOOKUP(A143,DB_Customers!$A:$D,4,0),"❌ Account Not Found"))</f>
        <v/>
      </c>
      <c r="C143" s="80" t="str">
        <f>IF(A143="","",IFERROR(VLOOKUP(A143,DB_Customers!$A:$N,14,0),""))</f>
        <v/>
      </c>
      <c r="D143" s="81" t="str">
        <f t="shared" ca="1" si="12"/>
        <v/>
      </c>
      <c r="E143" s="82"/>
      <c r="F143" s="83" t="str">
        <f t="shared" si="13"/>
        <v/>
      </c>
      <c r="G143" s="23"/>
      <c r="H143" s="84"/>
      <c r="I143" s="85" t="str">
        <f>IF(A143="","Pending",IF(H143="","⚠️ Enter Code",IF(IFERROR(VLOOKUP(G143,DB_Agents!$B:$I,8,0),"")=H143,IF(AND(A143&lt;&gt;"",E143&lt;&gt;""),"Saved","Pending"),"🔒 BLOCKED — Wrong Code")))</f>
        <v>Pending</v>
      </c>
      <c r="J143" s="86" t="str">
        <f t="shared" ca="1" si="14"/>
        <v>—</v>
      </c>
      <c r="K143" s="87"/>
    </row>
    <row r="144" spans="1:11" x14ac:dyDescent="0.25">
      <c r="A144" s="88"/>
      <c r="B144" s="25" t="str">
        <f>IF(A144="","",IFERROR(VLOOKUP(A144,DB_Customers!$A:$D,4,0),"❌ Account Not Found"))</f>
        <v/>
      </c>
      <c r="C144" s="89" t="str">
        <f>IF(A144="","",IFERROR(VLOOKUP(A144,DB_Customers!$A:$N,14,0),""))</f>
        <v/>
      </c>
      <c r="D144" s="90" t="str">
        <f t="shared" ca="1" si="12"/>
        <v/>
      </c>
      <c r="E144" s="82"/>
      <c r="F144" s="91" t="str">
        <f t="shared" si="13"/>
        <v/>
      </c>
      <c r="G144" s="27"/>
      <c r="H144" s="84"/>
      <c r="I144" s="92" t="str">
        <f>IF(A144="","Pending",IF(H144="","⚠️ Enter Code",IF(IFERROR(VLOOKUP(G144,DB_Agents!$B:$I,8,0),"")=H144,IF(AND(A144&lt;&gt;"",E144&lt;&gt;""),"Saved","Pending"),"🔒 BLOCKED — Wrong Code")))</f>
        <v>Pending</v>
      </c>
      <c r="J144" s="93" t="str">
        <f t="shared" ca="1" si="14"/>
        <v>—</v>
      </c>
      <c r="K144" s="94"/>
    </row>
    <row r="145" spans="1:11" x14ac:dyDescent="0.25">
      <c r="A145" s="79"/>
      <c r="B145" s="21" t="str">
        <f>IF(A145="","",IFERROR(VLOOKUP(A145,DB_Customers!$A:$D,4,0),"❌ Account Not Found"))</f>
        <v/>
      </c>
      <c r="C145" s="80" t="str">
        <f>IF(A145="","",IFERROR(VLOOKUP(A145,DB_Customers!$A:$N,14,0),""))</f>
        <v/>
      </c>
      <c r="D145" s="81" t="str">
        <f t="shared" ca="1" si="12"/>
        <v/>
      </c>
      <c r="E145" s="82"/>
      <c r="F145" s="83" t="str">
        <f t="shared" si="13"/>
        <v/>
      </c>
      <c r="G145" s="23"/>
      <c r="H145" s="84"/>
      <c r="I145" s="85" t="str">
        <f>IF(A145="","Pending",IF(H145="","⚠️ Enter Code",IF(IFERROR(VLOOKUP(G145,DB_Agents!$B:$I,8,0),"")=H145,IF(AND(A145&lt;&gt;"",E145&lt;&gt;""),"Saved","Pending"),"🔒 BLOCKED — Wrong Code")))</f>
        <v>Pending</v>
      </c>
      <c r="J145" s="86" t="str">
        <f t="shared" ca="1" si="14"/>
        <v>—</v>
      </c>
      <c r="K145" s="87"/>
    </row>
    <row r="146" spans="1:11" x14ac:dyDescent="0.25">
      <c r="A146" s="88"/>
      <c r="B146" s="25" t="str">
        <f>IF(A146="","",IFERROR(VLOOKUP(A146,DB_Customers!$A:$D,4,0),"❌ Account Not Found"))</f>
        <v/>
      </c>
      <c r="C146" s="89" t="str">
        <f>IF(A146="","",IFERROR(VLOOKUP(A146,DB_Customers!$A:$N,14,0),""))</f>
        <v/>
      </c>
      <c r="D146" s="90" t="str">
        <f t="shared" ca="1" si="12"/>
        <v/>
      </c>
      <c r="E146" s="82"/>
      <c r="F146" s="91" t="str">
        <f t="shared" si="13"/>
        <v/>
      </c>
      <c r="G146" s="27"/>
      <c r="H146" s="84"/>
      <c r="I146" s="92" t="str">
        <f>IF(A146="","Pending",IF(H146="","⚠️ Enter Code",IF(IFERROR(VLOOKUP(G146,DB_Agents!$B:$I,8,0),"")=H146,IF(AND(A146&lt;&gt;"",E146&lt;&gt;""),"Saved","Pending"),"🔒 BLOCKED — Wrong Code")))</f>
        <v>Pending</v>
      </c>
      <c r="J146" s="93" t="str">
        <f t="shared" ca="1" si="14"/>
        <v>—</v>
      </c>
      <c r="K146" s="94"/>
    </row>
    <row r="147" spans="1:11" x14ac:dyDescent="0.25">
      <c r="A147" s="79"/>
      <c r="B147" s="21" t="str">
        <f>IF(A147="","",IFERROR(VLOOKUP(A147,DB_Customers!$A:$D,4,0),"❌ Account Not Found"))</f>
        <v/>
      </c>
      <c r="C147" s="80" t="str">
        <f>IF(A147="","",IFERROR(VLOOKUP(A147,DB_Customers!$A:$N,14,0),""))</f>
        <v/>
      </c>
      <c r="D147" s="81" t="str">
        <f t="shared" ca="1" si="12"/>
        <v/>
      </c>
      <c r="E147" s="82"/>
      <c r="F147" s="83" t="str">
        <f t="shared" si="13"/>
        <v/>
      </c>
      <c r="G147" s="23"/>
      <c r="H147" s="84"/>
      <c r="I147" s="85" t="str">
        <f>IF(A147="","Pending",IF(H147="","⚠️ Enter Code",IF(IFERROR(VLOOKUP(G147,DB_Agents!$B:$I,8,0),"")=H147,IF(AND(A147&lt;&gt;"",E147&lt;&gt;""),"Saved","Pending"),"🔒 BLOCKED — Wrong Code")))</f>
        <v>Pending</v>
      </c>
      <c r="J147" s="86" t="str">
        <f t="shared" ca="1" si="14"/>
        <v>—</v>
      </c>
      <c r="K147" s="87"/>
    </row>
    <row r="148" spans="1:11" x14ac:dyDescent="0.25">
      <c r="A148" s="88"/>
      <c r="B148" s="25" t="str">
        <f>IF(A148="","",IFERROR(VLOOKUP(A148,DB_Customers!$A:$D,4,0),"❌ Account Not Found"))</f>
        <v/>
      </c>
      <c r="C148" s="89" t="str">
        <f>IF(A148="","",IFERROR(VLOOKUP(A148,DB_Customers!$A:$N,14,0),""))</f>
        <v/>
      </c>
      <c r="D148" s="90" t="str">
        <f t="shared" ca="1" si="12"/>
        <v/>
      </c>
      <c r="E148" s="82"/>
      <c r="F148" s="91" t="str">
        <f t="shared" si="13"/>
        <v/>
      </c>
      <c r="G148" s="27"/>
      <c r="H148" s="84"/>
      <c r="I148" s="92" t="str">
        <f>IF(A148="","Pending",IF(H148="","⚠️ Enter Code",IF(IFERROR(VLOOKUP(G148,DB_Agents!$B:$I,8,0),"")=H148,IF(AND(A148&lt;&gt;"",E148&lt;&gt;""),"Saved","Pending"),"🔒 BLOCKED — Wrong Code")))</f>
        <v>Pending</v>
      </c>
      <c r="J148" s="93" t="str">
        <f t="shared" ca="1" si="14"/>
        <v>—</v>
      </c>
      <c r="K148" s="94"/>
    </row>
    <row r="149" spans="1:11" x14ac:dyDescent="0.25">
      <c r="A149" s="79"/>
      <c r="B149" s="21" t="str">
        <f>IF(A149="","",IFERROR(VLOOKUP(A149,DB_Customers!$A:$D,4,0),"❌ Account Not Found"))</f>
        <v/>
      </c>
      <c r="C149" s="80" t="str">
        <f>IF(A149="","",IFERROR(VLOOKUP(A149,DB_Customers!$A:$N,14,0),""))</f>
        <v/>
      </c>
      <c r="D149" s="81" t="str">
        <f t="shared" ca="1" si="12"/>
        <v/>
      </c>
      <c r="E149" s="82"/>
      <c r="F149" s="83" t="str">
        <f t="shared" si="13"/>
        <v/>
      </c>
      <c r="G149" s="23"/>
      <c r="H149" s="84"/>
      <c r="I149" s="85" t="str">
        <f>IF(A149="","Pending",IF(H149="","⚠️ Enter Code",IF(IFERROR(VLOOKUP(G149,DB_Agents!$B:$I,8,0),"")=H149,IF(AND(A149&lt;&gt;"",E149&lt;&gt;""),"Saved","Pending"),"🔒 BLOCKED — Wrong Code")))</f>
        <v>Pending</v>
      </c>
      <c r="J149" s="86" t="str">
        <f t="shared" ca="1" si="14"/>
        <v>—</v>
      </c>
      <c r="K149" s="87"/>
    </row>
    <row r="150" spans="1:11" x14ac:dyDescent="0.25">
      <c r="A150" s="88"/>
      <c r="B150" s="25" t="str">
        <f>IF(A150="","",IFERROR(VLOOKUP(A150,DB_Customers!$A:$D,4,0),"❌ Account Not Found"))</f>
        <v/>
      </c>
      <c r="C150" s="89" t="str">
        <f>IF(A150="","",IFERROR(VLOOKUP(A150,DB_Customers!$A:$N,14,0),""))</f>
        <v/>
      </c>
      <c r="D150" s="90" t="str">
        <f t="shared" ca="1" si="12"/>
        <v/>
      </c>
      <c r="E150" s="82"/>
      <c r="F150" s="91" t="str">
        <f t="shared" si="13"/>
        <v/>
      </c>
      <c r="G150" s="27"/>
      <c r="H150" s="84"/>
      <c r="I150" s="92" t="str">
        <f>IF(A150="","Pending",IF(H150="","⚠️ Enter Code",IF(IFERROR(VLOOKUP(G150,DB_Agents!$B:$I,8,0),"")=H150,IF(AND(A150&lt;&gt;"",E150&lt;&gt;""),"Saved","Pending"),"🔒 BLOCKED — Wrong Code")))</f>
        <v>Pending</v>
      </c>
      <c r="J150" s="93" t="str">
        <f t="shared" ca="1" si="14"/>
        <v>—</v>
      </c>
      <c r="K150" s="94"/>
    </row>
    <row r="151" spans="1:11" x14ac:dyDescent="0.25">
      <c r="A151" s="79"/>
      <c r="B151" s="21" t="str">
        <f>IF(A151="","",IFERROR(VLOOKUP(A151,DB_Customers!$A:$D,4,0),"❌ Account Not Found"))</f>
        <v/>
      </c>
      <c r="C151" s="80" t="str">
        <f>IF(A151="","",IFERROR(VLOOKUP(A151,DB_Customers!$A:$N,14,0),""))</f>
        <v/>
      </c>
      <c r="D151" s="81" t="str">
        <f t="shared" ca="1" si="12"/>
        <v/>
      </c>
      <c r="E151" s="82"/>
      <c r="F151" s="83" t="str">
        <f t="shared" si="13"/>
        <v/>
      </c>
      <c r="G151" s="23"/>
      <c r="H151" s="84"/>
      <c r="I151" s="85" t="str">
        <f>IF(A151="","Pending",IF(H151="","⚠️ Enter Code",IF(IFERROR(VLOOKUP(G151,DB_Agents!$B:$I,8,0),"")=H151,IF(AND(A151&lt;&gt;"",E151&lt;&gt;""),"Saved","Pending"),"🔒 BLOCKED — Wrong Code")))</f>
        <v>Pending</v>
      </c>
      <c r="J151" s="86" t="str">
        <f t="shared" ca="1" si="14"/>
        <v>—</v>
      </c>
      <c r="K151" s="87"/>
    </row>
    <row r="152" spans="1:11" x14ac:dyDescent="0.25">
      <c r="A152" s="88"/>
      <c r="B152" s="25" t="str">
        <f>IF(A152="","",IFERROR(VLOOKUP(A152,DB_Customers!$A:$D,4,0),"❌ Account Not Found"))</f>
        <v/>
      </c>
      <c r="C152" s="89" t="str">
        <f>IF(A152="","",IFERROR(VLOOKUP(A152,DB_Customers!$A:$N,14,0),""))</f>
        <v/>
      </c>
      <c r="D152" s="90" t="str">
        <f t="shared" ca="1" si="12"/>
        <v/>
      </c>
      <c r="E152" s="82"/>
      <c r="F152" s="91" t="str">
        <f t="shared" si="13"/>
        <v/>
      </c>
      <c r="G152" s="27"/>
      <c r="H152" s="84"/>
      <c r="I152" s="92" t="str">
        <f>IF(A152="","Pending",IF(H152="","⚠️ Enter Code",IF(IFERROR(VLOOKUP(G152,DB_Agents!$B:$I,8,0),"")=H152,IF(AND(A152&lt;&gt;"",E152&lt;&gt;""),"Saved","Pending"),"🔒 BLOCKED — Wrong Code")))</f>
        <v>Pending</v>
      </c>
      <c r="J152" s="93" t="str">
        <f t="shared" ca="1" si="14"/>
        <v>—</v>
      </c>
      <c r="K152" s="94"/>
    </row>
    <row r="153" spans="1:11" x14ac:dyDescent="0.25">
      <c r="A153" s="79"/>
      <c r="B153" s="21" t="str">
        <f>IF(A153="","",IFERROR(VLOOKUP(A153,DB_Customers!$A:$D,4,0),"❌ Account Not Found"))</f>
        <v/>
      </c>
      <c r="C153" s="80" t="str">
        <f>IF(A153="","",IFERROR(VLOOKUP(A153,DB_Customers!$A:$N,14,0),""))</f>
        <v/>
      </c>
      <c r="D153" s="81" t="str">
        <f t="shared" ca="1" si="12"/>
        <v/>
      </c>
      <c r="E153" s="82"/>
      <c r="F153" s="83" t="str">
        <f t="shared" si="13"/>
        <v/>
      </c>
      <c r="G153" s="23"/>
      <c r="H153" s="84"/>
      <c r="I153" s="85" t="str">
        <f>IF(A153="","Pending",IF(H153="","⚠️ Enter Code",IF(IFERROR(VLOOKUP(G153,DB_Agents!$B:$I,8,0),"")=H153,IF(AND(A153&lt;&gt;"",E153&lt;&gt;""),"Saved","Pending"),"🔒 BLOCKED — Wrong Code")))</f>
        <v>Pending</v>
      </c>
      <c r="J153" s="86" t="str">
        <f t="shared" ca="1" si="14"/>
        <v>—</v>
      </c>
      <c r="K153" s="87"/>
    </row>
    <row r="154" spans="1:11" x14ac:dyDescent="0.25">
      <c r="A154" s="88"/>
      <c r="B154" s="25" t="str">
        <f>IF(A154="","",IFERROR(VLOOKUP(A154,DB_Customers!$A:$D,4,0),"❌ Account Not Found"))</f>
        <v/>
      </c>
      <c r="C154" s="89" t="str">
        <f>IF(A154="","",IFERROR(VLOOKUP(A154,DB_Customers!$A:$N,14,0),""))</f>
        <v/>
      </c>
      <c r="D154" s="90" t="str">
        <f t="shared" ca="1" si="12"/>
        <v/>
      </c>
      <c r="E154" s="82"/>
      <c r="F154" s="91" t="str">
        <f t="shared" si="13"/>
        <v/>
      </c>
      <c r="G154" s="27"/>
      <c r="H154" s="84"/>
      <c r="I154" s="92" t="str">
        <f>IF(A154="","Pending",IF(H154="","⚠️ Enter Code",IF(IFERROR(VLOOKUP(G154,DB_Agents!$B:$I,8,0),"")=H154,IF(AND(A154&lt;&gt;"",E154&lt;&gt;""),"Saved","Pending"),"🔒 BLOCKED — Wrong Code")))</f>
        <v>Pending</v>
      </c>
      <c r="J154" s="93" t="str">
        <f t="shared" ca="1" si="14"/>
        <v>—</v>
      </c>
      <c r="K154" s="94"/>
    </row>
    <row r="155" spans="1:11" x14ac:dyDescent="0.25">
      <c r="A155" s="79"/>
      <c r="B155" s="21" t="str">
        <f>IF(A155="","",IFERROR(VLOOKUP(A155,DB_Customers!$A:$D,4,0),"❌ Account Not Found"))</f>
        <v/>
      </c>
      <c r="C155" s="80" t="str">
        <f>IF(A155="","",IFERROR(VLOOKUP(A155,DB_Customers!$A:$N,14,0),""))</f>
        <v/>
      </c>
      <c r="D155" s="81" t="str">
        <f t="shared" ca="1" si="12"/>
        <v/>
      </c>
      <c r="E155" s="82"/>
      <c r="F155" s="83" t="str">
        <f t="shared" si="13"/>
        <v/>
      </c>
      <c r="G155" s="23"/>
      <c r="H155" s="84"/>
      <c r="I155" s="85" t="str">
        <f>IF(A155="","Pending",IF(H155="","⚠️ Enter Code",IF(IFERROR(VLOOKUP(G155,DB_Agents!$B:$I,8,0),"")=H155,IF(AND(A155&lt;&gt;"",E155&lt;&gt;""),"Saved","Pending"),"🔒 BLOCKED — Wrong Code")))</f>
        <v>Pending</v>
      </c>
      <c r="J155" s="86" t="str">
        <f t="shared" ca="1" si="14"/>
        <v>—</v>
      </c>
      <c r="K155" s="87"/>
    </row>
    <row r="156" spans="1:11" x14ac:dyDescent="0.25">
      <c r="A156" s="88"/>
      <c r="B156" s="25" t="str">
        <f>IF(A156="","",IFERROR(VLOOKUP(A156,DB_Customers!$A:$D,4,0),"❌ Account Not Found"))</f>
        <v/>
      </c>
      <c r="C156" s="89" t="str">
        <f>IF(A156="","",IFERROR(VLOOKUP(A156,DB_Customers!$A:$N,14,0),""))</f>
        <v/>
      </c>
      <c r="D156" s="90" t="str">
        <f t="shared" ca="1" si="12"/>
        <v/>
      </c>
      <c r="E156" s="82"/>
      <c r="F156" s="91" t="str">
        <f t="shared" si="13"/>
        <v/>
      </c>
      <c r="G156" s="27"/>
      <c r="H156" s="84"/>
      <c r="I156" s="92" t="str">
        <f>IF(A156="","Pending",IF(H156="","⚠️ Enter Code",IF(IFERROR(VLOOKUP(G156,DB_Agents!$B:$I,8,0),"")=H156,IF(AND(A156&lt;&gt;"",E156&lt;&gt;""),"Saved","Pending"),"🔒 BLOCKED — Wrong Code")))</f>
        <v>Pending</v>
      </c>
      <c r="J156" s="93" t="str">
        <f t="shared" ca="1" si="14"/>
        <v>—</v>
      </c>
      <c r="K156" s="94"/>
    </row>
    <row r="157" spans="1:11" x14ac:dyDescent="0.25">
      <c r="A157" s="79"/>
      <c r="B157" s="21" t="str">
        <f>IF(A157="","",IFERROR(VLOOKUP(A157,DB_Customers!$A:$D,4,0),"❌ Account Not Found"))</f>
        <v/>
      </c>
      <c r="C157" s="80" t="str">
        <f>IF(A157="","",IFERROR(VLOOKUP(A157,DB_Customers!$A:$N,14,0),""))</f>
        <v/>
      </c>
      <c r="D157" s="81" t="str">
        <f t="shared" ca="1" si="12"/>
        <v/>
      </c>
      <c r="E157" s="82"/>
      <c r="F157" s="83" t="str">
        <f t="shared" si="13"/>
        <v/>
      </c>
      <c r="G157" s="23"/>
      <c r="H157" s="84"/>
      <c r="I157" s="85" t="str">
        <f>IF(A157="","Pending",IF(H157="","⚠️ Enter Code",IF(IFERROR(VLOOKUP(G157,DB_Agents!$B:$I,8,0),"")=H157,IF(AND(A157&lt;&gt;"",E157&lt;&gt;""),"Saved","Pending"),"🔒 BLOCKED — Wrong Code")))</f>
        <v>Pending</v>
      </c>
      <c r="J157" s="86" t="str">
        <f t="shared" ca="1" si="14"/>
        <v>—</v>
      </c>
      <c r="K157" s="87"/>
    </row>
    <row r="158" spans="1:11" x14ac:dyDescent="0.25">
      <c r="A158" s="88"/>
      <c r="B158" s="25" t="str">
        <f>IF(A158="","",IFERROR(VLOOKUP(A158,DB_Customers!$A:$D,4,0),"❌ Account Not Found"))</f>
        <v/>
      </c>
      <c r="C158" s="89" t="str">
        <f>IF(A158="","",IFERROR(VLOOKUP(A158,DB_Customers!$A:$N,14,0),""))</f>
        <v/>
      </c>
      <c r="D158" s="90" t="str">
        <f t="shared" ca="1" si="12"/>
        <v/>
      </c>
      <c r="E158" s="82"/>
      <c r="F158" s="91" t="str">
        <f t="shared" si="13"/>
        <v/>
      </c>
      <c r="G158" s="27"/>
      <c r="H158" s="84"/>
      <c r="I158" s="92" t="str">
        <f>IF(A158="","Pending",IF(H158="","⚠️ Enter Code",IF(IFERROR(VLOOKUP(G158,DB_Agents!$B:$I,8,0),"")=H158,IF(AND(A158&lt;&gt;"",E158&lt;&gt;""),"Saved","Pending"),"🔒 BLOCKED — Wrong Code")))</f>
        <v>Pending</v>
      </c>
      <c r="J158" s="93" t="str">
        <f t="shared" ca="1" si="14"/>
        <v>—</v>
      </c>
      <c r="K158" s="94"/>
    </row>
    <row r="159" spans="1:11" x14ac:dyDescent="0.25">
      <c r="A159" s="79"/>
      <c r="B159" s="21" t="str">
        <f>IF(A159="","",IFERROR(VLOOKUP(A159,DB_Customers!$A:$D,4,0),"❌ Account Not Found"))</f>
        <v/>
      </c>
      <c r="C159" s="80" t="str">
        <f>IF(A159="","",IFERROR(VLOOKUP(A159,DB_Customers!$A:$N,14,0),""))</f>
        <v/>
      </c>
      <c r="D159" s="81" t="str">
        <f t="shared" ca="1" si="12"/>
        <v/>
      </c>
      <c r="E159" s="82"/>
      <c r="F159" s="83" t="str">
        <f t="shared" si="13"/>
        <v/>
      </c>
      <c r="G159" s="23"/>
      <c r="H159" s="84"/>
      <c r="I159" s="85" t="str">
        <f>IF(A159="","Pending",IF(H159="","⚠️ Enter Code",IF(IFERROR(VLOOKUP(G159,DB_Agents!$B:$I,8,0),"")=H159,IF(AND(A159&lt;&gt;"",E159&lt;&gt;""),"Saved","Pending"),"🔒 BLOCKED — Wrong Code")))</f>
        <v>Pending</v>
      </c>
      <c r="J159" s="86" t="str">
        <f t="shared" ca="1" si="14"/>
        <v>—</v>
      </c>
      <c r="K159" s="87"/>
    </row>
    <row r="160" spans="1:11" x14ac:dyDescent="0.25">
      <c r="A160" s="88"/>
      <c r="B160" s="25" t="str">
        <f>IF(A160="","",IFERROR(VLOOKUP(A160,DB_Customers!$A:$D,4,0),"❌ Account Not Found"))</f>
        <v/>
      </c>
      <c r="C160" s="89" t="str">
        <f>IF(A160="","",IFERROR(VLOOKUP(A160,DB_Customers!$A:$N,14,0),""))</f>
        <v/>
      </c>
      <c r="D160" s="90" t="str">
        <f t="shared" ca="1" si="12"/>
        <v/>
      </c>
      <c r="E160" s="82"/>
      <c r="F160" s="91" t="str">
        <f t="shared" si="13"/>
        <v/>
      </c>
      <c r="G160" s="27"/>
      <c r="H160" s="84"/>
      <c r="I160" s="92" t="str">
        <f>IF(A160="","Pending",IF(H160="","⚠️ Enter Code",IF(IFERROR(VLOOKUP(G160,DB_Agents!$B:$I,8,0),"")=H160,IF(AND(A160&lt;&gt;"",E160&lt;&gt;""),"Saved","Pending"),"🔒 BLOCKED — Wrong Code")))</f>
        <v>Pending</v>
      </c>
      <c r="J160" s="93" t="str">
        <f t="shared" ca="1" si="14"/>
        <v>—</v>
      </c>
      <c r="K160" s="94"/>
    </row>
    <row r="161" spans="1:11" x14ac:dyDescent="0.25">
      <c r="A161" s="79"/>
      <c r="B161" s="21" t="str">
        <f>IF(A161="","",IFERROR(VLOOKUP(A161,DB_Customers!$A:$D,4,0),"❌ Account Not Found"))</f>
        <v/>
      </c>
      <c r="C161" s="80" t="str">
        <f>IF(A161="","",IFERROR(VLOOKUP(A161,DB_Customers!$A:$N,14,0),""))</f>
        <v/>
      </c>
      <c r="D161" s="81" t="str">
        <f t="shared" ca="1" si="12"/>
        <v/>
      </c>
      <c r="E161" s="82"/>
      <c r="F161" s="83" t="str">
        <f t="shared" si="13"/>
        <v/>
      </c>
      <c r="G161" s="23"/>
      <c r="H161" s="84"/>
      <c r="I161" s="85" t="str">
        <f>IF(A161="","Pending",IF(H161="","⚠️ Enter Code",IF(IFERROR(VLOOKUP(G161,DB_Agents!$B:$I,8,0),"")=H161,IF(AND(A161&lt;&gt;"",E161&lt;&gt;""),"Saved","Pending"),"🔒 BLOCKED — Wrong Code")))</f>
        <v>Pending</v>
      </c>
      <c r="J161" s="86" t="str">
        <f t="shared" ca="1" si="14"/>
        <v>—</v>
      </c>
      <c r="K161" s="87"/>
    </row>
    <row r="162" spans="1:11" x14ac:dyDescent="0.25">
      <c r="A162" s="88"/>
      <c r="B162" s="25" t="str">
        <f>IF(A162="","",IFERROR(VLOOKUP(A162,DB_Customers!$A:$D,4,0),"❌ Account Not Found"))</f>
        <v/>
      </c>
      <c r="C162" s="89" t="str">
        <f>IF(A162="","",IFERROR(VLOOKUP(A162,DB_Customers!$A:$N,14,0),""))</f>
        <v/>
      </c>
      <c r="D162" s="90" t="str">
        <f t="shared" ca="1" si="12"/>
        <v/>
      </c>
      <c r="E162" s="82"/>
      <c r="F162" s="91" t="str">
        <f t="shared" si="13"/>
        <v/>
      </c>
      <c r="G162" s="27"/>
      <c r="H162" s="84"/>
      <c r="I162" s="92" t="str">
        <f>IF(A162="","Pending",IF(H162="","⚠️ Enter Code",IF(IFERROR(VLOOKUP(G162,DB_Agents!$B:$I,8,0),"")=H162,IF(AND(A162&lt;&gt;"",E162&lt;&gt;""),"Saved","Pending"),"🔒 BLOCKED — Wrong Code")))</f>
        <v>Pending</v>
      </c>
      <c r="J162" s="93" t="str">
        <f t="shared" ca="1" si="14"/>
        <v>—</v>
      </c>
      <c r="K162" s="94"/>
    </row>
    <row r="163" spans="1:11" x14ac:dyDescent="0.25">
      <c r="A163" s="79"/>
      <c r="B163" s="21" t="str">
        <f>IF(A163="","",IFERROR(VLOOKUP(A163,DB_Customers!$A:$D,4,0),"❌ Account Not Found"))</f>
        <v/>
      </c>
      <c r="C163" s="80" t="str">
        <f>IF(A163="","",IFERROR(VLOOKUP(A163,DB_Customers!$A:$N,14,0),""))</f>
        <v/>
      </c>
      <c r="D163" s="81" t="str">
        <f t="shared" ca="1" si="12"/>
        <v/>
      </c>
      <c r="E163" s="82"/>
      <c r="F163" s="83" t="str">
        <f t="shared" si="13"/>
        <v/>
      </c>
      <c r="G163" s="23"/>
      <c r="H163" s="84"/>
      <c r="I163" s="85" t="str">
        <f>IF(A163="","Pending",IF(H163="","⚠️ Enter Code",IF(IFERROR(VLOOKUP(G163,DB_Agents!$B:$I,8,0),"")=H163,IF(AND(A163&lt;&gt;"",E163&lt;&gt;""),"Saved","Pending"),"🔒 BLOCKED — Wrong Code")))</f>
        <v>Pending</v>
      </c>
      <c r="J163" s="86" t="str">
        <f t="shared" ca="1" si="14"/>
        <v>—</v>
      </c>
      <c r="K163" s="87"/>
    </row>
    <row r="164" spans="1:11" x14ac:dyDescent="0.25">
      <c r="A164" s="88"/>
      <c r="B164" s="25" t="str">
        <f>IF(A164="","",IFERROR(VLOOKUP(A164,DB_Customers!$A:$D,4,0),"❌ Account Not Found"))</f>
        <v/>
      </c>
      <c r="C164" s="89" t="str">
        <f>IF(A164="","",IFERROR(VLOOKUP(A164,DB_Customers!$A:$N,14,0),""))</f>
        <v/>
      </c>
      <c r="D164" s="90" t="str">
        <f t="shared" ca="1" si="12"/>
        <v/>
      </c>
      <c r="E164" s="82"/>
      <c r="F164" s="91" t="str">
        <f t="shared" si="13"/>
        <v/>
      </c>
      <c r="G164" s="27"/>
      <c r="H164" s="84"/>
      <c r="I164" s="92" t="str">
        <f>IF(A164="","Pending",IF(H164="","⚠️ Enter Code",IF(IFERROR(VLOOKUP(G164,DB_Agents!$B:$I,8,0),"")=H164,IF(AND(A164&lt;&gt;"",E164&lt;&gt;""),"Saved","Pending"),"🔒 BLOCKED — Wrong Code")))</f>
        <v>Pending</v>
      </c>
      <c r="J164" s="93" t="str">
        <f t="shared" ca="1" si="14"/>
        <v>—</v>
      </c>
      <c r="K164" s="94"/>
    </row>
    <row r="165" spans="1:11" x14ac:dyDescent="0.25">
      <c r="A165" s="79"/>
      <c r="B165" s="21" t="str">
        <f>IF(A165="","",IFERROR(VLOOKUP(A165,DB_Customers!$A:$D,4,0),"❌ Account Not Found"))</f>
        <v/>
      </c>
      <c r="C165" s="80" t="str">
        <f>IF(A165="","",IFERROR(VLOOKUP(A165,DB_Customers!$A:$N,14,0),""))</f>
        <v/>
      </c>
      <c r="D165" s="81" t="str">
        <f t="shared" ca="1" si="12"/>
        <v/>
      </c>
      <c r="E165" s="82"/>
      <c r="F165" s="83" t="str">
        <f t="shared" si="13"/>
        <v/>
      </c>
      <c r="G165" s="23"/>
      <c r="H165" s="84"/>
      <c r="I165" s="85" t="str">
        <f>IF(A165="","Pending",IF(H165="","⚠️ Enter Code",IF(IFERROR(VLOOKUP(G165,DB_Agents!$B:$I,8,0),"")=H165,IF(AND(A165&lt;&gt;"",E165&lt;&gt;""),"Saved","Pending"),"🔒 BLOCKED — Wrong Code")))</f>
        <v>Pending</v>
      </c>
      <c r="J165" s="86" t="str">
        <f t="shared" ca="1" si="14"/>
        <v>—</v>
      </c>
      <c r="K165" s="87"/>
    </row>
    <row r="166" spans="1:11" x14ac:dyDescent="0.25">
      <c r="A166" s="88"/>
      <c r="B166" s="25" t="str">
        <f>IF(A166="","",IFERROR(VLOOKUP(A166,DB_Customers!$A:$D,4,0),"❌ Account Not Found"))</f>
        <v/>
      </c>
      <c r="C166" s="89" t="str">
        <f>IF(A166="","",IFERROR(VLOOKUP(A166,DB_Customers!$A:$N,14,0),""))</f>
        <v/>
      </c>
      <c r="D166" s="90" t="str">
        <f t="shared" ca="1" si="12"/>
        <v/>
      </c>
      <c r="E166" s="82"/>
      <c r="F166" s="91" t="str">
        <f t="shared" si="13"/>
        <v/>
      </c>
      <c r="G166" s="27"/>
      <c r="H166" s="84"/>
      <c r="I166" s="92" t="str">
        <f>IF(A166="","Pending",IF(H166="","⚠️ Enter Code",IF(IFERROR(VLOOKUP(G166,DB_Agents!$B:$I,8,0),"")=H166,IF(AND(A166&lt;&gt;"",E166&lt;&gt;""),"Saved","Pending"),"🔒 BLOCKED — Wrong Code")))</f>
        <v>Pending</v>
      </c>
      <c r="J166" s="93" t="str">
        <f t="shared" ca="1" si="14"/>
        <v>—</v>
      </c>
      <c r="K166" s="94"/>
    </row>
    <row r="167" spans="1:11" x14ac:dyDescent="0.25">
      <c r="A167" s="79"/>
      <c r="B167" s="21" t="str">
        <f>IF(A167="","",IFERROR(VLOOKUP(A167,DB_Customers!$A:$D,4,0),"❌ Account Not Found"))</f>
        <v/>
      </c>
      <c r="C167" s="80" t="str">
        <f>IF(A167="","",IFERROR(VLOOKUP(A167,DB_Customers!$A:$N,14,0),""))</f>
        <v/>
      </c>
      <c r="D167" s="81" t="str">
        <f t="shared" ca="1" si="12"/>
        <v/>
      </c>
      <c r="E167" s="82"/>
      <c r="F167" s="83" t="str">
        <f t="shared" si="13"/>
        <v/>
      </c>
      <c r="G167" s="23"/>
      <c r="H167" s="84"/>
      <c r="I167" s="85" t="str">
        <f>IF(A167="","Pending",IF(H167="","⚠️ Enter Code",IF(IFERROR(VLOOKUP(G167,DB_Agents!$B:$I,8,0),"")=H167,IF(AND(A167&lt;&gt;"",E167&lt;&gt;""),"Saved","Pending"),"🔒 BLOCKED — Wrong Code")))</f>
        <v>Pending</v>
      </c>
      <c r="J167" s="86" t="str">
        <f t="shared" ca="1" si="14"/>
        <v>—</v>
      </c>
      <c r="K167" s="87"/>
    </row>
    <row r="168" spans="1:11" x14ac:dyDescent="0.25">
      <c r="A168" s="88"/>
      <c r="B168" s="25" t="str">
        <f>IF(A168="","",IFERROR(VLOOKUP(A168,DB_Customers!$A:$D,4,0),"❌ Account Not Found"))</f>
        <v/>
      </c>
      <c r="C168" s="89" t="str">
        <f>IF(A168="","",IFERROR(VLOOKUP(A168,DB_Customers!$A:$N,14,0),""))</f>
        <v/>
      </c>
      <c r="D168" s="90" t="str">
        <f t="shared" ca="1" si="12"/>
        <v/>
      </c>
      <c r="E168" s="82"/>
      <c r="F168" s="91" t="str">
        <f t="shared" si="13"/>
        <v/>
      </c>
      <c r="G168" s="27"/>
      <c r="H168" s="84"/>
      <c r="I168" s="92" t="str">
        <f>IF(A168="","Pending",IF(H168="","⚠️ Enter Code",IF(IFERROR(VLOOKUP(G168,DB_Agents!$B:$I,8,0),"")=H168,IF(AND(A168&lt;&gt;"",E168&lt;&gt;""),"Saved","Pending"),"🔒 BLOCKED — Wrong Code")))</f>
        <v>Pending</v>
      </c>
      <c r="J168" s="93" t="str">
        <f t="shared" ca="1" si="14"/>
        <v>—</v>
      </c>
      <c r="K168" s="94"/>
    </row>
    <row r="169" spans="1:11" x14ac:dyDescent="0.25">
      <c r="A169" s="79"/>
      <c r="B169" s="21" t="str">
        <f>IF(A169="","",IFERROR(VLOOKUP(A169,DB_Customers!$A:$D,4,0),"❌ Account Not Found"))</f>
        <v/>
      </c>
      <c r="C169" s="80" t="str">
        <f>IF(A169="","",IFERROR(VLOOKUP(A169,DB_Customers!$A:$N,14,0),""))</f>
        <v/>
      </c>
      <c r="D169" s="81" t="str">
        <f t="shared" ref="D169:D200" ca="1" si="15">IF(A169="","",TODAY())</f>
        <v/>
      </c>
      <c r="E169" s="82"/>
      <c r="F169" s="83" t="str">
        <f t="shared" ref="F169:F200" si="16">IF(OR(A169="",E169=""),"",IF(C169="","",C169+E169))</f>
        <v/>
      </c>
      <c r="G169" s="23"/>
      <c r="H169" s="84"/>
      <c r="I169" s="85" t="str">
        <f>IF(A169="","Pending",IF(H169="","⚠️ Enter Code",IF(IFERROR(VLOOKUP(G169,DB_Agents!$B:$I,8,0),"")=H169,IF(AND(A169&lt;&gt;"",E169&lt;&gt;""),"Saved","Pending"),"🔒 BLOCKED — Wrong Code")))</f>
        <v>Pending</v>
      </c>
      <c r="J169" s="86" t="str">
        <f t="shared" ref="J169:J200" ca="1" si="17">IF(I169="Saved",TEXT(TODAY(),"YYYY-MM-DD")&amp;" Auto","—")</f>
        <v>—</v>
      </c>
      <c r="K169" s="87"/>
    </row>
    <row r="170" spans="1:11" x14ac:dyDescent="0.25">
      <c r="A170" s="88"/>
      <c r="B170" s="25" t="str">
        <f>IF(A170="","",IFERROR(VLOOKUP(A170,DB_Customers!$A:$D,4,0),"❌ Account Not Found"))</f>
        <v/>
      </c>
      <c r="C170" s="89" t="str">
        <f>IF(A170="","",IFERROR(VLOOKUP(A170,DB_Customers!$A:$N,14,0),""))</f>
        <v/>
      </c>
      <c r="D170" s="90" t="str">
        <f t="shared" ca="1" si="15"/>
        <v/>
      </c>
      <c r="E170" s="82"/>
      <c r="F170" s="91" t="str">
        <f t="shared" si="16"/>
        <v/>
      </c>
      <c r="G170" s="27"/>
      <c r="H170" s="84"/>
      <c r="I170" s="92" t="str">
        <f>IF(A170="","Pending",IF(H170="","⚠️ Enter Code",IF(IFERROR(VLOOKUP(G170,DB_Agents!$B:$I,8,0),"")=H170,IF(AND(A170&lt;&gt;"",E170&lt;&gt;""),"Saved","Pending"),"🔒 BLOCKED — Wrong Code")))</f>
        <v>Pending</v>
      </c>
      <c r="J170" s="93" t="str">
        <f t="shared" ca="1" si="17"/>
        <v>—</v>
      </c>
      <c r="K170" s="94"/>
    </row>
    <row r="171" spans="1:11" x14ac:dyDescent="0.25">
      <c r="A171" s="79"/>
      <c r="B171" s="21" t="str">
        <f>IF(A171="","",IFERROR(VLOOKUP(A171,DB_Customers!$A:$D,4,0),"❌ Account Not Found"))</f>
        <v/>
      </c>
      <c r="C171" s="80" t="str">
        <f>IF(A171="","",IFERROR(VLOOKUP(A171,DB_Customers!$A:$N,14,0),""))</f>
        <v/>
      </c>
      <c r="D171" s="81" t="str">
        <f t="shared" ca="1" si="15"/>
        <v/>
      </c>
      <c r="E171" s="82"/>
      <c r="F171" s="83" t="str">
        <f t="shared" si="16"/>
        <v/>
      </c>
      <c r="G171" s="23"/>
      <c r="H171" s="84"/>
      <c r="I171" s="85" t="str">
        <f>IF(A171="","Pending",IF(H171="","⚠️ Enter Code",IF(IFERROR(VLOOKUP(G171,DB_Agents!$B:$I,8,0),"")=H171,IF(AND(A171&lt;&gt;"",E171&lt;&gt;""),"Saved","Pending"),"🔒 BLOCKED — Wrong Code")))</f>
        <v>Pending</v>
      </c>
      <c r="J171" s="86" t="str">
        <f t="shared" ca="1" si="17"/>
        <v>—</v>
      </c>
      <c r="K171" s="87"/>
    </row>
    <row r="172" spans="1:11" x14ac:dyDescent="0.25">
      <c r="A172" s="88"/>
      <c r="B172" s="25" t="str">
        <f>IF(A172="","",IFERROR(VLOOKUP(A172,DB_Customers!$A:$D,4,0),"❌ Account Not Found"))</f>
        <v/>
      </c>
      <c r="C172" s="89" t="str">
        <f>IF(A172="","",IFERROR(VLOOKUP(A172,DB_Customers!$A:$N,14,0),""))</f>
        <v/>
      </c>
      <c r="D172" s="90" t="str">
        <f t="shared" ca="1" si="15"/>
        <v/>
      </c>
      <c r="E172" s="82"/>
      <c r="F172" s="91" t="str">
        <f t="shared" si="16"/>
        <v/>
      </c>
      <c r="G172" s="27"/>
      <c r="H172" s="84"/>
      <c r="I172" s="92" t="str">
        <f>IF(A172="","Pending",IF(H172="","⚠️ Enter Code",IF(IFERROR(VLOOKUP(G172,DB_Agents!$B:$I,8,0),"")=H172,IF(AND(A172&lt;&gt;"",E172&lt;&gt;""),"Saved","Pending"),"🔒 BLOCKED — Wrong Code")))</f>
        <v>Pending</v>
      </c>
      <c r="J172" s="93" t="str">
        <f t="shared" ca="1" si="17"/>
        <v>—</v>
      </c>
      <c r="K172" s="94"/>
    </row>
    <row r="173" spans="1:11" x14ac:dyDescent="0.25">
      <c r="A173" s="79"/>
      <c r="B173" s="21" t="str">
        <f>IF(A173="","",IFERROR(VLOOKUP(A173,DB_Customers!$A:$D,4,0),"❌ Account Not Found"))</f>
        <v/>
      </c>
      <c r="C173" s="80" t="str">
        <f>IF(A173="","",IFERROR(VLOOKUP(A173,DB_Customers!$A:$N,14,0),""))</f>
        <v/>
      </c>
      <c r="D173" s="81" t="str">
        <f t="shared" ca="1" si="15"/>
        <v/>
      </c>
      <c r="E173" s="82"/>
      <c r="F173" s="83" t="str">
        <f t="shared" si="16"/>
        <v/>
      </c>
      <c r="G173" s="23"/>
      <c r="H173" s="84"/>
      <c r="I173" s="85" t="str">
        <f>IF(A173="","Pending",IF(H173="","⚠️ Enter Code",IF(IFERROR(VLOOKUP(G173,DB_Agents!$B:$I,8,0),"")=H173,IF(AND(A173&lt;&gt;"",E173&lt;&gt;""),"Saved","Pending"),"🔒 BLOCKED — Wrong Code")))</f>
        <v>Pending</v>
      </c>
      <c r="J173" s="86" t="str">
        <f t="shared" ca="1" si="17"/>
        <v>—</v>
      </c>
      <c r="K173" s="87"/>
    </row>
    <row r="174" spans="1:11" x14ac:dyDescent="0.25">
      <c r="A174" s="88"/>
      <c r="B174" s="25" t="str">
        <f>IF(A174="","",IFERROR(VLOOKUP(A174,DB_Customers!$A:$D,4,0),"❌ Account Not Found"))</f>
        <v/>
      </c>
      <c r="C174" s="89" t="str">
        <f>IF(A174="","",IFERROR(VLOOKUP(A174,DB_Customers!$A:$N,14,0),""))</f>
        <v/>
      </c>
      <c r="D174" s="90" t="str">
        <f t="shared" ca="1" si="15"/>
        <v/>
      </c>
      <c r="E174" s="82"/>
      <c r="F174" s="91" t="str">
        <f t="shared" si="16"/>
        <v/>
      </c>
      <c r="G174" s="27"/>
      <c r="H174" s="84"/>
      <c r="I174" s="92" t="str">
        <f>IF(A174="","Pending",IF(H174="","⚠️ Enter Code",IF(IFERROR(VLOOKUP(G174,DB_Agents!$B:$I,8,0),"")=H174,IF(AND(A174&lt;&gt;"",E174&lt;&gt;""),"Saved","Pending"),"🔒 BLOCKED — Wrong Code")))</f>
        <v>Pending</v>
      </c>
      <c r="J174" s="93" t="str">
        <f t="shared" ca="1" si="17"/>
        <v>—</v>
      </c>
      <c r="K174" s="94"/>
    </row>
    <row r="175" spans="1:11" x14ac:dyDescent="0.25">
      <c r="A175" s="79"/>
      <c r="B175" s="21" t="str">
        <f>IF(A175="","",IFERROR(VLOOKUP(A175,DB_Customers!$A:$D,4,0),"❌ Account Not Found"))</f>
        <v/>
      </c>
      <c r="C175" s="80" t="str">
        <f>IF(A175="","",IFERROR(VLOOKUP(A175,DB_Customers!$A:$N,14,0),""))</f>
        <v/>
      </c>
      <c r="D175" s="81" t="str">
        <f t="shared" ca="1" si="15"/>
        <v/>
      </c>
      <c r="E175" s="82"/>
      <c r="F175" s="83" t="str">
        <f t="shared" si="16"/>
        <v/>
      </c>
      <c r="G175" s="23"/>
      <c r="H175" s="84"/>
      <c r="I175" s="85" t="str">
        <f>IF(A175="","Pending",IF(H175="","⚠️ Enter Code",IF(IFERROR(VLOOKUP(G175,DB_Agents!$B:$I,8,0),"")=H175,IF(AND(A175&lt;&gt;"",E175&lt;&gt;""),"Saved","Pending"),"🔒 BLOCKED — Wrong Code")))</f>
        <v>Pending</v>
      </c>
      <c r="J175" s="86" t="str">
        <f t="shared" ca="1" si="17"/>
        <v>—</v>
      </c>
      <c r="K175" s="87"/>
    </row>
    <row r="176" spans="1:11" x14ac:dyDescent="0.25">
      <c r="A176" s="88"/>
      <c r="B176" s="25" t="str">
        <f>IF(A176="","",IFERROR(VLOOKUP(A176,DB_Customers!$A:$D,4,0),"❌ Account Not Found"))</f>
        <v/>
      </c>
      <c r="C176" s="89" t="str">
        <f>IF(A176="","",IFERROR(VLOOKUP(A176,DB_Customers!$A:$N,14,0),""))</f>
        <v/>
      </c>
      <c r="D176" s="90" t="str">
        <f t="shared" ca="1" si="15"/>
        <v/>
      </c>
      <c r="E176" s="82"/>
      <c r="F176" s="91" t="str">
        <f t="shared" si="16"/>
        <v/>
      </c>
      <c r="G176" s="27"/>
      <c r="H176" s="84"/>
      <c r="I176" s="92" t="str">
        <f>IF(A176="","Pending",IF(H176="","⚠️ Enter Code",IF(IFERROR(VLOOKUP(G176,DB_Agents!$B:$I,8,0),"")=H176,IF(AND(A176&lt;&gt;"",E176&lt;&gt;""),"Saved","Pending"),"🔒 BLOCKED — Wrong Code")))</f>
        <v>Pending</v>
      </c>
      <c r="J176" s="93" t="str">
        <f t="shared" ca="1" si="17"/>
        <v>—</v>
      </c>
      <c r="K176" s="94"/>
    </row>
    <row r="177" spans="1:11" x14ac:dyDescent="0.25">
      <c r="A177" s="79"/>
      <c r="B177" s="21" t="str">
        <f>IF(A177="","",IFERROR(VLOOKUP(A177,DB_Customers!$A:$D,4,0),"❌ Account Not Found"))</f>
        <v/>
      </c>
      <c r="C177" s="80" t="str">
        <f>IF(A177="","",IFERROR(VLOOKUP(A177,DB_Customers!$A:$N,14,0),""))</f>
        <v/>
      </c>
      <c r="D177" s="81" t="str">
        <f t="shared" ca="1" si="15"/>
        <v/>
      </c>
      <c r="E177" s="82"/>
      <c r="F177" s="83" t="str">
        <f t="shared" si="16"/>
        <v/>
      </c>
      <c r="G177" s="23"/>
      <c r="H177" s="84"/>
      <c r="I177" s="85" t="str">
        <f>IF(A177="","Pending",IF(H177="","⚠️ Enter Code",IF(IFERROR(VLOOKUP(G177,DB_Agents!$B:$I,8,0),"")=H177,IF(AND(A177&lt;&gt;"",E177&lt;&gt;""),"Saved","Pending"),"🔒 BLOCKED — Wrong Code")))</f>
        <v>Pending</v>
      </c>
      <c r="J177" s="86" t="str">
        <f t="shared" ca="1" si="17"/>
        <v>—</v>
      </c>
      <c r="K177" s="87"/>
    </row>
    <row r="178" spans="1:11" x14ac:dyDescent="0.25">
      <c r="A178" s="88"/>
      <c r="B178" s="25" t="str">
        <f>IF(A178="","",IFERROR(VLOOKUP(A178,DB_Customers!$A:$D,4,0),"❌ Account Not Found"))</f>
        <v/>
      </c>
      <c r="C178" s="89" t="str">
        <f>IF(A178="","",IFERROR(VLOOKUP(A178,DB_Customers!$A:$N,14,0),""))</f>
        <v/>
      </c>
      <c r="D178" s="90" t="str">
        <f t="shared" ca="1" si="15"/>
        <v/>
      </c>
      <c r="E178" s="82"/>
      <c r="F178" s="91" t="str">
        <f t="shared" si="16"/>
        <v/>
      </c>
      <c r="G178" s="27"/>
      <c r="H178" s="84"/>
      <c r="I178" s="92" t="str">
        <f>IF(A178="","Pending",IF(H178="","⚠️ Enter Code",IF(IFERROR(VLOOKUP(G178,DB_Agents!$B:$I,8,0),"")=H178,IF(AND(A178&lt;&gt;"",E178&lt;&gt;""),"Saved","Pending"),"🔒 BLOCKED — Wrong Code")))</f>
        <v>Pending</v>
      </c>
      <c r="J178" s="93" t="str">
        <f t="shared" ca="1" si="17"/>
        <v>—</v>
      </c>
      <c r="K178" s="94"/>
    </row>
    <row r="179" spans="1:11" x14ac:dyDescent="0.25">
      <c r="A179" s="79"/>
      <c r="B179" s="21" t="str">
        <f>IF(A179="","",IFERROR(VLOOKUP(A179,DB_Customers!$A:$D,4,0),"❌ Account Not Found"))</f>
        <v/>
      </c>
      <c r="C179" s="80" t="str">
        <f>IF(A179="","",IFERROR(VLOOKUP(A179,DB_Customers!$A:$N,14,0),""))</f>
        <v/>
      </c>
      <c r="D179" s="81" t="str">
        <f t="shared" ca="1" si="15"/>
        <v/>
      </c>
      <c r="E179" s="82"/>
      <c r="F179" s="83" t="str">
        <f t="shared" si="16"/>
        <v/>
      </c>
      <c r="G179" s="23"/>
      <c r="H179" s="84"/>
      <c r="I179" s="85" t="str">
        <f>IF(A179="","Pending",IF(H179="","⚠️ Enter Code",IF(IFERROR(VLOOKUP(G179,DB_Agents!$B:$I,8,0),"")=H179,IF(AND(A179&lt;&gt;"",E179&lt;&gt;""),"Saved","Pending"),"🔒 BLOCKED — Wrong Code")))</f>
        <v>Pending</v>
      </c>
      <c r="J179" s="86" t="str">
        <f t="shared" ca="1" si="17"/>
        <v>—</v>
      </c>
      <c r="K179" s="87"/>
    </row>
    <row r="180" spans="1:11" x14ac:dyDescent="0.25">
      <c r="A180" s="88"/>
      <c r="B180" s="25" t="str">
        <f>IF(A180="","",IFERROR(VLOOKUP(A180,DB_Customers!$A:$D,4,0),"❌ Account Not Found"))</f>
        <v/>
      </c>
      <c r="C180" s="89" t="str">
        <f>IF(A180="","",IFERROR(VLOOKUP(A180,DB_Customers!$A:$N,14,0),""))</f>
        <v/>
      </c>
      <c r="D180" s="90" t="str">
        <f t="shared" ca="1" si="15"/>
        <v/>
      </c>
      <c r="E180" s="82"/>
      <c r="F180" s="91" t="str">
        <f t="shared" si="16"/>
        <v/>
      </c>
      <c r="G180" s="27"/>
      <c r="H180" s="84"/>
      <c r="I180" s="92" t="str">
        <f>IF(A180="","Pending",IF(H180="","⚠️ Enter Code",IF(IFERROR(VLOOKUP(G180,DB_Agents!$B:$I,8,0),"")=H180,IF(AND(A180&lt;&gt;"",E180&lt;&gt;""),"Saved","Pending"),"🔒 BLOCKED — Wrong Code")))</f>
        <v>Pending</v>
      </c>
      <c r="J180" s="93" t="str">
        <f t="shared" ca="1" si="17"/>
        <v>—</v>
      </c>
      <c r="K180" s="94"/>
    </row>
    <row r="181" spans="1:11" x14ac:dyDescent="0.25">
      <c r="A181" s="79"/>
      <c r="B181" s="21" t="str">
        <f>IF(A181="","",IFERROR(VLOOKUP(A181,DB_Customers!$A:$D,4,0),"❌ Account Not Found"))</f>
        <v/>
      </c>
      <c r="C181" s="80" t="str">
        <f>IF(A181="","",IFERROR(VLOOKUP(A181,DB_Customers!$A:$N,14,0),""))</f>
        <v/>
      </c>
      <c r="D181" s="81" t="str">
        <f t="shared" ca="1" si="15"/>
        <v/>
      </c>
      <c r="E181" s="82"/>
      <c r="F181" s="83" t="str">
        <f t="shared" si="16"/>
        <v/>
      </c>
      <c r="G181" s="23"/>
      <c r="H181" s="84"/>
      <c r="I181" s="85" t="str">
        <f>IF(A181="","Pending",IF(H181="","⚠️ Enter Code",IF(IFERROR(VLOOKUP(G181,DB_Agents!$B:$I,8,0),"")=H181,IF(AND(A181&lt;&gt;"",E181&lt;&gt;""),"Saved","Pending"),"🔒 BLOCKED — Wrong Code")))</f>
        <v>Pending</v>
      </c>
      <c r="J181" s="86" t="str">
        <f t="shared" ca="1" si="17"/>
        <v>—</v>
      </c>
      <c r="K181" s="87"/>
    </row>
    <row r="182" spans="1:11" x14ac:dyDescent="0.25">
      <c r="A182" s="88"/>
      <c r="B182" s="25" t="str">
        <f>IF(A182="","",IFERROR(VLOOKUP(A182,DB_Customers!$A:$D,4,0),"❌ Account Not Found"))</f>
        <v/>
      </c>
      <c r="C182" s="89" t="str">
        <f>IF(A182="","",IFERROR(VLOOKUP(A182,DB_Customers!$A:$N,14,0),""))</f>
        <v/>
      </c>
      <c r="D182" s="90" t="str">
        <f t="shared" ca="1" si="15"/>
        <v/>
      </c>
      <c r="E182" s="82"/>
      <c r="F182" s="91" t="str">
        <f t="shared" si="16"/>
        <v/>
      </c>
      <c r="G182" s="27"/>
      <c r="H182" s="84"/>
      <c r="I182" s="92" t="str">
        <f>IF(A182="","Pending",IF(H182="","⚠️ Enter Code",IF(IFERROR(VLOOKUP(G182,DB_Agents!$B:$I,8,0),"")=H182,IF(AND(A182&lt;&gt;"",E182&lt;&gt;""),"Saved","Pending"),"🔒 BLOCKED — Wrong Code")))</f>
        <v>Pending</v>
      </c>
      <c r="J182" s="93" t="str">
        <f t="shared" ca="1" si="17"/>
        <v>—</v>
      </c>
      <c r="K182" s="94"/>
    </row>
    <row r="183" spans="1:11" x14ac:dyDescent="0.25">
      <c r="A183" s="79"/>
      <c r="B183" s="21" t="str">
        <f>IF(A183="","",IFERROR(VLOOKUP(A183,DB_Customers!$A:$D,4,0),"❌ Account Not Found"))</f>
        <v/>
      </c>
      <c r="C183" s="80" t="str">
        <f>IF(A183="","",IFERROR(VLOOKUP(A183,DB_Customers!$A:$N,14,0),""))</f>
        <v/>
      </c>
      <c r="D183" s="81" t="str">
        <f t="shared" ca="1" si="15"/>
        <v/>
      </c>
      <c r="E183" s="82"/>
      <c r="F183" s="83" t="str">
        <f t="shared" si="16"/>
        <v/>
      </c>
      <c r="G183" s="23"/>
      <c r="H183" s="84"/>
      <c r="I183" s="85" t="str">
        <f>IF(A183="","Pending",IF(H183="","⚠️ Enter Code",IF(IFERROR(VLOOKUP(G183,DB_Agents!$B:$I,8,0),"")=H183,IF(AND(A183&lt;&gt;"",E183&lt;&gt;""),"Saved","Pending"),"🔒 BLOCKED — Wrong Code")))</f>
        <v>Pending</v>
      </c>
      <c r="J183" s="86" t="str">
        <f t="shared" ca="1" si="17"/>
        <v>—</v>
      </c>
      <c r="K183" s="87"/>
    </row>
    <row r="184" spans="1:11" x14ac:dyDescent="0.25">
      <c r="A184" s="88"/>
      <c r="B184" s="25" t="str">
        <f>IF(A184="","",IFERROR(VLOOKUP(A184,DB_Customers!$A:$D,4,0),"❌ Account Not Found"))</f>
        <v/>
      </c>
      <c r="C184" s="89" t="str">
        <f>IF(A184="","",IFERROR(VLOOKUP(A184,DB_Customers!$A:$N,14,0),""))</f>
        <v/>
      </c>
      <c r="D184" s="90" t="str">
        <f t="shared" ca="1" si="15"/>
        <v/>
      </c>
      <c r="E184" s="82"/>
      <c r="F184" s="91" t="str">
        <f t="shared" si="16"/>
        <v/>
      </c>
      <c r="G184" s="27"/>
      <c r="H184" s="84"/>
      <c r="I184" s="92" t="str">
        <f>IF(A184="","Pending",IF(H184="","⚠️ Enter Code",IF(IFERROR(VLOOKUP(G184,DB_Agents!$B:$I,8,0),"")=H184,IF(AND(A184&lt;&gt;"",E184&lt;&gt;""),"Saved","Pending"),"🔒 BLOCKED — Wrong Code")))</f>
        <v>Pending</v>
      </c>
      <c r="J184" s="93" t="str">
        <f t="shared" ca="1" si="17"/>
        <v>—</v>
      </c>
      <c r="K184" s="94"/>
    </row>
    <row r="185" spans="1:11" x14ac:dyDescent="0.25">
      <c r="A185" s="79"/>
      <c r="B185" s="21" t="str">
        <f>IF(A185="","",IFERROR(VLOOKUP(A185,DB_Customers!$A:$D,4,0),"❌ Account Not Found"))</f>
        <v/>
      </c>
      <c r="C185" s="80" t="str">
        <f>IF(A185="","",IFERROR(VLOOKUP(A185,DB_Customers!$A:$N,14,0),""))</f>
        <v/>
      </c>
      <c r="D185" s="81" t="str">
        <f t="shared" ca="1" si="15"/>
        <v/>
      </c>
      <c r="E185" s="82"/>
      <c r="F185" s="83" t="str">
        <f t="shared" si="16"/>
        <v/>
      </c>
      <c r="G185" s="23"/>
      <c r="H185" s="84"/>
      <c r="I185" s="85" t="str">
        <f>IF(A185="","Pending",IF(H185="","⚠️ Enter Code",IF(IFERROR(VLOOKUP(G185,DB_Agents!$B:$I,8,0),"")=H185,IF(AND(A185&lt;&gt;"",E185&lt;&gt;""),"Saved","Pending"),"🔒 BLOCKED — Wrong Code")))</f>
        <v>Pending</v>
      </c>
      <c r="J185" s="86" t="str">
        <f t="shared" ca="1" si="17"/>
        <v>—</v>
      </c>
      <c r="K185" s="87"/>
    </row>
    <row r="186" spans="1:11" x14ac:dyDescent="0.25">
      <c r="A186" s="88"/>
      <c r="B186" s="25" t="str">
        <f>IF(A186="","",IFERROR(VLOOKUP(A186,DB_Customers!$A:$D,4,0),"❌ Account Not Found"))</f>
        <v/>
      </c>
      <c r="C186" s="89" t="str">
        <f>IF(A186="","",IFERROR(VLOOKUP(A186,DB_Customers!$A:$N,14,0),""))</f>
        <v/>
      </c>
      <c r="D186" s="90" t="str">
        <f t="shared" ca="1" si="15"/>
        <v/>
      </c>
      <c r="E186" s="82"/>
      <c r="F186" s="91" t="str">
        <f t="shared" si="16"/>
        <v/>
      </c>
      <c r="G186" s="27"/>
      <c r="H186" s="84"/>
      <c r="I186" s="92" t="str">
        <f>IF(A186="","Pending",IF(H186="","⚠️ Enter Code",IF(IFERROR(VLOOKUP(G186,DB_Agents!$B:$I,8,0),"")=H186,IF(AND(A186&lt;&gt;"",E186&lt;&gt;""),"Saved","Pending"),"🔒 BLOCKED — Wrong Code")))</f>
        <v>Pending</v>
      </c>
      <c r="J186" s="93" t="str">
        <f t="shared" ca="1" si="17"/>
        <v>—</v>
      </c>
      <c r="K186" s="94"/>
    </row>
    <row r="187" spans="1:11" x14ac:dyDescent="0.25">
      <c r="A187" s="79"/>
      <c r="B187" s="21" t="str">
        <f>IF(A187="","",IFERROR(VLOOKUP(A187,DB_Customers!$A:$D,4,0),"❌ Account Not Found"))</f>
        <v/>
      </c>
      <c r="C187" s="80" t="str">
        <f>IF(A187="","",IFERROR(VLOOKUP(A187,DB_Customers!$A:$N,14,0),""))</f>
        <v/>
      </c>
      <c r="D187" s="81" t="str">
        <f t="shared" ca="1" si="15"/>
        <v/>
      </c>
      <c r="E187" s="82"/>
      <c r="F187" s="83" t="str">
        <f t="shared" si="16"/>
        <v/>
      </c>
      <c r="G187" s="23"/>
      <c r="H187" s="84"/>
      <c r="I187" s="85" t="str">
        <f>IF(A187="","Pending",IF(H187="","⚠️ Enter Code",IF(IFERROR(VLOOKUP(G187,DB_Agents!$B:$I,8,0),"")=H187,IF(AND(A187&lt;&gt;"",E187&lt;&gt;""),"Saved","Pending"),"🔒 BLOCKED — Wrong Code")))</f>
        <v>Pending</v>
      </c>
      <c r="J187" s="86" t="str">
        <f t="shared" ca="1" si="17"/>
        <v>—</v>
      </c>
      <c r="K187" s="87"/>
    </row>
    <row r="188" spans="1:11" x14ac:dyDescent="0.25">
      <c r="A188" s="88"/>
      <c r="B188" s="25" t="str">
        <f>IF(A188="","",IFERROR(VLOOKUP(A188,DB_Customers!$A:$D,4,0),"❌ Account Not Found"))</f>
        <v/>
      </c>
      <c r="C188" s="89" t="str">
        <f>IF(A188="","",IFERROR(VLOOKUP(A188,DB_Customers!$A:$N,14,0),""))</f>
        <v/>
      </c>
      <c r="D188" s="90" t="str">
        <f t="shared" ca="1" si="15"/>
        <v/>
      </c>
      <c r="E188" s="82"/>
      <c r="F188" s="91" t="str">
        <f t="shared" si="16"/>
        <v/>
      </c>
      <c r="G188" s="27"/>
      <c r="H188" s="84"/>
      <c r="I188" s="92" t="str">
        <f>IF(A188="","Pending",IF(H188="","⚠️ Enter Code",IF(IFERROR(VLOOKUP(G188,DB_Agents!$B:$I,8,0),"")=H188,IF(AND(A188&lt;&gt;"",E188&lt;&gt;""),"Saved","Pending"),"🔒 BLOCKED — Wrong Code")))</f>
        <v>Pending</v>
      </c>
      <c r="J188" s="93" t="str">
        <f t="shared" ca="1" si="17"/>
        <v>—</v>
      </c>
      <c r="K188" s="94"/>
    </row>
    <row r="189" spans="1:11" x14ac:dyDescent="0.25">
      <c r="A189" s="79"/>
      <c r="B189" s="21" t="str">
        <f>IF(A189="","",IFERROR(VLOOKUP(A189,DB_Customers!$A:$D,4,0),"❌ Account Not Found"))</f>
        <v/>
      </c>
      <c r="C189" s="80" t="str">
        <f>IF(A189="","",IFERROR(VLOOKUP(A189,DB_Customers!$A:$N,14,0),""))</f>
        <v/>
      </c>
      <c r="D189" s="81" t="str">
        <f t="shared" ca="1" si="15"/>
        <v/>
      </c>
      <c r="E189" s="82"/>
      <c r="F189" s="83" t="str">
        <f t="shared" si="16"/>
        <v/>
      </c>
      <c r="G189" s="23"/>
      <c r="H189" s="84"/>
      <c r="I189" s="85" t="str">
        <f>IF(A189="","Pending",IF(H189="","⚠️ Enter Code",IF(IFERROR(VLOOKUP(G189,DB_Agents!$B:$I,8,0),"")=H189,IF(AND(A189&lt;&gt;"",E189&lt;&gt;""),"Saved","Pending"),"🔒 BLOCKED — Wrong Code")))</f>
        <v>Pending</v>
      </c>
      <c r="J189" s="86" t="str">
        <f t="shared" ca="1" si="17"/>
        <v>—</v>
      </c>
      <c r="K189" s="87"/>
    </row>
    <row r="190" spans="1:11" x14ac:dyDescent="0.25">
      <c r="A190" s="88"/>
      <c r="B190" s="25" t="str">
        <f>IF(A190="","",IFERROR(VLOOKUP(A190,DB_Customers!$A:$D,4,0),"❌ Account Not Found"))</f>
        <v/>
      </c>
      <c r="C190" s="89" t="str">
        <f>IF(A190="","",IFERROR(VLOOKUP(A190,DB_Customers!$A:$N,14,0),""))</f>
        <v/>
      </c>
      <c r="D190" s="90" t="str">
        <f t="shared" ca="1" si="15"/>
        <v/>
      </c>
      <c r="E190" s="82"/>
      <c r="F190" s="91" t="str">
        <f t="shared" si="16"/>
        <v/>
      </c>
      <c r="G190" s="27"/>
      <c r="H190" s="84"/>
      <c r="I190" s="92" t="str">
        <f>IF(A190="","Pending",IF(H190="","⚠️ Enter Code",IF(IFERROR(VLOOKUP(G190,DB_Agents!$B:$I,8,0),"")=H190,IF(AND(A190&lt;&gt;"",E190&lt;&gt;""),"Saved","Pending"),"🔒 BLOCKED — Wrong Code")))</f>
        <v>Pending</v>
      </c>
      <c r="J190" s="93" t="str">
        <f t="shared" ca="1" si="17"/>
        <v>—</v>
      </c>
      <c r="K190" s="94"/>
    </row>
    <row r="191" spans="1:11" x14ac:dyDescent="0.25">
      <c r="A191" s="79"/>
      <c r="B191" s="21" t="str">
        <f>IF(A191="","",IFERROR(VLOOKUP(A191,DB_Customers!$A:$D,4,0),"❌ Account Not Found"))</f>
        <v/>
      </c>
      <c r="C191" s="80" t="str">
        <f>IF(A191="","",IFERROR(VLOOKUP(A191,DB_Customers!$A:$N,14,0),""))</f>
        <v/>
      </c>
      <c r="D191" s="81" t="str">
        <f t="shared" ca="1" si="15"/>
        <v/>
      </c>
      <c r="E191" s="82"/>
      <c r="F191" s="83" t="str">
        <f t="shared" si="16"/>
        <v/>
      </c>
      <c r="G191" s="23"/>
      <c r="H191" s="84"/>
      <c r="I191" s="85" t="str">
        <f>IF(A191="","Pending",IF(H191="","⚠️ Enter Code",IF(IFERROR(VLOOKUP(G191,DB_Agents!$B:$I,8,0),"")=H191,IF(AND(A191&lt;&gt;"",E191&lt;&gt;""),"Saved","Pending"),"🔒 BLOCKED — Wrong Code")))</f>
        <v>Pending</v>
      </c>
      <c r="J191" s="86" t="str">
        <f t="shared" ca="1" si="17"/>
        <v>—</v>
      </c>
      <c r="K191" s="87"/>
    </row>
    <row r="192" spans="1:11" x14ac:dyDescent="0.25">
      <c r="A192" s="88"/>
      <c r="B192" s="25" t="str">
        <f>IF(A192="","",IFERROR(VLOOKUP(A192,DB_Customers!$A:$D,4,0),"❌ Account Not Found"))</f>
        <v/>
      </c>
      <c r="C192" s="89" t="str">
        <f>IF(A192="","",IFERROR(VLOOKUP(A192,DB_Customers!$A:$N,14,0),""))</f>
        <v/>
      </c>
      <c r="D192" s="90" t="str">
        <f t="shared" ca="1" si="15"/>
        <v/>
      </c>
      <c r="E192" s="82"/>
      <c r="F192" s="91" t="str">
        <f t="shared" si="16"/>
        <v/>
      </c>
      <c r="G192" s="27"/>
      <c r="H192" s="84"/>
      <c r="I192" s="92" t="str">
        <f>IF(A192="","Pending",IF(H192="","⚠️ Enter Code",IF(IFERROR(VLOOKUP(G192,DB_Agents!$B:$I,8,0),"")=H192,IF(AND(A192&lt;&gt;"",E192&lt;&gt;""),"Saved","Pending"),"🔒 BLOCKED — Wrong Code")))</f>
        <v>Pending</v>
      </c>
      <c r="J192" s="93" t="str">
        <f t="shared" ca="1" si="17"/>
        <v>—</v>
      </c>
      <c r="K192" s="94"/>
    </row>
    <row r="193" spans="1:11" x14ac:dyDescent="0.25">
      <c r="A193" s="79"/>
      <c r="B193" s="21" t="str">
        <f>IF(A193="","",IFERROR(VLOOKUP(A193,DB_Customers!$A:$D,4,0),"❌ Account Not Found"))</f>
        <v/>
      </c>
      <c r="C193" s="80" t="str">
        <f>IF(A193="","",IFERROR(VLOOKUP(A193,DB_Customers!$A:$N,14,0),""))</f>
        <v/>
      </c>
      <c r="D193" s="81" t="str">
        <f t="shared" ca="1" si="15"/>
        <v/>
      </c>
      <c r="E193" s="82"/>
      <c r="F193" s="83" t="str">
        <f t="shared" si="16"/>
        <v/>
      </c>
      <c r="G193" s="23"/>
      <c r="H193" s="84"/>
      <c r="I193" s="85" t="str">
        <f>IF(A193="","Pending",IF(H193="","⚠️ Enter Code",IF(IFERROR(VLOOKUP(G193,DB_Agents!$B:$I,8,0),"")=H193,IF(AND(A193&lt;&gt;"",E193&lt;&gt;""),"Saved","Pending"),"🔒 BLOCKED — Wrong Code")))</f>
        <v>Pending</v>
      </c>
      <c r="J193" s="86" t="str">
        <f t="shared" ca="1" si="17"/>
        <v>—</v>
      </c>
      <c r="K193" s="87"/>
    </row>
    <row r="194" spans="1:11" x14ac:dyDescent="0.25">
      <c r="A194" s="88"/>
      <c r="B194" s="25" t="str">
        <f>IF(A194="","",IFERROR(VLOOKUP(A194,DB_Customers!$A:$D,4,0),"❌ Account Not Found"))</f>
        <v/>
      </c>
      <c r="C194" s="89" t="str">
        <f>IF(A194="","",IFERROR(VLOOKUP(A194,DB_Customers!$A:$N,14,0),""))</f>
        <v/>
      </c>
      <c r="D194" s="90" t="str">
        <f t="shared" ca="1" si="15"/>
        <v/>
      </c>
      <c r="E194" s="82"/>
      <c r="F194" s="91" t="str">
        <f t="shared" si="16"/>
        <v/>
      </c>
      <c r="G194" s="27"/>
      <c r="H194" s="84"/>
      <c r="I194" s="92" t="str">
        <f>IF(A194="","Pending",IF(H194="","⚠️ Enter Code",IF(IFERROR(VLOOKUP(G194,DB_Agents!$B:$I,8,0),"")=H194,IF(AND(A194&lt;&gt;"",E194&lt;&gt;""),"Saved","Pending"),"🔒 BLOCKED — Wrong Code")))</f>
        <v>Pending</v>
      </c>
      <c r="J194" s="93" t="str">
        <f t="shared" ca="1" si="17"/>
        <v>—</v>
      </c>
      <c r="K194" s="94"/>
    </row>
    <row r="195" spans="1:11" x14ac:dyDescent="0.25">
      <c r="A195" s="79"/>
      <c r="B195" s="21" t="str">
        <f>IF(A195="","",IFERROR(VLOOKUP(A195,DB_Customers!$A:$D,4,0),"❌ Account Not Found"))</f>
        <v/>
      </c>
      <c r="C195" s="80" t="str">
        <f>IF(A195="","",IFERROR(VLOOKUP(A195,DB_Customers!$A:$N,14,0),""))</f>
        <v/>
      </c>
      <c r="D195" s="81" t="str">
        <f t="shared" ca="1" si="15"/>
        <v/>
      </c>
      <c r="E195" s="82"/>
      <c r="F195" s="83" t="str">
        <f t="shared" si="16"/>
        <v/>
      </c>
      <c r="G195" s="23"/>
      <c r="H195" s="84"/>
      <c r="I195" s="85" t="str">
        <f>IF(A195="","Pending",IF(H195="","⚠️ Enter Code",IF(IFERROR(VLOOKUP(G195,DB_Agents!$B:$I,8,0),"")=H195,IF(AND(A195&lt;&gt;"",E195&lt;&gt;""),"Saved","Pending"),"🔒 BLOCKED — Wrong Code")))</f>
        <v>Pending</v>
      </c>
      <c r="J195" s="86" t="str">
        <f t="shared" ca="1" si="17"/>
        <v>—</v>
      </c>
      <c r="K195" s="87"/>
    </row>
    <row r="196" spans="1:11" x14ac:dyDescent="0.25">
      <c r="A196" s="88"/>
      <c r="B196" s="25" t="str">
        <f>IF(A196="","",IFERROR(VLOOKUP(A196,DB_Customers!$A:$D,4,0),"❌ Account Not Found"))</f>
        <v/>
      </c>
      <c r="C196" s="89" t="str">
        <f>IF(A196="","",IFERROR(VLOOKUP(A196,DB_Customers!$A:$N,14,0),""))</f>
        <v/>
      </c>
      <c r="D196" s="90" t="str">
        <f t="shared" ca="1" si="15"/>
        <v/>
      </c>
      <c r="E196" s="82"/>
      <c r="F196" s="91" t="str">
        <f t="shared" si="16"/>
        <v/>
      </c>
      <c r="G196" s="27"/>
      <c r="H196" s="84"/>
      <c r="I196" s="92" t="str">
        <f>IF(A196="","Pending",IF(H196="","⚠️ Enter Code",IF(IFERROR(VLOOKUP(G196,DB_Agents!$B:$I,8,0),"")=H196,IF(AND(A196&lt;&gt;"",E196&lt;&gt;""),"Saved","Pending"),"🔒 BLOCKED — Wrong Code")))</f>
        <v>Pending</v>
      </c>
      <c r="J196" s="93" t="str">
        <f t="shared" ca="1" si="17"/>
        <v>—</v>
      </c>
      <c r="K196" s="94"/>
    </row>
    <row r="197" spans="1:11" x14ac:dyDescent="0.25">
      <c r="A197" s="79"/>
      <c r="B197" s="21" t="str">
        <f>IF(A197="","",IFERROR(VLOOKUP(A197,DB_Customers!$A:$D,4,0),"❌ Account Not Found"))</f>
        <v/>
      </c>
      <c r="C197" s="80" t="str">
        <f>IF(A197="","",IFERROR(VLOOKUP(A197,DB_Customers!$A:$N,14,0),""))</f>
        <v/>
      </c>
      <c r="D197" s="81" t="str">
        <f t="shared" ca="1" si="15"/>
        <v/>
      </c>
      <c r="E197" s="82"/>
      <c r="F197" s="83" t="str">
        <f t="shared" si="16"/>
        <v/>
      </c>
      <c r="G197" s="23"/>
      <c r="H197" s="84"/>
      <c r="I197" s="85" t="str">
        <f>IF(A197="","Pending",IF(H197="","⚠️ Enter Code",IF(IFERROR(VLOOKUP(G197,DB_Agents!$B:$I,8,0),"")=H197,IF(AND(A197&lt;&gt;"",E197&lt;&gt;""),"Saved","Pending"),"🔒 BLOCKED — Wrong Code")))</f>
        <v>Pending</v>
      </c>
      <c r="J197" s="86" t="str">
        <f t="shared" ca="1" si="17"/>
        <v>—</v>
      </c>
      <c r="K197" s="87"/>
    </row>
    <row r="198" spans="1:11" x14ac:dyDescent="0.25">
      <c r="A198" s="88"/>
      <c r="B198" s="25" t="str">
        <f>IF(A198="","",IFERROR(VLOOKUP(A198,DB_Customers!$A:$D,4,0),"❌ Account Not Found"))</f>
        <v/>
      </c>
      <c r="C198" s="89" t="str">
        <f>IF(A198="","",IFERROR(VLOOKUP(A198,DB_Customers!$A:$N,14,0),""))</f>
        <v/>
      </c>
      <c r="D198" s="90" t="str">
        <f t="shared" ca="1" si="15"/>
        <v/>
      </c>
      <c r="E198" s="82"/>
      <c r="F198" s="91" t="str">
        <f t="shared" si="16"/>
        <v/>
      </c>
      <c r="G198" s="27"/>
      <c r="H198" s="84"/>
      <c r="I198" s="92" t="str">
        <f>IF(A198="","Pending",IF(H198="","⚠️ Enter Code",IF(IFERROR(VLOOKUP(G198,DB_Agents!$B:$I,8,0),"")=H198,IF(AND(A198&lt;&gt;"",E198&lt;&gt;""),"Saved","Pending"),"🔒 BLOCKED — Wrong Code")))</f>
        <v>Pending</v>
      </c>
      <c r="J198" s="93" t="str">
        <f t="shared" ca="1" si="17"/>
        <v>—</v>
      </c>
      <c r="K198" s="94"/>
    </row>
    <row r="199" spans="1:11" x14ac:dyDescent="0.25">
      <c r="A199" s="79"/>
      <c r="B199" s="21" t="str">
        <f>IF(A199="","",IFERROR(VLOOKUP(A199,DB_Customers!$A:$D,4,0),"❌ Account Not Found"))</f>
        <v/>
      </c>
      <c r="C199" s="80" t="str">
        <f>IF(A199="","",IFERROR(VLOOKUP(A199,DB_Customers!$A:$N,14,0),""))</f>
        <v/>
      </c>
      <c r="D199" s="81" t="str">
        <f t="shared" ca="1" si="15"/>
        <v/>
      </c>
      <c r="E199" s="82"/>
      <c r="F199" s="83" t="str">
        <f t="shared" si="16"/>
        <v/>
      </c>
      <c r="G199" s="23"/>
      <c r="H199" s="84"/>
      <c r="I199" s="85" t="str">
        <f>IF(A199="","Pending",IF(H199="","⚠️ Enter Code",IF(IFERROR(VLOOKUP(G199,DB_Agents!$B:$I,8,0),"")=H199,IF(AND(A199&lt;&gt;"",E199&lt;&gt;""),"Saved","Pending"),"🔒 BLOCKED — Wrong Code")))</f>
        <v>Pending</v>
      </c>
      <c r="J199" s="86" t="str">
        <f t="shared" ca="1" si="17"/>
        <v>—</v>
      </c>
      <c r="K199" s="87"/>
    </row>
    <row r="200" spans="1:11" x14ac:dyDescent="0.25">
      <c r="A200" s="88"/>
      <c r="B200" s="25" t="str">
        <f>IF(A200="","",IFERROR(VLOOKUP(A200,DB_Customers!$A:$D,4,0),"❌ Account Not Found"))</f>
        <v/>
      </c>
      <c r="C200" s="89" t="str">
        <f>IF(A200="","",IFERROR(VLOOKUP(A200,DB_Customers!$A:$N,14,0),""))</f>
        <v/>
      </c>
      <c r="D200" s="90" t="str">
        <f t="shared" ca="1" si="15"/>
        <v/>
      </c>
      <c r="E200" s="82"/>
      <c r="F200" s="91" t="str">
        <f t="shared" si="16"/>
        <v/>
      </c>
      <c r="G200" s="27"/>
      <c r="H200" s="84"/>
      <c r="I200" s="92" t="str">
        <f>IF(A200="","Pending",IF(H200="","⚠️ Enter Code",IF(IFERROR(VLOOKUP(G200,DB_Agents!$B:$I,8,0),"")=H200,IF(AND(A200&lt;&gt;"",E200&lt;&gt;""),"Saved","Pending"),"🔒 BLOCKED — Wrong Code")))</f>
        <v>Pending</v>
      </c>
      <c r="J200" s="93" t="str">
        <f t="shared" ca="1" si="17"/>
        <v>—</v>
      </c>
      <c r="K200" s="94"/>
    </row>
    <row r="201" spans="1:11" x14ac:dyDescent="0.25">
      <c r="A201" s="79"/>
      <c r="B201" s="21" t="str">
        <f>IF(A201="","",IFERROR(VLOOKUP(A201,DB_Customers!$A:$D,4,0),"❌ Account Not Found"))</f>
        <v/>
      </c>
      <c r="C201" s="80" t="str">
        <f>IF(A201="","",IFERROR(VLOOKUP(A201,DB_Customers!$A:$N,14,0),""))</f>
        <v/>
      </c>
      <c r="D201" s="81" t="str">
        <f t="shared" ref="D201:D208" ca="1" si="18">IF(A201="","",TODAY())</f>
        <v/>
      </c>
      <c r="E201" s="82"/>
      <c r="F201" s="83" t="str">
        <f t="shared" ref="F201:F232" si="19">IF(OR(A201="",E201=""),"",IF(C201="","",C201+E201))</f>
        <v/>
      </c>
      <c r="G201" s="23"/>
      <c r="H201" s="84"/>
      <c r="I201" s="85" t="str">
        <f>IF(A201="","Pending",IF(H201="","⚠️ Enter Code",IF(IFERROR(VLOOKUP(G201,DB_Agents!$B:$I,8,0),"")=H201,IF(AND(A201&lt;&gt;"",E201&lt;&gt;""),"Saved","Pending"),"🔒 BLOCKED — Wrong Code")))</f>
        <v>Pending</v>
      </c>
      <c r="J201" s="86" t="str">
        <f t="shared" ref="J201:J232" ca="1" si="20">IF(I201="Saved",TEXT(TODAY(),"YYYY-MM-DD")&amp;" Auto","—")</f>
        <v>—</v>
      </c>
      <c r="K201" s="87"/>
    </row>
    <row r="202" spans="1:11" x14ac:dyDescent="0.25">
      <c r="A202" s="88"/>
      <c r="B202" s="25" t="str">
        <f>IF(A202="","",IFERROR(VLOOKUP(A202,DB_Customers!$A:$D,4,0),"❌ Account Not Found"))</f>
        <v/>
      </c>
      <c r="C202" s="89" t="str">
        <f>IF(A202="","",IFERROR(VLOOKUP(A202,DB_Customers!$A:$N,14,0),""))</f>
        <v/>
      </c>
      <c r="D202" s="90" t="str">
        <f t="shared" ca="1" si="18"/>
        <v/>
      </c>
      <c r="E202" s="82"/>
      <c r="F202" s="91" t="str">
        <f t="shared" si="19"/>
        <v/>
      </c>
      <c r="G202" s="27"/>
      <c r="H202" s="84"/>
      <c r="I202" s="92" t="str">
        <f>IF(A202="","Pending",IF(H202="","⚠️ Enter Code",IF(IFERROR(VLOOKUP(G202,DB_Agents!$B:$I,8,0),"")=H202,IF(AND(A202&lt;&gt;"",E202&lt;&gt;""),"Saved","Pending"),"🔒 BLOCKED — Wrong Code")))</f>
        <v>Pending</v>
      </c>
      <c r="J202" s="93" t="str">
        <f t="shared" ca="1" si="20"/>
        <v>—</v>
      </c>
      <c r="K202" s="94"/>
    </row>
    <row r="203" spans="1:11" x14ac:dyDescent="0.25">
      <c r="A203" s="79"/>
      <c r="B203" s="21" t="str">
        <f>IF(A203="","",IFERROR(VLOOKUP(A203,DB_Customers!$A:$D,4,0),"❌ Account Not Found"))</f>
        <v/>
      </c>
      <c r="C203" s="80" t="str">
        <f>IF(A203="","",IFERROR(VLOOKUP(A203,DB_Customers!$A:$N,14,0),""))</f>
        <v/>
      </c>
      <c r="D203" s="81" t="str">
        <f t="shared" ca="1" si="18"/>
        <v/>
      </c>
      <c r="E203" s="82"/>
      <c r="F203" s="83" t="str">
        <f t="shared" si="19"/>
        <v/>
      </c>
      <c r="G203" s="23"/>
      <c r="H203" s="84"/>
      <c r="I203" s="85" t="str">
        <f>IF(A203="","Pending",IF(H203="","⚠️ Enter Code",IF(IFERROR(VLOOKUP(G203,DB_Agents!$B:$I,8,0),"")=H203,IF(AND(A203&lt;&gt;"",E203&lt;&gt;""),"Saved","Pending"),"🔒 BLOCKED — Wrong Code")))</f>
        <v>Pending</v>
      </c>
      <c r="J203" s="86" t="str">
        <f t="shared" ca="1" si="20"/>
        <v>—</v>
      </c>
      <c r="K203" s="87"/>
    </row>
    <row r="204" spans="1:11" x14ac:dyDescent="0.25">
      <c r="A204" s="88"/>
      <c r="B204" s="25" t="str">
        <f>IF(A204="","",IFERROR(VLOOKUP(A204,DB_Customers!$A:$D,4,0),"❌ Account Not Found"))</f>
        <v/>
      </c>
      <c r="C204" s="89" t="str">
        <f>IF(A204="","",IFERROR(VLOOKUP(A204,DB_Customers!$A:$N,14,0),""))</f>
        <v/>
      </c>
      <c r="D204" s="90" t="str">
        <f t="shared" ca="1" si="18"/>
        <v/>
      </c>
      <c r="E204" s="82"/>
      <c r="F204" s="91" t="str">
        <f t="shared" si="19"/>
        <v/>
      </c>
      <c r="G204" s="27"/>
      <c r="H204" s="84"/>
      <c r="I204" s="92" t="str">
        <f>IF(A204="","Pending",IF(H204="","⚠️ Enter Code",IF(IFERROR(VLOOKUP(G204,DB_Agents!$B:$I,8,0),"")=H204,IF(AND(A204&lt;&gt;"",E204&lt;&gt;""),"Saved","Pending"),"🔒 BLOCKED — Wrong Code")))</f>
        <v>Pending</v>
      </c>
      <c r="J204" s="93" t="str">
        <f t="shared" ca="1" si="20"/>
        <v>—</v>
      </c>
      <c r="K204" s="94"/>
    </row>
    <row r="205" spans="1:11" x14ac:dyDescent="0.25">
      <c r="A205" s="79"/>
      <c r="B205" s="21" t="str">
        <f>IF(A205="","",IFERROR(VLOOKUP(A205,DB_Customers!$A:$D,4,0),"❌ Account Not Found"))</f>
        <v/>
      </c>
      <c r="C205" s="80" t="str">
        <f>IF(A205="","",IFERROR(VLOOKUP(A205,DB_Customers!$A:$N,14,0),""))</f>
        <v/>
      </c>
      <c r="D205" s="81" t="str">
        <f t="shared" ca="1" si="18"/>
        <v/>
      </c>
      <c r="E205" s="82"/>
      <c r="F205" s="83" t="str">
        <f t="shared" si="19"/>
        <v/>
      </c>
      <c r="G205" s="23"/>
      <c r="H205" s="84"/>
      <c r="I205" s="85" t="str">
        <f>IF(A205="","Pending",IF(H205="","⚠️ Enter Code",IF(IFERROR(VLOOKUP(G205,DB_Agents!$B:$I,8,0),"")=H205,IF(AND(A205&lt;&gt;"",E205&lt;&gt;""),"Saved","Pending"),"🔒 BLOCKED — Wrong Code")))</f>
        <v>Pending</v>
      </c>
      <c r="J205" s="86" t="str">
        <f t="shared" ca="1" si="20"/>
        <v>—</v>
      </c>
      <c r="K205" s="87"/>
    </row>
    <row r="206" spans="1:11" x14ac:dyDescent="0.25">
      <c r="A206" s="88"/>
      <c r="B206" s="25" t="str">
        <f>IF(A206="","",IFERROR(VLOOKUP(A206,DB_Customers!$A:$D,4,0),"❌ Account Not Found"))</f>
        <v/>
      </c>
      <c r="C206" s="89" t="str">
        <f>IF(A206="","",IFERROR(VLOOKUP(A206,DB_Customers!$A:$N,14,0),""))</f>
        <v/>
      </c>
      <c r="D206" s="90" t="str">
        <f t="shared" ca="1" si="18"/>
        <v/>
      </c>
      <c r="E206" s="82"/>
      <c r="F206" s="91" t="str">
        <f t="shared" si="19"/>
        <v/>
      </c>
      <c r="G206" s="27"/>
      <c r="H206" s="84"/>
      <c r="I206" s="92" t="str">
        <f>IF(A206="","Pending",IF(H206="","⚠️ Enter Code",IF(IFERROR(VLOOKUP(G206,DB_Agents!$B:$I,8,0),"")=H206,IF(AND(A206&lt;&gt;"",E206&lt;&gt;""),"Saved","Pending"),"🔒 BLOCKED — Wrong Code")))</f>
        <v>Pending</v>
      </c>
      <c r="J206" s="93" t="str">
        <f t="shared" ca="1" si="20"/>
        <v>—</v>
      </c>
      <c r="K206" s="94"/>
    </row>
    <row r="207" spans="1:11" x14ac:dyDescent="0.25">
      <c r="A207" s="79"/>
      <c r="B207" s="21" t="str">
        <f>IF(A207="","",IFERROR(VLOOKUP(A207,DB_Customers!$A:$D,4,0),"❌ Account Not Found"))</f>
        <v/>
      </c>
      <c r="C207" s="80" t="str">
        <f>IF(A207="","",IFERROR(VLOOKUP(A207,DB_Customers!$A:$N,14,0),""))</f>
        <v/>
      </c>
      <c r="D207" s="81" t="str">
        <f t="shared" ca="1" si="18"/>
        <v/>
      </c>
      <c r="E207" s="82"/>
      <c r="F207" s="83" t="str">
        <f t="shared" si="19"/>
        <v/>
      </c>
      <c r="G207" s="23"/>
      <c r="H207" s="84"/>
      <c r="I207" s="85" t="str">
        <f>IF(A207="","Pending",IF(H207="","⚠️ Enter Code",IF(IFERROR(VLOOKUP(G207,DB_Agents!$B:$I,8,0),"")=H207,IF(AND(A207&lt;&gt;"",E207&lt;&gt;""),"Saved","Pending"),"🔒 BLOCKED — Wrong Code")))</f>
        <v>Pending</v>
      </c>
      <c r="J207" s="86" t="str">
        <f t="shared" ca="1" si="20"/>
        <v>—</v>
      </c>
      <c r="K207" s="87"/>
    </row>
    <row r="208" spans="1:11" x14ac:dyDescent="0.25">
      <c r="A208" s="88"/>
      <c r="B208" s="25" t="str">
        <f>IF(A208="","",IFERROR(VLOOKUP(A208,DB_Customers!$A:$D,4,0),"❌ Account Not Found"))</f>
        <v/>
      </c>
      <c r="C208" s="89" t="str">
        <f>IF(A208="","",IFERROR(VLOOKUP(A208,DB_Customers!$A:$N,14,0),""))</f>
        <v/>
      </c>
      <c r="D208" s="90" t="str">
        <f t="shared" ca="1" si="18"/>
        <v/>
      </c>
      <c r="E208" s="82"/>
      <c r="F208" s="91" t="str">
        <f t="shared" si="19"/>
        <v/>
      </c>
      <c r="G208" s="27"/>
      <c r="H208" s="84"/>
      <c r="I208" s="92" t="str">
        <f>IF(A208="","Pending",IF(H208="","⚠️ Enter Code",IF(IFERROR(VLOOKUP(G208,DB_Agents!$B:$I,8,0),"")=H208,IF(AND(A208&lt;&gt;"",E208&lt;&gt;""),"Saved","Pending"),"🔒 BLOCKED — Wrong Code")))</f>
        <v>Pending</v>
      </c>
      <c r="J208" s="93" t="str">
        <f t="shared" ca="1" si="20"/>
        <v>—</v>
      </c>
      <c r="K208" s="94"/>
    </row>
  </sheetData>
  <mergeCells count="12">
    <mergeCell ref="A7:L7"/>
    <mergeCell ref="A4:C4"/>
    <mergeCell ref="D4:F4"/>
    <mergeCell ref="G4:I4"/>
    <mergeCell ref="J4:L4"/>
    <mergeCell ref="A5:L5"/>
    <mergeCell ref="A1:L1"/>
    <mergeCell ref="A2:L2"/>
    <mergeCell ref="A3:C3"/>
    <mergeCell ref="D3:F3"/>
    <mergeCell ref="G3:I3"/>
    <mergeCell ref="J3:L3"/>
  </mergeCells>
  <conditionalFormatting sqref="H9:H208">
    <cfRule type="cellIs" dxfId="72" priority="2" operator="equal">
      <formula>"Saved"</formula>
    </cfRule>
    <cfRule type="cellIs" dxfId="71" priority="3" operator="equal">
      <formula>"Pending"</formula>
    </cfRule>
  </conditionalFormatting>
  <conditionalFormatting sqref="A9:J208">
    <cfRule type="expression" dxfId="70" priority="4">
      <formula>$H9="Saved"</formula>
    </cfRule>
  </conditionalFormatting>
  <dataValidations count="2">
    <dataValidation type="decimal" operator="greaterThan" showErrorMessage="1" error="Must be &gt; 0" sqref="E9:E208" xr:uid="{00000000-0002-0000-0E00-000000000000}">
      <formula1>0</formula1>
      <formula2>0</formula2>
    </dataValidation>
    <dataValidation type="list" sqref="G9:G208" xr:uid="{00000000-0002-0000-0E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C0392B"/>
  </sheetPr>
  <dimension ref="A1:M208"/>
  <sheetViews>
    <sheetView zoomScaleNormal="100" workbookViewId="0">
      <pane ySplit="8" topLeftCell="A9" activePane="bottomLeft" state="frozen"/>
      <selection pane="bottomLeft"/>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5" customWidth="1"/>
    <col min="8" max="8" width="12" customWidth="1"/>
    <col min="9" max="9" width="14" customWidth="1"/>
    <col min="10" max="10" width="22" customWidth="1"/>
    <col min="11" max="11" width="20" customWidth="1"/>
  </cols>
  <sheetData>
    <row r="1" spans="1:13" ht="31.5" customHeight="1" x14ac:dyDescent="0.25">
      <c r="A1" s="210" t="s">
        <v>207</v>
      </c>
      <c r="B1" s="210"/>
      <c r="C1" s="210"/>
      <c r="D1" s="210"/>
      <c r="E1" s="210"/>
      <c r="F1" s="210"/>
      <c r="G1" s="210"/>
      <c r="H1" s="210"/>
      <c r="I1" s="210"/>
      <c r="J1" s="210"/>
      <c r="K1" s="210"/>
      <c r="L1" s="210"/>
      <c r="M1" s="210"/>
    </row>
    <row r="2" spans="1:13" ht="19.5" customHeight="1" x14ac:dyDescent="0.25">
      <c r="A2" s="211" t="s">
        <v>208</v>
      </c>
      <c r="B2" s="211"/>
      <c r="C2" s="211"/>
      <c r="D2" s="211"/>
      <c r="E2" s="211"/>
      <c r="F2" s="211"/>
      <c r="G2" s="211"/>
      <c r="H2" s="211"/>
      <c r="I2" s="211"/>
      <c r="J2" s="211"/>
      <c r="K2" s="211"/>
      <c r="L2" s="211"/>
      <c r="M2" s="211"/>
    </row>
    <row r="3" spans="1:13" ht="18" customHeight="1" x14ac:dyDescent="0.25">
      <c r="A3" s="178" t="s">
        <v>180</v>
      </c>
      <c r="B3" s="178"/>
      <c r="C3" s="178"/>
      <c r="D3" s="177" t="s">
        <v>181</v>
      </c>
      <c r="E3" s="177"/>
      <c r="F3" s="177"/>
      <c r="G3" s="19" t="s">
        <v>182</v>
      </c>
      <c r="K3" s="48" t="s">
        <v>169</v>
      </c>
    </row>
    <row r="4" spans="1:13" ht="27.75" customHeight="1" x14ac:dyDescent="0.25">
      <c r="A4" s="212">
        <f ca="1">SUMIFS(DB_Withdrawals!$G:$G,DB_Withdrawals!$J:$J,"Agent 04",DB_Withdrawals!$F:$F,TODAY())</f>
        <v>0</v>
      </c>
      <c r="B4" s="212"/>
      <c r="C4" s="212"/>
      <c r="D4" s="213">
        <f ca="1">COUNTIFS(DB_Withdrawals!$J:$J,"Agent 04",DB_Withdrawals!$K:$K,"Successful",DB_Withdrawals!$F:$F,TODAY())</f>
        <v>0</v>
      </c>
      <c r="E4" s="213"/>
      <c r="F4" s="213"/>
      <c r="G4" s="95">
        <f ca="1">COUNTIFS(DB_Withdrawals!$J:$J,"Agent 04",DB_Withdrawals!$K:$K,"Unsuccessful",DB_Withdrawals!$F:$F,TODAY())</f>
        <v>0</v>
      </c>
      <c r="K4" s="77" t="str">
        <f ca="1">TEXT(TODAY(),"DD MMM YYYY")</f>
        <v>19 Apr 2026</v>
      </c>
    </row>
    <row r="5" spans="1:13" ht="19.5" customHeight="1" x14ac:dyDescent="0.25">
      <c r="A5" s="214" t="s">
        <v>183</v>
      </c>
      <c r="B5" s="214"/>
      <c r="C5" s="214"/>
      <c r="D5" s="214"/>
      <c r="E5" s="214"/>
      <c r="F5" s="214"/>
      <c r="G5" s="214"/>
      <c r="H5" s="214"/>
      <c r="I5" s="214"/>
      <c r="J5" s="214"/>
      <c r="K5" s="214"/>
      <c r="L5" s="214"/>
      <c r="M5" s="214"/>
    </row>
    <row r="6" spans="1:13" ht="7.5" customHeight="1" x14ac:dyDescent="0.25"/>
    <row r="7" spans="1:13" ht="19.5" customHeight="1" x14ac:dyDescent="0.25">
      <c r="A7" s="215" t="s">
        <v>184</v>
      </c>
      <c r="B7" s="215"/>
      <c r="C7" s="215"/>
      <c r="D7" s="215"/>
      <c r="E7" s="215"/>
      <c r="F7" s="215"/>
      <c r="G7" s="215"/>
      <c r="H7" s="215"/>
      <c r="I7" s="215"/>
      <c r="J7" s="215"/>
      <c r="K7" s="215"/>
      <c r="L7" s="215"/>
      <c r="M7" s="215"/>
    </row>
    <row r="8" spans="1:13" ht="19.5" customHeight="1" x14ac:dyDescent="0.25">
      <c r="A8" s="96" t="s">
        <v>171</v>
      </c>
      <c r="B8" s="96" t="s">
        <v>118</v>
      </c>
      <c r="C8" s="96" t="s">
        <v>185</v>
      </c>
      <c r="D8" s="96" t="s">
        <v>111</v>
      </c>
      <c r="E8" s="96" t="s">
        <v>186</v>
      </c>
      <c r="F8" s="96" t="s">
        <v>187</v>
      </c>
      <c r="G8" s="96" t="s">
        <v>174</v>
      </c>
      <c r="H8" s="96" t="s">
        <v>32</v>
      </c>
      <c r="I8" s="78" t="s">
        <v>175</v>
      </c>
      <c r="J8" s="96" t="s">
        <v>155</v>
      </c>
      <c r="K8" s="96" t="s">
        <v>176</v>
      </c>
      <c r="L8" s="96" t="s">
        <v>177</v>
      </c>
    </row>
    <row r="9" spans="1:13" x14ac:dyDescent="0.25">
      <c r="A9" s="79"/>
      <c r="B9" s="21" t="str">
        <f>IF(A9="","",IFERROR(VLOOKUP(A9,DB_Customers!$A:$D,4,0),"❌ Account Not Found"))</f>
        <v/>
      </c>
      <c r="C9" s="80" t="str">
        <f>IF(A9="","",IFERROR(VLOOKUP(A9,DB_Customers!$A:$N,14,0),""))</f>
        <v/>
      </c>
      <c r="D9" s="81" t="str">
        <f t="shared" ref="D9:D40" ca="1" si="0">IF(A9="","",TODAY())</f>
        <v/>
      </c>
      <c r="E9" s="97"/>
      <c r="F9" s="21"/>
      <c r="G9" s="98" t="str">
        <f t="shared" ref="G9:G40" si="1">IF(OR(A9="",E9=""),"",IF(C9="","",C9-E9))</f>
        <v/>
      </c>
      <c r="H9" s="23" t="s">
        <v>44</v>
      </c>
      <c r="I9" s="84"/>
      <c r="J9" s="85" t="str">
        <f>IF(AND(A9&lt;&gt;"",E9&lt;&gt;""),IF(I9="","⚠️ Enter Code",IF(IFERROR(VLOOKUP(H9,DB_Agents!$B:$I,8,0),"")=I9,IF(C9&gt;=E9,"Successful","Unsuccessful"),"🔒 BLOCKED — Wrong Code")),"—")</f>
        <v>—</v>
      </c>
      <c r="K9" s="86" t="str">
        <f t="shared" ref="K9:K40" ca="1" si="2">IF(J9="Successful",TEXT(TODAY(),"YYYY-MM-DD")&amp;" Auto","—")</f>
        <v>—</v>
      </c>
      <c r="L9" s="87"/>
    </row>
    <row r="10" spans="1:13" x14ac:dyDescent="0.25">
      <c r="A10" s="88"/>
      <c r="B10" s="25" t="str">
        <f>IF(A10="","",IFERROR(VLOOKUP(A10,DB_Customers!$A:$D,4,0),"❌ Account Not Found"))</f>
        <v/>
      </c>
      <c r="C10" s="89" t="str">
        <f>IF(A10="","",IFERROR(VLOOKUP(A10,DB_Customers!$A:$N,14,0),""))</f>
        <v/>
      </c>
      <c r="D10" s="90" t="str">
        <f t="shared" ca="1" si="0"/>
        <v/>
      </c>
      <c r="E10" s="97"/>
      <c r="F10" s="25"/>
      <c r="G10" s="99" t="str">
        <f t="shared" si="1"/>
        <v/>
      </c>
      <c r="H10" s="27" t="s">
        <v>44</v>
      </c>
      <c r="I10" s="84"/>
      <c r="J10" s="92" t="str">
        <f>IF(AND(A10&lt;&gt;"",E10&lt;&gt;""),IF(I10="","⚠️ Enter Code",IF(IFERROR(VLOOKUP(H10,DB_Agents!$B:$I,8,0),"")=I10,IF(C10&gt;=E10,"Successful","Unsuccessful"),"🔒 BLOCKED — Wrong Code")),"—")</f>
        <v>—</v>
      </c>
      <c r="K10" s="93" t="str">
        <f t="shared" ca="1" si="2"/>
        <v>—</v>
      </c>
      <c r="L10" s="94"/>
    </row>
    <row r="11" spans="1:13" x14ac:dyDescent="0.25">
      <c r="A11" s="79"/>
      <c r="B11" s="21" t="str">
        <f>IF(A11="","",IFERROR(VLOOKUP(A11,DB_Customers!$A:$D,4,0),"❌ Account Not Found"))</f>
        <v/>
      </c>
      <c r="C11" s="80" t="str">
        <f>IF(A11="","",IFERROR(VLOOKUP(A11,DB_Customers!$A:$N,14,0),""))</f>
        <v/>
      </c>
      <c r="D11" s="81" t="str">
        <f t="shared" ca="1" si="0"/>
        <v/>
      </c>
      <c r="E11" s="97"/>
      <c r="F11" s="21"/>
      <c r="G11" s="98" t="str">
        <f t="shared" si="1"/>
        <v/>
      </c>
      <c r="H11" s="23" t="s">
        <v>44</v>
      </c>
      <c r="I11" s="84"/>
      <c r="J11" s="85" t="str">
        <f>IF(AND(A11&lt;&gt;"",E11&lt;&gt;""),IF(I11="","⚠️ Enter Code",IF(IFERROR(VLOOKUP(H11,DB_Agents!$B:$I,8,0),"")=I11,IF(C11&gt;=E11,"Successful","Unsuccessful"),"🔒 BLOCKED — Wrong Code")),"—")</f>
        <v>—</v>
      </c>
      <c r="K11" s="86" t="str">
        <f t="shared" ca="1" si="2"/>
        <v>—</v>
      </c>
      <c r="L11" s="87"/>
    </row>
    <row r="12" spans="1:13" x14ac:dyDescent="0.25">
      <c r="A12" s="88"/>
      <c r="B12" s="25" t="str">
        <f>IF(A12="","",IFERROR(VLOOKUP(A12,DB_Customers!$A:$D,4,0),"❌ Account Not Found"))</f>
        <v/>
      </c>
      <c r="C12" s="89" t="str">
        <f>IF(A12="","",IFERROR(VLOOKUP(A12,DB_Customers!$A:$N,14,0),""))</f>
        <v/>
      </c>
      <c r="D12" s="90" t="str">
        <f t="shared" ca="1" si="0"/>
        <v/>
      </c>
      <c r="E12" s="97"/>
      <c r="F12" s="25"/>
      <c r="G12" s="99" t="str">
        <f t="shared" si="1"/>
        <v/>
      </c>
      <c r="H12" s="27" t="s">
        <v>44</v>
      </c>
      <c r="I12" s="84"/>
      <c r="J12" s="92" t="str">
        <f>IF(AND(A12&lt;&gt;"",E12&lt;&gt;""),IF(I12="","⚠️ Enter Code",IF(IFERROR(VLOOKUP(H12,DB_Agents!$B:$I,8,0),"")=I12,IF(C12&gt;=E12,"Successful","Unsuccessful"),"🔒 BLOCKED — Wrong Code")),"—")</f>
        <v>—</v>
      </c>
      <c r="K12" s="93" t="str">
        <f t="shared" ca="1" si="2"/>
        <v>—</v>
      </c>
      <c r="L12" s="94"/>
    </row>
    <row r="13" spans="1:13" x14ac:dyDescent="0.25">
      <c r="A13" s="79"/>
      <c r="B13" s="21" t="str">
        <f>IF(A13="","",IFERROR(VLOOKUP(A13,DB_Customers!$A:$D,4,0),"❌ Account Not Found"))</f>
        <v/>
      </c>
      <c r="C13" s="80" t="str">
        <f>IF(A13="","",IFERROR(VLOOKUP(A13,DB_Customers!$A:$N,14,0),""))</f>
        <v/>
      </c>
      <c r="D13" s="81" t="str">
        <f t="shared" ca="1" si="0"/>
        <v/>
      </c>
      <c r="E13" s="97"/>
      <c r="F13" s="21"/>
      <c r="G13" s="98" t="str">
        <f t="shared" si="1"/>
        <v/>
      </c>
      <c r="H13" s="23" t="s">
        <v>44</v>
      </c>
      <c r="I13" s="84"/>
      <c r="J13" s="85" t="str">
        <f>IF(AND(A13&lt;&gt;"",E13&lt;&gt;""),IF(I13="","⚠️ Enter Code",IF(IFERROR(VLOOKUP(H13,DB_Agents!$B:$I,8,0),"")=I13,IF(C13&gt;=E13,"Successful","Unsuccessful"),"🔒 BLOCKED — Wrong Code")),"—")</f>
        <v>—</v>
      </c>
      <c r="K13" s="86" t="str">
        <f t="shared" ca="1" si="2"/>
        <v>—</v>
      </c>
      <c r="L13" s="87"/>
    </row>
    <row r="14" spans="1:13" x14ac:dyDescent="0.25">
      <c r="A14" s="88"/>
      <c r="B14" s="25" t="str">
        <f>IF(A14="","",IFERROR(VLOOKUP(A14,DB_Customers!$A:$D,4,0),"❌ Account Not Found"))</f>
        <v/>
      </c>
      <c r="C14" s="89" t="str">
        <f>IF(A14="","",IFERROR(VLOOKUP(A14,DB_Customers!$A:$N,14,0),""))</f>
        <v/>
      </c>
      <c r="D14" s="90" t="str">
        <f t="shared" ca="1" si="0"/>
        <v/>
      </c>
      <c r="E14" s="97"/>
      <c r="F14" s="25"/>
      <c r="G14" s="99" t="str">
        <f t="shared" si="1"/>
        <v/>
      </c>
      <c r="H14" s="27"/>
      <c r="I14" s="84"/>
      <c r="J14" s="92" t="str">
        <f>IF(AND(A14&lt;&gt;"",E14&lt;&gt;""),IF(I14="","⚠️ Enter Code",IF(IFERROR(VLOOKUP(H14,DB_Agents!$B:$I,8,0),"")=I14,IF(C14&gt;=E14,"Successful","Unsuccessful"),"🔒 BLOCKED — Wrong Code")),"—")</f>
        <v>—</v>
      </c>
      <c r="K14" s="93" t="str">
        <f t="shared" ca="1" si="2"/>
        <v>—</v>
      </c>
      <c r="L14" s="94"/>
    </row>
    <row r="15" spans="1:13" x14ac:dyDescent="0.25">
      <c r="A15" s="79"/>
      <c r="B15" s="21" t="str">
        <f>IF(A15="","",IFERROR(VLOOKUP(A15,DB_Customers!$A:$D,4,0),"❌ Account Not Found"))</f>
        <v/>
      </c>
      <c r="C15" s="80" t="str">
        <f>IF(A15="","",IFERROR(VLOOKUP(A15,DB_Customers!$A:$N,14,0),""))</f>
        <v/>
      </c>
      <c r="D15" s="81" t="str">
        <f t="shared" ca="1" si="0"/>
        <v/>
      </c>
      <c r="E15" s="97"/>
      <c r="F15" s="21"/>
      <c r="G15" s="98" t="str">
        <f t="shared" si="1"/>
        <v/>
      </c>
      <c r="H15" s="23"/>
      <c r="I15" s="84"/>
      <c r="J15" s="85" t="str">
        <f>IF(AND(A15&lt;&gt;"",E15&lt;&gt;""),IF(I15="","⚠️ Enter Code",IF(IFERROR(VLOOKUP(H15,DB_Agents!$B:$I,8,0),"")=I15,IF(C15&gt;=E15,"Successful","Unsuccessful"),"🔒 BLOCKED — Wrong Code")),"—")</f>
        <v>—</v>
      </c>
      <c r="K15" s="86" t="str">
        <f t="shared" ca="1" si="2"/>
        <v>—</v>
      </c>
      <c r="L15" s="87"/>
    </row>
    <row r="16" spans="1:13" x14ac:dyDescent="0.25">
      <c r="A16" s="88"/>
      <c r="B16" s="25" t="str">
        <f>IF(A16="","",IFERROR(VLOOKUP(A16,DB_Customers!$A:$D,4,0),"❌ Account Not Found"))</f>
        <v/>
      </c>
      <c r="C16" s="89" t="str">
        <f>IF(A16="","",IFERROR(VLOOKUP(A16,DB_Customers!$A:$N,14,0),""))</f>
        <v/>
      </c>
      <c r="D16" s="90" t="str">
        <f t="shared" ca="1" si="0"/>
        <v/>
      </c>
      <c r="E16" s="97"/>
      <c r="F16" s="25"/>
      <c r="G16" s="99" t="str">
        <f t="shared" si="1"/>
        <v/>
      </c>
      <c r="H16" s="27"/>
      <c r="I16" s="84"/>
      <c r="J16" s="92" t="str">
        <f>IF(AND(A16&lt;&gt;"",E16&lt;&gt;""),IF(I16="","⚠️ Enter Code",IF(IFERROR(VLOOKUP(H16,DB_Agents!$B:$I,8,0),"")=I16,IF(C16&gt;=E16,"Successful","Unsuccessful"),"🔒 BLOCKED — Wrong Code")),"—")</f>
        <v>—</v>
      </c>
      <c r="K16" s="93" t="str">
        <f t="shared" ca="1" si="2"/>
        <v>—</v>
      </c>
      <c r="L16" s="94"/>
    </row>
    <row r="17" spans="1:12" x14ac:dyDescent="0.25">
      <c r="A17" s="79"/>
      <c r="B17" s="21" t="str">
        <f>IF(A17="","",IFERROR(VLOOKUP(A17,DB_Customers!$A:$D,4,0),"❌ Account Not Found"))</f>
        <v/>
      </c>
      <c r="C17" s="80" t="str">
        <f>IF(A17="","",IFERROR(VLOOKUP(A17,DB_Customers!$A:$N,14,0),""))</f>
        <v/>
      </c>
      <c r="D17" s="81" t="str">
        <f t="shared" ca="1" si="0"/>
        <v/>
      </c>
      <c r="E17" s="97"/>
      <c r="F17" s="21"/>
      <c r="G17" s="98" t="str">
        <f t="shared" si="1"/>
        <v/>
      </c>
      <c r="H17" s="23"/>
      <c r="I17" s="84"/>
      <c r="J17" s="85" t="str">
        <f>IF(AND(A17&lt;&gt;"",E17&lt;&gt;""),IF(I17="","⚠️ Enter Code",IF(IFERROR(VLOOKUP(H17,DB_Agents!$B:$I,8,0),"")=I17,IF(C17&gt;=E17,"Successful","Unsuccessful"),"🔒 BLOCKED — Wrong Code")),"—")</f>
        <v>—</v>
      </c>
      <c r="K17" s="86" t="str">
        <f t="shared" ca="1" si="2"/>
        <v>—</v>
      </c>
      <c r="L17" s="87"/>
    </row>
    <row r="18" spans="1:12" x14ac:dyDescent="0.25">
      <c r="A18" s="88"/>
      <c r="B18" s="25" t="str">
        <f>IF(A18="","",IFERROR(VLOOKUP(A18,DB_Customers!$A:$D,4,0),"❌ Account Not Found"))</f>
        <v/>
      </c>
      <c r="C18" s="89" t="str">
        <f>IF(A18="","",IFERROR(VLOOKUP(A18,DB_Customers!$A:$N,14,0),""))</f>
        <v/>
      </c>
      <c r="D18" s="90" t="str">
        <f t="shared" ca="1" si="0"/>
        <v/>
      </c>
      <c r="E18" s="97"/>
      <c r="F18" s="25"/>
      <c r="G18" s="99" t="str">
        <f t="shared" si="1"/>
        <v/>
      </c>
      <c r="H18" s="27"/>
      <c r="I18" s="84"/>
      <c r="J18" s="92" t="str">
        <f>IF(AND(A18&lt;&gt;"",E18&lt;&gt;""),IF(I18="","⚠️ Enter Code",IF(IFERROR(VLOOKUP(H18,DB_Agents!$B:$I,8,0),"")=I18,IF(C18&gt;=E18,"Successful","Unsuccessful"),"🔒 BLOCKED — Wrong Code")),"—")</f>
        <v>—</v>
      </c>
      <c r="K18" s="93" t="str">
        <f t="shared" ca="1" si="2"/>
        <v>—</v>
      </c>
      <c r="L18" s="94"/>
    </row>
    <row r="19" spans="1:12" x14ac:dyDescent="0.25">
      <c r="A19" s="79"/>
      <c r="B19" s="21" t="str">
        <f>IF(A19="","",IFERROR(VLOOKUP(A19,DB_Customers!$A:$D,4,0),"❌ Account Not Found"))</f>
        <v/>
      </c>
      <c r="C19" s="80" t="str">
        <f>IF(A19="","",IFERROR(VLOOKUP(A19,DB_Customers!$A:$N,14,0),""))</f>
        <v/>
      </c>
      <c r="D19" s="81" t="str">
        <f t="shared" ca="1" si="0"/>
        <v/>
      </c>
      <c r="E19" s="97"/>
      <c r="F19" s="21"/>
      <c r="G19" s="98" t="str">
        <f t="shared" si="1"/>
        <v/>
      </c>
      <c r="H19" s="23"/>
      <c r="I19" s="84"/>
      <c r="J19" s="85" t="str">
        <f>IF(AND(A19&lt;&gt;"",E19&lt;&gt;""),IF(I19="","⚠️ Enter Code",IF(IFERROR(VLOOKUP(H19,DB_Agents!$B:$I,8,0),"")=I19,IF(C19&gt;=E19,"Successful","Unsuccessful"),"🔒 BLOCKED — Wrong Code")),"—")</f>
        <v>—</v>
      </c>
      <c r="K19" s="86" t="str">
        <f t="shared" ca="1" si="2"/>
        <v>—</v>
      </c>
      <c r="L19" s="87"/>
    </row>
    <row r="20" spans="1:12" x14ac:dyDescent="0.25">
      <c r="A20" s="88"/>
      <c r="B20" s="25" t="str">
        <f>IF(A20="","",IFERROR(VLOOKUP(A20,DB_Customers!$A:$D,4,0),"❌ Account Not Found"))</f>
        <v/>
      </c>
      <c r="C20" s="89" t="str">
        <f>IF(A20="","",IFERROR(VLOOKUP(A20,DB_Customers!$A:$N,14,0),""))</f>
        <v/>
      </c>
      <c r="D20" s="90" t="str">
        <f t="shared" ca="1" si="0"/>
        <v/>
      </c>
      <c r="E20" s="97"/>
      <c r="F20" s="25"/>
      <c r="G20" s="99" t="str">
        <f t="shared" si="1"/>
        <v/>
      </c>
      <c r="H20" s="27"/>
      <c r="I20" s="84"/>
      <c r="J20" s="92" t="str">
        <f>IF(AND(A20&lt;&gt;"",E20&lt;&gt;""),IF(I20="","⚠️ Enter Code",IF(IFERROR(VLOOKUP(H20,DB_Agents!$B:$I,8,0),"")=I20,IF(C20&gt;=E20,"Successful","Unsuccessful"),"🔒 BLOCKED — Wrong Code")),"—")</f>
        <v>—</v>
      </c>
      <c r="K20" s="93" t="str">
        <f t="shared" ca="1" si="2"/>
        <v>—</v>
      </c>
      <c r="L20" s="94"/>
    </row>
    <row r="21" spans="1:12" x14ac:dyDescent="0.25">
      <c r="A21" s="79"/>
      <c r="B21" s="21" t="str">
        <f>IF(A21="","",IFERROR(VLOOKUP(A21,DB_Customers!$A:$D,4,0),"❌ Account Not Found"))</f>
        <v/>
      </c>
      <c r="C21" s="80" t="str">
        <f>IF(A21="","",IFERROR(VLOOKUP(A21,DB_Customers!$A:$N,14,0),""))</f>
        <v/>
      </c>
      <c r="D21" s="81" t="str">
        <f t="shared" ca="1" si="0"/>
        <v/>
      </c>
      <c r="E21" s="97"/>
      <c r="F21" s="21"/>
      <c r="G21" s="98" t="str">
        <f t="shared" si="1"/>
        <v/>
      </c>
      <c r="H21" s="23"/>
      <c r="I21" s="84"/>
      <c r="J21" s="85" t="str">
        <f>IF(AND(A21&lt;&gt;"",E21&lt;&gt;""),IF(I21="","⚠️ Enter Code",IF(IFERROR(VLOOKUP(H21,DB_Agents!$B:$I,8,0),"")=I21,IF(C21&gt;=E21,"Successful","Unsuccessful"),"🔒 BLOCKED — Wrong Code")),"—")</f>
        <v>—</v>
      </c>
      <c r="K21" s="86" t="str">
        <f t="shared" ca="1" si="2"/>
        <v>—</v>
      </c>
      <c r="L21" s="87"/>
    </row>
    <row r="22" spans="1:12" x14ac:dyDescent="0.25">
      <c r="A22" s="88"/>
      <c r="B22" s="25" t="str">
        <f>IF(A22="","",IFERROR(VLOOKUP(A22,DB_Customers!$A:$D,4,0),"❌ Account Not Found"))</f>
        <v/>
      </c>
      <c r="C22" s="89" t="str">
        <f>IF(A22="","",IFERROR(VLOOKUP(A22,DB_Customers!$A:$N,14,0),""))</f>
        <v/>
      </c>
      <c r="D22" s="90" t="str">
        <f t="shared" ca="1" si="0"/>
        <v/>
      </c>
      <c r="E22" s="97"/>
      <c r="F22" s="25"/>
      <c r="G22" s="99" t="str">
        <f t="shared" si="1"/>
        <v/>
      </c>
      <c r="H22" s="27"/>
      <c r="I22" s="84"/>
      <c r="J22" s="92" t="str">
        <f>IF(AND(A22&lt;&gt;"",E22&lt;&gt;""),IF(I22="","⚠️ Enter Code",IF(IFERROR(VLOOKUP(H22,DB_Agents!$B:$I,8,0),"")=I22,IF(C22&gt;=E22,"Successful","Unsuccessful"),"🔒 BLOCKED — Wrong Code")),"—")</f>
        <v>—</v>
      </c>
      <c r="K22" s="93" t="str">
        <f t="shared" ca="1" si="2"/>
        <v>—</v>
      </c>
      <c r="L22" s="94"/>
    </row>
    <row r="23" spans="1:12" x14ac:dyDescent="0.25">
      <c r="A23" s="79"/>
      <c r="B23" s="21" t="str">
        <f>IF(A23="","",IFERROR(VLOOKUP(A23,DB_Customers!$A:$D,4,0),"❌ Account Not Found"))</f>
        <v/>
      </c>
      <c r="C23" s="80" t="str">
        <f>IF(A23="","",IFERROR(VLOOKUP(A23,DB_Customers!$A:$N,14,0),""))</f>
        <v/>
      </c>
      <c r="D23" s="81" t="str">
        <f t="shared" ca="1" si="0"/>
        <v/>
      </c>
      <c r="E23" s="97"/>
      <c r="F23" s="21"/>
      <c r="G23" s="98" t="str">
        <f t="shared" si="1"/>
        <v/>
      </c>
      <c r="H23" s="23"/>
      <c r="I23" s="84"/>
      <c r="J23" s="85" t="str">
        <f>IF(AND(A23&lt;&gt;"",E23&lt;&gt;""),IF(I23="","⚠️ Enter Code",IF(IFERROR(VLOOKUP(H23,DB_Agents!$B:$I,8,0),"")=I23,IF(C23&gt;=E23,"Successful","Unsuccessful"),"🔒 BLOCKED — Wrong Code")),"—")</f>
        <v>—</v>
      </c>
      <c r="K23" s="86" t="str">
        <f t="shared" ca="1" si="2"/>
        <v>—</v>
      </c>
      <c r="L23" s="87"/>
    </row>
    <row r="24" spans="1:12" x14ac:dyDescent="0.25">
      <c r="A24" s="88"/>
      <c r="B24" s="25" t="str">
        <f>IF(A24="","",IFERROR(VLOOKUP(A24,DB_Customers!$A:$D,4,0),"❌ Account Not Found"))</f>
        <v/>
      </c>
      <c r="C24" s="89" t="str">
        <f>IF(A24="","",IFERROR(VLOOKUP(A24,DB_Customers!$A:$N,14,0),""))</f>
        <v/>
      </c>
      <c r="D24" s="90" t="str">
        <f t="shared" ca="1" si="0"/>
        <v/>
      </c>
      <c r="E24" s="97"/>
      <c r="F24" s="25"/>
      <c r="G24" s="99" t="str">
        <f t="shared" si="1"/>
        <v/>
      </c>
      <c r="H24" s="27"/>
      <c r="I24" s="84"/>
      <c r="J24" s="92" t="str">
        <f>IF(AND(A24&lt;&gt;"",E24&lt;&gt;""),IF(I24="","⚠️ Enter Code",IF(IFERROR(VLOOKUP(H24,DB_Agents!$B:$I,8,0),"")=I24,IF(C24&gt;=E24,"Successful","Unsuccessful"),"🔒 BLOCKED — Wrong Code")),"—")</f>
        <v>—</v>
      </c>
      <c r="K24" s="93" t="str">
        <f t="shared" ca="1" si="2"/>
        <v>—</v>
      </c>
      <c r="L24" s="94"/>
    </row>
    <row r="25" spans="1:12" x14ac:dyDescent="0.25">
      <c r="A25" s="79"/>
      <c r="B25" s="21" t="str">
        <f>IF(A25="","",IFERROR(VLOOKUP(A25,DB_Customers!$A:$D,4,0),"❌ Account Not Found"))</f>
        <v/>
      </c>
      <c r="C25" s="80" t="str">
        <f>IF(A25="","",IFERROR(VLOOKUP(A25,DB_Customers!$A:$N,14,0),""))</f>
        <v/>
      </c>
      <c r="D25" s="81" t="str">
        <f t="shared" ca="1" si="0"/>
        <v/>
      </c>
      <c r="E25" s="97"/>
      <c r="F25" s="21"/>
      <c r="G25" s="98" t="str">
        <f t="shared" si="1"/>
        <v/>
      </c>
      <c r="H25" s="23"/>
      <c r="I25" s="84"/>
      <c r="J25" s="85" t="str">
        <f>IF(AND(A25&lt;&gt;"",E25&lt;&gt;""),IF(I25="","⚠️ Enter Code",IF(IFERROR(VLOOKUP(H25,DB_Agents!$B:$I,8,0),"")=I25,IF(C25&gt;=E25,"Successful","Unsuccessful"),"🔒 BLOCKED — Wrong Code")),"—")</f>
        <v>—</v>
      </c>
      <c r="K25" s="86" t="str">
        <f t="shared" ca="1" si="2"/>
        <v>—</v>
      </c>
      <c r="L25" s="87"/>
    </row>
    <row r="26" spans="1:12" x14ac:dyDescent="0.25">
      <c r="A26" s="88"/>
      <c r="B26" s="25" t="str">
        <f>IF(A26="","",IFERROR(VLOOKUP(A26,DB_Customers!$A:$D,4,0),"❌ Account Not Found"))</f>
        <v/>
      </c>
      <c r="C26" s="89" t="str">
        <f>IF(A26="","",IFERROR(VLOOKUP(A26,DB_Customers!$A:$N,14,0),""))</f>
        <v/>
      </c>
      <c r="D26" s="90" t="str">
        <f t="shared" ca="1" si="0"/>
        <v/>
      </c>
      <c r="E26" s="97"/>
      <c r="F26" s="25"/>
      <c r="G26" s="99" t="str">
        <f t="shared" si="1"/>
        <v/>
      </c>
      <c r="H26" s="27"/>
      <c r="I26" s="84"/>
      <c r="J26" s="92" t="str">
        <f>IF(AND(A26&lt;&gt;"",E26&lt;&gt;""),IF(I26="","⚠️ Enter Code",IF(IFERROR(VLOOKUP(H26,DB_Agents!$B:$I,8,0),"")=I26,IF(C26&gt;=E26,"Successful","Unsuccessful"),"🔒 BLOCKED — Wrong Code")),"—")</f>
        <v>—</v>
      </c>
      <c r="K26" s="93" t="str">
        <f t="shared" ca="1" si="2"/>
        <v>—</v>
      </c>
      <c r="L26" s="94"/>
    </row>
    <row r="27" spans="1:12" x14ac:dyDescent="0.25">
      <c r="A27" s="79"/>
      <c r="B27" s="21" t="str">
        <f>IF(A27="","",IFERROR(VLOOKUP(A27,DB_Customers!$A:$D,4,0),"❌ Account Not Found"))</f>
        <v/>
      </c>
      <c r="C27" s="80" t="str">
        <f>IF(A27="","",IFERROR(VLOOKUP(A27,DB_Customers!$A:$N,14,0),""))</f>
        <v/>
      </c>
      <c r="D27" s="81" t="str">
        <f t="shared" ca="1" si="0"/>
        <v/>
      </c>
      <c r="E27" s="97"/>
      <c r="F27" s="21"/>
      <c r="G27" s="98" t="str">
        <f t="shared" si="1"/>
        <v/>
      </c>
      <c r="H27" s="23"/>
      <c r="I27" s="84"/>
      <c r="J27" s="85" t="str">
        <f>IF(AND(A27&lt;&gt;"",E27&lt;&gt;""),IF(I27="","⚠️ Enter Code",IF(IFERROR(VLOOKUP(H27,DB_Agents!$B:$I,8,0),"")=I27,IF(C27&gt;=E27,"Successful","Unsuccessful"),"🔒 BLOCKED — Wrong Code")),"—")</f>
        <v>—</v>
      </c>
      <c r="K27" s="86" t="str">
        <f t="shared" ca="1" si="2"/>
        <v>—</v>
      </c>
      <c r="L27" s="87"/>
    </row>
    <row r="28" spans="1:12" x14ac:dyDescent="0.25">
      <c r="A28" s="88"/>
      <c r="B28" s="25" t="str">
        <f>IF(A28="","",IFERROR(VLOOKUP(A28,DB_Customers!$A:$D,4,0),"❌ Account Not Found"))</f>
        <v/>
      </c>
      <c r="C28" s="89" t="str">
        <f>IF(A28="","",IFERROR(VLOOKUP(A28,DB_Customers!$A:$N,14,0),""))</f>
        <v/>
      </c>
      <c r="D28" s="90" t="str">
        <f t="shared" ca="1" si="0"/>
        <v/>
      </c>
      <c r="E28" s="97"/>
      <c r="F28" s="25"/>
      <c r="G28" s="99" t="str">
        <f t="shared" si="1"/>
        <v/>
      </c>
      <c r="H28" s="27"/>
      <c r="I28" s="84"/>
      <c r="J28" s="92" t="str">
        <f>IF(AND(A28&lt;&gt;"",E28&lt;&gt;""),IF(I28="","⚠️ Enter Code",IF(IFERROR(VLOOKUP(H28,DB_Agents!$B:$I,8,0),"")=I28,IF(C28&gt;=E28,"Successful","Unsuccessful"),"🔒 BLOCKED — Wrong Code")),"—")</f>
        <v>—</v>
      </c>
      <c r="K28" s="93" t="str">
        <f t="shared" ca="1" si="2"/>
        <v>—</v>
      </c>
      <c r="L28" s="94"/>
    </row>
    <row r="29" spans="1:12" x14ac:dyDescent="0.25">
      <c r="A29" s="79"/>
      <c r="B29" s="21" t="str">
        <f>IF(A29="","",IFERROR(VLOOKUP(A29,DB_Customers!$A:$D,4,0),"❌ Account Not Found"))</f>
        <v/>
      </c>
      <c r="C29" s="80" t="str">
        <f>IF(A29="","",IFERROR(VLOOKUP(A29,DB_Customers!$A:$N,14,0),""))</f>
        <v/>
      </c>
      <c r="D29" s="81" t="str">
        <f t="shared" ca="1" si="0"/>
        <v/>
      </c>
      <c r="E29" s="97"/>
      <c r="F29" s="21"/>
      <c r="G29" s="98" t="str">
        <f t="shared" si="1"/>
        <v/>
      </c>
      <c r="H29" s="23"/>
      <c r="I29" s="84"/>
      <c r="J29" s="85" t="str">
        <f>IF(AND(A29&lt;&gt;"",E29&lt;&gt;""),IF(I29="","⚠️ Enter Code",IF(IFERROR(VLOOKUP(H29,DB_Agents!$B:$I,8,0),"")=I29,IF(C29&gt;=E29,"Successful","Unsuccessful"),"🔒 BLOCKED — Wrong Code")),"—")</f>
        <v>—</v>
      </c>
      <c r="K29" s="86" t="str">
        <f t="shared" ca="1" si="2"/>
        <v>—</v>
      </c>
      <c r="L29" s="87"/>
    </row>
    <row r="30" spans="1:12" x14ac:dyDescent="0.25">
      <c r="A30" s="88"/>
      <c r="B30" s="25" t="str">
        <f>IF(A30="","",IFERROR(VLOOKUP(A30,DB_Customers!$A:$D,4,0),"❌ Account Not Found"))</f>
        <v/>
      </c>
      <c r="C30" s="89" t="str">
        <f>IF(A30="","",IFERROR(VLOOKUP(A30,DB_Customers!$A:$N,14,0),""))</f>
        <v/>
      </c>
      <c r="D30" s="90" t="str">
        <f t="shared" ca="1" si="0"/>
        <v/>
      </c>
      <c r="E30" s="97"/>
      <c r="F30" s="25"/>
      <c r="G30" s="99" t="str">
        <f t="shared" si="1"/>
        <v/>
      </c>
      <c r="H30" s="27"/>
      <c r="I30" s="84"/>
      <c r="J30" s="92" t="str">
        <f>IF(AND(A30&lt;&gt;"",E30&lt;&gt;""),IF(I30="","⚠️ Enter Code",IF(IFERROR(VLOOKUP(H30,DB_Agents!$B:$I,8,0),"")=I30,IF(C30&gt;=E30,"Successful","Unsuccessful"),"🔒 BLOCKED — Wrong Code")),"—")</f>
        <v>—</v>
      </c>
      <c r="K30" s="93" t="str">
        <f t="shared" ca="1" si="2"/>
        <v>—</v>
      </c>
      <c r="L30" s="94"/>
    </row>
    <row r="31" spans="1:12" x14ac:dyDescent="0.25">
      <c r="A31" s="79"/>
      <c r="B31" s="21" t="str">
        <f>IF(A31="","",IFERROR(VLOOKUP(A31,DB_Customers!$A:$D,4,0),"❌ Account Not Found"))</f>
        <v/>
      </c>
      <c r="C31" s="80" t="str">
        <f>IF(A31="","",IFERROR(VLOOKUP(A31,DB_Customers!$A:$N,14,0),""))</f>
        <v/>
      </c>
      <c r="D31" s="81" t="str">
        <f t="shared" ca="1" si="0"/>
        <v/>
      </c>
      <c r="E31" s="97"/>
      <c r="F31" s="21"/>
      <c r="G31" s="98" t="str">
        <f t="shared" si="1"/>
        <v/>
      </c>
      <c r="H31" s="23"/>
      <c r="I31" s="84"/>
      <c r="J31" s="85" t="str">
        <f>IF(AND(A31&lt;&gt;"",E31&lt;&gt;""),IF(I31="","⚠️ Enter Code",IF(IFERROR(VLOOKUP(H31,DB_Agents!$B:$I,8,0),"")=I31,IF(C31&gt;=E31,"Successful","Unsuccessful"),"🔒 BLOCKED — Wrong Code")),"—")</f>
        <v>—</v>
      </c>
      <c r="K31" s="86" t="str">
        <f t="shared" ca="1" si="2"/>
        <v>—</v>
      </c>
      <c r="L31" s="87"/>
    </row>
    <row r="32" spans="1:12" x14ac:dyDescent="0.25">
      <c r="A32" s="88"/>
      <c r="B32" s="25" t="str">
        <f>IF(A32="","",IFERROR(VLOOKUP(A32,DB_Customers!$A:$D,4,0),"❌ Account Not Found"))</f>
        <v/>
      </c>
      <c r="C32" s="89" t="str">
        <f>IF(A32="","",IFERROR(VLOOKUP(A32,DB_Customers!$A:$N,14,0),""))</f>
        <v/>
      </c>
      <c r="D32" s="90" t="str">
        <f t="shared" ca="1" si="0"/>
        <v/>
      </c>
      <c r="E32" s="97"/>
      <c r="F32" s="25"/>
      <c r="G32" s="99" t="str">
        <f t="shared" si="1"/>
        <v/>
      </c>
      <c r="H32" s="27"/>
      <c r="I32" s="84"/>
      <c r="J32" s="92" t="str">
        <f>IF(AND(A32&lt;&gt;"",E32&lt;&gt;""),IF(I32="","⚠️ Enter Code",IF(IFERROR(VLOOKUP(H32,DB_Agents!$B:$I,8,0),"")=I32,IF(C32&gt;=E32,"Successful","Unsuccessful"),"🔒 BLOCKED — Wrong Code")),"—")</f>
        <v>—</v>
      </c>
      <c r="K32" s="93" t="str">
        <f t="shared" ca="1" si="2"/>
        <v>—</v>
      </c>
      <c r="L32" s="94"/>
    </row>
    <row r="33" spans="1:12" x14ac:dyDescent="0.25">
      <c r="A33" s="79"/>
      <c r="B33" s="21" t="str">
        <f>IF(A33="","",IFERROR(VLOOKUP(A33,DB_Customers!$A:$D,4,0),"❌ Account Not Found"))</f>
        <v/>
      </c>
      <c r="C33" s="80" t="str">
        <f>IF(A33="","",IFERROR(VLOOKUP(A33,DB_Customers!$A:$N,14,0),""))</f>
        <v/>
      </c>
      <c r="D33" s="81" t="str">
        <f t="shared" ca="1" si="0"/>
        <v/>
      </c>
      <c r="E33" s="97"/>
      <c r="F33" s="21"/>
      <c r="G33" s="98" t="str">
        <f t="shared" si="1"/>
        <v/>
      </c>
      <c r="H33" s="23"/>
      <c r="I33" s="84"/>
      <c r="J33" s="85" t="str">
        <f>IF(AND(A33&lt;&gt;"",E33&lt;&gt;""),IF(I33="","⚠️ Enter Code",IF(IFERROR(VLOOKUP(H33,DB_Agents!$B:$I,8,0),"")=I33,IF(C33&gt;=E33,"Successful","Unsuccessful"),"🔒 BLOCKED — Wrong Code")),"—")</f>
        <v>—</v>
      </c>
      <c r="K33" s="86" t="str">
        <f t="shared" ca="1" si="2"/>
        <v>—</v>
      </c>
      <c r="L33" s="87"/>
    </row>
    <row r="34" spans="1:12" x14ac:dyDescent="0.25">
      <c r="A34" s="88"/>
      <c r="B34" s="25" t="str">
        <f>IF(A34="","",IFERROR(VLOOKUP(A34,DB_Customers!$A:$D,4,0),"❌ Account Not Found"))</f>
        <v/>
      </c>
      <c r="C34" s="89" t="str">
        <f>IF(A34="","",IFERROR(VLOOKUP(A34,DB_Customers!$A:$N,14,0),""))</f>
        <v/>
      </c>
      <c r="D34" s="90" t="str">
        <f t="shared" ca="1" si="0"/>
        <v/>
      </c>
      <c r="E34" s="97"/>
      <c r="F34" s="25"/>
      <c r="G34" s="99" t="str">
        <f t="shared" si="1"/>
        <v/>
      </c>
      <c r="H34" s="27"/>
      <c r="I34" s="84"/>
      <c r="J34" s="92" t="str">
        <f>IF(AND(A34&lt;&gt;"",E34&lt;&gt;""),IF(I34="","⚠️ Enter Code",IF(IFERROR(VLOOKUP(H34,DB_Agents!$B:$I,8,0),"")=I34,IF(C34&gt;=E34,"Successful","Unsuccessful"),"🔒 BLOCKED — Wrong Code")),"—")</f>
        <v>—</v>
      </c>
      <c r="K34" s="93" t="str">
        <f t="shared" ca="1" si="2"/>
        <v>—</v>
      </c>
      <c r="L34" s="94"/>
    </row>
    <row r="35" spans="1:12" x14ac:dyDescent="0.25">
      <c r="A35" s="79"/>
      <c r="B35" s="21" t="str">
        <f>IF(A35="","",IFERROR(VLOOKUP(A35,DB_Customers!$A:$D,4,0),"❌ Account Not Found"))</f>
        <v/>
      </c>
      <c r="C35" s="80" t="str">
        <f>IF(A35="","",IFERROR(VLOOKUP(A35,DB_Customers!$A:$N,14,0),""))</f>
        <v/>
      </c>
      <c r="D35" s="81" t="str">
        <f t="shared" ca="1" si="0"/>
        <v/>
      </c>
      <c r="E35" s="97"/>
      <c r="F35" s="21"/>
      <c r="G35" s="98" t="str">
        <f t="shared" si="1"/>
        <v/>
      </c>
      <c r="H35" s="23"/>
      <c r="I35" s="84"/>
      <c r="J35" s="85" t="str">
        <f>IF(AND(A35&lt;&gt;"",E35&lt;&gt;""),IF(I35="","⚠️ Enter Code",IF(IFERROR(VLOOKUP(H35,DB_Agents!$B:$I,8,0),"")=I35,IF(C35&gt;=E35,"Successful","Unsuccessful"),"🔒 BLOCKED — Wrong Code")),"—")</f>
        <v>—</v>
      </c>
      <c r="K35" s="86" t="str">
        <f t="shared" ca="1" si="2"/>
        <v>—</v>
      </c>
      <c r="L35" s="87"/>
    </row>
    <row r="36" spans="1:12" x14ac:dyDescent="0.25">
      <c r="A36" s="88"/>
      <c r="B36" s="25" t="str">
        <f>IF(A36="","",IFERROR(VLOOKUP(A36,DB_Customers!$A:$D,4,0),"❌ Account Not Found"))</f>
        <v/>
      </c>
      <c r="C36" s="89" t="str">
        <f>IF(A36="","",IFERROR(VLOOKUP(A36,DB_Customers!$A:$N,14,0),""))</f>
        <v/>
      </c>
      <c r="D36" s="90" t="str">
        <f t="shared" ca="1" si="0"/>
        <v/>
      </c>
      <c r="E36" s="97"/>
      <c r="F36" s="25"/>
      <c r="G36" s="99" t="str">
        <f t="shared" si="1"/>
        <v/>
      </c>
      <c r="H36" s="27"/>
      <c r="I36" s="84"/>
      <c r="J36" s="92" t="str">
        <f>IF(AND(A36&lt;&gt;"",E36&lt;&gt;""),IF(I36="","⚠️ Enter Code",IF(IFERROR(VLOOKUP(H36,DB_Agents!$B:$I,8,0),"")=I36,IF(C36&gt;=E36,"Successful","Unsuccessful"),"🔒 BLOCKED — Wrong Code")),"—")</f>
        <v>—</v>
      </c>
      <c r="K36" s="93" t="str">
        <f t="shared" ca="1" si="2"/>
        <v>—</v>
      </c>
      <c r="L36" s="94"/>
    </row>
    <row r="37" spans="1:12" x14ac:dyDescent="0.25">
      <c r="A37" s="79"/>
      <c r="B37" s="21" t="str">
        <f>IF(A37="","",IFERROR(VLOOKUP(A37,DB_Customers!$A:$D,4,0),"❌ Account Not Found"))</f>
        <v/>
      </c>
      <c r="C37" s="80" t="str">
        <f>IF(A37="","",IFERROR(VLOOKUP(A37,DB_Customers!$A:$N,14,0),""))</f>
        <v/>
      </c>
      <c r="D37" s="81" t="str">
        <f t="shared" ca="1" si="0"/>
        <v/>
      </c>
      <c r="E37" s="97"/>
      <c r="F37" s="21"/>
      <c r="G37" s="98" t="str">
        <f t="shared" si="1"/>
        <v/>
      </c>
      <c r="H37" s="23"/>
      <c r="I37" s="84"/>
      <c r="J37" s="85" t="str">
        <f>IF(AND(A37&lt;&gt;"",E37&lt;&gt;""),IF(I37="","⚠️ Enter Code",IF(IFERROR(VLOOKUP(H37,DB_Agents!$B:$I,8,0),"")=I37,IF(C37&gt;=E37,"Successful","Unsuccessful"),"🔒 BLOCKED — Wrong Code")),"—")</f>
        <v>—</v>
      </c>
      <c r="K37" s="86" t="str">
        <f t="shared" ca="1" si="2"/>
        <v>—</v>
      </c>
      <c r="L37" s="87"/>
    </row>
    <row r="38" spans="1:12" x14ac:dyDescent="0.25">
      <c r="A38" s="88"/>
      <c r="B38" s="25" t="str">
        <f>IF(A38="","",IFERROR(VLOOKUP(A38,DB_Customers!$A:$D,4,0),"❌ Account Not Found"))</f>
        <v/>
      </c>
      <c r="C38" s="89" t="str">
        <f>IF(A38="","",IFERROR(VLOOKUP(A38,DB_Customers!$A:$N,14,0),""))</f>
        <v/>
      </c>
      <c r="D38" s="90" t="str">
        <f t="shared" ca="1" si="0"/>
        <v/>
      </c>
      <c r="E38" s="97"/>
      <c r="F38" s="25"/>
      <c r="G38" s="99" t="str">
        <f t="shared" si="1"/>
        <v/>
      </c>
      <c r="H38" s="27"/>
      <c r="I38" s="84"/>
      <c r="J38" s="92" t="str">
        <f>IF(AND(A38&lt;&gt;"",E38&lt;&gt;""),IF(I38="","⚠️ Enter Code",IF(IFERROR(VLOOKUP(H38,DB_Agents!$B:$I,8,0),"")=I38,IF(C38&gt;=E38,"Successful","Unsuccessful"),"🔒 BLOCKED — Wrong Code")),"—")</f>
        <v>—</v>
      </c>
      <c r="K38" s="93" t="str">
        <f t="shared" ca="1" si="2"/>
        <v>—</v>
      </c>
      <c r="L38" s="94"/>
    </row>
    <row r="39" spans="1:12" x14ac:dyDescent="0.25">
      <c r="A39" s="79"/>
      <c r="B39" s="21" t="str">
        <f>IF(A39="","",IFERROR(VLOOKUP(A39,DB_Customers!$A:$D,4,0),"❌ Account Not Found"))</f>
        <v/>
      </c>
      <c r="C39" s="80" t="str">
        <f>IF(A39="","",IFERROR(VLOOKUP(A39,DB_Customers!$A:$N,14,0),""))</f>
        <v/>
      </c>
      <c r="D39" s="81" t="str">
        <f t="shared" ca="1" si="0"/>
        <v/>
      </c>
      <c r="E39" s="97"/>
      <c r="F39" s="21"/>
      <c r="G39" s="98" t="str">
        <f t="shared" si="1"/>
        <v/>
      </c>
      <c r="H39" s="23"/>
      <c r="I39" s="84"/>
      <c r="J39" s="85" t="str">
        <f>IF(AND(A39&lt;&gt;"",E39&lt;&gt;""),IF(I39="","⚠️ Enter Code",IF(IFERROR(VLOOKUP(H39,DB_Agents!$B:$I,8,0),"")=I39,IF(C39&gt;=E39,"Successful","Unsuccessful"),"🔒 BLOCKED — Wrong Code")),"—")</f>
        <v>—</v>
      </c>
      <c r="K39" s="86" t="str">
        <f t="shared" ca="1" si="2"/>
        <v>—</v>
      </c>
      <c r="L39" s="87"/>
    </row>
    <row r="40" spans="1:12" x14ac:dyDescent="0.25">
      <c r="A40" s="88"/>
      <c r="B40" s="25" t="str">
        <f>IF(A40="","",IFERROR(VLOOKUP(A40,DB_Customers!$A:$D,4,0),"❌ Account Not Found"))</f>
        <v/>
      </c>
      <c r="C40" s="89" t="str">
        <f>IF(A40="","",IFERROR(VLOOKUP(A40,DB_Customers!$A:$N,14,0),""))</f>
        <v/>
      </c>
      <c r="D40" s="90" t="str">
        <f t="shared" ca="1" si="0"/>
        <v/>
      </c>
      <c r="E40" s="97"/>
      <c r="F40" s="25"/>
      <c r="G40" s="99" t="str">
        <f t="shared" si="1"/>
        <v/>
      </c>
      <c r="H40" s="27"/>
      <c r="I40" s="84"/>
      <c r="J40" s="92" t="str">
        <f>IF(AND(A40&lt;&gt;"",E40&lt;&gt;""),IF(I40="","⚠️ Enter Code",IF(IFERROR(VLOOKUP(H40,DB_Agents!$B:$I,8,0),"")=I40,IF(C40&gt;=E40,"Successful","Unsuccessful"),"🔒 BLOCKED — Wrong Code")),"—")</f>
        <v>—</v>
      </c>
      <c r="K40" s="93" t="str">
        <f t="shared" ca="1" si="2"/>
        <v>—</v>
      </c>
      <c r="L40" s="94"/>
    </row>
    <row r="41" spans="1:12" x14ac:dyDescent="0.25">
      <c r="A41" s="79"/>
      <c r="B41" s="21" t="str">
        <f>IF(A41="","",IFERROR(VLOOKUP(A41,DB_Customers!$A:$D,4,0),"❌ Account Not Found"))</f>
        <v/>
      </c>
      <c r="C41" s="80" t="str">
        <f>IF(A41="","",IFERROR(VLOOKUP(A41,DB_Customers!$A:$N,14,0),""))</f>
        <v/>
      </c>
      <c r="D41" s="81" t="str">
        <f t="shared" ref="D41:D72" ca="1" si="3">IF(A41="","",TODAY())</f>
        <v/>
      </c>
      <c r="E41" s="97"/>
      <c r="F41" s="21"/>
      <c r="G41" s="98" t="str">
        <f t="shared" ref="G41:G72" si="4">IF(OR(A41="",E41=""),"",IF(C41="","",C41-E41))</f>
        <v/>
      </c>
      <c r="H41" s="23"/>
      <c r="I41" s="84"/>
      <c r="J41" s="85" t="str">
        <f>IF(AND(A41&lt;&gt;"",E41&lt;&gt;""),IF(I41="","⚠️ Enter Code",IF(IFERROR(VLOOKUP(H41,DB_Agents!$B:$I,8,0),"")=I41,IF(C41&gt;=E41,"Successful","Unsuccessful"),"🔒 BLOCKED — Wrong Code")),"—")</f>
        <v>—</v>
      </c>
      <c r="K41" s="86" t="str">
        <f t="shared" ref="K41:K72" ca="1" si="5">IF(J41="Successful",TEXT(TODAY(),"YYYY-MM-DD")&amp;" Auto","—")</f>
        <v>—</v>
      </c>
      <c r="L41" s="87"/>
    </row>
    <row r="42" spans="1:12" x14ac:dyDescent="0.25">
      <c r="A42" s="88"/>
      <c r="B42" s="25" t="str">
        <f>IF(A42="","",IFERROR(VLOOKUP(A42,DB_Customers!$A:$D,4,0),"❌ Account Not Found"))</f>
        <v/>
      </c>
      <c r="C42" s="89" t="str">
        <f>IF(A42="","",IFERROR(VLOOKUP(A42,DB_Customers!$A:$N,14,0),""))</f>
        <v/>
      </c>
      <c r="D42" s="90" t="str">
        <f t="shared" ca="1" si="3"/>
        <v/>
      </c>
      <c r="E42" s="97"/>
      <c r="F42" s="25"/>
      <c r="G42" s="99" t="str">
        <f t="shared" si="4"/>
        <v/>
      </c>
      <c r="H42" s="27"/>
      <c r="I42" s="84"/>
      <c r="J42" s="92" t="str">
        <f>IF(AND(A42&lt;&gt;"",E42&lt;&gt;""),IF(I42="","⚠️ Enter Code",IF(IFERROR(VLOOKUP(H42,DB_Agents!$B:$I,8,0),"")=I42,IF(C42&gt;=E42,"Successful","Unsuccessful"),"🔒 BLOCKED — Wrong Code")),"—")</f>
        <v>—</v>
      </c>
      <c r="K42" s="93" t="str">
        <f t="shared" ca="1" si="5"/>
        <v>—</v>
      </c>
      <c r="L42" s="94"/>
    </row>
    <row r="43" spans="1:12" x14ac:dyDescent="0.25">
      <c r="A43" s="79"/>
      <c r="B43" s="21" t="str">
        <f>IF(A43="","",IFERROR(VLOOKUP(A43,DB_Customers!$A:$D,4,0),"❌ Account Not Found"))</f>
        <v/>
      </c>
      <c r="C43" s="80" t="str">
        <f>IF(A43="","",IFERROR(VLOOKUP(A43,DB_Customers!$A:$N,14,0),""))</f>
        <v/>
      </c>
      <c r="D43" s="81" t="str">
        <f t="shared" ca="1" si="3"/>
        <v/>
      </c>
      <c r="E43" s="97"/>
      <c r="F43" s="21"/>
      <c r="G43" s="98" t="str">
        <f t="shared" si="4"/>
        <v/>
      </c>
      <c r="H43" s="23"/>
      <c r="I43" s="84"/>
      <c r="J43" s="85" t="str">
        <f>IF(AND(A43&lt;&gt;"",E43&lt;&gt;""),IF(I43="","⚠️ Enter Code",IF(IFERROR(VLOOKUP(H43,DB_Agents!$B:$I,8,0),"")=I43,IF(C43&gt;=E43,"Successful","Unsuccessful"),"🔒 BLOCKED — Wrong Code")),"—")</f>
        <v>—</v>
      </c>
      <c r="K43" s="86" t="str">
        <f t="shared" ca="1" si="5"/>
        <v>—</v>
      </c>
      <c r="L43" s="87"/>
    </row>
    <row r="44" spans="1:12" x14ac:dyDescent="0.25">
      <c r="A44" s="88"/>
      <c r="B44" s="25" t="str">
        <f>IF(A44="","",IFERROR(VLOOKUP(A44,DB_Customers!$A:$D,4,0),"❌ Account Not Found"))</f>
        <v/>
      </c>
      <c r="C44" s="89" t="str">
        <f>IF(A44="","",IFERROR(VLOOKUP(A44,DB_Customers!$A:$N,14,0),""))</f>
        <v/>
      </c>
      <c r="D44" s="90" t="str">
        <f t="shared" ca="1" si="3"/>
        <v/>
      </c>
      <c r="E44" s="97"/>
      <c r="F44" s="25"/>
      <c r="G44" s="99" t="str">
        <f t="shared" si="4"/>
        <v/>
      </c>
      <c r="H44" s="27"/>
      <c r="I44" s="84"/>
      <c r="J44" s="92" t="str">
        <f>IF(AND(A44&lt;&gt;"",E44&lt;&gt;""),IF(I44="","⚠️ Enter Code",IF(IFERROR(VLOOKUP(H44,DB_Agents!$B:$I,8,0),"")=I44,IF(C44&gt;=E44,"Successful","Unsuccessful"),"🔒 BLOCKED — Wrong Code")),"—")</f>
        <v>—</v>
      </c>
      <c r="K44" s="93" t="str">
        <f t="shared" ca="1" si="5"/>
        <v>—</v>
      </c>
      <c r="L44" s="94"/>
    </row>
    <row r="45" spans="1:12" x14ac:dyDescent="0.25">
      <c r="A45" s="79"/>
      <c r="B45" s="21" t="str">
        <f>IF(A45="","",IFERROR(VLOOKUP(A45,DB_Customers!$A:$D,4,0),"❌ Account Not Found"))</f>
        <v/>
      </c>
      <c r="C45" s="80" t="str">
        <f>IF(A45="","",IFERROR(VLOOKUP(A45,DB_Customers!$A:$N,14,0),""))</f>
        <v/>
      </c>
      <c r="D45" s="81" t="str">
        <f t="shared" ca="1" si="3"/>
        <v/>
      </c>
      <c r="E45" s="97"/>
      <c r="F45" s="21"/>
      <c r="G45" s="98" t="str">
        <f t="shared" si="4"/>
        <v/>
      </c>
      <c r="H45" s="23"/>
      <c r="I45" s="84"/>
      <c r="J45" s="85" t="str">
        <f>IF(AND(A45&lt;&gt;"",E45&lt;&gt;""),IF(I45="","⚠️ Enter Code",IF(IFERROR(VLOOKUP(H45,DB_Agents!$B:$I,8,0),"")=I45,IF(C45&gt;=E45,"Successful","Unsuccessful"),"🔒 BLOCKED — Wrong Code")),"—")</f>
        <v>—</v>
      </c>
      <c r="K45" s="86" t="str">
        <f t="shared" ca="1" si="5"/>
        <v>—</v>
      </c>
      <c r="L45" s="87"/>
    </row>
    <row r="46" spans="1:12" x14ac:dyDescent="0.25">
      <c r="A46" s="88"/>
      <c r="B46" s="25" t="str">
        <f>IF(A46="","",IFERROR(VLOOKUP(A46,DB_Customers!$A:$D,4,0),"❌ Account Not Found"))</f>
        <v/>
      </c>
      <c r="C46" s="89" t="str">
        <f>IF(A46="","",IFERROR(VLOOKUP(A46,DB_Customers!$A:$N,14,0),""))</f>
        <v/>
      </c>
      <c r="D46" s="90" t="str">
        <f t="shared" ca="1" si="3"/>
        <v/>
      </c>
      <c r="E46" s="97"/>
      <c r="F46" s="25"/>
      <c r="G46" s="99" t="str">
        <f t="shared" si="4"/>
        <v/>
      </c>
      <c r="H46" s="27"/>
      <c r="I46" s="84"/>
      <c r="J46" s="92" t="str">
        <f>IF(AND(A46&lt;&gt;"",E46&lt;&gt;""),IF(I46="","⚠️ Enter Code",IF(IFERROR(VLOOKUP(H46,DB_Agents!$B:$I,8,0),"")=I46,IF(C46&gt;=E46,"Successful","Unsuccessful"),"🔒 BLOCKED — Wrong Code")),"—")</f>
        <v>—</v>
      </c>
      <c r="K46" s="93" t="str">
        <f t="shared" ca="1" si="5"/>
        <v>—</v>
      </c>
      <c r="L46" s="94"/>
    </row>
    <row r="47" spans="1:12" x14ac:dyDescent="0.25">
      <c r="A47" s="79"/>
      <c r="B47" s="21" t="str">
        <f>IF(A47="","",IFERROR(VLOOKUP(A47,DB_Customers!$A:$D,4,0),"❌ Account Not Found"))</f>
        <v/>
      </c>
      <c r="C47" s="80" t="str">
        <f>IF(A47="","",IFERROR(VLOOKUP(A47,DB_Customers!$A:$N,14,0),""))</f>
        <v/>
      </c>
      <c r="D47" s="81" t="str">
        <f t="shared" ca="1" si="3"/>
        <v/>
      </c>
      <c r="E47" s="97"/>
      <c r="F47" s="21"/>
      <c r="G47" s="98" t="str">
        <f t="shared" si="4"/>
        <v/>
      </c>
      <c r="H47" s="23"/>
      <c r="I47" s="84"/>
      <c r="J47" s="85" t="str">
        <f>IF(AND(A47&lt;&gt;"",E47&lt;&gt;""),IF(I47="","⚠️ Enter Code",IF(IFERROR(VLOOKUP(H47,DB_Agents!$B:$I,8,0),"")=I47,IF(C47&gt;=E47,"Successful","Unsuccessful"),"🔒 BLOCKED — Wrong Code")),"—")</f>
        <v>—</v>
      </c>
      <c r="K47" s="86" t="str">
        <f t="shared" ca="1" si="5"/>
        <v>—</v>
      </c>
      <c r="L47" s="87"/>
    </row>
    <row r="48" spans="1:12" x14ac:dyDescent="0.25">
      <c r="A48" s="88"/>
      <c r="B48" s="25" t="str">
        <f>IF(A48="","",IFERROR(VLOOKUP(A48,DB_Customers!$A:$D,4,0),"❌ Account Not Found"))</f>
        <v/>
      </c>
      <c r="C48" s="89" t="str">
        <f>IF(A48="","",IFERROR(VLOOKUP(A48,DB_Customers!$A:$N,14,0),""))</f>
        <v/>
      </c>
      <c r="D48" s="90" t="str">
        <f t="shared" ca="1" si="3"/>
        <v/>
      </c>
      <c r="E48" s="97"/>
      <c r="F48" s="25"/>
      <c r="G48" s="99" t="str">
        <f t="shared" si="4"/>
        <v/>
      </c>
      <c r="H48" s="27"/>
      <c r="I48" s="84"/>
      <c r="J48" s="92" t="str">
        <f>IF(AND(A48&lt;&gt;"",E48&lt;&gt;""),IF(I48="","⚠️ Enter Code",IF(IFERROR(VLOOKUP(H48,DB_Agents!$B:$I,8,0),"")=I48,IF(C48&gt;=E48,"Successful","Unsuccessful"),"🔒 BLOCKED — Wrong Code")),"—")</f>
        <v>—</v>
      </c>
      <c r="K48" s="93" t="str">
        <f t="shared" ca="1" si="5"/>
        <v>—</v>
      </c>
      <c r="L48" s="94"/>
    </row>
    <row r="49" spans="1:12" x14ac:dyDescent="0.25">
      <c r="A49" s="79"/>
      <c r="B49" s="21" t="str">
        <f>IF(A49="","",IFERROR(VLOOKUP(A49,DB_Customers!$A:$D,4,0),"❌ Account Not Found"))</f>
        <v/>
      </c>
      <c r="C49" s="80" t="str">
        <f>IF(A49="","",IFERROR(VLOOKUP(A49,DB_Customers!$A:$N,14,0),""))</f>
        <v/>
      </c>
      <c r="D49" s="81" t="str">
        <f t="shared" ca="1" si="3"/>
        <v/>
      </c>
      <c r="E49" s="97"/>
      <c r="F49" s="21"/>
      <c r="G49" s="98" t="str">
        <f t="shared" si="4"/>
        <v/>
      </c>
      <c r="H49" s="23"/>
      <c r="I49" s="84"/>
      <c r="J49" s="85" t="str">
        <f>IF(AND(A49&lt;&gt;"",E49&lt;&gt;""),IF(I49="","⚠️ Enter Code",IF(IFERROR(VLOOKUP(H49,DB_Agents!$B:$I,8,0),"")=I49,IF(C49&gt;=E49,"Successful","Unsuccessful"),"🔒 BLOCKED — Wrong Code")),"—")</f>
        <v>—</v>
      </c>
      <c r="K49" s="86" t="str">
        <f t="shared" ca="1" si="5"/>
        <v>—</v>
      </c>
      <c r="L49" s="87"/>
    </row>
    <row r="50" spans="1:12" x14ac:dyDescent="0.25">
      <c r="A50" s="88"/>
      <c r="B50" s="25" t="str">
        <f>IF(A50="","",IFERROR(VLOOKUP(A50,DB_Customers!$A:$D,4,0),"❌ Account Not Found"))</f>
        <v/>
      </c>
      <c r="C50" s="89" t="str">
        <f>IF(A50="","",IFERROR(VLOOKUP(A50,DB_Customers!$A:$N,14,0),""))</f>
        <v/>
      </c>
      <c r="D50" s="90" t="str">
        <f t="shared" ca="1" si="3"/>
        <v/>
      </c>
      <c r="E50" s="97"/>
      <c r="F50" s="25"/>
      <c r="G50" s="99" t="str">
        <f t="shared" si="4"/>
        <v/>
      </c>
      <c r="H50" s="27"/>
      <c r="I50" s="84"/>
      <c r="J50" s="92" t="str">
        <f>IF(AND(A50&lt;&gt;"",E50&lt;&gt;""),IF(I50="","⚠️ Enter Code",IF(IFERROR(VLOOKUP(H50,DB_Agents!$B:$I,8,0),"")=I50,IF(C50&gt;=E50,"Successful","Unsuccessful"),"🔒 BLOCKED — Wrong Code")),"—")</f>
        <v>—</v>
      </c>
      <c r="K50" s="93" t="str">
        <f t="shared" ca="1" si="5"/>
        <v>—</v>
      </c>
      <c r="L50" s="94"/>
    </row>
    <row r="51" spans="1:12" x14ac:dyDescent="0.25">
      <c r="A51" s="79"/>
      <c r="B51" s="21" t="str">
        <f>IF(A51="","",IFERROR(VLOOKUP(A51,DB_Customers!$A:$D,4,0),"❌ Account Not Found"))</f>
        <v/>
      </c>
      <c r="C51" s="80" t="str">
        <f>IF(A51="","",IFERROR(VLOOKUP(A51,DB_Customers!$A:$N,14,0),""))</f>
        <v/>
      </c>
      <c r="D51" s="81" t="str">
        <f t="shared" ca="1" si="3"/>
        <v/>
      </c>
      <c r="E51" s="97"/>
      <c r="F51" s="21"/>
      <c r="G51" s="98" t="str">
        <f t="shared" si="4"/>
        <v/>
      </c>
      <c r="H51" s="23"/>
      <c r="I51" s="84"/>
      <c r="J51" s="85" t="str">
        <f>IF(AND(A51&lt;&gt;"",E51&lt;&gt;""),IF(I51="","⚠️ Enter Code",IF(IFERROR(VLOOKUP(H51,DB_Agents!$B:$I,8,0),"")=I51,IF(C51&gt;=E51,"Successful","Unsuccessful"),"🔒 BLOCKED — Wrong Code")),"—")</f>
        <v>—</v>
      </c>
      <c r="K51" s="86" t="str">
        <f t="shared" ca="1" si="5"/>
        <v>—</v>
      </c>
      <c r="L51" s="87"/>
    </row>
    <row r="52" spans="1:12" x14ac:dyDescent="0.25">
      <c r="A52" s="88"/>
      <c r="B52" s="25" t="str">
        <f>IF(A52="","",IFERROR(VLOOKUP(A52,DB_Customers!$A:$D,4,0),"❌ Account Not Found"))</f>
        <v/>
      </c>
      <c r="C52" s="89" t="str">
        <f>IF(A52="","",IFERROR(VLOOKUP(A52,DB_Customers!$A:$N,14,0),""))</f>
        <v/>
      </c>
      <c r="D52" s="90" t="str">
        <f t="shared" ca="1" si="3"/>
        <v/>
      </c>
      <c r="E52" s="97"/>
      <c r="F52" s="25"/>
      <c r="G52" s="99" t="str">
        <f t="shared" si="4"/>
        <v/>
      </c>
      <c r="H52" s="27"/>
      <c r="I52" s="84"/>
      <c r="J52" s="92" t="str">
        <f>IF(AND(A52&lt;&gt;"",E52&lt;&gt;""),IF(I52="","⚠️ Enter Code",IF(IFERROR(VLOOKUP(H52,DB_Agents!$B:$I,8,0),"")=I52,IF(C52&gt;=E52,"Successful","Unsuccessful"),"🔒 BLOCKED — Wrong Code")),"—")</f>
        <v>—</v>
      </c>
      <c r="K52" s="93" t="str">
        <f t="shared" ca="1" si="5"/>
        <v>—</v>
      </c>
      <c r="L52" s="94"/>
    </row>
    <row r="53" spans="1:12" x14ac:dyDescent="0.25">
      <c r="A53" s="79"/>
      <c r="B53" s="21" t="str">
        <f>IF(A53="","",IFERROR(VLOOKUP(A53,DB_Customers!$A:$D,4,0),"❌ Account Not Found"))</f>
        <v/>
      </c>
      <c r="C53" s="80" t="str">
        <f>IF(A53="","",IFERROR(VLOOKUP(A53,DB_Customers!$A:$N,14,0),""))</f>
        <v/>
      </c>
      <c r="D53" s="81" t="str">
        <f t="shared" ca="1" si="3"/>
        <v/>
      </c>
      <c r="E53" s="97"/>
      <c r="F53" s="21"/>
      <c r="G53" s="98" t="str">
        <f t="shared" si="4"/>
        <v/>
      </c>
      <c r="H53" s="23"/>
      <c r="I53" s="84"/>
      <c r="J53" s="85" t="str">
        <f>IF(AND(A53&lt;&gt;"",E53&lt;&gt;""),IF(I53="","⚠️ Enter Code",IF(IFERROR(VLOOKUP(H53,DB_Agents!$B:$I,8,0),"")=I53,IF(C53&gt;=E53,"Successful","Unsuccessful"),"🔒 BLOCKED — Wrong Code")),"—")</f>
        <v>—</v>
      </c>
      <c r="K53" s="86" t="str">
        <f t="shared" ca="1" si="5"/>
        <v>—</v>
      </c>
      <c r="L53" s="87"/>
    </row>
    <row r="54" spans="1:12" x14ac:dyDescent="0.25">
      <c r="A54" s="88"/>
      <c r="B54" s="25" t="str">
        <f>IF(A54="","",IFERROR(VLOOKUP(A54,DB_Customers!$A:$D,4,0),"❌ Account Not Found"))</f>
        <v/>
      </c>
      <c r="C54" s="89" t="str">
        <f>IF(A54="","",IFERROR(VLOOKUP(A54,DB_Customers!$A:$N,14,0),""))</f>
        <v/>
      </c>
      <c r="D54" s="90" t="str">
        <f t="shared" ca="1" si="3"/>
        <v/>
      </c>
      <c r="E54" s="97"/>
      <c r="F54" s="25"/>
      <c r="G54" s="99" t="str">
        <f t="shared" si="4"/>
        <v/>
      </c>
      <c r="H54" s="27"/>
      <c r="I54" s="84"/>
      <c r="J54" s="92" t="str">
        <f>IF(AND(A54&lt;&gt;"",E54&lt;&gt;""),IF(I54="","⚠️ Enter Code",IF(IFERROR(VLOOKUP(H54,DB_Agents!$B:$I,8,0),"")=I54,IF(C54&gt;=E54,"Successful","Unsuccessful"),"🔒 BLOCKED — Wrong Code")),"—")</f>
        <v>—</v>
      </c>
      <c r="K54" s="93" t="str">
        <f t="shared" ca="1" si="5"/>
        <v>—</v>
      </c>
      <c r="L54" s="94"/>
    </row>
    <row r="55" spans="1:12" x14ac:dyDescent="0.25">
      <c r="A55" s="79"/>
      <c r="B55" s="21" t="str">
        <f>IF(A55="","",IFERROR(VLOOKUP(A55,DB_Customers!$A:$D,4,0),"❌ Account Not Found"))</f>
        <v/>
      </c>
      <c r="C55" s="80" t="str">
        <f>IF(A55="","",IFERROR(VLOOKUP(A55,DB_Customers!$A:$N,14,0),""))</f>
        <v/>
      </c>
      <c r="D55" s="81" t="str">
        <f t="shared" ca="1" si="3"/>
        <v/>
      </c>
      <c r="E55" s="97"/>
      <c r="F55" s="21"/>
      <c r="G55" s="98" t="str">
        <f t="shared" si="4"/>
        <v/>
      </c>
      <c r="H55" s="23"/>
      <c r="I55" s="84"/>
      <c r="J55" s="85" t="str">
        <f>IF(AND(A55&lt;&gt;"",E55&lt;&gt;""),IF(I55="","⚠️ Enter Code",IF(IFERROR(VLOOKUP(H55,DB_Agents!$B:$I,8,0),"")=I55,IF(C55&gt;=E55,"Successful","Unsuccessful"),"🔒 BLOCKED — Wrong Code")),"—")</f>
        <v>—</v>
      </c>
      <c r="K55" s="86" t="str">
        <f t="shared" ca="1" si="5"/>
        <v>—</v>
      </c>
      <c r="L55" s="87"/>
    </row>
    <row r="56" spans="1:12" x14ac:dyDescent="0.25">
      <c r="A56" s="88"/>
      <c r="B56" s="25" t="str">
        <f>IF(A56="","",IFERROR(VLOOKUP(A56,DB_Customers!$A:$D,4,0),"❌ Account Not Found"))</f>
        <v/>
      </c>
      <c r="C56" s="89" t="str">
        <f>IF(A56="","",IFERROR(VLOOKUP(A56,DB_Customers!$A:$N,14,0),""))</f>
        <v/>
      </c>
      <c r="D56" s="90" t="str">
        <f t="shared" ca="1" si="3"/>
        <v/>
      </c>
      <c r="E56" s="97"/>
      <c r="F56" s="25"/>
      <c r="G56" s="99" t="str">
        <f t="shared" si="4"/>
        <v/>
      </c>
      <c r="H56" s="27"/>
      <c r="I56" s="84"/>
      <c r="J56" s="92" t="str">
        <f>IF(AND(A56&lt;&gt;"",E56&lt;&gt;""),IF(I56="","⚠️ Enter Code",IF(IFERROR(VLOOKUP(H56,DB_Agents!$B:$I,8,0),"")=I56,IF(C56&gt;=E56,"Successful","Unsuccessful"),"🔒 BLOCKED — Wrong Code")),"—")</f>
        <v>—</v>
      </c>
      <c r="K56" s="93" t="str">
        <f t="shared" ca="1" si="5"/>
        <v>—</v>
      </c>
      <c r="L56" s="94"/>
    </row>
    <row r="57" spans="1:12" x14ac:dyDescent="0.25">
      <c r="A57" s="79"/>
      <c r="B57" s="21" t="str">
        <f>IF(A57="","",IFERROR(VLOOKUP(A57,DB_Customers!$A:$D,4,0),"❌ Account Not Found"))</f>
        <v/>
      </c>
      <c r="C57" s="80" t="str">
        <f>IF(A57="","",IFERROR(VLOOKUP(A57,DB_Customers!$A:$N,14,0),""))</f>
        <v/>
      </c>
      <c r="D57" s="81" t="str">
        <f t="shared" ca="1" si="3"/>
        <v/>
      </c>
      <c r="E57" s="97"/>
      <c r="F57" s="21"/>
      <c r="G57" s="98" t="str">
        <f t="shared" si="4"/>
        <v/>
      </c>
      <c r="H57" s="23"/>
      <c r="I57" s="84"/>
      <c r="J57" s="85" t="str">
        <f>IF(AND(A57&lt;&gt;"",E57&lt;&gt;""),IF(I57="","⚠️ Enter Code",IF(IFERROR(VLOOKUP(H57,DB_Agents!$B:$I,8,0),"")=I57,IF(C57&gt;=E57,"Successful","Unsuccessful"),"🔒 BLOCKED — Wrong Code")),"—")</f>
        <v>—</v>
      </c>
      <c r="K57" s="86" t="str">
        <f t="shared" ca="1" si="5"/>
        <v>—</v>
      </c>
      <c r="L57" s="87"/>
    </row>
    <row r="58" spans="1:12" x14ac:dyDescent="0.25">
      <c r="A58" s="88"/>
      <c r="B58" s="25" t="str">
        <f>IF(A58="","",IFERROR(VLOOKUP(A58,DB_Customers!$A:$D,4,0),"❌ Account Not Found"))</f>
        <v/>
      </c>
      <c r="C58" s="89" t="str">
        <f>IF(A58="","",IFERROR(VLOOKUP(A58,DB_Customers!$A:$N,14,0),""))</f>
        <v/>
      </c>
      <c r="D58" s="90" t="str">
        <f t="shared" ca="1" si="3"/>
        <v/>
      </c>
      <c r="E58" s="97"/>
      <c r="F58" s="25"/>
      <c r="G58" s="99" t="str">
        <f t="shared" si="4"/>
        <v/>
      </c>
      <c r="H58" s="27"/>
      <c r="I58" s="84"/>
      <c r="J58" s="92" t="str">
        <f>IF(AND(A58&lt;&gt;"",E58&lt;&gt;""),IF(I58="","⚠️ Enter Code",IF(IFERROR(VLOOKUP(H58,DB_Agents!$B:$I,8,0),"")=I58,IF(C58&gt;=E58,"Successful","Unsuccessful"),"🔒 BLOCKED — Wrong Code")),"—")</f>
        <v>—</v>
      </c>
      <c r="K58" s="93" t="str">
        <f t="shared" ca="1" si="5"/>
        <v>—</v>
      </c>
      <c r="L58" s="94"/>
    </row>
    <row r="59" spans="1:12" x14ac:dyDescent="0.25">
      <c r="A59" s="79"/>
      <c r="B59" s="21" t="str">
        <f>IF(A59="","",IFERROR(VLOOKUP(A59,DB_Customers!$A:$D,4,0),"❌ Account Not Found"))</f>
        <v/>
      </c>
      <c r="C59" s="80" t="str">
        <f>IF(A59="","",IFERROR(VLOOKUP(A59,DB_Customers!$A:$N,14,0),""))</f>
        <v/>
      </c>
      <c r="D59" s="81" t="str">
        <f t="shared" ca="1" si="3"/>
        <v/>
      </c>
      <c r="E59" s="97"/>
      <c r="F59" s="21"/>
      <c r="G59" s="98" t="str">
        <f t="shared" si="4"/>
        <v/>
      </c>
      <c r="H59" s="23"/>
      <c r="I59" s="84"/>
      <c r="J59" s="85" t="str">
        <f>IF(AND(A59&lt;&gt;"",E59&lt;&gt;""),IF(I59="","⚠️ Enter Code",IF(IFERROR(VLOOKUP(H59,DB_Agents!$B:$I,8,0),"")=I59,IF(C59&gt;=E59,"Successful","Unsuccessful"),"🔒 BLOCKED — Wrong Code")),"—")</f>
        <v>—</v>
      </c>
      <c r="K59" s="86" t="str">
        <f t="shared" ca="1" si="5"/>
        <v>—</v>
      </c>
      <c r="L59" s="87"/>
    </row>
    <row r="60" spans="1:12" x14ac:dyDescent="0.25">
      <c r="A60" s="88"/>
      <c r="B60" s="25" t="str">
        <f>IF(A60="","",IFERROR(VLOOKUP(A60,DB_Customers!$A:$D,4,0),"❌ Account Not Found"))</f>
        <v/>
      </c>
      <c r="C60" s="89" t="str">
        <f>IF(A60="","",IFERROR(VLOOKUP(A60,DB_Customers!$A:$N,14,0),""))</f>
        <v/>
      </c>
      <c r="D60" s="90" t="str">
        <f t="shared" ca="1" si="3"/>
        <v/>
      </c>
      <c r="E60" s="97"/>
      <c r="F60" s="25"/>
      <c r="G60" s="99" t="str">
        <f t="shared" si="4"/>
        <v/>
      </c>
      <c r="H60" s="27"/>
      <c r="I60" s="84"/>
      <c r="J60" s="92" t="str">
        <f>IF(AND(A60&lt;&gt;"",E60&lt;&gt;""),IF(I60="","⚠️ Enter Code",IF(IFERROR(VLOOKUP(H60,DB_Agents!$B:$I,8,0),"")=I60,IF(C60&gt;=E60,"Successful","Unsuccessful"),"🔒 BLOCKED — Wrong Code")),"—")</f>
        <v>—</v>
      </c>
      <c r="K60" s="93" t="str">
        <f t="shared" ca="1" si="5"/>
        <v>—</v>
      </c>
      <c r="L60" s="94"/>
    </row>
    <row r="61" spans="1:12" x14ac:dyDescent="0.25">
      <c r="A61" s="79"/>
      <c r="B61" s="21" t="str">
        <f>IF(A61="","",IFERROR(VLOOKUP(A61,DB_Customers!$A:$D,4,0),"❌ Account Not Found"))</f>
        <v/>
      </c>
      <c r="C61" s="80" t="str">
        <f>IF(A61="","",IFERROR(VLOOKUP(A61,DB_Customers!$A:$N,14,0),""))</f>
        <v/>
      </c>
      <c r="D61" s="81" t="str">
        <f t="shared" ca="1" si="3"/>
        <v/>
      </c>
      <c r="E61" s="97"/>
      <c r="F61" s="21"/>
      <c r="G61" s="98" t="str">
        <f t="shared" si="4"/>
        <v/>
      </c>
      <c r="H61" s="23"/>
      <c r="I61" s="84"/>
      <c r="J61" s="85" t="str">
        <f>IF(AND(A61&lt;&gt;"",E61&lt;&gt;""),IF(I61="","⚠️ Enter Code",IF(IFERROR(VLOOKUP(H61,DB_Agents!$B:$I,8,0),"")=I61,IF(C61&gt;=E61,"Successful","Unsuccessful"),"🔒 BLOCKED — Wrong Code")),"—")</f>
        <v>—</v>
      </c>
      <c r="K61" s="86" t="str">
        <f t="shared" ca="1" si="5"/>
        <v>—</v>
      </c>
      <c r="L61" s="87"/>
    </row>
    <row r="62" spans="1:12" x14ac:dyDescent="0.25">
      <c r="A62" s="88"/>
      <c r="B62" s="25" t="str">
        <f>IF(A62="","",IFERROR(VLOOKUP(A62,DB_Customers!$A:$D,4,0),"❌ Account Not Found"))</f>
        <v/>
      </c>
      <c r="C62" s="89" t="str">
        <f>IF(A62="","",IFERROR(VLOOKUP(A62,DB_Customers!$A:$N,14,0),""))</f>
        <v/>
      </c>
      <c r="D62" s="90" t="str">
        <f t="shared" ca="1" si="3"/>
        <v/>
      </c>
      <c r="E62" s="97"/>
      <c r="F62" s="25"/>
      <c r="G62" s="99" t="str">
        <f t="shared" si="4"/>
        <v/>
      </c>
      <c r="H62" s="27"/>
      <c r="I62" s="84"/>
      <c r="J62" s="92" t="str">
        <f>IF(AND(A62&lt;&gt;"",E62&lt;&gt;""),IF(I62="","⚠️ Enter Code",IF(IFERROR(VLOOKUP(H62,DB_Agents!$B:$I,8,0),"")=I62,IF(C62&gt;=E62,"Successful","Unsuccessful"),"🔒 BLOCKED — Wrong Code")),"—")</f>
        <v>—</v>
      </c>
      <c r="K62" s="93" t="str">
        <f t="shared" ca="1" si="5"/>
        <v>—</v>
      </c>
      <c r="L62" s="94"/>
    </row>
    <row r="63" spans="1:12" x14ac:dyDescent="0.25">
      <c r="A63" s="79"/>
      <c r="B63" s="21" t="str">
        <f>IF(A63="","",IFERROR(VLOOKUP(A63,DB_Customers!$A:$D,4,0),"❌ Account Not Found"))</f>
        <v/>
      </c>
      <c r="C63" s="80" t="str">
        <f>IF(A63="","",IFERROR(VLOOKUP(A63,DB_Customers!$A:$N,14,0),""))</f>
        <v/>
      </c>
      <c r="D63" s="81" t="str">
        <f t="shared" ca="1" si="3"/>
        <v/>
      </c>
      <c r="E63" s="97"/>
      <c r="F63" s="21"/>
      <c r="G63" s="98" t="str">
        <f t="shared" si="4"/>
        <v/>
      </c>
      <c r="H63" s="23"/>
      <c r="I63" s="84"/>
      <c r="J63" s="85" t="str">
        <f>IF(AND(A63&lt;&gt;"",E63&lt;&gt;""),IF(I63="","⚠️ Enter Code",IF(IFERROR(VLOOKUP(H63,DB_Agents!$B:$I,8,0),"")=I63,IF(C63&gt;=E63,"Successful","Unsuccessful"),"🔒 BLOCKED — Wrong Code")),"—")</f>
        <v>—</v>
      </c>
      <c r="K63" s="86" t="str">
        <f t="shared" ca="1" si="5"/>
        <v>—</v>
      </c>
      <c r="L63" s="87"/>
    </row>
    <row r="64" spans="1:12" x14ac:dyDescent="0.25">
      <c r="A64" s="88"/>
      <c r="B64" s="25" t="str">
        <f>IF(A64="","",IFERROR(VLOOKUP(A64,DB_Customers!$A:$D,4,0),"❌ Account Not Found"))</f>
        <v/>
      </c>
      <c r="C64" s="89" t="str">
        <f>IF(A64="","",IFERROR(VLOOKUP(A64,DB_Customers!$A:$N,14,0),""))</f>
        <v/>
      </c>
      <c r="D64" s="90" t="str">
        <f t="shared" ca="1" si="3"/>
        <v/>
      </c>
      <c r="E64" s="97"/>
      <c r="F64" s="25"/>
      <c r="G64" s="99" t="str">
        <f t="shared" si="4"/>
        <v/>
      </c>
      <c r="H64" s="27"/>
      <c r="I64" s="84"/>
      <c r="J64" s="92" t="str">
        <f>IF(AND(A64&lt;&gt;"",E64&lt;&gt;""),IF(I64="","⚠️ Enter Code",IF(IFERROR(VLOOKUP(H64,DB_Agents!$B:$I,8,0),"")=I64,IF(C64&gt;=E64,"Successful","Unsuccessful"),"🔒 BLOCKED — Wrong Code")),"—")</f>
        <v>—</v>
      </c>
      <c r="K64" s="93" t="str">
        <f t="shared" ca="1" si="5"/>
        <v>—</v>
      </c>
      <c r="L64" s="94"/>
    </row>
    <row r="65" spans="1:12" x14ac:dyDescent="0.25">
      <c r="A65" s="79"/>
      <c r="B65" s="21" t="str">
        <f>IF(A65="","",IFERROR(VLOOKUP(A65,DB_Customers!$A:$D,4,0),"❌ Account Not Found"))</f>
        <v/>
      </c>
      <c r="C65" s="80" t="str">
        <f>IF(A65="","",IFERROR(VLOOKUP(A65,DB_Customers!$A:$N,14,0),""))</f>
        <v/>
      </c>
      <c r="D65" s="81" t="str">
        <f t="shared" ca="1" si="3"/>
        <v/>
      </c>
      <c r="E65" s="97"/>
      <c r="F65" s="21"/>
      <c r="G65" s="98" t="str">
        <f t="shared" si="4"/>
        <v/>
      </c>
      <c r="H65" s="23"/>
      <c r="I65" s="84"/>
      <c r="J65" s="85" t="str">
        <f>IF(AND(A65&lt;&gt;"",E65&lt;&gt;""),IF(I65="","⚠️ Enter Code",IF(IFERROR(VLOOKUP(H65,DB_Agents!$B:$I,8,0),"")=I65,IF(C65&gt;=E65,"Successful","Unsuccessful"),"🔒 BLOCKED — Wrong Code")),"—")</f>
        <v>—</v>
      </c>
      <c r="K65" s="86" t="str">
        <f t="shared" ca="1" si="5"/>
        <v>—</v>
      </c>
      <c r="L65" s="87"/>
    </row>
    <row r="66" spans="1:12" x14ac:dyDescent="0.25">
      <c r="A66" s="88"/>
      <c r="B66" s="25" t="str">
        <f>IF(A66="","",IFERROR(VLOOKUP(A66,DB_Customers!$A:$D,4,0),"❌ Account Not Found"))</f>
        <v/>
      </c>
      <c r="C66" s="89" t="str">
        <f>IF(A66="","",IFERROR(VLOOKUP(A66,DB_Customers!$A:$N,14,0),""))</f>
        <v/>
      </c>
      <c r="D66" s="90" t="str">
        <f t="shared" ca="1" si="3"/>
        <v/>
      </c>
      <c r="E66" s="97"/>
      <c r="F66" s="25"/>
      <c r="G66" s="99" t="str">
        <f t="shared" si="4"/>
        <v/>
      </c>
      <c r="H66" s="27"/>
      <c r="I66" s="84"/>
      <c r="J66" s="92" t="str">
        <f>IF(AND(A66&lt;&gt;"",E66&lt;&gt;""),IF(I66="","⚠️ Enter Code",IF(IFERROR(VLOOKUP(H66,DB_Agents!$B:$I,8,0),"")=I66,IF(C66&gt;=E66,"Successful","Unsuccessful"),"🔒 BLOCKED — Wrong Code")),"—")</f>
        <v>—</v>
      </c>
      <c r="K66" s="93" t="str">
        <f t="shared" ca="1" si="5"/>
        <v>—</v>
      </c>
      <c r="L66" s="94"/>
    </row>
    <row r="67" spans="1:12" x14ac:dyDescent="0.25">
      <c r="A67" s="79"/>
      <c r="B67" s="21" t="str">
        <f>IF(A67="","",IFERROR(VLOOKUP(A67,DB_Customers!$A:$D,4,0),"❌ Account Not Found"))</f>
        <v/>
      </c>
      <c r="C67" s="80" t="str">
        <f>IF(A67="","",IFERROR(VLOOKUP(A67,DB_Customers!$A:$N,14,0),""))</f>
        <v/>
      </c>
      <c r="D67" s="81" t="str">
        <f t="shared" ca="1" si="3"/>
        <v/>
      </c>
      <c r="E67" s="97"/>
      <c r="F67" s="21"/>
      <c r="G67" s="98" t="str">
        <f t="shared" si="4"/>
        <v/>
      </c>
      <c r="H67" s="23"/>
      <c r="I67" s="84"/>
      <c r="J67" s="85" t="str">
        <f>IF(AND(A67&lt;&gt;"",E67&lt;&gt;""),IF(I67="","⚠️ Enter Code",IF(IFERROR(VLOOKUP(H67,DB_Agents!$B:$I,8,0),"")=I67,IF(C67&gt;=E67,"Successful","Unsuccessful"),"🔒 BLOCKED — Wrong Code")),"—")</f>
        <v>—</v>
      </c>
      <c r="K67" s="86" t="str">
        <f t="shared" ca="1" si="5"/>
        <v>—</v>
      </c>
      <c r="L67" s="87"/>
    </row>
    <row r="68" spans="1:12" x14ac:dyDescent="0.25">
      <c r="A68" s="88"/>
      <c r="B68" s="25" t="str">
        <f>IF(A68="","",IFERROR(VLOOKUP(A68,DB_Customers!$A:$D,4,0),"❌ Account Not Found"))</f>
        <v/>
      </c>
      <c r="C68" s="89" t="str">
        <f>IF(A68="","",IFERROR(VLOOKUP(A68,DB_Customers!$A:$N,14,0),""))</f>
        <v/>
      </c>
      <c r="D68" s="90" t="str">
        <f t="shared" ca="1" si="3"/>
        <v/>
      </c>
      <c r="E68" s="97"/>
      <c r="F68" s="25"/>
      <c r="G68" s="99" t="str">
        <f t="shared" si="4"/>
        <v/>
      </c>
      <c r="H68" s="27"/>
      <c r="I68" s="84"/>
      <c r="J68" s="92" t="str">
        <f>IF(AND(A68&lt;&gt;"",E68&lt;&gt;""),IF(I68="","⚠️ Enter Code",IF(IFERROR(VLOOKUP(H68,DB_Agents!$B:$I,8,0),"")=I68,IF(C68&gt;=E68,"Successful","Unsuccessful"),"🔒 BLOCKED — Wrong Code")),"—")</f>
        <v>—</v>
      </c>
      <c r="K68" s="93" t="str">
        <f t="shared" ca="1" si="5"/>
        <v>—</v>
      </c>
      <c r="L68" s="94"/>
    </row>
    <row r="69" spans="1:12" x14ac:dyDescent="0.25">
      <c r="A69" s="79"/>
      <c r="B69" s="21" t="str">
        <f>IF(A69="","",IFERROR(VLOOKUP(A69,DB_Customers!$A:$D,4,0),"❌ Account Not Found"))</f>
        <v/>
      </c>
      <c r="C69" s="80" t="str">
        <f>IF(A69="","",IFERROR(VLOOKUP(A69,DB_Customers!$A:$N,14,0),""))</f>
        <v/>
      </c>
      <c r="D69" s="81" t="str">
        <f t="shared" ca="1" si="3"/>
        <v/>
      </c>
      <c r="E69" s="97"/>
      <c r="F69" s="21"/>
      <c r="G69" s="98" t="str">
        <f t="shared" si="4"/>
        <v/>
      </c>
      <c r="H69" s="23"/>
      <c r="I69" s="84"/>
      <c r="J69" s="85" t="str">
        <f>IF(AND(A69&lt;&gt;"",E69&lt;&gt;""),IF(I69="","⚠️ Enter Code",IF(IFERROR(VLOOKUP(H69,DB_Agents!$B:$I,8,0),"")=I69,IF(C69&gt;=E69,"Successful","Unsuccessful"),"🔒 BLOCKED — Wrong Code")),"—")</f>
        <v>—</v>
      </c>
      <c r="K69" s="86" t="str">
        <f t="shared" ca="1" si="5"/>
        <v>—</v>
      </c>
      <c r="L69" s="87"/>
    </row>
    <row r="70" spans="1:12" x14ac:dyDescent="0.25">
      <c r="A70" s="88"/>
      <c r="B70" s="25" t="str">
        <f>IF(A70="","",IFERROR(VLOOKUP(A70,DB_Customers!$A:$D,4,0),"❌ Account Not Found"))</f>
        <v/>
      </c>
      <c r="C70" s="89" t="str">
        <f>IF(A70="","",IFERROR(VLOOKUP(A70,DB_Customers!$A:$N,14,0),""))</f>
        <v/>
      </c>
      <c r="D70" s="90" t="str">
        <f t="shared" ca="1" si="3"/>
        <v/>
      </c>
      <c r="E70" s="97"/>
      <c r="F70" s="25"/>
      <c r="G70" s="99" t="str">
        <f t="shared" si="4"/>
        <v/>
      </c>
      <c r="H70" s="27"/>
      <c r="I70" s="84"/>
      <c r="J70" s="92" t="str">
        <f>IF(AND(A70&lt;&gt;"",E70&lt;&gt;""),IF(I70="","⚠️ Enter Code",IF(IFERROR(VLOOKUP(H70,DB_Agents!$B:$I,8,0),"")=I70,IF(C70&gt;=E70,"Successful","Unsuccessful"),"🔒 BLOCKED — Wrong Code")),"—")</f>
        <v>—</v>
      </c>
      <c r="K70" s="93" t="str">
        <f t="shared" ca="1" si="5"/>
        <v>—</v>
      </c>
      <c r="L70" s="94"/>
    </row>
    <row r="71" spans="1:12" x14ac:dyDescent="0.25">
      <c r="A71" s="79"/>
      <c r="B71" s="21" t="str">
        <f>IF(A71="","",IFERROR(VLOOKUP(A71,DB_Customers!$A:$D,4,0),"❌ Account Not Found"))</f>
        <v/>
      </c>
      <c r="C71" s="80" t="str">
        <f>IF(A71="","",IFERROR(VLOOKUP(A71,DB_Customers!$A:$N,14,0),""))</f>
        <v/>
      </c>
      <c r="D71" s="81" t="str">
        <f t="shared" ca="1" si="3"/>
        <v/>
      </c>
      <c r="E71" s="97"/>
      <c r="F71" s="21"/>
      <c r="G71" s="98" t="str">
        <f t="shared" si="4"/>
        <v/>
      </c>
      <c r="H71" s="23"/>
      <c r="I71" s="84"/>
      <c r="J71" s="85" t="str">
        <f>IF(AND(A71&lt;&gt;"",E71&lt;&gt;""),IF(I71="","⚠️ Enter Code",IF(IFERROR(VLOOKUP(H71,DB_Agents!$B:$I,8,0),"")=I71,IF(C71&gt;=E71,"Successful","Unsuccessful"),"🔒 BLOCKED — Wrong Code")),"—")</f>
        <v>—</v>
      </c>
      <c r="K71" s="86" t="str">
        <f t="shared" ca="1" si="5"/>
        <v>—</v>
      </c>
      <c r="L71" s="87"/>
    </row>
    <row r="72" spans="1:12" x14ac:dyDescent="0.25">
      <c r="A72" s="88"/>
      <c r="B72" s="25" t="str">
        <f>IF(A72="","",IFERROR(VLOOKUP(A72,DB_Customers!$A:$D,4,0),"❌ Account Not Found"))</f>
        <v/>
      </c>
      <c r="C72" s="89" t="str">
        <f>IF(A72="","",IFERROR(VLOOKUP(A72,DB_Customers!$A:$N,14,0),""))</f>
        <v/>
      </c>
      <c r="D72" s="90" t="str">
        <f t="shared" ca="1" si="3"/>
        <v/>
      </c>
      <c r="E72" s="97"/>
      <c r="F72" s="25"/>
      <c r="G72" s="99" t="str">
        <f t="shared" si="4"/>
        <v/>
      </c>
      <c r="H72" s="27"/>
      <c r="I72" s="84"/>
      <c r="J72" s="92" t="str">
        <f>IF(AND(A72&lt;&gt;"",E72&lt;&gt;""),IF(I72="","⚠️ Enter Code",IF(IFERROR(VLOOKUP(H72,DB_Agents!$B:$I,8,0),"")=I72,IF(C72&gt;=E72,"Successful","Unsuccessful"),"🔒 BLOCKED — Wrong Code")),"—")</f>
        <v>—</v>
      </c>
      <c r="K72" s="93" t="str">
        <f t="shared" ca="1" si="5"/>
        <v>—</v>
      </c>
      <c r="L72" s="94"/>
    </row>
    <row r="73" spans="1:12" x14ac:dyDescent="0.25">
      <c r="A73" s="79"/>
      <c r="B73" s="21" t="str">
        <f>IF(A73="","",IFERROR(VLOOKUP(A73,DB_Customers!$A:$D,4,0),"❌ Account Not Found"))</f>
        <v/>
      </c>
      <c r="C73" s="80" t="str">
        <f>IF(A73="","",IFERROR(VLOOKUP(A73,DB_Customers!$A:$N,14,0),""))</f>
        <v/>
      </c>
      <c r="D73" s="81" t="str">
        <f t="shared" ref="D73:D104" ca="1" si="6">IF(A73="","",TODAY())</f>
        <v/>
      </c>
      <c r="E73" s="97"/>
      <c r="F73" s="21"/>
      <c r="G73" s="98" t="str">
        <f t="shared" ref="G73:G104" si="7">IF(OR(A73="",E73=""),"",IF(C73="","",C73-E73))</f>
        <v/>
      </c>
      <c r="H73" s="23"/>
      <c r="I73" s="84"/>
      <c r="J73" s="85" t="str">
        <f>IF(AND(A73&lt;&gt;"",E73&lt;&gt;""),IF(I73="","⚠️ Enter Code",IF(IFERROR(VLOOKUP(H73,DB_Agents!$B:$I,8,0),"")=I73,IF(C73&gt;=E73,"Successful","Unsuccessful"),"🔒 BLOCKED — Wrong Code")),"—")</f>
        <v>—</v>
      </c>
      <c r="K73" s="86" t="str">
        <f t="shared" ref="K73:K104" ca="1" si="8">IF(J73="Successful",TEXT(TODAY(),"YYYY-MM-DD")&amp;" Auto","—")</f>
        <v>—</v>
      </c>
      <c r="L73" s="87"/>
    </row>
    <row r="74" spans="1:12" x14ac:dyDescent="0.25">
      <c r="A74" s="88"/>
      <c r="B74" s="25" t="str">
        <f>IF(A74="","",IFERROR(VLOOKUP(A74,DB_Customers!$A:$D,4,0),"❌ Account Not Found"))</f>
        <v/>
      </c>
      <c r="C74" s="89" t="str">
        <f>IF(A74="","",IFERROR(VLOOKUP(A74,DB_Customers!$A:$N,14,0),""))</f>
        <v/>
      </c>
      <c r="D74" s="90" t="str">
        <f t="shared" ca="1" si="6"/>
        <v/>
      </c>
      <c r="E74" s="97"/>
      <c r="F74" s="25"/>
      <c r="G74" s="99" t="str">
        <f t="shared" si="7"/>
        <v/>
      </c>
      <c r="H74" s="27"/>
      <c r="I74" s="84"/>
      <c r="J74" s="92" t="str">
        <f>IF(AND(A74&lt;&gt;"",E74&lt;&gt;""),IF(I74="","⚠️ Enter Code",IF(IFERROR(VLOOKUP(H74,DB_Agents!$B:$I,8,0),"")=I74,IF(C74&gt;=E74,"Successful","Unsuccessful"),"🔒 BLOCKED — Wrong Code")),"—")</f>
        <v>—</v>
      </c>
      <c r="K74" s="93" t="str">
        <f t="shared" ca="1" si="8"/>
        <v>—</v>
      </c>
      <c r="L74" s="94"/>
    </row>
    <row r="75" spans="1:12" x14ac:dyDescent="0.25">
      <c r="A75" s="79"/>
      <c r="B75" s="21" t="str">
        <f>IF(A75="","",IFERROR(VLOOKUP(A75,DB_Customers!$A:$D,4,0),"❌ Account Not Found"))</f>
        <v/>
      </c>
      <c r="C75" s="80" t="str">
        <f>IF(A75="","",IFERROR(VLOOKUP(A75,DB_Customers!$A:$N,14,0),""))</f>
        <v/>
      </c>
      <c r="D75" s="81" t="str">
        <f t="shared" ca="1" si="6"/>
        <v/>
      </c>
      <c r="E75" s="97"/>
      <c r="F75" s="21"/>
      <c r="G75" s="98" t="str">
        <f t="shared" si="7"/>
        <v/>
      </c>
      <c r="H75" s="23"/>
      <c r="I75" s="84"/>
      <c r="J75" s="85" t="str">
        <f>IF(AND(A75&lt;&gt;"",E75&lt;&gt;""),IF(I75="","⚠️ Enter Code",IF(IFERROR(VLOOKUP(H75,DB_Agents!$B:$I,8,0),"")=I75,IF(C75&gt;=E75,"Successful","Unsuccessful"),"🔒 BLOCKED — Wrong Code")),"—")</f>
        <v>—</v>
      </c>
      <c r="K75" s="86" t="str">
        <f t="shared" ca="1" si="8"/>
        <v>—</v>
      </c>
      <c r="L75" s="87"/>
    </row>
    <row r="76" spans="1:12" x14ac:dyDescent="0.25">
      <c r="A76" s="88"/>
      <c r="B76" s="25" t="str">
        <f>IF(A76="","",IFERROR(VLOOKUP(A76,DB_Customers!$A:$D,4,0),"❌ Account Not Found"))</f>
        <v/>
      </c>
      <c r="C76" s="89" t="str">
        <f>IF(A76="","",IFERROR(VLOOKUP(A76,DB_Customers!$A:$N,14,0),""))</f>
        <v/>
      </c>
      <c r="D76" s="90" t="str">
        <f t="shared" ca="1" si="6"/>
        <v/>
      </c>
      <c r="E76" s="97"/>
      <c r="F76" s="25"/>
      <c r="G76" s="99" t="str">
        <f t="shared" si="7"/>
        <v/>
      </c>
      <c r="H76" s="27"/>
      <c r="I76" s="84"/>
      <c r="J76" s="92" t="str">
        <f>IF(AND(A76&lt;&gt;"",E76&lt;&gt;""),IF(I76="","⚠️ Enter Code",IF(IFERROR(VLOOKUP(H76,DB_Agents!$B:$I,8,0),"")=I76,IF(C76&gt;=E76,"Successful","Unsuccessful"),"🔒 BLOCKED — Wrong Code")),"—")</f>
        <v>—</v>
      </c>
      <c r="K76" s="93" t="str">
        <f t="shared" ca="1" si="8"/>
        <v>—</v>
      </c>
      <c r="L76" s="94"/>
    </row>
    <row r="77" spans="1:12" x14ac:dyDescent="0.25">
      <c r="A77" s="79"/>
      <c r="B77" s="21" t="str">
        <f>IF(A77="","",IFERROR(VLOOKUP(A77,DB_Customers!$A:$D,4,0),"❌ Account Not Found"))</f>
        <v/>
      </c>
      <c r="C77" s="80" t="str">
        <f>IF(A77="","",IFERROR(VLOOKUP(A77,DB_Customers!$A:$N,14,0),""))</f>
        <v/>
      </c>
      <c r="D77" s="81" t="str">
        <f t="shared" ca="1" si="6"/>
        <v/>
      </c>
      <c r="E77" s="97"/>
      <c r="F77" s="21"/>
      <c r="G77" s="98" t="str">
        <f t="shared" si="7"/>
        <v/>
      </c>
      <c r="H77" s="23"/>
      <c r="I77" s="84"/>
      <c r="J77" s="85" t="str">
        <f>IF(AND(A77&lt;&gt;"",E77&lt;&gt;""),IF(I77="","⚠️ Enter Code",IF(IFERROR(VLOOKUP(H77,DB_Agents!$B:$I,8,0),"")=I77,IF(C77&gt;=E77,"Successful","Unsuccessful"),"🔒 BLOCKED — Wrong Code")),"—")</f>
        <v>—</v>
      </c>
      <c r="K77" s="86" t="str">
        <f t="shared" ca="1" si="8"/>
        <v>—</v>
      </c>
      <c r="L77" s="87"/>
    </row>
    <row r="78" spans="1:12" x14ac:dyDescent="0.25">
      <c r="A78" s="88"/>
      <c r="B78" s="25" t="str">
        <f>IF(A78="","",IFERROR(VLOOKUP(A78,DB_Customers!$A:$D,4,0),"❌ Account Not Found"))</f>
        <v/>
      </c>
      <c r="C78" s="89" t="str">
        <f>IF(A78="","",IFERROR(VLOOKUP(A78,DB_Customers!$A:$N,14,0),""))</f>
        <v/>
      </c>
      <c r="D78" s="90" t="str">
        <f t="shared" ca="1" si="6"/>
        <v/>
      </c>
      <c r="E78" s="97"/>
      <c r="F78" s="25"/>
      <c r="G78" s="99" t="str">
        <f t="shared" si="7"/>
        <v/>
      </c>
      <c r="H78" s="27"/>
      <c r="I78" s="84"/>
      <c r="J78" s="92" t="str">
        <f>IF(AND(A78&lt;&gt;"",E78&lt;&gt;""),IF(I78="","⚠️ Enter Code",IF(IFERROR(VLOOKUP(H78,DB_Agents!$B:$I,8,0),"")=I78,IF(C78&gt;=E78,"Successful","Unsuccessful"),"🔒 BLOCKED — Wrong Code")),"—")</f>
        <v>—</v>
      </c>
      <c r="K78" s="93" t="str">
        <f t="shared" ca="1" si="8"/>
        <v>—</v>
      </c>
      <c r="L78" s="94"/>
    </row>
    <row r="79" spans="1:12" x14ac:dyDescent="0.25">
      <c r="A79" s="79"/>
      <c r="B79" s="21" t="str">
        <f>IF(A79="","",IFERROR(VLOOKUP(A79,DB_Customers!$A:$D,4,0),"❌ Account Not Found"))</f>
        <v/>
      </c>
      <c r="C79" s="80" t="str">
        <f>IF(A79="","",IFERROR(VLOOKUP(A79,DB_Customers!$A:$N,14,0),""))</f>
        <v/>
      </c>
      <c r="D79" s="81" t="str">
        <f t="shared" ca="1" si="6"/>
        <v/>
      </c>
      <c r="E79" s="97"/>
      <c r="F79" s="21"/>
      <c r="G79" s="98" t="str">
        <f t="shared" si="7"/>
        <v/>
      </c>
      <c r="H79" s="23"/>
      <c r="I79" s="84"/>
      <c r="J79" s="85" t="str">
        <f>IF(AND(A79&lt;&gt;"",E79&lt;&gt;""),IF(I79="","⚠️ Enter Code",IF(IFERROR(VLOOKUP(H79,DB_Agents!$B:$I,8,0),"")=I79,IF(C79&gt;=E79,"Successful","Unsuccessful"),"🔒 BLOCKED — Wrong Code")),"—")</f>
        <v>—</v>
      </c>
      <c r="K79" s="86" t="str">
        <f t="shared" ca="1" si="8"/>
        <v>—</v>
      </c>
      <c r="L79" s="87"/>
    </row>
    <row r="80" spans="1:12" x14ac:dyDescent="0.25">
      <c r="A80" s="88"/>
      <c r="B80" s="25" t="str">
        <f>IF(A80="","",IFERROR(VLOOKUP(A80,DB_Customers!$A:$D,4,0),"❌ Account Not Found"))</f>
        <v/>
      </c>
      <c r="C80" s="89" t="str">
        <f>IF(A80="","",IFERROR(VLOOKUP(A80,DB_Customers!$A:$N,14,0),""))</f>
        <v/>
      </c>
      <c r="D80" s="90" t="str">
        <f t="shared" ca="1" si="6"/>
        <v/>
      </c>
      <c r="E80" s="97"/>
      <c r="F80" s="25"/>
      <c r="G80" s="99" t="str">
        <f t="shared" si="7"/>
        <v/>
      </c>
      <c r="H80" s="27"/>
      <c r="I80" s="84"/>
      <c r="J80" s="92" t="str">
        <f>IF(AND(A80&lt;&gt;"",E80&lt;&gt;""),IF(I80="","⚠️ Enter Code",IF(IFERROR(VLOOKUP(H80,DB_Agents!$B:$I,8,0),"")=I80,IF(C80&gt;=E80,"Successful","Unsuccessful"),"🔒 BLOCKED — Wrong Code")),"—")</f>
        <v>—</v>
      </c>
      <c r="K80" s="93" t="str">
        <f t="shared" ca="1" si="8"/>
        <v>—</v>
      </c>
      <c r="L80" s="94"/>
    </row>
    <row r="81" spans="1:12" x14ac:dyDescent="0.25">
      <c r="A81" s="79"/>
      <c r="B81" s="21" t="str">
        <f>IF(A81="","",IFERROR(VLOOKUP(A81,DB_Customers!$A:$D,4,0),"❌ Account Not Found"))</f>
        <v/>
      </c>
      <c r="C81" s="80" t="str">
        <f>IF(A81="","",IFERROR(VLOOKUP(A81,DB_Customers!$A:$N,14,0),""))</f>
        <v/>
      </c>
      <c r="D81" s="81" t="str">
        <f t="shared" ca="1" si="6"/>
        <v/>
      </c>
      <c r="E81" s="97"/>
      <c r="F81" s="21"/>
      <c r="G81" s="98" t="str">
        <f t="shared" si="7"/>
        <v/>
      </c>
      <c r="H81" s="23"/>
      <c r="I81" s="84"/>
      <c r="J81" s="85" t="str">
        <f>IF(AND(A81&lt;&gt;"",E81&lt;&gt;""),IF(I81="","⚠️ Enter Code",IF(IFERROR(VLOOKUP(H81,DB_Agents!$B:$I,8,0),"")=I81,IF(C81&gt;=E81,"Successful","Unsuccessful"),"🔒 BLOCKED — Wrong Code")),"—")</f>
        <v>—</v>
      </c>
      <c r="K81" s="86" t="str">
        <f t="shared" ca="1" si="8"/>
        <v>—</v>
      </c>
      <c r="L81" s="87"/>
    </row>
    <row r="82" spans="1:12" x14ac:dyDescent="0.25">
      <c r="A82" s="88"/>
      <c r="B82" s="25" t="str">
        <f>IF(A82="","",IFERROR(VLOOKUP(A82,DB_Customers!$A:$D,4,0),"❌ Account Not Found"))</f>
        <v/>
      </c>
      <c r="C82" s="89" t="str">
        <f>IF(A82="","",IFERROR(VLOOKUP(A82,DB_Customers!$A:$N,14,0),""))</f>
        <v/>
      </c>
      <c r="D82" s="90" t="str">
        <f t="shared" ca="1" si="6"/>
        <v/>
      </c>
      <c r="E82" s="97"/>
      <c r="F82" s="25"/>
      <c r="G82" s="99" t="str">
        <f t="shared" si="7"/>
        <v/>
      </c>
      <c r="H82" s="27"/>
      <c r="I82" s="84"/>
      <c r="J82" s="92" t="str">
        <f>IF(AND(A82&lt;&gt;"",E82&lt;&gt;""),IF(I82="","⚠️ Enter Code",IF(IFERROR(VLOOKUP(H82,DB_Agents!$B:$I,8,0),"")=I82,IF(C82&gt;=E82,"Successful","Unsuccessful"),"🔒 BLOCKED — Wrong Code")),"—")</f>
        <v>—</v>
      </c>
      <c r="K82" s="93" t="str">
        <f t="shared" ca="1" si="8"/>
        <v>—</v>
      </c>
      <c r="L82" s="94"/>
    </row>
    <row r="83" spans="1:12" x14ac:dyDescent="0.25">
      <c r="A83" s="79"/>
      <c r="B83" s="21" t="str">
        <f>IF(A83="","",IFERROR(VLOOKUP(A83,DB_Customers!$A:$D,4,0),"❌ Account Not Found"))</f>
        <v/>
      </c>
      <c r="C83" s="80" t="str">
        <f>IF(A83="","",IFERROR(VLOOKUP(A83,DB_Customers!$A:$N,14,0),""))</f>
        <v/>
      </c>
      <c r="D83" s="81" t="str">
        <f t="shared" ca="1" si="6"/>
        <v/>
      </c>
      <c r="E83" s="97"/>
      <c r="F83" s="21"/>
      <c r="G83" s="98" t="str">
        <f t="shared" si="7"/>
        <v/>
      </c>
      <c r="H83" s="23"/>
      <c r="I83" s="84"/>
      <c r="J83" s="85" t="str">
        <f>IF(AND(A83&lt;&gt;"",E83&lt;&gt;""),IF(I83="","⚠️ Enter Code",IF(IFERROR(VLOOKUP(H83,DB_Agents!$B:$I,8,0),"")=I83,IF(C83&gt;=E83,"Successful","Unsuccessful"),"🔒 BLOCKED — Wrong Code")),"—")</f>
        <v>—</v>
      </c>
      <c r="K83" s="86" t="str">
        <f t="shared" ca="1" si="8"/>
        <v>—</v>
      </c>
      <c r="L83" s="87"/>
    </row>
    <row r="84" spans="1:12" x14ac:dyDescent="0.25">
      <c r="A84" s="88"/>
      <c r="B84" s="25" t="str">
        <f>IF(A84="","",IFERROR(VLOOKUP(A84,DB_Customers!$A:$D,4,0),"❌ Account Not Found"))</f>
        <v/>
      </c>
      <c r="C84" s="89" t="str">
        <f>IF(A84="","",IFERROR(VLOOKUP(A84,DB_Customers!$A:$N,14,0),""))</f>
        <v/>
      </c>
      <c r="D84" s="90" t="str">
        <f t="shared" ca="1" si="6"/>
        <v/>
      </c>
      <c r="E84" s="97"/>
      <c r="F84" s="25"/>
      <c r="G84" s="99" t="str">
        <f t="shared" si="7"/>
        <v/>
      </c>
      <c r="H84" s="27"/>
      <c r="I84" s="84"/>
      <c r="J84" s="92" t="str">
        <f>IF(AND(A84&lt;&gt;"",E84&lt;&gt;""),IF(I84="","⚠️ Enter Code",IF(IFERROR(VLOOKUP(H84,DB_Agents!$B:$I,8,0),"")=I84,IF(C84&gt;=E84,"Successful","Unsuccessful"),"🔒 BLOCKED — Wrong Code")),"—")</f>
        <v>—</v>
      </c>
      <c r="K84" s="93" t="str">
        <f t="shared" ca="1" si="8"/>
        <v>—</v>
      </c>
      <c r="L84" s="94"/>
    </row>
    <row r="85" spans="1:12" x14ac:dyDescent="0.25">
      <c r="A85" s="79"/>
      <c r="B85" s="21" t="str">
        <f>IF(A85="","",IFERROR(VLOOKUP(A85,DB_Customers!$A:$D,4,0),"❌ Account Not Found"))</f>
        <v/>
      </c>
      <c r="C85" s="80" t="str">
        <f>IF(A85="","",IFERROR(VLOOKUP(A85,DB_Customers!$A:$N,14,0),""))</f>
        <v/>
      </c>
      <c r="D85" s="81" t="str">
        <f t="shared" ca="1" si="6"/>
        <v/>
      </c>
      <c r="E85" s="97"/>
      <c r="F85" s="21"/>
      <c r="G85" s="98" t="str">
        <f t="shared" si="7"/>
        <v/>
      </c>
      <c r="H85" s="23"/>
      <c r="I85" s="84"/>
      <c r="J85" s="85" t="str">
        <f>IF(AND(A85&lt;&gt;"",E85&lt;&gt;""),IF(I85="","⚠️ Enter Code",IF(IFERROR(VLOOKUP(H85,DB_Agents!$B:$I,8,0),"")=I85,IF(C85&gt;=E85,"Successful","Unsuccessful"),"🔒 BLOCKED — Wrong Code")),"—")</f>
        <v>—</v>
      </c>
      <c r="K85" s="86" t="str">
        <f t="shared" ca="1" si="8"/>
        <v>—</v>
      </c>
      <c r="L85" s="87"/>
    </row>
    <row r="86" spans="1:12" x14ac:dyDescent="0.25">
      <c r="A86" s="88"/>
      <c r="B86" s="25" t="str">
        <f>IF(A86="","",IFERROR(VLOOKUP(A86,DB_Customers!$A:$D,4,0),"❌ Account Not Found"))</f>
        <v/>
      </c>
      <c r="C86" s="89" t="str">
        <f>IF(A86="","",IFERROR(VLOOKUP(A86,DB_Customers!$A:$N,14,0),""))</f>
        <v/>
      </c>
      <c r="D86" s="90" t="str">
        <f t="shared" ca="1" si="6"/>
        <v/>
      </c>
      <c r="E86" s="97"/>
      <c r="F86" s="25"/>
      <c r="G86" s="99" t="str">
        <f t="shared" si="7"/>
        <v/>
      </c>
      <c r="H86" s="27"/>
      <c r="I86" s="84"/>
      <c r="J86" s="92" t="str">
        <f>IF(AND(A86&lt;&gt;"",E86&lt;&gt;""),IF(I86="","⚠️ Enter Code",IF(IFERROR(VLOOKUP(H86,DB_Agents!$B:$I,8,0),"")=I86,IF(C86&gt;=E86,"Successful","Unsuccessful"),"🔒 BLOCKED — Wrong Code")),"—")</f>
        <v>—</v>
      </c>
      <c r="K86" s="93" t="str">
        <f t="shared" ca="1" si="8"/>
        <v>—</v>
      </c>
      <c r="L86" s="94"/>
    </row>
    <row r="87" spans="1:12" x14ac:dyDescent="0.25">
      <c r="A87" s="79"/>
      <c r="B87" s="21" t="str">
        <f>IF(A87="","",IFERROR(VLOOKUP(A87,DB_Customers!$A:$D,4,0),"❌ Account Not Found"))</f>
        <v/>
      </c>
      <c r="C87" s="80" t="str">
        <f>IF(A87="","",IFERROR(VLOOKUP(A87,DB_Customers!$A:$N,14,0),""))</f>
        <v/>
      </c>
      <c r="D87" s="81" t="str">
        <f t="shared" ca="1" si="6"/>
        <v/>
      </c>
      <c r="E87" s="97"/>
      <c r="F87" s="21"/>
      <c r="G87" s="98" t="str">
        <f t="shared" si="7"/>
        <v/>
      </c>
      <c r="H87" s="23"/>
      <c r="I87" s="84"/>
      <c r="J87" s="85" t="str">
        <f>IF(AND(A87&lt;&gt;"",E87&lt;&gt;""),IF(I87="","⚠️ Enter Code",IF(IFERROR(VLOOKUP(H87,DB_Agents!$B:$I,8,0),"")=I87,IF(C87&gt;=E87,"Successful","Unsuccessful"),"🔒 BLOCKED — Wrong Code")),"—")</f>
        <v>—</v>
      </c>
      <c r="K87" s="86" t="str">
        <f t="shared" ca="1" si="8"/>
        <v>—</v>
      </c>
      <c r="L87" s="87"/>
    </row>
    <row r="88" spans="1:12" x14ac:dyDescent="0.25">
      <c r="A88" s="88"/>
      <c r="B88" s="25" t="str">
        <f>IF(A88="","",IFERROR(VLOOKUP(A88,DB_Customers!$A:$D,4,0),"❌ Account Not Found"))</f>
        <v/>
      </c>
      <c r="C88" s="89" t="str">
        <f>IF(A88="","",IFERROR(VLOOKUP(A88,DB_Customers!$A:$N,14,0),""))</f>
        <v/>
      </c>
      <c r="D88" s="90" t="str">
        <f t="shared" ca="1" si="6"/>
        <v/>
      </c>
      <c r="E88" s="97"/>
      <c r="F88" s="25"/>
      <c r="G88" s="99" t="str">
        <f t="shared" si="7"/>
        <v/>
      </c>
      <c r="H88" s="27"/>
      <c r="I88" s="84"/>
      <c r="J88" s="92" t="str">
        <f>IF(AND(A88&lt;&gt;"",E88&lt;&gt;""),IF(I88="","⚠️ Enter Code",IF(IFERROR(VLOOKUP(H88,DB_Agents!$B:$I,8,0),"")=I88,IF(C88&gt;=E88,"Successful","Unsuccessful"),"🔒 BLOCKED — Wrong Code")),"—")</f>
        <v>—</v>
      </c>
      <c r="K88" s="93" t="str">
        <f t="shared" ca="1" si="8"/>
        <v>—</v>
      </c>
      <c r="L88" s="94"/>
    </row>
    <row r="89" spans="1:12" x14ac:dyDescent="0.25">
      <c r="A89" s="79"/>
      <c r="B89" s="21" t="str">
        <f>IF(A89="","",IFERROR(VLOOKUP(A89,DB_Customers!$A:$D,4,0),"❌ Account Not Found"))</f>
        <v/>
      </c>
      <c r="C89" s="80" t="str">
        <f>IF(A89="","",IFERROR(VLOOKUP(A89,DB_Customers!$A:$N,14,0),""))</f>
        <v/>
      </c>
      <c r="D89" s="81" t="str">
        <f t="shared" ca="1" si="6"/>
        <v/>
      </c>
      <c r="E89" s="97"/>
      <c r="F89" s="21"/>
      <c r="G89" s="98" t="str">
        <f t="shared" si="7"/>
        <v/>
      </c>
      <c r="H89" s="23"/>
      <c r="I89" s="84"/>
      <c r="J89" s="85" t="str">
        <f>IF(AND(A89&lt;&gt;"",E89&lt;&gt;""),IF(I89="","⚠️ Enter Code",IF(IFERROR(VLOOKUP(H89,DB_Agents!$B:$I,8,0),"")=I89,IF(C89&gt;=E89,"Successful","Unsuccessful"),"🔒 BLOCKED — Wrong Code")),"—")</f>
        <v>—</v>
      </c>
      <c r="K89" s="86" t="str">
        <f t="shared" ca="1" si="8"/>
        <v>—</v>
      </c>
      <c r="L89" s="87"/>
    </row>
    <row r="90" spans="1:12" x14ac:dyDescent="0.25">
      <c r="A90" s="88"/>
      <c r="B90" s="25" t="str">
        <f>IF(A90="","",IFERROR(VLOOKUP(A90,DB_Customers!$A:$D,4,0),"❌ Account Not Found"))</f>
        <v/>
      </c>
      <c r="C90" s="89" t="str">
        <f>IF(A90="","",IFERROR(VLOOKUP(A90,DB_Customers!$A:$N,14,0),""))</f>
        <v/>
      </c>
      <c r="D90" s="90" t="str">
        <f t="shared" ca="1" si="6"/>
        <v/>
      </c>
      <c r="E90" s="97"/>
      <c r="F90" s="25"/>
      <c r="G90" s="99" t="str">
        <f t="shared" si="7"/>
        <v/>
      </c>
      <c r="H90" s="27"/>
      <c r="I90" s="84"/>
      <c r="J90" s="92" t="str">
        <f>IF(AND(A90&lt;&gt;"",E90&lt;&gt;""),IF(I90="","⚠️ Enter Code",IF(IFERROR(VLOOKUP(H90,DB_Agents!$B:$I,8,0),"")=I90,IF(C90&gt;=E90,"Successful","Unsuccessful"),"🔒 BLOCKED — Wrong Code")),"—")</f>
        <v>—</v>
      </c>
      <c r="K90" s="93" t="str">
        <f t="shared" ca="1" si="8"/>
        <v>—</v>
      </c>
      <c r="L90" s="94"/>
    </row>
    <row r="91" spans="1:12" x14ac:dyDescent="0.25">
      <c r="A91" s="79"/>
      <c r="B91" s="21" t="str">
        <f>IF(A91="","",IFERROR(VLOOKUP(A91,DB_Customers!$A:$D,4,0),"❌ Account Not Found"))</f>
        <v/>
      </c>
      <c r="C91" s="80" t="str">
        <f>IF(A91="","",IFERROR(VLOOKUP(A91,DB_Customers!$A:$N,14,0),""))</f>
        <v/>
      </c>
      <c r="D91" s="81" t="str">
        <f t="shared" ca="1" si="6"/>
        <v/>
      </c>
      <c r="E91" s="97"/>
      <c r="F91" s="21"/>
      <c r="G91" s="98" t="str">
        <f t="shared" si="7"/>
        <v/>
      </c>
      <c r="H91" s="23"/>
      <c r="I91" s="84"/>
      <c r="J91" s="85" t="str">
        <f>IF(AND(A91&lt;&gt;"",E91&lt;&gt;""),IF(I91="","⚠️ Enter Code",IF(IFERROR(VLOOKUP(H91,DB_Agents!$B:$I,8,0),"")=I91,IF(C91&gt;=E91,"Successful","Unsuccessful"),"🔒 BLOCKED — Wrong Code")),"—")</f>
        <v>—</v>
      </c>
      <c r="K91" s="86" t="str">
        <f t="shared" ca="1" si="8"/>
        <v>—</v>
      </c>
      <c r="L91" s="87"/>
    </row>
    <row r="92" spans="1:12" x14ac:dyDescent="0.25">
      <c r="A92" s="88"/>
      <c r="B92" s="25" t="str">
        <f>IF(A92="","",IFERROR(VLOOKUP(A92,DB_Customers!$A:$D,4,0),"❌ Account Not Found"))</f>
        <v/>
      </c>
      <c r="C92" s="89" t="str">
        <f>IF(A92="","",IFERROR(VLOOKUP(A92,DB_Customers!$A:$N,14,0),""))</f>
        <v/>
      </c>
      <c r="D92" s="90" t="str">
        <f t="shared" ca="1" si="6"/>
        <v/>
      </c>
      <c r="E92" s="97"/>
      <c r="F92" s="25"/>
      <c r="G92" s="99" t="str">
        <f t="shared" si="7"/>
        <v/>
      </c>
      <c r="H92" s="27"/>
      <c r="I92" s="84"/>
      <c r="J92" s="92" t="str">
        <f>IF(AND(A92&lt;&gt;"",E92&lt;&gt;""),IF(I92="","⚠️ Enter Code",IF(IFERROR(VLOOKUP(H92,DB_Agents!$B:$I,8,0),"")=I92,IF(C92&gt;=E92,"Successful","Unsuccessful"),"🔒 BLOCKED — Wrong Code")),"—")</f>
        <v>—</v>
      </c>
      <c r="K92" s="93" t="str">
        <f t="shared" ca="1" si="8"/>
        <v>—</v>
      </c>
      <c r="L92" s="94"/>
    </row>
    <row r="93" spans="1:12" x14ac:dyDescent="0.25">
      <c r="A93" s="79"/>
      <c r="B93" s="21" t="str">
        <f>IF(A93="","",IFERROR(VLOOKUP(A93,DB_Customers!$A:$D,4,0),"❌ Account Not Found"))</f>
        <v/>
      </c>
      <c r="C93" s="80" t="str">
        <f>IF(A93="","",IFERROR(VLOOKUP(A93,DB_Customers!$A:$N,14,0),""))</f>
        <v/>
      </c>
      <c r="D93" s="81" t="str">
        <f t="shared" ca="1" si="6"/>
        <v/>
      </c>
      <c r="E93" s="97"/>
      <c r="F93" s="21"/>
      <c r="G93" s="98" t="str">
        <f t="shared" si="7"/>
        <v/>
      </c>
      <c r="H93" s="23"/>
      <c r="I93" s="84"/>
      <c r="J93" s="85" t="str">
        <f>IF(AND(A93&lt;&gt;"",E93&lt;&gt;""),IF(I93="","⚠️ Enter Code",IF(IFERROR(VLOOKUP(H93,DB_Agents!$B:$I,8,0),"")=I93,IF(C93&gt;=E93,"Successful","Unsuccessful"),"🔒 BLOCKED — Wrong Code")),"—")</f>
        <v>—</v>
      </c>
      <c r="K93" s="86" t="str">
        <f t="shared" ca="1" si="8"/>
        <v>—</v>
      </c>
      <c r="L93" s="87"/>
    </row>
    <row r="94" spans="1:12" x14ac:dyDescent="0.25">
      <c r="A94" s="88"/>
      <c r="B94" s="25" t="str">
        <f>IF(A94="","",IFERROR(VLOOKUP(A94,DB_Customers!$A:$D,4,0),"❌ Account Not Found"))</f>
        <v/>
      </c>
      <c r="C94" s="89" t="str">
        <f>IF(A94="","",IFERROR(VLOOKUP(A94,DB_Customers!$A:$N,14,0),""))</f>
        <v/>
      </c>
      <c r="D94" s="90" t="str">
        <f t="shared" ca="1" si="6"/>
        <v/>
      </c>
      <c r="E94" s="97"/>
      <c r="F94" s="25"/>
      <c r="G94" s="99" t="str">
        <f t="shared" si="7"/>
        <v/>
      </c>
      <c r="H94" s="27"/>
      <c r="I94" s="84"/>
      <c r="J94" s="92" t="str">
        <f>IF(AND(A94&lt;&gt;"",E94&lt;&gt;""),IF(I94="","⚠️ Enter Code",IF(IFERROR(VLOOKUP(H94,DB_Agents!$B:$I,8,0),"")=I94,IF(C94&gt;=E94,"Successful","Unsuccessful"),"🔒 BLOCKED — Wrong Code")),"—")</f>
        <v>—</v>
      </c>
      <c r="K94" s="93" t="str">
        <f t="shared" ca="1" si="8"/>
        <v>—</v>
      </c>
      <c r="L94" s="94"/>
    </row>
    <row r="95" spans="1:12" x14ac:dyDescent="0.25">
      <c r="A95" s="79"/>
      <c r="B95" s="21" t="str">
        <f>IF(A95="","",IFERROR(VLOOKUP(A95,DB_Customers!$A:$D,4,0),"❌ Account Not Found"))</f>
        <v/>
      </c>
      <c r="C95" s="80" t="str">
        <f>IF(A95="","",IFERROR(VLOOKUP(A95,DB_Customers!$A:$N,14,0),""))</f>
        <v/>
      </c>
      <c r="D95" s="81" t="str">
        <f t="shared" ca="1" si="6"/>
        <v/>
      </c>
      <c r="E95" s="97"/>
      <c r="F95" s="21"/>
      <c r="G95" s="98" t="str">
        <f t="shared" si="7"/>
        <v/>
      </c>
      <c r="H95" s="23"/>
      <c r="I95" s="84"/>
      <c r="J95" s="85" t="str">
        <f>IF(AND(A95&lt;&gt;"",E95&lt;&gt;""),IF(I95="","⚠️ Enter Code",IF(IFERROR(VLOOKUP(H95,DB_Agents!$B:$I,8,0),"")=I95,IF(C95&gt;=E95,"Successful","Unsuccessful"),"🔒 BLOCKED — Wrong Code")),"—")</f>
        <v>—</v>
      </c>
      <c r="K95" s="86" t="str">
        <f t="shared" ca="1" si="8"/>
        <v>—</v>
      </c>
      <c r="L95" s="87"/>
    </row>
    <row r="96" spans="1:12" x14ac:dyDescent="0.25">
      <c r="A96" s="88"/>
      <c r="B96" s="25" t="str">
        <f>IF(A96="","",IFERROR(VLOOKUP(A96,DB_Customers!$A:$D,4,0),"❌ Account Not Found"))</f>
        <v/>
      </c>
      <c r="C96" s="89" t="str">
        <f>IF(A96="","",IFERROR(VLOOKUP(A96,DB_Customers!$A:$N,14,0),""))</f>
        <v/>
      </c>
      <c r="D96" s="90" t="str">
        <f t="shared" ca="1" si="6"/>
        <v/>
      </c>
      <c r="E96" s="97"/>
      <c r="F96" s="25"/>
      <c r="G96" s="99" t="str">
        <f t="shared" si="7"/>
        <v/>
      </c>
      <c r="H96" s="27"/>
      <c r="I96" s="84"/>
      <c r="J96" s="92" t="str">
        <f>IF(AND(A96&lt;&gt;"",E96&lt;&gt;""),IF(I96="","⚠️ Enter Code",IF(IFERROR(VLOOKUP(H96,DB_Agents!$B:$I,8,0),"")=I96,IF(C96&gt;=E96,"Successful","Unsuccessful"),"🔒 BLOCKED — Wrong Code")),"—")</f>
        <v>—</v>
      </c>
      <c r="K96" s="93" t="str">
        <f t="shared" ca="1" si="8"/>
        <v>—</v>
      </c>
      <c r="L96" s="94"/>
    </row>
    <row r="97" spans="1:12" x14ac:dyDescent="0.25">
      <c r="A97" s="79"/>
      <c r="B97" s="21" t="str">
        <f>IF(A97="","",IFERROR(VLOOKUP(A97,DB_Customers!$A:$D,4,0),"❌ Account Not Found"))</f>
        <v/>
      </c>
      <c r="C97" s="80" t="str">
        <f>IF(A97="","",IFERROR(VLOOKUP(A97,DB_Customers!$A:$N,14,0),""))</f>
        <v/>
      </c>
      <c r="D97" s="81" t="str">
        <f t="shared" ca="1" si="6"/>
        <v/>
      </c>
      <c r="E97" s="97"/>
      <c r="F97" s="21"/>
      <c r="G97" s="98" t="str">
        <f t="shared" si="7"/>
        <v/>
      </c>
      <c r="H97" s="23"/>
      <c r="I97" s="84"/>
      <c r="J97" s="85" t="str">
        <f>IF(AND(A97&lt;&gt;"",E97&lt;&gt;""),IF(I97="","⚠️ Enter Code",IF(IFERROR(VLOOKUP(H97,DB_Agents!$B:$I,8,0),"")=I97,IF(C97&gt;=E97,"Successful","Unsuccessful"),"🔒 BLOCKED — Wrong Code")),"—")</f>
        <v>—</v>
      </c>
      <c r="K97" s="86" t="str">
        <f t="shared" ca="1" si="8"/>
        <v>—</v>
      </c>
      <c r="L97" s="87"/>
    </row>
    <row r="98" spans="1:12" x14ac:dyDescent="0.25">
      <c r="A98" s="88"/>
      <c r="B98" s="25" t="str">
        <f>IF(A98="","",IFERROR(VLOOKUP(A98,DB_Customers!$A:$D,4,0),"❌ Account Not Found"))</f>
        <v/>
      </c>
      <c r="C98" s="89" t="str">
        <f>IF(A98="","",IFERROR(VLOOKUP(A98,DB_Customers!$A:$N,14,0),""))</f>
        <v/>
      </c>
      <c r="D98" s="90" t="str">
        <f t="shared" ca="1" si="6"/>
        <v/>
      </c>
      <c r="E98" s="97"/>
      <c r="F98" s="25"/>
      <c r="G98" s="99" t="str">
        <f t="shared" si="7"/>
        <v/>
      </c>
      <c r="H98" s="27"/>
      <c r="I98" s="84"/>
      <c r="J98" s="92" t="str">
        <f>IF(AND(A98&lt;&gt;"",E98&lt;&gt;""),IF(I98="","⚠️ Enter Code",IF(IFERROR(VLOOKUP(H98,DB_Agents!$B:$I,8,0),"")=I98,IF(C98&gt;=E98,"Successful","Unsuccessful"),"🔒 BLOCKED — Wrong Code")),"—")</f>
        <v>—</v>
      </c>
      <c r="K98" s="93" t="str">
        <f t="shared" ca="1" si="8"/>
        <v>—</v>
      </c>
      <c r="L98" s="94"/>
    </row>
    <row r="99" spans="1:12" x14ac:dyDescent="0.25">
      <c r="A99" s="79"/>
      <c r="B99" s="21" t="str">
        <f>IF(A99="","",IFERROR(VLOOKUP(A99,DB_Customers!$A:$D,4,0),"❌ Account Not Found"))</f>
        <v/>
      </c>
      <c r="C99" s="80" t="str">
        <f>IF(A99="","",IFERROR(VLOOKUP(A99,DB_Customers!$A:$N,14,0),""))</f>
        <v/>
      </c>
      <c r="D99" s="81" t="str">
        <f t="shared" ca="1" si="6"/>
        <v/>
      </c>
      <c r="E99" s="97"/>
      <c r="F99" s="21"/>
      <c r="G99" s="98" t="str">
        <f t="shared" si="7"/>
        <v/>
      </c>
      <c r="H99" s="23"/>
      <c r="I99" s="84"/>
      <c r="J99" s="85" t="str">
        <f>IF(AND(A99&lt;&gt;"",E99&lt;&gt;""),IF(I99="","⚠️ Enter Code",IF(IFERROR(VLOOKUP(H99,DB_Agents!$B:$I,8,0),"")=I99,IF(C99&gt;=E99,"Successful","Unsuccessful"),"🔒 BLOCKED — Wrong Code")),"—")</f>
        <v>—</v>
      </c>
      <c r="K99" s="86" t="str">
        <f t="shared" ca="1" si="8"/>
        <v>—</v>
      </c>
      <c r="L99" s="87"/>
    </row>
    <row r="100" spans="1:12" x14ac:dyDescent="0.25">
      <c r="A100" s="88"/>
      <c r="B100" s="25" t="str">
        <f>IF(A100="","",IFERROR(VLOOKUP(A100,DB_Customers!$A:$D,4,0),"❌ Account Not Found"))</f>
        <v/>
      </c>
      <c r="C100" s="89" t="str">
        <f>IF(A100="","",IFERROR(VLOOKUP(A100,DB_Customers!$A:$N,14,0),""))</f>
        <v/>
      </c>
      <c r="D100" s="90" t="str">
        <f t="shared" ca="1" si="6"/>
        <v/>
      </c>
      <c r="E100" s="97"/>
      <c r="F100" s="25"/>
      <c r="G100" s="99" t="str">
        <f t="shared" si="7"/>
        <v/>
      </c>
      <c r="H100" s="27"/>
      <c r="I100" s="84"/>
      <c r="J100" s="92" t="str">
        <f>IF(AND(A100&lt;&gt;"",E100&lt;&gt;""),IF(I100="","⚠️ Enter Code",IF(IFERROR(VLOOKUP(H100,DB_Agents!$B:$I,8,0),"")=I100,IF(C100&gt;=E100,"Successful","Unsuccessful"),"🔒 BLOCKED — Wrong Code")),"—")</f>
        <v>—</v>
      </c>
      <c r="K100" s="93" t="str">
        <f t="shared" ca="1" si="8"/>
        <v>—</v>
      </c>
      <c r="L100" s="94"/>
    </row>
    <row r="101" spans="1:12" x14ac:dyDescent="0.25">
      <c r="A101" s="79"/>
      <c r="B101" s="21" t="str">
        <f>IF(A101="","",IFERROR(VLOOKUP(A101,DB_Customers!$A:$D,4,0),"❌ Account Not Found"))</f>
        <v/>
      </c>
      <c r="C101" s="80" t="str">
        <f>IF(A101="","",IFERROR(VLOOKUP(A101,DB_Customers!$A:$N,14,0),""))</f>
        <v/>
      </c>
      <c r="D101" s="81" t="str">
        <f t="shared" ca="1" si="6"/>
        <v/>
      </c>
      <c r="E101" s="97"/>
      <c r="F101" s="21"/>
      <c r="G101" s="98" t="str">
        <f t="shared" si="7"/>
        <v/>
      </c>
      <c r="H101" s="23"/>
      <c r="I101" s="84"/>
      <c r="J101" s="85" t="str">
        <f>IF(AND(A101&lt;&gt;"",E101&lt;&gt;""),IF(I101="","⚠️ Enter Code",IF(IFERROR(VLOOKUP(H101,DB_Agents!$B:$I,8,0),"")=I101,IF(C101&gt;=E101,"Successful","Unsuccessful"),"🔒 BLOCKED — Wrong Code")),"—")</f>
        <v>—</v>
      </c>
      <c r="K101" s="86" t="str">
        <f t="shared" ca="1" si="8"/>
        <v>—</v>
      </c>
      <c r="L101" s="87"/>
    </row>
    <row r="102" spans="1:12" x14ac:dyDescent="0.25">
      <c r="A102" s="88"/>
      <c r="B102" s="25" t="str">
        <f>IF(A102="","",IFERROR(VLOOKUP(A102,DB_Customers!$A:$D,4,0),"❌ Account Not Found"))</f>
        <v/>
      </c>
      <c r="C102" s="89" t="str">
        <f>IF(A102="","",IFERROR(VLOOKUP(A102,DB_Customers!$A:$N,14,0),""))</f>
        <v/>
      </c>
      <c r="D102" s="90" t="str">
        <f t="shared" ca="1" si="6"/>
        <v/>
      </c>
      <c r="E102" s="97"/>
      <c r="F102" s="25"/>
      <c r="G102" s="99" t="str">
        <f t="shared" si="7"/>
        <v/>
      </c>
      <c r="H102" s="27"/>
      <c r="I102" s="84"/>
      <c r="J102" s="92" t="str">
        <f>IF(AND(A102&lt;&gt;"",E102&lt;&gt;""),IF(I102="","⚠️ Enter Code",IF(IFERROR(VLOOKUP(H102,DB_Agents!$B:$I,8,0),"")=I102,IF(C102&gt;=E102,"Successful","Unsuccessful"),"🔒 BLOCKED — Wrong Code")),"—")</f>
        <v>—</v>
      </c>
      <c r="K102" s="93" t="str">
        <f t="shared" ca="1" si="8"/>
        <v>—</v>
      </c>
      <c r="L102" s="94"/>
    </row>
    <row r="103" spans="1:12" x14ac:dyDescent="0.25">
      <c r="A103" s="79"/>
      <c r="B103" s="21" t="str">
        <f>IF(A103="","",IFERROR(VLOOKUP(A103,DB_Customers!$A:$D,4,0),"❌ Account Not Found"))</f>
        <v/>
      </c>
      <c r="C103" s="80" t="str">
        <f>IF(A103="","",IFERROR(VLOOKUP(A103,DB_Customers!$A:$N,14,0),""))</f>
        <v/>
      </c>
      <c r="D103" s="81" t="str">
        <f t="shared" ca="1" si="6"/>
        <v/>
      </c>
      <c r="E103" s="97"/>
      <c r="F103" s="21"/>
      <c r="G103" s="98" t="str">
        <f t="shared" si="7"/>
        <v/>
      </c>
      <c r="H103" s="23"/>
      <c r="I103" s="84"/>
      <c r="J103" s="85" t="str">
        <f>IF(AND(A103&lt;&gt;"",E103&lt;&gt;""),IF(I103="","⚠️ Enter Code",IF(IFERROR(VLOOKUP(H103,DB_Agents!$B:$I,8,0),"")=I103,IF(C103&gt;=E103,"Successful","Unsuccessful"),"🔒 BLOCKED — Wrong Code")),"—")</f>
        <v>—</v>
      </c>
      <c r="K103" s="86" t="str">
        <f t="shared" ca="1" si="8"/>
        <v>—</v>
      </c>
      <c r="L103" s="87"/>
    </row>
    <row r="104" spans="1:12" x14ac:dyDescent="0.25">
      <c r="A104" s="88"/>
      <c r="B104" s="25" t="str">
        <f>IF(A104="","",IFERROR(VLOOKUP(A104,DB_Customers!$A:$D,4,0),"❌ Account Not Found"))</f>
        <v/>
      </c>
      <c r="C104" s="89" t="str">
        <f>IF(A104="","",IFERROR(VLOOKUP(A104,DB_Customers!$A:$N,14,0),""))</f>
        <v/>
      </c>
      <c r="D104" s="90" t="str">
        <f t="shared" ca="1" si="6"/>
        <v/>
      </c>
      <c r="E104" s="97"/>
      <c r="F104" s="25"/>
      <c r="G104" s="99" t="str">
        <f t="shared" si="7"/>
        <v/>
      </c>
      <c r="H104" s="27"/>
      <c r="I104" s="84"/>
      <c r="J104" s="92" t="str">
        <f>IF(AND(A104&lt;&gt;"",E104&lt;&gt;""),IF(I104="","⚠️ Enter Code",IF(IFERROR(VLOOKUP(H104,DB_Agents!$B:$I,8,0),"")=I104,IF(C104&gt;=E104,"Successful","Unsuccessful"),"🔒 BLOCKED — Wrong Code")),"—")</f>
        <v>—</v>
      </c>
      <c r="K104" s="93" t="str">
        <f t="shared" ca="1" si="8"/>
        <v>—</v>
      </c>
      <c r="L104" s="94"/>
    </row>
    <row r="105" spans="1:12" x14ac:dyDescent="0.25">
      <c r="A105" s="79"/>
      <c r="B105" s="21" t="str">
        <f>IF(A105="","",IFERROR(VLOOKUP(A105,DB_Customers!$A:$D,4,0),"❌ Account Not Found"))</f>
        <v/>
      </c>
      <c r="C105" s="80" t="str">
        <f>IF(A105="","",IFERROR(VLOOKUP(A105,DB_Customers!$A:$N,14,0),""))</f>
        <v/>
      </c>
      <c r="D105" s="81" t="str">
        <f t="shared" ref="D105:D136" ca="1" si="9">IF(A105="","",TODAY())</f>
        <v/>
      </c>
      <c r="E105" s="97"/>
      <c r="F105" s="21"/>
      <c r="G105" s="98" t="str">
        <f t="shared" ref="G105:G136" si="10">IF(OR(A105="",E105=""),"",IF(C105="","",C105-E105))</f>
        <v/>
      </c>
      <c r="H105" s="23"/>
      <c r="I105" s="84"/>
      <c r="J105" s="85" t="str">
        <f>IF(AND(A105&lt;&gt;"",E105&lt;&gt;""),IF(I105="","⚠️ Enter Code",IF(IFERROR(VLOOKUP(H105,DB_Agents!$B:$I,8,0),"")=I105,IF(C105&gt;=E105,"Successful","Unsuccessful"),"🔒 BLOCKED — Wrong Code")),"—")</f>
        <v>—</v>
      </c>
      <c r="K105" s="86" t="str">
        <f t="shared" ref="K105:K136" ca="1" si="11">IF(J105="Successful",TEXT(TODAY(),"YYYY-MM-DD")&amp;" Auto","—")</f>
        <v>—</v>
      </c>
      <c r="L105" s="87"/>
    </row>
    <row r="106" spans="1:12" x14ac:dyDescent="0.25">
      <c r="A106" s="88"/>
      <c r="B106" s="25" t="str">
        <f>IF(A106="","",IFERROR(VLOOKUP(A106,DB_Customers!$A:$D,4,0),"❌ Account Not Found"))</f>
        <v/>
      </c>
      <c r="C106" s="89" t="str">
        <f>IF(A106="","",IFERROR(VLOOKUP(A106,DB_Customers!$A:$N,14,0),""))</f>
        <v/>
      </c>
      <c r="D106" s="90" t="str">
        <f t="shared" ca="1" si="9"/>
        <v/>
      </c>
      <c r="E106" s="97"/>
      <c r="F106" s="25"/>
      <c r="G106" s="99" t="str">
        <f t="shared" si="10"/>
        <v/>
      </c>
      <c r="H106" s="27"/>
      <c r="I106" s="84"/>
      <c r="J106" s="92" t="str">
        <f>IF(AND(A106&lt;&gt;"",E106&lt;&gt;""),IF(I106="","⚠️ Enter Code",IF(IFERROR(VLOOKUP(H106,DB_Agents!$B:$I,8,0),"")=I106,IF(C106&gt;=E106,"Successful","Unsuccessful"),"🔒 BLOCKED — Wrong Code")),"—")</f>
        <v>—</v>
      </c>
      <c r="K106" s="93" t="str">
        <f t="shared" ca="1" si="11"/>
        <v>—</v>
      </c>
      <c r="L106" s="94"/>
    </row>
    <row r="107" spans="1:12" x14ac:dyDescent="0.25">
      <c r="A107" s="79"/>
      <c r="B107" s="21" t="str">
        <f>IF(A107="","",IFERROR(VLOOKUP(A107,DB_Customers!$A:$D,4,0),"❌ Account Not Found"))</f>
        <v/>
      </c>
      <c r="C107" s="80" t="str">
        <f>IF(A107="","",IFERROR(VLOOKUP(A107,DB_Customers!$A:$N,14,0),""))</f>
        <v/>
      </c>
      <c r="D107" s="81" t="str">
        <f t="shared" ca="1" si="9"/>
        <v/>
      </c>
      <c r="E107" s="97"/>
      <c r="F107" s="21"/>
      <c r="G107" s="98" t="str">
        <f t="shared" si="10"/>
        <v/>
      </c>
      <c r="H107" s="23"/>
      <c r="I107" s="84"/>
      <c r="J107" s="85" t="str">
        <f>IF(AND(A107&lt;&gt;"",E107&lt;&gt;""),IF(I107="","⚠️ Enter Code",IF(IFERROR(VLOOKUP(H107,DB_Agents!$B:$I,8,0),"")=I107,IF(C107&gt;=E107,"Successful","Unsuccessful"),"🔒 BLOCKED — Wrong Code")),"—")</f>
        <v>—</v>
      </c>
      <c r="K107" s="86" t="str">
        <f t="shared" ca="1" si="11"/>
        <v>—</v>
      </c>
      <c r="L107" s="87"/>
    </row>
    <row r="108" spans="1:12" x14ac:dyDescent="0.25">
      <c r="A108" s="88"/>
      <c r="B108" s="25" t="str">
        <f>IF(A108="","",IFERROR(VLOOKUP(A108,DB_Customers!$A:$D,4,0),"❌ Account Not Found"))</f>
        <v/>
      </c>
      <c r="C108" s="89" t="str">
        <f>IF(A108="","",IFERROR(VLOOKUP(A108,DB_Customers!$A:$N,14,0),""))</f>
        <v/>
      </c>
      <c r="D108" s="90" t="str">
        <f t="shared" ca="1" si="9"/>
        <v/>
      </c>
      <c r="E108" s="97"/>
      <c r="F108" s="25"/>
      <c r="G108" s="99" t="str">
        <f t="shared" si="10"/>
        <v/>
      </c>
      <c r="H108" s="27"/>
      <c r="I108" s="84"/>
      <c r="J108" s="92" t="str">
        <f>IF(AND(A108&lt;&gt;"",E108&lt;&gt;""),IF(I108="","⚠️ Enter Code",IF(IFERROR(VLOOKUP(H108,DB_Agents!$B:$I,8,0),"")=I108,IF(C108&gt;=E108,"Successful","Unsuccessful"),"🔒 BLOCKED — Wrong Code")),"—")</f>
        <v>—</v>
      </c>
      <c r="K108" s="93" t="str">
        <f t="shared" ca="1" si="11"/>
        <v>—</v>
      </c>
      <c r="L108" s="94"/>
    </row>
    <row r="109" spans="1:12" x14ac:dyDescent="0.25">
      <c r="A109" s="79"/>
      <c r="B109" s="21" t="str">
        <f>IF(A109="","",IFERROR(VLOOKUP(A109,DB_Customers!$A:$D,4,0),"❌ Account Not Found"))</f>
        <v/>
      </c>
      <c r="C109" s="80" t="str">
        <f>IF(A109="","",IFERROR(VLOOKUP(A109,DB_Customers!$A:$N,14,0),""))</f>
        <v/>
      </c>
      <c r="D109" s="81" t="str">
        <f t="shared" ca="1" si="9"/>
        <v/>
      </c>
      <c r="E109" s="97"/>
      <c r="F109" s="21"/>
      <c r="G109" s="98" t="str">
        <f t="shared" si="10"/>
        <v/>
      </c>
      <c r="H109" s="23"/>
      <c r="I109" s="84"/>
      <c r="J109" s="85" t="str">
        <f>IF(AND(A109&lt;&gt;"",E109&lt;&gt;""),IF(I109="","⚠️ Enter Code",IF(IFERROR(VLOOKUP(H109,DB_Agents!$B:$I,8,0),"")=I109,IF(C109&gt;=E109,"Successful","Unsuccessful"),"🔒 BLOCKED — Wrong Code")),"—")</f>
        <v>—</v>
      </c>
      <c r="K109" s="86" t="str">
        <f t="shared" ca="1" si="11"/>
        <v>—</v>
      </c>
      <c r="L109" s="87"/>
    </row>
    <row r="110" spans="1:12" x14ac:dyDescent="0.25">
      <c r="A110" s="88"/>
      <c r="B110" s="25" t="str">
        <f>IF(A110="","",IFERROR(VLOOKUP(A110,DB_Customers!$A:$D,4,0),"❌ Account Not Found"))</f>
        <v/>
      </c>
      <c r="C110" s="89" t="str">
        <f>IF(A110="","",IFERROR(VLOOKUP(A110,DB_Customers!$A:$N,14,0),""))</f>
        <v/>
      </c>
      <c r="D110" s="90" t="str">
        <f t="shared" ca="1" si="9"/>
        <v/>
      </c>
      <c r="E110" s="97"/>
      <c r="F110" s="25"/>
      <c r="G110" s="99" t="str">
        <f t="shared" si="10"/>
        <v/>
      </c>
      <c r="H110" s="27"/>
      <c r="I110" s="84"/>
      <c r="J110" s="92" t="str">
        <f>IF(AND(A110&lt;&gt;"",E110&lt;&gt;""),IF(I110="","⚠️ Enter Code",IF(IFERROR(VLOOKUP(H110,DB_Agents!$B:$I,8,0),"")=I110,IF(C110&gt;=E110,"Successful","Unsuccessful"),"🔒 BLOCKED — Wrong Code")),"—")</f>
        <v>—</v>
      </c>
      <c r="K110" s="93" t="str">
        <f t="shared" ca="1" si="11"/>
        <v>—</v>
      </c>
      <c r="L110" s="94"/>
    </row>
    <row r="111" spans="1:12" x14ac:dyDescent="0.25">
      <c r="A111" s="79"/>
      <c r="B111" s="21" t="str">
        <f>IF(A111="","",IFERROR(VLOOKUP(A111,DB_Customers!$A:$D,4,0),"❌ Account Not Found"))</f>
        <v/>
      </c>
      <c r="C111" s="80" t="str">
        <f>IF(A111="","",IFERROR(VLOOKUP(A111,DB_Customers!$A:$N,14,0),""))</f>
        <v/>
      </c>
      <c r="D111" s="81" t="str">
        <f t="shared" ca="1" si="9"/>
        <v/>
      </c>
      <c r="E111" s="97"/>
      <c r="F111" s="21"/>
      <c r="G111" s="98" t="str">
        <f t="shared" si="10"/>
        <v/>
      </c>
      <c r="H111" s="23"/>
      <c r="I111" s="84"/>
      <c r="J111" s="85" t="str">
        <f>IF(AND(A111&lt;&gt;"",E111&lt;&gt;""),IF(I111="","⚠️ Enter Code",IF(IFERROR(VLOOKUP(H111,DB_Agents!$B:$I,8,0),"")=I111,IF(C111&gt;=E111,"Successful","Unsuccessful"),"🔒 BLOCKED — Wrong Code")),"—")</f>
        <v>—</v>
      </c>
      <c r="K111" s="86" t="str">
        <f t="shared" ca="1" si="11"/>
        <v>—</v>
      </c>
      <c r="L111" s="87"/>
    </row>
    <row r="112" spans="1:12" x14ac:dyDescent="0.25">
      <c r="A112" s="88"/>
      <c r="B112" s="25" t="str">
        <f>IF(A112="","",IFERROR(VLOOKUP(A112,DB_Customers!$A:$D,4,0),"❌ Account Not Found"))</f>
        <v/>
      </c>
      <c r="C112" s="89" t="str">
        <f>IF(A112="","",IFERROR(VLOOKUP(A112,DB_Customers!$A:$N,14,0),""))</f>
        <v/>
      </c>
      <c r="D112" s="90" t="str">
        <f t="shared" ca="1" si="9"/>
        <v/>
      </c>
      <c r="E112" s="97"/>
      <c r="F112" s="25"/>
      <c r="G112" s="99" t="str">
        <f t="shared" si="10"/>
        <v/>
      </c>
      <c r="H112" s="27"/>
      <c r="I112" s="84"/>
      <c r="J112" s="92" t="str">
        <f>IF(AND(A112&lt;&gt;"",E112&lt;&gt;""),IF(I112="","⚠️ Enter Code",IF(IFERROR(VLOOKUP(H112,DB_Agents!$B:$I,8,0),"")=I112,IF(C112&gt;=E112,"Successful","Unsuccessful"),"🔒 BLOCKED — Wrong Code")),"—")</f>
        <v>—</v>
      </c>
      <c r="K112" s="93" t="str">
        <f t="shared" ca="1" si="11"/>
        <v>—</v>
      </c>
      <c r="L112" s="94"/>
    </row>
    <row r="113" spans="1:12" x14ac:dyDescent="0.25">
      <c r="A113" s="79"/>
      <c r="B113" s="21" t="str">
        <f>IF(A113="","",IFERROR(VLOOKUP(A113,DB_Customers!$A:$D,4,0),"❌ Account Not Found"))</f>
        <v/>
      </c>
      <c r="C113" s="80" t="str">
        <f>IF(A113="","",IFERROR(VLOOKUP(A113,DB_Customers!$A:$N,14,0),""))</f>
        <v/>
      </c>
      <c r="D113" s="81" t="str">
        <f t="shared" ca="1" si="9"/>
        <v/>
      </c>
      <c r="E113" s="97"/>
      <c r="F113" s="21"/>
      <c r="G113" s="98" t="str">
        <f t="shared" si="10"/>
        <v/>
      </c>
      <c r="H113" s="23"/>
      <c r="I113" s="84"/>
      <c r="J113" s="85" t="str">
        <f>IF(AND(A113&lt;&gt;"",E113&lt;&gt;""),IF(I113="","⚠️ Enter Code",IF(IFERROR(VLOOKUP(H113,DB_Agents!$B:$I,8,0),"")=I113,IF(C113&gt;=E113,"Successful","Unsuccessful"),"🔒 BLOCKED — Wrong Code")),"—")</f>
        <v>—</v>
      </c>
      <c r="K113" s="86" t="str">
        <f t="shared" ca="1" si="11"/>
        <v>—</v>
      </c>
      <c r="L113" s="87"/>
    </row>
    <row r="114" spans="1:12" x14ac:dyDescent="0.25">
      <c r="A114" s="88"/>
      <c r="B114" s="25" t="str">
        <f>IF(A114="","",IFERROR(VLOOKUP(A114,DB_Customers!$A:$D,4,0),"❌ Account Not Found"))</f>
        <v/>
      </c>
      <c r="C114" s="89" t="str">
        <f>IF(A114="","",IFERROR(VLOOKUP(A114,DB_Customers!$A:$N,14,0),""))</f>
        <v/>
      </c>
      <c r="D114" s="90" t="str">
        <f t="shared" ca="1" si="9"/>
        <v/>
      </c>
      <c r="E114" s="97"/>
      <c r="F114" s="25"/>
      <c r="G114" s="99" t="str">
        <f t="shared" si="10"/>
        <v/>
      </c>
      <c r="H114" s="27"/>
      <c r="I114" s="84"/>
      <c r="J114" s="92" t="str">
        <f>IF(AND(A114&lt;&gt;"",E114&lt;&gt;""),IF(I114="","⚠️ Enter Code",IF(IFERROR(VLOOKUP(H114,DB_Agents!$B:$I,8,0),"")=I114,IF(C114&gt;=E114,"Successful","Unsuccessful"),"🔒 BLOCKED — Wrong Code")),"—")</f>
        <v>—</v>
      </c>
      <c r="K114" s="93" t="str">
        <f t="shared" ca="1" si="11"/>
        <v>—</v>
      </c>
      <c r="L114" s="94"/>
    </row>
    <row r="115" spans="1:12" x14ac:dyDescent="0.25">
      <c r="A115" s="79"/>
      <c r="B115" s="21" t="str">
        <f>IF(A115="","",IFERROR(VLOOKUP(A115,DB_Customers!$A:$D,4,0),"❌ Account Not Found"))</f>
        <v/>
      </c>
      <c r="C115" s="80" t="str">
        <f>IF(A115="","",IFERROR(VLOOKUP(A115,DB_Customers!$A:$N,14,0),""))</f>
        <v/>
      </c>
      <c r="D115" s="81" t="str">
        <f t="shared" ca="1" si="9"/>
        <v/>
      </c>
      <c r="E115" s="97"/>
      <c r="F115" s="21"/>
      <c r="G115" s="98" t="str">
        <f t="shared" si="10"/>
        <v/>
      </c>
      <c r="H115" s="23"/>
      <c r="I115" s="84"/>
      <c r="J115" s="85" t="str">
        <f>IF(AND(A115&lt;&gt;"",E115&lt;&gt;""),IF(I115="","⚠️ Enter Code",IF(IFERROR(VLOOKUP(H115,DB_Agents!$B:$I,8,0),"")=I115,IF(C115&gt;=E115,"Successful","Unsuccessful"),"🔒 BLOCKED — Wrong Code")),"—")</f>
        <v>—</v>
      </c>
      <c r="K115" s="86" t="str">
        <f t="shared" ca="1" si="11"/>
        <v>—</v>
      </c>
      <c r="L115" s="87"/>
    </row>
    <row r="116" spans="1:12" x14ac:dyDescent="0.25">
      <c r="A116" s="88"/>
      <c r="B116" s="25" t="str">
        <f>IF(A116="","",IFERROR(VLOOKUP(A116,DB_Customers!$A:$D,4,0),"❌ Account Not Found"))</f>
        <v/>
      </c>
      <c r="C116" s="89" t="str">
        <f>IF(A116="","",IFERROR(VLOOKUP(A116,DB_Customers!$A:$N,14,0),""))</f>
        <v/>
      </c>
      <c r="D116" s="90" t="str">
        <f t="shared" ca="1" si="9"/>
        <v/>
      </c>
      <c r="E116" s="97"/>
      <c r="F116" s="25"/>
      <c r="G116" s="99" t="str">
        <f t="shared" si="10"/>
        <v/>
      </c>
      <c r="H116" s="27"/>
      <c r="I116" s="84"/>
      <c r="J116" s="92" t="str">
        <f>IF(AND(A116&lt;&gt;"",E116&lt;&gt;""),IF(I116="","⚠️ Enter Code",IF(IFERROR(VLOOKUP(H116,DB_Agents!$B:$I,8,0),"")=I116,IF(C116&gt;=E116,"Successful","Unsuccessful"),"🔒 BLOCKED — Wrong Code")),"—")</f>
        <v>—</v>
      </c>
      <c r="K116" s="93" t="str">
        <f t="shared" ca="1" si="11"/>
        <v>—</v>
      </c>
      <c r="L116" s="94"/>
    </row>
    <row r="117" spans="1:12" x14ac:dyDescent="0.25">
      <c r="A117" s="79"/>
      <c r="B117" s="21" t="str">
        <f>IF(A117="","",IFERROR(VLOOKUP(A117,DB_Customers!$A:$D,4,0),"❌ Account Not Found"))</f>
        <v/>
      </c>
      <c r="C117" s="80" t="str">
        <f>IF(A117="","",IFERROR(VLOOKUP(A117,DB_Customers!$A:$N,14,0),""))</f>
        <v/>
      </c>
      <c r="D117" s="81" t="str">
        <f t="shared" ca="1" si="9"/>
        <v/>
      </c>
      <c r="E117" s="97"/>
      <c r="F117" s="21"/>
      <c r="G117" s="98" t="str">
        <f t="shared" si="10"/>
        <v/>
      </c>
      <c r="H117" s="23"/>
      <c r="I117" s="84"/>
      <c r="J117" s="85" t="str">
        <f>IF(AND(A117&lt;&gt;"",E117&lt;&gt;""),IF(I117="","⚠️ Enter Code",IF(IFERROR(VLOOKUP(H117,DB_Agents!$B:$I,8,0),"")=I117,IF(C117&gt;=E117,"Successful","Unsuccessful"),"🔒 BLOCKED — Wrong Code")),"—")</f>
        <v>—</v>
      </c>
      <c r="K117" s="86" t="str">
        <f t="shared" ca="1" si="11"/>
        <v>—</v>
      </c>
      <c r="L117" s="87"/>
    </row>
    <row r="118" spans="1:12" x14ac:dyDescent="0.25">
      <c r="A118" s="88"/>
      <c r="B118" s="25" t="str">
        <f>IF(A118="","",IFERROR(VLOOKUP(A118,DB_Customers!$A:$D,4,0),"❌ Account Not Found"))</f>
        <v/>
      </c>
      <c r="C118" s="89" t="str">
        <f>IF(A118="","",IFERROR(VLOOKUP(A118,DB_Customers!$A:$N,14,0),""))</f>
        <v/>
      </c>
      <c r="D118" s="90" t="str">
        <f t="shared" ca="1" si="9"/>
        <v/>
      </c>
      <c r="E118" s="97"/>
      <c r="F118" s="25"/>
      <c r="G118" s="99" t="str">
        <f t="shared" si="10"/>
        <v/>
      </c>
      <c r="H118" s="27"/>
      <c r="I118" s="84"/>
      <c r="J118" s="92" t="str">
        <f>IF(AND(A118&lt;&gt;"",E118&lt;&gt;""),IF(I118="","⚠️ Enter Code",IF(IFERROR(VLOOKUP(H118,DB_Agents!$B:$I,8,0),"")=I118,IF(C118&gt;=E118,"Successful","Unsuccessful"),"🔒 BLOCKED — Wrong Code")),"—")</f>
        <v>—</v>
      </c>
      <c r="K118" s="93" t="str">
        <f t="shared" ca="1" si="11"/>
        <v>—</v>
      </c>
      <c r="L118" s="94"/>
    </row>
    <row r="119" spans="1:12" x14ac:dyDescent="0.25">
      <c r="A119" s="79"/>
      <c r="B119" s="21" t="str">
        <f>IF(A119="","",IFERROR(VLOOKUP(A119,DB_Customers!$A:$D,4,0),"❌ Account Not Found"))</f>
        <v/>
      </c>
      <c r="C119" s="80" t="str">
        <f>IF(A119="","",IFERROR(VLOOKUP(A119,DB_Customers!$A:$N,14,0),""))</f>
        <v/>
      </c>
      <c r="D119" s="81" t="str">
        <f t="shared" ca="1" si="9"/>
        <v/>
      </c>
      <c r="E119" s="97"/>
      <c r="F119" s="21"/>
      <c r="G119" s="98" t="str">
        <f t="shared" si="10"/>
        <v/>
      </c>
      <c r="H119" s="23"/>
      <c r="I119" s="84"/>
      <c r="J119" s="85" t="str">
        <f>IF(AND(A119&lt;&gt;"",E119&lt;&gt;""),IF(I119="","⚠️ Enter Code",IF(IFERROR(VLOOKUP(H119,DB_Agents!$B:$I,8,0),"")=I119,IF(C119&gt;=E119,"Successful","Unsuccessful"),"🔒 BLOCKED — Wrong Code")),"—")</f>
        <v>—</v>
      </c>
      <c r="K119" s="86" t="str">
        <f t="shared" ca="1" si="11"/>
        <v>—</v>
      </c>
      <c r="L119" s="87"/>
    </row>
    <row r="120" spans="1:12" x14ac:dyDescent="0.25">
      <c r="A120" s="88"/>
      <c r="B120" s="25" t="str">
        <f>IF(A120="","",IFERROR(VLOOKUP(A120,DB_Customers!$A:$D,4,0),"❌ Account Not Found"))</f>
        <v/>
      </c>
      <c r="C120" s="89" t="str">
        <f>IF(A120="","",IFERROR(VLOOKUP(A120,DB_Customers!$A:$N,14,0),""))</f>
        <v/>
      </c>
      <c r="D120" s="90" t="str">
        <f t="shared" ca="1" si="9"/>
        <v/>
      </c>
      <c r="E120" s="97"/>
      <c r="F120" s="25"/>
      <c r="G120" s="99" t="str">
        <f t="shared" si="10"/>
        <v/>
      </c>
      <c r="H120" s="27"/>
      <c r="I120" s="84"/>
      <c r="J120" s="92" t="str">
        <f>IF(AND(A120&lt;&gt;"",E120&lt;&gt;""),IF(I120="","⚠️ Enter Code",IF(IFERROR(VLOOKUP(H120,DB_Agents!$B:$I,8,0),"")=I120,IF(C120&gt;=E120,"Successful","Unsuccessful"),"🔒 BLOCKED — Wrong Code")),"—")</f>
        <v>—</v>
      </c>
      <c r="K120" s="93" t="str">
        <f t="shared" ca="1" si="11"/>
        <v>—</v>
      </c>
      <c r="L120" s="94"/>
    </row>
    <row r="121" spans="1:12" x14ac:dyDescent="0.25">
      <c r="A121" s="79"/>
      <c r="B121" s="21" t="str">
        <f>IF(A121="","",IFERROR(VLOOKUP(A121,DB_Customers!$A:$D,4,0),"❌ Account Not Found"))</f>
        <v/>
      </c>
      <c r="C121" s="80" t="str">
        <f>IF(A121="","",IFERROR(VLOOKUP(A121,DB_Customers!$A:$N,14,0),""))</f>
        <v/>
      </c>
      <c r="D121" s="81" t="str">
        <f t="shared" ca="1" si="9"/>
        <v/>
      </c>
      <c r="E121" s="97"/>
      <c r="F121" s="21"/>
      <c r="G121" s="98" t="str">
        <f t="shared" si="10"/>
        <v/>
      </c>
      <c r="H121" s="23"/>
      <c r="I121" s="84"/>
      <c r="J121" s="85" t="str">
        <f>IF(AND(A121&lt;&gt;"",E121&lt;&gt;""),IF(I121="","⚠️ Enter Code",IF(IFERROR(VLOOKUP(H121,DB_Agents!$B:$I,8,0),"")=I121,IF(C121&gt;=E121,"Successful","Unsuccessful"),"🔒 BLOCKED — Wrong Code")),"—")</f>
        <v>—</v>
      </c>
      <c r="K121" s="86" t="str">
        <f t="shared" ca="1" si="11"/>
        <v>—</v>
      </c>
      <c r="L121" s="87"/>
    </row>
    <row r="122" spans="1:12" x14ac:dyDescent="0.25">
      <c r="A122" s="88"/>
      <c r="B122" s="25" t="str">
        <f>IF(A122="","",IFERROR(VLOOKUP(A122,DB_Customers!$A:$D,4,0),"❌ Account Not Found"))</f>
        <v/>
      </c>
      <c r="C122" s="89" t="str">
        <f>IF(A122="","",IFERROR(VLOOKUP(A122,DB_Customers!$A:$N,14,0),""))</f>
        <v/>
      </c>
      <c r="D122" s="90" t="str">
        <f t="shared" ca="1" si="9"/>
        <v/>
      </c>
      <c r="E122" s="97"/>
      <c r="F122" s="25"/>
      <c r="G122" s="99" t="str">
        <f t="shared" si="10"/>
        <v/>
      </c>
      <c r="H122" s="27"/>
      <c r="I122" s="84"/>
      <c r="J122" s="92" t="str">
        <f>IF(AND(A122&lt;&gt;"",E122&lt;&gt;""),IF(I122="","⚠️ Enter Code",IF(IFERROR(VLOOKUP(H122,DB_Agents!$B:$I,8,0),"")=I122,IF(C122&gt;=E122,"Successful","Unsuccessful"),"🔒 BLOCKED — Wrong Code")),"—")</f>
        <v>—</v>
      </c>
      <c r="K122" s="93" t="str">
        <f t="shared" ca="1" si="11"/>
        <v>—</v>
      </c>
      <c r="L122" s="94"/>
    </row>
    <row r="123" spans="1:12" x14ac:dyDescent="0.25">
      <c r="A123" s="79"/>
      <c r="B123" s="21" t="str">
        <f>IF(A123="","",IFERROR(VLOOKUP(A123,DB_Customers!$A:$D,4,0),"❌ Account Not Found"))</f>
        <v/>
      </c>
      <c r="C123" s="80" t="str">
        <f>IF(A123="","",IFERROR(VLOOKUP(A123,DB_Customers!$A:$N,14,0),""))</f>
        <v/>
      </c>
      <c r="D123" s="81" t="str">
        <f t="shared" ca="1" si="9"/>
        <v/>
      </c>
      <c r="E123" s="97"/>
      <c r="F123" s="21"/>
      <c r="G123" s="98" t="str">
        <f t="shared" si="10"/>
        <v/>
      </c>
      <c r="H123" s="23"/>
      <c r="I123" s="84"/>
      <c r="J123" s="85" t="str">
        <f>IF(AND(A123&lt;&gt;"",E123&lt;&gt;""),IF(I123="","⚠️ Enter Code",IF(IFERROR(VLOOKUP(H123,DB_Agents!$B:$I,8,0),"")=I123,IF(C123&gt;=E123,"Successful","Unsuccessful"),"🔒 BLOCKED — Wrong Code")),"—")</f>
        <v>—</v>
      </c>
      <c r="K123" s="86" t="str">
        <f t="shared" ca="1" si="11"/>
        <v>—</v>
      </c>
      <c r="L123" s="87"/>
    </row>
    <row r="124" spans="1:12" x14ac:dyDescent="0.25">
      <c r="A124" s="88"/>
      <c r="B124" s="25" t="str">
        <f>IF(A124="","",IFERROR(VLOOKUP(A124,DB_Customers!$A:$D,4,0),"❌ Account Not Found"))</f>
        <v/>
      </c>
      <c r="C124" s="89" t="str">
        <f>IF(A124="","",IFERROR(VLOOKUP(A124,DB_Customers!$A:$N,14,0),""))</f>
        <v/>
      </c>
      <c r="D124" s="90" t="str">
        <f t="shared" ca="1" si="9"/>
        <v/>
      </c>
      <c r="E124" s="97"/>
      <c r="F124" s="25"/>
      <c r="G124" s="99" t="str">
        <f t="shared" si="10"/>
        <v/>
      </c>
      <c r="H124" s="27"/>
      <c r="I124" s="84"/>
      <c r="J124" s="92" t="str">
        <f>IF(AND(A124&lt;&gt;"",E124&lt;&gt;""),IF(I124="","⚠️ Enter Code",IF(IFERROR(VLOOKUP(H124,DB_Agents!$B:$I,8,0),"")=I124,IF(C124&gt;=E124,"Successful","Unsuccessful"),"🔒 BLOCKED — Wrong Code")),"—")</f>
        <v>—</v>
      </c>
      <c r="K124" s="93" t="str">
        <f t="shared" ca="1" si="11"/>
        <v>—</v>
      </c>
      <c r="L124" s="94"/>
    </row>
    <row r="125" spans="1:12" x14ac:dyDescent="0.25">
      <c r="A125" s="79"/>
      <c r="B125" s="21" t="str">
        <f>IF(A125="","",IFERROR(VLOOKUP(A125,DB_Customers!$A:$D,4,0),"❌ Account Not Found"))</f>
        <v/>
      </c>
      <c r="C125" s="80" t="str">
        <f>IF(A125="","",IFERROR(VLOOKUP(A125,DB_Customers!$A:$N,14,0),""))</f>
        <v/>
      </c>
      <c r="D125" s="81" t="str">
        <f t="shared" ca="1" si="9"/>
        <v/>
      </c>
      <c r="E125" s="97"/>
      <c r="F125" s="21"/>
      <c r="G125" s="98" t="str">
        <f t="shared" si="10"/>
        <v/>
      </c>
      <c r="H125" s="23"/>
      <c r="I125" s="84"/>
      <c r="J125" s="85" t="str">
        <f>IF(AND(A125&lt;&gt;"",E125&lt;&gt;""),IF(I125="","⚠️ Enter Code",IF(IFERROR(VLOOKUP(H125,DB_Agents!$B:$I,8,0),"")=I125,IF(C125&gt;=E125,"Successful","Unsuccessful"),"🔒 BLOCKED — Wrong Code")),"—")</f>
        <v>—</v>
      </c>
      <c r="K125" s="86" t="str">
        <f t="shared" ca="1" si="11"/>
        <v>—</v>
      </c>
      <c r="L125" s="87"/>
    </row>
    <row r="126" spans="1:12" x14ac:dyDescent="0.25">
      <c r="A126" s="88"/>
      <c r="B126" s="25" t="str">
        <f>IF(A126="","",IFERROR(VLOOKUP(A126,DB_Customers!$A:$D,4,0),"❌ Account Not Found"))</f>
        <v/>
      </c>
      <c r="C126" s="89" t="str">
        <f>IF(A126="","",IFERROR(VLOOKUP(A126,DB_Customers!$A:$N,14,0),""))</f>
        <v/>
      </c>
      <c r="D126" s="90" t="str">
        <f t="shared" ca="1" si="9"/>
        <v/>
      </c>
      <c r="E126" s="97"/>
      <c r="F126" s="25"/>
      <c r="G126" s="99" t="str">
        <f t="shared" si="10"/>
        <v/>
      </c>
      <c r="H126" s="27"/>
      <c r="I126" s="84"/>
      <c r="J126" s="92" t="str">
        <f>IF(AND(A126&lt;&gt;"",E126&lt;&gt;""),IF(I126="","⚠️ Enter Code",IF(IFERROR(VLOOKUP(H126,DB_Agents!$B:$I,8,0),"")=I126,IF(C126&gt;=E126,"Successful","Unsuccessful"),"🔒 BLOCKED — Wrong Code")),"—")</f>
        <v>—</v>
      </c>
      <c r="K126" s="93" t="str">
        <f t="shared" ca="1" si="11"/>
        <v>—</v>
      </c>
      <c r="L126" s="94"/>
    </row>
    <row r="127" spans="1:12" x14ac:dyDescent="0.25">
      <c r="A127" s="79"/>
      <c r="B127" s="21" t="str">
        <f>IF(A127="","",IFERROR(VLOOKUP(A127,DB_Customers!$A:$D,4,0),"❌ Account Not Found"))</f>
        <v/>
      </c>
      <c r="C127" s="80" t="str">
        <f>IF(A127="","",IFERROR(VLOOKUP(A127,DB_Customers!$A:$N,14,0),""))</f>
        <v/>
      </c>
      <c r="D127" s="81" t="str">
        <f t="shared" ca="1" si="9"/>
        <v/>
      </c>
      <c r="E127" s="97"/>
      <c r="F127" s="21"/>
      <c r="G127" s="98" t="str">
        <f t="shared" si="10"/>
        <v/>
      </c>
      <c r="H127" s="23"/>
      <c r="I127" s="84"/>
      <c r="J127" s="85" t="str">
        <f>IF(AND(A127&lt;&gt;"",E127&lt;&gt;""),IF(I127="","⚠️ Enter Code",IF(IFERROR(VLOOKUP(H127,DB_Agents!$B:$I,8,0),"")=I127,IF(C127&gt;=E127,"Successful","Unsuccessful"),"🔒 BLOCKED — Wrong Code")),"—")</f>
        <v>—</v>
      </c>
      <c r="K127" s="86" t="str">
        <f t="shared" ca="1" si="11"/>
        <v>—</v>
      </c>
      <c r="L127" s="87"/>
    </row>
    <row r="128" spans="1:12" x14ac:dyDescent="0.25">
      <c r="A128" s="88"/>
      <c r="B128" s="25" t="str">
        <f>IF(A128="","",IFERROR(VLOOKUP(A128,DB_Customers!$A:$D,4,0),"❌ Account Not Found"))</f>
        <v/>
      </c>
      <c r="C128" s="89" t="str">
        <f>IF(A128="","",IFERROR(VLOOKUP(A128,DB_Customers!$A:$N,14,0),""))</f>
        <v/>
      </c>
      <c r="D128" s="90" t="str">
        <f t="shared" ca="1" si="9"/>
        <v/>
      </c>
      <c r="E128" s="97"/>
      <c r="F128" s="25"/>
      <c r="G128" s="99" t="str">
        <f t="shared" si="10"/>
        <v/>
      </c>
      <c r="H128" s="27"/>
      <c r="I128" s="84"/>
      <c r="J128" s="92" t="str">
        <f>IF(AND(A128&lt;&gt;"",E128&lt;&gt;""),IF(I128="","⚠️ Enter Code",IF(IFERROR(VLOOKUP(H128,DB_Agents!$B:$I,8,0),"")=I128,IF(C128&gt;=E128,"Successful","Unsuccessful"),"🔒 BLOCKED — Wrong Code")),"—")</f>
        <v>—</v>
      </c>
      <c r="K128" s="93" t="str">
        <f t="shared" ca="1" si="11"/>
        <v>—</v>
      </c>
      <c r="L128" s="94"/>
    </row>
    <row r="129" spans="1:12" x14ac:dyDescent="0.25">
      <c r="A129" s="79"/>
      <c r="B129" s="21" t="str">
        <f>IF(A129="","",IFERROR(VLOOKUP(A129,DB_Customers!$A:$D,4,0),"❌ Account Not Found"))</f>
        <v/>
      </c>
      <c r="C129" s="80" t="str">
        <f>IF(A129="","",IFERROR(VLOOKUP(A129,DB_Customers!$A:$N,14,0),""))</f>
        <v/>
      </c>
      <c r="D129" s="81" t="str">
        <f t="shared" ca="1" si="9"/>
        <v/>
      </c>
      <c r="E129" s="97"/>
      <c r="F129" s="21"/>
      <c r="G129" s="98" t="str">
        <f t="shared" si="10"/>
        <v/>
      </c>
      <c r="H129" s="23"/>
      <c r="I129" s="84"/>
      <c r="J129" s="85" t="str">
        <f>IF(AND(A129&lt;&gt;"",E129&lt;&gt;""),IF(I129="","⚠️ Enter Code",IF(IFERROR(VLOOKUP(H129,DB_Agents!$B:$I,8,0),"")=I129,IF(C129&gt;=E129,"Successful","Unsuccessful"),"🔒 BLOCKED — Wrong Code")),"—")</f>
        <v>—</v>
      </c>
      <c r="K129" s="86" t="str">
        <f t="shared" ca="1" si="11"/>
        <v>—</v>
      </c>
      <c r="L129" s="87"/>
    </row>
    <row r="130" spans="1:12" x14ac:dyDescent="0.25">
      <c r="A130" s="88"/>
      <c r="B130" s="25" t="str">
        <f>IF(A130="","",IFERROR(VLOOKUP(A130,DB_Customers!$A:$D,4,0),"❌ Account Not Found"))</f>
        <v/>
      </c>
      <c r="C130" s="89" t="str">
        <f>IF(A130="","",IFERROR(VLOOKUP(A130,DB_Customers!$A:$N,14,0),""))</f>
        <v/>
      </c>
      <c r="D130" s="90" t="str">
        <f t="shared" ca="1" si="9"/>
        <v/>
      </c>
      <c r="E130" s="97"/>
      <c r="F130" s="25"/>
      <c r="G130" s="99" t="str">
        <f t="shared" si="10"/>
        <v/>
      </c>
      <c r="H130" s="27"/>
      <c r="I130" s="84"/>
      <c r="J130" s="92" t="str">
        <f>IF(AND(A130&lt;&gt;"",E130&lt;&gt;""),IF(I130="","⚠️ Enter Code",IF(IFERROR(VLOOKUP(H130,DB_Agents!$B:$I,8,0),"")=I130,IF(C130&gt;=E130,"Successful","Unsuccessful"),"🔒 BLOCKED — Wrong Code")),"—")</f>
        <v>—</v>
      </c>
      <c r="K130" s="93" t="str">
        <f t="shared" ca="1" si="11"/>
        <v>—</v>
      </c>
      <c r="L130" s="94"/>
    </row>
    <row r="131" spans="1:12" x14ac:dyDescent="0.25">
      <c r="A131" s="79"/>
      <c r="B131" s="21" t="str">
        <f>IF(A131="","",IFERROR(VLOOKUP(A131,DB_Customers!$A:$D,4,0),"❌ Account Not Found"))</f>
        <v/>
      </c>
      <c r="C131" s="80" t="str">
        <f>IF(A131="","",IFERROR(VLOOKUP(A131,DB_Customers!$A:$N,14,0),""))</f>
        <v/>
      </c>
      <c r="D131" s="81" t="str">
        <f t="shared" ca="1" si="9"/>
        <v/>
      </c>
      <c r="E131" s="97"/>
      <c r="F131" s="21"/>
      <c r="G131" s="98" t="str">
        <f t="shared" si="10"/>
        <v/>
      </c>
      <c r="H131" s="23"/>
      <c r="I131" s="84"/>
      <c r="J131" s="85" t="str">
        <f>IF(AND(A131&lt;&gt;"",E131&lt;&gt;""),IF(I131="","⚠️ Enter Code",IF(IFERROR(VLOOKUP(H131,DB_Agents!$B:$I,8,0),"")=I131,IF(C131&gt;=E131,"Successful","Unsuccessful"),"🔒 BLOCKED — Wrong Code")),"—")</f>
        <v>—</v>
      </c>
      <c r="K131" s="86" t="str">
        <f t="shared" ca="1" si="11"/>
        <v>—</v>
      </c>
      <c r="L131" s="87"/>
    </row>
    <row r="132" spans="1:12" x14ac:dyDescent="0.25">
      <c r="A132" s="88"/>
      <c r="B132" s="25" t="str">
        <f>IF(A132="","",IFERROR(VLOOKUP(A132,DB_Customers!$A:$D,4,0),"❌ Account Not Found"))</f>
        <v/>
      </c>
      <c r="C132" s="89" t="str">
        <f>IF(A132="","",IFERROR(VLOOKUP(A132,DB_Customers!$A:$N,14,0),""))</f>
        <v/>
      </c>
      <c r="D132" s="90" t="str">
        <f t="shared" ca="1" si="9"/>
        <v/>
      </c>
      <c r="E132" s="97"/>
      <c r="F132" s="25"/>
      <c r="G132" s="99" t="str">
        <f t="shared" si="10"/>
        <v/>
      </c>
      <c r="H132" s="27"/>
      <c r="I132" s="84"/>
      <c r="J132" s="92" t="str">
        <f>IF(AND(A132&lt;&gt;"",E132&lt;&gt;""),IF(I132="","⚠️ Enter Code",IF(IFERROR(VLOOKUP(H132,DB_Agents!$B:$I,8,0),"")=I132,IF(C132&gt;=E132,"Successful","Unsuccessful"),"🔒 BLOCKED — Wrong Code")),"—")</f>
        <v>—</v>
      </c>
      <c r="K132" s="93" t="str">
        <f t="shared" ca="1" si="11"/>
        <v>—</v>
      </c>
      <c r="L132" s="94"/>
    </row>
    <row r="133" spans="1:12" x14ac:dyDescent="0.25">
      <c r="A133" s="79"/>
      <c r="B133" s="21" t="str">
        <f>IF(A133="","",IFERROR(VLOOKUP(A133,DB_Customers!$A:$D,4,0),"❌ Account Not Found"))</f>
        <v/>
      </c>
      <c r="C133" s="80" t="str">
        <f>IF(A133="","",IFERROR(VLOOKUP(A133,DB_Customers!$A:$N,14,0),""))</f>
        <v/>
      </c>
      <c r="D133" s="81" t="str">
        <f t="shared" ca="1" si="9"/>
        <v/>
      </c>
      <c r="E133" s="97"/>
      <c r="F133" s="21"/>
      <c r="G133" s="98" t="str">
        <f t="shared" si="10"/>
        <v/>
      </c>
      <c r="H133" s="23"/>
      <c r="I133" s="84"/>
      <c r="J133" s="85" t="str">
        <f>IF(AND(A133&lt;&gt;"",E133&lt;&gt;""),IF(I133="","⚠️ Enter Code",IF(IFERROR(VLOOKUP(H133,DB_Agents!$B:$I,8,0),"")=I133,IF(C133&gt;=E133,"Successful","Unsuccessful"),"🔒 BLOCKED — Wrong Code")),"—")</f>
        <v>—</v>
      </c>
      <c r="K133" s="86" t="str">
        <f t="shared" ca="1" si="11"/>
        <v>—</v>
      </c>
      <c r="L133" s="87"/>
    </row>
    <row r="134" spans="1:12" x14ac:dyDescent="0.25">
      <c r="A134" s="88"/>
      <c r="B134" s="25" t="str">
        <f>IF(A134="","",IFERROR(VLOOKUP(A134,DB_Customers!$A:$D,4,0),"❌ Account Not Found"))</f>
        <v/>
      </c>
      <c r="C134" s="89" t="str">
        <f>IF(A134="","",IFERROR(VLOOKUP(A134,DB_Customers!$A:$N,14,0),""))</f>
        <v/>
      </c>
      <c r="D134" s="90" t="str">
        <f t="shared" ca="1" si="9"/>
        <v/>
      </c>
      <c r="E134" s="97"/>
      <c r="F134" s="25"/>
      <c r="G134" s="99" t="str">
        <f t="shared" si="10"/>
        <v/>
      </c>
      <c r="H134" s="27"/>
      <c r="I134" s="84"/>
      <c r="J134" s="92" t="str">
        <f>IF(AND(A134&lt;&gt;"",E134&lt;&gt;""),IF(I134="","⚠️ Enter Code",IF(IFERROR(VLOOKUP(H134,DB_Agents!$B:$I,8,0),"")=I134,IF(C134&gt;=E134,"Successful","Unsuccessful"),"🔒 BLOCKED — Wrong Code")),"—")</f>
        <v>—</v>
      </c>
      <c r="K134" s="93" t="str">
        <f t="shared" ca="1" si="11"/>
        <v>—</v>
      </c>
      <c r="L134" s="94"/>
    </row>
    <row r="135" spans="1:12" x14ac:dyDescent="0.25">
      <c r="A135" s="79"/>
      <c r="B135" s="21" t="str">
        <f>IF(A135="","",IFERROR(VLOOKUP(A135,DB_Customers!$A:$D,4,0),"❌ Account Not Found"))</f>
        <v/>
      </c>
      <c r="C135" s="80" t="str">
        <f>IF(A135="","",IFERROR(VLOOKUP(A135,DB_Customers!$A:$N,14,0),""))</f>
        <v/>
      </c>
      <c r="D135" s="81" t="str">
        <f t="shared" ca="1" si="9"/>
        <v/>
      </c>
      <c r="E135" s="97"/>
      <c r="F135" s="21"/>
      <c r="G135" s="98" t="str">
        <f t="shared" si="10"/>
        <v/>
      </c>
      <c r="H135" s="23"/>
      <c r="I135" s="84"/>
      <c r="J135" s="85" t="str">
        <f>IF(AND(A135&lt;&gt;"",E135&lt;&gt;""),IF(I135="","⚠️ Enter Code",IF(IFERROR(VLOOKUP(H135,DB_Agents!$B:$I,8,0),"")=I135,IF(C135&gt;=E135,"Successful","Unsuccessful"),"🔒 BLOCKED — Wrong Code")),"—")</f>
        <v>—</v>
      </c>
      <c r="K135" s="86" t="str">
        <f t="shared" ca="1" si="11"/>
        <v>—</v>
      </c>
      <c r="L135" s="87"/>
    </row>
    <row r="136" spans="1:12" x14ac:dyDescent="0.25">
      <c r="A136" s="88"/>
      <c r="B136" s="25" t="str">
        <f>IF(A136="","",IFERROR(VLOOKUP(A136,DB_Customers!$A:$D,4,0),"❌ Account Not Found"))</f>
        <v/>
      </c>
      <c r="C136" s="89" t="str">
        <f>IF(A136="","",IFERROR(VLOOKUP(A136,DB_Customers!$A:$N,14,0),""))</f>
        <v/>
      </c>
      <c r="D136" s="90" t="str">
        <f t="shared" ca="1" si="9"/>
        <v/>
      </c>
      <c r="E136" s="97"/>
      <c r="F136" s="25"/>
      <c r="G136" s="99" t="str">
        <f t="shared" si="10"/>
        <v/>
      </c>
      <c r="H136" s="27"/>
      <c r="I136" s="84"/>
      <c r="J136" s="92" t="str">
        <f>IF(AND(A136&lt;&gt;"",E136&lt;&gt;""),IF(I136="","⚠️ Enter Code",IF(IFERROR(VLOOKUP(H136,DB_Agents!$B:$I,8,0),"")=I136,IF(C136&gt;=E136,"Successful","Unsuccessful"),"🔒 BLOCKED — Wrong Code")),"—")</f>
        <v>—</v>
      </c>
      <c r="K136" s="93" t="str">
        <f t="shared" ca="1" si="11"/>
        <v>—</v>
      </c>
      <c r="L136" s="94"/>
    </row>
    <row r="137" spans="1:12" x14ac:dyDescent="0.25">
      <c r="A137" s="79"/>
      <c r="B137" s="21" t="str">
        <f>IF(A137="","",IFERROR(VLOOKUP(A137,DB_Customers!$A:$D,4,0),"❌ Account Not Found"))</f>
        <v/>
      </c>
      <c r="C137" s="80" t="str">
        <f>IF(A137="","",IFERROR(VLOOKUP(A137,DB_Customers!$A:$N,14,0),""))</f>
        <v/>
      </c>
      <c r="D137" s="81" t="str">
        <f t="shared" ref="D137:D168" ca="1" si="12">IF(A137="","",TODAY())</f>
        <v/>
      </c>
      <c r="E137" s="97"/>
      <c r="F137" s="21"/>
      <c r="G137" s="98" t="str">
        <f t="shared" ref="G137:G168" si="13">IF(OR(A137="",E137=""),"",IF(C137="","",C137-E137))</f>
        <v/>
      </c>
      <c r="H137" s="23"/>
      <c r="I137" s="84"/>
      <c r="J137" s="85" t="str">
        <f>IF(AND(A137&lt;&gt;"",E137&lt;&gt;""),IF(I137="","⚠️ Enter Code",IF(IFERROR(VLOOKUP(H137,DB_Agents!$B:$I,8,0),"")=I137,IF(C137&gt;=E137,"Successful","Unsuccessful"),"🔒 BLOCKED — Wrong Code")),"—")</f>
        <v>—</v>
      </c>
      <c r="K137" s="86" t="str">
        <f t="shared" ref="K137:K168" ca="1" si="14">IF(J137="Successful",TEXT(TODAY(),"YYYY-MM-DD")&amp;" Auto","—")</f>
        <v>—</v>
      </c>
      <c r="L137" s="87"/>
    </row>
    <row r="138" spans="1:12" x14ac:dyDescent="0.25">
      <c r="A138" s="88"/>
      <c r="B138" s="25" t="str">
        <f>IF(A138="","",IFERROR(VLOOKUP(A138,DB_Customers!$A:$D,4,0),"❌ Account Not Found"))</f>
        <v/>
      </c>
      <c r="C138" s="89" t="str">
        <f>IF(A138="","",IFERROR(VLOOKUP(A138,DB_Customers!$A:$N,14,0),""))</f>
        <v/>
      </c>
      <c r="D138" s="90" t="str">
        <f t="shared" ca="1" si="12"/>
        <v/>
      </c>
      <c r="E138" s="97"/>
      <c r="F138" s="25"/>
      <c r="G138" s="99" t="str">
        <f t="shared" si="13"/>
        <v/>
      </c>
      <c r="H138" s="27"/>
      <c r="I138" s="84"/>
      <c r="J138" s="92" t="str">
        <f>IF(AND(A138&lt;&gt;"",E138&lt;&gt;""),IF(I138="","⚠️ Enter Code",IF(IFERROR(VLOOKUP(H138,DB_Agents!$B:$I,8,0),"")=I138,IF(C138&gt;=E138,"Successful","Unsuccessful"),"🔒 BLOCKED — Wrong Code")),"—")</f>
        <v>—</v>
      </c>
      <c r="K138" s="93" t="str">
        <f t="shared" ca="1" si="14"/>
        <v>—</v>
      </c>
      <c r="L138" s="94"/>
    </row>
    <row r="139" spans="1:12" x14ac:dyDescent="0.25">
      <c r="A139" s="79"/>
      <c r="B139" s="21" t="str">
        <f>IF(A139="","",IFERROR(VLOOKUP(A139,DB_Customers!$A:$D,4,0),"❌ Account Not Found"))</f>
        <v/>
      </c>
      <c r="C139" s="80" t="str">
        <f>IF(A139="","",IFERROR(VLOOKUP(A139,DB_Customers!$A:$N,14,0),""))</f>
        <v/>
      </c>
      <c r="D139" s="81" t="str">
        <f t="shared" ca="1" si="12"/>
        <v/>
      </c>
      <c r="E139" s="97"/>
      <c r="F139" s="21"/>
      <c r="G139" s="98" t="str">
        <f t="shared" si="13"/>
        <v/>
      </c>
      <c r="H139" s="23"/>
      <c r="I139" s="84"/>
      <c r="J139" s="85" t="str">
        <f>IF(AND(A139&lt;&gt;"",E139&lt;&gt;""),IF(I139="","⚠️ Enter Code",IF(IFERROR(VLOOKUP(H139,DB_Agents!$B:$I,8,0),"")=I139,IF(C139&gt;=E139,"Successful","Unsuccessful"),"🔒 BLOCKED — Wrong Code")),"—")</f>
        <v>—</v>
      </c>
      <c r="K139" s="86" t="str">
        <f t="shared" ca="1" si="14"/>
        <v>—</v>
      </c>
      <c r="L139" s="87"/>
    </row>
    <row r="140" spans="1:12" x14ac:dyDescent="0.25">
      <c r="A140" s="88"/>
      <c r="B140" s="25" t="str">
        <f>IF(A140="","",IFERROR(VLOOKUP(A140,DB_Customers!$A:$D,4,0),"❌ Account Not Found"))</f>
        <v/>
      </c>
      <c r="C140" s="89" t="str">
        <f>IF(A140="","",IFERROR(VLOOKUP(A140,DB_Customers!$A:$N,14,0),""))</f>
        <v/>
      </c>
      <c r="D140" s="90" t="str">
        <f t="shared" ca="1" si="12"/>
        <v/>
      </c>
      <c r="E140" s="97"/>
      <c r="F140" s="25"/>
      <c r="G140" s="99" t="str">
        <f t="shared" si="13"/>
        <v/>
      </c>
      <c r="H140" s="27"/>
      <c r="I140" s="84"/>
      <c r="J140" s="92" t="str">
        <f>IF(AND(A140&lt;&gt;"",E140&lt;&gt;""),IF(I140="","⚠️ Enter Code",IF(IFERROR(VLOOKUP(H140,DB_Agents!$B:$I,8,0),"")=I140,IF(C140&gt;=E140,"Successful","Unsuccessful"),"🔒 BLOCKED — Wrong Code")),"—")</f>
        <v>—</v>
      </c>
      <c r="K140" s="93" t="str">
        <f t="shared" ca="1" si="14"/>
        <v>—</v>
      </c>
      <c r="L140" s="94"/>
    </row>
    <row r="141" spans="1:12" x14ac:dyDescent="0.25">
      <c r="A141" s="79"/>
      <c r="B141" s="21" t="str">
        <f>IF(A141="","",IFERROR(VLOOKUP(A141,DB_Customers!$A:$D,4,0),"❌ Account Not Found"))</f>
        <v/>
      </c>
      <c r="C141" s="80" t="str">
        <f>IF(A141="","",IFERROR(VLOOKUP(A141,DB_Customers!$A:$N,14,0),""))</f>
        <v/>
      </c>
      <c r="D141" s="81" t="str">
        <f t="shared" ca="1" si="12"/>
        <v/>
      </c>
      <c r="E141" s="97"/>
      <c r="F141" s="21"/>
      <c r="G141" s="98" t="str">
        <f t="shared" si="13"/>
        <v/>
      </c>
      <c r="H141" s="23"/>
      <c r="I141" s="84"/>
      <c r="J141" s="85" t="str">
        <f>IF(AND(A141&lt;&gt;"",E141&lt;&gt;""),IF(I141="","⚠️ Enter Code",IF(IFERROR(VLOOKUP(H141,DB_Agents!$B:$I,8,0),"")=I141,IF(C141&gt;=E141,"Successful","Unsuccessful"),"🔒 BLOCKED — Wrong Code")),"—")</f>
        <v>—</v>
      </c>
      <c r="K141" s="86" t="str">
        <f t="shared" ca="1" si="14"/>
        <v>—</v>
      </c>
      <c r="L141" s="87"/>
    </row>
    <row r="142" spans="1:12" x14ac:dyDescent="0.25">
      <c r="A142" s="88"/>
      <c r="B142" s="25" t="str">
        <f>IF(A142="","",IFERROR(VLOOKUP(A142,DB_Customers!$A:$D,4,0),"❌ Account Not Found"))</f>
        <v/>
      </c>
      <c r="C142" s="89" t="str">
        <f>IF(A142="","",IFERROR(VLOOKUP(A142,DB_Customers!$A:$N,14,0),""))</f>
        <v/>
      </c>
      <c r="D142" s="90" t="str">
        <f t="shared" ca="1" si="12"/>
        <v/>
      </c>
      <c r="E142" s="97"/>
      <c r="F142" s="25"/>
      <c r="G142" s="99" t="str">
        <f t="shared" si="13"/>
        <v/>
      </c>
      <c r="H142" s="27"/>
      <c r="I142" s="84"/>
      <c r="J142" s="92" t="str">
        <f>IF(AND(A142&lt;&gt;"",E142&lt;&gt;""),IF(I142="","⚠️ Enter Code",IF(IFERROR(VLOOKUP(H142,DB_Agents!$B:$I,8,0),"")=I142,IF(C142&gt;=E142,"Successful","Unsuccessful"),"🔒 BLOCKED — Wrong Code")),"—")</f>
        <v>—</v>
      </c>
      <c r="K142" s="93" t="str">
        <f t="shared" ca="1" si="14"/>
        <v>—</v>
      </c>
      <c r="L142" s="94"/>
    </row>
    <row r="143" spans="1:12" x14ac:dyDescent="0.25">
      <c r="A143" s="79"/>
      <c r="B143" s="21" t="str">
        <f>IF(A143="","",IFERROR(VLOOKUP(A143,DB_Customers!$A:$D,4,0),"❌ Account Not Found"))</f>
        <v/>
      </c>
      <c r="C143" s="80" t="str">
        <f>IF(A143="","",IFERROR(VLOOKUP(A143,DB_Customers!$A:$N,14,0),""))</f>
        <v/>
      </c>
      <c r="D143" s="81" t="str">
        <f t="shared" ca="1" si="12"/>
        <v/>
      </c>
      <c r="E143" s="97"/>
      <c r="F143" s="21"/>
      <c r="G143" s="98" t="str">
        <f t="shared" si="13"/>
        <v/>
      </c>
      <c r="H143" s="23"/>
      <c r="I143" s="84"/>
      <c r="J143" s="85" t="str">
        <f>IF(AND(A143&lt;&gt;"",E143&lt;&gt;""),IF(I143="","⚠️ Enter Code",IF(IFERROR(VLOOKUP(H143,DB_Agents!$B:$I,8,0),"")=I143,IF(C143&gt;=E143,"Successful","Unsuccessful"),"🔒 BLOCKED — Wrong Code")),"—")</f>
        <v>—</v>
      </c>
      <c r="K143" s="86" t="str">
        <f t="shared" ca="1" si="14"/>
        <v>—</v>
      </c>
      <c r="L143" s="87"/>
    </row>
    <row r="144" spans="1:12" x14ac:dyDescent="0.25">
      <c r="A144" s="88"/>
      <c r="B144" s="25" t="str">
        <f>IF(A144="","",IFERROR(VLOOKUP(A144,DB_Customers!$A:$D,4,0),"❌ Account Not Found"))</f>
        <v/>
      </c>
      <c r="C144" s="89" t="str">
        <f>IF(A144="","",IFERROR(VLOOKUP(A144,DB_Customers!$A:$N,14,0),""))</f>
        <v/>
      </c>
      <c r="D144" s="90" t="str">
        <f t="shared" ca="1" si="12"/>
        <v/>
      </c>
      <c r="E144" s="97"/>
      <c r="F144" s="25"/>
      <c r="G144" s="99" t="str">
        <f t="shared" si="13"/>
        <v/>
      </c>
      <c r="H144" s="27"/>
      <c r="I144" s="84"/>
      <c r="J144" s="92" t="str">
        <f>IF(AND(A144&lt;&gt;"",E144&lt;&gt;""),IF(I144="","⚠️ Enter Code",IF(IFERROR(VLOOKUP(H144,DB_Agents!$B:$I,8,0),"")=I144,IF(C144&gt;=E144,"Successful","Unsuccessful"),"🔒 BLOCKED — Wrong Code")),"—")</f>
        <v>—</v>
      </c>
      <c r="K144" s="93" t="str">
        <f t="shared" ca="1" si="14"/>
        <v>—</v>
      </c>
      <c r="L144" s="94"/>
    </row>
    <row r="145" spans="1:12" x14ac:dyDescent="0.25">
      <c r="A145" s="79"/>
      <c r="B145" s="21" t="str">
        <f>IF(A145="","",IFERROR(VLOOKUP(A145,DB_Customers!$A:$D,4,0),"❌ Account Not Found"))</f>
        <v/>
      </c>
      <c r="C145" s="80" t="str">
        <f>IF(A145="","",IFERROR(VLOOKUP(A145,DB_Customers!$A:$N,14,0),""))</f>
        <v/>
      </c>
      <c r="D145" s="81" t="str">
        <f t="shared" ca="1" si="12"/>
        <v/>
      </c>
      <c r="E145" s="97"/>
      <c r="F145" s="21"/>
      <c r="G145" s="98" t="str">
        <f t="shared" si="13"/>
        <v/>
      </c>
      <c r="H145" s="23"/>
      <c r="I145" s="84"/>
      <c r="J145" s="85" t="str">
        <f>IF(AND(A145&lt;&gt;"",E145&lt;&gt;""),IF(I145="","⚠️ Enter Code",IF(IFERROR(VLOOKUP(H145,DB_Agents!$B:$I,8,0),"")=I145,IF(C145&gt;=E145,"Successful","Unsuccessful"),"🔒 BLOCKED — Wrong Code")),"—")</f>
        <v>—</v>
      </c>
      <c r="K145" s="86" t="str">
        <f t="shared" ca="1" si="14"/>
        <v>—</v>
      </c>
      <c r="L145" s="87"/>
    </row>
    <row r="146" spans="1:12" x14ac:dyDescent="0.25">
      <c r="A146" s="88"/>
      <c r="B146" s="25" t="str">
        <f>IF(A146="","",IFERROR(VLOOKUP(A146,DB_Customers!$A:$D,4,0),"❌ Account Not Found"))</f>
        <v/>
      </c>
      <c r="C146" s="89" t="str">
        <f>IF(A146="","",IFERROR(VLOOKUP(A146,DB_Customers!$A:$N,14,0),""))</f>
        <v/>
      </c>
      <c r="D146" s="90" t="str">
        <f t="shared" ca="1" si="12"/>
        <v/>
      </c>
      <c r="E146" s="97"/>
      <c r="F146" s="25"/>
      <c r="G146" s="99" t="str">
        <f t="shared" si="13"/>
        <v/>
      </c>
      <c r="H146" s="27"/>
      <c r="I146" s="84"/>
      <c r="J146" s="92" t="str">
        <f>IF(AND(A146&lt;&gt;"",E146&lt;&gt;""),IF(I146="","⚠️ Enter Code",IF(IFERROR(VLOOKUP(H146,DB_Agents!$B:$I,8,0),"")=I146,IF(C146&gt;=E146,"Successful","Unsuccessful"),"🔒 BLOCKED — Wrong Code")),"—")</f>
        <v>—</v>
      </c>
      <c r="K146" s="93" t="str">
        <f t="shared" ca="1" si="14"/>
        <v>—</v>
      </c>
      <c r="L146" s="94"/>
    </row>
    <row r="147" spans="1:12" x14ac:dyDescent="0.25">
      <c r="A147" s="79"/>
      <c r="B147" s="21" t="str">
        <f>IF(A147="","",IFERROR(VLOOKUP(A147,DB_Customers!$A:$D,4,0),"❌ Account Not Found"))</f>
        <v/>
      </c>
      <c r="C147" s="80" t="str">
        <f>IF(A147="","",IFERROR(VLOOKUP(A147,DB_Customers!$A:$N,14,0),""))</f>
        <v/>
      </c>
      <c r="D147" s="81" t="str">
        <f t="shared" ca="1" si="12"/>
        <v/>
      </c>
      <c r="E147" s="97"/>
      <c r="F147" s="21"/>
      <c r="G147" s="98" t="str">
        <f t="shared" si="13"/>
        <v/>
      </c>
      <c r="H147" s="23"/>
      <c r="I147" s="84"/>
      <c r="J147" s="85" t="str">
        <f>IF(AND(A147&lt;&gt;"",E147&lt;&gt;""),IF(I147="","⚠️ Enter Code",IF(IFERROR(VLOOKUP(H147,DB_Agents!$B:$I,8,0),"")=I147,IF(C147&gt;=E147,"Successful","Unsuccessful"),"🔒 BLOCKED — Wrong Code")),"—")</f>
        <v>—</v>
      </c>
      <c r="K147" s="86" t="str">
        <f t="shared" ca="1" si="14"/>
        <v>—</v>
      </c>
      <c r="L147" s="87"/>
    </row>
    <row r="148" spans="1:12" x14ac:dyDescent="0.25">
      <c r="A148" s="88"/>
      <c r="B148" s="25" t="str">
        <f>IF(A148="","",IFERROR(VLOOKUP(A148,DB_Customers!$A:$D,4,0),"❌ Account Not Found"))</f>
        <v/>
      </c>
      <c r="C148" s="89" t="str">
        <f>IF(A148="","",IFERROR(VLOOKUP(A148,DB_Customers!$A:$N,14,0),""))</f>
        <v/>
      </c>
      <c r="D148" s="90" t="str">
        <f t="shared" ca="1" si="12"/>
        <v/>
      </c>
      <c r="E148" s="97"/>
      <c r="F148" s="25"/>
      <c r="G148" s="99" t="str">
        <f t="shared" si="13"/>
        <v/>
      </c>
      <c r="H148" s="27"/>
      <c r="I148" s="84"/>
      <c r="J148" s="92" t="str">
        <f>IF(AND(A148&lt;&gt;"",E148&lt;&gt;""),IF(I148="","⚠️ Enter Code",IF(IFERROR(VLOOKUP(H148,DB_Agents!$B:$I,8,0),"")=I148,IF(C148&gt;=E148,"Successful","Unsuccessful"),"🔒 BLOCKED — Wrong Code")),"—")</f>
        <v>—</v>
      </c>
      <c r="K148" s="93" t="str">
        <f t="shared" ca="1" si="14"/>
        <v>—</v>
      </c>
      <c r="L148" s="94"/>
    </row>
    <row r="149" spans="1:12" x14ac:dyDescent="0.25">
      <c r="A149" s="79"/>
      <c r="B149" s="21" t="str">
        <f>IF(A149="","",IFERROR(VLOOKUP(A149,DB_Customers!$A:$D,4,0),"❌ Account Not Found"))</f>
        <v/>
      </c>
      <c r="C149" s="80" t="str">
        <f>IF(A149="","",IFERROR(VLOOKUP(A149,DB_Customers!$A:$N,14,0),""))</f>
        <v/>
      </c>
      <c r="D149" s="81" t="str">
        <f t="shared" ca="1" si="12"/>
        <v/>
      </c>
      <c r="E149" s="97"/>
      <c r="F149" s="21"/>
      <c r="G149" s="98" t="str">
        <f t="shared" si="13"/>
        <v/>
      </c>
      <c r="H149" s="23"/>
      <c r="I149" s="84"/>
      <c r="J149" s="85" t="str">
        <f>IF(AND(A149&lt;&gt;"",E149&lt;&gt;""),IF(I149="","⚠️ Enter Code",IF(IFERROR(VLOOKUP(H149,DB_Agents!$B:$I,8,0),"")=I149,IF(C149&gt;=E149,"Successful","Unsuccessful"),"🔒 BLOCKED — Wrong Code")),"—")</f>
        <v>—</v>
      </c>
      <c r="K149" s="86" t="str">
        <f t="shared" ca="1" si="14"/>
        <v>—</v>
      </c>
      <c r="L149" s="87"/>
    </row>
    <row r="150" spans="1:12" x14ac:dyDescent="0.25">
      <c r="A150" s="88"/>
      <c r="B150" s="25" t="str">
        <f>IF(A150="","",IFERROR(VLOOKUP(A150,DB_Customers!$A:$D,4,0),"❌ Account Not Found"))</f>
        <v/>
      </c>
      <c r="C150" s="89" t="str">
        <f>IF(A150="","",IFERROR(VLOOKUP(A150,DB_Customers!$A:$N,14,0),""))</f>
        <v/>
      </c>
      <c r="D150" s="90" t="str">
        <f t="shared" ca="1" si="12"/>
        <v/>
      </c>
      <c r="E150" s="97"/>
      <c r="F150" s="25"/>
      <c r="G150" s="99" t="str">
        <f t="shared" si="13"/>
        <v/>
      </c>
      <c r="H150" s="27"/>
      <c r="I150" s="84"/>
      <c r="J150" s="92" t="str">
        <f>IF(AND(A150&lt;&gt;"",E150&lt;&gt;""),IF(I150="","⚠️ Enter Code",IF(IFERROR(VLOOKUP(H150,DB_Agents!$B:$I,8,0),"")=I150,IF(C150&gt;=E150,"Successful","Unsuccessful"),"🔒 BLOCKED — Wrong Code")),"—")</f>
        <v>—</v>
      </c>
      <c r="K150" s="93" t="str">
        <f t="shared" ca="1" si="14"/>
        <v>—</v>
      </c>
      <c r="L150" s="94"/>
    </row>
    <row r="151" spans="1:12" x14ac:dyDescent="0.25">
      <c r="A151" s="79"/>
      <c r="B151" s="21" t="str">
        <f>IF(A151="","",IFERROR(VLOOKUP(A151,DB_Customers!$A:$D,4,0),"❌ Account Not Found"))</f>
        <v/>
      </c>
      <c r="C151" s="80" t="str">
        <f>IF(A151="","",IFERROR(VLOOKUP(A151,DB_Customers!$A:$N,14,0),""))</f>
        <v/>
      </c>
      <c r="D151" s="81" t="str">
        <f t="shared" ca="1" si="12"/>
        <v/>
      </c>
      <c r="E151" s="97"/>
      <c r="F151" s="21"/>
      <c r="G151" s="98" t="str">
        <f t="shared" si="13"/>
        <v/>
      </c>
      <c r="H151" s="23"/>
      <c r="I151" s="84"/>
      <c r="J151" s="85" t="str">
        <f>IF(AND(A151&lt;&gt;"",E151&lt;&gt;""),IF(I151="","⚠️ Enter Code",IF(IFERROR(VLOOKUP(H151,DB_Agents!$B:$I,8,0),"")=I151,IF(C151&gt;=E151,"Successful","Unsuccessful"),"🔒 BLOCKED — Wrong Code")),"—")</f>
        <v>—</v>
      </c>
      <c r="K151" s="86" t="str">
        <f t="shared" ca="1" si="14"/>
        <v>—</v>
      </c>
      <c r="L151" s="87"/>
    </row>
    <row r="152" spans="1:12" x14ac:dyDescent="0.25">
      <c r="A152" s="88"/>
      <c r="B152" s="25" t="str">
        <f>IF(A152="","",IFERROR(VLOOKUP(A152,DB_Customers!$A:$D,4,0),"❌ Account Not Found"))</f>
        <v/>
      </c>
      <c r="C152" s="89" t="str">
        <f>IF(A152="","",IFERROR(VLOOKUP(A152,DB_Customers!$A:$N,14,0),""))</f>
        <v/>
      </c>
      <c r="D152" s="90" t="str">
        <f t="shared" ca="1" si="12"/>
        <v/>
      </c>
      <c r="E152" s="97"/>
      <c r="F152" s="25"/>
      <c r="G152" s="99" t="str">
        <f t="shared" si="13"/>
        <v/>
      </c>
      <c r="H152" s="27"/>
      <c r="I152" s="84"/>
      <c r="J152" s="92" t="str">
        <f>IF(AND(A152&lt;&gt;"",E152&lt;&gt;""),IF(I152="","⚠️ Enter Code",IF(IFERROR(VLOOKUP(H152,DB_Agents!$B:$I,8,0),"")=I152,IF(C152&gt;=E152,"Successful","Unsuccessful"),"🔒 BLOCKED — Wrong Code")),"—")</f>
        <v>—</v>
      </c>
      <c r="K152" s="93" t="str">
        <f t="shared" ca="1" si="14"/>
        <v>—</v>
      </c>
      <c r="L152" s="94"/>
    </row>
    <row r="153" spans="1:12" x14ac:dyDescent="0.25">
      <c r="A153" s="79"/>
      <c r="B153" s="21" t="str">
        <f>IF(A153="","",IFERROR(VLOOKUP(A153,DB_Customers!$A:$D,4,0),"❌ Account Not Found"))</f>
        <v/>
      </c>
      <c r="C153" s="80" t="str">
        <f>IF(A153="","",IFERROR(VLOOKUP(A153,DB_Customers!$A:$N,14,0),""))</f>
        <v/>
      </c>
      <c r="D153" s="81" t="str">
        <f t="shared" ca="1" si="12"/>
        <v/>
      </c>
      <c r="E153" s="97"/>
      <c r="F153" s="21"/>
      <c r="G153" s="98" t="str">
        <f t="shared" si="13"/>
        <v/>
      </c>
      <c r="H153" s="23"/>
      <c r="I153" s="84"/>
      <c r="J153" s="85" t="str">
        <f>IF(AND(A153&lt;&gt;"",E153&lt;&gt;""),IF(I153="","⚠️ Enter Code",IF(IFERROR(VLOOKUP(H153,DB_Agents!$B:$I,8,0),"")=I153,IF(C153&gt;=E153,"Successful","Unsuccessful"),"🔒 BLOCKED — Wrong Code")),"—")</f>
        <v>—</v>
      </c>
      <c r="K153" s="86" t="str">
        <f t="shared" ca="1" si="14"/>
        <v>—</v>
      </c>
      <c r="L153" s="87"/>
    </row>
    <row r="154" spans="1:12" x14ac:dyDescent="0.25">
      <c r="A154" s="88"/>
      <c r="B154" s="25" t="str">
        <f>IF(A154="","",IFERROR(VLOOKUP(A154,DB_Customers!$A:$D,4,0),"❌ Account Not Found"))</f>
        <v/>
      </c>
      <c r="C154" s="89" t="str">
        <f>IF(A154="","",IFERROR(VLOOKUP(A154,DB_Customers!$A:$N,14,0),""))</f>
        <v/>
      </c>
      <c r="D154" s="90" t="str">
        <f t="shared" ca="1" si="12"/>
        <v/>
      </c>
      <c r="E154" s="97"/>
      <c r="F154" s="25"/>
      <c r="G154" s="99" t="str">
        <f t="shared" si="13"/>
        <v/>
      </c>
      <c r="H154" s="27"/>
      <c r="I154" s="84"/>
      <c r="J154" s="92" t="str">
        <f>IF(AND(A154&lt;&gt;"",E154&lt;&gt;""),IF(I154="","⚠️ Enter Code",IF(IFERROR(VLOOKUP(H154,DB_Agents!$B:$I,8,0),"")=I154,IF(C154&gt;=E154,"Successful","Unsuccessful"),"🔒 BLOCKED — Wrong Code")),"—")</f>
        <v>—</v>
      </c>
      <c r="K154" s="93" t="str">
        <f t="shared" ca="1" si="14"/>
        <v>—</v>
      </c>
      <c r="L154" s="94"/>
    </row>
    <row r="155" spans="1:12" x14ac:dyDescent="0.25">
      <c r="A155" s="79"/>
      <c r="B155" s="21" t="str">
        <f>IF(A155="","",IFERROR(VLOOKUP(A155,DB_Customers!$A:$D,4,0),"❌ Account Not Found"))</f>
        <v/>
      </c>
      <c r="C155" s="80" t="str">
        <f>IF(A155="","",IFERROR(VLOOKUP(A155,DB_Customers!$A:$N,14,0),""))</f>
        <v/>
      </c>
      <c r="D155" s="81" t="str">
        <f t="shared" ca="1" si="12"/>
        <v/>
      </c>
      <c r="E155" s="97"/>
      <c r="F155" s="21"/>
      <c r="G155" s="98" t="str">
        <f t="shared" si="13"/>
        <v/>
      </c>
      <c r="H155" s="23"/>
      <c r="I155" s="84"/>
      <c r="J155" s="85" t="str">
        <f>IF(AND(A155&lt;&gt;"",E155&lt;&gt;""),IF(I155="","⚠️ Enter Code",IF(IFERROR(VLOOKUP(H155,DB_Agents!$B:$I,8,0),"")=I155,IF(C155&gt;=E155,"Successful","Unsuccessful"),"🔒 BLOCKED — Wrong Code")),"—")</f>
        <v>—</v>
      </c>
      <c r="K155" s="86" t="str">
        <f t="shared" ca="1" si="14"/>
        <v>—</v>
      </c>
      <c r="L155" s="87"/>
    </row>
    <row r="156" spans="1:12" x14ac:dyDescent="0.25">
      <c r="A156" s="88"/>
      <c r="B156" s="25" t="str">
        <f>IF(A156="","",IFERROR(VLOOKUP(A156,DB_Customers!$A:$D,4,0),"❌ Account Not Found"))</f>
        <v/>
      </c>
      <c r="C156" s="89" t="str">
        <f>IF(A156="","",IFERROR(VLOOKUP(A156,DB_Customers!$A:$N,14,0),""))</f>
        <v/>
      </c>
      <c r="D156" s="90" t="str">
        <f t="shared" ca="1" si="12"/>
        <v/>
      </c>
      <c r="E156" s="97"/>
      <c r="F156" s="25"/>
      <c r="G156" s="99" t="str">
        <f t="shared" si="13"/>
        <v/>
      </c>
      <c r="H156" s="27"/>
      <c r="I156" s="84"/>
      <c r="J156" s="92" t="str">
        <f>IF(AND(A156&lt;&gt;"",E156&lt;&gt;""),IF(I156="","⚠️ Enter Code",IF(IFERROR(VLOOKUP(H156,DB_Agents!$B:$I,8,0),"")=I156,IF(C156&gt;=E156,"Successful","Unsuccessful"),"🔒 BLOCKED — Wrong Code")),"—")</f>
        <v>—</v>
      </c>
      <c r="K156" s="93" t="str">
        <f t="shared" ca="1" si="14"/>
        <v>—</v>
      </c>
      <c r="L156" s="94"/>
    </row>
    <row r="157" spans="1:12" x14ac:dyDescent="0.25">
      <c r="A157" s="79"/>
      <c r="B157" s="21" t="str">
        <f>IF(A157="","",IFERROR(VLOOKUP(A157,DB_Customers!$A:$D,4,0),"❌ Account Not Found"))</f>
        <v/>
      </c>
      <c r="C157" s="80" t="str">
        <f>IF(A157="","",IFERROR(VLOOKUP(A157,DB_Customers!$A:$N,14,0),""))</f>
        <v/>
      </c>
      <c r="D157" s="81" t="str">
        <f t="shared" ca="1" si="12"/>
        <v/>
      </c>
      <c r="E157" s="97"/>
      <c r="F157" s="21"/>
      <c r="G157" s="98" t="str">
        <f t="shared" si="13"/>
        <v/>
      </c>
      <c r="H157" s="23"/>
      <c r="I157" s="84"/>
      <c r="J157" s="85" t="str">
        <f>IF(AND(A157&lt;&gt;"",E157&lt;&gt;""),IF(I157="","⚠️ Enter Code",IF(IFERROR(VLOOKUP(H157,DB_Agents!$B:$I,8,0),"")=I157,IF(C157&gt;=E157,"Successful","Unsuccessful"),"🔒 BLOCKED — Wrong Code")),"—")</f>
        <v>—</v>
      </c>
      <c r="K157" s="86" t="str">
        <f t="shared" ca="1" si="14"/>
        <v>—</v>
      </c>
      <c r="L157" s="87"/>
    </row>
    <row r="158" spans="1:12" x14ac:dyDescent="0.25">
      <c r="A158" s="88"/>
      <c r="B158" s="25" t="str">
        <f>IF(A158="","",IFERROR(VLOOKUP(A158,DB_Customers!$A:$D,4,0),"❌ Account Not Found"))</f>
        <v/>
      </c>
      <c r="C158" s="89" t="str">
        <f>IF(A158="","",IFERROR(VLOOKUP(A158,DB_Customers!$A:$N,14,0),""))</f>
        <v/>
      </c>
      <c r="D158" s="90" t="str">
        <f t="shared" ca="1" si="12"/>
        <v/>
      </c>
      <c r="E158" s="97"/>
      <c r="F158" s="25"/>
      <c r="G158" s="99" t="str">
        <f t="shared" si="13"/>
        <v/>
      </c>
      <c r="H158" s="27"/>
      <c r="I158" s="84"/>
      <c r="J158" s="92" t="str">
        <f>IF(AND(A158&lt;&gt;"",E158&lt;&gt;""),IF(I158="","⚠️ Enter Code",IF(IFERROR(VLOOKUP(H158,DB_Agents!$B:$I,8,0),"")=I158,IF(C158&gt;=E158,"Successful","Unsuccessful"),"🔒 BLOCKED — Wrong Code")),"—")</f>
        <v>—</v>
      </c>
      <c r="K158" s="93" t="str">
        <f t="shared" ca="1" si="14"/>
        <v>—</v>
      </c>
      <c r="L158" s="94"/>
    </row>
    <row r="159" spans="1:12" x14ac:dyDescent="0.25">
      <c r="A159" s="79"/>
      <c r="B159" s="21" t="str">
        <f>IF(A159="","",IFERROR(VLOOKUP(A159,DB_Customers!$A:$D,4,0),"❌ Account Not Found"))</f>
        <v/>
      </c>
      <c r="C159" s="80" t="str">
        <f>IF(A159="","",IFERROR(VLOOKUP(A159,DB_Customers!$A:$N,14,0),""))</f>
        <v/>
      </c>
      <c r="D159" s="81" t="str">
        <f t="shared" ca="1" si="12"/>
        <v/>
      </c>
      <c r="E159" s="97"/>
      <c r="F159" s="21"/>
      <c r="G159" s="98" t="str">
        <f t="shared" si="13"/>
        <v/>
      </c>
      <c r="H159" s="23"/>
      <c r="I159" s="84"/>
      <c r="J159" s="85" t="str">
        <f>IF(AND(A159&lt;&gt;"",E159&lt;&gt;""),IF(I159="","⚠️ Enter Code",IF(IFERROR(VLOOKUP(H159,DB_Agents!$B:$I,8,0),"")=I159,IF(C159&gt;=E159,"Successful","Unsuccessful"),"🔒 BLOCKED — Wrong Code")),"—")</f>
        <v>—</v>
      </c>
      <c r="K159" s="86" t="str">
        <f t="shared" ca="1" si="14"/>
        <v>—</v>
      </c>
      <c r="L159" s="87"/>
    </row>
    <row r="160" spans="1:12" x14ac:dyDescent="0.25">
      <c r="A160" s="88"/>
      <c r="B160" s="25" t="str">
        <f>IF(A160="","",IFERROR(VLOOKUP(A160,DB_Customers!$A:$D,4,0),"❌ Account Not Found"))</f>
        <v/>
      </c>
      <c r="C160" s="89" t="str">
        <f>IF(A160="","",IFERROR(VLOOKUP(A160,DB_Customers!$A:$N,14,0),""))</f>
        <v/>
      </c>
      <c r="D160" s="90" t="str">
        <f t="shared" ca="1" si="12"/>
        <v/>
      </c>
      <c r="E160" s="97"/>
      <c r="F160" s="25"/>
      <c r="G160" s="99" t="str">
        <f t="shared" si="13"/>
        <v/>
      </c>
      <c r="H160" s="27"/>
      <c r="I160" s="84"/>
      <c r="J160" s="92" t="str">
        <f>IF(AND(A160&lt;&gt;"",E160&lt;&gt;""),IF(I160="","⚠️ Enter Code",IF(IFERROR(VLOOKUP(H160,DB_Agents!$B:$I,8,0),"")=I160,IF(C160&gt;=E160,"Successful","Unsuccessful"),"🔒 BLOCKED — Wrong Code")),"—")</f>
        <v>—</v>
      </c>
      <c r="K160" s="93" t="str">
        <f t="shared" ca="1" si="14"/>
        <v>—</v>
      </c>
      <c r="L160" s="94"/>
    </row>
    <row r="161" spans="1:12" x14ac:dyDescent="0.25">
      <c r="A161" s="79"/>
      <c r="B161" s="21" t="str">
        <f>IF(A161="","",IFERROR(VLOOKUP(A161,DB_Customers!$A:$D,4,0),"❌ Account Not Found"))</f>
        <v/>
      </c>
      <c r="C161" s="80" t="str">
        <f>IF(A161="","",IFERROR(VLOOKUP(A161,DB_Customers!$A:$N,14,0),""))</f>
        <v/>
      </c>
      <c r="D161" s="81" t="str">
        <f t="shared" ca="1" si="12"/>
        <v/>
      </c>
      <c r="E161" s="97"/>
      <c r="F161" s="21"/>
      <c r="G161" s="98" t="str">
        <f t="shared" si="13"/>
        <v/>
      </c>
      <c r="H161" s="23"/>
      <c r="I161" s="84"/>
      <c r="J161" s="85" t="str">
        <f>IF(AND(A161&lt;&gt;"",E161&lt;&gt;""),IF(I161="","⚠️ Enter Code",IF(IFERROR(VLOOKUP(H161,DB_Agents!$B:$I,8,0),"")=I161,IF(C161&gt;=E161,"Successful","Unsuccessful"),"🔒 BLOCKED — Wrong Code")),"—")</f>
        <v>—</v>
      </c>
      <c r="K161" s="86" t="str">
        <f t="shared" ca="1" si="14"/>
        <v>—</v>
      </c>
      <c r="L161" s="87"/>
    </row>
    <row r="162" spans="1:12" x14ac:dyDescent="0.25">
      <c r="A162" s="88"/>
      <c r="B162" s="25" t="str">
        <f>IF(A162="","",IFERROR(VLOOKUP(A162,DB_Customers!$A:$D,4,0),"❌ Account Not Found"))</f>
        <v/>
      </c>
      <c r="C162" s="89" t="str">
        <f>IF(A162="","",IFERROR(VLOOKUP(A162,DB_Customers!$A:$N,14,0),""))</f>
        <v/>
      </c>
      <c r="D162" s="90" t="str">
        <f t="shared" ca="1" si="12"/>
        <v/>
      </c>
      <c r="E162" s="97"/>
      <c r="F162" s="25"/>
      <c r="G162" s="99" t="str">
        <f t="shared" si="13"/>
        <v/>
      </c>
      <c r="H162" s="27"/>
      <c r="I162" s="84"/>
      <c r="J162" s="92" t="str">
        <f>IF(AND(A162&lt;&gt;"",E162&lt;&gt;""),IF(I162="","⚠️ Enter Code",IF(IFERROR(VLOOKUP(H162,DB_Agents!$B:$I,8,0),"")=I162,IF(C162&gt;=E162,"Successful","Unsuccessful"),"🔒 BLOCKED — Wrong Code")),"—")</f>
        <v>—</v>
      </c>
      <c r="K162" s="93" t="str">
        <f t="shared" ca="1" si="14"/>
        <v>—</v>
      </c>
      <c r="L162" s="94"/>
    </row>
    <row r="163" spans="1:12" x14ac:dyDescent="0.25">
      <c r="A163" s="79"/>
      <c r="B163" s="21" t="str">
        <f>IF(A163="","",IFERROR(VLOOKUP(A163,DB_Customers!$A:$D,4,0),"❌ Account Not Found"))</f>
        <v/>
      </c>
      <c r="C163" s="80" t="str">
        <f>IF(A163="","",IFERROR(VLOOKUP(A163,DB_Customers!$A:$N,14,0),""))</f>
        <v/>
      </c>
      <c r="D163" s="81" t="str">
        <f t="shared" ca="1" si="12"/>
        <v/>
      </c>
      <c r="E163" s="97"/>
      <c r="F163" s="21"/>
      <c r="G163" s="98" t="str">
        <f t="shared" si="13"/>
        <v/>
      </c>
      <c r="H163" s="23"/>
      <c r="I163" s="84"/>
      <c r="J163" s="85" t="str">
        <f>IF(AND(A163&lt;&gt;"",E163&lt;&gt;""),IF(I163="","⚠️ Enter Code",IF(IFERROR(VLOOKUP(H163,DB_Agents!$B:$I,8,0),"")=I163,IF(C163&gt;=E163,"Successful","Unsuccessful"),"🔒 BLOCKED — Wrong Code")),"—")</f>
        <v>—</v>
      </c>
      <c r="K163" s="86" t="str">
        <f t="shared" ca="1" si="14"/>
        <v>—</v>
      </c>
      <c r="L163" s="87"/>
    </row>
    <row r="164" spans="1:12" x14ac:dyDescent="0.25">
      <c r="A164" s="88"/>
      <c r="B164" s="25" t="str">
        <f>IF(A164="","",IFERROR(VLOOKUP(A164,DB_Customers!$A:$D,4,0),"❌ Account Not Found"))</f>
        <v/>
      </c>
      <c r="C164" s="89" t="str">
        <f>IF(A164="","",IFERROR(VLOOKUP(A164,DB_Customers!$A:$N,14,0),""))</f>
        <v/>
      </c>
      <c r="D164" s="90" t="str">
        <f t="shared" ca="1" si="12"/>
        <v/>
      </c>
      <c r="E164" s="97"/>
      <c r="F164" s="25"/>
      <c r="G164" s="99" t="str">
        <f t="shared" si="13"/>
        <v/>
      </c>
      <c r="H164" s="27"/>
      <c r="I164" s="84"/>
      <c r="J164" s="92" t="str">
        <f>IF(AND(A164&lt;&gt;"",E164&lt;&gt;""),IF(I164="","⚠️ Enter Code",IF(IFERROR(VLOOKUP(H164,DB_Agents!$B:$I,8,0),"")=I164,IF(C164&gt;=E164,"Successful","Unsuccessful"),"🔒 BLOCKED — Wrong Code")),"—")</f>
        <v>—</v>
      </c>
      <c r="K164" s="93" t="str">
        <f t="shared" ca="1" si="14"/>
        <v>—</v>
      </c>
      <c r="L164" s="94"/>
    </row>
    <row r="165" spans="1:12" x14ac:dyDescent="0.25">
      <c r="A165" s="79"/>
      <c r="B165" s="21" t="str">
        <f>IF(A165="","",IFERROR(VLOOKUP(A165,DB_Customers!$A:$D,4,0),"❌ Account Not Found"))</f>
        <v/>
      </c>
      <c r="C165" s="80" t="str">
        <f>IF(A165="","",IFERROR(VLOOKUP(A165,DB_Customers!$A:$N,14,0),""))</f>
        <v/>
      </c>
      <c r="D165" s="81" t="str">
        <f t="shared" ca="1" si="12"/>
        <v/>
      </c>
      <c r="E165" s="97"/>
      <c r="F165" s="21"/>
      <c r="G165" s="98" t="str">
        <f t="shared" si="13"/>
        <v/>
      </c>
      <c r="H165" s="23"/>
      <c r="I165" s="84"/>
      <c r="J165" s="85" t="str">
        <f>IF(AND(A165&lt;&gt;"",E165&lt;&gt;""),IF(I165="","⚠️ Enter Code",IF(IFERROR(VLOOKUP(H165,DB_Agents!$B:$I,8,0),"")=I165,IF(C165&gt;=E165,"Successful","Unsuccessful"),"🔒 BLOCKED — Wrong Code")),"—")</f>
        <v>—</v>
      </c>
      <c r="K165" s="86" t="str">
        <f t="shared" ca="1" si="14"/>
        <v>—</v>
      </c>
      <c r="L165" s="87"/>
    </row>
    <row r="166" spans="1:12" x14ac:dyDescent="0.25">
      <c r="A166" s="88"/>
      <c r="B166" s="25" t="str">
        <f>IF(A166="","",IFERROR(VLOOKUP(A166,DB_Customers!$A:$D,4,0),"❌ Account Not Found"))</f>
        <v/>
      </c>
      <c r="C166" s="89" t="str">
        <f>IF(A166="","",IFERROR(VLOOKUP(A166,DB_Customers!$A:$N,14,0),""))</f>
        <v/>
      </c>
      <c r="D166" s="90" t="str">
        <f t="shared" ca="1" si="12"/>
        <v/>
      </c>
      <c r="E166" s="97"/>
      <c r="F166" s="25"/>
      <c r="G166" s="99" t="str">
        <f t="shared" si="13"/>
        <v/>
      </c>
      <c r="H166" s="27"/>
      <c r="I166" s="84"/>
      <c r="J166" s="92" t="str">
        <f>IF(AND(A166&lt;&gt;"",E166&lt;&gt;""),IF(I166="","⚠️ Enter Code",IF(IFERROR(VLOOKUP(H166,DB_Agents!$B:$I,8,0),"")=I166,IF(C166&gt;=E166,"Successful","Unsuccessful"),"🔒 BLOCKED — Wrong Code")),"—")</f>
        <v>—</v>
      </c>
      <c r="K166" s="93" t="str">
        <f t="shared" ca="1" si="14"/>
        <v>—</v>
      </c>
      <c r="L166" s="94"/>
    </row>
    <row r="167" spans="1:12" x14ac:dyDescent="0.25">
      <c r="A167" s="79"/>
      <c r="B167" s="21" t="str">
        <f>IF(A167="","",IFERROR(VLOOKUP(A167,DB_Customers!$A:$D,4,0),"❌ Account Not Found"))</f>
        <v/>
      </c>
      <c r="C167" s="80" t="str">
        <f>IF(A167="","",IFERROR(VLOOKUP(A167,DB_Customers!$A:$N,14,0),""))</f>
        <v/>
      </c>
      <c r="D167" s="81" t="str">
        <f t="shared" ca="1" si="12"/>
        <v/>
      </c>
      <c r="E167" s="97"/>
      <c r="F167" s="21"/>
      <c r="G167" s="98" t="str">
        <f t="shared" si="13"/>
        <v/>
      </c>
      <c r="H167" s="23"/>
      <c r="I167" s="84"/>
      <c r="J167" s="85" t="str">
        <f>IF(AND(A167&lt;&gt;"",E167&lt;&gt;""),IF(I167="","⚠️ Enter Code",IF(IFERROR(VLOOKUP(H167,DB_Agents!$B:$I,8,0),"")=I167,IF(C167&gt;=E167,"Successful","Unsuccessful"),"🔒 BLOCKED — Wrong Code")),"—")</f>
        <v>—</v>
      </c>
      <c r="K167" s="86" t="str">
        <f t="shared" ca="1" si="14"/>
        <v>—</v>
      </c>
      <c r="L167" s="87"/>
    </row>
    <row r="168" spans="1:12" x14ac:dyDescent="0.25">
      <c r="A168" s="88"/>
      <c r="B168" s="25" t="str">
        <f>IF(A168="","",IFERROR(VLOOKUP(A168,DB_Customers!$A:$D,4,0),"❌ Account Not Found"))</f>
        <v/>
      </c>
      <c r="C168" s="89" t="str">
        <f>IF(A168="","",IFERROR(VLOOKUP(A168,DB_Customers!$A:$N,14,0),""))</f>
        <v/>
      </c>
      <c r="D168" s="90" t="str">
        <f t="shared" ca="1" si="12"/>
        <v/>
      </c>
      <c r="E168" s="97"/>
      <c r="F168" s="25"/>
      <c r="G168" s="99" t="str">
        <f t="shared" si="13"/>
        <v/>
      </c>
      <c r="H168" s="27"/>
      <c r="I168" s="84"/>
      <c r="J168" s="92" t="str">
        <f>IF(AND(A168&lt;&gt;"",E168&lt;&gt;""),IF(I168="","⚠️ Enter Code",IF(IFERROR(VLOOKUP(H168,DB_Agents!$B:$I,8,0),"")=I168,IF(C168&gt;=E168,"Successful","Unsuccessful"),"🔒 BLOCKED — Wrong Code")),"—")</f>
        <v>—</v>
      </c>
      <c r="K168" s="93" t="str">
        <f t="shared" ca="1" si="14"/>
        <v>—</v>
      </c>
      <c r="L168" s="94"/>
    </row>
    <row r="169" spans="1:12" x14ac:dyDescent="0.25">
      <c r="A169" s="79"/>
      <c r="B169" s="21" t="str">
        <f>IF(A169="","",IFERROR(VLOOKUP(A169,DB_Customers!$A:$D,4,0),"❌ Account Not Found"))</f>
        <v/>
      </c>
      <c r="C169" s="80" t="str">
        <f>IF(A169="","",IFERROR(VLOOKUP(A169,DB_Customers!$A:$N,14,0),""))</f>
        <v/>
      </c>
      <c r="D169" s="81" t="str">
        <f t="shared" ref="D169:D200" ca="1" si="15">IF(A169="","",TODAY())</f>
        <v/>
      </c>
      <c r="E169" s="97"/>
      <c r="F169" s="21"/>
      <c r="G169" s="98" t="str">
        <f t="shared" ref="G169:G200" si="16">IF(OR(A169="",E169=""),"",IF(C169="","",C169-E169))</f>
        <v/>
      </c>
      <c r="H169" s="23"/>
      <c r="I169" s="84"/>
      <c r="J169" s="85" t="str">
        <f>IF(AND(A169&lt;&gt;"",E169&lt;&gt;""),IF(I169="","⚠️ Enter Code",IF(IFERROR(VLOOKUP(H169,DB_Agents!$B:$I,8,0),"")=I169,IF(C169&gt;=E169,"Successful","Unsuccessful"),"🔒 BLOCKED — Wrong Code")),"—")</f>
        <v>—</v>
      </c>
      <c r="K169" s="86" t="str">
        <f t="shared" ref="K169:K200" ca="1" si="17">IF(J169="Successful",TEXT(TODAY(),"YYYY-MM-DD")&amp;" Auto","—")</f>
        <v>—</v>
      </c>
      <c r="L169" s="87"/>
    </row>
    <row r="170" spans="1:12" x14ac:dyDescent="0.25">
      <c r="A170" s="88"/>
      <c r="B170" s="25" t="str">
        <f>IF(A170="","",IFERROR(VLOOKUP(A170,DB_Customers!$A:$D,4,0),"❌ Account Not Found"))</f>
        <v/>
      </c>
      <c r="C170" s="89" t="str">
        <f>IF(A170="","",IFERROR(VLOOKUP(A170,DB_Customers!$A:$N,14,0),""))</f>
        <v/>
      </c>
      <c r="D170" s="90" t="str">
        <f t="shared" ca="1" si="15"/>
        <v/>
      </c>
      <c r="E170" s="97"/>
      <c r="F170" s="25"/>
      <c r="G170" s="99" t="str">
        <f t="shared" si="16"/>
        <v/>
      </c>
      <c r="H170" s="27"/>
      <c r="I170" s="84"/>
      <c r="J170" s="92" t="str">
        <f>IF(AND(A170&lt;&gt;"",E170&lt;&gt;""),IF(I170="","⚠️ Enter Code",IF(IFERROR(VLOOKUP(H170,DB_Agents!$B:$I,8,0),"")=I170,IF(C170&gt;=E170,"Successful","Unsuccessful"),"🔒 BLOCKED — Wrong Code")),"—")</f>
        <v>—</v>
      </c>
      <c r="K170" s="93" t="str">
        <f t="shared" ca="1" si="17"/>
        <v>—</v>
      </c>
      <c r="L170" s="94"/>
    </row>
    <row r="171" spans="1:12" x14ac:dyDescent="0.25">
      <c r="A171" s="79"/>
      <c r="B171" s="21" t="str">
        <f>IF(A171="","",IFERROR(VLOOKUP(A171,DB_Customers!$A:$D,4,0),"❌ Account Not Found"))</f>
        <v/>
      </c>
      <c r="C171" s="80" t="str">
        <f>IF(A171="","",IFERROR(VLOOKUP(A171,DB_Customers!$A:$N,14,0),""))</f>
        <v/>
      </c>
      <c r="D171" s="81" t="str">
        <f t="shared" ca="1" si="15"/>
        <v/>
      </c>
      <c r="E171" s="97"/>
      <c r="F171" s="21"/>
      <c r="G171" s="98" t="str">
        <f t="shared" si="16"/>
        <v/>
      </c>
      <c r="H171" s="23"/>
      <c r="I171" s="84"/>
      <c r="J171" s="85" t="str">
        <f>IF(AND(A171&lt;&gt;"",E171&lt;&gt;""),IF(I171="","⚠️ Enter Code",IF(IFERROR(VLOOKUP(H171,DB_Agents!$B:$I,8,0),"")=I171,IF(C171&gt;=E171,"Successful","Unsuccessful"),"🔒 BLOCKED — Wrong Code")),"—")</f>
        <v>—</v>
      </c>
      <c r="K171" s="86" t="str">
        <f t="shared" ca="1" si="17"/>
        <v>—</v>
      </c>
      <c r="L171" s="87"/>
    </row>
    <row r="172" spans="1:12" x14ac:dyDescent="0.25">
      <c r="A172" s="88"/>
      <c r="B172" s="25" t="str">
        <f>IF(A172="","",IFERROR(VLOOKUP(A172,DB_Customers!$A:$D,4,0),"❌ Account Not Found"))</f>
        <v/>
      </c>
      <c r="C172" s="89" t="str">
        <f>IF(A172="","",IFERROR(VLOOKUP(A172,DB_Customers!$A:$N,14,0),""))</f>
        <v/>
      </c>
      <c r="D172" s="90" t="str">
        <f t="shared" ca="1" si="15"/>
        <v/>
      </c>
      <c r="E172" s="97"/>
      <c r="F172" s="25"/>
      <c r="G172" s="99" t="str">
        <f t="shared" si="16"/>
        <v/>
      </c>
      <c r="H172" s="27"/>
      <c r="I172" s="84"/>
      <c r="J172" s="92" t="str">
        <f>IF(AND(A172&lt;&gt;"",E172&lt;&gt;""),IF(I172="","⚠️ Enter Code",IF(IFERROR(VLOOKUP(H172,DB_Agents!$B:$I,8,0),"")=I172,IF(C172&gt;=E172,"Successful","Unsuccessful"),"🔒 BLOCKED — Wrong Code")),"—")</f>
        <v>—</v>
      </c>
      <c r="K172" s="93" t="str">
        <f t="shared" ca="1" si="17"/>
        <v>—</v>
      </c>
      <c r="L172" s="94"/>
    </row>
    <row r="173" spans="1:12" x14ac:dyDescent="0.25">
      <c r="A173" s="79"/>
      <c r="B173" s="21" t="str">
        <f>IF(A173="","",IFERROR(VLOOKUP(A173,DB_Customers!$A:$D,4,0),"❌ Account Not Found"))</f>
        <v/>
      </c>
      <c r="C173" s="80" t="str">
        <f>IF(A173="","",IFERROR(VLOOKUP(A173,DB_Customers!$A:$N,14,0),""))</f>
        <v/>
      </c>
      <c r="D173" s="81" t="str">
        <f t="shared" ca="1" si="15"/>
        <v/>
      </c>
      <c r="E173" s="97"/>
      <c r="F173" s="21"/>
      <c r="G173" s="98" t="str">
        <f t="shared" si="16"/>
        <v/>
      </c>
      <c r="H173" s="23"/>
      <c r="I173" s="84"/>
      <c r="J173" s="85" t="str">
        <f>IF(AND(A173&lt;&gt;"",E173&lt;&gt;""),IF(I173="","⚠️ Enter Code",IF(IFERROR(VLOOKUP(H173,DB_Agents!$B:$I,8,0),"")=I173,IF(C173&gt;=E173,"Successful","Unsuccessful"),"🔒 BLOCKED — Wrong Code")),"—")</f>
        <v>—</v>
      </c>
      <c r="K173" s="86" t="str">
        <f t="shared" ca="1" si="17"/>
        <v>—</v>
      </c>
      <c r="L173" s="87"/>
    </row>
    <row r="174" spans="1:12" x14ac:dyDescent="0.25">
      <c r="A174" s="88"/>
      <c r="B174" s="25" t="str">
        <f>IF(A174="","",IFERROR(VLOOKUP(A174,DB_Customers!$A:$D,4,0),"❌ Account Not Found"))</f>
        <v/>
      </c>
      <c r="C174" s="89" t="str">
        <f>IF(A174="","",IFERROR(VLOOKUP(A174,DB_Customers!$A:$N,14,0),""))</f>
        <v/>
      </c>
      <c r="D174" s="90" t="str">
        <f t="shared" ca="1" si="15"/>
        <v/>
      </c>
      <c r="E174" s="97"/>
      <c r="F174" s="25"/>
      <c r="G174" s="99" t="str">
        <f t="shared" si="16"/>
        <v/>
      </c>
      <c r="H174" s="27"/>
      <c r="I174" s="84"/>
      <c r="J174" s="92" t="str">
        <f>IF(AND(A174&lt;&gt;"",E174&lt;&gt;""),IF(I174="","⚠️ Enter Code",IF(IFERROR(VLOOKUP(H174,DB_Agents!$B:$I,8,0),"")=I174,IF(C174&gt;=E174,"Successful","Unsuccessful"),"🔒 BLOCKED — Wrong Code")),"—")</f>
        <v>—</v>
      </c>
      <c r="K174" s="93" t="str">
        <f t="shared" ca="1" si="17"/>
        <v>—</v>
      </c>
      <c r="L174" s="94"/>
    </row>
    <row r="175" spans="1:12" x14ac:dyDescent="0.25">
      <c r="A175" s="79"/>
      <c r="B175" s="21" t="str">
        <f>IF(A175="","",IFERROR(VLOOKUP(A175,DB_Customers!$A:$D,4,0),"❌ Account Not Found"))</f>
        <v/>
      </c>
      <c r="C175" s="80" t="str">
        <f>IF(A175="","",IFERROR(VLOOKUP(A175,DB_Customers!$A:$N,14,0),""))</f>
        <v/>
      </c>
      <c r="D175" s="81" t="str">
        <f t="shared" ca="1" si="15"/>
        <v/>
      </c>
      <c r="E175" s="97"/>
      <c r="F175" s="21"/>
      <c r="G175" s="98" t="str">
        <f t="shared" si="16"/>
        <v/>
      </c>
      <c r="H175" s="23"/>
      <c r="I175" s="84"/>
      <c r="J175" s="85" t="str">
        <f>IF(AND(A175&lt;&gt;"",E175&lt;&gt;""),IF(I175="","⚠️ Enter Code",IF(IFERROR(VLOOKUP(H175,DB_Agents!$B:$I,8,0),"")=I175,IF(C175&gt;=E175,"Successful","Unsuccessful"),"🔒 BLOCKED — Wrong Code")),"—")</f>
        <v>—</v>
      </c>
      <c r="K175" s="86" t="str">
        <f t="shared" ca="1" si="17"/>
        <v>—</v>
      </c>
      <c r="L175" s="87"/>
    </row>
    <row r="176" spans="1:12" x14ac:dyDescent="0.25">
      <c r="A176" s="88"/>
      <c r="B176" s="25" t="str">
        <f>IF(A176="","",IFERROR(VLOOKUP(A176,DB_Customers!$A:$D,4,0),"❌ Account Not Found"))</f>
        <v/>
      </c>
      <c r="C176" s="89" t="str">
        <f>IF(A176="","",IFERROR(VLOOKUP(A176,DB_Customers!$A:$N,14,0),""))</f>
        <v/>
      </c>
      <c r="D176" s="90" t="str">
        <f t="shared" ca="1" si="15"/>
        <v/>
      </c>
      <c r="E176" s="97"/>
      <c r="F176" s="25"/>
      <c r="G176" s="99" t="str">
        <f t="shared" si="16"/>
        <v/>
      </c>
      <c r="H176" s="27"/>
      <c r="I176" s="84"/>
      <c r="J176" s="92" t="str">
        <f>IF(AND(A176&lt;&gt;"",E176&lt;&gt;""),IF(I176="","⚠️ Enter Code",IF(IFERROR(VLOOKUP(H176,DB_Agents!$B:$I,8,0),"")=I176,IF(C176&gt;=E176,"Successful","Unsuccessful"),"🔒 BLOCKED — Wrong Code")),"—")</f>
        <v>—</v>
      </c>
      <c r="K176" s="93" t="str">
        <f t="shared" ca="1" si="17"/>
        <v>—</v>
      </c>
      <c r="L176" s="94"/>
    </row>
    <row r="177" spans="1:12" x14ac:dyDescent="0.25">
      <c r="A177" s="79"/>
      <c r="B177" s="21" t="str">
        <f>IF(A177="","",IFERROR(VLOOKUP(A177,DB_Customers!$A:$D,4,0),"❌ Account Not Found"))</f>
        <v/>
      </c>
      <c r="C177" s="80" t="str">
        <f>IF(A177="","",IFERROR(VLOOKUP(A177,DB_Customers!$A:$N,14,0),""))</f>
        <v/>
      </c>
      <c r="D177" s="81" t="str">
        <f t="shared" ca="1" si="15"/>
        <v/>
      </c>
      <c r="E177" s="97"/>
      <c r="F177" s="21"/>
      <c r="G177" s="98" t="str">
        <f t="shared" si="16"/>
        <v/>
      </c>
      <c r="H177" s="23"/>
      <c r="I177" s="84"/>
      <c r="J177" s="85" t="str">
        <f>IF(AND(A177&lt;&gt;"",E177&lt;&gt;""),IF(I177="","⚠️ Enter Code",IF(IFERROR(VLOOKUP(H177,DB_Agents!$B:$I,8,0),"")=I177,IF(C177&gt;=E177,"Successful","Unsuccessful"),"🔒 BLOCKED — Wrong Code")),"—")</f>
        <v>—</v>
      </c>
      <c r="K177" s="86" t="str">
        <f t="shared" ca="1" si="17"/>
        <v>—</v>
      </c>
      <c r="L177" s="87"/>
    </row>
    <row r="178" spans="1:12" x14ac:dyDescent="0.25">
      <c r="A178" s="88"/>
      <c r="B178" s="25" t="str">
        <f>IF(A178="","",IFERROR(VLOOKUP(A178,DB_Customers!$A:$D,4,0),"❌ Account Not Found"))</f>
        <v/>
      </c>
      <c r="C178" s="89" t="str">
        <f>IF(A178="","",IFERROR(VLOOKUP(A178,DB_Customers!$A:$N,14,0),""))</f>
        <v/>
      </c>
      <c r="D178" s="90" t="str">
        <f t="shared" ca="1" si="15"/>
        <v/>
      </c>
      <c r="E178" s="97"/>
      <c r="F178" s="25"/>
      <c r="G178" s="99" t="str">
        <f t="shared" si="16"/>
        <v/>
      </c>
      <c r="H178" s="27"/>
      <c r="I178" s="84"/>
      <c r="J178" s="92" t="str">
        <f>IF(AND(A178&lt;&gt;"",E178&lt;&gt;""),IF(I178="","⚠️ Enter Code",IF(IFERROR(VLOOKUP(H178,DB_Agents!$B:$I,8,0),"")=I178,IF(C178&gt;=E178,"Successful","Unsuccessful"),"🔒 BLOCKED — Wrong Code")),"—")</f>
        <v>—</v>
      </c>
      <c r="K178" s="93" t="str">
        <f t="shared" ca="1" si="17"/>
        <v>—</v>
      </c>
      <c r="L178" s="94"/>
    </row>
    <row r="179" spans="1:12" x14ac:dyDescent="0.25">
      <c r="A179" s="79"/>
      <c r="B179" s="21" t="str">
        <f>IF(A179="","",IFERROR(VLOOKUP(A179,DB_Customers!$A:$D,4,0),"❌ Account Not Found"))</f>
        <v/>
      </c>
      <c r="C179" s="80" t="str">
        <f>IF(A179="","",IFERROR(VLOOKUP(A179,DB_Customers!$A:$N,14,0),""))</f>
        <v/>
      </c>
      <c r="D179" s="81" t="str">
        <f t="shared" ca="1" si="15"/>
        <v/>
      </c>
      <c r="E179" s="97"/>
      <c r="F179" s="21"/>
      <c r="G179" s="98" t="str">
        <f t="shared" si="16"/>
        <v/>
      </c>
      <c r="H179" s="23"/>
      <c r="I179" s="84"/>
      <c r="J179" s="85" t="str">
        <f>IF(AND(A179&lt;&gt;"",E179&lt;&gt;""),IF(I179="","⚠️ Enter Code",IF(IFERROR(VLOOKUP(H179,DB_Agents!$B:$I,8,0),"")=I179,IF(C179&gt;=E179,"Successful","Unsuccessful"),"🔒 BLOCKED — Wrong Code")),"—")</f>
        <v>—</v>
      </c>
      <c r="K179" s="86" t="str">
        <f t="shared" ca="1" si="17"/>
        <v>—</v>
      </c>
      <c r="L179" s="87"/>
    </row>
    <row r="180" spans="1:12" x14ac:dyDescent="0.25">
      <c r="A180" s="88"/>
      <c r="B180" s="25" t="str">
        <f>IF(A180="","",IFERROR(VLOOKUP(A180,DB_Customers!$A:$D,4,0),"❌ Account Not Found"))</f>
        <v/>
      </c>
      <c r="C180" s="89" t="str">
        <f>IF(A180="","",IFERROR(VLOOKUP(A180,DB_Customers!$A:$N,14,0),""))</f>
        <v/>
      </c>
      <c r="D180" s="90" t="str">
        <f t="shared" ca="1" si="15"/>
        <v/>
      </c>
      <c r="E180" s="97"/>
      <c r="F180" s="25"/>
      <c r="G180" s="99" t="str">
        <f t="shared" si="16"/>
        <v/>
      </c>
      <c r="H180" s="27"/>
      <c r="I180" s="84"/>
      <c r="J180" s="92" t="str">
        <f>IF(AND(A180&lt;&gt;"",E180&lt;&gt;""),IF(I180="","⚠️ Enter Code",IF(IFERROR(VLOOKUP(H180,DB_Agents!$B:$I,8,0),"")=I180,IF(C180&gt;=E180,"Successful","Unsuccessful"),"🔒 BLOCKED — Wrong Code")),"—")</f>
        <v>—</v>
      </c>
      <c r="K180" s="93" t="str">
        <f t="shared" ca="1" si="17"/>
        <v>—</v>
      </c>
      <c r="L180" s="94"/>
    </row>
    <row r="181" spans="1:12" x14ac:dyDescent="0.25">
      <c r="A181" s="79"/>
      <c r="B181" s="21" t="str">
        <f>IF(A181="","",IFERROR(VLOOKUP(A181,DB_Customers!$A:$D,4,0),"❌ Account Not Found"))</f>
        <v/>
      </c>
      <c r="C181" s="80" t="str">
        <f>IF(A181="","",IFERROR(VLOOKUP(A181,DB_Customers!$A:$N,14,0),""))</f>
        <v/>
      </c>
      <c r="D181" s="81" t="str">
        <f t="shared" ca="1" si="15"/>
        <v/>
      </c>
      <c r="E181" s="97"/>
      <c r="F181" s="21"/>
      <c r="G181" s="98" t="str">
        <f t="shared" si="16"/>
        <v/>
      </c>
      <c r="H181" s="23"/>
      <c r="I181" s="84"/>
      <c r="J181" s="85" t="str">
        <f>IF(AND(A181&lt;&gt;"",E181&lt;&gt;""),IF(I181="","⚠️ Enter Code",IF(IFERROR(VLOOKUP(H181,DB_Agents!$B:$I,8,0),"")=I181,IF(C181&gt;=E181,"Successful","Unsuccessful"),"🔒 BLOCKED — Wrong Code")),"—")</f>
        <v>—</v>
      </c>
      <c r="K181" s="86" t="str">
        <f t="shared" ca="1" si="17"/>
        <v>—</v>
      </c>
      <c r="L181" s="87"/>
    </row>
    <row r="182" spans="1:12" x14ac:dyDescent="0.25">
      <c r="A182" s="88"/>
      <c r="B182" s="25" t="str">
        <f>IF(A182="","",IFERROR(VLOOKUP(A182,DB_Customers!$A:$D,4,0),"❌ Account Not Found"))</f>
        <v/>
      </c>
      <c r="C182" s="89" t="str">
        <f>IF(A182="","",IFERROR(VLOOKUP(A182,DB_Customers!$A:$N,14,0),""))</f>
        <v/>
      </c>
      <c r="D182" s="90" t="str">
        <f t="shared" ca="1" si="15"/>
        <v/>
      </c>
      <c r="E182" s="97"/>
      <c r="F182" s="25"/>
      <c r="G182" s="99" t="str">
        <f t="shared" si="16"/>
        <v/>
      </c>
      <c r="H182" s="27"/>
      <c r="I182" s="84"/>
      <c r="J182" s="92" t="str">
        <f>IF(AND(A182&lt;&gt;"",E182&lt;&gt;""),IF(I182="","⚠️ Enter Code",IF(IFERROR(VLOOKUP(H182,DB_Agents!$B:$I,8,0),"")=I182,IF(C182&gt;=E182,"Successful","Unsuccessful"),"🔒 BLOCKED — Wrong Code")),"—")</f>
        <v>—</v>
      </c>
      <c r="K182" s="93" t="str">
        <f t="shared" ca="1" si="17"/>
        <v>—</v>
      </c>
      <c r="L182" s="94"/>
    </row>
    <row r="183" spans="1:12" x14ac:dyDescent="0.25">
      <c r="A183" s="79"/>
      <c r="B183" s="21" t="str">
        <f>IF(A183="","",IFERROR(VLOOKUP(A183,DB_Customers!$A:$D,4,0),"❌ Account Not Found"))</f>
        <v/>
      </c>
      <c r="C183" s="80" t="str">
        <f>IF(A183="","",IFERROR(VLOOKUP(A183,DB_Customers!$A:$N,14,0),""))</f>
        <v/>
      </c>
      <c r="D183" s="81" t="str">
        <f t="shared" ca="1" si="15"/>
        <v/>
      </c>
      <c r="E183" s="97"/>
      <c r="F183" s="21"/>
      <c r="G183" s="98" t="str">
        <f t="shared" si="16"/>
        <v/>
      </c>
      <c r="H183" s="23"/>
      <c r="I183" s="84"/>
      <c r="J183" s="85" t="str">
        <f>IF(AND(A183&lt;&gt;"",E183&lt;&gt;""),IF(I183="","⚠️ Enter Code",IF(IFERROR(VLOOKUP(H183,DB_Agents!$B:$I,8,0),"")=I183,IF(C183&gt;=E183,"Successful","Unsuccessful"),"🔒 BLOCKED — Wrong Code")),"—")</f>
        <v>—</v>
      </c>
      <c r="K183" s="86" t="str">
        <f t="shared" ca="1" si="17"/>
        <v>—</v>
      </c>
      <c r="L183" s="87"/>
    </row>
    <row r="184" spans="1:12" x14ac:dyDescent="0.25">
      <c r="A184" s="88"/>
      <c r="B184" s="25" t="str">
        <f>IF(A184="","",IFERROR(VLOOKUP(A184,DB_Customers!$A:$D,4,0),"❌ Account Not Found"))</f>
        <v/>
      </c>
      <c r="C184" s="89" t="str">
        <f>IF(A184="","",IFERROR(VLOOKUP(A184,DB_Customers!$A:$N,14,0),""))</f>
        <v/>
      </c>
      <c r="D184" s="90" t="str">
        <f t="shared" ca="1" si="15"/>
        <v/>
      </c>
      <c r="E184" s="97"/>
      <c r="F184" s="25"/>
      <c r="G184" s="99" t="str">
        <f t="shared" si="16"/>
        <v/>
      </c>
      <c r="H184" s="27"/>
      <c r="I184" s="84"/>
      <c r="J184" s="92" t="str">
        <f>IF(AND(A184&lt;&gt;"",E184&lt;&gt;""),IF(I184="","⚠️ Enter Code",IF(IFERROR(VLOOKUP(H184,DB_Agents!$B:$I,8,0),"")=I184,IF(C184&gt;=E184,"Successful","Unsuccessful"),"🔒 BLOCKED — Wrong Code")),"—")</f>
        <v>—</v>
      </c>
      <c r="K184" s="93" t="str">
        <f t="shared" ca="1" si="17"/>
        <v>—</v>
      </c>
      <c r="L184" s="94"/>
    </row>
    <row r="185" spans="1:12" x14ac:dyDescent="0.25">
      <c r="A185" s="79"/>
      <c r="B185" s="21" t="str">
        <f>IF(A185="","",IFERROR(VLOOKUP(A185,DB_Customers!$A:$D,4,0),"❌ Account Not Found"))</f>
        <v/>
      </c>
      <c r="C185" s="80" t="str">
        <f>IF(A185="","",IFERROR(VLOOKUP(A185,DB_Customers!$A:$N,14,0),""))</f>
        <v/>
      </c>
      <c r="D185" s="81" t="str">
        <f t="shared" ca="1" si="15"/>
        <v/>
      </c>
      <c r="E185" s="97"/>
      <c r="F185" s="21"/>
      <c r="G185" s="98" t="str">
        <f t="shared" si="16"/>
        <v/>
      </c>
      <c r="H185" s="23"/>
      <c r="I185" s="84"/>
      <c r="J185" s="85" t="str">
        <f>IF(AND(A185&lt;&gt;"",E185&lt;&gt;""),IF(I185="","⚠️ Enter Code",IF(IFERROR(VLOOKUP(H185,DB_Agents!$B:$I,8,0),"")=I185,IF(C185&gt;=E185,"Successful","Unsuccessful"),"🔒 BLOCKED — Wrong Code")),"—")</f>
        <v>—</v>
      </c>
      <c r="K185" s="86" t="str">
        <f t="shared" ca="1" si="17"/>
        <v>—</v>
      </c>
      <c r="L185" s="87"/>
    </row>
    <row r="186" spans="1:12" x14ac:dyDescent="0.25">
      <c r="A186" s="88"/>
      <c r="B186" s="25" t="str">
        <f>IF(A186="","",IFERROR(VLOOKUP(A186,DB_Customers!$A:$D,4,0),"❌ Account Not Found"))</f>
        <v/>
      </c>
      <c r="C186" s="89" t="str">
        <f>IF(A186="","",IFERROR(VLOOKUP(A186,DB_Customers!$A:$N,14,0),""))</f>
        <v/>
      </c>
      <c r="D186" s="90" t="str">
        <f t="shared" ca="1" si="15"/>
        <v/>
      </c>
      <c r="E186" s="97"/>
      <c r="F186" s="25"/>
      <c r="G186" s="99" t="str">
        <f t="shared" si="16"/>
        <v/>
      </c>
      <c r="H186" s="27"/>
      <c r="I186" s="84"/>
      <c r="J186" s="92" t="str">
        <f>IF(AND(A186&lt;&gt;"",E186&lt;&gt;""),IF(I186="","⚠️ Enter Code",IF(IFERROR(VLOOKUP(H186,DB_Agents!$B:$I,8,0),"")=I186,IF(C186&gt;=E186,"Successful","Unsuccessful"),"🔒 BLOCKED — Wrong Code")),"—")</f>
        <v>—</v>
      </c>
      <c r="K186" s="93" t="str">
        <f t="shared" ca="1" si="17"/>
        <v>—</v>
      </c>
      <c r="L186" s="94"/>
    </row>
    <row r="187" spans="1:12" x14ac:dyDescent="0.25">
      <c r="A187" s="79"/>
      <c r="B187" s="21" t="str">
        <f>IF(A187="","",IFERROR(VLOOKUP(A187,DB_Customers!$A:$D,4,0),"❌ Account Not Found"))</f>
        <v/>
      </c>
      <c r="C187" s="80" t="str">
        <f>IF(A187="","",IFERROR(VLOOKUP(A187,DB_Customers!$A:$N,14,0),""))</f>
        <v/>
      </c>
      <c r="D187" s="81" t="str">
        <f t="shared" ca="1" si="15"/>
        <v/>
      </c>
      <c r="E187" s="97"/>
      <c r="F187" s="21"/>
      <c r="G187" s="98" t="str">
        <f t="shared" si="16"/>
        <v/>
      </c>
      <c r="H187" s="23"/>
      <c r="I187" s="84"/>
      <c r="J187" s="85" t="str">
        <f>IF(AND(A187&lt;&gt;"",E187&lt;&gt;""),IF(I187="","⚠️ Enter Code",IF(IFERROR(VLOOKUP(H187,DB_Agents!$B:$I,8,0),"")=I187,IF(C187&gt;=E187,"Successful","Unsuccessful"),"🔒 BLOCKED — Wrong Code")),"—")</f>
        <v>—</v>
      </c>
      <c r="K187" s="86" t="str">
        <f t="shared" ca="1" si="17"/>
        <v>—</v>
      </c>
      <c r="L187" s="87"/>
    </row>
    <row r="188" spans="1:12" x14ac:dyDescent="0.25">
      <c r="A188" s="88"/>
      <c r="B188" s="25" t="str">
        <f>IF(A188="","",IFERROR(VLOOKUP(A188,DB_Customers!$A:$D,4,0),"❌ Account Not Found"))</f>
        <v/>
      </c>
      <c r="C188" s="89" t="str">
        <f>IF(A188="","",IFERROR(VLOOKUP(A188,DB_Customers!$A:$N,14,0),""))</f>
        <v/>
      </c>
      <c r="D188" s="90" t="str">
        <f t="shared" ca="1" si="15"/>
        <v/>
      </c>
      <c r="E188" s="97"/>
      <c r="F188" s="25"/>
      <c r="G188" s="99" t="str">
        <f t="shared" si="16"/>
        <v/>
      </c>
      <c r="H188" s="27"/>
      <c r="I188" s="84"/>
      <c r="J188" s="92" t="str">
        <f>IF(AND(A188&lt;&gt;"",E188&lt;&gt;""),IF(I188="","⚠️ Enter Code",IF(IFERROR(VLOOKUP(H188,DB_Agents!$B:$I,8,0),"")=I188,IF(C188&gt;=E188,"Successful","Unsuccessful"),"🔒 BLOCKED — Wrong Code")),"—")</f>
        <v>—</v>
      </c>
      <c r="K188" s="93" t="str">
        <f t="shared" ca="1" si="17"/>
        <v>—</v>
      </c>
      <c r="L188" s="94"/>
    </row>
    <row r="189" spans="1:12" x14ac:dyDescent="0.25">
      <c r="A189" s="79"/>
      <c r="B189" s="21" t="str">
        <f>IF(A189="","",IFERROR(VLOOKUP(A189,DB_Customers!$A:$D,4,0),"❌ Account Not Found"))</f>
        <v/>
      </c>
      <c r="C189" s="80" t="str">
        <f>IF(A189="","",IFERROR(VLOOKUP(A189,DB_Customers!$A:$N,14,0),""))</f>
        <v/>
      </c>
      <c r="D189" s="81" t="str">
        <f t="shared" ca="1" si="15"/>
        <v/>
      </c>
      <c r="E189" s="97"/>
      <c r="F189" s="21"/>
      <c r="G189" s="98" t="str">
        <f t="shared" si="16"/>
        <v/>
      </c>
      <c r="H189" s="23"/>
      <c r="I189" s="84"/>
      <c r="J189" s="85" t="str">
        <f>IF(AND(A189&lt;&gt;"",E189&lt;&gt;""),IF(I189="","⚠️ Enter Code",IF(IFERROR(VLOOKUP(H189,DB_Agents!$B:$I,8,0),"")=I189,IF(C189&gt;=E189,"Successful","Unsuccessful"),"🔒 BLOCKED — Wrong Code")),"—")</f>
        <v>—</v>
      </c>
      <c r="K189" s="86" t="str">
        <f t="shared" ca="1" si="17"/>
        <v>—</v>
      </c>
      <c r="L189" s="87"/>
    </row>
    <row r="190" spans="1:12" x14ac:dyDescent="0.25">
      <c r="A190" s="88"/>
      <c r="B190" s="25" t="str">
        <f>IF(A190="","",IFERROR(VLOOKUP(A190,DB_Customers!$A:$D,4,0),"❌ Account Not Found"))</f>
        <v/>
      </c>
      <c r="C190" s="89" t="str">
        <f>IF(A190="","",IFERROR(VLOOKUP(A190,DB_Customers!$A:$N,14,0),""))</f>
        <v/>
      </c>
      <c r="D190" s="90" t="str">
        <f t="shared" ca="1" si="15"/>
        <v/>
      </c>
      <c r="E190" s="97"/>
      <c r="F190" s="25"/>
      <c r="G190" s="99" t="str">
        <f t="shared" si="16"/>
        <v/>
      </c>
      <c r="H190" s="27"/>
      <c r="I190" s="84"/>
      <c r="J190" s="92" t="str">
        <f>IF(AND(A190&lt;&gt;"",E190&lt;&gt;""),IF(I190="","⚠️ Enter Code",IF(IFERROR(VLOOKUP(H190,DB_Agents!$B:$I,8,0),"")=I190,IF(C190&gt;=E190,"Successful","Unsuccessful"),"🔒 BLOCKED — Wrong Code")),"—")</f>
        <v>—</v>
      </c>
      <c r="K190" s="93" t="str">
        <f t="shared" ca="1" si="17"/>
        <v>—</v>
      </c>
      <c r="L190" s="94"/>
    </row>
    <row r="191" spans="1:12" x14ac:dyDescent="0.25">
      <c r="A191" s="79"/>
      <c r="B191" s="21" t="str">
        <f>IF(A191="","",IFERROR(VLOOKUP(A191,DB_Customers!$A:$D,4,0),"❌ Account Not Found"))</f>
        <v/>
      </c>
      <c r="C191" s="80" t="str">
        <f>IF(A191="","",IFERROR(VLOOKUP(A191,DB_Customers!$A:$N,14,0),""))</f>
        <v/>
      </c>
      <c r="D191" s="81" t="str">
        <f t="shared" ca="1" si="15"/>
        <v/>
      </c>
      <c r="E191" s="97"/>
      <c r="F191" s="21"/>
      <c r="G191" s="98" t="str">
        <f t="shared" si="16"/>
        <v/>
      </c>
      <c r="H191" s="23"/>
      <c r="I191" s="84"/>
      <c r="J191" s="85" t="str">
        <f>IF(AND(A191&lt;&gt;"",E191&lt;&gt;""),IF(I191="","⚠️ Enter Code",IF(IFERROR(VLOOKUP(H191,DB_Agents!$B:$I,8,0),"")=I191,IF(C191&gt;=E191,"Successful","Unsuccessful"),"🔒 BLOCKED — Wrong Code")),"—")</f>
        <v>—</v>
      </c>
      <c r="K191" s="86" t="str">
        <f t="shared" ca="1" si="17"/>
        <v>—</v>
      </c>
      <c r="L191" s="87"/>
    </row>
    <row r="192" spans="1:12" x14ac:dyDescent="0.25">
      <c r="A192" s="88"/>
      <c r="B192" s="25" t="str">
        <f>IF(A192="","",IFERROR(VLOOKUP(A192,DB_Customers!$A:$D,4,0),"❌ Account Not Found"))</f>
        <v/>
      </c>
      <c r="C192" s="89" t="str">
        <f>IF(A192="","",IFERROR(VLOOKUP(A192,DB_Customers!$A:$N,14,0),""))</f>
        <v/>
      </c>
      <c r="D192" s="90" t="str">
        <f t="shared" ca="1" si="15"/>
        <v/>
      </c>
      <c r="E192" s="97"/>
      <c r="F192" s="25"/>
      <c r="G192" s="99" t="str">
        <f t="shared" si="16"/>
        <v/>
      </c>
      <c r="H192" s="27"/>
      <c r="I192" s="84"/>
      <c r="J192" s="92" t="str">
        <f>IF(AND(A192&lt;&gt;"",E192&lt;&gt;""),IF(I192="","⚠️ Enter Code",IF(IFERROR(VLOOKUP(H192,DB_Agents!$B:$I,8,0),"")=I192,IF(C192&gt;=E192,"Successful","Unsuccessful"),"🔒 BLOCKED — Wrong Code")),"—")</f>
        <v>—</v>
      </c>
      <c r="K192" s="93" t="str">
        <f t="shared" ca="1" si="17"/>
        <v>—</v>
      </c>
      <c r="L192" s="94"/>
    </row>
    <row r="193" spans="1:12" x14ac:dyDescent="0.25">
      <c r="A193" s="79"/>
      <c r="B193" s="21" t="str">
        <f>IF(A193="","",IFERROR(VLOOKUP(A193,DB_Customers!$A:$D,4,0),"❌ Account Not Found"))</f>
        <v/>
      </c>
      <c r="C193" s="80" t="str">
        <f>IF(A193="","",IFERROR(VLOOKUP(A193,DB_Customers!$A:$N,14,0),""))</f>
        <v/>
      </c>
      <c r="D193" s="81" t="str">
        <f t="shared" ca="1" si="15"/>
        <v/>
      </c>
      <c r="E193" s="97"/>
      <c r="F193" s="21"/>
      <c r="G193" s="98" t="str">
        <f t="shared" si="16"/>
        <v/>
      </c>
      <c r="H193" s="23"/>
      <c r="I193" s="84"/>
      <c r="J193" s="85" t="str">
        <f>IF(AND(A193&lt;&gt;"",E193&lt;&gt;""),IF(I193="","⚠️ Enter Code",IF(IFERROR(VLOOKUP(H193,DB_Agents!$B:$I,8,0),"")=I193,IF(C193&gt;=E193,"Successful","Unsuccessful"),"🔒 BLOCKED — Wrong Code")),"—")</f>
        <v>—</v>
      </c>
      <c r="K193" s="86" t="str">
        <f t="shared" ca="1" si="17"/>
        <v>—</v>
      </c>
      <c r="L193" s="87"/>
    </row>
    <row r="194" spans="1:12" x14ac:dyDescent="0.25">
      <c r="A194" s="88"/>
      <c r="B194" s="25" t="str">
        <f>IF(A194="","",IFERROR(VLOOKUP(A194,DB_Customers!$A:$D,4,0),"❌ Account Not Found"))</f>
        <v/>
      </c>
      <c r="C194" s="89" t="str">
        <f>IF(A194="","",IFERROR(VLOOKUP(A194,DB_Customers!$A:$N,14,0),""))</f>
        <v/>
      </c>
      <c r="D194" s="90" t="str">
        <f t="shared" ca="1" si="15"/>
        <v/>
      </c>
      <c r="E194" s="97"/>
      <c r="F194" s="25"/>
      <c r="G194" s="99" t="str">
        <f t="shared" si="16"/>
        <v/>
      </c>
      <c r="H194" s="27"/>
      <c r="I194" s="84"/>
      <c r="J194" s="92" t="str">
        <f>IF(AND(A194&lt;&gt;"",E194&lt;&gt;""),IF(I194="","⚠️ Enter Code",IF(IFERROR(VLOOKUP(H194,DB_Agents!$B:$I,8,0),"")=I194,IF(C194&gt;=E194,"Successful","Unsuccessful"),"🔒 BLOCKED — Wrong Code")),"—")</f>
        <v>—</v>
      </c>
      <c r="K194" s="93" t="str">
        <f t="shared" ca="1" si="17"/>
        <v>—</v>
      </c>
      <c r="L194" s="94"/>
    </row>
    <row r="195" spans="1:12" x14ac:dyDescent="0.25">
      <c r="A195" s="79"/>
      <c r="B195" s="21" t="str">
        <f>IF(A195="","",IFERROR(VLOOKUP(A195,DB_Customers!$A:$D,4,0),"❌ Account Not Found"))</f>
        <v/>
      </c>
      <c r="C195" s="80" t="str">
        <f>IF(A195="","",IFERROR(VLOOKUP(A195,DB_Customers!$A:$N,14,0),""))</f>
        <v/>
      </c>
      <c r="D195" s="81" t="str">
        <f t="shared" ca="1" si="15"/>
        <v/>
      </c>
      <c r="E195" s="97"/>
      <c r="F195" s="21"/>
      <c r="G195" s="98" t="str">
        <f t="shared" si="16"/>
        <v/>
      </c>
      <c r="H195" s="23"/>
      <c r="I195" s="84"/>
      <c r="J195" s="85" t="str">
        <f>IF(AND(A195&lt;&gt;"",E195&lt;&gt;""),IF(I195="","⚠️ Enter Code",IF(IFERROR(VLOOKUP(H195,DB_Agents!$B:$I,8,0),"")=I195,IF(C195&gt;=E195,"Successful","Unsuccessful"),"🔒 BLOCKED — Wrong Code")),"—")</f>
        <v>—</v>
      </c>
      <c r="K195" s="86" t="str">
        <f t="shared" ca="1" si="17"/>
        <v>—</v>
      </c>
      <c r="L195" s="87"/>
    </row>
    <row r="196" spans="1:12" x14ac:dyDescent="0.25">
      <c r="A196" s="88"/>
      <c r="B196" s="25" t="str">
        <f>IF(A196="","",IFERROR(VLOOKUP(A196,DB_Customers!$A:$D,4,0),"❌ Account Not Found"))</f>
        <v/>
      </c>
      <c r="C196" s="89" t="str">
        <f>IF(A196="","",IFERROR(VLOOKUP(A196,DB_Customers!$A:$N,14,0),""))</f>
        <v/>
      </c>
      <c r="D196" s="90" t="str">
        <f t="shared" ca="1" si="15"/>
        <v/>
      </c>
      <c r="E196" s="97"/>
      <c r="F196" s="25"/>
      <c r="G196" s="99" t="str">
        <f t="shared" si="16"/>
        <v/>
      </c>
      <c r="H196" s="27"/>
      <c r="I196" s="84"/>
      <c r="J196" s="92" t="str">
        <f>IF(AND(A196&lt;&gt;"",E196&lt;&gt;""),IF(I196="","⚠️ Enter Code",IF(IFERROR(VLOOKUP(H196,DB_Agents!$B:$I,8,0),"")=I196,IF(C196&gt;=E196,"Successful","Unsuccessful"),"🔒 BLOCKED — Wrong Code")),"—")</f>
        <v>—</v>
      </c>
      <c r="K196" s="93" t="str">
        <f t="shared" ca="1" si="17"/>
        <v>—</v>
      </c>
      <c r="L196" s="94"/>
    </row>
    <row r="197" spans="1:12" x14ac:dyDescent="0.25">
      <c r="A197" s="79"/>
      <c r="B197" s="21" t="str">
        <f>IF(A197="","",IFERROR(VLOOKUP(A197,DB_Customers!$A:$D,4,0),"❌ Account Not Found"))</f>
        <v/>
      </c>
      <c r="C197" s="80" t="str">
        <f>IF(A197="","",IFERROR(VLOOKUP(A197,DB_Customers!$A:$N,14,0),""))</f>
        <v/>
      </c>
      <c r="D197" s="81" t="str">
        <f t="shared" ca="1" si="15"/>
        <v/>
      </c>
      <c r="E197" s="97"/>
      <c r="F197" s="21"/>
      <c r="G197" s="98" t="str">
        <f t="shared" si="16"/>
        <v/>
      </c>
      <c r="H197" s="23"/>
      <c r="I197" s="84"/>
      <c r="J197" s="85" t="str">
        <f>IF(AND(A197&lt;&gt;"",E197&lt;&gt;""),IF(I197="","⚠️ Enter Code",IF(IFERROR(VLOOKUP(H197,DB_Agents!$B:$I,8,0),"")=I197,IF(C197&gt;=E197,"Successful","Unsuccessful"),"🔒 BLOCKED — Wrong Code")),"—")</f>
        <v>—</v>
      </c>
      <c r="K197" s="86" t="str">
        <f t="shared" ca="1" si="17"/>
        <v>—</v>
      </c>
      <c r="L197" s="87"/>
    </row>
    <row r="198" spans="1:12" x14ac:dyDescent="0.25">
      <c r="A198" s="88"/>
      <c r="B198" s="25" t="str">
        <f>IF(A198="","",IFERROR(VLOOKUP(A198,DB_Customers!$A:$D,4,0),"❌ Account Not Found"))</f>
        <v/>
      </c>
      <c r="C198" s="89" t="str">
        <f>IF(A198="","",IFERROR(VLOOKUP(A198,DB_Customers!$A:$N,14,0),""))</f>
        <v/>
      </c>
      <c r="D198" s="90" t="str">
        <f t="shared" ca="1" si="15"/>
        <v/>
      </c>
      <c r="E198" s="97"/>
      <c r="F198" s="25"/>
      <c r="G198" s="99" t="str">
        <f t="shared" si="16"/>
        <v/>
      </c>
      <c r="H198" s="27"/>
      <c r="I198" s="84"/>
      <c r="J198" s="92" t="str">
        <f>IF(AND(A198&lt;&gt;"",E198&lt;&gt;""),IF(I198="","⚠️ Enter Code",IF(IFERROR(VLOOKUP(H198,DB_Agents!$B:$I,8,0),"")=I198,IF(C198&gt;=E198,"Successful","Unsuccessful"),"🔒 BLOCKED — Wrong Code")),"—")</f>
        <v>—</v>
      </c>
      <c r="K198" s="93" t="str">
        <f t="shared" ca="1" si="17"/>
        <v>—</v>
      </c>
      <c r="L198" s="94"/>
    </row>
    <row r="199" spans="1:12" x14ac:dyDescent="0.25">
      <c r="A199" s="79"/>
      <c r="B199" s="21" t="str">
        <f>IF(A199="","",IFERROR(VLOOKUP(A199,DB_Customers!$A:$D,4,0),"❌ Account Not Found"))</f>
        <v/>
      </c>
      <c r="C199" s="80" t="str">
        <f>IF(A199="","",IFERROR(VLOOKUP(A199,DB_Customers!$A:$N,14,0),""))</f>
        <v/>
      </c>
      <c r="D199" s="81" t="str">
        <f t="shared" ca="1" si="15"/>
        <v/>
      </c>
      <c r="E199" s="97"/>
      <c r="F199" s="21"/>
      <c r="G199" s="98" t="str">
        <f t="shared" si="16"/>
        <v/>
      </c>
      <c r="H199" s="23"/>
      <c r="I199" s="84"/>
      <c r="J199" s="85" t="str">
        <f>IF(AND(A199&lt;&gt;"",E199&lt;&gt;""),IF(I199="","⚠️ Enter Code",IF(IFERROR(VLOOKUP(H199,DB_Agents!$B:$I,8,0),"")=I199,IF(C199&gt;=E199,"Successful","Unsuccessful"),"🔒 BLOCKED — Wrong Code")),"—")</f>
        <v>—</v>
      </c>
      <c r="K199" s="86" t="str">
        <f t="shared" ca="1" si="17"/>
        <v>—</v>
      </c>
      <c r="L199" s="87"/>
    </row>
    <row r="200" spans="1:12" x14ac:dyDescent="0.25">
      <c r="A200" s="88"/>
      <c r="B200" s="25" t="str">
        <f>IF(A200="","",IFERROR(VLOOKUP(A200,DB_Customers!$A:$D,4,0),"❌ Account Not Found"))</f>
        <v/>
      </c>
      <c r="C200" s="89" t="str">
        <f>IF(A200="","",IFERROR(VLOOKUP(A200,DB_Customers!$A:$N,14,0),""))</f>
        <v/>
      </c>
      <c r="D200" s="90" t="str">
        <f t="shared" ca="1" si="15"/>
        <v/>
      </c>
      <c r="E200" s="97"/>
      <c r="F200" s="25"/>
      <c r="G200" s="99" t="str">
        <f t="shared" si="16"/>
        <v/>
      </c>
      <c r="H200" s="27"/>
      <c r="I200" s="84"/>
      <c r="J200" s="92" t="str">
        <f>IF(AND(A200&lt;&gt;"",E200&lt;&gt;""),IF(I200="","⚠️ Enter Code",IF(IFERROR(VLOOKUP(H200,DB_Agents!$B:$I,8,0),"")=I200,IF(C200&gt;=E200,"Successful","Unsuccessful"),"🔒 BLOCKED — Wrong Code")),"—")</f>
        <v>—</v>
      </c>
      <c r="K200" s="93" t="str">
        <f t="shared" ca="1" si="17"/>
        <v>—</v>
      </c>
      <c r="L200" s="94"/>
    </row>
    <row r="201" spans="1:12" x14ac:dyDescent="0.25">
      <c r="A201" s="79"/>
      <c r="B201" s="21" t="str">
        <f>IF(A201="","",IFERROR(VLOOKUP(A201,DB_Customers!$A:$D,4,0),"❌ Account Not Found"))</f>
        <v/>
      </c>
      <c r="C201" s="80" t="str">
        <f>IF(A201="","",IFERROR(VLOOKUP(A201,DB_Customers!$A:$N,14,0),""))</f>
        <v/>
      </c>
      <c r="D201" s="81" t="str">
        <f t="shared" ref="D201:D208" ca="1" si="18">IF(A201="","",TODAY())</f>
        <v/>
      </c>
      <c r="E201" s="97"/>
      <c r="F201" s="21"/>
      <c r="G201" s="98" t="str">
        <f t="shared" ref="G201:G208" si="19">IF(OR(A201="",E201=""),"",IF(C201="","",C201-E201))</f>
        <v/>
      </c>
      <c r="H201" s="23"/>
      <c r="I201" s="84"/>
      <c r="J201" s="85" t="str">
        <f>IF(AND(A201&lt;&gt;"",E201&lt;&gt;""),IF(I201="","⚠️ Enter Code",IF(IFERROR(VLOOKUP(H201,DB_Agents!$B:$I,8,0),"")=I201,IF(C201&gt;=E201,"Successful","Unsuccessful"),"🔒 BLOCKED — Wrong Code")),"—")</f>
        <v>—</v>
      </c>
      <c r="K201" s="86" t="str">
        <f t="shared" ref="K201:K232" ca="1" si="20">IF(J201="Successful",TEXT(TODAY(),"YYYY-MM-DD")&amp;" Auto","—")</f>
        <v>—</v>
      </c>
      <c r="L201" s="87"/>
    </row>
    <row r="202" spans="1:12" x14ac:dyDescent="0.25">
      <c r="A202" s="88"/>
      <c r="B202" s="25" t="str">
        <f>IF(A202="","",IFERROR(VLOOKUP(A202,DB_Customers!$A:$D,4,0),"❌ Account Not Found"))</f>
        <v/>
      </c>
      <c r="C202" s="89" t="str">
        <f>IF(A202="","",IFERROR(VLOOKUP(A202,DB_Customers!$A:$N,14,0),""))</f>
        <v/>
      </c>
      <c r="D202" s="90" t="str">
        <f t="shared" ca="1" si="18"/>
        <v/>
      </c>
      <c r="E202" s="97"/>
      <c r="F202" s="25"/>
      <c r="G202" s="99" t="str">
        <f t="shared" si="19"/>
        <v/>
      </c>
      <c r="H202" s="27"/>
      <c r="I202" s="84"/>
      <c r="J202" s="92" t="str">
        <f>IF(AND(A202&lt;&gt;"",E202&lt;&gt;""),IF(I202="","⚠️ Enter Code",IF(IFERROR(VLOOKUP(H202,DB_Agents!$B:$I,8,0),"")=I202,IF(C202&gt;=E202,"Successful","Unsuccessful"),"🔒 BLOCKED — Wrong Code")),"—")</f>
        <v>—</v>
      </c>
      <c r="K202" s="93" t="str">
        <f t="shared" ca="1" si="20"/>
        <v>—</v>
      </c>
      <c r="L202" s="94"/>
    </row>
    <row r="203" spans="1:12" x14ac:dyDescent="0.25">
      <c r="A203" s="79"/>
      <c r="B203" s="21" t="str">
        <f>IF(A203="","",IFERROR(VLOOKUP(A203,DB_Customers!$A:$D,4,0),"❌ Account Not Found"))</f>
        <v/>
      </c>
      <c r="C203" s="80" t="str">
        <f>IF(A203="","",IFERROR(VLOOKUP(A203,DB_Customers!$A:$N,14,0),""))</f>
        <v/>
      </c>
      <c r="D203" s="81" t="str">
        <f t="shared" ca="1" si="18"/>
        <v/>
      </c>
      <c r="E203" s="97"/>
      <c r="F203" s="21"/>
      <c r="G203" s="98" t="str">
        <f t="shared" si="19"/>
        <v/>
      </c>
      <c r="H203" s="23"/>
      <c r="I203" s="84"/>
      <c r="J203" s="85" t="str">
        <f>IF(AND(A203&lt;&gt;"",E203&lt;&gt;""),IF(I203="","⚠️ Enter Code",IF(IFERROR(VLOOKUP(H203,DB_Agents!$B:$I,8,0),"")=I203,IF(C203&gt;=E203,"Successful","Unsuccessful"),"🔒 BLOCKED — Wrong Code")),"—")</f>
        <v>—</v>
      </c>
      <c r="K203" s="86" t="str">
        <f t="shared" ca="1" si="20"/>
        <v>—</v>
      </c>
      <c r="L203" s="87"/>
    </row>
    <row r="204" spans="1:12" x14ac:dyDescent="0.25">
      <c r="A204" s="88"/>
      <c r="B204" s="25" t="str">
        <f>IF(A204="","",IFERROR(VLOOKUP(A204,DB_Customers!$A:$D,4,0),"❌ Account Not Found"))</f>
        <v/>
      </c>
      <c r="C204" s="89" t="str">
        <f>IF(A204="","",IFERROR(VLOOKUP(A204,DB_Customers!$A:$N,14,0),""))</f>
        <v/>
      </c>
      <c r="D204" s="90" t="str">
        <f t="shared" ca="1" si="18"/>
        <v/>
      </c>
      <c r="E204" s="97"/>
      <c r="F204" s="25"/>
      <c r="G204" s="99" t="str">
        <f t="shared" si="19"/>
        <v/>
      </c>
      <c r="H204" s="27"/>
      <c r="I204" s="84"/>
      <c r="J204" s="92" t="str">
        <f>IF(AND(A204&lt;&gt;"",E204&lt;&gt;""),IF(I204="","⚠️ Enter Code",IF(IFERROR(VLOOKUP(H204,DB_Agents!$B:$I,8,0),"")=I204,IF(C204&gt;=E204,"Successful","Unsuccessful"),"🔒 BLOCKED — Wrong Code")),"—")</f>
        <v>—</v>
      </c>
      <c r="K204" s="93" t="str">
        <f t="shared" ca="1" si="20"/>
        <v>—</v>
      </c>
      <c r="L204" s="94"/>
    </row>
    <row r="205" spans="1:12" x14ac:dyDescent="0.25">
      <c r="A205" s="79"/>
      <c r="B205" s="21" t="str">
        <f>IF(A205="","",IFERROR(VLOOKUP(A205,DB_Customers!$A:$D,4,0),"❌ Account Not Found"))</f>
        <v/>
      </c>
      <c r="C205" s="80" t="str">
        <f>IF(A205="","",IFERROR(VLOOKUP(A205,DB_Customers!$A:$N,14,0),""))</f>
        <v/>
      </c>
      <c r="D205" s="81" t="str">
        <f t="shared" ca="1" si="18"/>
        <v/>
      </c>
      <c r="E205" s="97"/>
      <c r="F205" s="21"/>
      <c r="G205" s="98" t="str">
        <f t="shared" si="19"/>
        <v/>
      </c>
      <c r="H205" s="23"/>
      <c r="I205" s="84"/>
      <c r="J205" s="85" t="str">
        <f>IF(AND(A205&lt;&gt;"",E205&lt;&gt;""),IF(I205="","⚠️ Enter Code",IF(IFERROR(VLOOKUP(H205,DB_Agents!$B:$I,8,0),"")=I205,IF(C205&gt;=E205,"Successful","Unsuccessful"),"🔒 BLOCKED — Wrong Code")),"—")</f>
        <v>—</v>
      </c>
      <c r="K205" s="86" t="str">
        <f t="shared" ca="1" si="20"/>
        <v>—</v>
      </c>
      <c r="L205" s="87"/>
    </row>
    <row r="206" spans="1:12" x14ac:dyDescent="0.25">
      <c r="A206" s="88"/>
      <c r="B206" s="25" t="str">
        <f>IF(A206="","",IFERROR(VLOOKUP(A206,DB_Customers!$A:$D,4,0),"❌ Account Not Found"))</f>
        <v/>
      </c>
      <c r="C206" s="89" t="str">
        <f>IF(A206="","",IFERROR(VLOOKUP(A206,DB_Customers!$A:$N,14,0),""))</f>
        <v/>
      </c>
      <c r="D206" s="90" t="str">
        <f t="shared" ca="1" si="18"/>
        <v/>
      </c>
      <c r="E206" s="97"/>
      <c r="F206" s="25"/>
      <c r="G206" s="99" t="str">
        <f t="shared" si="19"/>
        <v/>
      </c>
      <c r="H206" s="27"/>
      <c r="I206" s="84"/>
      <c r="J206" s="92" t="str">
        <f>IF(AND(A206&lt;&gt;"",E206&lt;&gt;""),IF(I206="","⚠️ Enter Code",IF(IFERROR(VLOOKUP(H206,DB_Agents!$B:$I,8,0),"")=I206,IF(C206&gt;=E206,"Successful","Unsuccessful"),"🔒 BLOCKED — Wrong Code")),"—")</f>
        <v>—</v>
      </c>
      <c r="K206" s="93" t="str">
        <f t="shared" ca="1" si="20"/>
        <v>—</v>
      </c>
      <c r="L206" s="94"/>
    </row>
    <row r="207" spans="1:12" x14ac:dyDescent="0.25">
      <c r="A207" s="79"/>
      <c r="B207" s="21" t="str">
        <f>IF(A207="","",IFERROR(VLOOKUP(A207,DB_Customers!$A:$D,4,0),"❌ Account Not Found"))</f>
        <v/>
      </c>
      <c r="C207" s="80" t="str">
        <f>IF(A207="","",IFERROR(VLOOKUP(A207,DB_Customers!$A:$N,14,0),""))</f>
        <v/>
      </c>
      <c r="D207" s="81" t="str">
        <f t="shared" ca="1" si="18"/>
        <v/>
      </c>
      <c r="E207" s="97"/>
      <c r="F207" s="21"/>
      <c r="G207" s="98" t="str">
        <f t="shared" si="19"/>
        <v/>
      </c>
      <c r="H207" s="23"/>
      <c r="I207" s="84"/>
      <c r="J207" s="85" t="str">
        <f>IF(AND(A207&lt;&gt;"",E207&lt;&gt;""),IF(I207="","⚠️ Enter Code",IF(IFERROR(VLOOKUP(H207,DB_Agents!$B:$I,8,0),"")=I207,IF(C207&gt;=E207,"Successful","Unsuccessful"),"🔒 BLOCKED — Wrong Code")),"—")</f>
        <v>—</v>
      </c>
      <c r="K207" s="86" t="str">
        <f t="shared" ca="1" si="20"/>
        <v>—</v>
      </c>
      <c r="L207" s="87"/>
    </row>
    <row r="208" spans="1:12" x14ac:dyDescent="0.25">
      <c r="A208" s="88"/>
      <c r="B208" s="25" t="str">
        <f>IF(A208="","",IFERROR(VLOOKUP(A208,DB_Customers!$A:$D,4,0),"❌ Account Not Found"))</f>
        <v/>
      </c>
      <c r="C208" s="89" t="str">
        <f>IF(A208="","",IFERROR(VLOOKUP(A208,DB_Customers!$A:$N,14,0),""))</f>
        <v/>
      </c>
      <c r="D208" s="90" t="str">
        <f t="shared" ca="1" si="18"/>
        <v/>
      </c>
      <c r="E208" s="97"/>
      <c r="F208" s="25"/>
      <c r="G208" s="99" t="str">
        <f t="shared" si="19"/>
        <v/>
      </c>
      <c r="H208" s="27"/>
      <c r="I208" s="84"/>
      <c r="J208" s="92" t="str">
        <f>IF(AND(A208&lt;&gt;"",E208&lt;&gt;""),IF(I208="","⚠️ Enter Code",IF(IFERROR(VLOOKUP(H208,DB_Agents!$B:$I,8,0),"")=I208,IF(C208&gt;=E208,"Successful","Unsuccessful"),"🔒 BLOCKED — Wrong Code")),"—")</f>
        <v>—</v>
      </c>
      <c r="K208" s="93" t="str">
        <f t="shared" ca="1" si="20"/>
        <v>—</v>
      </c>
      <c r="L208" s="94"/>
    </row>
  </sheetData>
  <mergeCells count="8">
    <mergeCell ref="A5:M5"/>
    <mergeCell ref="A7:M7"/>
    <mergeCell ref="A1:M1"/>
    <mergeCell ref="A2:M2"/>
    <mergeCell ref="A3:C3"/>
    <mergeCell ref="D3:F3"/>
    <mergeCell ref="A4:C4"/>
    <mergeCell ref="D4:F4"/>
  </mergeCells>
  <conditionalFormatting sqref="I9:I208">
    <cfRule type="cellIs" dxfId="69" priority="2" operator="equal">
      <formula>"Successful"</formula>
    </cfRule>
    <cfRule type="cellIs" dxfId="68" priority="3" operator="equal">
      <formula>"Unsuccessful"</formula>
    </cfRule>
  </conditionalFormatting>
  <conditionalFormatting sqref="A9:K208">
    <cfRule type="expression" dxfId="67" priority="4">
      <formula>$I9="Unsuccessful"</formula>
    </cfRule>
  </conditionalFormatting>
  <conditionalFormatting sqref="G9:G208">
    <cfRule type="cellIs" dxfId="66" priority="5" operator="lessThan">
      <formula>0</formula>
    </cfRule>
  </conditionalFormatting>
  <dataValidations count="1">
    <dataValidation type="list" sqref="H9:H208" xr:uid="{00000000-0002-0000-0F00-000000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rgb="FFE67E22"/>
  </sheetPr>
  <dimension ref="A1:N213"/>
  <sheetViews>
    <sheetView zoomScaleNormal="100" workbookViewId="0">
      <pane ySplit="13" topLeftCell="A14" activePane="bottomLeft" state="frozen"/>
      <selection pane="bottomLeft"/>
    </sheetView>
  </sheetViews>
  <sheetFormatPr defaultColWidth="8.7109375" defaultRowHeight="15" x14ac:dyDescent="0.25"/>
  <cols>
    <col min="1" max="1" width="22" customWidth="1"/>
    <col min="2" max="2" width="16" customWidth="1"/>
    <col min="3" max="3" width="22" customWidth="1"/>
    <col min="4" max="4" width="13" customWidth="1"/>
    <col min="5" max="5" width="14" customWidth="1"/>
    <col min="6" max="6" width="22" customWidth="1"/>
    <col min="7" max="7" width="9" customWidth="1"/>
    <col min="8" max="8" width="8" customWidth="1"/>
    <col min="9" max="9" width="16" customWidth="1"/>
    <col min="10" max="10" width="15" customWidth="1"/>
    <col min="11" max="11" width="14" customWidth="1"/>
    <col min="12" max="12" width="12" customWidth="1"/>
    <col min="13" max="13" width="14" customWidth="1"/>
  </cols>
  <sheetData>
    <row r="1" spans="1:14" ht="31.5" customHeight="1" x14ac:dyDescent="0.25">
      <c r="A1" s="216" t="s">
        <v>209</v>
      </c>
      <c r="B1" s="216"/>
      <c r="C1" s="216"/>
      <c r="D1" s="216"/>
      <c r="E1" s="216"/>
      <c r="F1" s="216"/>
      <c r="G1" s="216"/>
      <c r="H1" s="216"/>
      <c r="I1" s="216"/>
      <c r="J1" s="216"/>
      <c r="K1" s="216"/>
      <c r="L1" s="216"/>
      <c r="M1" s="216"/>
      <c r="N1" s="216"/>
    </row>
    <row r="2" spans="1:14" ht="19.5" customHeight="1" x14ac:dyDescent="0.25">
      <c r="A2" s="217" t="s">
        <v>189</v>
      </c>
      <c r="B2" s="217"/>
      <c r="C2" s="217"/>
      <c r="D2" s="217"/>
      <c r="E2" s="217"/>
      <c r="F2" s="217"/>
      <c r="G2" s="217"/>
      <c r="H2" s="217"/>
      <c r="I2" s="217"/>
      <c r="J2" s="217"/>
      <c r="K2" s="217"/>
      <c r="L2" s="217"/>
      <c r="M2" s="217"/>
      <c r="N2" s="217"/>
    </row>
    <row r="4" spans="1:14" ht="21.75" customHeight="1" x14ac:dyDescent="0.25">
      <c r="A4" s="218" t="s">
        <v>190</v>
      </c>
      <c r="B4" s="218"/>
      <c r="C4" s="218"/>
      <c r="D4" s="218"/>
    </row>
    <row r="5" spans="1:14" ht="19.5" customHeight="1" x14ac:dyDescent="0.25">
      <c r="A5" s="101" t="s">
        <v>191</v>
      </c>
      <c r="B5" s="219"/>
      <c r="C5" s="219"/>
      <c r="D5" s="219"/>
    </row>
    <row r="6" spans="1:14" ht="19.5" customHeight="1" x14ac:dyDescent="0.25">
      <c r="A6" s="101" t="s">
        <v>192</v>
      </c>
      <c r="B6" s="219"/>
      <c r="C6" s="219"/>
      <c r="D6" s="219"/>
    </row>
    <row r="7" spans="1:14" ht="19.5" customHeight="1" x14ac:dyDescent="0.25">
      <c r="A7" s="102" t="s">
        <v>193</v>
      </c>
      <c r="B7" s="220">
        <v>2.5</v>
      </c>
      <c r="C7" s="220"/>
      <c r="D7" s="220"/>
    </row>
    <row r="8" spans="1:14" ht="19.5" customHeight="1" x14ac:dyDescent="0.25">
      <c r="A8" s="102" t="s">
        <v>194</v>
      </c>
      <c r="B8" s="221" t="str">
        <f>IF(B5="","",B5*B7/100*B6)</f>
        <v/>
      </c>
      <c r="C8" s="221"/>
      <c r="D8" s="221"/>
    </row>
    <row r="9" spans="1:14" ht="19.5" customHeight="1" x14ac:dyDescent="0.25">
      <c r="A9" s="102"/>
      <c r="B9" s="222" t="str">
        <f>IF(B5="","",B5+(B5*B7/100*B6))</f>
        <v/>
      </c>
      <c r="C9" s="222"/>
      <c r="D9" s="222"/>
    </row>
    <row r="10" spans="1:14" ht="19.5" customHeight="1" x14ac:dyDescent="0.25">
      <c r="A10" s="102"/>
      <c r="B10" s="222" t="str">
        <f>IFERROR(B9/B6,"")</f>
        <v/>
      </c>
      <c r="C10" s="222"/>
      <c r="D10" s="222"/>
    </row>
    <row r="11" spans="1:14" ht="7.5" customHeight="1" x14ac:dyDescent="0.25"/>
    <row r="12" spans="1:14" ht="21.75" customHeight="1" x14ac:dyDescent="0.25">
      <c r="A12" s="223"/>
      <c r="B12" s="223"/>
      <c r="C12" s="223"/>
      <c r="D12" s="223"/>
      <c r="E12" s="223"/>
      <c r="F12" s="223"/>
      <c r="G12" s="223"/>
      <c r="H12" s="223"/>
      <c r="I12" s="223"/>
      <c r="J12" s="223"/>
      <c r="K12" s="223"/>
      <c r="L12" s="223"/>
      <c r="M12" s="223"/>
      <c r="N12" s="223"/>
    </row>
    <row r="13" spans="1:14" ht="19.5" customHeight="1" x14ac:dyDescent="0.25">
      <c r="A13" s="103"/>
      <c r="B13" s="103"/>
      <c r="C13" s="103"/>
      <c r="D13" s="103"/>
      <c r="E13" s="103"/>
      <c r="F13" s="103"/>
      <c r="G13" s="103"/>
      <c r="H13" s="103"/>
      <c r="I13" s="103"/>
      <c r="J13" s="103"/>
      <c r="K13" s="103"/>
      <c r="L13" s="103" t="s">
        <v>32</v>
      </c>
      <c r="M13" s="78"/>
      <c r="N13" s="103"/>
    </row>
    <row r="14" spans="1:14" x14ac:dyDescent="0.25">
      <c r="A14" s="92" t="str">
        <f t="shared" ref="A14:A45" si="0">IF(B14="","",IF(C14="❌ Account Not Found","INVALID","LN"&amp;TEXT(D14,"YYYYMMDD")&amp;TEXT(ROW()-13,"0000")))</f>
        <v/>
      </c>
      <c r="B14" s="88"/>
      <c r="C14" s="25" t="str">
        <f>IF(B14="","",IFERROR(VLOOKUP(B14,DB_Customers!$A:$D,4,0),"❌ Account Not Found"))</f>
        <v/>
      </c>
      <c r="D14" s="90" t="str">
        <f t="shared" ref="D14:D45" ca="1" si="1">IF(B14="","",TODAY())</f>
        <v/>
      </c>
      <c r="E14" s="104"/>
      <c r="F14" s="25"/>
      <c r="G14" s="105"/>
      <c r="H14" s="106"/>
      <c r="I14" s="107" t="str">
        <f t="shared" ref="I14:I45" si="2">IF(E14="","",E14+(E14*H14/100*G14))</f>
        <v/>
      </c>
      <c r="J14" s="108" t="str">
        <f t="shared" ref="J14:J45" si="3">IFERROR(I14/G14,"")</f>
        <v/>
      </c>
      <c r="K14" s="109" t="str">
        <f>IF(B14="","Pending",IF(M14="","⚠️ Enter Code",IF(IFERROR(VLOOKUP(L14,DB_Agents!$B:$I,8,0),"")=M14,"Pending","🔒 BLOCKED — Wrong Code")))</f>
        <v>Pending</v>
      </c>
      <c r="L14" s="27" t="s">
        <v>44</v>
      </c>
      <c r="M14" s="84"/>
      <c r="N14" s="94"/>
    </row>
    <row r="15" spans="1:14" x14ac:dyDescent="0.25">
      <c r="A15" s="85" t="str">
        <f t="shared" si="0"/>
        <v/>
      </c>
      <c r="B15" s="79"/>
      <c r="C15" s="21" t="str">
        <f>IF(B15="","",IFERROR(VLOOKUP(B15,DB_Customers!$A:$D,4,0),"❌ Account Not Found"))</f>
        <v/>
      </c>
      <c r="D15" s="81" t="str">
        <f t="shared" ca="1" si="1"/>
        <v/>
      </c>
      <c r="E15" s="104"/>
      <c r="F15" s="21"/>
      <c r="G15" s="110"/>
      <c r="H15" s="111"/>
      <c r="I15" s="107" t="str">
        <f t="shared" si="2"/>
        <v/>
      </c>
      <c r="J15" s="112" t="str">
        <f t="shared" si="3"/>
        <v/>
      </c>
      <c r="K15" s="113" t="str">
        <f>IF(B15="","Pending",IF(M15="","⚠️ Enter Code",IF(IFERROR(VLOOKUP(L15,DB_Agents!$B:$I,8,0),"")=M15,"Pending","🔒 BLOCKED — Wrong Code")))</f>
        <v>Pending</v>
      </c>
      <c r="L15" s="23" t="s">
        <v>44</v>
      </c>
      <c r="M15" s="84"/>
      <c r="N15" s="87"/>
    </row>
    <row r="16" spans="1:14" x14ac:dyDescent="0.25">
      <c r="A16" s="92" t="str">
        <f t="shared" si="0"/>
        <v/>
      </c>
      <c r="B16" s="88"/>
      <c r="C16" s="25" t="str">
        <f>IF(B16="","",IFERROR(VLOOKUP(B16,DB_Customers!$A:$D,4,0),"❌ Account Not Found"))</f>
        <v/>
      </c>
      <c r="D16" s="90" t="str">
        <f t="shared" ca="1" si="1"/>
        <v/>
      </c>
      <c r="E16" s="104"/>
      <c r="F16" s="25"/>
      <c r="G16" s="105"/>
      <c r="H16" s="106"/>
      <c r="I16" s="107" t="str">
        <f t="shared" si="2"/>
        <v/>
      </c>
      <c r="J16" s="108" t="str">
        <f t="shared" si="3"/>
        <v/>
      </c>
      <c r="K16" s="109" t="str">
        <f>IF(B16="","Pending",IF(M16="","⚠️ Enter Code",IF(IFERROR(VLOOKUP(L16,DB_Agents!$B:$I,8,0),"")=M16,"Pending","🔒 BLOCKED — Wrong Code")))</f>
        <v>Pending</v>
      </c>
      <c r="L16" s="27" t="s">
        <v>44</v>
      </c>
      <c r="M16" s="84"/>
      <c r="N16" s="94"/>
    </row>
    <row r="17" spans="1:14" x14ac:dyDescent="0.25">
      <c r="A17" s="85" t="str">
        <f t="shared" si="0"/>
        <v/>
      </c>
      <c r="B17" s="79"/>
      <c r="C17" s="21" t="str">
        <f>IF(B17="","",IFERROR(VLOOKUP(B17,DB_Customers!$A:$D,4,0),"❌ Account Not Found"))</f>
        <v/>
      </c>
      <c r="D17" s="81" t="str">
        <f t="shared" ca="1" si="1"/>
        <v/>
      </c>
      <c r="E17" s="104"/>
      <c r="F17" s="21"/>
      <c r="G17" s="110"/>
      <c r="H17" s="111"/>
      <c r="I17" s="107" t="str">
        <f t="shared" si="2"/>
        <v/>
      </c>
      <c r="J17" s="112" t="str">
        <f t="shared" si="3"/>
        <v/>
      </c>
      <c r="K17" s="113" t="str">
        <f>IF(B17="","Pending",IF(M17="","⚠️ Enter Code",IF(IFERROR(VLOOKUP(L17,DB_Agents!$B:$I,8,0),"")=M17,"Pending","🔒 BLOCKED — Wrong Code")))</f>
        <v>Pending</v>
      </c>
      <c r="L17" s="23" t="s">
        <v>44</v>
      </c>
      <c r="M17" s="84"/>
      <c r="N17" s="87"/>
    </row>
    <row r="18" spans="1:14" x14ac:dyDescent="0.25">
      <c r="A18" s="92" t="str">
        <f t="shared" si="0"/>
        <v/>
      </c>
      <c r="B18" s="88"/>
      <c r="C18" s="25" t="str">
        <f>IF(B18="","",IFERROR(VLOOKUP(B18,DB_Customers!$A:$D,4,0),"❌ Account Not Found"))</f>
        <v/>
      </c>
      <c r="D18" s="90" t="str">
        <f t="shared" ca="1" si="1"/>
        <v/>
      </c>
      <c r="E18" s="104"/>
      <c r="F18" s="25"/>
      <c r="G18" s="105"/>
      <c r="H18" s="106"/>
      <c r="I18" s="107" t="str">
        <f t="shared" si="2"/>
        <v/>
      </c>
      <c r="J18" s="108" t="str">
        <f t="shared" si="3"/>
        <v/>
      </c>
      <c r="K18" s="109" t="str">
        <f>IF(B18="","Pending",IF(M18="","⚠️ Enter Code",IF(IFERROR(VLOOKUP(L18,DB_Agents!$B:$I,8,0),"")=M18,"Pending","🔒 BLOCKED — Wrong Code")))</f>
        <v>Pending</v>
      </c>
      <c r="L18" s="27" t="s">
        <v>44</v>
      </c>
      <c r="M18" s="84"/>
      <c r="N18" s="94"/>
    </row>
    <row r="19" spans="1:14" x14ac:dyDescent="0.25">
      <c r="A19" s="85" t="str">
        <f t="shared" si="0"/>
        <v/>
      </c>
      <c r="B19" s="79"/>
      <c r="C19" s="21" t="str">
        <f>IF(B19="","",IFERROR(VLOOKUP(B19,DB_Customers!$A:$D,4,0),"❌ Account Not Found"))</f>
        <v/>
      </c>
      <c r="D19" s="81" t="str">
        <f t="shared" ca="1" si="1"/>
        <v/>
      </c>
      <c r="E19" s="104"/>
      <c r="F19" s="21"/>
      <c r="G19" s="110"/>
      <c r="H19" s="111"/>
      <c r="I19" s="107" t="str">
        <f t="shared" si="2"/>
        <v/>
      </c>
      <c r="J19" s="112" t="str">
        <f t="shared" si="3"/>
        <v/>
      </c>
      <c r="K19" s="113" t="str">
        <f>IF(B19="","Pending",IF(M19="","⚠️ Enter Code",IF(IFERROR(VLOOKUP(L19,DB_Agents!$B:$I,8,0),"")=M19,"Pending","🔒 BLOCKED — Wrong Code")))</f>
        <v>Pending</v>
      </c>
      <c r="L19" s="23"/>
      <c r="M19" s="84"/>
      <c r="N19" s="87"/>
    </row>
    <row r="20" spans="1:14" x14ac:dyDescent="0.25">
      <c r="A20" s="92" t="str">
        <f t="shared" si="0"/>
        <v/>
      </c>
      <c r="B20" s="88"/>
      <c r="C20" s="25" t="str">
        <f>IF(B20="","",IFERROR(VLOOKUP(B20,DB_Customers!$A:$D,4,0),"❌ Account Not Found"))</f>
        <v/>
      </c>
      <c r="D20" s="90" t="str">
        <f t="shared" ca="1" si="1"/>
        <v/>
      </c>
      <c r="E20" s="104"/>
      <c r="F20" s="25"/>
      <c r="G20" s="105"/>
      <c r="H20" s="106"/>
      <c r="I20" s="107" t="str">
        <f t="shared" si="2"/>
        <v/>
      </c>
      <c r="J20" s="108" t="str">
        <f t="shared" si="3"/>
        <v/>
      </c>
      <c r="K20" s="109" t="str">
        <f>IF(B20="","Pending",IF(M20="","⚠️ Enter Code",IF(IFERROR(VLOOKUP(L20,DB_Agents!$B:$I,8,0),"")=M20,"Pending","🔒 BLOCKED — Wrong Code")))</f>
        <v>Pending</v>
      </c>
      <c r="L20" s="27"/>
      <c r="M20" s="84"/>
      <c r="N20" s="94"/>
    </row>
    <row r="21" spans="1:14" x14ac:dyDescent="0.25">
      <c r="A21" s="85" t="str">
        <f t="shared" si="0"/>
        <v/>
      </c>
      <c r="B21" s="79"/>
      <c r="C21" s="21" t="str">
        <f>IF(B21="","",IFERROR(VLOOKUP(B21,DB_Customers!$A:$D,4,0),"❌ Account Not Found"))</f>
        <v/>
      </c>
      <c r="D21" s="81" t="str">
        <f t="shared" ca="1" si="1"/>
        <v/>
      </c>
      <c r="E21" s="104"/>
      <c r="F21" s="21"/>
      <c r="G21" s="110"/>
      <c r="H21" s="111"/>
      <c r="I21" s="107" t="str">
        <f t="shared" si="2"/>
        <v/>
      </c>
      <c r="J21" s="112" t="str">
        <f t="shared" si="3"/>
        <v/>
      </c>
      <c r="K21" s="113" t="str">
        <f>IF(B21="","Pending",IF(M21="","⚠️ Enter Code",IF(IFERROR(VLOOKUP(L21,DB_Agents!$B:$I,8,0),"")=M21,"Pending","🔒 BLOCKED — Wrong Code")))</f>
        <v>Pending</v>
      </c>
      <c r="L21" s="23"/>
      <c r="M21" s="84"/>
      <c r="N21" s="87"/>
    </row>
    <row r="22" spans="1:14" x14ac:dyDescent="0.25">
      <c r="A22" s="92" t="str">
        <f t="shared" si="0"/>
        <v/>
      </c>
      <c r="B22" s="88"/>
      <c r="C22" s="25" t="str">
        <f>IF(B22="","",IFERROR(VLOOKUP(B22,DB_Customers!$A:$D,4,0),"❌ Account Not Found"))</f>
        <v/>
      </c>
      <c r="D22" s="90" t="str">
        <f t="shared" ca="1" si="1"/>
        <v/>
      </c>
      <c r="E22" s="104"/>
      <c r="F22" s="25"/>
      <c r="G22" s="105"/>
      <c r="H22" s="106"/>
      <c r="I22" s="107" t="str">
        <f t="shared" si="2"/>
        <v/>
      </c>
      <c r="J22" s="108" t="str">
        <f t="shared" si="3"/>
        <v/>
      </c>
      <c r="K22" s="109" t="str">
        <f>IF(B22="","Pending",IF(M22="","⚠️ Enter Code",IF(IFERROR(VLOOKUP(L22,DB_Agents!$B:$I,8,0),"")=M22,"Pending","🔒 BLOCKED — Wrong Code")))</f>
        <v>Pending</v>
      </c>
      <c r="L22" s="27"/>
      <c r="M22" s="84"/>
      <c r="N22" s="94"/>
    </row>
    <row r="23" spans="1:14" x14ac:dyDescent="0.25">
      <c r="A23" s="85" t="str">
        <f t="shared" si="0"/>
        <v/>
      </c>
      <c r="B23" s="79"/>
      <c r="C23" s="21" t="str">
        <f>IF(B23="","",IFERROR(VLOOKUP(B23,DB_Customers!$A:$D,4,0),"❌ Account Not Found"))</f>
        <v/>
      </c>
      <c r="D23" s="81" t="str">
        <f t="shared" ca="1" si="1"/>
        <v/>
      </c>
      <c r="E23" s="104"/>
      <c r="F23" s="21"/>
      <c r="G23" s="110"/>
      <c r="H23" s="111"/>
      <c r="I23" s="107" t="str">
        <f t="shared" si="2"/>
        <v/>
      </c>
      <c r="J23" s="112" t="str">
        <f t="shared" si="3"/>
        <v/>
      </c>
      <c r="K23" s="113" t="str">
        <f>IF(B23="","Pending",IF(M23="","⚠️ Enter Code",IF(IFERROR(VLOOKUP(L23,DB_Agents!$B:$I,8,0),"")=M23,"Pending","🔒 BLOCKED — Wrong Code")))</f>
        <v>Pending</v>
      </c>
      <c r="L23" s="23"/>
      <c r="M23" s="84"/>
      <c r="N23" s="87"/>
    </row>
    <row r="24" spans="1:14" x14ac:dyDescent="0.25">
      <c r="A24" s="92" t="str">
        <f t="shared" si="0"/>
        <v/>
      </c>
      <c r="B24" s="88"/>
      <c r="C24" s="25" t="str">
        <f>IF(B24="","",IFERROR(VLOOKUP(B24,DB_Customers!$A:$D,4,0),"❌ Account Not Found"))</f>
        <v/>
      </c>
      <c r="D24" s="90" t="str">
        <f t="shared" ca="1" si="1"/>
        <v/>
      </c>
      <c r="E24" s="104"/>
      <c r="F24" s="25"/>
      <c r="G24" s="105"/>
      <c r="H24" s="106"/>
      <c r="I24" s="107" t="str">
        <f t="shared" si="2"/>
        <v/>
      </c>
      <c r="J24" s="108" t="str">
        <f t="shared" si="3"/>
        <v/>
      </c>
      <c r="K24" s="109" t="str">
        <f>IF(B24="","Pending",IF(M24="","⚠️ Enter Code",IF(IFERROR(VLOOKUP(L24,DB_Agents!$B:$I,8,0),"")=M24,"Pending","🔒 BLOCKED — Wrong Code")))</f>
        <v>Pending</v>
      </c>
      <c r="L24" s="27"/>
      <c r="M24" s="84"/>
      <c r="N24" s="94"/>
    </row>
    <row r="25" spans="1:14" x14ac:dyDescent="0.25">
      <c r="A25" s="85" t="str">
        <f t="shared" si="0"/>
        <v/>
      </c>
      <c r="B25" s="79"/>
      <c r="C25" s="21" t="str">
        <f>IF(B25="","",IFERROR(VLOOKUP(B25,DB_Customers!$A:$D,4,0),"❌ Account Not Found"))</f>
        <v/>
      </c>
      <c r="D25" s="81" t="str">
        <f t="shared" ca="1" si="1"/>
        <v/>
      </c>
      <c r="E25" s="104"/>
      <c r="F25" s="21"/>
      <c r="G25" s="110"/>
      <c r="H25" s="111"/>
      <c r="I25" s="107" t="str">
        <f t="shared" si="2"/>
        <v/>
      </c>
      <c r="J25" s="112" t="str">
        <f t="shared" si="3"/>
        <v/>
      </c>
      <c r="K25" s="113" t="str">
        <f>IF(B25="","Pending",IF(M25="","⚠️ Enter Code",IF(IFERROR(VLOOKUP(L25,DB_Agents!$B:$I,8,0),"")=M25,"Pending","🔒 BLOCKED — Wrong Code")))</f>
        <v>Pending</v>
      </c>
      <c r="L25" s="23"/>
      <c r="M25" s="84"/>
      <c r="N25" s="87"/>
    </row>
    <row r="26" spans="1:14" x14ac:dyDescent="0.25">
      <c r="A26" s="92" t="str">
        <f t="shared" si="0"/>
        <v/>
      </c>
      <c r="B26" s="88"/>
      <c r="C26" s="25" t="str">
        <f>IF(B26="","",IFERROR(VLOOKUP(B26,DB_Customers!$A:$D,4,0),"❌ Account Not Found"))</f>
        <v/>
      </c>
      <c r="D26" s="90" t="str">
        <f t="shared" ca="1" si="1"/>
        <v/>
      </c>
      <c r="E26" s="104"/>
      <c r="F26" s="25"/>
      <c r="G26" s="105"/>
      <c r="H26" s="106"/>
      <c r="I26" s="107" t="str">
        <f t="shared" si="2"/>
        <v/>
      </c>
      <c r="J26" s="108" t="str">
        <f t="shared" si="3"/>
        <v/>
      </c>
      <c r="K26" s="109" t="str">
        <f>IF(B26="","Pending",IF(M26="","⚠️ Enter Code",IF(IFERROR(VLOOKUP(L26,DB_Agents!$B:$I,8,0),"")=M26,"Pending","🔒 BLOCKED — Wrong Code")))</f>
        <v>Pending</v>
      </c>
      <c r="L26" s="27"/>
      <c r="M26" s="84"/>
      <c r="N26" s="94"/>
    </row>
    <row r="27" spans="1:14" x14ac:dyDescent="0.25">
      <c r="A27" s="85" t="str">
        <f t="shared" si="0"/>
        <v/>
      </c>
      <c r="B27" s="79"/>
      <c r="C27" s="21" t="str">
        <f>IF(B27="","",IFERROR(VLOOKUP(B27,DB_Customers!$A:$D,4,0),"❌ Account Not Found"))</f>
        <v/>
      </c>
      <c r="D27" s="81" t="str">
        <f t="shared" ca="1" si="1"/>
        <v/>
      </c>
      <c r="E27" s="104"/>
      <c r="F27" s="21"/>
      <c r="G27" s="110"/>
      <c r="H27" s="111"/>
      <c r="I27" s="107" t="str">
        <f t="shared" si="2"/>
        <v/>
      </c>
      <c r="J27" s="112" t="str">
        <f t="shared" si="3"/>
        <v/>
      </c>
      <c r="K27" s="113" t="str">
        <f>IF(B27="","Pending",IF(M27="","⚠️ Enter Code",IF(IFERROR(VLOOKUP(L27,DB_Agents!$B:$I,8,0),"")=M27,"Pending","🔒 BLOCKED — Wrong Code")))</f>
        <v>Pending</v>
      </c>
      <c r="L27" s="23"/>
      <c r="M27" s="84"/>
      <c r="N27" s="87"/>
    </row>
    <row r="28" spans="1:14" x14ac:dyDescent="0.25">
      <c r="A28" s="92" t="str">
        <f t="shared" si="0"/>
        <v/>
      </c>
      <c r="B28" s="88"/>
      <c r="C28" s="25" t="str">
        <f>IF(B28="","",IFERROR(VLOOKUP(B28,DB_Customers!$A:$D,4,0),"❌ Account Not Found"))</f>
        <v/>
      </c>
      <c r="D28" s="90" t="str">
        <f t="shared" ca="1" si="1"/>
        <v/>
      </c>
      <c r="E28" s="104"/>
      <c r="F28" s="25"/>
      <c r="G28" s="105"/>
      <c r="H28" s="106"/>
      <c r="I28" s="107" t="str">
        <f t="shared" si="2"/>
        <v/>
      </c>
      <c r="J28" s="108" t="str">
        <f t="shared" si="3"/>
        <v/>
      </c>
      <c r="K28" s="109" t="str">
        <f>IF(B28="","Pending",IF(M28="","⚠️ Enter Code",IF(IFERROR(VLOOKUP(L28,DB_Agents!$B:$I,8,0),"")=M28,"Pending","🔒 BLOCKED — Wrong Code")))</f>
        <v>Pending</v>
      </c>
      <c r="L28" s="27"/>
      <c r="M28" s="84"/>
      <c r="N28" s="94"/>
    </row>
    <row r="29" spans="1:14" x14ac:dyDescent="0.25">
      <c r="A29" s="85" t="str">
        <f t="shared" si="0"/>
        <v/>
      </c>
      <c r="B29" s="79"/>
      <c r="C29" s="21" t="str">
        <f>IF(B29="","",IFERROR(VLOOKUP(B29,DB_Customers!$A:$D,4,0),"❌ Account Not Found"))</f>
        <v/>
      </c>
      <c r="D29" s="81" t="str">
        <f t="shared" ca="1" si="1"/>
        <v/>
      </c>
      <c r="E29" s="104"/>
      <c r="F29" s="21"/>
      <c r="G29" s="110"/>
      <c r="H29" s="111"/>
      <c r="I29" s="107" t="str">
        <f t="shared" si="2"/>
        <v/>
      </c>
      <c r="J29" s="112" t="str">
        <f t="shared" si="3"/>
        <v/>
      </c>
      <c r="K29" s="113" t="str">
        <f>IF(B29="","Pending",IF(M29="","⚠️ Enter Code",IF(IFERROR(VLOOKUP(L29,DB_Agents!$B:$I,8,0),"")=M29,"Pending","🔒 BLOCKED — Wrong Code")))</f>
        <v>Pending</v>
      </c>
      <c r="L29" s="23"/>
      <c r="M29" s="84"/>
      <c r="N29" s="87"/>
    </row>
    <row r="30" spans="1:14" x14ac:dyDescent="0.25">
      <c r="A30" s="92" t="str">
        <f t="shared" si="0"/>
        <v/>
      </c>
      <c r="B30" s="88"/>
      <c r="C30" s="25" t="str">
        <f>IF(B30="","",IFERROR(VLOOKUP(B30,DB_Customers!$A:$D,4,0),"❌ Account Not Found"))</f>
        <v/>
      </c>
      <c r="D30" s="90" t="str">
        <f t="shared" ca="1" si="1"/>
        <v/>
      </c>
      <c r="E30" s="104"/>
      <c r="F30" s="25"/>
      <c r="G30" s="105"/>
      <c r="H30" s="106"/>
      <c r="I30" s="107" t="str">
        <f t="shared" si="2"/>
        <v/>
      </c>
      <c r="J30" s="108" t="str">
        <f t="shared" si="3"/>
        <v/>
      </c>
      <c r="K30" s="109" t="str">
        <f>IF(B30="","Pending",IF(M30="","⚠️ Enter Code",IF(IFERROR(VLOOKUP(L30,DB_Agents!$B:$I,8,0),"")=M30,"Pending","🔒 BLOCKED — Wrong Code")))</f>
        <v>Pending</v>
      </c>
      <c r="L30" s="27"/>
      <c r="M30" s="84"/>
      <c r="N30" s="94"/>
    </row>
    <row r="31" spans="1:14" x14ac:dyDescent="0.25">
      <c r="A31" s="85" t="str">
        <f t="shared" si="0"/>
        <v/>
      </c>
      <c r="B31" s="79"/>
      <c r="C31" s="21" t="str">
        <f>IF(B31="","",IFERROR(VLOOKUP(B31,DB_Customers!$A:$D,4,0),"❌ Account Not Found"))</f>
        <v/>
      </c>
      <c r="D31" s="81" t="str">
        <f t="shared" ca="1" si="1"/>
        <v/>
      </c>
      <c r="E31" s="104"/>
      <c r="F31" s="21"/>
      <c r="G31" s="110"/>
      <c r="H31" s="111"/>
      <c r="I31" s="107" t="str">
        <f t="shared" si="2"/>
        <v/>
      </c>
      <c r="J31" s="112" t="str">
        <f t="shared" si="3"/>
        <v/>
      </c>
      <c r="K31" s="113" t="str">
        <f>IF(B31="","Pending",IF(M31="","⚠️ Enter Code",IF(IFERROR(VLOOKUP(L31,DB_Agents!$B:$I,8,0),"")=M31,"Pending","🔒 BLOCKED — Wrong Code")))</f>
        <v>Pending</v>
      </c>
      <c r="L31" s="23"/>
      <c r="M31" s="84"/>
      <c r="N31" s="87"/>
    </row>
    <row r="32" spans="1:14" x14ac:dyDescent="0.25">
      <c r="A32" s="92" t="str">
        <f t="shared" si="0"/>
        <v/>
      </c>
      <c r="B32" s="88"/>
      <c r="C32" s="25" t="str">
        <f>IF(B32="","",IFERROR(VLOOKUP(B32,DB_Customers!$A:$D,4,0),"❌ Account Not Found"))</f>
        <v/>
      </c>
      <c r="D32" s="90" t="str">
        <f t="shared" ca="1" si="1"/>
        <v/>
      </c>
      <c r="E32" s="104"/>
      <c r="F32" s="25"/>
      <c r="G32" s="105"/>
      <c r="H32" s="106"/>
      <c r="I32" s="107" t="str">
        <f t="shared" si="2"/>
        <v/>
      </c>
      <c r="J32" s="108" t="str">
        <f t="shared" si="3"/>
        <v/>
      </c>
      <c r="K32" s="109" t="str">
        <f>IF(B32="","Pending",IF(M32="","⚠️ Enter Code",IF(IFERROR(VLOOKUP(L32,DB_Agents!$B:$I,8,0),"")=M32,"Pending","🔒 BLOCKED — Wrong Code")))</f>
        <v>Pending</v>
      </c>
      <c r="L32" s="27"/>
      <c r="M32" s="84"/>
      <c r="N32" s="94"/>
    </row>
    <row r="33" spans="1:14" x14ac:dyDescent="0.25">
      <c r="A33" s="85" t="str">
        <f t="shared" si="0"/>
        <v/>
      </c>
      <c r="B33" s="79"/>
      <c r="C33" s="21" t="str">
        <f>IF(B33="","",IFERROR(VLOOKUP(B33,DB_Customers!$A:$D,4,0),"❌ Account Not Found"))</f>
        <v/>
      </c>
      <c r="D33" s="81" t="str">
        <f t="shared" ca="1" si="1"/>
        <v/>
      </c>
      <c r="E33" s="104"/>
      <c r="F33" s="21"/>
      <c r="G33" s="110"/>
      <c r="H33" s="111"/>
      <c r="I33" s="107" t="str">
        <f t="shared" si="2"/>
        <v/>
      </c>
      <c r="J33" s="112" t="str">
        <f t="shared" si="3"/>
        <v/>
      </c>
      <c r="K33" s="113" t="str">
        <f>IF(B33="","Pending",IF(M33="","⚠️ Enter Code",IF(IFERROR(VLOOKUP(L33,DB_Agents!$B:$I,8,0),"")=M33,"Pending","🔒 BLOCKED — Wrong Code")))</f>
        <v>Pending</v>
      </c>
      <c r="L33" s="23"/>
      <c r="M33" s="84"/>
      <c r="N33" s="87"/>
    </row>
    <row r="34" spans="1:14" x14ac:dyDescent="0.25">
      <c r="A34" s="92" t="str">
        <f t="shared" si="0"/>
        <v/>
      </c>
      <c r="B34" s="88"/>
      <c r="C34" s="25" t="str">
        <f>IF(B34="","",IFERROR(VLOOKUP(B34,DB_Customers!$A:$D,4,0),"❌ Account Not Found"))</f>
        <v/>
      </c>
      <c r="D34" s="90" t="str">
        <f t="shared" ca="1" si="1"/>
        <v/>
      </c>
      <c r="E34" s="104"/>
      <c r="F34" s="25"/>
      <c r="G34" s="105"/>
      <c r="H34" s="106"/>
      <c r="I34" s="107" t="str">
        <f t="shared" si="2"/>
        <v/>
      </c>
      <c r="J34" s="108" t="str">
        <f t="shared" si="3"/>
        <v/>
      </c>
      <c r="K34" s="109" t="str">
        <f>IF(B34="","Pending",IF(M34="","⚠️ Enter Code",IF(IFERROR(VLOOKUP(L34,DB_Agents!$B:$I,8,0),"")=M34,"Pending","🔒 BLOCKED — Wrong Code")))</f>
        <v>Pending</v>
      </c>
      <c r="L34" s="27"/>
      <c r="M34" s="84"/>
      <c r="N34" s="94"/>
    </row>
    <row r="35" spans="1:14" x14ac:dyDescent="0.25">
      <c r="A35" s="85" t="str">
        <f t="shared" si="0"/>
        <v/>
      </c>
      <c r="B35" s="79"/>
      <c r="C35" s="21" t="str">
        <f>IF(B35="","",IFERROR(VLOOKUP(B35,DB_Customers!$A:$D,4,0),"❌ Account Not Found"))</f>
        <v/>
      </c>
      <c r="D35" s="81" t="str">
        <f t="shared" ca="1" si="1"/>
        <v/>
      </c>
      <c r="E35" s="104"/>
      <c r="F35" s="21"/>
      <c r="G35" s="110"/>
      <c r="H35" s="111"/>
      <c r="I35" s="107" t="str">
        <f t="shared" si="2"/>
        <v/>
      </c>
      <c r="J35" s="112" t="str">
        <f t="shared" si="3"/>
        <v/>
      </c>
      <c r="K35" s="113" t="str">
        <f>IF(B35="","Pending",IF(M35="","⚠️ Enter Code",IF(IFERROR(VLOOKUP(L35,DB_Agents!$B:$I,8,0),"")=M35,"Pending","🔒 BLOCKED — Wrong Code")))</f>
        <v>Pending</v>
      </c>
      <c r="L35" s="23"/>
      <c r="M35" s="84"/>
      <c r="N35" s="87"/>
    </row>
    <row r="36" spans="1:14" x14ac:dyDescent="0.25">
      <c r="A36" s="92" t="str">
        <f t="shared" si="0"/>
        <v/>
      </c>
      <c r="B36" s="88"/>
      <c r="C36" s="25" t="str">
        <f>IF(B36="","",IFERROR(VLOOKUP(B36,DB_Customers!$A:$D,4,0),"❌ Account Not Found"))</f>
        <v/>
      </c>
      <c r="D36" s="90" t="str">
        <f t="shared" ca="1" si="1"/>
        <v/>
      </c>
      <c r="E36" s="104"/>
      <c r="F36" s="25"/>
      <c r="G36" s="105"/>
      <c r="H36" s="106"/>
      <c r="I36" s="107" t="str">
        <f t="shared" si="2"/>
        <v/>
      </c>
      <c r="J36" s="108" t="str">
        <f t="shared" si="3"/>
        <v/>
      </c>
      <c r="K36" s="109" t="str">
        <f>IF(B36="","Pending",IF(M36="","⚠️ Enter Code",IF(IFERROR(VLOOKUP(L36,DB_Agents!$B:$I,8,0),"")=M36,"Pending","🔒 BLOCKED — Wrong Code")))</f>
        <v>Pending</v>
      </c>
      <c r="L36" s="27"/>
      <c r="M36" s="84"/>
      <c r="N36" s="94"/>
    </row>
    <row r="37" spans="1:14" x14ac:dyDescent="0.25">
      <c r="A37" s="85" t="str">
        <f t="shared" si="0"/>
        <v/>
      </c>
      <c r="B37" s="79"/>
      <c r="C37" s="21" t="str">
        <f>IF(B37="","",IFERROR(VLOOKUP(B37,DB_Customers!$A:$D,4,0),"❌ Account Not Found"))</f>
        <v/>
      </c>
      <c r="D37" s="81" t="str">
        <f t="shared" ca="1" si="1"/>
        <v/>
      </c>
      <c r="E37" s="104"/>
      <c r="F37" s="21"/>
      <c r="G37" s="110"/>
      <c r="H37" s="111"/>
      <c r="I37" s="107" t="str">
        <f t="shared" si="2"/>
        <v/>
      </c>
      <c r="J37" s="112" t="str">
        <f t="shared" si="3"/>
        <v/>
      </c>
      <c r="K37" s="113" t="str">
        <f>IF(B37="","Pending",IF(M37="","⚠️ Enter Code",IF(IFERROR(VLOOKUP(L37,DB_Agents!$B:$I,8,0),"")=M37,"Pending","🔒 BLOCKED — Wrong Code")))</f>
        <v>Pending</v>
      </c>
      <c r="L37" s="23"/>
      <c r="M37" s="84"/>
      <c r="N37" s="87"/>
    </row>
    <row r="38" spans="1:14" x14ac:dyDescent="0.25">
      <c r="A38" s="92" t="str">
        <f t="shared" si="0"/>
        <v/>
      </c>
      <c r="B38" s="88"/>
      <c r="C38" s="25" t="str">
        <f>IF(B38="","",IFERROR(VLOOKUP(B38,DB_Customers!$A:$D,4,0),"❌ Account Not Found"))</f>
        <v/>
      </c>
      <c r="D38" s="90" t="str">
        <f t="shared" ca="1" si="1"/>
        <v/>
      </c>
      <c r="E38" s="104"/>
      <c r="F38" s="25"/>
      <c r="G38" s="105"/>
      <c r="H38" s="106"/>
      <c r="I38" s="107" t="str">
        <f t="shared" si="2"/>
        <v/>
      </c>
      <c r="J38" s="108" t="str">
        <f t="shared" si="3"/>
        <v/>
      </c>
      <c r="K38" s="109" t="str">
        <f>IF(B38="","Pending",IF(M38="","⚠️ Enter Code",IF(IFERROR(VLOOKUP(L38,DB_Agents!$B:$I,8,0),"")=M38,"Pending","🔒 BLOCKED — Wrong Code")))</f>
        <v>Pending</v>
      </c>
      <c r="L38" s="27"/>
      <c r="M38" s="84"/>
      <c r="N38" s="94"/>
    </row>
    <row r="39" spans="1:14" x14ac:dyDescent="0.25">
      <c r="A39" s="85" t="str">
        <f t="shared" si="0"/>
        <v/>
      </c>
      <c r="B39" s="79"/>
      <c r="C39" s="21" t="str">
        <f>IF(B39="","",IFERROR(VLOOKUP(B39,DB_Customers!$A:$D,4,0),"❌ Account Not Found"))</f>
        <v/>
      </c>
      <c r="D39" s="81" t="str">
        <f t="shared" ca="1" si="1"/>
        <v/>
      </c>
      <c r="E39" s="104"/>
      <c r="F39" s="21"/>
      <c r="G39" s="110"/>
      <c r="H39" s="111"/>
      <c r="I39" s="107" t="str">
        <f t="shared" si="2"/>
        <v/>
      </c>
      <c r="J39" s="112" t="str">
        <f t="shared" si="3"/>
        <v/>
      </c>
      <c r="K39" s="113" t="str">
        <f>IF(B39="","Pending",IF(M39="","⚠️ Enter Code",IF(IFERROR(VLOOKUP(L39,DB_Agents!$B:$I,8,0),"")=M39,"Pending","🔒 BLOCKED — Wrong Code")))</f>
        <v>Pending</v>
      </c>
      <c r="L39" s="23"/>
      <c r="M39" s="84"/>
      <c r="N39" s="87"/>
    </row>
    <row r="40" spans="1:14" x14ac:dyDescent="0.25">
      <c r="A40" s="92" t="str">
        <f t="shared" si="0"/>
        <v/>
      </c>
      <c r="B40" s="88"/>
      <c r="C40" s="25" t="str">
        <f>IF(B40="","",IFERROR(VLOOKUP(B40,DB_Customers!$A:$D,4,0),"❌ Account Not Found"))</f>
        <v/>
      </c>
      <c r="D40" s="90" t="str">
        <f t="shared" ca="1" si="1"/>
        <v/>
      </c>
      <c r="E40" s="104"/>
      <c r="F40" s="25"/>
      <c r="G40" s="105"/>
      <c r="H40" s="106"/>
      <c r="I40" s="107" t="str">
        <f t="shared" si="2"/>
        <v/>
      </c>
      <c r="J40" s="108" t="str">
        <f t="shared" si="3"/>
        <v/>
      </c>
      <c r="K40" s="109" t="str">
        <f>IF(B40="","Pending",IF(M40="","⚠️ Enter Code",IF(IFERROR(VLOOKUP(L40,DB_Agents!$B:$I,8,0),"")=M40,"Pending","🔒 BLOCKED — Wrong Code")))</f>
        <v>Pending</v>
      </c>
      <c r="L40" s="27"/>
      <c r="M40" s="84"/>
      <c r="N40" s="94"/>
    </row>
    <row r="41" spans="1:14" x14ac:dyDescent="0.25">
      <c r="A41" s="85" t="str">
        <f t="shared" si="0"/>
        <v/>
      </c>
      <c r="B41" s="79"/>
      <c r="C41" s="21" t="str">
        <f>IF(B41="","",IFERROR(VLOOKUP(B41,DB_Customers!$A:$D,4,0),"❌ Account Not Found"))</f>
        <v/>
      </c>
      <c r="D41" s="81" t="str">
        <f t="shared" ca="1" si="1"/>
        <v/>
      </c>
      <c r="E41" s="104"/>
      <c r="F41" s="21"/>
      <c r="G41" s="110"/>
      <c r="H41" s="111"/>
      <c r="I41" s="107" t="str">
        <f t="shared" si="2"/>
        <v/>
      </c>
      <c r="J41" s="112" t="str">
        <f t="shared" si="3"/>
        <v/>
      </c>
      <c r="K41" s="113" t="str">
        <f>IF(B41="","Pending",IF(M41="","⚠️ Enter Code",IF(IFERROR(VLOOKUP(L41,DB_Agents!$B:$I,8,0),"")=M41,"Pending","🔒 BLOCKED — Wrong Code")))</f>
        <v>Pending</v>
      </c>
      <c r="L41" s="23"/>
      <c r="M41" s="84"/>
      <c r="N41" s="87"/>
    </row>
    <row r="42" spans="1:14" x14ac:dyDescent="0.25">
      <c r="A42" s="92" t="str">
        <f t="shared" si="0"/>
        <v/>
      </c>
      <c r="B42" s="88"/>
      <c r="C42" s="25" t="str">
        <f>IF(B42="","",IFERROR(VLOOKUP(B42,DB_Customers!$A:$D,4,0),"❌ Account Not Found"))</f>
        <v/>
      </c>
      <c r="D42" s="90" t="str">
        <f t="shared" ca="1" si="1"/>
        <v/>
      </c>
      <c r="E42" s="104"/>
      <c r="F42" s="25"/>
      <c r="G42" s="105"/>
      <c r="H42" s="106"/>
      <c r="I42" s="107" t="str">
        <f t="shared" si="2"/>
        <v/>
      </c>
      <c r="J42" s="108" t="str">
        <f t="shared" si="3"/>
        <v/>
      </c>
      <c r="K42" s="109" t="str">
        <f>IF(B42="","Pending",IF(M42="","⚠️ Enter Code",IF(IFERROR(VLOOKUP(L42,DB_Agents!$B:$I,8,0),"")=M42,"Pending","🔒 BLOCKED — Wrong Code")))</f>
        <v>Pending</v>
      </c>
      <c r="L42" s="27"/>
      <c r="M42" s="84"/>
      <c r="N42" s="94"/>
    </row>
    <row r="43" spans="1:14" x14ac:dyDescent="0.25">
      <c r="A43" s="85" t="str">
        <f t="shared" si="0"/>
        <v/>
      </c>
      <c r="B43" s="79"/>
      <c r="C43" s="21" t="str">
        <f>IF(B43="","",IFERROR(VLOOKUP(B43,DB_Customers!$A:$D,4,0),"❌ Account Not Found"))</f>
        <v/>
      </c>
      <c r="D43" s="81" t="str">
        <f t="shared" ca="1" si="1"/>
        <v/>
      </c>
      <c r="E43" s="104"/>
      <c r="F43" s="21"/>
      <c r="G43" s="110"/>
      <c r="H43" s="111"/>
      <c r="I43" s="107" t="str">
        <f t="shared" si="2"/>
        <v/>
      </c>
      <c r="J43" s="112" t="str">
        <f t="shared" si="3"/>
        <v/>
      </c>
      <c r="K43" s="113" t="str">
        <f>IF(B43="","Pending",IF(M43="","⚠️ Enter Code",IF(IFERROR(VLOOKUP(L43,DB_Agents!$B:$I,8,0),"")=M43,"Pending","🔒 BLOCKED — Wrong Code")))</f>
        <v>Pending</v>
      </c>
      <c r="L43" s="23"/>
      <c r="M43" s="84"/>
      <c r="N43" s="87"/>
    </row>
    <row r="44" spans="1:14" x14ac:dyDescent="0.25">
      <c r="A44" s="92" t="str">
        <f t="shared" si="0"/>
        <v/>
      </c>
      <c r="B44" s="88"/>
      <c r="C44" s="25" t="str">
        <f>IF(B44="","",IFERROR(VLOOKUP(B44,DB_Customers!$A:$D,4,0),"❌ Account Not Found"))</f>
        <v/>
      </c>
      <c r="D44" s="90" t="str">
        <f t="shared" ca="1" si="1"/>
        <v/>
      </c>
      <c r="E44" s="104"/>
      <c r="F44" s="25"/>
      <c r="G44" s="105"/>
      <c r="H44" s="106"/>
      <c r="I44" s="107" t="str">
        <f t="shared" si="2"/>
        <v/>
      </c>
      <c r="J44" s="108" t="str">
        <f t="shared" si="3"/>
        <v/>
      </c>
      <c r="K44" s="109" t="str">
        <f>IF(B44="","Pending",IF(M44="","⚠️ Enter Code",IF(IFERROR(VLOOKUP(L44,DB_Agents!$B:$I,8,0),"")=M44,"Pending","🔒 BLOCKED — Wrong Code")))</f>
        <v>Pending</v>
      </c>
      <c r="L44" s="27"/>
      <c r="M44" s="84"/>
      <c r="N44" s="94"/>
    </row>
    <row r="45" spans="1:14" x14ac:dyDescent="0.25">
      <c r="A45" s="85" t="str">
        <f t="shared" si="0"/>
        <v/>
      </c>
      <c r="B45" s="79"/>
      <c r="C45" s="21" t="str">
        <f>IF(B45="","",IFERROR(VLOOKUP(B45,DB_Customers!$A:$D,4,0),"❌ Account Not Found"))</f>
        <v/>
      </c>
      <c r="D45" s="81" t="str">
        <f t="shared" ca="1" si="1"/>
        <v/>
      </c>
      <c r="E45" s="104"/>
      <c r="F45" s="21"/>
      <c r="G45" s="110"/>
      <c r="H45" s="111"/>
      <c r="I45" s="107" t="str">
        <f t="shared" si="2"/>
        <v/>
      </c>
      <c r="J45" s="112" t="str">
        <f t="shared" si="3"/>
        <v/>
      </c>
      <c r="K45" s="113" t="str">
        <f>IF(B45="","Pending",IF(M45="","⚠️ Enter Code",IF(IFERROR(VLOOKUP(L45,DB_Agents!$B:$I,8,0),"")=M45,"Pending","🔒 BLOCKED — Wrong Code")))</f>
        <v>Pending</v>
      </c>
      <c r="L45" s="23"/>
      <c r="M45" s="84"/>
      <c r="N45" s="87"/>
    </row>
    <row r="46" spans="1:14" x14ac:dyDescent="0.25">
      <c r="A46" s="92" t="str">
        <f t="shared" ref="A46:A77" si="4">IF(B46="","",IF(C46="❌ Account Not Found","INVALID","LN"&amp;TEXT(D46,"YYYYMMDD")&amp;TEXT(ROW()-13,"0000")))</f>
        <v/>
      </c>
      <c r="B46" s="88"/>
      <c r="C46" s="25" t="str">
        <f>IF(B46="","",IFERROR(VLOOKUP(B46,DB_Customers!$A:$D,4,0),"❌ Account Not Found"))</f>
        <v/>
      </c>
      <c r="D46" s="90" t="str">
        <f t="shared" ref="D46:D77" ca="1" si="5">IF(B46="","",TODAY())</f>
        <v/>
      </c>
      <c r="E46" s="104"/>
      <c r="F46" s="25"/>
      <c r="G46" s="105"/>
      <c r="H46" s="106"/>
      <c r="I46" s="107" t="str">
        <f t="shared" ref="I46:I77" si="6">IF(E46="","",E46+(E46*H46/100*G46))</f>
        <v/>
      </c>
      <c r="J46" s="108" t="str">
        <f t="shared" ref="J46:J77" si="7">IFERROR(I46/G46,"")</f>
        <v/>
      </c>
      <c r="K46" s="109" t="str">
        <f>IF(B46="","Pending",IF(M46="","⚠️ Enter Code",IF(IFERROR(VLOOKUP(L46,DB_Agents!$B:$I,8,0),"")=M46,"Pending","🔒 BLOCKED — Wrong Code")))</f>
        <v>Pending</v>
      </c>
      <c r="L46" s="27"/>
      <c r="M46" s="84"/>
      <c r="N46" s="94"/>
    </row>
    <row r="47" spans="1:14" x14ac:dyDescent="0.25">
      <c r="A47" s="85" t="str">
        <f t="shared" si="4"/>
        <v/>
      </c>
      <c r="B47" s="79"/>
      <c r="C47" s="21" t="str">
        <f>IF(B47="","",IFERROR(VLOOKUP(B47,DB_Customers!$A:$D,4,0),"❌ Account Not Found"))</f>
        <v/>
      </c>
      <c r="D47" s="81" t="str">
        <f t="shared" ca="1" si="5"/>
        <v/>
      </c>
      <c r="E47" s="104"/>
      <c r="F47" s="21"/>
      <c r="G47" s="110"/>
      <c r="H47" s="111"/>
      <c r="I47" s="107" t="str">
        <f t="shared" si="6"/>
        <v/>
      </c>
      <c r="J47" s="112" t="str">
        <f t="shared" si="7"/>
        <v/>
      </c>
      <c r="K47" s="113" t="str">
        <f>IF(B47="","Pending",IF(M47="","⚠️ Enter Code",IF(IFERROR(VLOOKUP(L47,DB_Agents!$B:$I,8,0),"")=M47,"Pending","🔒 BLOCKED — Wrong Code")))</f>
        <v>Pending</v>
      </c>
      <c r="L47" s="23"/>
      <c r="M47" s="84"/>
      <c r="N47" s="87"/>
    </row>
    <row r="48" spans="1:14" x14ac:dyDescent="0.25">
      <c r="A48" s="92" t="str">
        <f t="shared" si="4"/>
        <v/>
      </c>
      <c r="B48" s="88"/>
      <c r="C48" s="25" t="str">
        <f>IF(B48="","",IFERROR(VLOOKUP(B48,DB_Customers!$A:$D,4,0),"❌ Account Not Found"))</f>
        <v/>
      </c>
      <c r="D48" s="90" t="str">
        <f t="shared" ca="1" si="5"/>
        <v/>
      </c>
      <c r="E48" s="104"/>
      <c r="F48" s="25"/>
      <c r="G48" s="105"/>
      <c r="H48" s="106"/>
      <c r="I48" s="107" t="str">
        <f t="shared" si="6"/>
        <v/>
      </c>
      <c r="J48" s="108" t="str">
        <f t="shared" si="7"/>
        <v/>
      </c>
      <c r="K48" s="109" t="str">
        <f>IF(B48="","Pending",IF(M48="","⚠️ Enter Code",IF(IFERROR(VLOOKUP(L48,DB_Agents!$B:$I,8,0),"")=M48,"Pending","🔒 BLOCKED — Wrong Code")))</f>
        <v>Pending</v>
      </c>
      <c r="L48" s="27"/>
      <c r="M48" s="84"/>
      <c r="N48" s="94"/>
    </row>
    <row r="49" spans="1:14" x14ac:dyDescent="0.25">
      <c r="A49" s="85" t="str">
        <f t="shared" si="4"/>
        <v/>
      </c>
      <c r="B49" s="79"/>
      <c r="C49" s="21" t="str">
        <f>IF(B49="","",IFERROR(VLOOKUP(B49,DB_Customers!$A:$D,4,0),"❌ Account Not Found"))</f>
        <v/>
      </c>
      <c r="D49" s="81" t="str">
        <f t="shared" ca="1" si="5"/>
        <v/>
      </c>
      <c r="E49" s="104"/>
      <c r="F49" s="21"/>
      <c r="G49" s="110"/>
      <c r="H49" s="111"/>
      <c r="I49" s="107" t="str">
        <f t="shared" si="6"/>
        <v/>
      </c>
      <c r="J49" s="112" t="str">
        <f t="shared" si="7"/>
        <v/>
      </c>
      <c r="K49" s="113" t="str">
        <f>IF(B49="","Pending",IF(M49="","⚠️ Enter Code",IF(IFERROR(VLOOKUP(L49,DB_Agents!$B:$I,8,0),"")=M49,"Pending","🔒 BLOCKED — Wrong Code")))</f>
        <v>Pending</v>
      </c>
      <c r="L49" s="23"/>
      <c r="M49" s="84"/>
      <c r="N49" s="87"/>
    </row>
    <row r="50" spans="1:14" x14ac:dyDescent="0.25">
      <c r="A50" s="92" t="str">
        <f t="shared" si="4"/>
        <v/>
      </c>
      <c r="B50" s="88"/>
      <c r="C50" s="25" t="str">
        <f>IF(B50="","",IFERROR(VLOOKUP(B50,DB_Customers!$A:$D,4,0),"❌ Account Not Found"))</f>
        <v/>
      </c>
      <c r="D50" s="90" t="str">
        <f t="shared" ca="1" si="5"/>
        <v/>
      </c>
      <c r="E50" s="104"/>
      <c r="F50" s="25"/>
      <c r="G50" s="105"/>
      <c r="H50" s="106"/>
      <c r="I50" s="107" t="str">
        <f t="shared" si="6"/>
        <v/>
      </c>
      <c r="J50" s="108" t="str">
        <f t="shared" si="7"/>
        <v/>
      </c>
      <c r="K50" s="109" t="str">
        <f>IF(B50="","Pending",IF(M50="","⚠️ Enter Code",IF(IFERROR(VLOOKUP(L50,DB_Agents!$B:$I,8,0),"")=M50,"Pending","🔒 BLOCKED — Wrong Code")))</f>
        <v>Pending</v>
      </c>
      <c r="L50" s="27"/>
      <c r="M50" s="84"/>
      <c r="N50" s="94"/>
    </row>
    <row r="51" spans="1:14" x14ac:dyDescent="0.25">
      <c r="A51" s="85" t="str">
        <f t="shared" si="4"/>
        <v/>
      </c>
      <c r="B51" s="79"/>
      <c r="C51" s="21" t="str">
        <f>IF(B51="","",IFERROR(VLOOKUP(B51,DB_Customers!$A:$D,4,0),"❌ Account Not Found"))</f>
        <v/>
      </c>
      <c r="D51" s="81" t="str">
        <f t="shared" ca="1" si="5"/>
        <v/>
      </c>
      <c r="E51" s="104"/>
      <c r="F51" s="21"/>
      <c r="G51" s="110"/>
      <c r="H51" s="111"/>
      <c r="I51" s="107" t="str">
        <f t="shared" si="6"/>
        <v/>
      </c>
      <c r="J51" s="112" t="str">
        <f t="shared" si="7"/>
        <v/>
      </c>
      <c r="K51" s="113" t="str">
        <f>IF(B51="","Pending",IF(M51="","⚠️ Enter Code",IF(IFERROR(VLOOKUP(L51,DB_Agents!$B:$I,8,0),"")=M51,"Pending","🔒 BLOCKED — Wrong Code")))</f>
        <v>Pending</v>
      </c>
      <c r="L51" s="23"/>
      <c r="M51" s="84"/>
      <c r="N51" s="87"/>
    </row>
    <row r="52" spans="1:14" x14ac:dyDescent="0.25">
      <c r="A52" s="92" t="str">
        <f t="shared" si="4"/>
        <v/>
      </c>
      <c r="B52" s="88"/>
      <c r="C52" s="25" t="str">
        <f>IF(B52="","",IFERROR(VLOOKUP(B52,DB_Customers!$A:$D,4,0),"❌ Account Not Found"))</f>
        <v/>
      </c>
      <c r="D52" s="90" t="str">
        <f t="shared" ca="1" si="5"/>
        <v/>
      </c>
      <c r="E52" s="104"/>
      <c r="F52" s="25"/>
      <c r="G52" s="105"/>
      <c r="H52" s="106"/>
      <c r="I52" s="107" t="str">
        <f t="shared" si="6"/>
        <v/>
      </c>
      <c r="J52" s="108" t="str">
        <f t="shared" si="7"/>
        <v/>
      </c>
      <c r="K52" s="109" t="str">
        <f>IF(B52="","Pending",IF(M52="","⚠️ Enter Code",IF(IFERROR(VLOOKUP(L52,DB_Agents!$B:$I,8,0),"")=M52,"Pending","🔒 BLOCKED — Wrong Code")))</f>
        <v>Pending</v>
      </c>
      <c r="L52" s="27"/>
      <c r="M52" s="84"/>
      <c r="N52" s="94"/>
    </row>
    <row r="53" spans="1:14" x14ac:dyDescent="0.25">
      <c r="A53" s="85" t="str">
        <f t="shared" si="4"/>
        <v/>
      </c>
      <c r="B53" s="79"/>
      <c r="C53" s="21" t="str">
        <f>IF(B53="","",IFERROR(VLOOKUP(B53,DB_Customers!$A:$D,4,0),"❌ Account Not Found"))</f>
        <v/>
      </c>
      <c r="D53" s="81" t="str">
        <f t="shared" ca="1" si="5"/>
        <v/>
      </c>
      <c r="E53" s="104"/>
      <c r="F53" s="21"/>
      <c r="G53" s="110"/>
      <c r="H53" s="111"/>
      <c r="I53" s="107" t="str">
        <f t="shared" si="6"/>
        <v/>
      </c>
      <c r="J53" s="112" t="str">
        <f t="shared" si="7"/>
        <v/>
      </c>
      <c r="K53" s="113" t="str">
        <f>IF(B53="","Pending",IF(M53="","⚠️ Enter Code",IF(IFERROR(VLOOKUP(L53,DB_Agents!$B:$I,8,0),"")=M53,"Pending","🔒 BLOCKED — Wrong Code")))</f>
        <v>Pending</v>
      </c>
      <c r="L53" s="23"/>
      <c r="M53" s="84"/>
      <c r="N53" s="87"/>
    </row>
    <row r="54" spans="1:14" x14ac:dyDescent="0.25">
      <c r="A54" s="92" t="str">
        <f t="shared" si="4"/>
        <v/>
      </c>
      <c r="B54" s="88"/>
      <c r="C54" s="25" t="str">
        <f>IF(B54="","",IFERROR(VLOOKUP(B54,DB_Customers!$A:$D,4,0),"❌ Account Not Found"))</f>
        <v/>
      </c>
      <c r="D54" s="90" t="str">
        <f t="shared" ca="1" si="5"/>
        <v/>
      </c>
      <c r="E54" s="104"/>
      <c r="F54" s="25"/>
      <c r="G54" s="105"/>
      <c r="H54" s="106"/>
      <c r="I54" s="107" t="str">
        <f t="shared" si="6"/>
        <v/>
      </c>
      <c r="J54" s="108" t="str">
        <f t="shared" si="7"/>
        <v/>
      </c>
      <c r="K54" s="109" t="str">
        <f>IF(B54="","Pending",IF(M54="","⚠️ Enter Code",IF(IFERROR(VLOOKUP(L54,DB_Agents!$B:$I,8,0),"")=M54,"Pending","🔒 BLOCKED — Wrong Code")))</f>
        <v>Pending</v>
      </c>
      <c r="L54" s="27"/>
      <c r="M54" s="84"/>
      <c r="N54" s="94"/>
    </row>
    <row r="55" spans="1:14" x14ac:dyDescent="0.25">
      <c r="A55" s="85" t="str">
        <f t="shared" si="4"/>
        <v/>
      </c>
      <c r="B55" s="79"/>
      <c r="C55" s="21" t="str">
        <f>IF(B55="","",IFERROR(VLOOKUP(B55,DB_Customers!$A:$D,4,0),"❌ Account Not Found"))</f>
        <v/>
      </c>
      <c r="D55" s="81" t="str">
        <f t="shared" ca="1" si="5"/>
        <v/>
      </c>
      <c r="E55" s="104"/>
      <c r="F55" s="21"/>
      <c r="G55" s="110"/>
      <c r="H55" s="111"/>
      <c r="I55" s="107" t="str">
        <f t="shared" si="6"/>
        <v/>
      </c>
      <c r="J55" s="112" t="str">
        <f t="shared" si="7"/>
        <v/>
      </c>
      <c r="K55" s="113" t="str">
        <f>IF(B55="","Pending",IF(M55="","⚠️ Enter Code",IF(IFERROR(VLOOKUP(L55,DB_Agents!$B:$I,8,0),"")=M55,"Pending","🔒 BLOCKED — Wrong Code")))</f>
        <v>Pending</v>
      </c>
      <c r="L55" s="23"/>
      <c r="M55" s="84"/>
      <c r="N55" s="87"/>
    </row>
    <row r="56" spans="1:14" x14ac:dyDescent="0.25">
      <c r="A56" s="92" t="str">
        <f t="shared" si="4"/>
        <v/>
      </c>
      <c r="B56" s="88"/>
      <c r="C56" s="25" t="str">
        <f>IF(B56="","",IFERROR(VLOOKUP(B56,DB_Customers!$A:$D,4,0),"❌ Account Not Found"))</f>
        <v/>
      </c>
      <c r="D56" s="90" t="str">
        <f t="shared" ca="1" si="5"/>
        <v/>
      </c>
      <c r="E56" s="104"/>
      <c r="F56" s="25"/>
      <c r="G56" s="105"/>
      <c r="H56" s="106"/>
      <c r="I56" s="107" t="str">
        <f t="shared" si="6"/>
        <v/>
      </c>
      <c r="J56" s="108" t="str">
        <f t="shared" si="7"/>
        <v/>
      </c>
      <c r="K56" s="109" t="str">
        <f>IF(B56="","Pending",IF(M56="","⚠️ Enter Code",IF(IFERROR(VLOOKUP(L56,DB_Agents!$B:$I,8,0),"")=M56,"Pending","🔒 BLOCKED — Wrong Code")))</f>
        <v>Pending</v>
      </c>
      <c r="L56" s="27"/>
      <c r="M56" s="84"/>
      <c r="N56" s="94"/>
    </row>
    <row r="57" spans="1:14" x14ac:dyDescent="0.25">
      <c r="A57" s="85" t="str">
        <f t="shared" si="4"/>
        <v/>
      </c>
      <c r="B57" s="79"/>
      <c r="C57" s="21" t="str">
        <f>IF(B57="","",IFERROR(VLOOKUP(B57,DB_Customers!$A:$D,4,0),"❌ Account Not Found"))</f>
        <v/>
      </c>
      <c r="D57" s="81" t="str">
        <f t="shared" ca="1" si="5"/>
        <v/>
      </c>
      <c r="E57" s="104"/>
      <c r="F57" s="21"/>
      <c r="G57" s="110"/>
      <c r="H57" s="111"/>
      <c r="I57" s="107" t="str">
        <f t="shared" si="6"/>
        <v/>
      </c>
      <c r="J57" s="112" t="str">
        <f t="shared" si="7"/>
        <v/>
      </c>
      <c r="K57" s="113" t="str">
        <f>IF(B57="","Pending",IF(M57="","⚠️ Enter Code",IF(IFERROR(VLOOKUP(L57,DB_Agents!$B:$I,8,0),"")=M57,"Pending","🔒 BLOCKED — Wrong Code")))</f>
        <v>Pending</v>
      </c>
      <c r="L57" s="23"/>
      <c r="M57" s="84"/>
      <c r="N57" s="87"/>
    </row>
    <row r="58" spans="1:14" x14ac:dyDescent="0.25">
      <c r="A58" s="92" t="str">
        <f t="shared" si="4"/>
        <v/>
      </c>
      <c r="B58" s="88"/>
      <c r="C58" s="25" t="str">
        <f>IF(B58="","",IFERROR(VLOOKUP(B58,DB_Customers!$A:$D,4,0),"❌ Account Not Found"))</f>
        <v/>
      </c>
      <c r="D58" s="90" t="str">
        <f t="shared" ca="1" si="5"/>
        <v/>
      </c>
      <c r="E58" s="104"/>
      <c r="F58" s="25"/>
      <c r="G58" s="105"/>
      <c r="H58" s="106"/>
      <c r="I58" s="107" t="str">
        <f t="shared" si="6"/>
        <v/>
      </c>
      <c r="J58" s="108" t="str">
        <f t="shared" si="7"/>
        <v/>
      </c>
      <c r="K58" s="109" t="str">
        <f>IF(B58="","Pending",IF(M58="","⚠️ Enter Code",IF(IFERROR(VLOOKUP(L58,DB_Agents!$B:$I,8,0),"")=M58,"Pending","🔒 BLOCKED — Wrong Code")))</f>
        <v>Pending</v>
      </c>
      <c r="L58" s="27"/>
      <c r="M58" s="84"/>
      <c r="N58" s="94"/>
    </row>
    <row r="59" spans="1:14" x14ac:dyDescent="0.25">
      <c r="A59" s="85" t="str">
        <f t="shared" si="4"/>
        <v/>
      </c>
      <c r="B59" s="79"/>
      <c r="C59" s="21" t="str">
        <f>IF(B59="","",IFERROR(VLOOKUP(B59,DB_Customers!$A:$D,4,0),"❌ Account Not Found"))</f>
        <v/>
      </c>
      <c r="D59" s="81" t="str">
        <f t="shared" ca="1" si="5"/>
        <v/>
      </c>
      <c r="E59" s="104"/>
      <c r="F59" s="21"/>
      <c r="G59" s="110"/>
      <c r="H59" s="111"/>
      <c r="I59" s="107" t="str">
        <f t="shared" si="6"/>
        <v/>
      </c>
      <c r="J59" s="112" t="str">
        <f t="shared" si="7"/>
        <v/>
      </c>
      <c r="K59" s="113" t="str">
        <f>IF(B59="","Pending",IF(M59="","⚠️ Enter Code",IF(IFERROR(VLOOKUP(L59,DB_Agents!$B:$I,8,0),"")=M59,"Pending","🔒 BLOCKED — Wrong Code")))</f>
        <v>Pending</v>
      </c>
      <c r="L59" s="23"/>
      <c r="M59" s="84"/>
      <c r="N59" s="87"/>
    </row>
    <row r="60" spans="1:14" x14ac:dyDescent="0.25">
      <c r="A60" s="92" t="str">
        <f t="shared" si="4"/>
        <v/>
      </c>
      <c r="B60" s="88"/>
      <c r="C60" s="25" t="str">
        <f>IF(B60="","",IFERROR(VLOOKUP(B60,DB_Customers!$A:$D,4,0),"❌ Account Not Found"))</f>
        <v/>
      </c>
      <c r="D60" s="90" t="str">
        <f t="shared" ca="1" si="5"/>
        <v/>
      </c>
      <c r="E60" s="104"/>
      <c r="F60" s="25"/>
      <c r="G60" s="105"/>
      <c r="H60" s="106"/>
      <c r="I60" s="107" t="str">
        <f t="shared" si="6"/>
        <v/>
      </c>
      <c r="J60" s="108" t="str">
        <f t="shared" si="7"/>
        <v/>
      </c>
      <c r="K60" s="109" t="str">
        <f>IF(B60="","Pending",IF(M60="","⚠️ Enter Code",IF(IFERROR(VLOOKUP(L60,DB_Agents!$B:$I,8,0),"")=M60,"Pending","🔒 BLOCKED — Wrong Code")))</f>
        <v>Pending</v>
      </c>
      <c r="L60" s="27"/>
      <c r="M60" s="84"/>
      <c r="N60" s="94"/>
    </row>
    <row r="61" spans="1:14" x14ac:dyDescent="0.25">
      <c r="A61" s="85" t="str">
        <f t="shared" si="4"/>
        <v/>
      </c>
      <c r="B61" s="79"/>
      <c r="C61" s="21" t="str">
        <f>IF(B61="","",IFERROR(VLOOKUP(B61,DB_Customers!$A:$D,4,0),"❌ Account Not Found"))</f>
        <v/>
      </c>
      <c r="D61" s="81" t="str">
        <f t="shared" ca="1" si="5"/>
        <v/>
      </c>
      <c r="E61" s="104"/>
      <c r="F61" s="21"/>
      <c r="G61" s="110"/>
      <c r="H61" s="111"/>
      <c r="I61" s="107" t="str">
        <f t="shared" si="6"/>
        <v/>
      </c>
      <c r="J61" s="112" t="str">
        <f t="shared" si="7"/>
        <v/>
      </c>
      <c r="K61" s="113" t="str">
        <f>IF(B61="","Pending",IF(M61="","⚠️ Enter Code",IF(IFERROR(VLOOKUP(L61,DB_Agents!$B:$I,8,0),"")=M61,"Pending","🔒 BLOCKED — Wrong Code")))</f>
        <v>Pending</v>
      </c>
      <c r="L61" s="23"/>
      <c r="M61" s="84"/>
      <c r="N61" s="87"/>
    </row>
    <row r="62" spans="1:14" x14ac:dyDescent="0.25">
      <c r="A62" s="92" t="str">
        <f t="shared" si="4"/>
        <v/>
      </c>
      <c r="B62" s="88"/>
      <c r="C62" s="25" t="str">
        <f>IF(B62="","",IFERROR(VLOOKUP(B62,DB_Customers!$A:$D,4,0),"❌ Account Not Found"))</f>
        <v/>
      </c>
      <c r="D62" s="90" t="str">
        <f t="shared" ca="1" si="5"/>
        <v/>
      </c>
      <c r="E62" s="104"/>
      <c r="F62" s="25"/>
      <c r="G62" s="105"/>
      <c r="H62" s="106"/>
      <c r="I62" s="107" t="str">
        <f t="shared" si="6"/>
        <v/>
      </c>
      <c r="J62" s="108" t="str">
        <f t="shared" si="7"/>
        <v/>
      </c>
      <c r="K62" s="109" t="str">
        <f>IF(B62="","Pending",IF(M62="","⚠️ Enter Code",IF(IFERROR(VLOOKUP(L62,DB_Agents!$B:$I,8,0),"")=M62,"Pending","🔒 BLOCKED — Wrong Code")))</f>
        <v>Pending</v>
      </c>
      <c r="L62" s="27"/>
      <c r="M62" s="84"/>
      <c r="N62" s="94"/>
    </row>
    <row r="63" spans="1:14" x14ac:dyDescent="0.25">
      <c r="A63" s="85" t="str">
        <f t="shared" si="4"/>
        <v/>
      </c>
      <c r="B63" s="79"/>
      <c r="C63" s="21" t="str">
        <f>IF(B63="","",IFERROR(VLOOKUP(B63,DB_Customers!$A:$D,4,0),"❌ Account Not Found"))</f>
        <v/>
      </c>
      <c r="D63" s="81" t="str">
        <f t="shared" ca="1" si="5"/>
        <v/>
      </c>
      <c r="E63" s="104"/>
      <c r="F63" s="21"/>
      <c r="G63" s="110"/>
      <c r="H63" s="111"/>
      <c r="I63" s="107" t="str">
        <f t="shared" si="6"/>
        <v/>
      </c>
      <c r="J63" s="112" t="str">
        <f t="shared" si="7"/>
        <v/>
      </c>
      <c r="K63" s="113" t="str">
        <f>IF(B63="","Pending",IF(M63="","⚠️ Enter Code",IF(IFERROR(VLOOKUP(L63,DB_Agents!$B:$I,8,0),"")=M63,"Pending","🔒 BLOCKED — Wrong Code")))</f>
        <v>Pending</v>
      </c>
      <c r="L63" s="23"/>
      <c r="M63" s="84"/>
      <c r="N63" s="87"/>
    </row>
    <row r="64" spans="1:14" x14ac:dyDescent="0.25">
      <c r="A64" s="92" t="str">
        <f t="shared" si="4"/>
        <v/>
      </c>
      <c r="B64" s="88"/>
      <c r="C64" s="25" t="str">
        <f>IF(B64="","",IFERROR(VLOOKUP(B64,DB_Customers!$A:$D,4,0),"❌ Account Not Found"))</f>
        <v/>
      </c>
      <c r="D64" s="90" t="str">
        <f t="shared" ca="1" si="5"/>
        <v/>
      </c>
      <c r="E64" s="104"/>
      <c r="F64" s="25"/>
      <c r="G64" s="105"/>
      <c r="H64" s="106"/>
      <c r="I64" s="107" t="str">
        <f t="shared" si="6"/>
        <v/>
      </c>
      <c r="J64" s="108" t="str">
        <f t="shared" si="7"/>
        <v/>
      </c>
      <c r="K64" s="109" t="str">
        <f>IF(B64="","Pending",IF(M64="","⚠️ Enter Code",IF(IFERROR(VLOOKUP(L64,DB_Agents!$B:$I,8,0),"")=M64,"Pending","🔒 BLOCKED — Wrong Code")))</f>
        <v>Pending</v>
      </c>
      <c r="L64" s="27"/>
      <c r="M64" s="84"/>
      <c r="N64" s="94"/>
    </row>
    <row r="65" spans="1:14" x14ac:dyDescent="0.25">
      <c r="A65" s="85" t="str">
        <f t="shared" si="4"/>
        <v/>
      </c>
      <c r="B65" s="79"/>
      <c r="C65" s="21" t="str">
        <f>IF(B65="","",IFERROR(VLOOKUP(B65,DB_Customers!$A:$D,4,0),"❌ Account Not Found"))</f>
        <v/>
      </c>
      <c r="D65" s="81" t="str">
        <f t="shared" ca="1" si="5"/>
        <v/>
      </c>
      <c r="E65" s="104"/>
      <c r="F65" s="21"/>
      <c r="G65" s="110"/>
      <c r="H65" s="111"/>
      <c r="I65" s="107" t="str">
        <f t="shared" si="6"/>
        <v/>
      </c>
      <c r="J65" s="112" t="str">
        <f t="shared" si="7"/>
        <v/>
      </c>
      <c r="K65" s="113" t="str">
        <f>IF(B65="","Pending",IF(M65="","⚠️ Enter Code",IF(IFERROR(VLOOKUP(L65,DB_Agents!$B:$I,8,0),"")=M65,"Pending","🔒 BLOCKED — Wrong Code")))</f>
        <v>Pending</v>
      </c>
      <c r="L65" s="23"/>
      <c r="M65" s="84"/>
      <c r="N65" s="87"/>
    </row>
    <row r="66" spans="1:14" x14ac:dyDescent="0.25">
      <c r="A66" s="92" t="str">
        <f t="shared" si="4"/>
        <v/>
      </c>
      <c r="B66" s="88"/>
      <c r="C66" s="25" t="str">
        <f>IF(B66="","",IFERROR(VLOOKUP(B66,DB_Customers!$A:$D,4,0),"❌ Account Not Found"))</f>
        <v/>
      </c>
      <c r="D66" s="90" t="str">
        <f t="shared" ca="1" si="5"/>
        <v/>
      </c>
      <c r="E66" s="104"/>
      <c r="F66" s="25"/>
      <c r="G66" s="105"/>
      <c r="H66" s="106"/>
      <c r="I66" s="107" t="str">
        <f t="shared" si="6"/>
        <v/>
      </c>
      <c r="J66" s="108" t="str">
        <f t="shared" si="7"/>
        <v/>
      </c>
      <c r="K66" s="109" t="str">
        <f>IF(B66="","Pending",IF(M66="","⚠️ Enter Code",IF(IFERROR(VLOOKUP(L66,DB_Agents!$B:$I,8,0),"")=M66,"Pending","🔒 BLOCKED — Wrong Code")))</f>
        <v>Pending</v>
      </c>
      <c r="L66" s="27"/>
      <c r="M66" s="84"/>
      <c r="N66" s="94"/>
    </row>
    <row r="67" spans="1:14" x14ac:dyDescent="0.25">
      <c r="A67" s="85" t="str">
        <f t="shared" si="4"/>
        <v/>
      </c>
      <c r="B67" s="79"/>
      <c r="C67" s="21" t="str">
        <f>IF(B67="","",IFERROR(VLOOKUP(B67,DB_Customers!$A:$D,4,0),"❌ Account Not Found"))</f>
        <v/>
      </c>
      <c r="D67" s="81" t="str">
        <f t="shared" ca="1" si="5"/>
        <v/>
      </c>
      <c r="E67" s="104"/>
      <c r="F67" s="21"/>
      <c r="G67" s="110"/>
      <c r="H67" s="111"/>
      <c r="I67" s="107" t="str">
        <f t="shared" si="6"/>
        <v/>
      </c>
      <c r="J67" s="112" t="str">
        <f t="shared" si="7"/>
        <v/>
      </c>
      <c r="K67" s="113" t="str">
        <f>IF(B67="","Pending",IF(M67="","⚠️ Enter Code",IF(IFERROR(VLOOKUP(L67,DB_Agents!$B:$I,8,0),"")=M67,"Pending","🔒 BLOCKED — Wrong Code")))</f>
        <v>Pending</v>
      </c>
      <c r="L67" s="23"/>
      <c r="M67" s="84"/>
      <c r="N67" s="87"/>
    </row>
    <row r="68" spans="1:14" x14ac:dyDescent="0.25">
      <c r="A68" s="92" t="str">
        <f t="shared" si="4"/>
        <v/>
      </c>
      <c r="B68" s="88"/>
      <c r="C68" s="25" t="str">
        <f>IF(B68="","",IFERROR(VLOOKUP(B68,DB_Customers!$A:$D,4,0),"❌ Account Not Found"))</f>
        <v/>
      </c>
      <c r="D68" s="90" t="str">
        <f t="shared" ca="1" si="5"/>
        <v/>
      </c>
      <c r="E68" s="104"/>
      <c r="F68" s="25"/>
      <c r="G68" s="105"/>
      <c r="H68" s="106"/>
      <c r="I68" s="107" t="str">
        <f t="shared" si="6"/>
        <v/>
      </c>
      <c r="J68" s="108" t="str">
        <f t="shared" si="7"/>
        <v/>
      </c>
      <c r="K68" s="109" t="str">
        <f>IF(B68="","Pending",IF(M68="","⚠️ Enter Code",IF(IFERROR(VLOOKUP(L68,DB_Agents!$B:$I,8,0),"")=M68,"Pending","🔒 BLOCKED — Wrong Code")))</f>
        <v>Pending</v>
      </c>
      <c r="L68" s="27"/>
      <c r="M68" s="84"/>
      <c r="N68" s="94"/>
    </row>
    <row r="69" spans="1:14" x14ac:dyDescent="0.25">
      <c r="A69" s="85" t="str">
        <f t="shared" si="4"/>
        <v/>
      </c>
      <c r="B69" s="79"/>
      <c r="C69" s="21" t="str">
        <f>IF(B69="","",IFERROR(VLOOKUP(B69,DB_Customers!$A:$D,4,0),"❌ Account Not Found"))</f>
        <v/>
      </c>
      <c r="D69" s="81" t="str">
        <f t="shared" ca="1" si="5"/>
        <v/>
      </c>
      <c r="E69" s="104"/>
      <c r="F69" s="21"/>
      <c r="G69" s="110"/>
      <c r="H69" s="111"/>
      <c r="I69" s="107" t="str">
        <f t="shared" si="6"/>
        <v/>
      </c>
      <c r="J69" s="112" t="str">
        <f t="shared" si="7"/>
        <v/>
      </c>
      <c r="K69" s="113" t="str">
        <f>IF(B69="","Pending",IF(M69="","⚠️ Enter Code",IF(IFERROR(VLOOKUP(L69,DB_Agents!$B:$I,8,0),"")=M69,"Pending","🔒 BLOCKED — Wrong Code")))</f>
        <v>Pending</v>
      </c>
      <c r="L69" s="23"/>
      <c r="M69" s="84"/>
      <c r="N69" s="87"/>
    </row>
    <row r="70" spans="1:14" x14ac:dyDescent="0.25">
      <c r="A70" s="92" t="str">
        <f t="shared" si="4"/>
        <v/>
      </c>
      <c r="B70" s="88"/>
      <c r="C70" s="25" t="str">
        <f>IF(B70="","",IFERROR(VLOOKUP(B70,DB_Customers!$A:$D,4,0),"❌ Account Not Found"))</f>
        <v/>
      </c>
      <c r="D70" s="90" t="str">
        <f t="shared" ca="1" si="5"/>
        <v/>
      </c>
      <c r="E70" s="104"/>
      <c r="F70" s="25"/>
      <c r="G70" s="105"/>
      <c r="H70" s="106"/>
      <c r="I70" s="107" t="str">
        <f t="shared" si="6"/>
        <v/>
      </c>
      <c r="J70" s="108" t="str">
        <f t="shared" si="7"/>
        <v/>
      </c>
      <c r="K70" s="109" t="str">
        <f>IF(B70="","Pending",IF(M70="","⚠️ Enter Code",IF(IFERROR(VLOOKUP(L70,DB_Agents!$B:$I,8,0),"")=M70,"Pending","🔒 BLOCKED — Wrong Code")))</f>
        <v>Pending</v>
      </c>
      <c r="L70" s="27"/>
      <c r="M70" s="84"/>
      <c r="N70" s="94"/>
    </row>
    <row r="71" spans="1:14" x14ac:dyDescent="0.25">
      <c r="A71" s="85" t="str">
        <f t="shared" si="4"/>
        <v/>
      </c>
      <c r="B71" s="79"/>
      <c r="C71" s="21" t="str">
        <f>IF(B71="","",IFERROR(VLOOKUP(B71,DB_Customers!$A:$D,4,0),"❌ Account Not Found"))</f>
        <v/>
      </c>
      <c r="D71" s="81" t="str">
        <f t="shared" ca="1" si="5"/>
        <v/>
      </c>
      <c r="E71" s="104"/>
      <c r="F71" s="21"/>
      <c r="G71" s="110"/>
      <c r="H71" s="111"/>
      <c r="I71" s="107" t="str">
        <f t="shared" si="6"/>
        <v/>
      </c>
      <c r="J71" s="112" t="str">
        <f t="shared" si="7"/>
        <v/>
      </c>
      <c r="K71" s="113" t="str">
        <f>IF(B71="","Pending",IF(M71="","⚠️ Enter Code",IF(IFERROR(VLOOKUP(L71,DB_Agents!$B:$I,8,0),"")=M71,"Pending","🔒 BLOCKED — Wrong Code")))</f>
        <v>Pending</v>
      </c>
      <c r="L71" s="23"/>
      <c r="M71" s="84"/>
      <c r="N71" s="87"/>
    </row>
    <row r="72" spans="1:14" x14ac:dyDescent="0.25">
      <c r="A72" s="92" t="str">
        <f t="shared" si="4"/>
        <v/>
      </c>
      <c r="B72" s="88"/>
      <c r="C72" s="25" t="str">
        <f>IF(B72="","",IFERROR(VLOOKUP(B72,DB_Customers!$A:$D,4,0),"❌ Account Not Found"))</f>
        <v/>
      </c>
      <c r="D72" s="90" t="str">
        <f t="shared" ca="1" si="5"/>
        <v/>
      </c>
      <c r="E72" s="104"/>
      <c r="F72" s="25"/>
      <c r="G72" s="105"/>
      <c r="H72" s="106"/>
      <c r="I72" s="107" t="str">
        <f t="shared" si="6"/>
        <v/>
      </c>
      <c r="J72" s="108" t="str">
        <f t="shared" si="7"/>
        <v/>
      </c>
      <c r="K72" s="109" t="str">
        <f>IF(B72="","Pending",IF(M72="","⚠️ Enter Code",IF(IFERROR(VLOOKUP(L72,DB_Agents!$B:$I,8,0),"")=M72,"Pending","🔒 BLOCKED — Wrong Code")))</f>
        <v>Pending</v>
      </c>
      <c r="L72" s="27"/>
      <c r="M72" s="84"/>
      <c r="N72" s="94"/>
    </row>
    <row r="73" spans="1:14" x14ac:dyDescent="0.25">
      <c r="A73" s="85" t="str">
        <f t="shared" si="4"/>
        <v/>
      </c>
      <c r="B73" s="79"/>
      <c r="C73" s="21" t="str">
        <f>IF(B73="","",IFERROR(VLOOKUP(B73,DB_Customers!$A:$D,4,0),"❌ Account Not Found"))</f>
        <v/>
      </c>
      <c r="D73" s="81" t="str">
        <f t="shared" ca="1" si="5"/>
        <v/>
      </c>
      <c r="E73" s="104"/>
      <c r="F73" s="21"/>
      <c r="G73" s="110"/>
      <c r="H73" s="111"/>
      <c r="I73" s="107" t="str">
        <f t="shared" si="6"/>
        <v/>
      </c>
      <c r="J73" s="112" t="str">
        <f t="shared" si="7"/>
        <v/>
      </c>
      <c r="K73" s="113" t="str">
        <f>IF(B73="","Pending",IF(M73="","⚠️ Enter Code",IF(IFERROR(VLOOKUP(L73,DB_Agents!$B:$I,8,0),"")=M73,"Pending","🔒 BLOCKED — Wrong Code")))</f>
        <v>Pending</v>
      </c>
      <c r="L73" s="23"/>
      <c r="M73" s="84"/>
      <c r="N73" s="87"/>
    </row>
    <row r="74" spans="1:14" x14ac:dyDescent="0.25">
      <c r="A74" s="92" t="str">
        <f t="shared" si="4"/>
        <v/>
      </c>
      <c r="B74" s="88"/>
      <c r="C74" s="25" t="str">
        <f>IF(B74="","",IFERROR(VLOOKUP(B74,DB_Customers!$A:$D,4,0),"❌ Account Not Found"))</f>
        <v/>
      </c>
      <c r="D74" s="90" t="str">
        <f t="shared" ca="1" si="5"/>
        <v/>
      </c>
      <c r="E74" s="104"/>
      <c r="F74" s="25"/>
      <c r="G74" s="105"/>
      <c r="H74" s="106"/>
      <c r="I74" s="107" t="str">
        <f t="shared" si="6"/>
        <v/>
      </c>
      <c r="J74" s="108" t="str">
        <f t="shared" si="7"/>
        <v/>
      </c>
      <c r="K74" s="109" t="str">
        <f>IF(B74="","Pending",IF(M74="","⚠️ Enter Code",IF(IFERROR(VLOOKUP(L74,DB_Agents!$B:$I,8,0),"")=M74,"Pending","🔒 BLOCKED — Wrong Code")))</f>
        <v>Pending</v>
      </c>
      <c r="L74" s="27"/>
      <c r="M74" s="84"/>
      <c r="N74" s="94"/>
    </row>
    <row r="75" spans="1:14" x14ac:dyDescent="0.25">
      <c r="A75" s="85" t="str">
        <f t="shared" si="4"/>
        <v/>
      </c>
      <c r="B75" s="79"/>
      <c r="C75" s="21" t="str">
        <f>IF(B75="","",IFERROR(VLOOKUP(B75,DB_Customers!$A:$D,4,0),"❌ Account Not Found"))</f>
        <v/>
      </c>
      <c r="D75" s="81" t="str">
        <f t="shared" ca="1" si="5"/>
        <v/>
      </c>
      <c r="E75" s="104"/>
      <c r="F75" s="21"/>
      <c r="G75" s="110"/>
      <c r="H75" s="111"/>
      <c r="I75" s="107" t="str">
        <f t="shared" si="6"/>
        <v/>
      </c>
      <c r="J75" s="112" t="str">
        <f t="shared" si="7"/>
        <v/>
      </c>
      <c r="K75" s="113" t="str">
        <f>IF(B75="","Pending",IF(M75="","⚠️ Enter Code",IF(IFERROR(VLOOKUP(L75,DB_Agents!$B:$I,8,0),"")=M75,"Pending","🔒 BLOCKED — Wrong Code")))</f>
        <v>Pending</v>
      </c>
      <c r="L75" s="23"/>
      <c r="M75" s="84"/>
      <c r="N75" s="87"/>
    </row>
    <row r="76" spans="1:14" x14ac:dyDescent="0.25">
      <c r="A76" s="92" t="str">
        <f t="shared" si="4"/>
        <v/>
      </c>
      <c r="B76" s="88"/>
      <c r="C76" s="25" t="str">
        <f>IF(B76="","",IFERROR(VLOOKUP(B76,DB_Customers!$A:$D,4,0),"❌ Account Not Found"))</f>
        <v/>
      </c>
      <c r="D76" s="90" t="str">
        <f t="shared" ca="1" si="5"/>
        <v/>
      </c>
      <c r="E76" s="104"/>
      <c r="F76" s="25"/>
      <c r="G76" s="105"/>
      <c r="H76" s="106"/>
      <c r="I76" s="107" t="str">
        <f t="shared" si="6"/>
        <v/>
      </c>
      <c r="J76" s="108" t="str">
        <f t="shared" si="7"/>
        <v/>
      </c>
      <c r="K76" s="109" t="str">
        <f>IF(B76="","Pending",IF(M76="","⚠️ Enter Code",IF(IFERROR(VLOOKUP(L76,DB_Agents!$B:$I,8,0),"")=M76,"Pending","🔒 BLOCKED — Wrong Code")))</f>
        <v>Pending</v>
      </c>
      <c r="L76" s="27"/>
      <c r="M76" s="84"/>
      <c r="N76" s="94"/>
    </row>
    <row r="77" spans="1:14" x14ac:dyDescent="0.25">
      <c r="A77" s="85" t="str">
        <f t="shared" si="4"/>
        <v/>
      </c>
      <c r="B77" s="79"/>
      <c r="C77" s="21" t="str">
        <f>IF(B77="","",IFERROR(VLOOKUP(B77,DB_Customers!$A:$D,4,0),"❌ Account Not Found"))</f>
        <v/>
      </c>
      <c r="D77" s="81" t="str">
        <f t="shared" ca="1" si="5"/>
        <v/>
      </c>
      <c r="E77" s="104"/>
      <c r="F77" s="21"/>
      <c r="G77" s="110"/>
      <c r="H77" s="111"/>
      <c r="I77" s="107" t="str">
        <f t="shared" si="6"/>
        <v/>
      </c>
      <c r="J77" s="112" t="str">
        <f t="shared" si="7"/>
        <v/>
      </c>
      <c r="K77" s="113" t="str">
        <f>IF(B77="","Pending",IF(M77="","⚠️ Enter Code",IF(IFERROR(VLOOKUP(L77,DB_Agents!$B:$I,8,0),"")=M77,"Pending","🔒 BLOCKED — Wrong Code")))</f>
        <v>Pending</v>
      </c>
      <c r="L77" s="23"/>
      <c r="M77" s="84"/>
      <c r="N77" s="87"/>
    </row>
    <row r="78" spans="1:14" x14ac:dyDescent="0.25">
      <c r="A78" s="92" t="str">
        <f t="shared" ref="A78:A109" si="8">IF(B78="","",IF(C78="❌ Account Not Found","INVALID","LN"&amp;TEXT(D78,"YYYYMMDD")&amp;TEXT(ROW()-13,"0000")))</f>
        <v/>
      </c>
      <c r="B78" s="88"/>
      <c r="C78" s="25" t="str">
        <f>IF(B78="","",IFERROR(VLOOKUP(B78,DB_Customers!$A:$D,4,0),"❌ Account Not Found"))</f>
        <v/>
      </c>
      <c r="D78" s="90" t="str">
        <f t="shared" ref="D78:D113" ca="1" si="9">IF(B78="","",TODAY())</f>
        <v/>
      </c>
      <c r="E78" s="104"/>
      <c r="F78" s="25"/>
      <c r="G78" s="105"/>
      <c r="H78" s="106"/>
      <c r="I78" s="107" t="str">
        <f t="shared" ref="I78:I109" si="10">IF(E78="","",E78+(E78*H78/100*G78))</f>
        <v/>
      </c>
      <c r="J78" s="108" t="str">
        <f t="shared" ref="J78:J109" si="11">IFERROR(I78/G78,"")</f>
        <v/>
      </c>
      <c r="K78" s="109" t="str">
        <f>IF(B78="","Pending",IF(M78="","⚠️ Enter Code",IF(IFERROR(VLOOKUP(L78,DB_Agents!$B:$I,8,0),"")=M78,"Pending","🔒 BLOCKED — Wrong Code")))</f>
        <v>Pending</v>
      </c>
      <c r="L78" s="27"/>
      <c r="M78" s="84"/>
      <c r="N78" s="94"/>
    </row>
    <row r="79" spans="1:14" x14ac:dyDescent="0.25">
      <c r="A79" s="85" t="str">
        <f t="shared" si="8"/>
        <v/>
      </c>
      <c r="B79" s="79"/>
      <c r="C79" s="21" t="str">
        <f>IF(B79="","",IFERROR(VLOOKUP(B79,DB_Customers!$A:$D,4,0),"❌ Account Not Found"))</f>
        <v/>
      </c>
      <c r="D79" s="81" t="str">
        <f t="shared" ca="1" si="9"/>
        <v/>
      </c>
      <c r="E79" s="104"/>
      <c r="F79" s="21"/>
      <c r="G79" s="110"/>
      <c r="H79" s="111"/>
      <c r="I79" s="107" t="str">
        <f t="shared" si="10"/>
        <v/>
      </c>
      <c r="J79" s="112" t="str">
        <f t="shared" si="11"/>
        <v/>
      </c>
      <c r="K79" s="113" t="str">
        <f>IF(B79="","Pending",IF(M79="","⚠️ Enter Code",IF(IFERROR(VLOOKUP(L79,DB_Agents!$B:$I,8,0),"")=M79,"Pending","🔒 BLOCKED — Wrong Code")))</f>
        <v>Pending</v>
      </c>
      <c r="L79" s="23"/>
      <c r="M79" s="84"/>
      <c r="N79" s="87"/>
    </row>
    <row r="80" spans="1:14" x14ac:dyDescent="0.25">
      <c r="A80" s="92" t="str">
        <f t="shared" si="8"/>
        <v/>
      </c>
      <c r="B80" s="88"/>
      <c r="C80" s="25" t="str">
        <f>IF(B80="","",IFERROR(VLOOKUP(B80,DB_Customers!$A:$D,4,0),"❌ Account Not Found"))</f>
        <v/>
      </c>
      <c r="D80" s="90" t="str">
        <f t="shared" ca="1" si="9"/>
        <v/>
      </c>
      <c r="E80" s="104"/>
      <c r="F80" s="25"/>
      <c r="G80" s="105"/>
      <c r="H80" s="106"/>
      <c r="I80" s="107" t="str">
        <f t="shared" si="10"/>
        <v/>
      </c>
      <c r="J80" s="108" t="str">
        <f t="shared" si="11"/>
        <v/>
      </c>
      <c r="K80" s="109" t="str">
        <f>IF(B80="","Pending",IF(M80="","⚠️ Enter Code",IF(IFERROR(VLOOKUP(L80,DB_Agents!$B:$I,8,0),"")=M80,"Pending","🔒 BLOCKED — Wrong Code")))</f>
        <v>Pending</v>
      </c>
      <c r="L80" s="27"/>
      <c r="M80" s="84"/>
      <c r="N80" s="94"/>
    </row>
    <row r="81" spans="1:14" x14ac:dyDescent="0.25">
      <c r="A81" s="85" t="str">
        <f t="shared" si="8"/>
        <v/>
      </c>
      <c r="B81" s="79"/>
      <c r="C81" s="21" t="str">
        <f>IF(B81="","",IFERROR(VLOOKUP(B81,DB_Customers!$A:$D,4,0),"❌ Account Not Found"))</f>
        <v/>
      </c>
      <c r="D81" s="81" t="str">
        <f t="shared" ca="1" si="9"/>
        <v/>
      </c>
      <c r="E81" s="104"/>
      <c r="F81" s="21"/>
      <c r="G81" s="110"/>
      <c r="H81" s="111"/>
      <c r="I81" s="107" t="str">
        <f t="shared" si="10"/>
        <v/>
      </c>
      <c r="J81" s="112" t="str">
        <f t="shared" si="11"/>
        <v/>
      </c>
      <c r="K81" s="113" t="str">
        <f>IF(B81="","Pending",IF(M81="","⚠️ Enter Code",IF(IFERROR(VLOOKUP(L81,DB_Agents!$B:$I,8,0),"")=M81,"Pending","🔒 BLOCKED — Wrong Code")))</f>
        <v>Pending</v>
      </c>
      <c r="L81" s="23"/>
      <c r="M81" s="84"/>
      <c r="N81" s="87"/>
    </row>
    <row r="82" spans="1:14" x14ac:dyDescent="0.25">
      <c r="A82" s="92" t="str">
        <f t="shared" si="8"/>
        <v/>
      </c>
      <c r="B82" s="88"/>
      <c r="C82" s="25" t="str">
        <f>IF(B82="","",IFERROR(VLOOKUP(B82,DB_Customers!$A:$D,4,0),"❌ Account Not Found"))</f>
        <v/>
      </c>
      <c r="D82" s="90" t="str">
        <f t="shared" ca="1" si="9"/>
        <v/>
      </c>
      <c r="E82" s="104"/>
      <c r="F82" s="25"/>
      <c r="G82" s="105"/>
      <c r="H82" s="106"/>
      <c r="I82" s="107" t="str">
        <f t="shared" si="10"/>
        <v/>
      </c>
      <c r="J82" s="108" t="str">
        <f t="shared" si="11"/>
        <v/>
      </c>
      <c r="K82" s="109" t="str">
        <f>IF(B82="","Pending",IF(M82="","⚠️ Enter Code",IF(IFERROR(VLOOKUP(L82,DB_Agents!$B:$I,8,0),"")=M82,"Pending","🔒 BLOCKED — Wrong Code")))</f>
        <v>Pending</v>
      </c>
      <c r="L82" s="27"/>
      <c r="M82" s="84"/>
      <c r="N82" s="94"/>
    </row>
    <row r="83" spans="1:14" x14ac:dyDescent="0.25">
      <c r="A83" s="85" t="str">
        <f t="shared" si="8"/>
        <v/>
      </c>
      <c r="B83" s="79"/>
      <c r="C83" s="21" t="str">
        <f>IF(B83="","",IFERROR(VLOOKUP(B83,DB_Customers!$A:$D,4,0),"❌ Account Not Found"))</f>
        <v/>
      </c>
      <c r="D83" s="81" t="str">
        <f t="shared" ca="1" si="9"/>
        <v/>
      </c>
      <c r="E83" s="104"/>
      <c r="F83" s="21"/>
      <c r="G83" s="110"/>
      <c r="H83" s="111"/>
      <c r="I83" s="107" t="str">
        <f t="shared" si="10"/>
        <v/>
      </c>
      <c r="J83" s="112" t="str">
        <f t="shared" si="11"/>
        <v/>
      </c>
      <c r="K83" s="113" t="str">
        <f>IF(B83="","Pending",IF(M83="","⚠️ Enter Code",IF(IFERROR(VLOOKUP(L83,DB_Agents!$B:$I,8,0),"")=M83,"Pending","🔒 BLOCKED — Wrong Code")))</f>
        <v>Pending</v>
      </c>
      <c r="L83" s="23"/>
      <c r="M83" s="84"/>
      <c r="N83" s="87"/>
    </row>
    <row r="84" spans="1:14" x14ac:dyDescent="0.25">
      <c r="A84" s="92" t="str">
        <f t="shared" si="8"/>
        <v/>
      </c>
      <c r="B84" s="88"/>
      <c r="C84" s="25" t="str">
        <f>IF(B84="","",IFERROR(VLOOKUP(B84,DB_Customers!$A:$D,4,0),"❌ Account Not Found"))</f>
        <v/>
      </c>
      <c r="D84" s="90" t="str">
        <f t="shared" ca="1" si="9"/>
        <v/>
      </c>
      <c r="E84" s="104"/>
      <c r="F84" s="25"/>
      <c r="G84" s="105"/>
      <c r="H84" s="106"/>
      <c r="I84" s="107" t="str">
        <f t="shared" si="10"/>
        <v/>
      </c>
      <c r="J84" s="108" t="str">
        <f t="shared" si="11"/>
        <v/>
      </c>
      <c r="K84" s="109" t="str">
        <f>IF(B84="","Pending",IF(M84="","⚠️ Enter Code",IF(IFERROR(VLOOKUP(L84,DB_Agents!$B:$I,8,0),"")=M84,"Pending","🔒 BLOCKED — Wrong Code")))</f>
        <v>Pending</v>
      </c>
      <c r="L84" s="27"/>
      <c r="M84" s="84"/>
      <c r="N84" s="94"/>
    </row>
    <row r="85" spans="1:14" x14ac:dyDescent="0.25">
      <c r="A85" s="85" t="str">
        <f t="shared" si="8"/>
        <v/>
      </c>
      <c r="B85" s="79"/>
      <c r="C85" s="21" t="str">
        <f>IF(B85="","",IFERROR(VLOOKUP(B85,DB_Customers!$A:$D,4,0),"❌ Account Not Found"))</f>
        <v/>
      </c>
      <c r="D85" s="81" t="str">
        <f t="shared" ca="1" si="9"/>
        <v/>
      </c>
      <c r="E85" s="104"/>
      <c r="F85" s="21"/>
      <c r="G85" s="110"/>
      <c r="H85" s="111"/>
      <c r="I85" s="107" t="str">
        <f t="shared" si="10"/>
        <v/>
      </c>
      <c r="J85" s="112" t="str">
        <f t="shared" si="11"/>
        <v/>
      </c>
      <c r="K85" s="113" t="str">
        <f>IF(B85="","Pending",IF(M85="","⚠️ Enter Code",IF(IFERROR(VLOOKUP(L85,DB_Agents!$B:$I,8,0),"")=M85,"Pending","🔒 BLOCKED — Wrong Code")))</f>
        <v>Pending</v>
      </c>
      <c r="L85" s="23"/>
      <c r="M85" s="84"/>
      <c r="N85" s="87"/>
    </row>
    <row r="86" spans="1:14" x14ac:dyDescent="0.25">
      <c r="A86" s="92" t="str">
        <f t="shared" si="8"/>
        <v/>
      </c>
      <c r="B86" s="88"/>
      <c r="C86" s="25" t="str">
        <f>IF(B86="","",IFERROR(VLOOKUP(B86,DB_Customers!$A:$D,4,0),"❌ Account Not Found"))</f>
        <v/>
      </c>
      <c r="D86" s="90" t="str">
        <f t="shared" ca="1" si="9"/>
        <v/>
      </c>
      <c r="E86" s="104"/>
      <c r="F86" s="25"/>
      <c r="G86" s="105"/>
      <c r="H86" s="106"/>
      <c r="I86" s="107" t="str">
        <f t="shared" si="10"/>
        <v/>
      </c>
      <c r="J86" s="108" t="str">
        <f t="shared" si="11"/>
        <v/>
      </c>
      <c r="K86" s="109" t="str">
        <f>IF(B86="","Pending",IF(M86="","⚠️ Enter Code",IF(IFERROR(VLOOKUP(L86,DB_Agents!$B:$I,8,0),"")=M86,"Pending","🔒 BLOCKED — Wrong Code")))</f>
        <v>Pending</v>
      </c>
      <c r="L86" s="27"/>
      <c r="M86" s="84"/>
      <c r="N86" s="94"/>
    </row>
    <row r="87" spans="1:14" x14ac:dyDescent="0.25">
      <c r="A87" s="85" t="str">
        <f t="shared" si="8"/>
        <v/>
      </c>
      <c r="B87" s="79"/>
      <c r="C87" s="21" t="str">
        <f>IF(B87="","",IFERROR(VLOOKUP(B87,DB_Customers!$A:$D,4,0),"❌ Account Not Found"))</f>
        <v/>
      </c>
      <c r="D87" s="81" t="str">
        <f t="shared" ca="1" si="9"/>
        <v/>
      </c>
      <c r="E87" s="104"/>
      <c r="F87" s="21"/>
      <c r="G87" s="110"/>
      <c r="H87" s="111"/>
      <c r="I87" s="107" t="str">
        <f t="shared" si="10"/>
        <v/>
      </c>
      <c r="J87" s="112" t="str">
        <f t="shared" si="11"/>
        <v/>
      </c>
      <c r="K87" s="113" t="str">
        <f>IF(B87="","Pending",IF(M87="","⚠️ Enter Code",IF(IFERROR(VLOOKUP(L87,DB_Agents!$B:$I,8,0),"")=M87,"Pending","🔒 BLOCKED — Wrong Code")))</f>
        <v>Pending</v>
      </c>
      <c r="L87" s="23"/>
      <c r="M87" s="84"/>
      <c r="N87" s="87"/>
    </row>
    <row r="88" spans="1:14" x14ac:dyDescent="0.25">
      <c r="A88" s="92" t="str">
        <f t="shared" si="8"/>
        <v/>
      </c>
      <c r="B88" s="88"/>
      <c r="C88" s="25" t="str">
        <f>IF(B88="","",IFERROR(VLOOKUP(B88,DB_Customers!$A:$D,4,0),"❌ Account Not Found"))</f>
        <v/>
      </c>
      <c r="D88" s="90" t="str">
        <f t="shared" ca="1" si="9"/>
        <v/>
      </c>
      <c r="E88" s="104"/>
      <c r="F88" s="25"/>
      <c r="G88" s="105"/>
      <c r="H88" s="106"/>
      <c r="I88" s="107" t="str">
        <f t="shared" si="10"/>
        <v/>
      </c>
      <c r="J88" s="108" t="str">
        <f t="shared" si="11"/>
        <v/>
      </c>
      <c r="K88" s="109" t="str">
        <f>IF(B88="","Pending",IF(M88="","⚠️ Enter Code",IF(IFERROR(VLOOKUP(L88,DB_Agents!$B:$I,8,0),"")=M88,"Pending","🔒 BLOCKED — Wrong Code")))</f>
        <v>Pending</v>
      </c>
      <c r="L88" s="27"/>
      <c r="M88" s="84"/>
      <c r="N88" s="94"/>
    </row>
    <row r="89" spans="1:14" x14ac:dyDescent="0.25">
      <c r="A89" s="85" t="str">
        <f t="shared" si="8"/>
        <v/>
      </c>
      <c r="B89" s="79"/>
      <c r="C89" s="21" t="str">
        <f>IF(B89="","",IFERROR(VLOOKUP(B89,DB_Customers!$A:$D,4,0),"❌ Account Not Found"))</f>
        <v/>
      </c>
      <c r="D89" s="81" t="str">
        <f t="shared" ca="1" si="9"/>
        <v/>
      </c>
      <c r="E89" s="104"/>
      <c r="F89" s="21"/>
      <c r="G89" s="110"/>
      <c r="H89" s="111"/>
      <c r="I89" s="107" t="str">
        <f t="shared" si="10"/>
        <v/>
      </c>
      <c r="J89" s="112" t="str">
        <f t="shared" si="11"/>
        <v/>
      </c>
      <c r="K89" s="113" t="str">
        <f>IF(B89="","Pending",IF(M89="","⚠️ Enter Code",IF(IFERROR(VLOOKUP(L89,DB_Agents!$B:$I,8,0),"")=M89,"Pending","🔒 BLOCKED — Wrong Code")))</f>
        <v>Pending</v>
      </c>
      <c r="L89" s="23"/>
      <c r="M89" s="84"/>
      <c r="N89" s="87"/>
    </row>
    <row r="90" spans="1:14" x14ac:dyDescent="0.25">
      <c r="A90" s="92" t="str">
        <f t="shared" si="8"/>
        <v/>
      </c>
      <c r="B90" s="88"/>
      <c r="C90" s="25" t="str">
        <f>IF(B90="","",IFERROR(VLOOKUP(B90,DB_Customers!$A:$D,4,0),"❌ Account Not Found"))</f>
        <v/>
      </c>
      <c r="D90" s="90" t="str">
        <f t="shared" ca="1" si="9"/>
        <v/>
      </c>
      <c r="E90" s="104"/>
      <c r="F90" s="25"/>
      <c r="G90" s="105"/>
      <c r="H90" s="106"/>
      <c r="I90" s="107" t="str">
        <f t="shared" si="10"/>
        <v/>
      </c>
      <c r="J90" s="108" t="str">
        <f t="shared" si="11"/>
        <v/>
      </c>
      <c r="K90" s="109" t="str">
        <f>IF(B90="","Pending",IF(M90="","⚠️ Enter Code",IF(IFERROR(VLOOKUP(L90,DB_Agents!$B:$I,8,0),"")=M90,"Pending","🔒 BLOCKED — Wrong Code")))</f>
        <v>Pending</v>
      </c>
      <c r="L90" s="27"/>
      <c r="M90" s="84"/>
      <c r="N90" s="94"/>
    </row>
    <row r="91" spans="1:14" x14ac:dyDescent="0.25">
      <c r="A91" s="85" t="str">
        <f t="shared" si="8"/>
        <v/>
      </c>
      <c r="B91" s="79"/>
      <c r="C91" s="21" t="str">
        <f>IF(B91="","",IFERROR(VLOOKUP(B91,DB_Customers!$A:$D,4,0),"❌ Account Not Found"))</f>
        <v/>
      </c>
      <c r="D91" s="81" t="str">
        <f t="shared" ca="1" si="9"/>
        <v/>
      </c>
      <c r="E91" s="104"/>
      <c r="F91" s="21"/>
      <c r="G91" s="110"/>
      <c r="H91" s="111"/>
      <c r="I91" s="107" t="str">
        <f t="shared" si="10"/>
        <v/>
      </c>
      <c r="J91" s="112" t="str">
        <f t="shared" si="11"/>
        <v/>
      </c>
      <c r="K91" s="113" t="str">
        <f>IF(B91="","Pending",IF(M91="","⚠️ Enter Code",IF(IFERROR(VLOOKUP(L91,DB_Agents!$B:$I,8,0),"")=M91,"Pending","🔒 BLOCKED — Wrong Code")))</f>
        <v>Pending</v>
      </c>
      <c r="L91" s="23"/>
      <c r="M91" s="84"/>
      <c r="N91" s="87"/>
    </row>
    <row r="92" spans="1:14" x14ac:dyDescent="0.25">
      <c r="A92" s="92" t="str">
        <f t="shared" si="8"/>
        <v/>
      </c>
      <c r="B92" s="88"/>
      <c r="C92" s="25" t="str">
        <f>IF(B92="","",IFERROR(VLOOKUP(B92,DB_Customers!$A:$D,4,0),"❌ Account Not Found"))</f>
        <v/>
      </c>
      <c r="D92" s="90" t="str">
        <f t="shared" ca="1" si="9"/>
        <v/>
      </c>
      <c r="E92" s="104"/>
      <c r="F92" s="25"/>
      <c r="G92" s="105"/>
      <c r="H92" s="106"/>
      <c r="I92" s="107" t="str">
        <f t="shared" si="10"/>
        <v/>
      </c>
      <c r="J92" s="108" t="str">
        <f t="shared" si="11"/>
        <v/>
      </c>
      <c r="K92" s="109" t="str">
        <f>IF(B92="","Pending",IF(M92="","⚠️ Enter Code",IF(IFERROR(VLOOKUP(L92,DB_Agents!$B:$I,8,0),"")=M92,"Pending","🔒 BLOCKED — Wrong Code")))</f>
        <v>Pending</v>
      </c>
      <c r="L92" s="27"/>
      <c r="M92" s="84"/>
      <c r="N92" s="94"/>
    </row>
    <row r="93" spans="1:14" x14ac:dyDescent="0.25">
      <c r="A93" s="85" t="str">
        <f t="shared" si="8"/>
        <v/>
      </c>
      <c r="B93" s="79"/>
      <c r="C93" s="21" t="str">
        <f>IF(B93="","",IFERROR(VLOOKUP(B93,DB_Customers!$A:$D,4,0),"❌ Account Not Found"))</f>
        <v/>
      </c>
      <c r="D93" s="81" t="str">
        <f t="shared" ca="1" si="9"/>
        <v/>
      </c>
      <c r="E93" s="104"/>
      <c r="F93" s="21"/>
      <c r="G93" s="110"/>
      <c r="H93" s="111"/>
      <c r="I93" s="107" t="str">
        <f t="shared" si="10"/>
        <v/>
      </c>
      <c r="J93" s="112" t="str">
        <f t="shared" si="11"/>
        <v/>
      </c>
      <c r="K93" s="113" t="str">
        <f>IF(B93="","Pending",IF(M93="","⚠️ Enter Code",IF(IFERROR(VLOOKUP(L93,DB_Agents!$B:$I,8,0),"")=M93,"Pending","🔒 BLOCKED — Wrong Code")))</f>
        <v>Pending</v>
      </c>
      <c r="L93" s="23"/>
      <c r="M93" s="84"/>
      <c r="N93" s="87"/>
    </row>
    <row r="94" spans="1:14" x14ac:dyDescent="0.25">
      <c r="A94" s="92" t="str">
        <f t="shared" si="8"/>
        <v/>
      </c>
      <c r="B94" s="88"/>
      <c r="C94" s="25" t="str">
        <f>IF(B94="","",IFERROR(VLOOKUP(B94,DB_Customers!$A:$D,4,0),"❌ Account Not Found"))</f>
        <v/>
      </c>
      <c r="D94" s="90" t="str">
        <f t="shared" ca="1" si="9"/>
        <v/>
      </c>
      <c r="E94" s="104"/>
      <c r="F94" s="25"/>
      <c r="G94" s="105"/>
      <c r="H94" s="106"/>
      <c r="I94" s="107" t="str">
        <f t="shared" si="10"/>
        <v/>
      </c>
      <c r="J94" s="108" t="str">
        <f t="shared" si="11"/>
        <v/>
      </c>
      <c r="K94" s="109" t="str">
        <f>IF(B94="","Pending",IF(M94="","⚠️ Enter Code",IF(IFERROR(VLOOKUP(L94,DB_Agents!$B:$I,8,0),"")=M94,"Pending","🔒 BLOCKED — Wrong Code")))</f>
        <v>Pending</v>
      </c>
      <c r="L94" s="27"/>
      <c r="M94" s="84"/>
      <c r="N94" s="94"/>
    </row>
    <row r="95" spans="1:14" x14ac:dyDescent="0.25">
      <c r="A95" s="85" t="str">
        <f t="shared" si="8"/>
        <v/>
      </c>
      <c r="B95" s="79"/>
      <c r="C95" s="21" t="str">
        <f>IF(B95="","",IFERROR(VLOOKUP(B95,DB_Customers!$A:$D,4,0),"❌ Account Not Found"))</f>
        <v/>
      </c>
      <c r="D95" s="81" t="str">
        <f t="shared" ca="1" si="9"/>
        <v/>
      </c>
      <c r="E95" s="104"/>
      <c r="F95" s="21"/>
      <c r="G95" s="110"/>
      <c r="H95" s="111"/>
      <c r="I95" s="107" t="str">
        <f t="shared" si="10"/>
        <v/>
      </c>
      <c r="J95" s="112" t="str">
        <f t="shared" si="11"/>
        <v/>
      </c>
      <c r="K95" s="113" t="str">
        <f>IF(B95="","Pending",IF(M95="","⚠️ Enter Code",IF(IFERROR(VLOOKUP(L95,DB_Agents!$B:$I,8,0),"")=M95,"Pending","🔒 BLOCKED — Wrong Code")))</f>
        <v>Pending</v>
      </c>
      <c r="L95" s="23"/>
      <c r="M95" s="84"/>
      <c r="N95" s="87"/>
    </row>
    <row r="96" spans="1:14" x14ac:dyDescent="0.25">
      <c r="A96" s="92" t="str">
        <f t="shared" si="8"/>
        <v/>
      </c>
      <c r="B96" s="88"/>
      <c r="C96" s="25" t="str">
        <f>IF(B96="","",IFERROR(VLOOKUP(B96,DB_Customers!$A:$D,4,0),"❌ Account Not Found"))</f>
        <v/>
      </c>
      <c r="D96" s="90" t="str">
        <f t="shared" ca="1" si="9"/>
        <v/>
      </c>
      <c r="E96" s="104"/>
      <c r="F96" s="25"/>
      <c r="G96" s="105"/>
      <c r="H96" s="106"/>
      <c r="I96" s="107" t="str">
        <f t="shared" si="10"/>
        <v/>
      </c>
      <c r="J96" s="108" t="str">
        <f t="shared" si="11"/>
        <v/>
      </c>
      <c r="K96" s="109" t="str">
        <f>IF(B96="","Pending",IF(M96="","⚠️ Enter Code",IF(IFERROR(VLOOKUP(L96,DB_Agents!$B:$I,8,0),"")=M96,"Pending","🔒 BLOCKED — Wrong Code")))</f>
        <v>Pending</v>
      </c>
      <c r="L96" s="27"/>
      <c r="M96" s="84"/>
      <c r="N96" s="94"/>
    </row>
    <row r="97" spans="1:14" x14ac:dyDescent="0.25">
      <c r="A97" s="85" t="str">
        <f t="shared" si="8"/>
        <v/>
      </c>
      <c r="B97" s="79"/>
      <c r="C97" s="21" t="str">
        <f>IF(B97="","",IFERROR(VLOOKUP(B97,DB_Customers!$A:$D,4,0),"❌ Account Not Found"))</f>
        <v/>
      </c>
      <c r="D97" s="81" t="str">
        <f t="shared" ca="1" si="9"/>
        <v/>
      </c>
      <c r="E97" s="104"/>
      <c r="F97" s="21"/>
      <c r="G97" s="110"/>
      <c r="H97" s="111"/>
      <c r="I97" s="107" t="str">
        <f t="shared" si="10"/>
        <v/>
      </c>
      <c r="J97" s="112" t="str">
        <f t="shared" si="11"/>
        <v/>
      </c>
      <c r="K97" s="113" t="str">
        <f>IF(B97="","Pending",IF(M97="","⚠️ Enter Code",IF(IFERROR(VLOOKUP(L97,DB_Agents!$B:$I,8,0),"")=M97,"Pending","🔒 BLOCKED — Wrong Code")))</f>
        <v>Pending</v>
      </c>
      <c r="L97" s="23"/>
      <c r="M97" s="84"/>
      <c r="N97" s="87"/>
    </row>
    <row r="98" spans="1:14" x14ac:dyDescent="0.25">
      <c r="A98" s="92" t="str">
        <f t="shared" si="8"/>
        <v/>
      </c>
      <c r="B98" s="88"/>
      <c r="C98" s="25" t="str">
        <f>IF(B98="","",IFERROR(VLOOKUP(B98,DB_Customers!$A:$D,4,0),"❌ Account Not Found"))</f>
        <v/>
      </c>
      <c r="D98" s="90" t="str">
        <f t="shared" ca="1" si="9"/>
        <v/>
      </c>
      <c r="E98" s="104"/>
      <c r="F98" s="25"/>
      <c r="G98" s="105"/>
      <c r="H98" s="106"/>
      <c r="I98" s="107" t="str">
        <f t="shared" si="10"/>
        <v/>
      </c>
      <c r="J98" s="108" t="str">
        <f t="shared" si="11"/>
        <v/>
      </c>
      <c r="K98" s="109" t="str">
        <f>IF(B98="","Pending",IF(M98="","⚠️ Enter Code",IF(IFERROR(VLOOKUP(L98,DB_Agents!$B:$I,8,0),"")=M98,"Pending","🔒 BLOCKED — Wrong Code")))</f>
        <v>Pending</v>
      </c>
      <c r="L98" s="27"/>
      <c r="M98" s="84"/>
      <c r="N98" s="94"/>
    </row>
    <row r="99" spans="1:14" x14ac:dyDescent="0.25">
      <c r="A99" s="85" t="str">
        <f t="shared" si="8"/>
        <v/>
      </c>
      <c r="B99" s="79"/>
      <c r="C99" s="21" t="str">
        <f>IF(B99="","",IFERROR(VLOOKUP(B99,DB_Customers!$A:$D,4,0),"❌ Account Not Found"))</f>
        <v/>
      </c>
      <c r="D99" s="81" t="str">
        <f t="shared" ca="1" si="9"/>
        <v/>
      </c>
      <c r="E99" s="104"/>
      <c r="F99" s="21"/>
      <c r="G99" s="110"/>
      <c r="H99" s="111"/>
      <c r="I99" s="107" t="str">
        <f t="shared" si="10"/>
        <v/>
      </c>
      <c r="J99" s="112" t="str">
        <f t="shared" si="11"/>
        <v/>
      </c>
      <c r="K99" s="113" t="str">
        <f>IF(B99="","Pending",IF(M99="","⚠️ Enter Code",IF(IFERROR(VLOOKUP(L99,DB_Agents!$B:$I,8,0),"")=M99,"Pending","🔒 BLOCKED — Wrong Code")))</f>
        <v>Pending</v>
      </c>
      <c r="L99" s="23"/>
      <c r="M99" s="84"/>
      <c r="N99" s="87"/>
    </row>
    <row r="100" spans="1:14" x14ac:dyDescent="0.25">
      <c r="A100" s="92" t="str">
        <f t="shared" si="8"/>
        <v/>
      </c>
      <c r="B100" s="88"/>
      <c r="C100" s="25" t="str">
        <f>IF(B100="","",IFERROR(VLOOKUP(B100,DB_Customers!$A:$D,4,0),"❌ Account Not Found"))</f>
        <v/>
      </c>
      <c r="D100" s="90" t="str">
        <f t="shared" ca="1" si="9"/>
        <v/>
      </c>
      <c r="E100" s="104"/>
      <c r="F100" s="25"/>
      <c r="G100" s="105"/>
      <c r="H100" s="106"/>
      <c r="I100" s="107" t="str">
        <f t="shared" si="10"/>
        <v/>
      </c>
      <c r="J100" s="108" t="str">
        <f t="shared" si="11"/>
        <v/>
      </c>
      <c r="K100" s="109" t="str">
        <f>IF(B100="","Pending",IF(M100="","⚠️ Enter Code",IF(IFERROR(VLOOKUP(L100,DB_Agents!$B:$I,8,0),"")=M100,"Pending","🔒 BLOCKED — Wrong Code")))</f>
        <v>Pending</v>
      </c>
      <c r="L100" s="27"/>
      <c r="M100" s="84"/>
      <c r="N100" s="94"/>
    </row>
    <row r="101" spans="1:14" x14ac:dyDescent="0.25">
      <c r="A101" s="85" t="str">
        <f t="shared" si="8"/>
        <v/>
      </c>
      <c r="B101" s="79"/>
      <c r="C101" s="21" t="str">
        <f>IF(B101="","",IFERROR(VLOOKUP(B101,DB_Customers!$A:$D,4,0),"❌ Account Not Found"))</f>
        <v/>
      </c>
      <c r="D101" s="81" t="str">
        <f t="shared" ca="1" si="9"/>
        <v/>
      </c>
      <c r="E101" s="104"/>
      <c r="F101" s="21"/>
      <c r="G101" s="110"/>
      <c r="H101" s="111"/>
      <c r="I101" s="107" t="str">
        <f t="shared" si="10"/>
        <v/>
      </c>
      <c r="J101" s="112" t="str">
        <f t="shared" si="11"/>
        <v/>
      </c>
      <c r="K101" s="113" t="str">
        <f>IF(B101="","Pending",IF(M101="","⚠️ Enter Code",IF(IFERROR(VLOOKUP(L101,DB_Agents!$B:$I,8,0),"")=M101,"Pending","🔒 BLOCKED — Wrong Code")))</f>
        <v>Pending</v>
      </c>
      <c r="L101" s="23"/>
      <c r="M101" s="84"/>
      <c r="N101" s="87"/>
    </row>
    <row r="102" spans="1:14" x14ac:dyDescent="0.25">
      <c r="A102" s="92" t="str">
        <f t="shared" si="8"/>
        <v/>
      </c>
      <c r="B102" s="88"/>
      <c r="C102" s="25" t="str">
        <f>IF(B102="","",IFERROR(VLOOKUP(B102,DB_Customers!$A:$D,4,0),"❌ Account Not Found"))</f>
        <v/>
      </c>
      <c r="D102" s="90" t="str">
        <f t="shared" ca="1" si="9"/>
        <v/>
      </c>
      <c r="E102" s="104"/>
      <c r="F102" s="25"/>
      <c r="G102" s="105"/>
      <c r="H102" s="106"/>
      <c r="I102" s="107" t="str">
        <f t="shared" si="10"/>
        <v/>
      </c>
      <c r="J102" s="108" t="str">
        <f t="shared" si="11"/>
        <v/>
      </c>
      <c r="K102" s="109" t="str">
        <f>IF(B102="","Pending",IF(M102="","⚠️ Enter Code",IF(IFERROR(VLOOKUP(L102,DB_Agents!$B:$I,8,0),"")=M102,"Pending","🔒 BLOCKED — Wrong Code")))</f>
        <v>Pending</v>
      </c>
      <c r="L102" s="27"/>
      <c r="M102" s="84"/>
      <c r="N102" s="94"/>
    </row>
    <row r="103" spans="1:14" x14ac:dyDescent="0.25">
      <c r="A103" s="85" t="str">
        <f t="shared" si="8"/>
        <v/>
      </c>
      <c r="B103" s="79"/>
      <c r="C103" s="21" t="str">
        <f>IF(B103="","",IFERROR(VLOOKUP(B103,DB_Customers!$A:$D,4,0),"❌ Account Not Found"))</f>
        <v/>
      </c>
      <c r="D103" s="81" t="str">
        <f t="shared" ca="1" si="9"/>
        <v/>
      </c>
      <c r="E103" s="104"/>
      <c r="F103" s="21"/>
      <c r="G103" s="110"/>
      <c r="H103" s="111"/>
      <c r="I103" s="107" t="str">
        <f t="shared" si="10"/>
        <v/>
      </c>
      <c r="J103" s="112" t="str">
        <f t="shared" si="11"/>
        <v/>
      </c>
      <c r="K103" s="113" t="str">
        <f>IF(B103="","Pending",IF(M103="","⚠️ Enter Code",IF(IFERROR(VLOOKUP(L103,DB_Agents!$B:$I,8,0),"")=M103,"Pending","🔒 BLOCKED — Wrong Code")))</f>
        <v>Pending</v>
      </c>
      <c r="L103" s="23"/>
      <c r="M103" s="84"/>
      <c r="N103" s="87"/>
    </row>
    <row r="104" spans="1:14" x14ac:dyDescent="0.25">
      <c r="A104" s="92" t="str">
        <f t="shared" si="8"/>
        <v/>
      </c>
      <c r="B104" s="88"/>
      <c r="C104" s="25" t="str">
        <f>IF(B104="","",IFERROR(VLOOKUP(B104,DB_Customers!$A:$D,4,0),"❌ Account Not Found"))</f>
        <v/>
      </c>
      <c r="D104" s="90" t="str">
        <f t="shared" ca="1" si="9"/>
        <v/>
      </c>
      <c r="E104" s="104"/>
      <c r="F104" s="25"/>
      <c r="G104" s="105"/>
      <c r="H104" s="106"/>
      <c r="I104" s="107" t="str">
        <f t="shared" si="10"/>
        <v/>
      </c>
      <c r="J104" s="108" t="str">
        <f t="shared" si="11"/>
        <v/>
      </c>
      <c r="K104" s="109" t="str">
        <f>IF(B104="","Pending",IF(M104="","⚠️ Enter Code",IF(IFERROR(VLOOKUP(L104,DB_Agents!$B:$I,8,0),"")=M104,"Pending","🔒 BLOCKED — Wrong Code")))</f>
        <v>Pending</v>
      </c>
      <c r="L104" s="27"/>
      <c r="M104" s="84"/>
      <c r="N104" s="94"/>
    </row>
    <row r="105" spans="1:14" x14ac:dyDescent="0.25">
      <c r="A105" s="85" t="str">
        <f t="shared" si="8"/>
        <v/>
      </c>
      <c r="B105" s="79"/>
      <c r="C105" s="21" t="str">
        <f>IF(B105="","",IFERROR(VLOOKUP(B105,DB_Customers!$A:$D,4,0),"❌ Account Not Found"))</f>
        <v/>
      </c>
      <c r="D105" s="81" t="str">
        <f t="shared" ca="1" si="9"/>
        <v/>
      </c>
      <c r="E105" s="104"/>
      <c r="F105" s="21"/>
      <c r="G105" s="110"/>
      <c r="H105" s="111"/>
      <c r="I105" s="107" t="str">
        <f t="shared" si="10"/>
        <v/>
      </c>
      <c r="J105" s="112" t="str">
        <f t="shared" si="11"/>
        <v/>
      </c>
      <c r="K105" s="113" t="str">
        <f>IF(B105="","Pending",IF(M105="","⚠️ Enter Code",IF(IFERROR(VLOOKUP(L105,DB_Agents!$B:$I,8,0),"")=M105,"Pending","🔒 BLOCKED — Wrong Code")))</f>
        <v>Pending</v>
      </c>
      <c r="L105" s="23"/>
      <c r="M105" s="84"/>
      <c r="N105" s="87"/>
    </row>
    <row r="106" spans="1:14" x14ac:dyDescent="0.25">
      <c r="A106" s="92" t="str">
        <f t="shared" si="8"/>
        <v/>
      </c>
      <c r="B106" s="88"/>
      <c r="C106" s="25" t="str">
        <f>IF(B106="","",IFERROR(VLOOKUP(B106,DB_Customers!$A:$D,4,0),"❌ Account Not Found"))</f>
        <v/>
      </c>
      <c r="D106" s="90" t="str">
        <f t="shared" ca="1" si="9"/>
        <v/>
      </c>
      <c r="E106" s="104"/>
      <c r="F106" s="25"/>
      <c r="G106" s="105"/>
      <c r="H106" s="106"/>
      <c r="I106" s="107" t="str">
        <f t="shared" si="10"/>
        <v/>
      </c>
      <c r="J106" s="108" t="str">
        <f t="shared" si="11"/>
        <v/>
      </c>
      <c r="K106" s="109" t="str">
        <f>IF(B106="","Pending",IF(M106="","⚠️ Enter Code",IF(IFERROR(VLOOKUP(L106,DB_Agents!$B:$I,8,0),"")=M106,"Pending","🔒 BLOCKED — Wrong Code")))</f>
        <v>Pending</v>
      </c>
      <c r="L106" s="27"/>
      <c r="M106" s="84"/>
      <c r="N106" s="94"/>
    </row>
    <row r="107" spans="1:14" x14ac:dyDescent="0.25">
      <c r="A107" s="85" t="str">
        <f t="shared" si="8"/>
        <v/>
      </c>
      <c r="B107" s="79"/>
      <c r="C107" s="21" t="str">
        <f>IF(B107="","",IFERROR(VLOOKUP(B107,DB_Customers!$A:$D,4,0),"❌ Account Not Found"))</f>
        <v/>
      </c>
      <c r="D107" s="81" t="str">
        <f t="shared" ca="1" si="9"/>
        <v/>
      </c>
      <c r="E107" s="104"/>
      <c r="F107" s="21"/>
      <c r="G107" s="110"/>
      <c r="H107" s="111"/>
      <c r="I107" s="107" t="str">
        <f t="shared" si="10"/>
        <v/>
      </c>
      <c r="J107" s="112" t="str">
        <f t="shared" si="11"/>
        <v/>
      </c>
      <c r="K107" s="113" t="str">
        <f>IF(B107="","Pending",IF(M107="","⚠️ Enter Code",IF(IFERROR(VLOOKUP(L107,DB_Agents!$B:$I,8,0),"")=M107,"Pending","🔒 BLOCKED — Wrong Code")))</f>
        <v>Pending</v>
      </c>
      <c r="L107" s="23"/>
      <c r="M107" s="84"/>
      <c r="N107" s="87"/>
    </row>
    <row r="108" spans="1:14" x14ac:dyDescent="0.25">
      <c r="A108" s="92" t="str">
        <f t="shared" si="8"/>
        <v/>
      </c>
      <c r="B108" s="88"/>
      <c r="C108" s="25" t="str">
        <f>IF(B108="","",IFERROR(VLOOKUP(B108,DB_Customers!$A:$D,4,0),"❌ Account Not Found"))</f>
        <v/>
      </c>
      <c r="D108" s="90" t="str">
        <f t="shared" ca="1" si="9"/>
        <v/>
      </c>
      <c r="E108" s="104"/>
      <c r="F108" s="25"/>
      <c r="G108" s="105"/>
      <c r="H108" s="106"/>
      <c r="I108" s="107" t="str">
        <f t="shared" si="10"/>
        <v/>
      </c>
      <c r="J108" s="108" t="str">
        <f t="shared" si="11"/>
        <v/>
      </c>
      <c r="K108" s="109" t="str">
        <f>IF(B108="","Pending",IF(M108="","⚠️ Enter Code",IF(IFERROR(VLOOKUP(L108,DB_Agents!$B:$I,8,0),"")=M108,"Pending","🔒 BLOCKED — Wrong Code")))</f>
        <v>Pending</v>
      </c>
      <c r="L108" s="27"/>
      <c r="M108" s="84"/>
      <c r="N108" s="94"/>
    </row>
    <row r="109" spans="1:14" x14ac:dyDescent="0.25">
      <c r="A109" s="85" t="str">
        <f t="shared" si="8"/>
        <v/>
      </c>
      <c r="B109" s="79"/>
      <c r="C109" s="21" t="str">
        <f>IF(B109="","",IFERROR(VLOOKUP(B109,DB_Customers!$A:$D,4,0),"❌ Account Not Found"))</f>
        <v/>
      </c>
      <c r="D109" s="81" t="str">
        <f t="shared" ca="1" si="9"/>
        <v/>
      </c>
      <c r="E109" s="104"/>
      <c r="F109" s="21"/>
      <c r="G109" s="110"/>
      <c r="H109" s="111"/>
      <c r="I109" s="107" t="str">
        <f t="shared" si="10"/>
        <v/>
      </c>
      <c r="J109" s="112" t="str">
        <f t="shared" si="11"/>
        <v/>
      </c>
      <c r="K109" s="113" t="str">
        <f>IF(B109="","Pending",IF(M109="","⚠️ Enter Code",IF(IFERROR(VLOOKUP(L109,DB_Agents!$B:$I,8,0),"")=M109,"Pending","🔒 BLOCKED — Wrong Code")))</f>
        <v>Pending</v>
      </c>
      <c r="L109" s="23"/>
      <c r="M109" s="84"/>
      <c r="N109" s="87"/>
    </row>
    <row r="110" spans="1:14" x14ac:dyDescent="0.25">
      <c r="A110" s="92" t="str">
        <f t="shared" ref="A110:A141" si="12">IF(B110="","",IF(C110="❌ Account Not Found","INVALID","LN"&amp;TEXT(D110,"YYYYMMDD")&amp;TEXT(ROW()-13,"0000")))</f>
        <v/>
      </c>
      <c r="B110" s="88"/>
      <c r="C110" s="25" t="str">
        <f>IF(B110="","",IFERROR(VLOOKUP(B110,DB_Customers!$A:$D,4,0),"❌ Account Not Found"))</f>
        <v/>
      </c>
      <c r="D110" s="90" t="str">
        <f t="shared" ca="1" si="9"/>
        <v/>
      </c>
      <c r="E110" s="104"/>
      <c r="F110" s="25"/>
      <c r="G110" s="105"/>
      <c r="H110" s="106"/>
      <c r="I110" s="107" t="str">
        <f t="shared" ref="I110:I141" si="13">IF(E110="","",E110+(E110*H110/100*G110))</f>
        <v/>
      </c>
      <c r="J110" s="108" t="str">
        <f t="shared" ref="J110:J141" si="14">IFERROR(I110/G110,"")</f>
        <v/>
      </c>
      <c r="K110" s="109" t="str">
        <f>IF(B110="","Pending",IF(M110="","⚠️ Enter Code",IF(IFERROR(VLOOKUP(L110,DB_Agents!$B:$I,8,0),"")=M110,"Pending","🔒 BLOCKED — Wrong Code")))</f>
        <v>Pending</v>
      </c>
      <c r="L110" s="27"/>
      <c r="M110" s="84"/>
      <c r="N110" s="94"/>
    </row>
    <row r="111" spans="1:14" x14ac:dyDescent="0.25">
      <c r="A111" s="85" t="str">
        <f t="shared" si="12"/>
        <v/>
      </c>
      <c r="B111" s="79"/>
      <c r="C111" s="21" t="str">
        <f>IF(B111="","",IFERROR(VLOOKUP(B111,DB_Customers!$A:$D,4,0),"❌ Account Not Found"))</f>
        <v/>
      </c>
      <c r="D111" s="81" t="str">
        <f t="shared" ca="1" si="9"/>
        <v/>
      </c>
      <c r="E111" s="104"/>
      <c r="F111" s="21"/>
      <c r="G111" s="110"/>
      <c r="H111" s="111"/>
      <c r="I111" s="107" t="str">
        <f t="shared" si="13"/>
        <v/>
      </c>
      <c r="J111" s="112" t="str">
        <f t="shared" si="14"/>
        <v/>
      </c>
      <c r="K111" s="113" t="str">
        <f>IF(B111="","Pending",IF(M111="","⚠️ Enter Code",IF(IFERROR(VLOOKUP(L111,DB_Agents!$B:$I,8,0),"")=M111,"Pending","🔒 BLOCKED — Wrong Code")))</f>
        <v>Pending</v>
      </c>
      <c r="L111" s="23"/>
      <c r="M111" s="84"/>
      <c r="N111" s="87"/>
    </row>
    <row r="112" spans="1:14" x14ac:dyDescent="0.25">
      <c r="A112" s="92" t="str">
        <f t="shared" si="12"/>
        <v/>
      </c>
      <c r="B112" s="88"/>
      <c r="C112" s="25" t="str">
        <f>IF(B112="","",IFERROR(VLOOKUP(B112,DB_Customers!$A:$D,4,0),"❌ Account Not Found"))</f>
        <v/>
      </c>
      <c r="D112" s="90" t="str">
        <f t="shared" ca="1" si="9"/>
        <v/>
      </c>
      <c r="E112" s="104"/>
      <c r="F112" s="25"/>
      <c r="G112" s="105"/>
      <c r="H112" s="106"/>
      <c r="I112" s="107" t="str">
        <f t="shared" si="13"/>
        <v/>
      </c>
      <c r="J112" s="108" t="str">
        <f t="shared" si="14"/>
        <v/>
      </c>
      <c r="K112" s="109" t="str">
        <f>IF(B112="","Pending",IF(M112="","⚠️ Enter Code",IF(IFERROR(VLOOKUP(L112,DB_Agents!$B:$I,8,0),"")=M112,"Pending","🔒 BLOCKED — Wrong Code")))</f>
        <v>Pending</v>
      </c>
      <c r="L112" s="27"/>
      <c r="M112" s="84"/>
      <c r="N112" s="94"/>
    </row>
    <row r="113" spans="1:14" x14ac:dyDescent="0.25">
      <c r="A113" s="85" t="str">
        <f t="shared" si="12"/>
        <v/>
      </c>
      <c r="B113" s="79"/>
      <c r="C113" s="21" t="str">
        <f>IF(B113="","",IFERROR(VLOOKUP(B113,DB_Customers!$A:$D,4,0),"❌ Account Not Found"))</f>
        <v/>
      </c>
      <c r="D113" s="81" t="str">
        <f t="shared" ca="1" si="9"/>
        <v/>
      </c>
      <c r="E113" s="104"/>
      <c r="F113" s="21"/>
      <c r="G113" s="110"/>
      <c r="H113" s="111"/>
      <c r="I113" s="107" t="str">
        <f t="shared" si="13"/>
        <v/>
      </c>
      <c r="J113" s="112" t="str">
        <f t="shared" si="14"/>
        <v/>
      </c>
      <c r="K113" s="113" t="str">
        <f>IF(B113="","Pending",IF(M113="","⚠️ Enter Code",IF(IFERROR(VLOOKUP(L113,DB_Agents!$B:$I,8,0),"")=M113,"Pending","🔒 BLOCKED — Wrong Code")))</f>
        <v>Pending</v>
      </c>
      <c r="L113" s="23"/>
      <c r="M113" s="84"/>
      <c r="N113" s="87"/>
    </row>
    <row r="114" spans="1:14" x14ac:dyDescent="0.25">
      <c r="H114" s="114"/>
      <c r="K114" s="115" t="str">
        <f>IF(B114="","Pending",IF(M114="","⚠️ Enter Code",IF(IFERROR(VLOOKUP(L114,DB_Agents!$B:$I,8,0),"")=M114,"Pending","🔒 BLOCKED — Wrong Code")))</f>
        <v>Pending</v>
      </c>
      <c r="M114" s="84"/>
    </row>
    <row r="115" spans="1:14" x14ac:dyDescent="0.25">
      <c r="H115" s="114"/>
      <c r="K115" s="15" t="str">
        <f>IF(B115="","Pending",IF(M115="","⚠️ Enter Code",IF(IFERROR(VLOOKUP(L115,DB_Agents!$B:$I,8,0),"")=M115,"Pending","🔒 BLOCKED — Wrong Code")))</f>
        <v>Pending</v>
      </c>
      <c r="M115" s="84"/>
    </row>
    <row r="116" spans="1:14" x14ac:dyDescent="0.25">
      <c r="H116" s="114"/>
      <c r="K116" s="115" t="str">
        <f>IF(B116="","Pending",IF(M116="","⚠️ Enter Code",IF(IFERROR(VLOOKUP(L116,DB_Agents!$B:$I,8,0),"")=M116,"Pending","🔒 BLOCKED — Wrong Code")))</f>
        <v>Pending</v>
      </c>
      <c r="M116" s="84"/>
    </row>
    <row r="117" spans="1:14" x14ac:dyDescent="0.25">
      <c r="H117" s="114"/>
      <c r="K117" s="15" t="str">
        <f>IF(B117="","Pending",IF(M117="","⚠️ Enter Code",IF(IFERROR(VLOOKUP(L117,DB_Agents!$B:$I,8,0),"")=M117,"Pending","🔒 BLOCKED — Wrong Code")))</f>
        <v>Pending</v>
      </c>
      <c r="M117" s="84"/>
    </row>
    <row r="118" spans="1:14" x14ac:dyDescent="0.25">
      <c r="H118" s="114"/>
      <c r="K118" s="115" t="str">
        <f>IF(B118="","Pending",IF(M118="","⚠️ Enter Code",IF(IFERROR(VLOOKUP(L118,DB_Agents!$B:$I,8,0),"")=M118,"Pending","🔒 BLOCKED — Wrong Code")))</f>
        <v>Pending</v>
      </c>
      <c r="M118" s="84"/>
    </row>
    <row r="119" spans="1:14" x14ac:dyDescent="0.25">
      <c r="H119" s="114"/>
      <c r="K119" s="15" t="str">
        <f>IF(B119="","Pending",IF(M119="","⚠️ Enter Code",IF(IFERROR(VLOOKUP(L119,DB_Agents!$B:$I,8,0),"")=M119,"Pending","🔒 BLOCKED — Wrong Code")))</f>
        <v>Pending</v>
      </c>
      <c r="M119" s="84"/>
    </row>
    <row r="120" spans="1:14" x14ac:dyDescent="0.25">
      <c r="H120" s="114"/>
      <c r="K120" s="115" t="str">
        <f>IF(B120="","Pending",IF(M120="","⚠️ Enter Code",IF(IFERROR(VLOOKUP(L120,DB_Agents!$B:$I,8,0),"")=M120,"Pending","🔒 BLOCKED — Wrong Code")))</f>
        <v>Pending</v>
      </c>
      <c r="M120" s="84"/>
    </row>
    <row r="121" spans="1:14" x14ac:dyDescent="0.25">
      <c r="H121" s="114"/>
      <c r="K121" s="15" t="str">
        <f>IF(B121="","Pending",IF(M121="","⚠️ Enter Code",IF(IFERROR(VLOOKUP(L121,DB_Agents!$B:$I,8,0),"")=M121,"Pending","🔒 BLOCKED — Wrong Code")))</f>
        <v>Pending</v>
      </c>
      <c r="M121" s="84"/>
    </row>
    <row r="122" spans="1:14" x14ac:dyDescent="0.25">
      <c r="H122" s="114"/>
      <c r="K122" s="115" t="str">
        <f>IF(B122="","Pending",IF(M122="","⚠️ Enter Code",IF(IFERROR(VLOOKUP(L122,DB_Agents!$B:$I,8,0),"")=M122,"Pending","🔒 BLOCKED — Wrong Code")))</f>
        <v>Pending</v>
      </c>
      <c r="M122" s="84"/>
    </row>
    <row r="123" spans="1:14" x14ac:dyDescent="0.25">
      <c r="H123" s="114"/>
      <c r="K123" s="15" t="str">
        <f>IF(B123="","Pending",IF(M123="","⚠️ Enter Code",IF(IFERROR(VLOOKUP(L123,DB_Agents!$B:$I,8,0),"")=M123,"Pending","🔒 BLOCKED — Wrong Code")))</f>
        <v>Pending</v>
      </c>
      <c r="M123" s="84"/>
    </row>
    <row r="124" spans="1:14" x14ac:dyDescent="0.25">
      <c r="H124" s="114"/>
      <c r="K124" s="115" t="str">
        <f>IF(B124="","Pending",IF(M124="","⚠️ Enter Code",IF(IFERROR(VLOOKUP(L124,DB_Agents!$B:$I,8,0),"")=M124,"Pending","🔒 BLOCKED — Wrong Code")))</f>
        <v>Pending</v>
      </c>
      <c r="M124" s="84"/>
    </row>
    <row r="125" spans="1:14" x14ac:dyDescent="0.25">
      <c r="H125" s="114"/>
      <c r="K125" s="15" t="str">
        <f>IF(B125="","Pending",IF(M125="","⚠️ Enter Code",IF(IFERROR(VLOOKUP(L125,DB_Agents!$B:$I,8,0),"")=M125,"Pending","🔒 BLOCKED — Wrong Code")))</f>
        <v>Pending</v>
      </c>
      <c r="M125" s="84"/>
    </row>
    <row r="126" spans="1:14" x14ac:dyDescent="0.25">
      <c r="H126" s="114"/>
      <c r="K126" s="115" t="str">
        <f>IF(B126="","Pending",IF(M126="","⚠️ Enter Code",IF(IFERROR(VLOOKUP(L126,DB_Agents!$B:$I,8,0),"")=M126,"Pending","🔒 BLOCKED — Wrong Code")))</f>
        <v>Pending</v>
      </c>
      <c r="M126" s="84"/>
    </row>
    <row r="127" spans="1:14" x14ac:dyDescent="0.25">
      <c r="H127" s="114"/>
      <c r="K127" s="15" t="str">
        <f>IF(B127="","Pending",IF(M127="","⚠️ Enter Code",IF(IFERROR(VLOOKUP(L127,DB_Agents!$B:$I,8,0),"")=M127,"Pending","🔒 BLOCKED — Wrong Code")))</f>
        <v>Pending</v>
      </c>
      <c r="M127" s="84"/>
    </row>
    <row r="128" spans="1:14" x14ac:dyDescent="0.25">
      <c r="H128" s="114"/>
      <c r="K128" s="115" t="str">
        <f>IF(B128="","Pending",IF(M128="","⚠️ Enter Code",IF(IFERROR(VLOOKUP(L128,DB_Agents!$B:$I,8,0),"")=M128,"Pending","🔒 BLOCKED — Wrong Code")))</f>
        <v>Pending</v>
      </c>
      <c r="M128" s="84"/>
    </row>
    <row r="129" spans="8:13" x14ac:dyDescent="0.25">
      <c r="H129" s="114"/>
      <c r="K129" s="15" t="str">
        <f>IF(B129="","Pending",IF(M129="","⚠️ Enter Code",IF(IFERROR(VLOOKUP(L129,DB_Agents!$B:$I,8,0),"")=M129,"Pending","🔒 BLOCKED — Wrong Code")))</f>
        <v>Pending</v>
      </c>
      <c r="M129" s="84"/>
    </row>
    <row r="130" spans="8:13" x14ac:dyDescent="0.25">
      <c r="H130" s="114"/>
      <c r="K130" s="115" t="str">
        <f>IF(B130="","Pending",IF(M130="","⚠️ Enter Code",IF(IFERROR(VLOOKUP(L130,DB_Agents!$B:$I,8,0),"")=M130,"Pending","🔒 BLOCKED — Wrong Code")))</f>
        <v>Pending</v>
      </c>
      <c r="M130" s="84"/>
    </row>
    <row r="131" spans="8:13" x14ac:dyDescent="0.25">
      <c r="H131" s="114"/>
      <c r="K131" s="15" t="str">
        <f>IF(B131="","Pending",IF(M131="","⚠️ Enter Code",IF(IFERROR(VLOOKUP(L131,DB_Agents!$B:$I,8,0),"")=M131,"Pending","🔒 BLOCKED — Wrong Code")))</f>
        <v>Pending</v>
      </c>
      <c r="M131" s="84"/>
    </row>
    <row r="132" spans="8:13" x14ac:dyDescent="0.25">
      <c r="H132" s="114"/>
      <c r="K132" s="115" t="str">
        <f>IF(B132="","Pending",IF(M132="","⚠️ Enter Code",IF(IFERROR(VLOOKUP(L132,DB_Agents!$B:$I,8,0),"")=M132,"Pending","🔒 BLOCKED — Wrong Code")))</f>
        <v>Pending</v>
      </c>
      <c r="M132" s="84"/>
    </row>
    <row r="133" spans="8:13" x14ac:dyDescent="0.25">
      <c r="H133" s="114"/>
      <c r="K133" s="15" t="str">
        <f>IF(B133="","Pending",IF(M133="","⚠️ Enter Code",IF(IFERROR(VLOOKUP(L133,DB_Agents!$B:$I,8,0),"")=M133,"Pending","🔒 BLOCKED — Wrong Code")))</f>
        <v>Pending</v>
      </c>
      <c r="M133" s="84"/>
    </row>
    <row r="134" spans="8:13" x14ac:dyDescent="0.25">
      <c r="H134" s="114"/>
      <c r="K134" s="115" t="str">
        <f>IF(B134="","Pending",IF(M134="","⚠️ Enter Code",IF(IFERROR(VLOOKUP(L134,DB_Agents!$B:$I,8,0),"")=M134,"Pending","🔒 BLOCKED — Wrong Code")))</f>
        <v>Pending</v>
      </c>
      <c r="M134" s="84"/>
    </row>
    <row r="135" spans="8:13" x14ac:dyDescent="0.25">
      <c r="H135" s="114"/>
      <c r="K135" s="15" t="str">
        <f>IF(B135="","Pending",IF(M135="","⚠️ Enter Code",IF(IFERROR(VLOOKUP(L135,DB_Agents!$B:$I,8,0),"")=M135,"Pending","🔒 BLOCKED — Wrong Code")))</f>
        <v>Pending</v>
      </c>
      <c r="M135" s="84"/>
    </row>
    <row r="136" spans="8:13" x14ac:dyDescent="0.25">
      <c r="H136" s="114"/>
      <c r="K136" s="115" t="str">
        <f>IF(B136="","Pending",IF(M136="","⚠️ Enter Code",IF(IFERROR(VLOOKUP(L136,DB_Agents!$B:$I,8,0),"")=M136,"Pending","🔒 BLOCKED — Wrong Code")))</f>
        <v>Pending</v>
      </c>
      <c r="M136" s="84"/>
    </row>
    <row r="137" spans="8:13" x14ac:dyDescent="0.25">
      <c r="H137" s="114"/>
      <c r="K137" s="15" t="str">
        <f>IF(B137="","Pending",IF(M137="","⚠️ Enter Code",IF(IFERROR(VLOOKUP(L137,DB_Agents!$B:$I,8,0),"")=M137,"Pending","🔒 BLOCKED — Wrong Code")))</f>
        <v>Pending</v>
      </c>
      <c r="M137" s="84"/>
    </row>
    <row r="138" spans="8:13" x14ac:dyDescent="0.25">
      <c r="H138" s="114"/>
      <c r="K138" s="115" t="str">
        <f>IF(B138="","Pending",IF(M138="","⚠️ Enter Code",IF(IFERROR(VLOOKUP(L138,DB_Agents!$B:$I,8,0),"")=M138,"Pending","🔒 BLOCKED — Wrong Code")))</f>
        <v>Pending</v>
      </c>
      <c r="M138" s="84"/>
    </row>
    <row r="139" spans="8:13" x14ac:dyDescent="0.25">
      <c r="H139" s="114"/>
      <c r="K139" s="15" t="str">
        <f>IF(B139="","Pending",IF(M139="","⚠️ Enter Code",IF(IFERROR(VLOOKUP(L139,DB_Agents!$B:$I,8,0),"")=M139,"Pending","🔒 BLOCKED — Wrong Code")))</f>
        <v>Pending</v>
      </c>
      <c r="M139" s="84"/>
    </row>
    <row r="140" spans="8:13" x14ac:dyDescent="0.25">
      <c r="H140" s="114"/>
      <c r="K140" s="115" t="str">
        <f>IF(B140="","Pending",IF(M140="","⚠️ Enter Code",IF(IFERROR(VLOOKUP(L140,DB_Agents!$B:$I,8,0),"")=M140,"Pending","🔒 BLOCKED — Wrong Code")))</f>
        <v>Pending</v>
      </c>
      <c r="M140" s="84"/>
    </row>
    <row r="141" spans="8:13" x14ac:dyDescent="0.25">
      <c r="H141" s="114"/>
      <c r="K141" s="15" t="str">
        <f>IF(B141="","Pending",IF(M141="","⚠️ Enter Code",IF(IFERROR(VLOOKUP(L141,DB_Agents!$B:$I,8,0),"")=M141,"Pending","🔒 BLOCKED — Wrong Code")))</f>
        <v>Pending</v>
      </c>
      <c r="M141" s="84"/>
    </row>
    <row r="142" spans="8:13" x14ac:dyDescent="0.25">
      <c r="H142" s="114"/>
      <c r="K142" s="115" t="str">
        <f>IF(B142="","Pending",IF(M142="","⚠️ Enter Code",IF(IFERROR(VLOOKUP(L142,DB_Agents!$B:$I,8,0),"")=M142,"Pending","🔒 BLOCKED — Wrong Code")))</f>
        <v>Pending</v>
      </c>
      <c r="M142" s="84"/>
    </row>
    <row r="143" spans="8:13" x14ac:dyDescent="0.25">
      <c r="H143" s="114"/>
      <c r="K143" s="15" t="str">
        <f>IF(B143="","Pending",IF(M143="","⚠️ Enter Code",IF(IFERROR(VLOOKUP(L143,DB_Agents!$B:$I,8,0),"")=M143,"Pending","🔒 BLOCKED — Wrong Code")))</f>
        <v>Pending</v>
      </c>
      <c r="M143" s="84"/>
    </row>
    <row r="144" spans="8:13" x14ac:dyDescent="0.25">
      <c r="H144" s="114"/>
      <c r="K144" s="115" t="str">
        <f>IF(B144="","Pending",IF(M144="","⚠️ Enter Code",IF(IFERROR(VLOOKUP(L144,DB_Agents!$B:$I,8,0),"")=M144,"Pending","🔒 BLOCKED — Wrong Code")))</f>
        <v>Pending</v>
      </c>
      <c r="M144" s="84"/>
    </row>
    <row r="145" spans="8:13" x14ac:dyDescent="0.25">
      <c r="H145" s="114"/>
      <c r="K145" s="15" t="str">
        <f>IF(B145="","Pending",IF(M145="","⚠️ Enter Code",IF(IFERROR(VLOOKUP(L145,DB_Agents!$B:$I,8,0),"")=M145,"Pending","🔒 BLOCKED — Wrong Code")))</f>
        <v>Pending</v>
      </c>
      <c r="M145" s="84"/>
    </row>
    <row r="146" spans="8:13" x14ac:dyDescent="0.25">
      <c r="H146" s="114"/>
      <c r="K146" s="115" t="str">
        <f>IF(B146="","Pending",IF(M146="","⚠️ Enter Code",IF(IFERROR(VLOOKUP(L146,DB_Agents!$B:$I,8,0),"")=M146,"Pending","🔒 BLOCKED — Wrong Code")))</f>
        <v>Pending</v>
      </c>
      <c r="M146" s="84"/>
    </row>
    <row r="147" spans="8:13" x14ac:dyDescent="0.25">
      <c r="H147" s="114"/>
      <c r="K147" s="15" t="str">
        <f>IF(B147="","Pending",IF(M147="","⚠️ Enter Code",IF(IFERROR(VLOOKUP(L147,DB_Agents!$B:$I,8,0),"")=M147,"Pending","🔒 BLOCKED — Wrong Code")))</f>
        <v>Pending</v>
      </c>
      <c r="M147" s="84"/>
    </row>
    <row r="148" spans="8:13" x14ac:dyDescent="0.25">
      <c r="H148" s="114"/>
      <c r="K148" s="115" t="str">
        <f>IF(B148="","Pending",IF(M148="","⚠️ Enter Code",IF(IFERROR(VLOOKUP(L148,DB_Agents!$B:$I,8,0),"")=M148,"Pending","🔒 BLOCKED — Wrong Code")))</f>
        <v>Pending</v>
      </c>
      <c r="M148" s="84"/>
    </row>
    <row r="149" spans="8:13" x14ac:dyDescent="0.25">
      <c r="H149" s="114"/>
      <c r="K149" s="15" t="str">
        <f>IF(B149="","Pending",IF(M149="","⚠️ Enter Code",IF(IFERROR(VLOOKUP(L149,DB_Agents!$B:$I,8,0),"")=M149,"Pending","🔒 BLOCKED — Wrong Code")))</f>
        <v>Pending</v>
      </c>
      <c r="M149" s="84"/>
    </row>
    <row r="150" spans="8:13" x14ac:dyDescent="0.25">
      <c r="H150" s="114"/>
      <c r="K150" s="115" t="str">
        <f>IF(B150="","Pending",IF(M150="","⚠️ Enter Code",IF(IFERROR(VLOOKUP(L150,DB_Agents!$B:$I,8,0),"")=M150,"Pending","🔒 BLOCKED — Wrong Code")))</f>
        <v>Pending</v>
      </c>
      <c r="M150" s="84"/>
    </row>
    <row r="151" spans="8:13" x14ac:dyDescent="0.25">
      <c r="H151" s="114"/>
      <c r="K151" s="15" t="str">
        <f>IF(B151="","Pending",IF(M151="","⚠️ Enter Code",IF(IFERROR(VLOOKUP(L151,DB_Agents!$B:$I,8,0),"")=M151,"Pending","🔒 BLOCKED — Wrong Code")))</f>
        <v>Pending</v>
      </c>
      <c r="M151" s="84"/>
    </row>
    <row r="152" spans="8:13" x14ac:dyDescent="0.25">
      <c r="H152" s="114"/>
      <c r="K152" s="115" t="str">
        <f>IF(B152="","Pending",IF(M152="","⚠️ Enter Code",IF(IFERROR(VLOOKUP(L152,DB_Agents!$B:$I,8,0),"")=M152,"Pending","🔒 BLOCKED — Wrong Code")))</f>
        <v>Pending</v>
      </c>
      <c r="M152" s="84"/>
    </row>
    <row r="153" spans="8:13" x14ac:dyDescent="0.25">
      <c r="H153" s="114"/>
      <c r="K153" s="15" t="str">
        <f>IF(B153="","Pending",IF(M153="","⚠️ Enter Code",IF(IFERROR(VLOOKUP(L153,DB_Agents!$B:$I,8,0),"")=M153,"Pending","🔒 BLOCKED — Wrong Code")))</f>
        <v>Pending</v>
      </c>
      <c r="M153" s="84"/>
    </row>
    <row r="154" spans="8:13" x14ac:dyDescent="0.25">
      <c r="H154" s="114"/>
      <c r="K154" s="115" t="str">
        <f>IF(B154="","Pending",IF(M154="","⚠️ Enter Code",IF(IFERROR(VLOOKUP(L154,DB_Agents!$B:$I,8,0),"")=M154,"Pending","🔒 BLOCKED — Wrong Code")))</f>
        <v>Pending</v>
      </c>
      <c r="M154" s="84"/>
    </row>
    <row r="155" spans="8:13" x14ac:dyDescent="0.25">
      <c r="H155" s="114"/>
      <c r="K155" s="15" t="str">
        <f>IF(B155="","Pending",IF(M155="","⚠️ Enter Code",IF(IFERROR(VLOOKUP(L155,DB_Agents!$B:$I,8,0),"")=M155,"Pending","🔒 BLOCKED — Wrong Code")))</f>
        <v>Pending</v>
      </c>
      <c r="M155" s="84"/>
    </row>
    <row r="156" spans="8:13" x14ac:dyDescent="0.25">
      <c r="H156" s="114"/>
      <c r="K156" s="115" t="str">
        <f>IF(B156="","Pending",IF(M156="","⚠️ Enter Code",IF(IFERROR(VLOOKUP(L156,DB_Agents!$B:$I,8,0),"")=M156,"Pending","🔒 BLOCKED — Wrong Code")))</f>
        <v>Pending</v>
      </c>
      <c r="M156" s="84"/>
    </row>
    <row r="157" spans="8:13" x14ac:dyDescent="0.25">
      <c r="H157" s="114"/>
      <c r="K157" s="15" t="str">
        <f>IF(B157="","Pending",IF(M157="","⚠️ Enter Code",IF(IFERROR(VLOOKUP(L157,DB_Agents!$B:$I,8,0),"")=M157,"Pending","🔒 BLOCKED — Wrong Code")))</f>
        <v>Pending</v>
      </c>
      <c r="M157" s="84"/>
    </row>
    <row r="158" spans="8:13" x14ac:dyDescent="0.25">
      <c r="H158" s="114"/>
      <c r="K158" s="115" t="str">
        <f>IF(B158="","Pending",IF(M158="","⚠️ Enter Code",IF(IFERROR(VLOOKUP(L158,DB_Agents!$B:$I,8,0),"")=M158,"Pending","🔒 BLOCKED — Wrong Code")))</f>
        <v>Pending</v>
      </c>
      <c r="M158" s="84"/>
    </row>
    <row r="159" spans="8:13" x14ac:dyDescent="0.25">
      <c r="H159" s="114"/>
      <c r="K159" s="15" t="str">
        <f>IF(B159="","Pending",IF(M159="","⚠️ Enter Code",IF(IFERROR(VLOOKUP(L159,DB_Agents!$B:$I,8,0),"")=M159,"Pending","🔒 BLOCKED — Wrong Code")))</f>
        <v>Pending</v>
      </c>
      <c r="M159" s="84"/>
    </row>
    <row r="160" spans="8:13" x14ac:dyDescent="0.25">
      <c r="H160" s="114"/>
      <c r="K160" s="115" t="str">
        <f>IF(B160="","Pending",IF(M160="","⚠️ Enter Code",IF(IFERROR(VLOOKUP(L160,DB_Agents!$B:$I,8,0),"")=M160,"Pending","🔒 BLOCKED — Wrong Code")))</f>
        <v>Pending</v>
      </c>
      <c r="M160" s="84"/>
    </row>
    <row r="161" spans="8:13" x14ac:dyDescent="0.25">
      <c r="H161" s="114"/>
      <c r="K161" s="15" t="str">
        <f>IF(B161="","Pending",IF(M161="","⚠️ Enter Code",IF(IFERROR(VLOOKUP(L161,DB_Agents!$B:$I,8,0),"")=M161,"Pending","🔒 BLOCKED — Wrong Code")))</f>
        <v>Pending</v>
      </c>
      <c r="M161" s="84"/>
    </row>
    <row r="162" spans="8:13" x14ac:dyDescent="0.25">
      <c r="H162" s="114"/>
      <c r="K162" s="115" t="str">
        <f>IF(B162="","Pending",IF(M162="","⚠️ Enter Code",IF(IFERROR(VLOOKUP(L162,DB_Agents!$B:$I,8,0),"")=M162,"Pending","🔒 BLOCKED — Wrong Code")))</f>
        <v>Pending</v>
      </c>
      <c r="M162" s="84"/>
    </row>
    <row r="163" spans="8:13" x14ac:dyDescent="0.25">
      <c r="H163" s="114"/>
      <c r="K163" s="15" t="str">
        <f>IF(B163="","Pending",IF(M163="","⚠️ Enter Code",IF(IFERROR(VLOOKUP(L163,DB_Agents!$B:$I,8,0),"")=M163,"Pending","🔒 BLOCKED — Wrong Code")))</f>
        <v>Pending</v>
      </c>
      <c r="M163" s="84"/>
    </row>
    <row r="164" spans="8:13" x14ac:dyDescent="0.25">
      <c r="H164" s="114"/>
      <c r="K164" s="115" t="str">
        <f>IF(B164="","Pending",IF(M164="","⚠️ Enter Code",IF(IFERROR(VLOOKUP(L164,DB_Agents!$B:$I,8,0),"")=M164,"Pending","🔒 BLOCKED — Wrong Code")))</f>
        <v>Pending</v>
      </c>
      <c r="M164" s="84"/>
    </row>
    <row r="165" spans="8:13" x14ac:dyDescent="0.25">
      <c r="H165" s="114"/>
      <c r="K165" s="15" t="str">
        <f>IF(B165="","Pending",IF(M165="","⚠️ Enter Code",IF(IFERROR(VLOOKUP(L165,DB_Agents!$B:$I,8,0),"")=M165,"Pending","🔒 BLOCKED — Wrong Code")))</f>
        <v>Pending</v>
      </c>
      <c r="M165" s="84"/>
    </row>
    <row r="166" spans="8:13" x14ac:dyDescent="0.25">
      <c r="H166" s="114"/>
      <c r="K166" s="115" t="str">
        <f>IF(B166="","Pending",IF(M166="","⚠️ Enter Code",IF(IFERROR(VLOOKUP(L166,DB_Agents!$B:$I,8,0),"")=M166,"Pending","🔒 BLOCKED — Wrong Code")))</f>
        <v>Pending</v>
      </c>
      <c r="M166" s="84"/>
    </row>
    <row r="167" spans="8:13" x14ac:dyDescent="0.25">
      <c r="H167" s="114"/>
      <c r="K167" s="15" t="str">
        <f>IF(B167="","Pending",IF(M167="","⚠️ Enter Code",IF(IFERROR(VLOOKUP(L167,DB_Agents!$B:$I,8,0),"")=M167,"Pending","🔒 BLOCKED — Wrong Code")))</f>
        <v>Pending</v>
      </c>
      <c r="M167" s="84"/>
    </row>
    <row r="168" spans="8:13" x14ac:dyDescent="0.25">
      <c r="H168" s="114"/>
      <c r="K168" s="115" t="str">
        <f>IF(B168="","Pending",IF(M168="","⚠️ Enter Code",IF(IFERROR(VLOOKUP(L168,DB_Agents!$B:$I,8,0),"")=M168,"Pending","🔒 BLOCKED — Wrong Code")))</f>
        <v>Pending</v>
      </c>
      <c r="M168" s="84"/>
    </row>
    <row r="169" spans="8:13" x14ac:dyDescent="0.25">
      <c r="H169" s="114"/>
      <c r="K169" s="15" t="str">
        <f>IF(B169="","Pending",IF(M169="","⚠️ Enter Code",IF(IFERROR(VLOOKUP(L169,DB_Agents!$B:$I,8,0),"")=M169,"Pending","🔒 BLOCKED — Wrong Code")))</f>
        <v>Pending</v>
      </c>
      <c r="M169" s="84"/>
    </row>
    <row r="170" spans="8:13" x14ac:dyDescent="0.25">
      <c r="H170" s="114"/>
      <c r="K170" s="115" t="str">
        <f>IF(B170="","Pending",IF(M170="","⚠️ Enter Code",IF(IFERROR(VLOOKUP(L170,DB_Agents!$B:$I,8,0),"")=M170,"Pending","🔒 BLOCKED — Wrong Code")))</f>
        <v>Pending</v>
      </c>
      <c r="M170" s="84"/>
    </row>
    <row r="171" spans="8:13" x14ac:dyDescent="0.25">
      <c r="H171" s="114"/>
      <c r="K171" s="15" t="str">
        <f>IF(B171="","Pending",IF(M171="","⚠️ Enter Code",IF(IFERROR(VLOOKUP(L171,DB_Agents!$B:$I,8,0),"")=M171,"Pending","🔒 BLOCKED — Wrong Code")))</f>
        <v>Pending</v>
      </c>
      <c r="M171" s="84"/>
    </row>
    <row r="172" spans="8:13" x14ac:dyDescent="0.25">
      <c r="H172" s="114"/>
      <c r="K172" s="115" t="str">
        <f>IF(B172="","Pending",IF(M172="","⚠️ Enter Code",IF(IFERROR(VLOOKUP(L172,DB_Agents!$B:$I,8,0),"")=M172,"Pending","🔒 BLOCKED — Wrong Code")))</f>
        <v>Pending</v>
      </c>
      <c r="M172" s="84"/>
    </row>
    <row r="173" spans="8:13" x14ac:dyDescent="0.25">
      <c r="H173" s="114"/>
      <c r="K173" s="15" t="str">
        <f>IF(B173="","Pending",IF(M173="","⚠️ Enter Code",IF(IFERROR(VLOOKUP(L173,DB_Agents!$B:$I,8,0),"")=M173,"Pending","🔒 BLOCKED — Wrong Code")))</f>
        <v>Pending</v>
      </c>
      <c r="M173" s="84"/>
    </row>
    <row r="174" spans="8:13" x14ac:dyDescent="0.25">
      <c r="H174" s="114"/>
      <c r="K174" s="115" t="str">
        <f>IF(B174="","Pending",IF(M174="","⚠️ Enter Code",IF(IFERROR(VLOOKUP(L174,DB_Agents!$B:$I,8,0),"")=M174,"Pending","🔒 BLOCKED — Wrong Code")))</f>
        <v>Pending</v>
      </c>
      <c r="M174" s="84"/>
    </row>
    <row r="175" spans="8:13" x14ac:dyDescent="0.25">
      <c r="H175" s="114"/>
      <c r="K175" s="15" t="str">
        <f>IF(B175="","Pending",IF(M175="","⚠️ Enter Code",IF(IFERROR(VLOOKUP(L175,DB_Agents!$B:$I,8,0),"")=M175,"Pending","🔒 BLOCKED — Wrong Code")))</f>
        <v>Pending</v>
      </c>
      <c r="M175" s="84"/>
    </row>
    <row r="176" spans="8:13" x14ac:dyDescent="0.25">
      <c r="H176" s="114"/>
      <c r="K176" s="115" t="str">
        <f>IF(B176="","Pending",IF(M176="","⚠️ Enter Code",IF(IFERROR(VLOOKUP(L176,DB_Agents!$B:$I,8,0),"")=M176,"Pending","🔒 BLOCKED — Wrong Code")))</f>
        <v>Pending</v>
      </c>
      <c r="M176" s="84"/>
    </row>
    <row r="177" spans="8:13" x14ac:dyDescent="0.25">
      <c r="H177" s="114"/>
      <c r="K177" s="15" t="str">
        <f>IF(B177="","Pending",IF(M177="","⚠️ Enter Code",IF(IFERROR(VLOOKUP(L177,DB_Agents!$B:$I,8,0),"")=M177,"Pending","🔒 BLOCKED — Wrong Code")))</f>
        <v>Pending</v>
      </c>
      <c r="M177" s="84"/>
    </row>
    <row r="178" spans="8:13" x14ac:dyDescent="0.25">
      <c r="H178" s="114"/>
      <c r="K178" s="115" t="str">
        <f>IF(B178="","Pending",IF(M178="","⚠️ Enter Code",IF(IFERROR(VLOOKUP(L178,DB_Agents!$B:$I,8,0),"")=M178,"Pending","🔒 BLOCKED — Wrong Code")))</f>
        <v>Pending</v>
      </c>
      <c r="M178" s="84"/>
    </row>
    <row r="179" spans="8:13" x14ac:dyDescent="0.25">
      <c r="H179" s="114"/>
      <c r="K179" s="15" t="str">
        <f>IF(B179="","Pending",IF(M179="","⚠️ Enter Code",IF(IFERROR(VLOOKUP(L179,DB_Agents!$B:$I,8,0),"")=M179,"Pending","🔒 BLOCKED — Wrong Code")))</f>
        <v>Pending</v>
      </c>
      <c r="M179" s="84"/>
    </row>
    <row r="180" spans="8:13" x14ac:dyDescent="0.25">
      <c r="H180" s="114"/>
      <c r="K180" s="115" t="str">
        <f>IF(B180="","Pending",IF(M180="","⚠️ Enter Code",IF(IFERROR(VLOOKUP(L180,DB_Agents!$B:$I,8,0),"")=M180,"Pending","🔒 BLOCKED — Wrong Code")))</f>
        <v>Pending</v>
      </c>
      <c r="M180" s="84"/>
    </row>
    <row r="181" spans="8:13" x14ac:dyDescent="0.25">
      <c r="H181" s="114"/>
      <c r="K181" s="15" t="str">
        <f>IF(B181="","Pending",IF(M181="","⚠️ Enter Code",IF(IFERROR(VLOOKUP(L181,DB_Agents!$B:$I,8,0),"")=M181,"Pending","🔒 BLOCKED — Wrong Code")))</f>
        <v>Pending</v>
      </c>
      <c r="M181" s="84"/>
    </row>
    <row r="182" spans="8:13" x14ac:dyDescent="0.25">
      <c r="H182" s="114"/>
      <c r="K182" s="115" t="str">
        <f>IF(B182="","Pending",IF(M182="","⚠️ Enter Code",IF(IFERROR(VLOOKUP(L182,DB_Agents!$B:$I,8,0),"")=M182,"Pending","🔒 BLOCKED — Wrong Code")))</f>
        <v>Pending</v>
      </c>
      <c r="M182" s="84"/>
    </row>
    <row r="183" spans="8:13" x14ac:dyDescent="0.25">
      <c r="H183" s="114"/>
      <c r="K183" s="15" t="str">
        <f>IF(B183="","Pending",IF(M183="","⚠️ Enter Code",IF(IFERROR(VLOOKUP(L183,DB_Agents!$B:$I,8,0),"")=M183,"Pending","🔒 BLOCKED — Wrong Code")))</f>
        <v>Pending</v>
      </c>
      <c r="M183" s="84"/>
    </row>
    <row r="184" spans="8:13" x14ac:dyDescent="0.25">
      <c r="H184" s="114"/>
      <c r="K184" s="115" t="str">
        <f>IF(B184="","Pending",IF(M184="","⚠️ Enter Code",IF(IFERROR(VLOOKUP(L184,DB_Agents!$B:$I,8,0),"")=M184,"Pending","🔒 BLOCKED — Wrong Code")))</f>
        <v>Pending</v>
      </c>
      <c r="M184" s="84"/>
    </row>
    <row r="185" spans="8:13" x14ac:dyDescent="0.25">
      <c r="H185" s="114"/>
      <c r="K185" s="15" t="str">
        <f>IF(B185="","Pending",IF(M185="","⚠️ Enter Code",IF(IFERROR(VLOOKUP(L185,DB_Agents!$B:$I,8,0),"")=M185,"Pending","🔒 BLOCKED — Wrong Code")))</f>
        <v>Pending</v>
      </c>
      <c r="M185" s="84"/>
    </row>
    <row r="186" spans="8:13" x14ac:dyDescent="0.25">
      <c r="H186" s="114"/>
      <c r="K186" s="115" t="str">
        <f>IF(B186="","Pending",IF(M186="","⚠️ Enter Code",IF(IFERROR(VLOOKUP(L186,DB_Agents!$B:$I,8,0),"")=M186,"Pending","🔒 BLOCKED — Wrong Code")))</f>
        <v>Pending</v>
      </c>
      <c r="M186" s="84"/>
    </row>
    <row r="187" spans="8:13" x14ac:dyDescent="0.25">
      <c r="H187" s="114"/>
      <c r="K187" s="15" t="str">
        <f>IF(B187="","Pending",IF(M187="","⚠️ Enter Code",IF(IFERROR(VLOOKUP(L187,DB_Agents!$B:$I,8,0),"")=M187,"Pending","🔒 BLOCKED — Wrong Code")))</f>
        <v>Pending</v>
      </c>
      <c r="M187" s="84"/>
    </row>
    <row r="188" spans="8:13" x14ac:dyDescent="0.25">
      <c r="H188" s="114"/>
      <c r="K188" s="115" t="str">
        <f>IF(B188="","Pending",IF(M188="","⚠️ Enter Code",IF(IFERROR(VLOOKUP(L188,DB_Agents!$B:$I,8,0),"")=M188,"Pending","🔒 BLOCKED — Wrong Code")))</f>
        <v>Pending</v>
      </c>
      <c r="M188" s="84"/>
    </row>
    <row r="189" spans="8:13" x14ac:dyDescent="0.25">
      <c r="H189" s="114"/>
      <c r="K189" s="15" t="str">
        <f>IF(B189="","Pending",IF(M189="","⚠️ Enter Code",IF(IFERROR(VLOOKUP(L189,DB_Agents!$B:$I,8,0),"")=M189,"Pending","🔒 BLOCKED — Wrong Code")))</f>
        <v>Pending</v>
      </c>
      <c r="M189" s="84"/>
    </row>
    <row r="190" spans="8:13" x14ac:dyDescent="0.25">
      <c r="H190" s="114"/>
      <c r="K190" s="115" t="str">
        <f>IF(B190="","Pending",IF(M190="","⚠️ Enter Code",IF(IFERROR(VLOOKUP(L190,DB_Agents!$B:$I,8,0),"")=M190,"Pending","🔒 BLOCKED — Wrong Code")))</f>
        <v>Pending</v>
      </c>
      <c r="M190" s="84"/>
    </row>
    <row r="191" spans="8:13" x14ac:dyDescent="0.25">
      <c r="H191" s="114"/>
      <c r="K191" s="15" t="str">
        <f>IF(B191="","Pending",IF(M191="","⚠️ Enter Code",IF(IFERROR(VLOOKUP(L191,DB_Agents!$B:$I,8,0),"")=M191,"Pending","🔒 BLOCKED — Wrong Code")))</f>
        <v>Pending</v>
      </c>
      <c r="M191" s="84"/>
    </row>
    <row r="192" spans="8:13" x14ac:dyDescent="0.25">
      <c r="H192" s="114"/>
      <c r="K192" s="115" t="str">
        <f>IF(B192="","Pending",IF(M192="","⚠️ Enter Code",IF(IFERROR(VLOOKUP(L192,DB_Agents!$B:$I,8,0),"")=M192,"Pending","🔒 BLOCKED — Wrong Code")))</f>
        <v>Pending</v>
      </c>
      <c r="M192" s="84"/>
    </row>
    <row r="193" spans="8:13" x14ac:dyDescent="0.25">
      <c r="H193" s="114"/>
      <c r="K193" s="15" t="str">
        <f>IF(B193="","Pending",IF(M193="","⚠️ Enter Code",IF(IFERROR(VLOOKUP(L193,DB_Agents!$B:$I,8,0),"")=M193,"Pending","🔒 BLOCKED — Wrong Code")))</f>
        <v>Pending</v>
      </c>
      <c r="M193" s="84"/>
    </row>
    <row r="194" spans="8:13" x14ac:dyDescent="0.25">
      <c r="H194" s="114"/>
      <c r="K194" s="115" t="str">
        <f>IF(B194="","Pending",IF(M194="","⚠️ Enter Code",IF(IFERROR(VLOOKUP(L194,DB_Agents!$B:$I,8,0),"")=M194,"Pending","🔒 BLOCKED — Wrong Code")))</f>
        <v>Pending</v>
      </c>
      <c r="M194" s="84"/>
    </row>
    <row r="195" spans="8:13" x14ac:dyDescent="0.25">
      <c r="H195" s="114"/>
      <c r="K195" s="15" t="str">
        <f>IF(B195="","Pending",IF(M195="","⚠️ Enter Code",IF(IFERROR(VLOOKUP(L195,DB_Agents!$B:$I,8,0),"")=M195,"Pending","🔒 BLOCKED — Wrong Code")))</f>
        <v>Pending</v>
      </c>
      <c r="M195" s="84"/>
    </row>
    <row r="196" spans="8:13" x14ac:dyDescent="0.25">
      <c r="H196" s="114"/>
      <c r="K196" s="115" t="str">
        <f>IF(B196="","Pending",IF(M196="","⚠️ Enter Code",IF(IFERROR(VLOOKUP(L196,DB_Agents!$B:$I,8,0),"")=M196,"Pending","🔒 BLOCKED — Wrong Code")))</f>
        <v>Pending</v>
      </c>
      <c r="M196" s="84"/>
    </row>
    <row r="197" spans="8:13" x14ac:dyDescent="0.25">
      <c r="H197" s="114"/>
      <c r="K197" s="15" t="str">
        <f>IF(B197="","Pending",IF(M197="","⚠️ Enter Code",IF(IFERROR(VLOOKUP(L197,DB_Agents!$B:$I,8,0),"")=M197,"Pending","🔒 BLOCKED — Wrong Code")))</f>
        <v>Pending</v>
      </c>
      <c r="M197" s="84"/>
    </row>
    <row r="198" spans="8:13" x14ac:dyDescent="0.25">
      <c r="H198" s="114"/>
      <c r="K198" s="115" t="str">
        <f>IF(B198="","Pending",IF(M198="","⚠️ Enter Code",IF(IFERROR(VLOOKUP(L198,DB_Agents!$B:$I,8,0),"")=M198,"Pending","🔒 BLOCKED — Wrong Code")))</f>
        <v>Pending</v>
      </c>
      <c r="M198" s="84"/>
    </row>
    <row r="199" spans="8:13" x14ac:dyDescent="0.25">
      <c r="H199" s="114"/>
      <c r="K199" s="15" t="str">
        <f>IF(B199="","Pending",IF(M199="","⚠️ Enter Code",IF(IFERROR(VLOOKUP(L199,DB_Agents!$B:$I,8,0),"")=M199,"Pending","🔒 BLOCKED — Wrong Code")))</f>
        <v>Pending</v>
      </c>
      <c r="M199" s="84"/>
    </row>
    <row r="200" spans="8:13" x14ac:dyDescent="0.25">
      <c r="H200" s="114"/>
      <c r="K200" s="115" t="str">
        <f>IF(B200="","Pending",IF(M200="","⚠️ Enter Code",IF(IFERROR(VLOOKUP(L200,DB_Agents!$B:$I,8,0),"")=M200,"Pending","🔒 BLOCKED — Wrong Code")))</f>
        <v>Pending</v>
      </c>
      <c r="M200" s="84"/>
    </row>
    <row r="201" spans="8:13" x14ac:dyDescent="0.25">
      <c r="K201" s="15" t="str">
        <f>IF(B201="","Pending",IF(M201="","⚠️ Enter Code",IF(IFERROR(VLOOKUP(L201,DB_Agents!$B:$I,8,0),"")=M201,"Pending","🔒 BLOCKED — Wrong Code")))</f>
        <v>Pending</v>
      </c>
      <c r="M201" s="84"/>
    </row>
    <row r="202" spans="8:13" x14ac:dyDescent="0.25">
      <c r="K202" s="115" t="str">
        <f>IF(B202="","Pending",IF(M202="","⚠️ Enter Code",IF(IFERROR(VLOOKUP(L202,DB_Agents!$B:$I,8,0),"")=M202,"Pending","🔒 BLOCKED — Wrong Code")))</f>
        <v>Pending</v>
      </c>
      <c r="M202" s="84"/>
    </row>
    <row r="203" spans="8:13" x14ac:dyDescent="0.25">
      <c r="K203" s="15" t="str">
        <f>IF(B203="","Pending",IF(M203="","⚠️ Enter Code",IF(IFERROR(VLOOKUP(L203,DB_Agents!$B:$I,8,0),"")=M203,"Pending","🔒 BLOCKED — Wrong Code")))</f>
        <v>Pending</v>
      </c>
      <c r="M203" s="84"/>
    </row>
    <row r="204" spans="8:13" x14ac:dyDescent="0.25">
      <c r="K204" s="115" t="str">
        <f>IF(B204="","Pending",IF(M204="","⚠️ Enter Code",IF(IFERROR(VLOOKUP(L204,DB_Agents!$B:$I,8,0),"")=M204,"Pending","🔒 BLOCKED — Wrong Code")))</f>
        <v>Pending</v>
      </c>
      <c r="M204" s="84"/>
    </row>
    <row r="205" spans="8:13" x14ac:dyDescent="0.25">
      <c r="K205" s="15" t="str">
        <f>IF(B205="","Pending",IF(M205="","⚠️ Enter Code",IF(IFERROR(VLOOKUP(L205,DB_Agents!$B:$I,8,0),"")=M205,"Pending","🔒 BLOCKED — Wrong Code")))</f>
        <v>Pending</v>
      </c>
      <c r="M205" s="84"/>
    </row>
    <row r="206" spans="8:13" x14ac:dyDescent="0.25">
      <c r="K206" s="115" t="str">
        <f>IF(B206="","Pending",IF(M206="","⚠️ Enter Code",IF(IFERROR(VLOOKUP(L206,DB_Agents!$B:$I,8,0),"")=M206,"Pending","🔒 BLOCKED — Wrong Code")))</f>
        <v>Pending</v>
      </c>
      <c r="M206" s="84"/>
    </row>
    <row r="207" spans="8:13" x14ac:dyDescent="0.25">
      <c r="K207" s="15" t="str">
        <f>IF(B207="","Pending",IF(M207="","⚠️ Enter Code",IF(IFERROR(VLOOKUP(L207,DB_Agents!$B:$I,8,0),"")=M207,"Pending","🔒 BLOCKED — Wrong Code")))</f>
        <v>Pending</v>
      </c>
      <c r="M207" s="84"/>
    </row>
    <row r="208" spans="8:13" x14ac:dyDescent="0.25">
      <c r="K208" s="115" t="str">
        <f>IF(B208="","Pending",IF(M208="","⚠️ Enter Code",IF(IFERROR(VLOOKUP(L208,DB_Agents!$B:$I,8,0),"")=M208,"Pending","🔒 BLOCKED — Wrong Code")))</f>
        <v>Pending</v>
      </c>
      <c r="M208" s="84"/>
    </row>
    <row r="209" spans="11:13" x14ac:dyDescent="0.25">
      <c r="K209" s="15" t="str">
        <f>IF(B209="","Pending",IF(M209="","⚠️ Enter Code",IF(IFERROR(VLOOKUP(L209,DB_Agents!$B:$I,8,0),"")=M209,"Pending","🔒 BLOCKED — Wrong Code")))</f>
        <v>Pending</v>
      </c>
      <c r="M209" s="84"/>
    </row>
    <row r="210" spans="11:13" x14ac:dyDescent="0.25">
      <c r="K210" s="115" t="str">
        <f>IF(B210="","Pending",IF(M210="","⚠️ Enter Code",IF(IFERROR(VLOOKUP(L210,DB_Agents!$B:$I,8,0),"")=M210,"Pending","🔒 BLOCKED — Wrong Code")))</f>
        <v>Pending</v>
      </c>
      <c r="M210" s="84"/>
    </row>
    <row r="211" spans="11:13" x14ac:dyDescent="0.25">
      <c r="K211" s="15" t="str">
        <f>IF(B211="","Pending",IF(M211="","⚠️ Enter Code",IF(IFERROR(VLOOKUP(L211,DB_Agents!$B:$I,8,0),"")=M211,"Pending","🔒 BLOCKED — Wrong Code")))</f>
        <v>Pending</v>
      </c>
      <c r="M211" s="84"/>
    </row>
    <row r="212" spans="11:13" x14ac:dyDescent="0.25">
      <c r="K212" s="115" t="str">
        <f>IF(B212="","Pending",IF(M212="","⚠️ Enter Code",IF(IFERROR(VLOOKUP(L212,DB_Agents!$B:$I,8,0),"")=M212,"Pending","🔒 BLOCKED — Wrong Code")))</f>
        <v>Pending</v>
      </c>
      <c r="M212" s="84"/>
    </row>
    <row r="213" spans="11:13" x14ac:dyDescent="0.25">
      <c r="K213" s="15" t="str">
        <f>IF(B213="","Pending",IF(M213="","⚠️ Enter Code",IF(IFERROR(VLOOKUP(L213,DB_Agents!$B:$I,8,0),"")=M213,"Pending","🔒 BLOCKED — Wrong Code")))</f>
        <v>Pending</v>
      </c>
      <c r="M213" s="84"/>
    </row>
  </sheetData>
  <mergeCells count="10">
    <mergeCell ref="B7:D7"/>
    <mergeCell ref="B8:D8"/>
    <mergeCell ref="B9:D9"/>
    <mergeCell ref="B10:D10"/>
    <mergeCell ref="A12:N12"/>
    <mergeCell ref="A1:N1"/>
    <mergeCell ref="A2:N2"/>
    <mergeCell ref="A4:D4"/>
    <mergeCell ref="B5:D5"/>
    <mergeCell ref="B6:D6"/>
  </mergeCells>
  <conditionalFormatting sqref="K14:K113">
    <cfRule type="cellIs" dxfId="65" priority="2" operator="equal">
      <formula>"Approved"</formula>
    </cfRule>
    <cfRule type="cellIs" dxfId="64" priority="3" operator="equal">
      <formula>"Pending"</formula>
    </cfRule>
    <cfRule type="cellIs" dxfId="63" priority="4" operator="equal">
      <formula>"Rejected"</formula>
    </cfRule>
  </conditionalFormatting>
  <dataValidations count="2">
    <dataValidation type="whole" showErrorMessage="1" error="Enter 1-36 months" sqref="G14:G113" xr:uid="{00000000-0002-0000-1000-000000000000}">
      <formula1>1</formula1>
      <formula2>36</formula2>
    </dataValidation>
    <dataValidation type="list" sqref="L14:L113" xr:uid="{00000000-0002-0000-10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tabColor rgb="FF27AE60"/>
  </sheetPr>
  <dimension ref="A1:L208"/>
  <sheetViews>
    <sheetView zoomScaleNormal="100" workbookViewId="0">
      <pane ySplit="8" topLeftCell="A9" activePane="bottomLeft" state="frozen"/>
      <selection pane="bottomLeft"/>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2" customWidth="1"/>
    <col min="8" max="8" width="14" customWidth="1"/>
    <col min="9" max="10" width="22" customWidth="1"/>
  </cols>
  <sheetData>
    <row r="1" spans="1:12" ht="31.5" customHeight="1" x14ac:dyDescent="0.25">
      <c r="A1" s="14" t="s">
        <v>210</v>
      </c>
      <c r="B1" s="14"/>
      <c r="C1" s="14"/>
      <c r="D1" s="14"/>
      <c r="E1" s="14"/>
      <c r="F1" s="14"/>
      <c r="G1" s="14"/>
      <c r="H1" s="14"/>
      <c r="I1" s="14"/>
      <c r="J1" s="14"/>
      <c r="K1" s="14"/>
      <c r="L1" s="14"/>
    </row>
    <row r="2" spans="1:12" ht="19.5" customHeight="1" x14ac:dyDescent="0.25">
      <c r="A2" s="204" t="s">
        <v>211</v>
      </c>
      <c r="B2" s="204"/>
      <c r="C2" s="204"/>
      <c r="D2" s="204"/>
      <c r="E2" s="204"/>
      <c r="F2" s="204"/>
      <c r="G2" s="204"/>
      <c r="H2" s="204"/>
      <c r="I2" s="204"/>
      <c r="J2" s="204"/>
      <c r="K2" s="204"/>
      <c r="L2" s="204"/>
    </row>
    <row r="3" spans="1:12" ht="18" customHeight="1" x14ac:dyDescent="0.25">
      <c r="A3" s="177" t="s">
        <v>167</v>
      </c>
      <c r="B3" s="177"/>
      <c r="C3" s="177"/>
      <c r="D3" s="180" t="s">
        <v>168</v>
      </c>
      <c r="E3" s="180"/>
      <c r="F3" s="180"/>
      <c r="G3" s="154" t="s">
        <v>169</v>
      </c>
      <c r="H3" s="154"/>
      <c r="I3" s="154"/>
      <c r="J3" s="2"/>
      <c r="K3" s="2"/>
      <c r="L3" s="2"/>
    </row>
    <row r="4" spans="1:12" ht="27.75" customHeight="1" x14ac:dyDescent="0.25">
      <c r="A4" s="205">
        <f ca="1">SUMIFS(DB_Savings!$F:$F,DB_Savings!$G:$G,"Agent 05",DB_Savings!$E:$E,TODAY())</f>
        <v>0</v>
      </c>
      <c r="B4" s="205"/>
      <c r="C4" s="205"/>
      <c r="D4" s="206">
        <f ca="1">COUNTIFS(DB_Savings!$G:$G,"Agent 05",DB_Savings!$E:$E,TODAY())</f>
        <v>0</v>
      </c>
      <c r="E4" s="206"/>
      <c r="F4" s="206"/>
      <c r="G4" s="207" t="str">
        <f ca="1">TEXT(TODAY(),"DDDD, DD MMMM YYYY")</f>
        <v>Sunday, 19 April 2026</v>
      </c>
      <c r="H4" s="207"/>
      <c r="I4" s="207"/>
      <c r="J4" s="2"/>
      <c r="K4" s="2"/>
      <c r="L4" s="2"/>
    </row>
    <row r="5" spans="1:12" ht="21.75" customHeight="1" x14ac:dyDescent="0.25">
      <c r="A5" s="208" t="str">
        <f ca="1">IF(SUMIFS(DB_Savings!$F:$F,DB_Savings!$G:$G,"Agent 05",DB_Savings!$E:$E,TODAY())&gt;=J4,"✅ DAILY TARGET ACHIEVED! Well done Agent 05!","⏳ Collection in progress — Keep going! Remaining: GHC "&amp;TEXT(J4-SUMIFS(DB_Savings!$F:$F,DB_Savings!$G:$G,"Agent 05",DB_Savings!$E:$E,TODAY()),"#,##0.00"))</f>
        <v>✅ DAILY TARGET ACHIEVED! Well done Agent 05!</v>
      </c>
      <c r="B5" s="208"/>
      <c r="C5" s="208"/>
      <c r="D5" s="208"/>
      <c r="E5" s="208"/>
      <c r="F5" s="208"/>
      <c r="G5" s="208"/>
      <c r="H5" s="208"/>
      <c r="I5" s="208"/>
      <c r="J5" s="208"/>
      <c r="K5" s="208"/>
      <c r="L5" s="208"/>
    </row>
    <row r="6" spans="1:12" ht="7.5" customHeight="1" x14ac:dyDescent="0.25"/>
    <row r="7" spans="1:12" ht="19.5" customHeight="1" x14ac:dyDescent="0.25">
      <c r="A7" s="209" t="s">
        <v>170</v>
      </c>
      <c r="B7" s="209"/>
      <c r="C7" s="209"/>
      <c r="D7" s="209"/>
      <c r="E7" s="209"/>
      <c r="F7" s="209"/>
      <c r="G7" s="209"/>
      <c r="H7" s="209"/>
      <c r="I7" s="209"/>
      <c r="J7" s="209"/>
      <c r="K7" s="209"/>
      <c r="L7" s="209"/>
    </row>
    <row r="8" spans="1:12" ht="19.5" customHeight="1" x14ac:dyDescent="0.25">
      <c r="A8" s="20" t="s">
        <v>171</v>
      </c>
      <c r="B8" s="20" t="s">
        <v>118</v>
      </c>
      <c r="C8" s="20" t="s">
        <v>172</v>
      </c>
      <c r="D8" s="20" t="s">
        <v>111</v>
      </c>
      <c r="E8" s="20" t="s">
        <v>173</v>
      </c>
      <c r="F8" s="20" t="s">
        <v>174</v>
      </c>
      <c r="G8" s="20" t="s">
        <v>32</v>
      </c>
      <c r="H8" s="78" t="s">
        <v>175</v>
      </c>
      <c r="I8" s="20" t="s">
        <v>155</v>
      </c>
      <c r="J8" s="20" t="s">
        <v>176</v>
      </c>
      <c r="K8" s="20" t="s">
        <v>177</v>
      </c>
    </row>
    <row r="9" spans="1:12" x14ac:dyDescent="0.25">
      <c r="A9" s="79"/>
      <c r="B9" s="21" t="str">
        <f>IF(A9="","",IFERROR(VLOOKUP(A9,DB_Customers!$A:$D,4,0),"❌ Account Not Found"))</f>
        <v/>
      </c>
      <c r="C9" s="80" t="str">
        <f>IF(A9="","",IFERROR(VLOOKUP(A9,DB_Customers!$A:$N,14,0),""))</f>
        <v/>
      </c>
      <c r="D9" s="81" t="str">
        <f t="shared" ref="D9:D40" ca="1" si="0">IF(A9="","",TODAY())</f>
        <v/>
      </c>
      <c r="E9" s="82"/>
      <c r="F9" s="83" t="str">
        <f t="shared" ref="F9:F40" si="1">IF(OR(A9="",E9=""),"",IF(C9="","",C9+E9))</f>
        <v/>
      </c>
      <c r="G9" s="23" t="s">
        <v>45</v>
      </c>
      <c r="H9" s="84"/>
      <c r="I9" s="85" t="str">
        <f>IF(A9="","Pending",IF(H9="","⚠️ Enter Code",IF(IFERROR(VLOOKUP(G9,DB_Agents!$B:$I,8,0),"")=H9,IF(AND(A9&lt;&gt;"",E9&lt;&gt;""),"Saved","Pending"),"🔒 BLOCKED — Wrong Code")))</f>
        <v>Pending</v>
      </c>
      <c r="J9" s="86" t="str">
        <f t="shared" ref="J9:J40" ca="1" si="2">IF(I9="Saved",TEXT(TODAY(),"YYYY-MM-DD")&amp;" Auto","—")</f>
        <v>—</v>
      </c>
      <c r="K9" s="87"/>
    </row>
    <row r="10" spans="1:12" x14ac:dyDescent="0.25">
      <c r="A10" s="88"/>
      <c r="B10" s="25" t="str">
        <f>IF(A10="","",IFERROR(VLOOKUP(A10,DB_Customers!$A:$D,4,0),"❌ Account Not Found"))</f>
        <v/>
      </c>
      <c r="C10" s="89" t="str">
        <f>IF(A10="","",IFERROR(VLOOKUP(A10,DB_Customers!$A:$N,14,0),""))</f>
        <v/>
      </c>
      <c r="D10" s="90" t="str">
        <f t="shared" ca="1" si="0"/>
        <v/>
      </c>
      <c r="E10" s="82"/>
      <c r="F10" s="91" t="str">
        <f t="shared" si="1"/>
        <v/>
      </c>
      <c r="G10" s="27" t="s">
        <v>45</v>
      </c>
      <c r="H10" s="84"/>
      <c r="I10" s="92" t="str">
        <f>IF(A10="","Pending",IF(H10="","⚠️ Enter Code",IF(IFERROR(VLOOKUP(G10,DB_Agents!$B:$I,8,0),"")=H10,IF(AND(A10&lt;&gt;"",E10&lt;&gt;""),"Saved","Pending"),"🔒 BLOCKED — Wrong Code")))</f>
        <v>Pending</v>
      </c>
      <c r="J10" s="93" t="str">
        <f t="shared" ca="1" si="2"/>
        <v>—</v>
      </c>
      <c r="K10" s="94"/>
    </row>
    <row r="11" spans="1:12" x14ac:dyDescent="0.25">
      <c r="A11" s="79"/>
      <c r="B11" s="21" t="str">
        <f>IF(A11="","",IFERROR(VLOOKUP(A11,DB_Customers!$A:$D,4,0),"❌ Account Not Found"))</f>
        <v/>
      </c>
      <c r="C11" s="80" t="str">
        <f>IF(A11="","",IFERROR(VLOOKUP(A11,DB_Customers!$A:$N,14,0),""))</f>
        <v/>
      </c>
      <c r="D11" s="81" t="str">
        <f t="shared" ca="1" si="0"/>
        <v/>
      </c>
      <c r="E11" s="82"/>
      <c r="F11" s="83" t="str">
        <f t="shared" si="1"/>
        <v/>
      </c>
      <c r="G11" s="23" t="s">
        <v>45</v>
      </c>
      <c r="H11" s="84"/>
      <c r="I11" s="85" t="str">
        <f>IF(A11="","Pending",IF(H11="","⚠️ Enter Code",IF(IFERROR(VLOOKUP(G11,DB_Agents!$B:$I,8,0),"")=H11,IF(AND(A11&lt;&gt;"",E11&lt;&gt;""),"Saved","Pending"),"🔒 BLOCKED — Wrong Code")))</f>
        <v>Pending</v>
      </c>
      <c r="J11" s="86" t="str">
        <f t="shared" ca="1" si="2"/>
        <v>—</v>
      </c>
      <c r="K11" s="87"/>
    </row>
    <row r="12" spans="1:12" x14ac:dyDescent="0.25">
      <c r="A12" s="88"/>
      <c r="B12" s="25" t="str">
        <f>IF(A12="","",IFERROR(VLOOKUP(A12,DB_Customers!$A:$D,4,0),"❌ Account Not Found"))</f>
        <v/>
      </c>
      <c r="C12" s="89" t="str">
        <f>IF(A12="","",IFERROR(VLOOKUP(A12,DB_Customers!$A:$N,14,0),""))</f>
        <v/>
      </c>
      <c r="D12" s="90" t="str">
        <f t="shared" ca="1" si="0"/>
        <v/>
      </c>
      <c r="E12" s="82"/>
      <c r="F12" s="91" t="str">
        <f t="shared" si="1"/>
        <v/>
      </c>
      <c r="G12" s="27" t="s">
        <v>45</v>
      </c>
      <c r="H12" s="84"/>
      <c r="I12" s="92" t="str">
        <f>IF(A12="","Pending",IF(H12="","⚠️ Enter Code",IF(IFERROR(VLOOKUP(G12,DB_Agents!$B:$I,8,0),"")=H12,IF(AND(A12&lt;&gt;"",E12&lt;&gt;""),"Saved","Pending"),"🔒 BLOCKED — Wrong Code")))</f>
        <v>Pending</v>
      </c>
      <c r="J12" s="93" t="str">
        <f t="shared" ca="1" si="2"/>
        <v>—</v>
      </c>
      <c r="K12" s="94"/>
    </row>
    <row r="13" spans="1:12" x14ac:dyDescent="0.25">
      <c r="A13" s="79"/>
      <c r="B13" s="21" t="str">
        <f>IF(A13="","",IFERROR(VLOOKUP(A13,DB_Customers!$A:$D,4,0),"❌ Account Not Found"))</f>
        <v/>
      </c>
      <c r="C13" s="80" t="str">
        <f>IF(A13="","",IFERROR(VLOOKUP(A13,DB_Customers!$A:$N,14,0),""))</f>
        <v/>
      </c>
      <c r="D13" s="81" t="str">
        <f t="shared" ca="1" si="0"/>
        <v/>
      </c>
      <c r="E13" s="82"/>
      <c r="F13" s="83" t="str">
        <f t="shared" si="1"/>
        <v/>
      </c>
      <c r="G13" s="23" t="s">
        <v>45</v>
      </c>
      <c r="H13" s="84"/>
      <c r="I13" s="85" t="str">
        <f>IF(A13="","Pending",IF(H13="","⚠️ Enter Code",IF(IFERROR(VLOOKUP(G13,DB_Agents!$B:$I,8,0),"")=H13,IF(AND(A13&lt;&gt;"",E13&lt;&gt;""),"Saved","Pending"),"🔒 BLOCKED — Wrong Code")))</f>
        <v>Pending</v>
      </c>
      <c r="J13" s="86" t="str">
        <f t="shared" ca="1" si="2"/>
        <v>—</v>
      </c>
      <c r="K13" s="87"/>
    </row>
    <row r="14" spans="1:12" x14ac:dyDescent="0.25">
      <c r="A14" s="88"/>
      <c r="B14" s="25" t="str">
        <f>IF(A14="","",IFERROR(VLOOKUP(A14,DB_Customers!$A:$D,4,0),"❌ Account Not Found"))</f>
        <v/>
      </c>
      <c r="C14" s="89" t="str">
        <f>IF(A14="","",IFERROR(VLOOKUP(A14,DB_Customers!$A:$N,14,0),""))</f>
        <v/>
      </c>
      <c r="D14" s="90" t="str">
        <f t="shared" ca="1" si="0"/>
        <v/>
      </c>
      <c r="E14" s="82"/>
      <c r="F14" s="91" t="str">
        <f t="shared" si="1"/>
        <v/>
      </c>
      <c r="G14" s="27"/>
      <c r="H14" s="84"/>
      <c r="I14" s="92" t="str">
        <f>IF(A14="","Pending",IF(H14="","⚠️ Enter Code",IF(IFERROR(VLOOKUP(G14,DB_Agents!$B:$I,8,0),"")=H14,IF(AND(A14&lt;&gt;"",E14&lt;&gt;""),"Saved","Pending"),"🔒 BLOCKED — Wrong Code")))</f>
        <v>Pending</v>
      </c>
      <c r="J14" s="93" t="str">
        <f t="shared" ca="1" si="2"/>
        <v>—</v>
      </c>
      <c r="K14" s="94"/>
    </row>
    <row r="15" spans="1:12" x14ac:dyDescent="0.25">
      <c r="A15" s="79"/>
      <c r="B15" s="21" t="str">
        <f>IF(A15="","",IFERROR(VLOOKUP(A15,DB_Customers!$A:$D,4,0),"❌ Account Not Found"))</f>
        <v/>
      </c>
      <c r="C15" s="80" t="str">
        <f>IF(A15="","",IFERROR(VLOOKUP(A15,DB_Customers!$A:$N,14,0),""))</f>
        <v/>
      </c>
      <c r="D15" s="81" t="str">
        <f t="shared" ca="1" si="0"/>
        <v/>
      </c>
      <c r="E15" s="82"/>
      <c r="F15" s="83" t="str">
        <f t="shared" si="1"/>
        <v/>
      </c>
      <c r="G15" s="23"/>
      <c r="H15" s="84"/>
      <c r="I15" s="85" t="str">
        <f>IF(A15="","Pending",IF(H15="","⚠️ Enter Code",IF(IFERROR(VLOOKUP(G15,DB_Agents!$B:$I,8,0),"")=H15,IF(AND(A15&lt;&gt;"",E15&lt;&gt;""),"Saved","Pending"),"🔒 BLOCKED — Wrong Code")))</f>
        <v>Pending</v>
      </c>
      <c r="J15" s="86" t="str">
        <f t="shared" ca="1" si="2"/>
        <v>—</v>
      </c>
      <c r="K15" s="87"/>
    </row>
    <row r="16" spans="1:12" x14ac:dyDescent="0.25">
      <c r="A16" s="88"/>
      <c r="B16" s="25" t="str">
        <f>IF(A16="","",IFERROR(VLOOKUP(A16,DB_Customers!$A:$D,4,0),"❌ Account Not Found"))</f>
        <v/>
      </c>
      <c r="C16" s="89" t="str">
        <f>IF(A16="","",IFERROR(VLOOKUP(A16,DB_Customers!$A:$N,14,0),""))</f>
        <v/>
      </c>
      <c r="D16" s="90" t="str">
        <f t="shared" ca="1" si="0"/>
        <v/>
      </c>
      <c r="E16" s="82"/>
      <c r="F16" s="91" t="str">
        <f t="shared" si="1"/>
        <v/>
      </c>
      <c r="G16" s="27"/>
      <c r="H16" s="84"/>
      <c r="I16" s="92" t="str">
        <f>IF(A16="","Pending",IF(H16="","⚠️ Enter Code",IF(IFERROR(VLOOKUP(G16,DB_Agents!$B:$I,8,0),"")=H16,IF(AND(A16&lt;&gt;"",E16&lt;&gt;""),"Saved","Pending"),"🔒 BLOCKED — Wrong Code")))</f>
        <v>Pending</v>
      </c>
      <c r="J16" s="93" t="str">
        <f t="shared" ca="1" si="2"/>
        <v>—</v>
      </c>
      <c r="K16" s="94"/>
    </row>
    <row r="17" spans="1:11" x14ac:dyDescent="0.25">
      <c r="A17" s="79"/>
      <c r="B17" s="21" t="str">
        <f>IF(A17="","",IFERROR(VLOOKUP(A17,DB_Customers!$A:$D,4,0),"❌ Account Not Found"))</f>
        <v/>
      </c>
      <c r="C17" s="80" t="str">
        <f>IF(A17="","",IFERROR(VLOOKUP(A17,DB_Customers!$A:$N,14,0),""))</f>
        <v/>
      </c>
      <c r="D17" s="81" t="str">
        <f t="shared" ca="1" si="0"/>
        <v/>
      </c>
      <c r="E17" s="82"/>
      <c r="F17" s="83" t="str">
        <f t="shared" si="1"/>
        <v/>
      </c>
      <c r="G17" s="23"/>
      <c r="H17" s="84"/>
      <c r="I17" s="85" t="str">
        <f>IF(A17="","Pending",IF(H17="","⚠️ Enter Code",IF(IFERROR(VLOOKUP(G17,DB_Agents!$B:$I,8,0),"")=H17,IF(AND(A17&lt;&gt;"",E17&lt;&gt;""),"Saved","Pending"),"🔒 BLOCKED — Wrong Code")))</f>
        <v>Pending</v>
      </c>
      <c r="J17" s="86" t="str">
        <f t="shared" ca="1" si="2"/>
        <v>—</v>
      </c>
      <c r="K17" s="87"/>
    </row>
    <row r="18" spans="1:11" x14ac:dyDescent="0.25">
      <c r="A18" s="88"/>
      <c r="B18" s="25" t="str">
        <f>IF(A18="","",IFERROR(VLOOKUP(A18,DB_Customers!$A:$D,4,0),"❌ Account Not Found"))</f>
        <v/>
      </c>
      <c r="C18" s="89" t="str">
        <f>IF(A18="","",IFERROR(VLOOKUP(A18,DB_Customers!$A:$N,14,0),""))</f>
        <v/>
      </c>
      <c r="D18" s="90" t="str">
        <f t="shared" ca="1" si="0"/>
        <v/>
      </c>
      <c r="E18" s="82"/>
      <c r="F18" s="91" t="str">
        <f t="shared" si="1"/>
        <v/>
      </c>
      <c r="G18" s="27"/>
      <c r="H18" s="84"/>
      <c r="I18" s="92" t="str">
        <f>IF(A18="","Pending",IF(H18="","⚠️ Enter Code",IF(IFERROR(VLOOKUP(G18,DB_Agents!$B:$I,8,0),"")=H18,IF(AND(A18&lt;&gt;"",E18&lt;&gt;""),"Saved","Pending"),"🔒 BLOCKED — Wrong Code")))</f>
        <v>Pending</v>
      </c>
      <c r="J18" s="93" t="str">
        <f t="shared" ca="1" si="2"/>
        <v>—</v>
      </c>
      <c r="K18" s="94"/>
    </row>
    <row r="19" spans="1:11" x14ac:dyDescent="0.25">
      <c r="A19" s="79"/>
      <c r="B19" s="21" t="str">
        <f>IF(A19="","",IFERROR(VLOOKUP(A19,DB_Customers!$A:$D,4,0),"❌ Account Not Found"))</f>
        <v/>
      </c>
      <c r="C19" s="80" t="str">
        <f>IF(A19="","",IFERROR(VLOOKUP(A19,DB_Customers!$A:$N,14,0),""))</f>
        <v/>
      </c>
      <c r="D19" s="81" t="str">
        <f t="shared" ca="1" si="0"/>
        <v/>
      </c>
      <c r="E19" s="82"/>
      <c r="F19" s="83" t="str">
        <f t="shared" si="1"/>
        <v/>
      </c>
      <c r="G19" s="23"/>
      <c r="H19" s="84"/>
      <c r="I19" s="85" t="str">
        <f>IF(A19="","Pending",IF(H19="","⚠️ Enter Code",IF(IFERROR(VLOOKUP(G19,DB_Agents!$B:$I,8,0),"")=H19,IF(AND(A19&lt;&gt;"",E19&lt;&gt;""),"Saved","Pending"),"🔒 BLOCKED — Wrong Code")))</f>
        <v>Pending</v>
      </c>
      <c r="J19" s="86" t="str">
        <f t="shared" ca="1" si="2"/>
        <v>—</v>
      </c>
      <c r="K19" s="87"/>
    </row>
    <row r="20" spans="1:11" x14ac:dyDescent="0.25">
      <c r="A20" s="88"/>
      <c r="B20" s="25" t="str">
        <f>IF(A20="","",IFERROR(VLOOKUP(A20,DB_Customers!$A:$D,4,0),"❌ Account Not Found"))</f>
        <v/>
      </c>
      <c r="C20" s="89" t="str">
        <f>IF(A20="","",IFERROR(VLOOKUP(A20,DB_Customers!$A:$N,14,0),""))</f>
        <v/>
      </c>
      <c r="D20" s="90" t="str">
        <f t="shared" ca="1" si="0"/>
        <v/>
      </c>
      <c r="E20" s="82"/>
      <c r="F20" s="91" t="str">
        <f t="shared" si="1"/>
        <v/>
      </c>
      <c r="G20" s="27"/>
      <c r="H20" s="84"/>
      <c r="I20" s="92" t="str">
        <f>IF(A20="","Pending",IF(H20="","⚠️ Enter Code",IF(IFERROR(VLOOKUP(G20,DB_Agents!$B:$I,8,0),"")=H20,IF(AND(A20&lt;&gt;"",E20&lt;&gt;""),"Saved","Pending"),"🔒 BLOCKED — Wrong Code")))</f>
        <v>Pending</v>
      </c>
      <c r="J20" s="93" t="str">
        <f t="shared" ca="1" si="2"/>
        <v>—</v>
      </c>
      <c r="K20" s="94"/>
    </row>
    <row r="21" spans="1:11" x14ac:dyDescent="0.25">
      <c r="A21" s="79"/>
      <c r="B21" s="21" t="str">
        <f>IF(A21="","",IFERROR(VLOOKUP(A21,DB_Customers!$A:$D,4,0),"❌ Account Not Found"))</f>
        <v/>
      </c>
      <c r="C21" s="80" t="str">
        <f>IF(A21="","",IFERROR(VLOOKUP(A21,DB_Customers!$A:$N,14,0),""))</f>
        <v/>
      </c>
      <c r="D21" s="81" t="str">
        <f t="shared" ca="1" si="0"/>
        <v/>
      </c>
      <c r="E21" s="82"/>
      <c r="F21" s="83" t="str">
        <f t="shared" si="1"/>
        <v/>
      </c>
      <c r="G21" s="23"/>
      <c r="H21" s="84"/>
      <c r="I21" s="85" t="str">
        <f>IF(A21="","Pending",IF(H21="","⚠️ Enter Code",IF(IFERROR(VLOOKUP(G21,DB_Agents!$B:$I,8,0),"")=H21,IF(AND(A21&lt;&gt;"",E21&lt;&gt;""),"Saved","Pending"),"🔒 BLOCKED — Wrong Code")))</f>
        <v>Pending</v>
      </c>
      <c r="J21" s="86" t="str">
        <f t="shared" ca="1" si="2"/>
        <v>—</v>
      </c>
      <c r="K21" s="87"/>
    </row>
    <row r="22" spans="1:11" x14ac:dyDescent="0.25">
      <c r="A22" s="88"/>
      <c r="B22" s="25" t="str">
        <f>IF(A22="","",IFERROR(VLOOKUP(A22,DB_Customers!$A:$D,4,0),"❌ Account Not Found"))</f>
        <v/>
      </c>
      <c r="C22" s="89" t="str">
        <f>IF(A22="","",IFERROR(VLOOKUP(A22,DB_Customers!$A:$N,14,0),""))</f>
        <v/>
      </c>
      <c r="D22" s="90" t="str">
        <f t="shared" ca="1" si="0"/>
        <v/>
      </c>
      <c r="E22" s="82"/>
      <c r="F22" s="91" t="str">
        <f t="shared" si="1"/>
        <v/>
      </c>
      <c r="G22" s="27"/>
      <c r="H22" s="84"/>
      <c r="I22" s="92" t="str">
        <f>IF(A22="","Pending",IF(H22="","⚠️ Enter Code",IF(IFERROR(VLOOKUP(G22,DB_Agents!$B:$I,8,0),"")=H22,IF(AND(A22&lt;&gt;"",E22&lt;&gt;""),"Saved","Pending"),"🔒 BLOCKED — Wrong Code")))</f>
        <v>Pending</v>
      </c>
      <c r="J22" s="93" t="str">
        <f t="shared" ca="1" si="2"/>
        <v>—</v>
      </c>
      <c r="K22" s="94"/>
    </row>
    <row r="23" spans="1:11" x14ac:dyDescent="0.25">
      <c r="A23" s="79"/>
      <c r="B23" s="21" t="str">
        <f>IF(A23="","",IFERROR(VLOOKUP(A23,DB_Customers!$A:$D,4,0),"❌ Account Not Found"))</f>
        <v/>
      </c>
      <c r="C23" s="80" t="str">
        <f>IF(A23="","",IFERROR(VLOOKUP(A23,DB_Customers!$A:$N,14,0),""))</f>
        <v/>
      </c>
      <c r="D23" s="81" t="str">
        <f t="shared" ca="1" si="0"/>
        <v/>
      </c>
      <c r="E23" s="82"/>
      <c r="F23" s="83" t="str">
        <f t="shared" si="1"/>
        <v/>
      </c>
      <c r="G23" s="23"/>
      <c r="H23" s="84"/>
      <c r="I23" s="85" t="str">
        <f>IF(A23="","Pending",IF(H23="","⚠️ Enter Code",IF(IFERROR(VLOOKUP(G23,DB_Agents!$B:$I,8,0),"")=H23,IF(AND(A23&lt;&gt;"",E23&lt;&gt;""),"Saved","Pending"),"🔒 BLOCKED — Wrong Code")))</f>
        <v>Pending</v>
      </c>
      <c r="J23" s="86" t="str">
        <f t="shared" ca="1" si="2"/>
        <v>—</v>
      </c>
      <c r="K23" s="87"/>
    </row>
    <row r="24" spans="1:11" x14ac:dyDescent="0.25">
      <c r="A24" s="88"/>
      <c r="B24" s="25" t="str">
        <f>IF(A24="","",IFERROR(VLOOKUP(A24,DB_Customers!$A:$D,4,0),"❌ Account Not Found"))</f>
        <v/>
      </c>
      <c r="C24" s="89" t="str">
        <f>IF(A24="","",IFERROR(VLOOKUP(A24,DB_Customers!$A:$N,14,0),""))</f>
        <v/>
      </c>
      <c r="D24" s="90" t="str">
        <f t="shared" ca="1" si="0"/>
        <v/>
      </c>
      <c r="E24" s="82"/>
      <c r="F24" s="91" t="str">
        <f t="shared" si="1"/>
        <v/>
      </c>
      <c r="G24" s="27"/>
      <c r="H24" s="84"/>
      <c r="I24" s="92" t="str">
        <f>IF(A24="","Pending",IF(H24="","⚠️ Enter Code",IF(IFERROR(VLOOKUP(G24,DB_Agents!$B:$I,8,0),"")=H24,IF(AND(A24&lt;&gt;"",E24&lt;&gt;""),"Saved","Pending"),"🔒 BLOCKED — Wrong Code")))</f>
        <v>Pending</v>
      </c>
      <c r="J24" s="93" t="str">
        <f t="shared" ca="1" si="2"/>
        <v>—</v>
      </c>
      <c r="K24" s="94"/>
    </row>
    <row r="25" spans="1:11" x14ac:dyDescent="0.25">
      <c r="A25" s="79"/>
      <c r="B25" s="21" t="str">
        <f>IF(A25="","",IFERROR(VLOOKUP(A25,DB_Customers!$A:$D,4,0),"❌ Account Not Found"))</f>
        <v/>
      </c>
      <c r="C25" s="80" t="str">
        <f>IF(A25="","",IFERROR(VLOOKUP(A25,DB_Customers!$A:$N,14,0),""))</f>
        <v/>
      </c>
      <c r="D25" s="81" t="str">
        <f t="shared" ca="1" si="0"/>
        <v/>
      </c>
      <c r="E25" s="82"/>
      <c r="F25" s="83" t="str">
        <f t="shared" si="1"/>
        <v/>
      </c>
      <c r="G25" s="23"/>
      <c r="H25" s="84"/>
      <c r="I25" s="85" t="str">
        <f>IF(A25="","Pending",IF(H25="","⚠️ Enter Code",IF(IFERROR(VLOOKUP(G25,DB_Agents!$B:$I,8,0),"")=H25,IF(AND(A25&lt;&gt;"",E25&lt;&gt;""),"Saved","Pending"),"🔒 BLOCKED — Wrong Code")))</f>
        <v>Pending</v>
      </c>
      <c r="J25" s="86" t="str">
        <f t="shared" ca="1" si="2"/>
        <v>—</v>
      </c>
      <c r="K25" s="87"/>
    </row>
    <row r="26" spans="1:11" x14ac:dyDescent="0.25">
      <c r="A26" s="88"/>
      <c r="B26" s="25" t="str">
        <f>IF(A26="","",IFERROR(VLOOKUP(A26,DB_Customers!$A:$D,4,0),"❌ Account Not Found"))</f>
        <v/>
      </c>
      <c r="C26" s="89" t="str">
        <f>IF(A26="","",IFERROR(VLOOKUP(A26,DB_Customers!$A:$N,14,0),""))</f>
        <v/>
      </c>
      <c r="D26" s="90" t="str">
        <f t="shared" ca="1" si="0"/>
        <v/>
      </c>
      <c r="E26" s="82"/>
      <c r="F26" s="91" t="str">
        <f t="shared" si="1"/>
        <v/>
      </c>
      <c r="G26" s="27"/>
      <c r="H26" s="84"/>
      <c r="I26" s="92" t="str">
        <f>IF(A26="","Pending",IF(H26="","⚠️ Enter Code",IF(IFERROR(VLOOKUP(G26,DB_Agents!$B:$I,8,0),"")=H26,IF(AND(A26&lt;&gt;"",E26&lt;&gt;""),"Saved","Pending"),"🔒 BLOCKED — Wrong Code")))</f>
        <v>Pending</v>
      </c>
      <c r="J26" s="93" t="str">
        <f t="shared" ca="1" si="2"/>
        <v>—</v>
      </c>
      <c r="K26" s="94"/>
    </row>
    <row r="27" spans="1:11" x14ac:dyDescent="0.25">
      <c r="A27" s="79"/>
      <c r="B27" s="21" t="str">
        <f>IF(A27="","",IFERROR(VLOOKUP(A27,DB_Customers!$A:$D,4,0),"❌ Account Not Found"))</f>
        <v/>
      </c>
      <c r="C27" s="80" t="str">
        <f>IF(A27="","",IFERROR(VLOOKUP(A27,DB_Customers!$A:$N,14,0),""))</f>
        <v/>
      </c>
      <c r="D27" s="81" t="str">
        <f t="shared" ca="1" si="0"/>
        <v/>
      </c>
      <c r="E27" s="82"/>
      <c r="F27" s="83" t="str">
        <f t="shared" si="1"/>
        <v/>
      </c>
      <c r="G27" s="23"/>
      <c r="H27" s="84"/>
      <c r="I27" s="85" t="str">
        <f>IF(A27="","Pending",IF(H27="","⚠️ Enter Code",IF(IFERROR(VLOOKUP(G27,DB_Agents!$B:$I,8,0),"")=H27,IF(AND(A27&lt;&gt;"",E27&lt;&gt;""),"Saved","Pending"),"🔒 BLOCKED — Wrong Code")))</f>
        <v>Pending</v>
      </c>
      <c r="J27" s="86" t="str">
        <f t="shared" ca="1" si="2"/>
        <v>—</v>
      </c>
      <c r="K27" s="87"/>
    </row>
    <row r="28" spans="1:11" x14ac:dyDescent="0.25">
      <c r="A28" s="88"/>
      <c r="B28" s="25" t="str">
        <f>IF(A28="","",IFERROR(VLOOKUP(A28,DB_Customers!$A:$D,4,0),"❌ Account Not Found"))</f>
        <v/>
      </c>
      <c r="C28" s="89" t="str">
        <f>IF(A28="","",IFERROR(VLOOKUP(A28,DB_Customers!$A:$N,14,0),""))</f>
        <v/>
      </c>
      <c r="D28" s="90" t="str">
        <f t="shared" ca="1" si="0"/>
        <v/>
      </c>
      <c r="E28" s="82"/>
      <c r="F28" s="91" t="str">
        <f t="shared" si="1"/>
        <v/>
      </c>
      <c r="G28" s="27"/>
      <c r="H28" s="84"/>
      <c r="I28" s="92" t="str">
        <f>IF(A28="","Pending",IF(H28="","⚠️ Enter Code",IF(IFERROR(VLOOKUP(G28,DB_Agents!$B:$I,8,0),"")=H28,IF(AND(A28&lt;&gt;"",E28&lt;&gt;""),"Saved","Pending"),"🔒 BLOCKED — Wrong Code")))</f>
        <v>Pending</v>
      </c>
      <c r="J28" s="93" t="str">
        <f t="shared" ca="1" si="2"/>
        <v>—</v>
      </c>
      <c r="K28" s="94"/>
    </row>
    <row r="29" spans="1:11" x14ac:dyDescent="0.25">
      <c r="A29" s="79"/>
      <c r="B29" s="21" t="str">
        <f>IF(A29="","",IFERROR(VLOOKUP(A29,DB_Customers!$A:$D,4,0),"❌ Account Not Found"))</f>
        <v/>
      </c>
      <c r="C29" s="80" t="str">
        <f>IF(A29="","",IFERROR(VLOOKUP(A29,DB_Customers!$A:$N,14,0),""))</f>
        <v/>
      </c>
      <c r="D29" s="81" t="str">
        <f t="shared" ca="1" si="0"/>
        <v/>
      </c>
      <c r="E29" s="82"/>
      <c r="F29" s="83" t="str">
        <f t="shared" si="1"/>
        <v/>
      </c>
      <c r="G29" s="23"/>
      <c r="H29" s="84"/>
      <c r="I29" s="85" t="str">
        <f>IF(A29="","Pending",IF(H29="","⚠️ Enter Code",IF(IFERROR(VLOOKUP(G29,DB_Agents!$B:$I,8,0),"")=H29,IF(AND(A29&lt;&gt;"",E29&lt;&gt;""),"Saved","Pending"),"🔒 BLOCKED — Wrong Code")))</f>
        <v>Pending</v>
      </c>
      <c r="J29" s="86" t="str">
        <f t="shared" ca="1" si="2"/>
        <v>—</v>
      </c>
      <c r="K29" s="87"/>
    </row>
    <row r="30" spans="1:11" x14ac:dyDescent="0.25">
      <c r="A30" s="88"/>
      <c r="B30" s="25" t="str">
        <f>IF(A30="","",IFERROR(VLOOKUP(A30,DB_Customers!$A:$D,4,0),"❌ Account Not Found"))</f>
        <v/>
      </c>
      <c r="C30" s="89" t="str">
        <f>IF(A30="","",IFERROR(VLOOKUP(A30,DB_Customers!$A:$N,14,0),""))</f>
        <v/>
      </c>
      <c r="D30" s="90" t="str">
        <f t="shared" ca="1" si="0"/>
        <v/>
      </c>
      <c r="E30" s="82"/>
      <c r="F30" s="91" t="str">
        <f t="shared" si="1"/>
        <v/>
      </c>
      <c r="G30" s="27"/>
      <c r="H30" s="84"/>
      <c r="I30" s="92" t="str">
        <f>IF(A30="","Pending",IF(H30="","⚠️ Enter Code",IF(IFERROR(VLOOKUP(G30,DB_Agents!$B:$I,8,0),"")=H30,IF(AND(A30&lt;&gt;"",E30&lt;&gt;""),"Saved","Pending"),"🔒 BLOCKED — Wrong Code")))</f>
        <v>Pending</v>
      </c>
      <c r="J30" s="93" t="str">
        <f t="shared" ca="1" si="2"/>
        <v>—</v>
      </c>
      <c r="K30" s="94"/>
    </row>
    <row r="31" spans="1:11" x14ac:dyDescent="0.25">
      <c r="A31" s="79"/>
      <c r="B31" s="21" t="str">
        <f>IF(A31="","",IFERROR(VLOOKUP(A31,DB_Customers!$A:$D,4,0),"❌ Account Not Found"))</f>
        <v/>
      </c>
      <c r="C31" s="80" t="str">
        <f>IF(A31="","",IFERROR(VLOOKUP(A31,DB_Customers!$A:$N,14,0),""))</f>
        <v/>
      </c>
      <c r="D31" s="81" t="str">
        <f t="shared" ca="1" si="0"/>
        <v/>
      </c>
      <c r="E31" s="82"/>
      <c r="F31" s="83" t="str">
        <f t="shared" si="1"/>
        <v/>
      </c>
      <c r="G31" s="23"/>
      <c r="H31" s="84"/>
      <c r="I31" s="85" t="str">
        <f>IF(A31="","Pending",IF(H31="","⚠️ Enter Code",IF(IFERROR(VLOOKUP(G31,DB_Agents!$B:$I,8,0),"")=H31,IF(AND(A31&lt;&gt;"",E31&lt;&gt;""),"Saved","Pending"),"🔒 BLOCKED — Wrong Code")))</f>
        <v>Pending</v>
      </c>
      <c r="J31" s="86" t="str">
        <f t="shared" ca="1" si="2"/>
        <v>—</v>
      </c>
      <c r="K31" s="87"/>
    </row>
    <row r="32" spans="1:11" x14ac:dyDescent="0.25">
      <c r="A32" s="88"/>
      <c r="B32" s="25" t="str">
        <f>IF(A32="","",IFERROR(VLOOKUP(A32,DB_Customers!$A:$D,4,0),"❌ Account Not Found"))</f>
        <v/>
      </c>
      <c r="C32" s="89" t="str">
        <f>IF(A32="","",IFERROR(VLOOKUP(A32,DB_Customers!$A:$N,14,0),""))</f>
        <v/>
      </c>
      <c r="D32" s="90" t="str">
        <f t="shared" ca="1" si="0"/>
        <v/>
      </c>
      <c r="E32" s="82"/>
      <c r="F32" s="91" t="str">
        <f t="shared" si="1"/>
        <v/>
      </c>
      <c r="G32" s="27"/>
      <c r="H32" s="84"/>
      <c r="I32" s="92" t="str">
        <f>IF(A32="","Pending",IF(H32="","⚠️ Enter Code",IF(IFERROR(VLOOKUP(G32,DB_Agents!$B:$I,8,0),"")=H32,IF(AND(A32&lt;&gt;"",E32&lt;&gt;""),"Saved","Pending"),"🔒 BLOCKED — Wrong Code")))</f>
        <v>Pending</v>
      </c>
      <c r="J32" s="93" t="str">
        <f t="shared" ca="1" si="2"/>
        <v>—</v>
      </c>
      <c r="K32" s="94"/>
    </row>
    <row r="33" spans="1:11" x14ac:dyDescent="0.25">
      <c r="A33" s="79"/>
      <c r="B33" s="21" t="str">
        <f>IF(A33="","",IFERROR(VLOOKUP(A33,DB_Customers!$A:$D,4,0),"❌ Account Not Found"))</f>
        <v/>
      </c>
      <c r="C33" s="80" t="str">
        <f>IF(A33="","",IFERROR(VLOOKUP(A33,DB_Customers!$A:$N,14,0),""))</f>
        <v/>
      </c>
      <c r="D33" s="81" t="str">
        <f t="shared" ca="1" si="0"/>
        <v/>
      </c>
      <c r="E33" s="82"/>
      <c r="F33" s="83" t="str">
        <f t="shared" si="1"/>
        <v/>
      </c>
      <c r="G33" s="23"/>
      <c r="H33" s="84"/>
      <c r="I33" s="85" t="str">
        <f>IF(A33="","Pending",IF(H33="","⚠️ Enter Code",IF(IFERROR(VLOOKUP(G33,DB_Agents!$B:$I,8,0),"")=H33,IF(AND(A33&lt;&gt;"",E33&lt;&gt;""),"Saved","Pending"),"🔒 BLOCKED — Wrong Code")))</f>
        <v>Pending</v>
      </c>
      <c r="J33" s="86" t="str">
        <f t="shared" ca="1" si="2"/>
        <v>—</v>
      </c>
      <c r="K33" s="87"/>
    </row>
    <row r="34" spans="1:11" x14ac:dyDescent="0.25">
      <c r="A34" s="88"/>
      <c r="B34" s="25" t="str">
        <f>IF(A34="","",IFERROR(VLOOKUP(A34,DB_Customers!$A:$D,4,0),"❌ Account Not Found"))</f>
        <v/>
      </c>
      <c r="C34" s="89" t="str">
        <f>IF(A34="","",IFERROR(VLOOKUP(A34,DB_Customers!$A:$N,14,0),""))</f>
        <v/>
      </c>
      <c r="D34" s="90" t="str">
        <f t="shared" ca="1" si="0"/>
        <v/>
      </c>
      <c r="E34" s="82"/>
      <c r="F34" s="91" t="str">
        <f t="shared" si="1"/>
        <v/>
      </c>
      <c r="G34" s="27"/>
      <c r="H34" s="84"/>
      <c r="I34" s="92" t="str">
        <f>IF(A34="","Pending",IF(H34="","⚠️ Enter Code",IF(IFERROR(VLOOKUP(G34,DB_Agents!$B:$I,8,0),"")=H34,IF(AND(A34&lt;&gt;"",E34&lt;&gt;""),"Saved","Pending"),"🔒 BLOCKED — Wrong Code")))</f>
        <v>Pending</v>
      </c>
      <c r="J34" s="93" t="str">
        <f t="shared" ca="1" si="2"/>
        <v>—</v>
      </c>
      <c r="K34" s="94"/>
    </row>
    <row r="35" spans="1:11" x14ac:dyDescent="0.25">
      <c r="A35" s="79"/>
      <c r="B35" s="21" t="str">
        <f>IF(A35="","",IFERROR(VLOOKUP(A35,DB_Customers!$A:$D,4,0),"❌ Account Not Found"))</f>
        <v/>
      </c>
      <c r="C35" s="80" t="str">
        <f>IF(A35="","",IFERROR(VLOOKUP(A35,DB_Customers!$A:$N,14,0),""))</f>
        <v/>
      </c>
      <c r="D35" s="81" t="str">
        <f t="shared" ca="1" si="0"/>
        <v/>
      </c>
      <c r="E35" s="82"/>
      <c r="F35" s="83" t="str">
        <f t="shared" si="1"/>
        <v/>
      </c>
      <c r="G35" s="23"/>
      <c r="H35" s="84"/>
      <c r="I35" s="85" t="str">
        <f>IF(A35="","Pending",IF(H35="","⚠️ Enter Code",IF(IFERROR(VLOOKUP(G35,DB_Agents!$B:$I,8,0),"")=H35,IF(AND(A35&lt;&gt;"",E35&lt;&gt;""),"Saved","Pending"),"🔒 BLOCKED — Wrong Code")))</f>
        <v>Pending</v>
      </c>
      <c r="J35" s="86" t="str">
        <f t="shared" ca="1" si="2"/>
        <v>—</v>
      </c>
      <c r="K35" s="87"/>
    </row>
    <row r="36" spans="1:11" x14ac:dyDescent="0.25">
      <c r="A36" s="88"/>
      <c r="B36" s="25" t="str">
        <f>IF(A36="","",IFERROR(VLOOKUP(A36,DB_Customers!$A:$D,4,0),"❌ Account Not Found"))</f>
        <v/>
      </c>
      <c r="C36" s="89" t="str">
        <f>IF(A36="","",IFERROR(VLOOKUP(A36,DB_Customers!$A:$N,14,0),""))</f>
        <v/>
      </c>
      <c r="D36" s="90" t="str">
        <f t="shared" ca="1" si="0"/>
        <v/>
      </c>
      <c r="E36" s="82"/>
      <c r="F36" s="91" t="str">
        <f t="shared" si="1"/>
        <v/>
      </c>
      <c r="G36" s="27"/>
      <c r="H36" s="84"/>
      <c r="I36" s="92" t="str">
        <f>IF(A36="","Pending",IF(H36="","⚠️ Enter Code",IF(IFERROR(VLOOKUP(G36,DB_Agents!$B:$I,8,0),"")=H36,IF(AND(A36&lt;&gt;"",E36&lt;&gt;""),"Saved","Pending"),"🔒 BLOCKED — Wrong Code")))</f>
        <v>Pending</v>
      </c>
      <c r="J36" s="93" t="str">
        <f t="shared" ca="1" si="2"/>
        <v>—</v>
      </c>
      <c r="K36" s="94"/>
    </row>
    <row r="37" spans="1:11" x14ac:dyDescent="0.25">
      <c r="A37" s="79"/>
      <c r="B37" s="21" t="str">
        <f>IF(A37="","",IFERROR(VLOOKUP(A37,DB_Customers!$A:$D,4,0),"❌ Account Not Found"))</f>
        <v/>
      </c>
      <c r="C37" s="80" t="str">
        <f>IF(A37="","",IFERROR(VLOOKUP(A37,DB_Customers!$A:$N,14,0),""))</f>
        <v/>
      </c>
      <c r="D37" s="81" t="str">
        <f t="shared" ca="1" si="0"/>
        <v/>
      </c>
      <c r="E37" s="82"/>
      <c r="F37" s="83" t="str">
        <f t="shared" si="1"/>
        <v/>
      </c>
      <c r="G37" s="23"/>
      <c r="H37" s="84"/>
      <c r="I37" s="85" t="str">
        <f>IF(A37="","Pending",IF(H37="","⚠️ Enter Code",IF(IFERROR(VLOOKUP(G37,DB_Agents!$B:$I,8,0),"")=H37,IF(AND(A37&lt;&gt;"",E37&lt;&gt;""),"Saved","Pending"),"🔒 BLOCKED — Wrong Code")))</f>
        <v>Pending</v>
      </c>
      <c r="J37" s="86" t="str">
        <f t="shared" ca="1" si="2"/>
        <v>—</v>
      </c>
      <c r="K37" s="87"/>
    </row>
    <row r="38" spans="1:11" x14ac:dyDescent="0.25">
      <c r="A38" s="88"/>
      <c r="B38" s="25" t="str">
        <f>IF(A38="","",IFERROR(VLOOKUP(A38,DB_Customers!$A:$D,4,0),"❌ Account Not Found"))</f>
        <v/>
      </c>
      <c r="C38" s="89" t="str">
        <f>IF(A38="","",IFERROR(VLOOKUP(A38,DB_Customers!$A:$N,14,0),""))</f>
        <v/>
      </c>
      <c r="D38" s="90" t="str">
        <f t="shared" ca="1" si="0"/>
        <v/>
      </c>
      <c r="E38" s="82"/>
      <c r="F38" s="91" t="str">
        <f t="shared" si="1"/>
        <v/>
      </c>
      <c r="G38" s="27"/>
      <c r="H38" s="84"/>
      <c r="I38" s="92" t="str">
        <f>IF(A38="","Pending",IF(H38="","⚠️ Enter Code",IF(IFERROR(VLOOKUP(G38,DB_Agents!$B:$I,8,0),"")=H38,IF(AND(A38&lt;&gt;"",E38&lt;&gt;""),"Saved","Pending"),"🔒 BLOCKED — Wrong Code")))</f>
        <v>Pending</v>
      </c>
      <c r="J38" s="93" t="str">
        <f t="shared" ca="1" si="2"/>
        <v>—</v>
      </c>
      <c r="K38" s="94"/>
    </row>
    <row r="39" spans="1:11" x14ac:dyDescent="0.25">
      <c r="A39" s="79"/>
      <c r="B39" s="21" t="str">
        <f>IF(A39="","",IFERROR(VLOOKUP(A39,DB_Customers!$A:$D,4,0),"❌ Account Not Found"))</f>
        <v/>
      </c>
      <c r="C39" s="80" t="str">
        <f>IF(A39="","",IFERROR(VLOOKUP(A39,DB_Customers!$A:$N,14,0),""))</f>
        <v/>
      </c>
      <c r="D39" s="81" t="str">
        <f t="shared" ca="1" si="0"/>
        <v/>
      </c>
      <c r="E39" s="82"/>
      <c r="F39" s="83" t="str">
        <f t="shared" si="1"/>
        <v/>
      </c>
      <c r="G39" s="23"/>
      <c r="H39" s="84"/>
      <c r="I39" s="85" t="str">
        <f>IF(A39="","Pending",IF(H39="","⚠️ Enter Code",IF(IFERROR(VLOOKUP(G39,DB_Agents!$B:$I,8,0),"")=H39,IF(AND(A39&lt;&gt;"",E39&lt;&gt;""),"Saved","Pending"),"🔒 BLOCKED — Wrong Code")))</f>
        <v>Pending</v>
      </c>
      <c r="J39" s="86" t="str">
        <f t="shared" ca="1" si="2"/>
        <v>—</v>
      </c>
      <c r="K39" s="87"/>
    </row>
    <row r="40" spans="1:11" x14ac:dyDescent="0.25">
      <c r="A40" s="88"/>
      <c r="B40" s="25" t="str">
        <f>IF(A40="","",IFERROR(VLOOKUP(A40,DB_Customers!$A:$D,4,0),"❌ Account Not Found"))</f>
        <v/>
      </c>
      <c r="C40" s="89" t="str">
        <f>IF(A40="","",IFERROR(VLOOKUP(A40,DB_Customers!$A:$N,14,0),""))</f>
        <v/>
      </c>
      <c r="D40" s="90" t="str">
        <f t="shared" ca="1" si="0"/>
        <v/>
      </c>
      <c r="E40" s="82"/>
      <c r="F40" s="91" t="str">
        <f t="shared" si="1"/>
        <v/>
      </c>
      <c r="G40" s="27"/>
      <c r="H40" s="84"/>
      <c r="I40" s="92" t="str">
        <f>IF(A40="","Pending",IF(H40="","⚠️ Enter Code",IF(IFERROR(VLOOKUP(G40,DB_Agents!$B:$I,8,0),"")=H40,IF(AND(A40&lt;&gt;"",E40&lt;&gt;""),"Saved","Pending"),"🔒 BLOCKED — Wrong Code")))</f>
        <v>Pending</v>
      </c>
      <c r="J40" s="93" t="str">
        <f t="shared" ca="1" si="2"/>
        <v>—</v>
      </c>
      <c r="K40" s="94"/>
    </row>
    <row r="41" spans="1:11" x14ac:dyDescent="0.25">
      <c r="A41" s="79"/>
      <c r="B41" s="21" t="str">
        <f>IF(A41="","",IFERROR(VLOOKUP(A41,DB_Customers!$A:$D,4,0),"❌ Account Not Found"))</f>
        <v/>
      </c>
      <c r="C41" s="80" t="str">
        <f>IF(A41="","",IFERROR(VLOOKUP(A41,DB_Customers!$A:$N,14,0),""))</f>
        <v/>
      </c>
      <c r="D41" s="81" t="str">
        <f t="shared" ref="D41:D72" ca="1" si="3">IF(A41="","",TODAY())</f>
        <v/>
      </c>
      <c r="E41" s="82"/>
      <c r="F41" s="83" t="str">
        <f t="shared" ref="F41:F72" si="4">IF(OR(A41="",E41=""),"",IF(C41="","",C41+E41))</f>
        <v/>
      </c>
      <c r="G41" s="23"/>
      <c r="H41" s="84"/>
      <c r="I41" s="85" t="str">
        <f>IF(A41="","Pending",IF(H41="","⚠️ Enter Code",IF(IFERROR(VLOOKUP(G41,DB_Agents!$B:$I,8,0),"")=H41,IF(AND(A41&lt;&gt;"",E41&lt;&gt;""),"Saved","Pending"),"🔒 BLOCKED — Wrong Code")))</f>
        <v>Pending</v>
      </c>
      <c r="J41" s="86" t="str">
        <f t="shared" ref="J41:J72" ca="1" si="5">IF(I41="Saved",TEXT(TODAY(),"YYYY-MM-DD")&amp;" Auto","—")</f>
        <v>—</v>
      </c>
      <c r="K41" s="87"/>
    </row>
    <row r="42" spans="1:11" x14ac:dyDescent="0.25">
      <c r="A42" s="88"/>
      <c r="B42" s="25" t="str">
        <f>IF(A42="","",IFERROR(VLOOKUP(A42,DB_Customers!$A:$D,4,0),"❌ Account Not Found"))</f>
        <v/>
      </c>
      <c r="C42" s="89" t="str">
        <f>IF(A42="","",IFERROR(VLOOKUP(A42,DB_Customers!$A:$N,14,0),""))</f>
        <v/>
      </c>
      <c r="D42" s="90" t="str">
        <f t="shared" ca="1" si="3"/>
        <v/>
      </c>
      <c r="E42" s="82"/>
      <c r="F42" s="91" t="str">
        <f t="shared" si="4"/>
        <v/>
      </c>
      <c r="G42" s="27"/>
      <c r="H42" s="84"/>
      <c r="I42" s="92" t="str">
        <f>IF(A42="","Pending",IF(H42="","⚠️ Enter Code",IF(IFERROR(VLOOKUP(G42,DB_Agents!$B:$I,8,0),"")=H42,IF(AND(A42&lt;&gt;"",E42&lt;&gt;""),"Saved","Pending"),"🔒 BLOCKED — Wrong Code")))</f>
        <v>Pending</v>
      </c>
      <c r="J42" s="93" t="str">
        <f t="shared" ca="1" si="5"/>
        <v>—</v>
      </c>
      <c r="K42" s="94"/>
    </row>
    <row r="43" spans="1:11" x14ac:dyDescent="0.25">
      <c r="A43" s="79"/>
      <c r="B43" s="21" t="str">
        <f>IF(A43="","",IFERROR(VLOOKUP(A43,DB_Customers!$A:$D,4,0),"❌ Account Not Found"))</f>
        <v/>
      </c>
      <c r="C43" s="80" t="str">
        <f>IF(A43="","",IFERROR(VLOOKUP(A43,DB_Customers!$A:$N,14,0),""))</f>
        <v/>
      </c>
      <c r="D43" s="81" t="str">
        <f t="shared" ca="1" si="3"/>
        <v/>
      </c>
      <c r="E43" s="82"/>
      <c r="F43" s="83" t="str">
        <f t="shared" si="4"/>
        <v/>
      </c>
      <c r="G43" s="23"/>
      <c r="H43" s="84"/>
      <c r="I43" s="85" t="str">
        <f>IF(A43="","Pending",IF(H43="","⚠️ Enter Code",IF(IFERROR(VLOOKUP(G43,DB_Agents!$B:$I,8,0),"")=H43,IF(AND(A43&lt;&gt;"",E43&lt;&gt;""),"Saved","Pending"),"🔒 BLOCKED — Wrong Code")))</f>
        <v>Pending</v>
      </c>
      <c r="J43" s="86" t="str">
        <f t="shared" ca="1" si="5"/>
        <v>—</v>
      </c>
      <c r="K43" s="87"/>
    </row>
    <row r="44" spans="1:11" x14ac:dyDescent="0.25">
      <c r="A44" s="88"/>
      <c r="B44" s="25" t="str">
        <f>IF(A44="","",IFERROR(VLOOKUP(A44,DB_Customers!$A:$D,4,0),"❌ Account Not Found"))</f>
        <v/>
      </c>
      <c r="C44" s="89" t="str">
        <f>IF(A44="","",IFERROR(VLOOKUP(A44,DB_Customers!$A:$N,14,0),""))</f>
        <v/>
      </c>
      <c r="D44" s="90" t="str">
        <f t="shared" ca="1" si="3"/>
        <v/>
      </c>
      <c r="E44" s="82"/>
      <c r="F44" s="91" t="str">
        <f t="shared" si="4"/>
        <v/>
      </c>
      <c r="G44" s="27"/>
      <c r="H44" s="84"/>
      <c r="I44" s="92" t="str">
        <f>IF(A44="","Pending",IF(H44="","⚠️ Enter Code",IF(IFERROR(VLOOKUP(G44,DB_Agents!$B:$I,8,0),"")=H44,IF(AND(A44&lt;&gt;"",E44&lt;&gt;""),"Saved","Pending"),"🔒 BLOCKED — Wrong Code")))</f>
        <v>Pending</v>
      </c>
      <c r="J44" s="93" t="str">
        <f t="shared" ca="1" si="5"/>
        <v>—</v>
      </c>
      <c r="K44" s="94"/>
    </row>
    <row r="45" spans="1:11" x14ac:dyDescent="0.25">
      <c r="A45" s="79"/>
      <c r="B45" s="21" t="str">
        <f>IF(A45="","",IFERROR(VLOOKUP(A45,DB_Customers!$A:$D,4,0),"❌ Account Not Found"))</f>
        <v/>
      </c>
      <c r="C45" s="80" t="str">
        <f>IF(A45="","",IFERROR(VLOOKUP(A45,DB_Customers!$A:$N,14,0),""))</f>
        <v/>
      </c>
      <c r="D45" s="81" t="str">
        <f t="shared" ca="1" si="3"/>
        <v/>
      </c>
      <c r="E45" s="82"/>
      <c r="F45" s="83" t="str">
        <f t="shared" si="4"/>
        <v/>
      </c>
      <c r="G45" s="23"/>
      <c r="H45" s="84"/>
      <c r="I45" s="85" t="str">
        <f>IF(A45="","Pending",IF(H45="","⚠️ Enter Code",IF(IFERROR(VLOOKUP(G45,DB_Agents!$B:$I,8,0),"")=H45,IF(AND(A45&lt;&gt;"",E45&lt;&gt;""),"Saved","Pending"),"🔒 BLOCKED — Wrong Code")))</f>
        <v>Pending</v>
      </c>
      <c r="J45" s="86" t="str">
        <f t="shared" ca="1" si="5"/>
        <v>—</v>
      </c>
      <c r="K45" s="87"/>
    </row>
    <row r="46" spans="1:11" x14ac:dyDescent="0.25">
      <c r="A46" s="88"/>
      <c r="B46" s="25" t="str">
        <f>IF(A46="","",IFERROR(VLOOKUP(A46,DB_Customers!$A:$D,4,0),"❌ Account Not Found"))</f>
        <v/>
      </c>
      <c r="C46" s="89" t="str">
        <f>IF(A46="","",IFERROR(VLOOKUP(A46,DB_Customers!$A:$N,14,0),""))</f>
        <v/>
      </c>
      <c r="D46" s="90" t="str">
        <f t="shared" ca="1" si="3"/>
        <v/>
      </c>
      <c r="E46" s="82"/>
      <c r="F46" s="91" t="str">
        <f t="shared" si="4"/>
        <v/>
      </c>
      <c r="G46" s="27"/>
      <c r="H46" s="84"/>
      <c r="I46" s="92" t="str">
        <f>IF(A46="","Pending",IF(H46="","⚠️ Enter Code",IF(IFERROR(VLOOKUP(G46,DB_Agents!$B:$I,8,0),"")=H46,IF(AND(A46&lt;&gt;"",E46&lt;&gt;""),"Saved","Pending"),"🔒 BLOCKED — Wrong Code")))</f>
        <v>Pending</v>
      </c>
      <c r="J46" s="93" t="str">
        <f t="shared" ca="1" si="5"/>
        <v>—</v>
      </c>
      <c r="K46" s="94"/>
    </row>
    <row r="47" spans="1:11" x14ac:dyDescent="0.25">
      <c r="A47" s="79"/>
      <c r="B47" s="21" t="str">
        <f>IF(A47="","",IFERROR(VLOOKUP(A47,DB_Customers!$A:$D,4,0),"❌ Account Not Found"))</f>
        <v/>
      </c>
      <c r="C47" s="80" t="str">
        <f>IF(A47="","",IFERROR(VLOOKUP(A47,DB_Customers!$A:$N,14,0),""))</f>
        <v/>
      </c>
      <c r="D47" s="81" t="str">
        <f t="shared" ca="1" si="3"/>
        <v/>
      </c>
      <c r="E47" s="82"/>
      <c r="F47" s="83" t="str">
        <f t="shared" si="4"/>
        <v/>
      </c>
      <c r="G47" s="23"/>
      <c r="H47" s="84"/>
      <c r="I47" s="85" t="str">
        <f>IF(A47="","Pending",IF(H47="","⚠️ Enter Code",IF(IFERROR(VLOOKUP(G47,DB_Agents!$B:$I,8,0),"")=H47,IF(AND(A47&lt;&gt;"",E47&lt;&gt;""),"Saved","Pending"),"🔒 BLOCKED — Wrong Code")))</f>
        <v>Pending</v>
      </c>
      <c r="J47" s="86" t="str">
        <f t="shared" ca="1" si="5"/>
        <v>—</v>
      </c>
      <c r="K47" s="87"/>
    </row>
    <row r="48" spans="1:11" x14ac:dyDescent="0.25">
      <c r="A48" s="88"/>
      <c r="B48" s="25" t="str">
        <f>IF(A48="","",IFERROR(VLOOKUP(A48,DB_Customers!$A:$D,4,0),"❌ Account Not Found"))</f>
        <v/>
      </c>
      <c r="C48" s="89" t="str">
        <f>IF(A48="","",IFERROR(VLOOKUP(A48,DB_Customers!$A:$N,14,0),""))</f>
        <v/>
      </c>
      <c r="D48" s="90" t="str">
        <f t="shared" ca="1" si="3"/>
        <v/>
      </c>
      <c r="E48" s="82"/>
      <c r="F48" s="91" t="str">
        <f t="shared" si="4"/>
        <v/>
      </c>
      <c r="G48" s="27"/>
      <c r="H48" s="84"/>
      <c r="I48" s="92" t="str">
        <f>IF(A48="","Pending",IF(H48="","⚠️ Enter Code",IF(IFERROR(VLOOKUP(G48,DB_Agents!$B:$I,8,0),"")=H48,IF(AND(A48&lt;&gt;"",E48&lt;&gt;""),"Saved","Pending"),"🔒 BLOCKED — Wrong Code")))</f>
        <v>Pending</v>
      </c>
      <c r="J48" s="93" t="str">
        <f t="shared" ca="1" si="5"/>
        <v>—</v>
      </c>
      <c r="K48" s="94"/>
    </row>
    <row r="49" spans="1:11" x14ac:dyDescent="0.25">
      <c r="A49" s="79"/>
      <c r="B49" s="21" t="str">
        <f>IF(A49="","",IFERROR(VLOOKUP(A49,DB_Customers!$A:$D,4,0),"❌ Account Not Found"))</f>
        <v/>
      </c>
      <c r="C49" s="80" t="str">
        <f>IF(A49="","",IFERROR(VLOOKUP(A49,DB_Customers!$A:$N,14,0),""))</f>
        <v/>
      </c>
      <c r="D49" s="81" t="str">
        <f t="shared" ca="1" si="3"/>
        <v/>
      </c>
      <c r="E49" s="82"/>
      <c r="F49" s="83" t="str">
        <f t="shared" si="4"/>
        <v/>
      </c>
      <c r="G49" s="23"/>
      <c r="H49" s="84"/>
      <c r="I49" s="85" t="str">
        <f>IF(A49="","Pending",IF(H49="","⚠️ Enter Code",IF(IFERROR(VLOOKUP(G49,DB_Agents!$B:$I,8,0),"")=H49,IF(AND(A49&lt;&gt;"",E49&lt;&gt;""),"Saved","Pending"),"🔒 BLOCKED — Wrong Code")))</f>
        <v>Pending</v>
      </c>
      <c r="J49" s="86" t="str">
        <f t="shared" ca="1" si="5"/>
        <v>—</v>
      </c>
      <c r="K49" s="87"/>
    </row>
    <row r="50" spans="1:11" x14ac:dyDescent="0.25">
      <c r="A50" s="88"/>
      <c r="B50" s="25" t="str">
        <f>IF(A50="","",IFERROR(VLOOKUP(A50,DB_Customers!$A:$D,4,0),"❌ Account Not Found"))</f>
        <v/>
      </c>
      <c r="C50" s="89" t="str">
        <f>IF(A50="","",IFERROR(VLOOKUP(A50,DB_Customers!$A:$N,14,0),""))</f>
        <v/>
      </c>
      <c r="D50" s="90" t="str">
        <f t="shared" ca="1" si="3"/>
        <v/>
      </c>
      <c r="E50" s="82"/>
      <c r="F50" s="91" t="str">
        <f t="shared" si="4"/>
        <v/>
      </c>
      <c r="G50" s="27"/>
      <c r="H50" s="84"/>
      <c r="I50" s="92" t="str">
        <f>IF(A50="","Pending",IF(H50="","⚠️ Enter Code",IF(IFERROR(VLOOKUP(G50,DB_Agents!$B:$I,8,0),"")=H50,IF(AND(A50&lt;&gt;"",E50&lt;&gt;""),"Saved","Pending"),"🔒 BLOCKED — Wrong Code")))</f>
        <v>Pending</v>
      </c>
      <c r="J50" s="93" t="str">
        <f t="shared" ca="1" si="5"/>
        <v>—</v>
      </c>
      <c r="K50" s="94"/>
    </row>
    <row r="51" spans="1:11" x14ac:dyDescent="0.25">
      <c r="A51" s="79"/>
      <c r="B51" s="21" t="str">
        <f>IF(A51="","",IFERROR(VLOOKUP(A51,DB_Customers!$A:$D,4,0),"❌ Account Not Found"))</f>
        <v/>
      </c>
      <c r="C51" s="80" t="str">
        <f>IF(A51="","",IFERROR(VLOOKUP(A51,DB_Customers!$A:$N,14,0),""))</f>
        <v/>
      </c>
      <c r="D51" s="81" t="str">
        <f t="shared" ca="1" si="3"/>
        <v/>
      </c>
      <c r="E51" s="82"/>
      <c r="F51" s="83" t="str">
        <f t="shared" si="4"/>
        <v/>
      </c>
      <c r="G51" s="23"/>
      <c r="H51" s="84"/>
      <c r="I51" s="85" t="str">
        <f>IF(A51="","Pending",IF(H51="","⚠️ Enter Code",IF(IFERROR(VLOOKUP(G51,DB_Agents!$B:$I,8,0),"")=H51,IF(AND(A51&lt;&gt;"",E51&lt;&gt;""),"Saved","Pending"),"🔒 BLOCKED — Wrong Code")))</f>
        <v>Pending</v>
      </c>
      <c r="J51" s="86" t="str">
        <f t="shared" ca="1" si="5"/>
        <v>—</v>
      </c>
      <c r="K51" s="87"/>
    </row>
    <row r="52" spans="1:11" x14ac:dyDescent="0.25">
      <c r="A52" s="88"/>
      <c r="B52" s="25" t="str">
        <f>IF(A52="","",IFERROR(VLOOKUP(A52,DB_Customers!$A:$D,4,0),"❌ Account Not Found"))</f>
        <v/>
      </c>
      <c r="C52" s="89" t="str">
        <f>IF(A52="","",IFERROR(VLOOKUP(A52,DB_Customers!$A:$N,14,0),""))</f>
        <v/>
      </c>
      <c r="D52" s="90" t="str">
        <f t="shared" ca="1" si="3"/>
        <v/>
      </c>
      <c r="E52" s="82"/>
      <c r="F52" s="91" t="str">
        <f t="shared" si="4"/>
        <v/>
      </c>
      <c r="G52" s="27"/>
      <c r="H52" s="84"/>
      <c r="I52" s="92" t="str">
        <f>IF(A52="","Pending",IF(H52="","⚠️ Enter Code",IF(IFERROR(VLOOKUP(G52,DB_Agents!$B:$I,8,0),"")=H52,IF(AND(A52&lt;&gt;"",E52&lt;&gt;""),"Saved","Pending"),"🔒 BLOCKED — Wrong Code")))</f>
        <v>Pending</v>
      </c>
      <c r="J52" s="93" t="str">
        <f t="shared" ca="1" si="5"/>
        <v>—</v>
      </c>
      <c r="K52" s="94"/>
    </row>
    <row r="53" spans="1:11" x14ac:dyDescent="0.25">
      <c r="A53" s="79"/>
      <c r="B53" s="21" t="str">
        <f>IF(A53="","",IFERROR(VLOOKUP(A53,DB_Customers!$A:$D,4,0),"❌ Account Not Found"))</f>
        <v/>
      </c>
      <c r="C53" s="80" t="str">
        <f>IF(A53="","",IFERROR(VLOOKUP(A53,DB_Customers!$A:$N,14,0),""))</f>
        <v/>
      </c>
      <c r="D53" s="81" t="str">
        <f t="shared" ca="1" si="3"/>
        <v/>
      </c>
      <c r="E53" s="82"/>
      <c r="F53" s="83" t="str">
        <f t="shared" si="4"/>
        <v/>
      </c>
      <c r="G53" s="23"/>
      <c r="H53" s="84"/>
      <c r="I53" s="85" t="str">
        <f>IF(A53="","Pending",IF(H53="","⚠️ Enter Code",IF(IFERROR(VLOOKUP(G53,DB_Agents!$B:$I,8,0),"")=H53,IF(AND(A53&lt;&gt;"",E53&lt;&gt;""),"Saved","Pending"),"🔒 BLOCKED — Wrong Code")))</f>
        <v>Pending</v>
      </c>
      <c r="J53" s="86" t="str">
        <f t="shared" ca="1" si="5"/>
        <v>—</v>
      </c>
      <c r="K53" s="87"/>
    </row>
    <row r="54" spans="1:11" x14ac:dyDescent="0.25">
      <c r="A54" s="88"/>
      <c r="B54" s="25" t="str">
        <f>IF(A54="","",IFERROR(VLOOKUP(A54,DB_Customers!$A:$D,4,0),"❌ Account Not Found"))</f>
        <v/>
      </c>
      <c r="C54" s="89" t="str">
        <f>IF(A54="","",IFERROR(VLOOKUP(A54,DB_Customers!$A:$N,14,0),""))</f>
        <v/>
      </c>
      <c r="D54" s="90" t="str">
        <f t="shared" ca="1" si="3"/>
        <v/>
      </c>
      <c r="E54" s="82"/>
      <c r="F54" s="91" t="str">
        <f t="shared" si="4"/>
        <v/>
      </c>
      <c r="G54" s="27"/>
      <c r="H54" s="84"/>
      <c r="I54" s="92" t="str">
        <f>IF(A54="","Pending",IF(H54="","⚠️ Enter Code",IF(IFERROR(VLOOKUP(G54,DB_Agents!$B:$I,8,0),"")=H54,IF(AND(A54&lt;&gt;"",E54&lt;&gt;""),"Saved","Pending"),"🔒 BLOCKED — Wrong Code")))</f>
        <v>Pending</v>
      </c>
      <c r="J54" s="93" t="str">
        <f t="shared" ca="1" si="5"/>
        <v>—</v>
      </c>
      <c r="K54" s="94"/>
    </row>
    <row r="55" spans="1:11" x14ac:dyDescent="0.25">
      <c r="A55" s="79"/>
      <c r="B55" s="21" t="str">
        <f>IF(A55="","",IFERROR(VLOOKUP(A55,DB_Customers!$A:$D,4,0),"❌ Account Not Found"))</f>
        <v/>
      </c>
      <c r="C55" s="80" t="str">
        <f>IF(A55="","",IFERROR(VLOOKUP(A55,DB_Customers!$A:$N,14,0),""))</f>
        <v/>
      </c>
      <c r="D55" s="81" t="str">
        <f t="shared" ca="1" si="3"/>
        <v/>
      </c>
      <c r="E55" s="82"/>
      <c r="F55" s="83" t="str">
        <f t="shared" si="4"/>
        <v/>
      </c>
      <c r="G55" s="23"/>
      <c r="H55" s="84"/>
      <c r="I55" s="85" t="str">
        <f>IF(A55="","Pending",IF(H55="","⚠️ Enter Code",IF(IFERROR(VLOOKUP(G55,DB_Agents!$B:$I,8,0),"")=H55,IF(AND(A55&lt;&gt;"",E55&lt;&gt;""),"Saved","Pending"),"🔒 BLOCKED — Wrong Code")))</f>
        <v>Pending</v>
      </c>
      <c r="J55" s="86" t="str">
        <f t="shared" ca="1" si="5"/>
        <v>—</v>
      </c>
      <c r="K55" s="87"/>
    </row>
    <row r="56" spans="1:11" x14ac:dyDescent="0.25">
      <c r="A56" s="88"/>
      <c r="B56" s="25" t="str">
        <f>IF(A56="","",IFERROR(VLOOKUP(A56,DB_Customers!$A:$D,4,0),"❌ Account Not Found"))</f>
        <v/>
      </c>
      <c r="C56" s="89" t="str">
        <f>IF(A56="","",IFERROR(VLOOKUP(A56,DB_Customers!$A:$N,14,0),""))</f>
        <v/>
      </c>
      <c r="D56" s="90" t="str">
        <f t="shared" ca="1" si="3"/>
        <v/>
      </c>
      <c r="E56" s="82"/>
      <c r="F56" s="91" t="str">
        <f t="shared" si="4"/>
        <v/>
      </c>
      <c r="G56" s="27"/>
      <c r="H56" s="84"/>
      <c r="I56" s="92" t="str">
        <f>IF(A56="","Pending",IF(H56="","⚠️ Enter Code",IF(IFERROR(VLOOKUP(G56,DB_Agents!$B:$I,8,0),"")=H56,IF(AND(A56&lt;&gt;"",E56&lt;&gt;""),"Saved","Pending"),"🔒 BLOCKED — Wrong Code")))</f>
        <v>Pending</v>
      </c>
      <c r="J56" s="93" t="str">
        <f t="shared" ca="1" si="5"/>
        <v>—</v>
      </c>
      <c r="K56" s="94"/>
    </row>
    <row r="57" spans="1:11" x14ac:dyDescent="0.25">
      <c r="A57" s="79"/>
      <c r="B57" s="21" t="str">
        <f>IF(A57="","",IFERROR(VLOOKUP(A57,DB_Customers!$A:$D,4,0),"❌ Account Not Found"))</f>
        <v/>
      </c>
      <c r="C57" s="80" t="str">
        <f>IF(A57="","",IFERROR(VLOOKUP(A57,DB_Customers!$A:$N,14,0),""))</f>
        <v/>
      </c>
      <c r="D57" s="81" t="str">
        <f t="shared" ca="1" si="3"/>
        <v/>
      </c>
      <c r="E57" s="82"/>
      <c r="F57" s="83" t="str">
        <f t="shared" si="4"/>
        <v/>
      </c>
      <c r="G57" s="23"/>
      <c r="H57" s="84"/>
      <c r="I57" s="85" t="str">
        <f>IF(A57="","Pending",IF(H57="","⚠️ Enter Code",IF(IFERROR(VLOOKUP(G57,DB_Agents!$B:$I,8,0),"")=H57,IF(AND(A57&lt;&gt;"",E57&lt;&gt;""),"Saved","Pending"),"🔒 BLOCKED — Wrong Code")))</f>
        <v>Pending</v>
      </c>
      <c r="J57" s="86" t="str">
        <f t="shared" ca="1" si="5"/>
        <v>—</v>
      </c>
      <c r="K57" s="87"/>
    </row>
    <row r="58" spans="1:11" x14ac:dyDescent="0.25">
      <c r="A58" s="88"/>
      <c r="B58" s="25" t="str">
        <f>IF(A58="","",IFERROR(VLOOKUP(A58,DB_Customers!$A:$D,4,0),"❌ Account Not Found"))</f>
        <v/>
      </c>
      <c r="C58" s="89" t="str">
        <f>IF(A58="","",IFERROR(VLOOKUP(A58,DB_Customers!$A:$N,14,0),""))</f>
        <v/>
      </c>
      <c r="D58" s="90" t="str">
        <f t="shared" ca="1" si="3"/>
        <v/>
      </c>
      <c r="E58" s="82"/>
      <c r="F58" s="91" t="str">
        <f t="shared" si="4"/>
        <v/>
      </c>
      <c r="G58" s="27"/>
      <c r="H58" s="84"/>
      <c r="I58" s="92" t="str">
        <f>IF(A58="","Pending",IF(H58="","⚠️ Enter Code",IF(IFERROR(VLOOKUP(G58,DB_Agents!$B:$I,8,0),"")=H58,IF(AND(A58&lt;&gt;"",E58&lt;&gt;""),"Saved","Pending"),"🔒 BLOCKED — Wrong Code")))</f>
        <v>Pending</v>
      </c>
      <c r="J58" s="93" t="str">
        <f t="shared" ca="1" si="5"/>
        <v>—</v>
      </c>
      <c r="K58" s="94"/>
    </row>
    <row r="59" spans="1:11" x14ac:dyDescent="0.25">
      <c r="A59" s="79"/>
      <c r="B59" s="21" t="str">
        <f>IF(A59="","",IFERROR(VLOOKUP(A59,DB_Customers!$A:$D,4,0),"❌ Account Not Found"))</f>
        <v/>
      </c>
      <c r="C59" s="80" t="str">
        <f>IF(A59="","",IFERROR(VLOOKUP(A59,DB_Customers!$A:$N,14,0),""))</f>
        <v/>
      </c>
      <c r="D59" s="81" t="str">
        <f t="shared" ca="1" si="3"/>
        <v/>
      </c>
      <c r="E59" s="82"/>
      <c r="F59" s="83" t="str">
        <f t="shared" si="4"/>
        <v/>
      </c>
      <c r="G59" s="23"/>
      <c r="H59" s="84"/>
      <c r="I59" s="85" t="str">
        <f>IF(A59="","Pending",IF(H59="","⚠️ Enter Code",IF(IFERROR(VLOOKUP(G59,DB_Agents!$B:$I,8,0),"")=H59,IF(AND(A59&lt;&gt;"",E59&lt;&gt;""),"Saved","Pending"),"🔒 BLOCKED — Wrong Code")))</f>
        <v>Pending</v>
      </c>
      <c r="J59" s="86" t="str">
        <f t="shared" ca="1" si="5"/>
        <v>—</v>
      </c>
      <c r="K59" s="87"/>
    </row>
    <row r="60" spans="1:11" x14ac:dyDescent="0.25">
      <c r="A60" s="88"/>
      <c r="B60" s="25" t="str">
        <f>IF(A60="","",IFERROR(VLOOKUP(A60,DB_Customers!$A:$D,4,0),"❌ Account Not Found"))</f>
        <v/>
      </c>
      <c r="C60" s="89" t="str">
        <f>IF(A60="","",IFERROR(VLOOKUP(A60,DB_Customers!$A:$N,14,0),""))</f>
        <v/>
      </c>
      <c r="D60" s="90" t="str">
        <f t="shared" ca="1" si="3"/>
        <v/>
      </c>
      <c r="E60" s="82"/>
      <c r="F60" s="91" t="str">
        <f t="shared" si="4"/>
        <v/>
      </c>
      <c r="G60" s="27"/>
      <c r="H60" s="84"/>
      <c r="I60" s="92" t="str">
        <f>IF(A60="","Pending",IF(H60="","⚠️ Enter Code",IF(IFERROR(VLOOKUP(G60,DB_Agents!$B:$I,8,0),"")=H60,IF(AND(A60&lt;&gt;"",E60&lt;&gt;""),"Saved","Pending"),"🔒 BLOCKED — Wrong Code")))</f>
        <v>Pending</v>
      </c>
      <c r="J60" s="93" t="str">
        <f t="shared" ca="1" si="5"/>
        <v>—</v>
      </c>
      <c r="K60" s="94"/>
    </row>
    <row r="61" spans="1:11" x14ac:dyDescent="0.25">
      <c r="A61" s="79"/>
      <c r="B61" s="21" t="str">
        <f>IF(A61="","",IFERROR(VLOOKUP(A61,DB_Customers!$A:$D,4,0),"❌ Account Not Found"))</f>
        <v/>
      </c>
      <c r="C61" s="80" t="str">
        <f>IF(A61="","",IFERROR(VLOOKUP(A61,DB_Customers!$A:$N,14,0),""))</f>
        <v/>
      </c>
      <c r="D61" s="81" t="str">
        <f t="shared" ca="1" si="3"/>
        <v/>
      </c>
      <c r="E61" s="82"/>
      <c r="F61" s="83" t="str">
        <f t="shared" si="4"/>
        <v/>
      </c>
      <c r="G61" s="23"/>
      <c r="H61" s="84"/>
      <c r="I61" s="85" t="str">
        <f>IF(A61="","Pending",IF(H61="","⚠️ Enter Code",IF(IFERROR(VLOOKUP(G61,DB_Agents!$B:$I,8,0),"")=H61,IF(AND(A61&lt;&gt;"",E61&lt;&gt;""),"Saved","Pending"),"🔒 BLOCKED — Wrong Code")))</f>
        <v>Pending</v>
      </c>
      <c r="J61" s="86" t="str">
        <f t="shared" ca="1" si="5"/>
        <v>—</v>
      </c>
      <c r="K61" s="87"/>
    </row>
    <row r="62" spans="1:11" x14ac:dyDescent="0.25">
      <c r="A62" s="88"/>
      <c r="B62" s="25" t="str">
        <f>IF(A62="","",IFERROR(VLOOKUP(A62,DB_Customers!$A:$D,4,0),"❌ Account Not Found"))</f>
        <v/>
      </c>
      <c r="C62" s="89" t="str">
        <f>IF(A62="","",IFERROR(VLOOKUP(A62,DB_Customers!$A:$N,14,0),""))</f>
        <v/>
      </c>
      <c r="D62" s="90" t="str">
        <f t="shared" ca="1" si="3"/>
        <v/>
      </c>
      <c r="E62" s="82"/>
      <c r="F62" s="91" t="str">
        <f t="shared" si="4"/>
        <v/>
      </c>
      <c r="G62" s="27"/>
      <c r="H62" s="84"/>
      <c r="I62" s="92" t="str">
        <f>IF(A62="","Pending",IF(H62="","⚠️ Enter Code",IF(IFERROR(VLOOKUP(G62,DB_Agents!$B:$I,8,0),"")=H62,IF(AND(A62&lt;&gt;"",E62&lt;&gt;""),"Saved","Pending"),"🔒 BLOCKED — Wrong Code")))</f>
        <v>Pending</v>
      </c>
      <c r="J62" s="93" t="str">
        <f t="shared" ca="1" si="5"/>
        <v>—</v>
      </c>
      <c r="K62" s="94"/>
    </row>
    <row r="63" spans="1:11" x14ac:dyDescent="0.25">
      <c r="A63" s="79"/>
      <c r="B63" s="21" t="str">
        <f>IF(A63="","",IFERROR(VLOOKUP(A63,DB_Customers!$A:$D,4,0),"❌ Account Not Found"))</f>
        <v/>
      </c>
      <c r="C63" s="80" t="str">
        <f>IF(A63="","",IFERROR(VLOOKUP(A63,DB_Customers!$A:$N,14,0),""))</f>
        <v/>
      </c>
      <c r="D63" s="81" t="str">
        <f t="shared" ca="1" si="3"/>
        <v/>
      </c>
      <c r="E63" s="82"/>
      <c r="F63" s="83" t="str">
        <f t="shared" si="4"/>
        <v/>
      </c>
      <c r="G63" s="23"/>
      <c r="H63" s="84"/>
      <c r="I63" s="85" t="str">
        <f>IF(A63="","Pending",IF(H63="","⚠️ Enter Code",IF(IFERROR(VLOOKUP(G63,DB_Agents!$B:$I,8,0),"")=H63,IF(AND(A63&lt;&gt;"",E63&lt;&gt;""),"Saved","Pending"),"🔒 BLOCKED — Wrong Code")))</f>
        <v>Pending</v>
      </c>
      <c r="J63" s="86" t="str">
        <f t="shared" ca="1" si="5"/>
        <v>—</v>
      </c>
      <c r="K63" s="87"/>
    </row>
    <row r="64" spans="1:11" x14ac:dyDescent="0.25">
      <c r="A64" s="88"/>
      <c r="B64" s="25" t="str">
        <f>IF(A64="","",IFERROR(VLOOKUP(A64,DB_Customers!$A:$D,4,0),"❌ Account Not Found"))</f>
        <v/>
      </c>
      <c r="C64" s="89" t="str">
        <f>IF(A64="","",IFERROR(VLOOKUP(A64,DB_Customers!$A:$N,14,0),""))</f>
        <v/>
      </c>
      <c r="D64" s="90" t="str">
        <f t="shared" ca="1" si="3"/>
        <v/>
      </c>
      <c r="E64" s="82"/>
      <c r="F64" s="91" t="str">
        <f t="shared" si="4"/>
        <v/>
      </c>
      <c r="G64" s="27"/>
      <c r="H64" s="84"/>
      <c r="I64" s="92" t="str">
        <f>IF(A64="","Pending",IF(H64="","⚠️ Enter Code",IF(IFERROR(VLOOKUP(G64,DB_Agents!$B:$I,8,0),"")=H64,IF(AND(A64&lt;&gt;"",E64&lt;&gt;""),"Saved","Pending"),"🔒 BLOCKED — Wrong Code")))</f>
        <v>Pending</v>
      </c>
      <c r="J64" s="93" t="str">
        <f t="shared" ca="1" si="5"/>
        <v>—</v>
      </c>
      <c r="K64" s="94"/>
    </row>
    <row r="65" spans="1:11" x14ac:dyDescent="0.25">
      <c r="A65" s="79"/>
      <c r="B65" s="21" t="str">
        <f>IF(A65="","",IFERROR(VLOOKUP(A65,DB_Customers!$A:$D,4,0),"❌ Account Not Found"))</f>
        <v/>
      </c>
      <c r="C65" s="80" t="str">
        <f>IF(A65="","",IFERROR(VLOOKUP(A65,DB_Customers!$A:$N,14,0),""))</f>
        <v/>
      </c>
      <c r="D65" s="81" t="str">
        <f t="shared" ca="1" si="3"/>
        <v/>
      </c>
      <c r="E65" s="82"/>
      <c r="F65" s="83" t="str">
        <f t="shared" si="4"/>
        <v/>
      </c>
      <c r="G65" s="23"/>
      <c r="H65" s="84"/>
      <c r="I65" s="85" t="str">
        <f>IF(A65="","Pending",IF(H65="","⚠️ Enter Code",IF(IFERROR(VLOOKUP(G65,DB_Agents!$B:$I,8,0),"")=H65,IF(AND(A65&lt;&gt;"",E65&lt;&gt;""),"Saved","Pending"),"🔒 BLOCKED — Wrong Code")))</f>
        <v>Pending</v>
      </c>
      <c r="J65" s="86" t="str">
        <f t="shared" ca="1" si="5"/>
        <v>—</v>
      </c>
      <c r="K65" s="87"/>
    </row>
    <row r="66" spans="1:11" x14ac:dyDescent="0.25">
      <c r="A66" s="88"/>
      <c r="B66" s="25" t="str">
        <f>IF(A66="","",IFERROR(VLOOKUP(A66,DB_Customers!$A:$D,4,0),"❌ Account Not Found"))</f>
        <v/>
      </c>
      <c r="C66" s="89" t="str">
        <f>IF(A66="","",IFERROR(VLOOKUP(A66,DB_Customers!$A:$N,14,0),""))</f>
        <v/>
      </c>
      <c r="D66" s="90" t="str">
        <f t="shared" ca="1" si="3"/>
        <v/>
      </c>
      <c r="E66" s="82"/>
      <c r="F66" s="91" t="str">
        <f t="shared" si="4"/>
        <v/>
      </c>
      <c r="G66" s="27"/>
      <c r="H66" s="84"/>
      <c r="I66" s="92" t="str">
        <f>IF(A66="","Pending",IF(H66="","⚠️ Enter Code",IF(IFERROR(VLOOKUP(G66,DB_Agents!$B:$I,8,0),"")=H66,IF(AND(A66&lt;&gt;"",E66&lt;&gt;""),"Saved","Pending"),"🔒 BLOCKED — Wrong Code")))</f>
        <v>Pending</v>
      </c>
      <c r="J66" s="93" t="str">
        <f t="shared" ca="1" si="5"/>
        <v>—</v>
      </c>
      <c r="K66" s="94"/>
    </row>
    <row r="67" spans="1:11" x14ac:dyDescent="0.25">
      <c r="A67" s="79"/>
      <c r="B67" s="21" t="str">
        <f>IF(A67="","",IFERROR(VLOOKUP(A67,DB_Customers!$A:$D,4,0),"❌ Account Not Found"))</f>
        <v/>
      </c>
      <c r="C67" s="80" t="str">
        <f>IF(A67="","",IFERROR(VLOOKUP(A67,DB_Customers!$A:$N,14,0),""))</f>
        <v/>
      </c>
      <c r="D67" s="81" t="str">
        <f t="shared" ca="1" si="3"/>
        <v/>
      </c>
      <c r="E67" s="82"/>
      <c r="F67" s="83" t="str">
        <f t="shared" si="4"/>
        <v/>
      </c>
      <c r="G67" s="23"/>
      <c r="H67" s="84"/>
      <c r="I67" s="85" t="str">
        <f>IF(A67="","Pending",IF(H67="","⚠️ Enter Code",IF(IFERROR(VLOOKUP(G67,DB_Agents!$B:$I,8,0),"")=H67,IF(AND(A67&lt;&gt;"",E67&lt;&gt;""),"Saved","Pending"),"🔒 BLOCKED — Wrong Code")))</f>
        <v>Pending</v>
      </c>
      <c r="J67" s="86" t="str">
        <f t="shared" ca="1" si="5"/>
        <v>—</v>
      </c>
      <c r="K67" s="87"/>
    </row>
    <row r="68" spans="1:11" x14ac:dyDescent="0.25">
      <c r="A68" s="88"/>
      <c r="B68" s="25" t="str">
        <f>IF(A68="","",IFERROR(VLOOKUP(A68,DB_Customers!$A:$D,4,0),"❌ Account Not Found"))</f>
        <v/>
      </c>
      <c r="C68" s="89" t="str">
        <f>IF(A68="","",IFERROR(VLOOKUP(A68,DB_Customers!$A:$N,14,0),""))</f>
        <v/>
      </c>
      <c r="D68" s="90" t="str">
        <f t="shared" ca="1" si="3"/>
        <v/>
      </c>
      <c r="E68" s="82"/>
      <c r="F68" s="91" t="str">
        <f t="shared" si="4"/>
        <v/>
      </c>
      <c r="G68" s="27"/>
      <c r="H68" s="84"/>
      <c r="I68" s="92" t="str">
        <f>IF(A68="","Pending",IF(H68="","⚠️ Enter Code",IF(IFERROR(VLOOKUP(G68,DB_Agents!$B:$I,8,0),"")=H68,IF(AND(A68&lt;&gt;"",E68&lt;&gt;""),"Saved","Pending"),"🔒 BLOCKED — Wrong Code")))</f>
        <v>Pending</v>
      </c>
      <c r="J68" s="93" t="str">
        <f t="shared" ca="1" si="5"/>
        <v>—</v>
      </c>
      <c r="K68" s="94"/>
    </row>
    <row r="69" spans="1:11" x14ac:dyDescent="0.25">
      <c r="A69" s="79"/>
      <c r="B69" s="21" t="str">
        <f>IF(A69="","",IFERROR(VLOOKUP(A69,DB_Customers!$A:$D,4,0),"❌ Account Not Found"))</f>
        <v/>
      </c>
      <c r="C69" s="80" t="str">
        <f>IF(A69="","",IFERROR(VLOOKUP(A69,DB_Customers!$A:$N,14,0),""))</f>
        <v/>
      </c>
      <c r="D69" s="81" t="str">
        <f t="shared" ca="1" si="3"/>
        <v/>
      </c>
      <c r="E69" s="82"/>
      <c r="F69" s="83" t="str">
        <f t="shared" si="4"/>
        <v/>
      </c>
      <c r="G69" s="23"/>
      <c r="H69" s="84"/>
      <c r="I69" s="85" t="str">
        <f>IF(A69="","Pending",IF(H69="","⚠️ Enter Code",IF(IFERROR(VLOOKUP(G69,DB_Agents!$B:$I,8,0),"")=H69,IF(AND(A69&lt;&gt;"",E69&lt;&gt;""),"Saved","Pending"),"🔒 BLOCKED — Wrong Code")))</f>
        <v>Pending</v>
      </c>
      <c r="J69" s="86" t="str">
        <f t="shared" ca="1" si="5"/>
        <v>—</v>
      </c>
      <c r="K69" s="87"/>
    </row>
    <row r="70" spans="1:11" x14ac:dyDescent="0.25">
      <c r="A70" s="88"/>
      <c r="B70" s="25" t="str">
        <f>IF(A70="","",IFERROR(VLOOKUP(A70,DB_Customers!$A:$D,4,0),"❌ Account Not Found"))</f>
        <v/>
      </c>
      <c r="C70" s="89" t="str">
        <f>IF(A70="","",IFERROR(VLOOKUP(A70,DB_Customers!$A:$N,14,0),""))</f>
        <v/>
      </c>
      <c r="D70" s="90" t="str">
        <f t="shared" ca="1" si="3"/>
        <v/>
      </c>
      <c r="E70" s="82"/>
      <c r="F70" s="91" t="str">
        <f t="shared" si="4"/>
        <v/>
      </c>
      <c r="G70" s="27"/>
      <c r="H70" s="84"/>
      <c r="I70" s="92" t="str">
        <f>IF(A70="","Pending",IF(H70="","⚠️ Enter Code",IF(IFERROR(VLOOKUP(G70,DB_Agents!$B:$I,8,0),"")=H70,IF(AND(A70&lt;&gt;"",E70&lt;&gt;""),"Saved","Pending"),"🔒 BLOCKED — Wrong Code")))</f>
        <v>Pending</v>
      </c>
      <c r="J70" s="93" t="str">
        <f t="shared" ca="1" si="5"/>
        <v>—</v>
      </c>
      <c r="K70" s="94"/>
    </row>
    <row r="71" spans="1:11" x14ac:dyDescent="0.25">
      <c r="A71" s="79"/>
      <c r="B71" s="21" t="str">
        <f>IF(A71="","",IFERROR(VLOOKUP(A71,DB_Customers!$A:$D,4,0),"❌ Account Not Found"))</f>
        <v/>
      </c>
      <c r="C71" s="80" t="str">
        <f>IF(A71="","",IFERROR(VLOOKUP(A71,DB_Customers!$A:$N,14,0),""))</f>
        <v/>
      </c>
      <c r="D71" s="81" t="str">
        <f t="shared" ca="1" si="3"/>
        <v/>
      </c>
      <c r="E71" s="82"/>
      <c r="F71" s="83" t="str">
        <f t="shared" si="4"/>
        <v/>
      </c>
      <c r="G71" s="23"/>
      <c r="H71" s="84"/>
      <c r="I71" s="85" t="str">
        <f>IF(A71="","Pending",IF(H71="","⚠️ Enter Code",IF(IFERROR(VLOOKUP(G71,DB_Agents!$B:$I,8,0),"")=H71,IF(AND(A71&lt;&gt;"",E71&lt;&gt;""),"Saved","Pending"),"🔒 BLOCKED — Wrong Code")))</f>
        <v>Pending</v>
      </c>
      <c r="J71" s="86" t="str">
        <f t="shared" ca="1" si="5"/>
        <v>—</v>
      </c>
      <c r="K71" s="87"/>
    </row>
    <row r="72" spans="1:11" x14ac:dyDescent="0.25">
      <c r="A72" s="88"/>
      <c r="B72" s="25" t="str">
        <f>IF(A72="","",IFERROR(VLOOKUP(A72,DB_Customers!$A:$D,4,0),"❌ Account Not Found"))</f>
        <v/>
      </c>
      <c r="C72" s="89" t="str">
        <f>IF(A72="","",IFERROR(VLOOKUP(A72,DB_Customers!$A:$N,14,0),""))</f>
        <v/>
      </c>
      <c r="D72" s="90" t="str">
        <f t="shared" ca="1" si="3"/>
        <v/>
      </c>
      <c r="E72" s="82"/>
      <c r="F72" s="91" t="str">
        <f t="shared" si="4"/>
        <v/>
      </c>
      <c r="G72" s="27"/>
      <c r="H72" s="84"/>
      <c r="I72" s="92" t="str">
        <f>IF(A72="","Pending",IF(H72="","⚠️ Enter Code",IF(IFERROR(VLOOKUP(G72,DB_Agents!$B:$I,8,0),"")=H72,IF(AND(A72&lt;&gt;"",E72&lt;&gt;""),"Saved","Pending"),"🔒 BLOCKED — Wrong Code")))</f>
        <v>Pending</v>
      </c>
      <c r="J72" s="93" t="str">
        <f t="shared" ca="1" si="5"/>
        <v>—</v>
      </c>
      <c r="K72" s="94"/>
    </row>
    <row r="73" spans="1:11" x14ac:dyDescent="0.25">
      <c r="A73" s="79"/>
      <c r="B73" s="21" t="str">
        <f>IF(A73="","",IFERROR(VLOOKUP(A73,DB_Customers!$A:$D,4,0),"❌ Account Not Found"))</f>
        <v/>
      </c>
      <c r="C73" s="80" t="str">
        <f>IF(A73="","",IFERROR(VLOOKUP(A73,DB_Customers!$A:$N,14,0),""))</f>
        <v/>
      </c>
      <c r="D73" s="81" t="str">
        <f t="shared" ref="D73:D104" ca="1" si="6">IF(A73="","",TODAY())</f>
        <v/>
      </c>
      <c r="E73" s="82"/>
      <c r="F73" s="83" t="str">
        <f t="shared" ref="F73:F104" si="7">IF(OR(A73="",E73=""),"",IF(C73="","",C73+E73))</f>
        <v/>
      </c>
      <c r="G73" s="23"/>
      <c r="H73" s="84"/>
      <c r="I73" s="85" t="str">
        <f>IF(A73="","Pending",IF(H73="","⚠️ Enter Code",IF(IFERROR(VLOOKUP(G73,DB_Agents!$B:$I,8,0),"")=H73,IF(AND(A73&lt;&gt;"",E73&lt;&gt;""),"Saved","Pending"),"🔒 BLOCKED — Wrong Code")))</f>
        <v>Pending</v>
      </c>
      <c r="J73" s="86" t="str">
        <f t="shared" ref="J73:J104" ca="1" si="8">IF(I73="Saved",TEXT(TODAY(),"YYYY-MM-DD")&amp;" Auto","—")</f>
        <v>—</v>
      </c>
      <c r="K73" s="87"/>
    </row>
    <row r="74" spans="1:11" x14ac:dyDescent="0.25">
      <c r="A74" s="88"/>
      <c r="B74" s="25" t="str">
        <f>IF(A74="","",IFERROR(VLOOKUP(A74,DB_Customers!$A:$D,4,0),"❌ Account Not Found"))</f>
        <v/>
      </c>
      <c r="C74" s="89" t="str">
        <f>IF(A74="","",IFERROR(VLOOKUP(A74,DB_Customers!$A:$N,14,0),""))</f>
        <v/>
      </c>
      <c r="D74" s="90" t="str">
        <f t="shared" ca="1" si="6"/>
        <v/>
      </c>
      <c r="E74" s="82"/>
      <c r="F74" s="91" t="str">
        <f t="shared" si="7"/>
        <v/>
      </c>
      <c r="G74" s="27"/>
      <c r="H74" s="84"/>
      <c r="I74" s="92" t="str">
        <f>IF(A74="","Pending",IF(H74="","⚠️ Enter Code",IF(IFERROR(VLOOKUP(G74,DB_Agents!$B:$I,8,0),"")=H74,IF(AND(A74&lt;&gt;"",E74&lt;&gt;""),"Saved","Pending"),"🔒 BLOCKED — Wrong Code")))</f>
        <v>Pending</v>
      </c>
      <c r="J74" s="93" t="str">
        <f t="shared" ca="1" si="8"/>
        <v>—</v>
      </c>
      <c r="K74" s="94"/>
    </row>
    <row r="75" spans="1:11" x14ac:dyDescent="0.25">
      <c r="A75" s="79"/>
      <c r="B75" s="21" t="str">
        <f>IF(A75="","",IFERROR(VLOOKUP(A75,DB_Customers!$A:$D,4,0),"❌ Account Not Found"))</f>
        <v/>
      </c>
      <c r="C75" s="80" t="str">
        <f>IF(A75="","",IFERROR(VLOOKUP(A75,DB_Customers!$A:$N,14,0),""))</f>
        <v/>
      </c>
      <c r="D75" s="81" t="str">
        <f t="shared" ca="1" si="6"/>
        <v/>
      </c>
      <c r="E75" s="82"/>
      <c r="F75" s="83" t="str">
        <f t="shared" si="7"/>
        <v/>
      </c>
      <c r="G75" s="23"/>
      <c r="H75" s="84"/>
      <c r="I75" s="85" t="str">
        <f>IF(A75="","Pending",IF(H75="","⚠️ Enter Code",IF(IFERROR(VLOOKUP(G75,DB_Agents!$B:$I,8,0),"")=H75,IF(AND(A75&lt;&gt;"",E75&lt;&gt;""),"Saved","Pending"),"🔒 BLOCKED — Wrong Code")))</f>
        <v>Pending</v>
      </c>
      <c r="J75" s="86" t="str">
        <f t="shared" ca="1" si="8"/>
        <v>—</v>
      </c>
      <c r="K75" s="87"/>
    </row>
    <row r="76" spans="1:11" x14ac:dyDescent="0.25">
      <c r="A76" s="88"/>
      <c r="B76" s="25" t="str">
        <f>IF(A76="","",IFERROR(VLOOKUP(A76,DB_Customers!$A:$D,4,0),"❌ Account Not Found"))</f>
        <v/>
      </c>
      <c r="C76" s="89" t="str">
        <f>IF(A76="","",IFERROR(VLOOKUP(A76,DB_Customers!$A:$N,14,0),""))</f>
        <v/>
      </c>
      <c r="D76" s="90" t="str">
        <f t="shared" ca="1" si="6"/>
        <v/>
      </c>
      <c r="E76" s="82"/>
      <c r="F76" s="91" t="str">
        <f t="shared" si="7"/>
        <v/>
      </c>
      <c r="G76" s="27"/>
      <c r="H76" s="84"/>
      <c r="I76" s="92" t="str">
        <f>IF(A76="","Pending",IF(H76="","⚠️ Enter Code",IF(IFERROR(VLOOKUP(G76,DB_Agents!$B:$I,8,0),"")=H76,IF(AND(A76&lt;&gt;"",E76&lt;&gt;""),"Saved","Pending"),"🔒 BLOCKED — Wrong Code")))</f>
        <v>Pending</v>
      </c>
      <c r="J76" s="93" t="str">
        <f t="shared" ca="1" si="8"/>
        <v>—</v>
      </c>
      <c r="K76" s="94"/>
    </row>
    <row r="77" spans="1:11" x14ac:dyDescent="0.25">
      <c r="A77" s="79"/>
      <c r="B77" s="21" t="str">
        <f>IF(A77="","",IFERROR(VLOOKUP(A77,DB_Customers!$A:$D,4,0),"❌ Account Not Found"))</f>
        <v/>
      </c>
      <c r="C77" s="80" t="str">
        <f>IF(A77="","",IFERROR(VLOOKUP(A77,DB_Customers!$A:$N,14,0),""))</f>
        <v/>
      </c>
      <c r="D77" s="81" t="str">
        <f t="shared" ca="1" si="6"/>
        <v/>
      </c>
      <c r="E77" s="82"/>
      <c r="F77" s="83" t="str">
        <f t="shared" si="7"/>
        <v/>
      </c>
      <c r="G77" s="23"/>
      <c r="H77" s="84"/>
      <c r="I77" s="85" t="str">
        <f>IF(A77="","Pending",IF(H77="","⚠️ Enter Code",IF(IFERROR(VLOOKUP(G77,DB_Agents!$B:$I,8,0),"")=H77,IF(AND(A77&lt;&gt;"",E77&lt;&gt;""),"Saved","Pending"),"🔒 BLOCKED — Wrong Code")))</f>
        <v>Pending</v>
      </c>
      <c r="J77" s="86" t="str">
        <f t="shared" ca="1" si="8"/>
        <v>—</v>
      </c>
      <c r="K77" s="87"/>
    </row>
    <row r="78" spans="1:11" x14ac:dyDescent="0.25">
      <c r="A78" s="88"/>
      <c r="B78" s="25" t="str">
        <f>IF(A78="","",IFERROR(VLOOKUP(A78,DB_Customers!$A:$D,4,0),"❌ Account Not Found"))</f>
        <v/>
      </c>
      <c r="C78" s="89" t="str">
        <f>IF(A78="","",IFERROR(VLOOKUP(A78,DB_Customers!$A:$N,14,0),""))</f>
        <v/>
      </c>
      <c r="D78" s="90" t="str">
        <f t="shared" ca="1" si="6"/>
        <v/>
      </c>
      <c r="E78" s="82"/>
      <c r="F78" s="91" t="str">
        <f t="shared" si="7"/>
        <v/>
      </c>
      <c r="G78" s="27"/>
      <c r="H78" s="84"/>
      <c r="I78" s="92" t="str">
        <f>IF(A78="","Pending",IF(H78="","⚠️ Enter Code",IF(IFERROR(VLOOKUP(G78,DB_Agents!$B:$I,8,0),"")=H78,IF(AND(A78&lt;&gt;"",E78&lt;&gt;""),"Saved","Pending"),"🔒 BLOCKED — Wrong Code")))</f>
        <v>Pending</v>
      </c>
      <c r="J78" s="93" t="str">
        <f t="shared" ca="1" si="8"/>
        <v>—</v>
      </c>
      <c r="K78" s="94"/>
    </row>
    <row r="79" spans="1:11" x14ac:dyDescent="0.25">
      <c r="A79" s="79"/>
      <c r="B79" s="21" t="str">
        <f>IF(A79="","",IFERROR(VLOOKUP(A79,DB_Customers!$A:$D,4,0),"❌ Account Not Found"))</f>
        <v/>
      </c>
      <c r="C79" s="80" t="str">
        <f>IF(A79="","",IFERROR(VLOOKUP(A79,DB_Customers!$A:$N,14,0),""))</f>
        <v/>
      </c>
      <c r="D79" s="81" t="str">
        <f t="shared" ca="1" si="6"/>
        <v/>
      </c>
      <c r="E79" s="82"/>
      <c r="F79" s="83" t="str">
        <f t="shared" si="7"/>
        <v/>
      </c>
      <c r="G79" s="23"/>
      <c r="H79" s="84"/>
      <c r="I79" s="85" t="str">
        <f>IF(A79="","Pending",IF(H79="","⚠️ Enter Code",IF(IFERROR(VLOOKUP(G79,DB_Agents!$B:$I,8,0),"")=H79,IF(AND(A79&lt;&gt;"",E79&lt;&gt;""),"Saved","Pending"),"🔒 BLOCKED — Wrong Code")))</f>
        <v>Pending</v>
      </c>
      <c r="J79" s="86" t="str">
        <f t="shared" ca="1" si="8"/>
        <v>—</v>
      </c>
      <c r="K79" s="87"/>
    </row>
    <row r="80" spans="1:11" x14ac:dyDescent="0.25">
      <c r="A80" s="88"/>
      <c r="B80" s="25" t="str">
        <f>IF(A80="","",IFERROR(VLOOKUP(A80,DB_Customers!$A:$D,4,0),"❌ Account Not Found"))</f>
        <v/>
      </c>
      <c r="C80" s="89" t="str">
        <f>IF(A80="","",IFERROR(VLOOKUP(A80,DB_Customers!$A:$N,14,0),""))</f>
        <v/>
      </c>
      <c r="D80" s="90" t="str">
        <f t="shared" ca="1" si="6"/>
        <v/>
      </c>
      <c r="E80" s="82"/>
      <c r="F80" s="91" t="str">
        <f t="shared" si="7"/>
        <v/>
      </c>
      <c r="G80" s="27"/>
      <c r="H80" s="84"/>
      <c r="I80" s="92" t="str">
        <f>IF(A80="","Pending",IF(H80="","⚠️ Enter Code",IF(IFERROR(VLOOKUP(G80,DB_Agents!$B:$I,8,0),"")=H80,IF(AND(A80&lt;&gt;"",E80&lt;&gt;""),"Saved","Pending"),"🔒 BLOCKED — Wrong Code")))</f>
        <v>Pending</v>
      </c>
      <c r="J80" s="93" t="str">
        <f t="shared" ca="1" si="8"/>
        <v>—</v>
      </c>
      <c r="K80" s="94"/>
    </row>
    <row r="81" spans="1:11" x14ac:dyDescent="0.25">
      <c r="A81" s="79"/>
      <c r="B81" s="21" t="str">
        <f>IF(A81="","",IFERROR(VLOOKUP(A81,DB_Customers!$A:$D,4,0),"❌ Account Not Found"))</f>
        <v/>
      </c>
      <c r="C81" s="80" t="str">
        <f>IF(A81="","",IFERROR(VLOOKUP(A81,DB_Customers!$A:$N,14,0),""))</f>
        <v/>
      </c>
      <c r="D81" s="81" t="str">
        <f t="shared" ca="1" si="6"/>
        <v/>
      </c>
      <c r="E81" s="82"/>
      <c r="F81" s="83" t="str">
        <f t="shared" si="7"/>
        <v/>
      </c>
      <c r="G81" s="23"/>
      <c r="H81" s="84"/>
      <c r="I81" s="85" t="str">
        <f>IF(A81="","Pending",IF(H81="","⚠️ Enter Code",IF(IFERROR(VLOOKUP(G81,DB_Agents!$B:$I,8,0),"")=H81,IF(AND(A81&lt;&gt;"",E81&lt;&gt;""),"Saved","Pending"),"🔒 BLOCKED — Wrong Code")))</f>
        <v>Pending</v>
      </c>
      <c r="J81" s="86" t="str">
        <f t="shared" ca="1" si="8"/>
        <v>—</v>
      </c>
      <c r="K81" s="87"/>
    </row>
    <row r="82" spans="1:11" x14ac:dyDescent="0.25">
      <c r="A82" s="88"/>
      <c r="B82" s="25" t="str">
        <f>IF(A82="","",IFERROR(VLOOKUP(A82,DB_Customers!$A:$D,4,0),"❌ Account Not Found"))</f>
        <v/>
      </c>
      <c r="C82" s="89" t="str">
        <f>IF(A82="","",IFERROR(VLOOKUP(A82,DB_Customers!$A:$N,14,0),""))</f>
        <v/>
      </c>
      <c r="D82" s="90" t="str">
        <f t="shared" ca="1" si="6"/>
        <v/>
      </c>
      <c r="E82" s="82"/>
      <c r="F82" s="91" t="str">
        <f t="shared" si="7"/>
        <v/>
      </c>
      <c r="G82" s="27"/>
      <c r="H82" s="84"/>
      <c r="I82" s="92" t="str">
        <f>IF(A82="","Pending",IF(H82="","⚠️ Enter Code",IF(IFERROR(VLOOKUP(G82,DB_Agents!$B:$I,8,0),"")=H82,IF(AND(A82&lt;&gt;"",E82&lt;&gt;""),"Saved","Pending"),"🔒 BLOCKED — Wrong Code")))</f>
        <v>Pending</v>
      </c>
      <c r="J82" s="93" t="str">
        <f t="shared" ca="1" si="8"/>
        <v>—</v>
      </c>
      <c r="K82" s="94"/>
    </row>
    <row r="83" spans="1:11" x14ac:dyDescent="0.25">
      <c r="A83" s="79"/>
      <c r="B83" s="21" t="str">
        <f>IF(A83="","",IFERROR(VLOOKUP(A83,DB_Customers!$A:$D,4,0),"❌ Account Not Found"))</f>
        <v/>
      </c>
      <c r="C83" s="80" t="str">
        <f>IF(A83="","",IFERROR(VLOOKUP(A83,DB_Customers!$A:$N,14,0),""))</f>
        <v/>
      </c>
      <c r="D83" s="81" t="str">
        <f t="shared" ca="1" si="6"/>
        <v/>
      </c>
      <c r="E83" s="82"/>
      <c r="F83" s="83" t="str">
        <f t="shared" si="7"/>
        <v/>
      </c>
      <c r="G83" s="23"/>
      <c r="H83" s="84"/>
      <c r="I83" s="85" t="str">
        <f>IF(A83="","Pending",IF(H83="","⚠️ Enter Code",IF(IFERROR(VLOOKUP(G83,DB_Agents!$B:$I,8,0),"")=H83,IF(AND(A83&lt;&gt;"",E83&lt;&gt;""),"Saved","Pending"),"🔒 BLOCKED — Wrong Code")))</f>
        <v>Pending</v>
      </c>
      <c r="J83" s="86" t="str">
        <f t="shared" ca="1" si="8"/>
        <v>—</v>
      </c>
      <c r="K83" s="87"/>
    </row>
    <row r="84" spans="1:11" x14ac:dyDescent="0.25">
      <c r="A84" s="88"/>
      <c r="B84" s="25" t="str">
        <f>IF(A84="","",IFERROR(VLOOKUP(A84,DB_Customers!$A:$D,4,0),"❌ Account Not Found"))</f>
        <v/>
      </c>
      <c r="C84" s="89" t="str">
        <f>IF(A84="","",IFERROR(VLOOKUP(A84,DB_Customers!$A:$N,14,0),""))</f>
        <v/>
      </c>
      <c r="D84" s="90" t="str">
        <f t="shared" ca="1" si="6"/>
        <v/>
      </c>
      <c r="E84" s="82"/>
      <c r="F84" s="91" t="str">
        <f t="shared" si="7"/>
        <v/>
      </c>
      <c r="G84" s="27"/>
      <c r="H84" s="84"/>
      <c r="I84" s="92" t="str">
        <f>IF(A84="","Pending",IF(H84="","⚠️ Enter Code",IF(IFERROR(VLOOKUP(G84,DB_Agents!$B:$I,8,0),"")=H84,IF(AND(A84&lt;&gt;"",E84&lt;&gt;""),"Saved","Pending"),"🔒 BLOCKED — Wrong Code")))</f>
        <v>Pending</v>
      </c>
      <c r="J84" s="93" t="str">
        <f t="shared" ca="1" si="8"/>
        <v>—</v>
      </c>
      <c r="K84" s="94"/>
    </row>
    <row r="85" spans="1:11" x14ac:dyDescent="0.25">
      <c r="A85" s="79"/>
      <c r="B85" s="21" t="str">
        <f>IF(A85="","",IFERROR(VLOOKUP(A85,DB_Customers!$A:$D,4,0),"❌ Account Not Found"))</f>
        <v/>
      </c>
      <c r="C85" s="80" t="str">
        <f>IF(A85="","",IFERROR(VLOOKUP(A85,DB_Customers!$A:$N,14,0),""))</f>
        <v/>
      </c>
      <c r="D85" s="81" t="str">
        <f t="shared" ca="1" si="6"/>
        <v/>
      </c>
      <c r="E85" s="82"/>
      <c r="F85" s="83" t="str">
        <f t="shared" si="7"/>
        <v/>
      </c>
      <c r="G85" s="23"/>
      <c r="H85" s="84"/>
      <c r="I85" s="85" t="str">
        <f>IF(A85="","Pending",IF(H85="","⚠️ Enter Code",IF(IFERROR(VLOOKUP(G85,DB_Agents!$B:$I,8,0),"")=H85,IF(AND(A85&lt;&gt;"",E85&lt;&gt;""),"Saved","Pending"),"🔒 BLOCKED — Wrong Code")))</f>
        <v>Pending</v>
      </c>
      <c r="J85" s="86" t="str">
        <f t="shared" ca="1" si="8"/>
        <v>—</v>
      </c>
      <c r="K85" s="87"/>
    </row>
    <row r="86" spans="1:11" x14ac:dyDescent="0.25">
      <c r="A86" s="88"/>
      <c r="B86" s="25" t="str">
        <f>IF(A86="","",IFERROR(VLOOKUP(A86,DB_Customers!$A:$D,4,0),"❌ Account Not Found"))</f>
        <v/>
      </c>
      <c r="C86" s="89" t="str">
        <f>IF(A86="","",IFERROR(VLOOKUP(A86,DB_Customers!$A:$N,14,0),""))</f>
        <v/>
      </c>
      <c r="D86" s="90" t="str">
        <f t="shared" ca="1" si="6"/>
        <v/>
      </c>
      <c r="E86" s="82"/>
      <c r="F86" s="91" t="str">
        <f t="shared" si="7"/>
        <v/>
      </c>
      <c r="G86" s="27"/>
      <c r="H86" s="84"/>
      <c r="I86" s="92" t="str">
        <f>IF(A86="","Pending",IF(H86="","⚠️ Enter Code",IF(IFERROR(VLOOKUP(G86,DB_Agents!$B:$I,8,0),"")=H86,IF(AND(A86&lt;&gt;"",E86&lt;&gt;""),"Saved","Pending"),"🔒 BLOCKED — Wrong Code")))</f>
        <v>Pending</v>
      </c>
      <c r="J86" s="93" t="str">
        <f t="shared" ca="1" si="8"/>
        <v>—</v>
      </c>
      <c r="K86" s="94"/>
    </row>
    <row r="87" spans="1:11" x14ac:dyDescent="0.25">
      <c r="A87" s="79"/>
      <c r="B87" s="21" t="str">
        <f>IF(A87="","",IFERROR(VLOOKUP(A87,DB_Customers!$A:$D,4,0),"❌ Account Not Found"))</f>
        <v/>
      </c>
      <c r="C87" s="80" t="str">
        <f>IF(A87="","",IFERROR(VLOOKUP(A87,DB_Customers!$A:$N,14,0),""))</f>
        <v/>
      </c>
      <c r="D87" s="81" t="str">
        <f t="shared" ca="1" si="6"/>
        <v/>
      </c>
      <c r="E87" s="82"/>
      <c r="F87" s="83" t="str">
        <f t="shared" si="7"/>
        <v/>
      </c>
      <c r="G87" s="23"/>
      <c r="H87" s="84"/>
      <c r="I87" s="85" t="str">
        <f>IF(A87="","Pending",IF(H87="","⚠️ Enter Code",IF(IFERROR(VLOOKUP(G87,DB_Agents!$B:$I,8,0),"")=H87,IF(AND(A87&lt;&gt;"",E87&lt;&gt;""),"Saved","Pending"),"🔒 BLOCKED — Wrong Code")))</f>
        <v>Pending</v>
      </c>
      <c r="J87" s="86" t="str">
        <f t="shared" ca="1" si="8"/>
        <v>—</v>
      </c>
      <c r="K87" s="87"/>
    </row>
    <row r="88" spans="1:11" x14ac:dyDescent="0.25">
      <c r="A88" s="88"/>
      <c r="B88" s="25" t="str">
        <f>IF(A88="","",IFERROR(VLOOKUP(A88,DB_Customers!$A:$D,4,0),"❌ Account Not Found"))</f>
        <v/>
      </c>
      <c r="C88" s="89" t="str">
        <f>IF(A88="","",IFERROR(VLOOKUP(A88,DB_Customers!$A:$N,14,0),""))</f>
        <v/>
      </c>
      <c r="D88" s="90" t="str">
        <f t="shared" ca="1" si="6"/>
        <v/>
      </c>
      <c r="E88" s="82"/>
      <c r="F88" s="91" t="str">
        <f t="shared" si="7"/>
        <v/>
      </c>
      <c r="G88" s="27"/>
      <c r="H88" s="84"/>
      <c r="I88" s="92" t="str">
        <f>IF(A88="","Pending",IF(H88="","⚠️ Enter Code",IF(IFERROR(VLOOKUP(G88,DB_Agents!$B:$I,8,0),"")=H88,IF(AND(A88&lt;&gt;"",E88&lt;&gt;""),"Saved","Pending"),"🔒 BLOCKED — Wrong Code")))</f>
        <v>Pending</v>
      </c>
      <c r="J88" s="93" t="str">
        <f t="shared" ca="1" si="8"/>
        <v>—</v>
      </c>
      <c r="K88" s="94"/>
    </row>
    <row r="89" spans="1:11" x14ac:dyDescent="0.25">
      <c r="A89" s="79"/>
      <c r="B89" s="21" t="str">
        <f>IF(A89="","",IFERROR(VLOOKUP(A89,DB_Customers!$A:$D,4,0),"❌ Account Not Found"))</f>
        <v/>
      </c>
      <c r="C89" s="80" t="str">
        <f>IF(A89="","",IFERROR(VLOOKUP(A89,DB_Customers!$A:$N,14,0),""))</f>
        <v/>
      </c>
      <c r="D89" s="81" t="str">
        <f t="shared" ca="1" si="6"/>
        <v/>
      </c>
      <c r="E89" s="82"/>
      <c r="F89" s="83" t="str">
        <f t="shared" si="7"/>
        <v/>
      </c>
      <c r="G89" s="23"/>
      <c r="H89" s="84"/>
      <c r="I89" s="85" t="str">
        <f>IF(A89="","Pending",IF(H89="","⚠️ Enter Code",IF(IFERROR(VLOOKUP(G89,DB_Agents!$B:$I,8,0),"")=H89,IF(AND(A89&lt;&gt;"",E89&lt;&gt;""),"Saved","Pending"),"🔒 BLOCKED — Wrong Code")))</f>
        <v>Pending</v>
      </c>
      <c r="J89" s="86" t="str">
        <f t="shared" ca="1" si="8"/>
        <v>—</v>
      </c>
      <c r="K89" s="87"/>
    </row>
    <row r="90" spans="1:11" x14ac:dyDescent="0.25">
      <c r="A90" s="88"/>
      <c r="B90" s="25" t="str">
        <f>IF(A90="","",IFERROR(VLOOKUP(A90,DB_Customers!$A:$D,4,0),"❌ Account Not Found"))</f>
        <v/>
      </c>
      <c r="C90" s="89" t="str">
        <f>IF(A90="","",IFERROR(VLOOKUP(A90,DB_Customers!$A:$N,14,0),""))</f>
        <v/>
      </c>
      <c r="D90" s="90" t="str">
        <f t="shared" ca="1" si="6"/>
        <v/>
      </c>
      <c r="E90" s="82"/>
      <c r="F90" s="91" t="str">
        <f t="shared" si="7"/>
        <v/>
      </c>
      <c r="G90" s="27"/>
      <c r="H90" s="84"/>
      <c r="I90" s="92" t="str">
        <f>IF(A90="","Pending",IF(H90="","⚠️ Enter Code",IF(IFERROR(VLOOKUP(G90,DB_Agents!$B:$I,8,0),"")=H90,IF(AND(A90&lt;&gt;"",E90&lt;&gt;""),"Saved","Pending"),"🔒 BLOCKED — Wrong Code")))</f>
        <v>Pending</v>
      </c>
      <c r="J90" s="93" t="str">
        <f t="shared" ca="1" si="8"/>
        <v>—</v>
      </c>
      <c r="K90" s="94"/>
    </row>
    <row r="91" spans="1:11" x14ac:dyDescent="0.25">
      <c r="A91" s="79"/>
      <c r="B91" s="21" t="str">
        <f>IF(A91="","",IFERROR(VLOOKUP(A91,DB_Customers!$A:$D,4,0),"❌ Account Not Found"))</f>
        <v/>
      </c>
      <c r="C91" s="80" t="str">
        <f>IF(A91="","",IFERROR(VLOOKUP(A91,DB_Customers!$A:$N,14,0),""))</f>
        <v/>
      </c>
      <c r="D91" s="81" t="str">
        <f t="shared" ca="1" si="6"/>
        <v/>
      </c>
      <c r="E91" s="82"/>
      <c r="F91" s="83" t="str">
        <f t="shared" si="7"/>
        <v/>
      </c>
      <c r="G91" s="23"/>
      <c r="H91" s="84"/>
      <c r="I91" s="85" t="str">
        <f>IF(A91="","Pending",IF(H91="","⚠️ Enter Code",IF(IFERROR(VLOOKUP(G91,DB_Agents!$B:$I,8,0),"")=H91,IF(AND(A91&lt;&gt;"",E91&lt;&gt;""),"Saved","Pending"),"🔒 BLOCKED — Wrong Code")))</f>
        <v>Pending</v>
      </c>
      <c r="J91" s="86" t="str">
        <f t="shared" ca="1" si="8"/>
        <v>—</v>
      </c>
      <c r="K91" s="87"/>
    </row>
    <row r="92" spans="1:11" x14ac:dyDescent="0.25">
      <c r="A92" s="88"/>
      <c r="B92" s="25" t="str">
        <f>IF(A92="","",IFERROR(VLOOKUP(A92,DB_Customers!$A:$D,4,0),"❌ Account Not Found"))</f>
        <v/>
      </c>
      <c r="C92" s="89" t="str">
        <f>IF(A92="","",IFERROR(VLOOKUP(A92,DB_Customers!$A:$N,14,0),""))</f>
        <v/>
      </c>
      <c r="D92" s="90" t="str">
        <f t="shared" ca="1" si="6"/>
        <v/>
      </c>
      <c r="E92" s="82"/>
      <c r="F92" s="91" t="str">
        <f t="shared" si="7"/>
        <v/>
      </c>
      <c r="G92" s="27"/>
      <c r="H92" s="84"/>
      <c r="I92" s="92" t="str">
        <f>IF(A92="","Pending",IF(H92="","⚠️ Enter Code",IF(IFERROR(VLOOKUP(G92,DB_Agents!$B:$I,8,0),"")=H92,IF(AND(A92&lt;&gt;"",E92&lt;&gt;""),"Saved","Pending"),"🔒 BLOCKED — Wrong Code")))</f>
        <v>Pending</v>
      </c>
      <c r="J92" s="93" t="str">
        <f t="shared" ca="1" si="8"/>
        <v>—</v>
      </c>
      <c r="K92" s="94"/>
    </row>
    <row r="93" spans="1:11" x14ac:dyDescent="0.25">
      <c r="A93" s="79"/>
      <c r="B93" s="21" t="str">
        <f>IF(A93="","",IFERROR(VLOOKUP(A93,DB_Customers!$A:$D,4,0),"❌ Account Not Found"))</f>
        <v/>
      </c>
      <c r="C93" s="80" t="str">
        <f>IF(A93="","",IFERROR(VLOOKUP(A93,DB_Customers!$A:$N,14,0),""))</f>
        <v/>
      </c>
      <c r="D93" s="81" t="str">
        <f t="shared" ca="1" si="6"/>
        <v/>
      </c>
      <c r="E93" s="82"/>
      <c r="F93" s="83" t="str">
        <f t="shared" si="7"/>
        <v/>
      </c>
      <c r="G93" s="23"/>
      <c r="H93" s="84"/>
      <c r="I93" s="85" t="str">
        <f>IF(A93="","Pending",IF(H93="","⚠️ Enter Code",IF(IFERROR(VLOOKUP(G93,DB_Agents!$B:$I,8,0),"")=H93,IF(AND(A93&lt;&gt;"",E93&lt;&gt;""),"Saved","Pending"),"🔒 BLOCKED — Wrong Code")))</f>
        <v>Pending</v>
      </c>
      <c r="J93" s="86" t="str">
        <f t="shared" ca="1" si="8"/>
        <v>—</v>
      </c>
      <c r="K93" s="87"/>
    </row>
    <row r="94" spans="1:11" x14ac:dyDescent="0.25">
      <c r="A94" s="88"/>
      <c r="B94" s="25" t="str">
        <f>IF(A94="","",IFERROR(VLOOKUP(A94,DB_Customers!$A:$D,4,0),"❌ Account Not Found"))</f>
        <v/>
      </c>
      <c r="C94" s="89" t="str">
        <f>IF(A94="","",IFERROR(VLOOKUP(A94,DB_Customers!$A:$N,14,0),""))</f>
        <v/>
      </c>
      <c r="D94" s="90" t="str">
        <f t="shared" ca="1" si="6"/>
        <v/>
      </c>
      <c r="E94" s="82"/>
      <c r="F94" s="91" t="str">
        <f t="shared" si="7"/>
        <v/>
      </c>
      <c r="G94" s="27"/>
      <c r="H94" s="84"/>
      <c r="I94" s="92" t="str">
        <f>IF(A94="","Pending",IF(H94="","⚠️ Enter Code",IF(IFERROR(VLOOKUP(G94,DB_Agents!$B:$I,8,0),"")=H94,IF(AND(A94&lt;&gt;"",E94&lt;&gt;""),"Saved","Pending"),"🔒 BLOCKED — Wrong Code")))</f>
        <v>Pending</v>
      </c>
      <c r="J94" s="93" t="str">
        <f t="shared" ca="1" si="8"/>
        <v>—</v>
      </c>
      <c r="K94" s="94"/>
    </row>
    <row r="95" spans="1:11" x14ac:dyDescent="0.25">
      <c r="A95" s="79"/>
      <c r="B95" s="21" t="str">
        <f>IF(A95="","",IFERROR(VLOOKUP(A95,DB_Customers!$A:$D,4,0),"❌ Account Not Found"))</f>
        <v/>
      </c>
      <c r="C95" s="80" t="str">
        <f>IF(A95="","",IFERROR(VLOOKUP(A95,DB_Customers!$A:$N,14,0),""))</f>
        <v/>
      </c>
      <c r="D95" s="81" t="str">
        <f t="shared" ca="1" si="6"/>
        <v/>
      </c>
      <c r="E95" s="82"/>
      <c r="F95" s="83" t="str">
        <f t="shared" si="7"/>
        <v/>
      </c>
      <c r="G95" s="23"/>
      <c r="H95" s="84"/>
      <c r="I95" s="85" t="str">
        <f>IF(A95="","Pending",IF(H95="","⚠️ Enter Code",IF(IFERROR(VLOOKUP(G95,DB_Agents!$B:$I,8,0),"")=H95,IF(AND(A95&lt;&gt;"",E95&lt;&gt;""),"Saved","Pending"),"🔒 BLOCKED — Wrong Code")))</f>
        <v>Pending</v>
      </c>
      <c r="J95" s="86" t="str">
        <f t="shared" ca="1" si="8"/>
        <v>—</v>
      </c>
      <c r="K95" s="87"/>
    </row>
    <row r="96" spans="1:11" x14ac:dyDescent="0.25">
      <c r="A96" s="88"/>
      <c r="B96" s="25" t="str">
        <f>IF(A96="","",IFERROR(VLOOKUP(A96,DB_Customers!$A:$D,4,0),"❌ Account Not Found"))</f>
        <v/>
      </c>
      <c r="C96" s="89" t="str">
        <f>IF(A96="","",IFERROR(VLOOKUP(A96,DB_Customers!$A:$N,14,0),""))</f>
        <v/>
      </c>
      <c r="D96" s="90" t="str">
        <f t="shared" ca="1" si="6"/>
        <v/>
      </c>
      <c r="E96" s="82"/>
      <c r="F96" s="91" t="str">
        <f t="shared" si="7"/>
        <v/>
      </c>
      <c r="G96" s="27"/>
      <c r="H96" s="84"/>
      <c r="I96" s="92" t="str">
        <f>IF(A96="","Pending",IF(H96="","⚠️ Enter Code",IF(IFERROR(VLOOKUP(G96,DB_Agents!$B:$I,8,0),"")=H96,IF(AND(A96&lt;&gt;"",E96&lt;&gt;""),"Saved","Pending"),"🔒 BLOCKED — Wrong Code")))</f>
        <v>Pending</v>
      </c>
      <c r="J96" s="93" t="str">
        <f t="shared" ca="1" si="8"/>
        <v>—</v>
      </c>
      <c r="K96" s="94"/>
    </row>
    <row r="97" spans="1:11" x14ac:dyDescent="0.25">
      <c r="A97" s="79"/>
      <c r="B97" s="21" t="str">
        <f>IF(A97="","",IFERROR(VLOOKUP(A97,DB_Customers!$A:$D,4,0),"❌ Account Not Found"))</f>
        <v/>
      </c>
      <c r="C97" s="80" t="str">
        <f>IF(A97="","",IFERROR(VLOOKUP(A97,DB_Customers!$A:$N,14,0),""))</f>
        <v/>
      </c>
      <c r="D97" s="81" t="str">
        <f t="shared" ca="1" si="6"/>
        <v/>
      </c>
      <c r="E97" s="82"/>
      <c r="F97" s="83" t="str">
        <f t="shared" si="7"/>
        <v/>
      </c>
      <c r="G97" s="23"/>
      <c r="H97" s="84"/>
      <c r="I97" s="85" t="str">
        <f>IF(A97="","Pending",IF(H97="","⚠️ Enter Code",IF(IFERROR(VLOOKUP(G97,DB_Agents!$B:$I,8,0),"")=H97,IF(AND(A97&lt;&gt;"",E97&lt;&gt;""),"Saved","Pending"),"🔒 BLOCKED — Wrong Code")))</f>
        <v>Pending</v>
      </c>
      <c r="J97" s="86" t="str">
        <f t="shared" ca="1" si="8"/>
        <v>—</v>
      </c>
      <c r="K97" s="87"/>
    </row>
    <row r="98" spans="1:11" x14ac:dyDescent="0.25">
      <c r="A98" s="88"/>
      <c r="B98" s="25" t="str">
        <f>IF(A98="","",IFERROR(VLOOKUP(A98,DB_Customers!$A:$D,4,0),"❌ Account Not Found"))</f>
        <v/>
      </c>
      <c r="C98" s="89" t="str">
        <f>IF(A98="","",IFERROR(VLOOKUP(A98,DB_Customers!$A:$N,14,0),""))</f>
        <v/>
      </c>
      <c r="D98" s="90" t="str">
        <f t="shared" ca="1" si="6"/>
        <v/>
      </c>
      <c r="E98" s="82"/>
      <c r="F98" s="91" t="str">
        <f t="shared" si="7"/>
        <v/>
      </c>
      <c r="G98" s="27"/>
      <c r="H98" s="84"/>
      <c r="I98" s="92" t="str">
        <f>IF(A98="","Pending",IF(H98="","⚠️ Enter Code",IF(IFERROR(VLOOKUP(G98,DB_Agents!$B:$I,8,0),"")=H98,IF(AND(A98&lt;&gt;"",E98&lt;&gt;""),"Saved","Pending"),"🔒 BLOCKED — Wrong Code")))</f>
        <v>Pending</v>
      </c>
      <c r="J98" s="93" t="str">
        <f t="shared" ca="1" si="8"/>
        <v>—</v>
      </c>
      <c r="K98" s="94"/>
    </row>
    <row r="99" spans="1:11" x14ac:dyDescent="0.25">
      <c r="A99" s="79"/>
      <c r="B99" s="21" t="str">
        <f>IF(A99="","",IFERROR(VLOOKUP(A99,DB_Customers!$A:$D,4,0),"❌ Account Not Found"))</f>
        <v/>
      </c>
      <c r="C99" s="80" t="str">
        <f>IF(A99="","",IFERROR(VLOOKUP(A99,DB_Customers!$A:$N,14,0),""))</f>
        <v/>
      </c>
      <c r="D99" s="81" t="str">
        <f t="shared" ca="1" si="6"/>
        <v/>
      </c>
      <c r="E99" s="82"/>
      <c r="F99" s="83" t="str">
        <f t="shared" si="7"/>
        <v/>
      </c>
      <c r="G99" s="23"/>
      <c r="H99" s="84"/>
      <c r="I99" s="85" t="str">
        <f>IF(A99="","Pending",IF(H99="","⚠️ Enter Code",IF(IFERROR(VLOOKUP(G99,DB_Agents!$B:$I,8,0),"")=H99,IF(AND(A99&lt;&gt;"",E99&lt;&gt;""),"Saved","Pending"),"🔒 BLOCKED — Wrong Code")))</f>
        <v>Pending</v>
      </c>
      <c r="J99" s="86" t="str">
        <f t="shared" ca="1" si="8"/>
        <v>—</v>
      </c>
      <c r="K99" s="87"/>
    </row>
    <row r="100" spans="1:11" x14ac:dyDescent="0.25">
      <c r="A100" s="88"/>
      <c r="B100" s="25" t="str">
        <f>IF(A100="","",IFERROR(VLOOKUP(A100,DB_Customers!$A:$D,4,0),"❌ Account Not Found"))</f>
        <v/>
      </c>
      <c r="C100" s="89" t="str">
        <f>IF(A100="","",IFERROR(VLOOKUP(A100,DB_Customers!$A:$N,14,0),""))</f>
        <v/>
      </c>
      <c r="D100" s="90" t="str">
        <f t="shared" ca="1" si="6"/>
        <v/>
      </c>
      <c r="E100" s="82"/>
      <c r="F100" s="91" t="str">
        <f t="shared" si="7"/>
        <v/>
      </c>
      <c r="G100" s="27"/>
      <c r="H100" s="84"/>
      <c r="I100" s="92" t="str">
        <f>IF(A100="","Pending",IF(H100="","⚠️ Enter Code",IF(IFERROR(VLOOKUP(G100,DB_Agents!$B:$I,8,0),"")=H100,IF(AND(A100&lt;&gt;"",E100&lt;&gt;""),"Saved","Pending"),"🔒 BLOCKED — Wrong Code")))</f>
        <v>Pending</v>
      </c>
      <c r="J100" s="93" t="str">
        <f t="shared" ca="1" si="8"/>
        <v>—</v>
      </c>
      <c r="K100" s="94"/>
    </row>
    <row r="101" spans="1:11" x14ac:dyDescent="0.25">
      <c r="A101" s="79"/>
      <c r="B101" s="21" t="str">
        <f>IF(A101="","",IFERROR(VLOOKUP(A101,DB_Customers!$A:$D,4,0),"❌ Account Not Found"))</f>
        <v/>
      </c>
      <c r="C101" s="80" t="str">
        <f>IF(A101="","",IFERROR(VLOOKUP(A101,DB_Customers!$A:$N,14,0),""))</f>
        <v/>
      </c>
      <c r="D101" s="81" t="str">
        <f t="shared" ca="1" si="6"/>
        <v/>
      </c>
      <c r="E101" s="82"/>
      <c r="F101" s="83" t="str">
        <f t="shared" si="7"/>
        <v/>
      </c>
      <c r="G101" s="23"/>
      <c r="H101" s="84"/>
      <c r="I101" s="85" t="str">
        <f>IF(A101="","Pending",IF(H101="","⚠️ Enter Code",IF(IFERROR(VLOOKUP(G101,DB_Agents!$B:$I,8,0),"")=H101,IF(AND(A101&lt;&gt;"",E101&lt;&gt;""),"Saved","Pending"),"🔒 BLOCKED — Wrong Code")))</f>
        <v>Pending</v>
      </c>
      <c r="J101" s="86" t="str">
        <f t="shared" ca="1" si="8"/>
        <v>—</v>
      </c>
      <c r="K101" s="87"/>
    </row>
    <row r="102" spans="1:11" x14ac:dyDescent="0.25">
      <c r="A102" s="88"/>
      <c r="B102" s="25" t="str">
        <f>IF(A102="","",IFERROR(VLOOKUP(A102,DB_Customers!$A:$D,4,0),"❌ Account Not Found"))</f>
        <v/>
      </c>
      <c r="C102" s="89" t="str">
        <f>IF(A102="","",IFERROR(VLOOKUP(A102,DB_Customers!$A:$N,14,0),""))</f>
        <v/>
      </c>
      <c r="D102" s="90" t="str">
        <f t="shared" ca="1" si="6"/>
        <v/>
      </c>
      <c r="E102" s="82"/>
      <c r="F102" s="91" t="str">
        <f t="shared" si="7"/>
        <v/>
      </c>
      <c r="G102" s="27"/>
      <c r="H102" s="84"/>
      <c r="I102" s="92" t="str">
        <f>IF(A102="","Pending",IF(H102="","⚠️ Enter Code",IF(IFERROR(VLOOKUP(G102,DB_Agents!$B:$I,8,0),"")=H102,IF(AND(A102&lt;&gt;"",E102&lt;&gt;""),"Saved","Pending"),"🔒 BLOCKED — Wrong Code")))</f>
        <v>Pending</v>
      </c>
      <c r="J102" s="93" t="str">
        <f t="shared" ca="1" si="8"/>
        <v>—</v>
      </c>
      <c r="K102" s="94"/>
    </row>
    <row r="103" spans="1:11" x14ac:dyDescent="0.25">
      <c r="A103" s="79"/>
      <c r="B103" s="21" t="str">
        <f>IF(A103="","",IFERROR(VLOOKUP(A103,DB_Customers!$A:$D,4,0),"❌ Account Not Found"))</f>
        <v/>
      </c>
      <c r="C103" s="80" t="str">
        <f>IF(A103="","",IFERROR(VLOOKUP(A103,DB_Customers!$A:$N,14,0),""))</f>
        <v/>
      </c>
      <c r="D103" s="81" t="str">
        <f t="shared" ca="1" si="6"/>
        <v/>
      </c>
      <c r="E103" s="82"/>
      <c r="F103" s="83" t="str">
        <f t="shared" si="7"/>
        <v/>
      </c>
      <c r="G103" s="23"/>
      <c r="H103" s="84"/>
      <c r="I103" s="85" t="str">
        <f>IF(A103="","Pending",IF(H103="","⚠️ Enter Code",IF(IFERROR(VLOOKUP(G103,DB_Agents!$B:$I,8,0),"")=H103,IF(AND(A103&lt;&gt;"",E103&lt;&gt;""),"Saved","Pending"),"🔒 BLOCKED — Wrong Code")))</f>
        <v>Pending</v>
      </c>
      <c r="J103" s="86" t="str">
        <f t="shared" ca="1" si="8"/>
        <v>—</v>
      </c>
      <c r="K103" s="87"/>
    </row>
    <row r="104" spans="1:11" x14ac:dyDescent="0.25">
      <c r="A104" s="88"/>
      <c r="B104" s="25" t="str">
        <f>IF(A104="","",IFERROR(VLOOKUP(A104,DB_Customers!$A:$D,4,0),"❌ Account Not Found"))</f>
        <v/>
      </c>
      <c r="C104" s="89" t="str">
        <f>IF(A104="","",IFERROR(VLOOKUP(A104,DB_Customers!$A:$N,14,0),""))</f>
        <v/>
      </c>
      <c r="D104" s="90" t="str">
        <f t="shared" ca="1" si="6"/>
        <v/>
      </c>
      <c r="E104" s="82"/>
      <c r="F104" s="91" t="str">
        <f t="shared" si="7"/>
        <v/>
      </c>
      <c r="G104" s="27"/>
      <c r="H104" s="84"/>
      <c r="I104" s="92" t="str">
        <f>IF(A104="","Pending",IF(H104="","⚠️ Enter Code",IF(IFERROR(VLOOKUP(G104,DB_Agents!$B:$I,8,0),"")=H104,IF(AND(A104&lt;&gt;"",E104&lt;&gt;""),"Saved","Pending"),"🔒 BLOCKED — Wrong Code")))</f>
        <v>Pending</v>
      </c>
      <c r="J104" s="93" t="str">
        <f t="shared" ca="1" si="8"/>
        <v>—</v>
      </c>
      <c r="K104" s="94"/>
    </row>
    <row r="105" spans="1:11" x14ac:dyDescent="0.25">
      <c r="A105" s="79"/>
      <c r="B105" s="21" t="str">
        <f>IF(A105="","",IFERROR(VLOOKUP(A105,DB_Customers!$A:$D,4,0),"❌ Account Not Found"))</f>
        <v/>
      </c>
      <c r="C105" s="80" t="str">
        <f>IF(A105="","",IFERROR(VLOOKUP(A105,DB_Customers!$A:$N,14,0),""))</f>
        <v/>
      </c>
      <c r="D105" s="81" t="str">
        <f t="shared" ref="D105:D136" ca="1" si="9">IF(A105="","",TODAY())</f>
        <v/>
      </c>
      <c r="E105" s="82"/>
      <c r="F105" s="83" t="str">
        <f t="shared" ref="F105:F136" si="10">IF(OR(A105="",E105=""),"",IF(C105="","",C105+E105))</f>
        <v/>
      </c>
      <c r="G105" s="23"/>
      <c r="H105" s="84"/>
      <c r="I105" s="85" t="str">
        <f>IF(A105="","Pending",IF(H105="","⚠️ Enter Code",IF(IFERROR(VLOOKUP(G105,DB_Agents!$B:$I,8,0),"")=H105,IF(AND(A105&lt;&gt;"",E105&lt;&gt;""),"Saved","Pending"),"🔒 BLOCKED — Wrong Code")))</f>
        <v>Pending</v>
      </c>
      <c r="J105" s="86" t="str">
        <f t="shared" ref="J105:J136" ca="1" si="11">IF(I105="Saved",TEXT(TODAY(),"YYYY-MM-DD")&amp;" Auto","—")</f>
        <v>—</v>
      </c>
      <c r="K105" s="87"/>
    </row>
    <row r="106" spans="1:11" x14ac:dyDescent="0.25">
      <c r="A106" s="88"/>
      <c r="B106" s="25" t="str">
        <f>IF(A106="","",IFERROR(VLOOKUP(A106,DB_Customers!$A:$D,4,0),"❌ Account Not Found"))</f>
        <v/>
      </c>
      <c r="C106" s="89" t="str">
        <f>IF(A106="","",IFERROR(VLOOKUP(A106,DB_Customers!$A:$N,14,0),""))</f>
        <v/>
      </c>
      <c r="D106" s="90" t="str">
        <f t="shared" ca="1" si="9"/>
        <v/>
      </c>
      <c r="E106" s="82"/>
      <c r="F106" s="91" t="str">
        <f t="shared" si="10"/>
        <v/>
      </c>
      <c r="G106" s="27"/>
      <c r="H106" s="84"/>
      <c r="I106" s="92" t="str">
        <f>IF(A106="","Pending",IF(H106="","⚠️ Enter Code",IF(IFERROR(VLOOKUP(G106,DB_Agents!$B:$I,8,0),"")=H106,IF(AND(A106&lt;&gt;"",E106&lt;&gt;""),"Saved","Pending"),"🔒 BLOCKED — Wrong Code")))</f>
        <v>Pending</v>
      </c>
      <c r="J106" s="93" t="str">
        <f t="shared" ca="1" si="11"/>
        <v>—</v>
      </c>
      <c r="K106" s="94"/>
    </row>
    <row r="107" spans="1:11" x14ac:dyDescent="0.25">
      <c r="A107" s="79"/>
      <c r="B107" s="21" t="str">
        <f>IF(A107="","",IFERROR(VLOOKUP(A107,DB_Customers!$A:$D,4,0),"❌ Account Not Found"))</f>
        <v/>
      </c>
      <c r="C107" s="80" t="str">
        <f>IF(A107="","",IFERROR(VLOOKUP(A107,DB_Customers!$A:$N,14,0),""))</f>
        <v/>
      </c>
      <c r="D107" s="81" t="str">
        <f t="shared" ca="1" si="9"/>
        <v/>
      </c>
      <c r="E107" s="82"/>
      <c r="F107" s="83" t="str">
        <f t="shared" si="10"/>
        <v/>
      </c>
      <c r="G107" s="23"/>
      <c r="H107" s="84"/>
      <c r="I107" s="85" t="str">
        <f>IF(A107="","Pending",IF(H107="","⚠️ Enter Code",IF(IFERROR(VLOOKUP(G107,DB_Agents!$B:$I,8,0),"")=H107,IF(AND(A107&lt;&gt;"",E107&lt;&gt;""),"Saved","Pending"),"🔒 BLOCKED — Wrong Code")))</f>
        <v>Pending</v>
      </c>
      <c r="J107" s="86" t="str">
        <f t="shared" ca="1" si="11"/>
        <v>—</v>
      </c>
      <c r="K107" s="87"/>
    </row>
    <row r="108" spans="1:11" x14ac:dyDescent="0.25">
      <c r="A108" s="88"/>
      <c r="B108" s="25" t="str">
        <f>IF(A108="","",IFERROR(VLOOKUP(A108,DB_Customers!$A:$D,4,0),"❌ Account Not Found"))</f>
        <v/>
      </c>
      <c r="C108" s="89" t="str">
        <f>IF(A108="","",IFERROR(VLOOKUP(A108,DB_Customers!$A:$N,14,0),""))</f>
        <v/>
      </c>
      <c r="D108" s="90" t="str">
        <f t="shared" ca="1" si="9"/>
        <v/>
      </c>
      <c r="E108" s="82"/>
      <c r="F108" s="91" t="str">
        <f t="shared" si="10"/>
        <v/>
      </c>
      <c r="G108" s="27"/>
      <c r="H108" s="84"/>
      <c r="I108" s="92" t="str">
        <f>IF(A108="","Pending",IF(H108="","⚠️ Enter Code",IF(IFERROR(VLOOKUP(G108,DB_Agents!$B:$I,8,0),"")=H108,IF(AND(A108&lt;&gt;"",E108&lt;&gt;""),"Saved","Pending"),"🔒 BLOCKED — Wrong Code")))</f>
        <v>Pending</v>
      </c>
      <c r="J108" s="93" t="str">
        <f t="shared" ca="1" si="11"/>
        <v>—</v>
      </c>
      <c r="K108" s="94"/>
    </row>
    <row r="109" spans="1:11" x14ac:dyDescent="0.25">
      <c r="A109" s="79"/>
      <c r="B109" s="21" t="str">
        <f>IF(A109="","",IFERROR(VLOOKUP(A109,DB_Customers!$A:$D,4,0),"❌ Account Not Found"))</f>
        <v/>
      </c>
      <c r="C109" s="80" t="str">
        <f>IF(A109="","",IFERROR(VLOOKUP(A109,DB_Customers!$A:$N,14,0),""))</f>
        <v/>
      </c>
      <c r="D109" s="81" t="str">
        <f t="shared" ca="1" si="9"/>
        <v/>
      </c>
      <c r="E109" s="82"/>
      <c r="F109" s="83" t="str">
        <f t="shared" si="10"/>
        <v/>
      </c>
      <c r="G109" s="23"/>
      <c r="H109" s="84"/>
      <c r="I109" s="85" t="str">
        <f>IF(A109="","Pending",IF(H109="","⚠️ Enter Code",IF(IFERROR(VLOOKUP(G109,DB_Agents!$B:$I,8,0),"")=H109,IF(AND(A109&lt;&gt;"",E109&lt;&gt;""),"Saved","Pending"),"🔒 BLOCKED — Wrong Code")))</f>
        <v>Pending</v>
      </c>
      <c r="J109" s="86" t="str">
        <f t="shared" ca="1" si="11"/>
        <v>—</v>
      </c>
      <c r="K109" s="87"/>
    </row>
    <row r="110" spans="1:11" x14ac:dyDescent="0.25">
      <c r="A110" s="88"/>
      <c r="B110" s="25" t="str">
        <f>IF(A110="","",IFERROR(VLOOKUP(A110,DB_Customers!$A:$D,4,0),"❌ Account Not Found"))</f>
        <v/>
      </c>
      <c r="C110" s="89" t="str">
        <f>IF(A110="","",IFERROR(VLOOKUP(A110,DB_Customers!$A:$N,14,0),""))</f>
        <v/>
      </c>
      <c r="D110" s="90" t="str">
        <f t="shared" ca="1" si="9"/>
        <v/>
      </c>
      <c r="E110" s="82"/>
      <c r="F110" s="91" t="str">
        <f t="shared" si="10"/>
        <v/>
      </c>
      <c r="G110" s="27"/>
      <c r="H110" s="84"/>
      <c r="I110" s="92" t="str">
        <f>IF(A110="","Pending",IF(H110="","⚠️ Enter Code",IF(IFERROR(VLOOKUP(G110,DB_Agents!$B:$I,8,0),"")=H110,IF(AND(A110&lt;&gt;"",E110&lt;&gt;""),"Saved","Pending"),"🔒 BLOCKED — Wrong Code")))</f>
        <v>Pending</v>
      </c>
      <c r="J110" s="93" t="str">
        <f t="shared" ca="1" si="11"/>
        <v>—</v>
      </c>
      <c r="K110" s="94"/>
    </row>
    <row r="111" spans="1:11" x14ac:dyDescent="0.25">
      <c r="A111" s="79"/>
      <c r="B111" s="21" t="str">
        <f>IF(A111="","",IFERROR(VLOOKUP(A111,DB_Customers!$A:$D,4,0),"❌ Account Not Found"))</f>
        <v/>
      </c>
      <c r="C111" s="80" t="str">
        <f>IF(A111="","",IFERROR(VLOOKUP(A111,DB_Customers!$A:$N,14,0),""))</f>
        <v/>
      </c>
      <c r="D111" s="81" t="str">
        <f t="shared" ca="1" si="9"/>
        <v/>
      </c>
      <c r="E111" s="82"/>
      <c r="F111" s="83" t="str">
        <f t="shared" si="10"/>
        <v/>
      </c>
      <c r="G111" s="23"/>
      <c r="H111" s="84"/>
      <c r="I111" s="85" t="str">
        <f>IF(A111="","Pending",IF(H111="","⚠️ Enter Code",IF(IFERROR(VLOOKUP(G111,DB_Agents!$B:$I,8,0),"")=H111,IF(AND(A111&lt;&gt;"",E111&lt;&gt;""),"Saved","Pending"),"🔒 BLOCKED — Wrong Code")))</f>
        <v>Pending</v>
      </c>
      <c r="J111" s="86" t="str">
        <f t="shared" ca="1" si="11"/>
        <v>—</v>
      </c>
      <c r="K111" s="87"/>
    </row>
    <row r="112" spans="1:11" x14ac:dyDescent="0.25">
      <c r="A112" s="88"/>
      <c r="B112" s="25" t="str">
        <f>IF(A112="","",IFERROR(VLOOKUP(A112,DB_Customers!$A:$D,4,0),"❌ Account Not Found"))</f>
        <v/>
      </c>
      <c r="C112" s="89" t="str">
        <f>IF(A112="","",IFERROR(VLOOKUP(A112,DB_Customers!$A:$N,14,0),""))</f>
        <v/>
      </c>
      <c r="D112" s="90" t="str">
        <f t="shared" ca="1" si="9"/>
        <v/>
      </c>
      <c r="E112" s="82"/>
      <c r="F112" s="91" t="str">
        <f t="shared" si="10"/>
        <v/>
      </c>
      <c r="G112" s="27"/>
      <c r="H112" s="84"/>
      <c r="I112" s="92" t="str">
        <f>IF(A112="","Pending",IF(H112="","⚠️ Enter Code",IF(IFERROR(VLOOKUP(G112,DB_Agents!$B:$I,8,0),"")=H112,IF(AND(A112&lt;&gt;"",E112&lt;&gt;""),"Saved","Pending"),"🔒 BLOCKED — Wrong Code")))</f>
        <v>Pending</v>
      </c>
      <c r="J112" s="93" t="str">
        <f t="shared" ca="1" si="11"/>
        <v>—</v>
      </c>
      <c r="K112" s="94"/>
    </row>
    <row r="113" spans="1:11" x14ac:dyDescent="0.25">
      <c r="A113" s="79"/>
      <c r="B113" s="21" t="str">
        <f>IF(A113="","",IFERROR(VLOOKUP(A113,DB_Customers!$A:$D,4,0),"❌ Account Not Found"))</f>
        <v/>
      </c>
      <c r="C113" s="80" t="str">
        <f>IF(A113="","",IFERROR(VLOOKUP(A113,DB_Customers!$A:$N,14,0),""))</f>
        <v/>
      </c>
      <c r="D113" s="81" t="str">
        <f t="shared" ca="1" si="9"/>
        <v/>
      </c>
      <c r="E113" s="82"/>
      <c r="F113" s="83" t="str">
        <f t="shared" si="10"/>
        <v/>
      </c>
      <c r="G113" s="23"/>
      <c r="H113" s="84"/>
      <c r="I113" s="85" t="str">
        <f>IF(A113="","Pending",IF(H113="","⚠️ Enter Code",IF(IFERROR(VLOOKUP(G113,DB_Agents!$B:$I,8,0),"")=H113,IF(AND(A113&lt;&gt;"",E113&lt;&gt;""),"Saved","Pending"),"🔒 BLOCKED — Wrong Code")))</f>
        <v>Pending</v>
      </c>
      <c r="J113" s="86" t="str">
        <f t="shared" ca="1" si="11"/>
        <v>—</v>
      </c>
      <c r="K113" s="87"/>
    </row>
    <row r="114" spans="1:11" x14ac:dyDescent="0.25">
      <c r="A114" s="88"/>
      <c r="B114" s="25" t="str">
        <f>IF(A114="","",IFERROR(VLOOKUP(A114,DB_Customers!$A:$D,4,0),"❌ Account Not Found"))</f>
        <v/>
      </c>
      <c r="C114" s="89" t="str">
        <f>IF(A114="","",IFERROR(VLOOKUP(A114,DB_Customers!$A:$N,14,0),""))</f>
        <v/>
      </c>
      <c r="D114" s="90" t="str">
        <f t="shared" ca="1" si="9"/>
        <v/>
      </c>
      <c r="E114" s="82"/>
      <c r="F114" s="91" t="str">
        <f t="shared" si="10"/>
        <v/>
      </c>
      <c r="G114" s="27"/>
      <c r="H114" s="84"/>
      <c r="I114" s="92" t="str">
        <f>IF(A114="","Pending",IF(H114="","⚠️ Enter Code",IF(IFERROR(VLOOKUP(G114,DB_Agents!$B:$I,8,0),"")=H114,IF(AND(A114&lt;&gt;"",E114&lt;&gt;""),"Saved","Pending"),"🔒 BLOCKED — Wrong Code")))</f>
        <v>Pending</v>
      </c>
      <c r="J114" s="93" t="str">
        <f t="shared" ca="1" si="11"/>
        <v>—</v>
      </c>
      <c r="K114" s="94"/>
    </row>
    <row r="115" spans="1:11" x14ac:dyDescent="0.25">
      <c r="A115" s="79"/>
      <c r="B115" s="21" t="str">
        <f>IF(A115="","",IFERROR(VLOOKUP(A115,DB_Customers!$A:$D,4,0),"❌ Account Not Found"))</f>
        <v/>
      </c>
      <c r="C115" s="80" t="str">
        <f>IF(A115="","",IFERROR(VLOOKUP(A115,DB_Customers!$A:$N,14,0),""))</f>
        <v/>
      </c>
      <c r="D115" s="81" t="str">
        <f t="shared" ca="1" si="9"/>
        <v/>
      </c>
      <c r="E115" s="82"/>
      <c r="F115" s="83" t="str">
        <f t="shared" si="10"/>
        <v/>
      </c>
      <c r="G115" s="23"/>
      <c r="H115" s="84"/>
      <c r="I115" s="85" t="str">
        <f>IF(A115="","Pending",IF(H115="","⚠️ Enter Code",IF(IFERROR(VLOOKUP(G115,DB_Agents!$B:$I,8,0),"")=H115,IF(AND(A115&lt;&gt;"",E115&lt;&gt;""),"Saved","Pending"),"🔒 BLOCKED — Wrong Code")))</f>
        <v>Pending</v>
      </c>
      <c r="J115" s="86" t="str">
        <f t="shared" ca="1" si="11"/>
        <v>—</v>
      </c>
      <c r="K115" s="87"/>
    </row>
    <row r="116" spans="1:11" x14ac:dyDescent="0.25">
      <c r="A116" s="88"/>
      <c r="B116" s="25" t="str">
        <f>IF(A116="","",IFERROR(VLOOKUP(A116,DB_Customers!$A:$D,4,0),"❌ Account Not Found"))</f>
        <v/>
      </c>
      <c r="C116" s="89" t="str">
        <f>IF(A116="","",IFERROR(VLOOKUP(A116,DB_Customers!$A:$N,14,0),""))</f>
        <v/>
      </c>
      <c r="D116" s="90" t="str">
        <f t="shared" ca="1" si="9"/>
        <v/>
      </c>
      <c r="E116" s="82"/>
      <c r="F116" s="91" t="str">
        <f t="shared" si="10"/>
        <v/>
      </c>
      <c r="G116" s="27"/>
      <c r="H116" s="84"/>
      <c r="I116" s="92" t="str">
        <f>IF(A116="","Pending",IF(H116="","⚠️ Enter Code",IF(IFERROR(VLOOKUP(G116,DB_Agents!$B:$I,8,0),"")=H116,IF(AND(A116&lt;&gt;"",E116&lt;&gt;""),"Saved","Pending"),"🔒 BLOCKED — Wrong Code")))</f>
        <v>Pending</v>
      </c>
      <c r="J116" s="93" t="str">
        <f t="shared" ca="1" si="11"/>
        <v>—</v>
      </c>
      <c r="K116" s="94"/>
    </row>
    <row r="117" spans="1:11" x14ac:dyDescent="0.25">
      <c r="A117" s="79"/>
      <c r="B117" s="21" t="str">
        <f>IF(A117="","",IFERROR(VLOOKUP(A117,DB_Customers!$A:$D,4,0),"❌ Account Not Found"))</f>
        <v/>
      </c>
      <c r="C117" s="80" t="str">
        <f>IF(A117="","",IFERROR(VLOOKUP(A117,DB_Customers!$A:$N,14,0),""))</f>
        <v/>
      </c>
      <c r="D117" s="81" t="str">
        <f t="shared" ca="1" si="9"/>
        <v/>
      </c>
      <c r="E117" s="82"/>
      <c r="F117" s="83" t="str">
        <f t="shared" si="10"/>
        <v/>
      </c>
      <c r="G117" s="23"/>
      <c r="H117" s="84"/>
      <c r="I117" s="85" t="str">
        <f>IF(A117="","Pending",IF(H117="","⚠️ Enter Code",IF(IFERROR(VLOOKUP(G117,DB_Agents!$B:$I,8,0),"")=H117,IF(AND(A117&lt;&gt;"",E117&lt;&gt;""),"Saved","Pending"),"🔒 BLOCKED — Wrong Code")))</f>
        <v>Pending</v>
      </c>
      <c r="J117" s="86" t="str">
        <f t="shared" ca="1" si="11"/>
        <v>—</v>
      </c>
      <c r="K117" s="87"/>
    </row>
    <row r="118" spans="1:11" x14ac:dyDescent="0.25">
      <c r="A118" s="88"/>
      <c r="B118" s="25" t="str">
        <f>IF(A118="","",IFERROR(VLOOKUP(A118,DB_Customers!$A:$D,4,0),"❌ Account Not Found"))</f>
        <v/>
      </c>
      <c r="C118" s="89" t="str">
        <f>IF(A118="","",IFERROR(VLOOKUP(A118,DB_Customers!$A:$N,14,0),""))</f>
        <v/>
      </c>
      <c r="D118" s="90" t="str">
        <f t="shared" ca="1" si="9"/>
        <v/>
      </c>
      <c r="E118" s="82"/>
      <c r="F118" s="91" t="str">
        <f t="shared" si="10"/>
        <v/>
      </c>
      <c r="G118" s="27"/>
      <c r="H118" s="84"/>
      <c r="I118" s="92" t="str">
        <f>IF(A118="","Pending",IF(H118="","⚠️ Enter Code",IF(IFERROR(VLOOKUP(G118,DB_Agents!$B:$I,8,0),"")=H118,IF(AND(A118&lt;&gt;"",E118&lt;&gt;""),"Saved","Pending"),"🔒 BLOCKED — Wrong Code")))</f>
        <v>Pending</v>
      </c>
      <c r="J118" s="93" t="str">
        <f t="shared" ca="1" si="11"/>
        <v>—</v>
      </c>
      <c r="K118" s="94"/>
    </row>
    <row r="119" spans="1:11" x14ac:dyDescent="0.25">
      <c r="A119" s="79"/>
      <c r="B119" s="21" t="str">
        <f>IF(A119="","",IFERROR(VLOOKUP(A119,DB_Customers!$A:$D,4,0),"❌ Account Not Found"))</f>
        <v/>
      </c>
      <c r="C119" s="80" t="str">
        <f>IF(A119="","",IFERROR(VLOOKUP(A119,DB_Customers!$A:$N,14,0),""))</f>
        <v/>
      </c>
      <c r="D119" s="81" t="str">
        <f t="shared" ca="1" si="9"/>
        <v/>
      </c>
      <c r="E119" s="82"/>
      <c r="F119" s="83" t="str">
        <f t="shared" si="10"/>
        <v/>
      </c>
      <c r="G119" s="23"/>
      <c r="H119" s="84"/>
      <c r="I119" s="85" t="str">
        <f>IF(A119="","Pending",IF(H119="","⚠️ Enter Code",IF(IFERROR(VLOOKUP(G119,DB_Agents!$B:$I,8,0),"")=H119,IF(AND(A119&lt;&gt;"",E119&lt;&gt;""),"Saved","Pending"),"🔒 BLOCKED — Wrong Code")))</f>
        <v>Pending</v>
      </c>
      <c r="J119" s="86" t="str">
        <f t="shared" ca="1" si="11"/>
        <v>—</v>
      </c>
      <c r="K119" s="87"/>
    </row>
    <row r="120" spans="1:11" x14ac:dyDescent="0.25">
      <c r="A120" s="88"/>
      <c r="B120" s="25" t="str">
        <f>IF(A120="","",IFERROR(VLOOKUP(A120,DB_Customers!$A:$D,4,0),"❌ Account Not Found"))</f>
        <v/>
      </c>
      <c r="C120" s="89" t="str">
        <f>IF(A120="","",IFERROR(VLOOKUP(A120,DB_Customers!$A:$N,14,0),""))</f>
        <v/>
      </c>
      <c r="D120" s="90" t="str">
        <f t="shared" ca="1" si="9"/>
        <v/>
      </c>
      <c r="E120" s="82"/>
      <c r="F120" s="91" t="str">
        <f t="shared" si="10"/>
        <v/>
      </c>
      <c r="G120" s="27"/>
      <c r="H120" s="84"/>
      <c r="I120" s="92" t="str">
        <f>IF(A120="","Pending",IF(H120="","⚠️ Enter Code",IF(IFERROR(VLOOKUP(G120,DB_Agents!$B:$I,8,0),"")=H120,IF(AND(A120&lt;&gt;"",E120&lt;&gt;""),"Saved","Pending"),"🔒 BLOCKED — Wrong Code")))</f>
        <v>Pending</v>
      </c>
      <c r="J120" s="93" t="str">
        <f t="shared" ca="1" si="11"/>
        <v>—</v>
      </c>
      <c r="K120" s="94"/>
    </row>
    <row r="121" spans="1:11" x14ac:dyDescent="0.25">
      <c r="A121" s="79"/>
      <c r="B121" s="21" t="str">
        <f>IF(A121="","",IFERROR(VLOOKUP(A121,DB_Customers!$A:$D,4,0),"❌ Account Not Found"))</f>
        <v/>
      </c>
      <c r="C121" s="80" t="str">
        <f>IF(A121="","",IFERROR(VLOOKUP(A121,DB_Customers!$A:$N,14,0),""))</f>
        <v/>
      </c>
      <c r="D121" s="81" t="str">
        <f t="shared" ca="1" si="9"/>
        <v/>
      </c>
      <c r="E121" s="82"/>
      <c r="F121" s="83" t="str">
        <f t="shared" si="10"/>
        <v/>
      </c>
      <c r="G121" s="23"/>
      <c r="H121" s="84"/>
      <c r="I121" s="85" t="str">
        <f>IF(A121="","Pending",IF(H121="","⚠️ Enter Code",IF(IFERROR(VLOOKUP(G121,DB_Agents!$B:$I,8,0),"")=H121,IF(AND(A121&lt;&gt;"",E121&lt;&gt;""),"Saved","Pending"),"🔒 BLOCKED — Wrong Code")))</f>
        <v>Pending</v>
      </c>
      <c r="J121" s="86" t="str">
        <f t="shared" ca="1" si="11"/>
        <v>—</v>
      </c>
      <c r="K121" s="87"/>
    </row>
    <row r="122" spans="1:11" x14ac:dyDescent="0.25">
      <c r="A122" s="88"/>
      <c r="B122" s="25" t="str">
        <f>IF(A122="","",IFERROR(VLOOKUP(A122,DB_Customers!$A:$D,4,0),"❌ Account Not Found"))</f>
        <v/>
      </c>
      <c r="C122" s="89" t="str">
        <f>IF(A122="","",IFERROR(VLOOKUP(A122,DB_Customers!$A:$N,14,0),""))</f>
        <v/>
      </c>
      <c r="D122" s="90" t="str">
        <f t="shared" ca="1" si="9"/>
        <v/>
      </c>
      <c r="E122" s="82"/>
      <c r="F122" s="91" t="str">
        <f t="shared" si="10"/>
        <v/>
      </c>
      <c r="G122" s="27"/>
      <c r="H122" s="84"/>
      <c r="I122" s="92" t="str">
        <f>IF(A122="","Pending",IF(H122="","⚠️ Enter Code",IF(IFERROR(VLOOKUP(G122,DB_Agents!$B:$I,8,0),"")=H122,IF(AND(A122&lt;&gt;"",E122&lt;&gt;""),"Saved","Pending"),"🔒 BLOCKED — Wrong Code")))</f>
        <v>Pending</v>
      </c>
      <c r="J122" s="93" t="str">
        <f t="shared" ca="1" si="11"/>
        <v>—</v>
      </c>
      <c r="K122" s="94"/>
    </row>
    <row r="123" spans="1:11" x14ac:dyDescent="0.25">
      <c r="A123" s="79"/>
      <c r="B123" s="21" t="str">
        <f>IF(A123="","",IFERROR(VLOOKUP(A123,DB_Customers!$A:$D,4,0),"❌ Account Not Found"))</f>
        <v/>
      </c>
      <c r="C123" s="80" t="str">
        <f>IF(A123="","",IFERROR(VLOOKUP(A123,DB_Customers!$A:$N,14,0),""))</f>
        <v/>
      </c>
      <c r="D123" s="81" t="str">
        <f t="shared" ca="1" si="9"/>
        <v/>
      </c>
      <c r="E123" s="82"/>
      <c r="F123" s="83" t="str">
        <f t="shared" si="10"/>
        <v/>
      </c>
      <c r="G123" s="23"/>
      <c r="H123" s="84"/>
      <c r="I123" s="85" t="str">
        <f>IF(A123="","Pending",IF(H123="","⚠️ Enter Code",IF(IFERROR(VLOOKUP(G123,DB_Agents!$B:$I,8,0),"")=H123,IF(AND(A123&lt;&gt;"",E123&lt;&gt;""),"Saved","Pending"),"🔒 BLOCKED — Wrong Code")))</f>
        <v>Pending</v>
      </c>
      <c r="J123" s="86" t="str">
        <f t="shared" ca="1" si="11"/>
        <v>—</v>
      </c>
      <c r="K123" s="87"/>
    </row>
    <row r="124" spans="1:11" x14ac:dyDescent="0.25">
      <c r="A124" s="88"/>
      <c r="B124" s="25" t="str">
        <f>IF(A124="","",IFERROR(VLOOKUP(A124,DB_Customers!$A:$D,4,0),"❌ Account Not Found"))</f>
        <v/>
      </c>
      <c r="C124" s="89" t="str">
        <f>IF(A124="","",IFERROR(VLOOKUP(A124,DB_Customers!$A:$N,14,0),""))</f>
        <v/>
      </c>
      <c r="D124" s="90" t="str">
        <f t="shared" ca="1" si="9"/>
        <v/>
      </c>
      <c r="E124" s="82"/>
      <c r="F124" s="91" t="str">
        <f t="shared" si="10"/>
        <v/>
      </c>
      <c r="G124" s="27"/>
      <c r="H124" s="84"/>
      <c r="I124" s="92" t="str">
        <f>IF(A124="","Pending",IF(H124="","⚠️ Enter Code",IF(IFERROR(VLOOKUP(G124,DB_Agents!$B:$I,8,0),"")=H124,IF(AND(A124&lt;&gt;"",E124&lt;&gt;""),"Saved","Pending"),"🔒 BLOCKED — Wrong Code")))</f>
        <v>Pending</v>
      </c>
      <c r="J124" s="93" t="str">
        <f t="shared" ca="1" si="11"/>
        <v>—</v>
      </c>
      <c r="K124" s="94"/>
    </row>
    <row r="125" spans="1:11" x14ac:dyDescent="0.25">
      <c r="A125" s="79"/>
      <c r="B125" s="21" t="str">
        <f>IF(A125="","",IFERROR(VLOOKUP(A125,DB_Customers!$A:$D,4,0),"❌ Account Not Found"))</f>
        <v/>
      </c>
      <c r="C125" s="80" t="str">
        <f>IF(A125="","",IFERROR(VLOOKUP(A125,DB_Customers!$A:$N,14,0),""))</f>
        <v/>
      </c>
      <c r="D125" s="81" t="str">
        <f t="shared" ca="1" si="9"/>
        <v/>
      </c>
      <c r="E125" s="82"/>
      <c r="F125" s="83" t="str">
        <f t="shared" si="10"/>
        <v/>
      </c>
      <c r="G125" s="23"/>
      <c r="H125" s="84"/>
      <c r="I125" s="85" t="str">
        <f>IF(A125="","Pending",IF(H125="","⚠️ Enter Code",IF(IFERROR(VLOOKUP(G125,DB_Agents!$B:$I,8,0),"")=H125,IF(AND(A125&lt;&gt;"",E125&lt;&gt;""),"Saved","Pending"),"🔒 BLOCKED — Wrong Code")))</f>
        <v>Pending</v>
      </c>
      <c r="J125" s="86" t="str">
        <f t="shared" ca="1" si="11"/>
        <v>—</v>
      </c>
      <c r="K125" s="87"/>
    </row>
    <row r="126" spans="1:11" x14ac:dyDescent="0.25">
      <c r="A126" s="88"/>
      <c r="B126" s="25" t="str">
        <f>IF(A126="","",IFERROR(VLOOKUP(A126,DB_Customers!$A:$D,4,0),"❌ Account Not Found"))</f>
        <v/>
      </c>
      <c r="C126" s="89" t="str">
        <f>IF(A126="","",IFERROR(VLOOKUP(A126,DB_Customers!$A:$N,14,0),""))</f>
        <v/>
      </c>
      <c r="D126" s="90" t="str">
        <f t="shared" ca="1" si="9"/>
        <v/>
      </c>
      <c r="E126" s="82"/>
      <c r="F126" s="91" t="str">
        <f t="shared" si="10"/>
        <v/>
      </c>
      <c r="G126" s="27"/>
      <c r="H126" s="84"/>
      <c r="I126" s="92" t="str">
        <f>IF(A126="","Pending",IF(H126="","⚠️ Enter Code",IF(IFERROR(VLOOKUP(G126,DB_Agents!$B:$I,8,0),"")=H126,IF(AND(A126&lt;&gt;"",E126&lt;&gt;""),"Saved","Pending"),"🔒 BLOCKED — Wrong Code")))</f>
        <v>Pending</v>
      </c>
      <c r="J126" s="93" t="str">
        <f t="shared" ca="1" si="11"/>
        <v>—</v>
      </c>
      <c r="K126" s="94"/>
    </row>
    <row r="127" spans="1:11" x14ac:dyDescent="0.25">
      <c r="A127" s="79"/>
      <c r="B127" s="21" t="str">
        <f>IF(A127="","",IFERROR(VLOOKUP(A127,DB_Customers!$A:$D,4,0),"❌ Account Not Found"))</f>
        <v/>
      </c>
      <c r="C127" s="80" t="str">
        <f>IF(A127="","",IFERROR(VLOOKUP(A127,DB_Customers!$A:$N,14,0),""))</f>
        <v/>
      </c>
      <c r="D127" s="81" t="str">
        <f t="shared" ca="1" si="9"/>
        <v/>
      </c>
      <c r="E127" s="82"/>
      <c r="F127" s="83" t="str">
        <f t="shared" si="10"/>
        <v/>
      </c>
      <c r="G127" s="23"/>
      <c r="H127" s="84"/>
      <c r="I127" s="85" t="str">
        <f>IF(A127="","Pending",IF(H127="","⚠️ Enter Code",IF(IFERROR(VLOOKUP(G127,DB_Agents!$B:$I,8,0),"")=H127,IF(AND(A127&lt;&gt;"",E127&lt;&gt;""),"Saved","Pending"),"🔒 BLOCKED — Wrong Code")))</f>
        <v>Pending</v>
      </c>
      <c r="J127" s="86" t="str">
        <f t="shared" ca="1" si="11"/>
        <v>—</v>
      </c>
      <c r="K127" s="87"/>
    </row>
    <row r="128" spans="1:11" x14ac:dyDescent="0.25">
      <c r="A128" s="88"/>
      <c r="B128" s="25" t="str">
        <f>IF(A128="","",IFERROR(VLOOKUP(A128,DB_Customers!$A:$D,4,0),"❌ Account Not Found"))</f>
        <v/>
      </c>
      <c r="C128" s="89" t="str">
        <f>IF(A128="","",IFERROR(VLOOKUP(A128,DB_Customers!$A:$N,14,0),""))</f>
        <v/>
      </c>
      <c r="D128" s="90" t="str">
        <f t="shared" ca="1" si="9"/>
        <v/>
      </c>
      <c r="E128" s="82"/>
      <c r="F128" s="91" t="str">
        <f t="shared" si="10"/>
        <v/>
      </c>
      <c r="G128" s="27"/>
      <c r="H128" s="84"/>
      <c r="I128" s="92" t="str">
        <f>IF(A128="","Pending",IF(H128="","⚠️ Enter Code",IF(IFERROR(VLOOKUP(G128,DB_Agents!$B:$I,8,0),"")=H128,IF(AND(A128&lt;&gt;"",E128&lt;&gt;""),"Saved","Pending"),"🔒 BLOCKED — Wrong Code")))</f>
        <v>Pending</v>
      </c>
      <c r="J128" s="93" t="str">
        <f t="shared" ca="1" si="11"/>
        <v>—</v>
      </c>
      <c r="K128" s="94"/>
    </row>
    <row r="129" spans="1:11" x14ac:dyDescent="0.25">
      <c r="A129" s="79"/>
      <c r="B129" s="21" t="str">
        <f>IF(A129="","",IFERROR(VLOOKUP(A129,DB_Customers!$A:$D,4,0),"❌ Account Not Found"))</f>
        <v/>
      </c>
      <c r="C129" s="80" t="str">
        <f>IF(A129="","",IFERROR(VLOOKUP(A129,DB_Customers!$A:$N,14,0),""))</f>
        <v/>
      </c>
      <c r="D129" s="81" t="str">
        <f t="shared" ca="1" si="9"/>
        <v/>
      </c>
      <c r="E129" s="82"/>
      <c r="F129" s="83" t="str">
        <f t="shared" si="10"/>
        <v/>
      </c>
      <c r="G129" s="23"/>
      <c r="H129" s="84"/>
      <c r="I129" s="85" t="str">
        <f>IF(A129="","Pending",IF(H129="","⚠️ Enter Code",IF(IFERROR(VLOOKUP(G129,DB_Agents!$B:$I,8,0),"")=H129,IF(AND(A129&lt;&gt;"",E129&lt;&gt;""),"Saved","Pending"),"🔒 BLOCKED — Wrong Code")))</f>
        <v>Pending</v>
      </c>
      <c r="J129" s="86" t="str">
        <f t="shared" ca="1" si="11"/>
        <v>—</v>
      </c>
      <c r="K129" s="87"/>
    </row>
    <row r="130" spans="1:11" x14ac:dyDescent="0.25">
      <c r="A130" s="88"/>
      <c r="B130" s="25" t="str">
        <f>IF(A130="","",IFERROR(VLOOKUP(A130,DB_Customers!$A:$D,4,0),"❌ Account Not Found"))</f>
        <v/>
      </c>
      <c r="C130" s="89" t="str">
        <f>IF(A130="","",IFERROR(VLOOKUP(A130,DB_Customers!$A:$N,14,0),""))</f>
        <v/>
      </c>
      <c r="D130" s="90" t="str">
        <f t="shared" ca="1" si="9"/>
        <v/>
      </c>
      <c r="E130" s="82"/>
      <c r="F130" s="91" t="str">
        <f t="shared" si="10"/>
        <v/>
      </c>
      <c r="G130" s="27"/>
      <c r="H130" s="84"/>
      <c r="I130" s="92" t="str">
        <f>IF(A130="","Pending",IF(H130="","⚠️ Enter Code",IF(IFERROR(VLOOKUP(G130,DB_Agents!$B:$I,8,0),"")=H130,IF(AND(A130&lt;&gt;"",E130&lt;&gt;""),"Saved","Pending"),"🔒 BLOCKED — Wrong Code")))</f>
        <v>Pending</v>
      </c>
      <c r="J130" s="93" t="str">
        <f t="shared" ca="1" si="11"/>
        <v>—</v>
      </c>
      <c r="K130" s="94"/>
    </row>
    <row r="131" spans="1:11" x14ac:dyDescent="0.25">
      <c r="A131" s="79"/>
      <c r="B131" s="21" t="str">
        <f>IF(A131="","",IFERROR(VLOOKUP(A131,DB_Customers!$A:$D,4,0),"❌ Account Not Found"))</f>
        <v/>
      </c>
      <c r="C131" s="80" t="str">
        <f>IF(A131="","",IFERROR(VLOOKUP(A131,DB_Customers!$A:$N,14,0),""))</f>
        <v/>
      </c>
      <c r="D131" s="81" t="str">
        <f t="shared" ca="1" si="9"/>
        <v/>
      </c>
      <c r="E131" s="82"/>
      <c r="F131" s="83" t="str">
        <f t="shared" si="10"/>
        <v/>
      </c>
      <c r="G131" s="23"/>
      <c r="H131" s="84"/>
      <c r="I131" s="85" t="str">
        <f>IF(A131="","Pending",IF(H131="","⚠️ Enter Code",IF(IFERROR(VLOOKUP(G131,DB_Agents!$B:$I,8,0),"")=H131,IF(AND(A131&lt;&gt;"",E131&lt;&gt;""),"Saved","Pending"),"🔒 BLOCKED — Wrong Code")))</f>
        <v>Pending</v>
      </c>
      <c r="J131" s="86" t="str">
        <f t="shared" ca="1" si="11"/>
        <v>—</v>
      </c>
      <c r="K131" s="87"/>
    </row>
    <row r="132" spans="1:11" x14ac:dyDescent="0.25">
      <c r="A132" s="88"/>
      <c r="B132" s="25" t="str">
        <f>IF(A132="","",IFERROR(VLOOKUP(A132,DB_Customers!$A:$D,4,0),"❌ Account Not Found"))</f>
        <v/>
      </c>
      <c r="C132" s="89" t="str">
        <f>IF(A132="","",IFERROR(VLOOKUP(A132,DB_Customers!$A:$N,14,0),""))</f>
        <v/>
      </c>
      <c r="D132" s="90" t="str">
        <f t="shared" ca="1" si="9"/>
        <v/>
      </c>
      <c r="E132" s="82"/>
      <c r="F132" s="91" t="str">
        <f t="shared" si="10"/>
        <v/>
      </c>
      <c r="G132" s="27"/>
      <c r="H132" s="84"/>
      <c r="I132" s="92" t="str">
        <f>IF(A132="","Pending",IF(H132="","⚠️ Enter Code",IF(IFERROR(VLOOKUP(G132,DB_Agents!$B:$I,8,0),"")=H132,IF(AND(A132&lt;&gt;"",E132&lt;&gt;""),"Saved","Pending"),"🔒 BLOCKED — Wrong Code")))</f>
        <v>Pending</v>
      </c>
      <c r="J132" s="93" t="str">
        <f t="shared" ca="1" si="11"/>
        <v>—</v>
      </c>
      <c r="K132" s="94"/>
    </row>
    <row r="133" spans="1:11" x14ac:dyDescent="0.25">
      <c r="A133" s="79"/>
      <c r="B133" s="21" t="str">
        <f>IF(A133="","",IFERROR(VLOOKUP(A133,DB_Customers!$A:$D,4,0),"❌ Account Not Found"))</f>
        <v/>
      </c>
      <c r="C133" s="80" t="str">
        <f>IF(A133="","",IFERROR(VLOOKUP(A133,DB_Customers!$A:$N,14,0),""))</f>
        <v/>
      </c>
      <c r="D133" s="81" t="str">
        <f t="shared" ca="1" si="9"/>
        <v/>
      </c>
      <c r="E133" s="82"/>
      <c r="F133" s="83" t="str">
        <f t="shared" si="10"/>
        <v/>
      </c>
      <c r="G133" s="23"/>
      <c r="H133" s="84"/>
      <c r="I133" s="85" t="str">
        <f>IF(A133="","Pending",IF(H133="","⚠️ Enter Code",IF(IFERROR(VLOOKUP(G133,DB_Agents!$B:$I,8,0),"")=H133,IF(AND(A133&lt;&gt;"",E133&lt;&gt;""),"Saved","Pending"),"🔒 BLOCKED — Wrong Code")))</f>
        <v>Pending</v>
      </c>
      <c r="J133" s="86" t="str">
        <f t="shared" ca="1" si="11"/>
        <v>—</v>
      </c>
      <c r="K133" s="87"/>
    </row>
    <row r="134" spans="1:11" x14ac:dyDescent="0.25">
      <c r="A134" s="88"/>
      <c r="B134" s="25" t="str">
        <f>IF(A134="","",IFERROR(VLOOKUP(A134,DB_Customers!$A:$D,4,0),"❌ Account Not Found"))</f>
        <v/>
      </c>
      <c r="C134" s="89" t="str">
        <f>IF(A134="","",IFERROR(VLOOKUP(A134,DB_Customers!$A:$N,14,0),""))</f>
        <v/>
      </c>
      <c r="D134" s="90" t="str">
        <f t="shared" ca="1" si="9"/>
        <v/>
      </c>
      <c r="E134" s="82"/>
      <c r="F134" s="91" t="str">
        <f t="shared" si="10"/>
        <v/>
      </c>
      <c r="G134" s="27"/>
      <c r="H134" s="84"/>
      <c r="I134" s="92" t="str">
        <f>IF(A134="","Pending",IF(H134="","⚠️ Enter Code",IF(IFERROR(VLOOKUP(G134,DB_Agents!$B:$I,8,0),"")=H134,IF(AND(A134&lt;&gt;"",E134&lt;&gt;""),"Saved","Pending"),"🔒 BLOCKED — Wrong Code")))</f>
        <v>Pending</v>
      </c>
      <c r="J134" s="93" t="str">
        <f t="shared" ca="1" si="11"/>
        <v>—</v>
      </c>
      <c r="K134" s="94"/>
    </row>
    <row r="135" spans="1:11" x14ac:dyDescent="0.25">
      <c r="A135" s="79"/>
      <c r="B135" s="21" t="str">
        <f>IF(A135="","",IFERROR(VLOOKUP(A135,DB_Customers!$A:$D,4,0),"❌ Account Not Found"))</f>
        <v/>
      </c>
      <c r="C135" s="80" t="str">
        <f>IF(A135="","",IFERROR(VLOOKUP(A135,DB_Customers!$A:$N,14,0),""))</f>
        <v/>
      </c>
      <c r="D135" s="81" t="str">
        <f t="shared" ca="1" si="9"/>
        <v/>
      </c>
      <c r="E135" s="82"/>
      <c r="F135" s="83" t="str">
        <f t="shared" si="10"/>
        <v/>
      </c>
      <c r="G135" s="23"/>
      <c r="H135" s="84"/>
      <c r="I135" s="85" t="str">
        <f>IF(A135="","Pending",IF(H135="","⚠️ Enter Code",IF(IFERROR(VLOOKUP(G135,DB_Agents!$B:$I,8,0),"")=H135,IF(AND(A135&lt;&gt;"",E135&lt;&gt;""),"Saved","Pending"),"🔒 BLOCKED — Wrong Code")))</f>
        <v>Pending</v>
      </c>
      <c r="J135" s="86" t="str">
        <f t="shared" ca="1" si="11"/>
        <v>—</v>
      </c>
      <c r="K135" s="87"/>
    </row>
    <row r="136" spans="1:11" x14ac:dyDescent="0.25">
      <c r="A136" s="88"/>
      <c r="B136" s="25" t="str">
        <f>IF(A136="","",IFERROR(VLOOKUP(A136,DB_Customers!$A:$D,4,0),"❌ Account Not Found"))</f>
        <v/>
      </c>
      <c r="C136" s="89" t="str">
        <f>IF(A136="","",IFERROR(VLOOKUP(A136,DB_Customers!$A:$N,14,0),""))</f>
        <v/>
      </c>
      <c r="D136" s="90" t="str">
        <f t="shared" ca="1" si="9"/>
        <v/>
      </c>
      <c r="E136" s="82"/>
      <c r="F136" s="91" t="str">
        <f t="shared" si="10"/>
        <v/>
      </c>
      <c r="G136" s="27"/>
      <c r="H136" s="84"/>
      <c r="I136" s="92" t="str">
        <f>IF(A136="","Pending",IF(H136="","⚠️ Enter Code",IF(IFERROR(VLOOKUP(G136,DB_Agents!$B:$I,8,0),"")=H136,IF(AND(A136&lt;&gt;"",E136&lt;&gt;""),"Saved","Pending"),"🔒 BLOCKED — Wrong Code")))</f>
        <v>Pending</v>
      </c>
      <c r="J136" s="93" t="str">
        <f t="shared" ca="1" si="11"/>
        <v>—</v>
      </c>
      <c r="K136" s="94"/>
    </row>
    <row r="137" spans="1:11" x14ac:dyDescent="0.25">
      <c r="A137" s="79"/>
      <c r="B137" s="21" t="str">
        <f>IF(A137="","",IFERROR(VLOOKUP(A137,DB_Customers!$A:$D,4,0),"❌ Account Not Found"))</f>
        <v/>
      </c>
      <c r="C137" s="80" t="str">
        <f>IF(A137="","",IFERROR(VLOOKUP(A137,DB_Customers!$A:$N,14,0),""))</f>
        <v/>
      </c>
      <c r="D137" s="81" t="str">
        <f t="shared" ref="D137:D168" ca="1" si="12">IF(A137="","",TODAY())</f>
        <v/>
      </c>
      <c r="E137" s="82"/>
      <c r="F137" s="83" t="str">
        <f t="shared" ref="F137:F168" si="13">IF(OR(A137="",E137=""),"",IF(C137="","",C137+E137))</f>
        <v/>
      </c>
      <c r="G137" s="23"/>
      <c r="H137" s="84"/>
      <c r="I137" s="85" t="str">
        <f>IF(A137="","Pending",IF(H137="","⚠️ Enter Code",IF(IFERROR(VLOOKUP(G137,DB_Agents!$B:$I,8,0),"")=H137,IF(AND(A137&lt;&gt;"",E137&lt;&gt;""),"Saved","Pending"),"🔒 BLOCKED — Wrong Code")))</f>
        <v>Pending</v>
      </c>
      <c r="J137" s="86" t="str">
        <f t="shared" ref="J137:J168" ca="1" si="14">IF(I137="Saved",TEXT(TODAY(),"YYYY-MM-DD")&amp;" Auto","—")</f>
        <v>—</v>
      </c>
      <c r="K137" s="87"/>
    </row>
    <row r="138" spans="1:11" x14ac:dyDescent="0.25">
      <c r="A138" s="88"/>
      <c r="B138" s="25" t="str">
        <f>IF(A138="","",IFERROR(VLOOKUP(A138,DB_Customers!$A:$D,4,0),"❌ Account Not Found"))</f>
        <v/>
      </c>
      <c r="C138" s="89" t="str">
        <f>IF(A138="","",IFERROR(VLOOKUP(A138,DB_Customers!$A:$N,14,0),""))</f>
        <v/>
      </c>
      <c r="D138" s="90" t="str">
        <f t="shared" ca="1" si="12"/>
        <v/>
      </c>
      <c r="E138" s="82"/>
      <c r="F138" s="91" t="str">
        <f t="shared" si="13"/>
        <v/>
      </c>
      <c r="G138" s="27"/>
      <c r="H138" s="84"/>
      <c r="I138" s="92" t="str">
        <f>IF(A138="","Pending",IF(H138="","⚠️ Enter Code",IF(IFERROR(VLOOKUP(G138,DB_Agents!$B:$I,8,0),"")=H138,IF(AND(A138&lt;&gt;"",E138&lt;&gt;""),"Saved","Pending"),"🔒 BLOCKED — Wrong Code")))</f>
        <v>Pending</v>
      </c>
      <c r="J138" s="93" t="str">
        <f t="shared" ca="1" si="14"/>
        <v>—</v>
      </c>
      <c r="K138" s="94"/>
    </row>
    <row r="139" spans="1:11" x14ac:dyDescent="0.25">
      <c r="A139" s="79"/>
      <c r="B139" s="21" t="str">
        <f>IF(A139="","",IFERROR(VLOOKUP(A139,DB_Customers!$A:$D,4,0),"❌ Account Not Found"))</f>
        <v/>
      </c>
      <c r="C139" s="80" t="str">
        <f>IF(A139="","",IFERROR(VLOOKUP(A139,DB_Customers!$A:$N,14,0),""))</f>
        <v/>
      </c>
      <c r="D139" s="81" t="str">
        <f t="shared" ca="1" si="12"/>
        <v/>
      </c>
      <c r="E139" s="82"/>
      <c r="F139" s="83" t="str">
        <f t="shared" si="13"/>
        <v/>
      </c>
      <c r="G139" s="23"/>
      <c r="H139" s="84"/>
      <c r="I139" s="85" t="str">
        <f>IF(A139="","Pending",IF(H139="","⚠️ Enter Code",IF(IFERROR(VLOOKUP(G139,DB_Agents!$B:$I,8,0),"")=H139,IF(AND(A139&lt;&gt;"",E139&lt;&gt;""),"Saved","Pending"),"🔒 BLOCKED — Wrong Code")))</f>
        <v>Pending</v>
      </c>
      <c r="J139" s="86" t="str">
        <f t="shared" ca="1" si="14"/>
        <v>—</v>
      </c>
      <c r="K139" s="87"/>
    </row>
    <row r="140" spans="1:11" x14ac:dyDescent="0.25">
      <c r="A140" s="88"/>
      <c r="B140" s="25" t="str">
        <f>IF(A140="","",IFERROR(VLOOKUP(A140,DB_Customers!$A:$D,4,0),"❌ Account Not Found"))</f>
        <v/>
      </c>
      <c r="C140" s="89" t="str">
        <f>IF(A140="","",IFERROR(VLOOKUP(A140,DB_Customers!$A:$N,14,0),""))</f>
        <v/>
      </c>
      <c r="D140" s="90" t="str">
        <f t="shared" ca="1" si="12"/>
        <v/>
      </c>
      <c r="E140" s="82"/>
      <c r="F140" s="91" t="str">
        <f t="shared" si="13"/>
        <v/>
      </c>
      <c r="G140" s="27"/>
      <c r="H140" s="84"/>
      <c r="I140" s="92" t="str">
        <f>IF(A140="","Pending",IF(H140="","⚠️ Enter Code",IF(IFERROR(VLOOKUP(G140,DB_Agents!$B:$I,8,0),"")=H140,IF(AND(A140&lt;&gt;"",E140&lt;&gt;""),"Saved","Pending"),"🔒 BLOCKED — Wrong Code")))</f>
        <v>Pending</v>
      </c>
      <c r="J140" s="93" t="str">
        <f t="shared" ca="1" si="14"/>
        <v>—</v>
      </c>
      <c r="K140" s="94"/>
    </row>
    <row r="141" spans="1:11" x14ac:dyDescent="0.25">
      <c r="A141" s="79"/>
      <c r="B141" s="21" t="str">
        <f>IF(A141="","",IFERROR(VLOOKUP(A141,DB_Customers!$A:$D,4,0),"❌ Account Not Found"))</f>
        <v/>
      </c>
      <c r="C141" s="80" t="str">
        <f>IF(A141="","",IFERROR(VLOOKUP(A141,DB_Customers!$A:$N,14,0),""))</f>
        <v/>
      </c>
      <c r="D141" s="81" t="str">
        <f t="shared" ca="1" si="12"/>
        <v/>
      </c>
      <c r="E141" s="82"/>
      <c r="F141" s="83" t="str">
        <f t="shared" si="13"/>
        <v/>
      </c>
      <c r="G141" s="23"/>
      <c r="H141" s="84"/>
      <c r="I141" s="85" t="str">
        <f>IF(A141="","Pending",IF(H141="","⚠️ Enter Code",IF(IFERROR(VLOOKUP(G141,DB_Agents!$B:$I,8,0),"")=H141,IF(AND(A141&lt;&gt;"",E141&lt;&gt;""),"Saved","Pending"),"🔒 BLOCKED — Wrong Code")))</f>
        <v>Pending</v>
      </c>
      <c r="J141" s="86" t="str">
        <f t="shared" ca="1" si="14"/>
        <v>—</v>
      </c>
      <c r="K141" s="87"/>
    </row>
    <row r="142" spans="1:11" x14ac:dyDescent="0.25">
      <c r="A142" s="88"/>
      <c r="B142" s="25" t="str">
        <f>IF(A142="","",IFERROR(VLOOKUP(A142,DB_Customers!$A:$D,4,0),"❌ Account Not Found"))</f>
        <v/>
      </c>
      <c r="C142" s="89" t="str">
        <f>IF(A142="","",IFERROR(VLOOKUP(A142,DB_Customers!$A:$N,14,0),""))</f>
        <v/>
      </c>
      <c r="D142" s="90" t="str">
        <f t="shared" ca="1" si="12"/>
        <v/>
      </c>
      <c r="E142" s="82"/>
      <c r="F142" s="91" t="str">
        <f t="shared" si="13"/>
        <v/>
      </c>
      <c r="G142" s="27"/>
      <c r="H142" s="84"/>
      <c r="I142" s="92" t="str">
        <f>IF(A142="","Pending",IF(H142="","⚠️ Enter Code",IF(IFERROR(VLOOKUP(G142,DB_Agents!$B:$I,8,0),"")=H142,IF(AND(A142&lt;&gt;"",E142&lt;&gt;""),"Saved","Pending"),"🔒 BLOCKED — Wrong Code")))</f>
        <v>Pending</v>
      </c>
      <c r="J142" s="93" t="str">
        <f t="shared" ca="1" si="14"/>
        <v>—</v>
      </c>
      <c r="K142" s="94"/>
    </row>
    <row r="143" spans="1:11" x14ac:dyDescent="0.25">
      <c r="A143" s="79"/>
      <c r="B143" s="21" t="str">
        <f>IF(A143="","",IFERROR(VLOOKUP(A143,DB_Customers!$A:$D,4,0),"❌ Account Not Found"))</f>
        <v/>
      </c>
      <c r="C143" s="80" t="str">
        <f>IF(A143="","",IFERROR(VLOOKUP(A143,DB_Customers!$A:$N,14,0),""))</f>
        <v/>
      </c>
      <c r="D143" s="81" t="str">
        <f t="shared" ca="1" si="12"/>
        <v/>
      </c>
      <c r="E143" s="82"/>
      <c r="F143" s="83" t="str">
        <f t="shared" si="13"/>
        <v/>
      </c>
      <c r="G143" s="23"/>
      <c r="H143" s="84"/>
      <c r="I143" s="85" t="str">
        <f>IF(A143="","Pending",IF(H143="","⚠️ Enter Code",IF(IFERROR(VLOOKUP(G143,DB_Agents!$B:$I,8,0),"")=H143,IF(AND(A143&lt;&gt;"",E143&lt;&gt;""),"Saved","Pending"),"🔒 BLOCKED — Wrong Code")))</f>
        <v>Pending</v>
      </c>
      <c r="J143" s="86" t="str">
        <f t="shared" ca="1" si="14"/>
        <v>—</v>
      </c>
      <c r="K143" s="87"/>
    </row>
    <row r="144" spans="1:11" x14ac:dyDescent="0.25">
      <c r="A144" s="88"/>
      <c r="B144" s="25" t="str">
        <f>IF(A144="","",IFERROR(VLOOKUP(A144,DB_Customers!$A:$D,4,0),"❌ Account Not Found"))</f>
        <v/>
      </c>
      <c r="C144" s="89" t="str">
        <f>IF(A144="","",IFERROR(VLOOKUP(A144,DB_Customers!$A:$N,14,0),""))</f>
        <v/>
      </c>
      <c r="D144" s="90" t="str">
        <f t="shared" ca="1" si="12"/>
        <v/>
      </c>
      <c r="E144" s="82"/>
      <c r="F144" s="91" t="str">
        <f t="shared" si="13"/>
        <v/>
      </c>
      <c r="G144" s="27"/>
      <c r="H144" s="84"/>
      <c r="I144" s="92" t="str">
        <f>IF(A144="","Pending",IF(H144="","⚠️ Enter Code",IF(IFERROR(VLOOKUP(G144,DB_Agents!$B:$I,8,0),"")=H144,IF(AND(A144&lt;&gt;"",E144&lt;&gt;""),"Saved","Pending"),"🔒 BLOCKED — Wrong Code")))</f>
        <v>Pending</v>
      </c>
      <c r="J144" s="93" t="str">
        <f t="shared" ca="1" si="14"/>
        <v>—</v>
      </c>
      <c r="K144" s="94"/>
    </row>
    <row r="145" spans="1:11" x14ac:dyDescent="0.25">
      <c r="A145" s="79"/>
      <c r="B145" s="21" t="str">
        <f>IF(A145="","",IFERROR(VLOOKUP(A145,DB_Customers!$A:$D,4,0),"❌ Account Not Found"))</f>
        <v/>
      </c>
      <c r="C145" s="80" t="str">
        <f>IF(A145="","",IFERROR(VLOOKUP(A145,DB_Customers!$A:$N,14,0),""))</f>
        <v/>
      </c>
      <c r="D145" s="81" t="str">
        <f t="shared" ca="1" si="12"/>
        <v/>
      </c>
      <c r="E145" s="82"/>
      <c r="F145" s="83" t="str">
        <f t="shared" si="13"/>
        <v/>
      </c>
      <c r="G145" s="23"/>
      <c r="H145" s="84"/>
      <c r="I145" s="85" t="str">
        <f>IF(A145="","Pending",IF(H145="","⚠️ Enter Code",IF(IFERROR(VLOOKUP(G145,DB_Agents!$B:$I,8,0),"")=H145,IF(AND(A145&lt;&gt;"",E145&lt;&gt;""),"Saved","Pending"),"🔒 BLOCKED — Wrong Code")))</f>
        <v>Pending</v>
      </c>
      <c r="J145" s="86" t="str">
        <f t="shared" ca="1" si="14"/>
        <v>—</v>
      </c>
      <c r="K145" s="87"/>
    </row>
    <row r="146" spans="1:11" x14ac:dyDescent="0.25">
      <c r="A146" s="88"/>
      <c r="B146" s="25" t="str">
        <f>IF(A146="","",IFERROR(VLOOKUP(A146,DB_Customers!$A:$D,4,0),"❌ Account Not Found"))</f>
        <v/>
      </c>
      <c r="C146" s="89" t="str">
        <f>IF(A146="","",IFERROR(VLOOKUP(A146,DB_Customers!$A:$N,14,0),""))</f>
        <v/>
      </c>
      <c r="D146" s="90" t="str">
        <f t="shared" ca="1" si="12"/>
        <v/>
      </c>
      <c r="E146" s="82"/>
      <c r="F146" s="91" t="str">
        <f t="shared" si="13"/>
        <v/>
      </c>
      <c r="G146" s="27"/>
      <c r="H146" s="84"/>
      <c r="I146" s="92" t="str">
        <f>IF(A146="","Pending",IF(H146="","⚠️ Enter Code",IF(IFERROR(VLOOKUP(G146,DB_Agents!$B:$I,8,0),"")=H146,IF(AND(A146&lt;&gt;"",E146&lt;&gt;""),"Saved","Pending"),"🔒 BLOCKED — Wrong Code")))</f>
        <v>Pending</v>
      </c>
      <c r="J146" s="93" t="str">
        <f t="shared" ca="1" si="14"/>
        <v>—</v>
      </c>
      <c r="K146" s="94"/>
    </row>
    <row r="147" spans="1:11" x14ac:dyDescent="0.25">
      <c r="A147" s="79"/>
      <c r="B147" s="21" t="str">
        <f>IF(A147="","",IFERROR(VLOOKUP(A147,DB_Customers!$A:$D,4,0),"❌ Account Not Found"))</f>
        <v/>
      </c>
      <c r="C147" s="80" t="str">
        <f>IF(A147="","",IFERROR(VLOOKUP(A147,DB_Customers!$A:$N,14,0),""))</f>
        <v/>
      </c>
      <c r="D147" s="81" t="str">
        <f t="shared" ca="1" si="12"/>
        <v/>
      </c>
      <c r="E147" s="82"/>
      <c r="F147" s="83" t="str">
        <f t="shared" si="13"/>
        <v/>
      </c>
      <c r="G147" s="23"/>
      <c r="H147" s="84"/>
      <c r="I147" s="85" t="str">
        <f>IF(A147="","Pending",IF(H147="","⚠️ Enter Code",IF(IFERROR(VLOOKUP(G147,DB_Agents!$B:$I,8,0),"")=H147,IF(AND(A147&lt;&gt;"",E147&lt;&gt;""),"Saved","Pending"),"🔒 BLOCKED — Wrong Code")))</f>
        <v>Pending</v>
      </c>
      <c r="J147" s="86" t="str">
        <f t="shared" ca="1" si="14"/>
        <v>—</v>
      </c>
      <c r="K147" s="87"/>
    </row>
    <row r="148" spans="1:11" x14ac:dyDescent="0.25">
      <c r="A148" s="88"/>
      <c r="B148" s="25" t="str">
        <f>IF(A148="","",IFERROR(VLOOKUP(A148,DB_Customers!$A:$D,4,0),"❌ Account Not Found"))</f>
        <v/>
      </c>
      <c r="C148" s="89" t="str">
        <f>IF(A148="","",IFERROR(VLOOKUP(A148,DB_Customers!$A:$N,14,0),""))</f>
        <v/>
      </c>
      <c r="D148" s="90" t="str">
        <f t="shared" ca="1" si="12"/>
        <v/>
      </c>
      <c r="E148" s="82"/>
      <c r="F148" s="91" t="str">
        <f t="shared" si="13"/>
        <v/>
      </c>
      <c r="G148" s="27"/>
      <c r="H148" s="84"/>
      <c r="I148" s="92" t="str">
        <f>IF(A148="","Pending",IF(H148="","⚠️ Enter Code",IF(IFERROR(VLOOKUP(G148,DB_Agents!$B:$I,8,0),"")=H148,IF(AND(A148&lt;&gt;"",E148&lt;&gt;""),"Saved","Pending"),"🔒 BLOCKED — Wrong Code")))</f>
        <v>Pending</v>
      </c>
      <c r="J148" s="93" t="str">
        <f t="shared" ca="1" si="14"/>
        <v>—</v>
      </c>
      <c r="K148" s="94"/>
    </row>
    <row r="149" spans="1:11" x14ac:dyDescent="0.25">
      <c r="A149" s="79"/>
      <c r="B149" s="21" t="str">
        <f>IF(A149="","",IFERROR(VLOOKUP(A149,DB_Customers!$A:$D,4,0),"❌ Account Not Found"))</f>
        <v/>
      </c>
      <c r="C149" s="80" t="str">
        <f>IF(A149="","",IFERROR(VLOOKUP(A149,DB_Customers!$A:$N,14,0),""))</f>
        <v/>
      </c>
      <c r="D149" s="81" t="str">
        <f t="shared" ca="1" si="12"/>
        <v/>
      </c>
      <c r="E149" s="82"/>
      <c r="F149" s="83" t="str">
        <f t="shared" si="13"/>
        <v/>
      </c>
      <c r="G149" s="23"/>
      <c r="H149" s="84"/>
      <c r="I149" s="85" t="str">
        <f>IF(A149="","Pending",IF(H149="","⚠️ Enter Code",IF(IFERROR(VLOOKUP(G149,DB_Agents!$B:$I,8,0),"")=H149,IF(AND(A149&lt;&gt;"",E149&lt;&gt;""),"Saved","Pending"),"🔒 BLOCKED — Wrong Code")))</f>
        <v>Pending</v>
      </c>
      <c r="J149" s="86" t="str">
        <f t="shared" ca="1" si="14"/>
        <v>—</v>
      </c>
      <c r="K149" s="87"/>
    </row>
    <row r="150" spans="1:11" x14ac:dyDescent="0.25">
      <c r="A150" s="88"/>
      <c r="B150" s="25" t="str">
        <f>IF(A150="","",IFERROR(VLOOKUP(A150,DB_Customers!$A:$D,4,0),"❌ Account Not Found"))</f>
        <v/>
      </c>
      <c r="C150" s="89" t="str">
        <f>IF(A150="","",IFERROR(VLOOKUP(A150,DB_Customers!$A:$N,14,0),""))</f>
        <v/>
      </c>
      <c r="D150" s="90" t="str">
        <f t="shared" ca="1" si="12"/>
        <v/>
      </c>
      <c r="E150" s="82"/>
      <c r="F150" s="91" t="str">
        <f t="shared" si="13"/>
        <v/>
      </c>
      <c r="G150" s="27"/>
      <c r="H150" s="84"/>
      <c r="I150" s="92" t="str">
        <f>IF(A150="","Pending",IF(H150="","⚠️ Enter Code",IF(IFERROR(VLOOKUP(G150,DB_Agents!$B:$I,8,0),"")=H150,IF(AND(A150&lt;&gt;"",E150&lt;&gt;""),"Saved","Pending"),"🔒 BLOCKED — Wrong Code")))</f>
        <v>Pending</v>
      </c>
      <c r="J150" s="93" t="str">
        <f t="shared" ca="1" si="14"/>
        <v>—</v>
      </c>
      <c r="K150" s="94"/>
    </row>
    <row r="151" spans="1:11" x14ac:dyDescent="0.25">
      <c r="A151" s="79"/>
      <c r="B151" s="21" t="str">
        <f>IF(A151="","",IFERROR(VLOOKUP(A151,DB_Customers!$A:$D,4,0),"❌ Account Not Found"))</f>
        <v/>
      </c>
      <c r="C151" s="80" t="str">
        <f>IF(A151="","",IFERROR(VLOOKUP(A151,DB_Customers!$A:$N,14,0),""))</f>
        <v/>
      </c>
      <c r="D151" s="81" t="str">
        <f t="shared" ca="1" si="12"/>
        <v/>
      </c>
      <c r="E151" s="82"/>
      <c r="F151" s="83" t="str">
        <f t="shared" si="13"/>
        <v/>
      </c>
      <c r="G151" s="23"/>
      <c r="H151" s="84"/>
      <c r="I151" s="85" t="str">
        <f>IF(A151="","Pending",IF(H151="","⚠️ Enter Code",IF(IFERROR(VLOOKUP(G151,DB_Agents!$B:$I,8,0),"")=H151,IF(AND(A151&lt;&gt;"",E151&lt;&gt;""),"Saved","Pending"),"🔒 BLOCKED — Wrong Code")))</f>
        <v>Pending</v>
      </c>
      <c r="J151" s="86" t="str">
        <f t="shared" ca="1" si="14"/>
        <v>—</v>
      </c>
      <c r="K151" s="87"/>
    </row>
    <row r="152" spans="1:11" x14ac:dyDescent="0.25">
      <c r="A152" s="88"/>
      <c r="B152" s="25" t="str">
        <f>IF(A152="","",IFERROR(VLOOKUP(A152,DB_Customers!$A:$D,4,0),"❌ Account Not Found"))</f>
        <v/>
      </c>
      <c r="C152" s="89" t="str">
        <f>IF(A152="","",IFERROR(VLOOKUP(A152,DB_Customers!$A:$N,14,0),""))</f>
        <v/>
      </c>
      <c r="D152" s="90" t="str">
        <f t="shared" ca="1" si="12"/>
        <v/>
      </c>
      <c r="E152" s="82"/>
      <c r="F152" s="91" t="str">
        <f t="shared" si="13"/>
        <v/>
      </c>
      <c r="G152" s="27"/>
      <c r="H152" s="84"/>
      <c r="I152" s="92" t="str">
        <f>IF(A152="","Pending",IF(H152="","⚠️ Enter Code",IF(IFERROR(VLOOKUP(G152,DB_Agents!$B:$I,8,0),"")=H152,IF(AND(A152&lt;&gt;"",E152&lt;&gt;""),"Saved","Pending"),"🔒 BLOCKED — Wrong Code")))</f>
        <v>Pending</v>
      </c>
      <c r="J152" s="93" t="str">
        <f t="shared" ca="1" si="14"/>
        <v>—</v>
      </c>
      <c r="K152" s="94"/>
    </row>
    <row r="153" spans="1:11" x14ac:dyDescent="0.25">
      <c r="A153" s="79"/>
      <c r="B153" s="21" t="str">
        <f>IF(A153="","",IFERROR(VLOOKUP(A153,DB_Customers!$A:$D,4,0),"❌ Account Not Found"))</f>
        <v/>
      </c>
      <c r="C153" s="80" t="str">
        <f>IF(A153="","",IFERROR(VLOOKUP(A153,DB_Customers!$A:$N,14,0),""))</f>
        <v/>
      </c>
      <c r="D153" s="81" t="str">
        <f t="shared" ca="1" si="12"/>
        <v/>
      </c>
      <c r="E153" s="82"/>
      <c r="F153" s="83" t="str">
        <f t="shared" si="13"/>
        <v/>
      </c>
      <c r="G153" s="23"/>
      <c r="H153" s="84"/>
      <c r="I153" s="85" t="str">
        <f>IF(A153="","Pending",IF(H153="","⚠️ Enter Code",IF(IFERROR(VLOOKUP(G153,DB_Agents!$B:$I,8,0),"")=H153,IF(AND(A153&lt;&gt;"",E153&lt;&gt;""),"Saved","Pending"),"🔒 BLOCKED — Wrong Code")))</f>
        <v>Pending</v>
      </c>
      <c r="J153" s="86" t="str">
        <f t="shared" ca="1" si="14"/>
        <v>—</v>
      </c>
      <c r="K153" s="87"/>
    </row>
    <row r="154" spans="1:11" x14ac:dyDescent="0.25">
      <c r="A154" s="88"/>
      <c r="B154" s="25" t="str">
        <f>IF(A154="","",IFERROR(VLOOKUP(A154,DB_Customers!$A:$D,4,0),"❌ Account Not Found"))</f>
        <v/>
      </c>
      <c r="C154" s="89" t="str">
        <f>IF(A154="","",IFERROR(VLOOKUP(A154,DB_Customers!$A:$N,14,0),""))</f>
        <v/>
      </c>
      <c r="D154" s="90" t="str">
        <f t="shared" ca="1" si="12"/>
        <v/>
      </c>
      <c r="E154" s="82"/>
      <c r="F154" s="91" t="str">
        <f t="shared" si="13"/>
        <v/>
      </c>
      <c r="G154" s="27"/>
      <c r="H154" s="84"/>
      <c r="I154" s="92" t="str">
        <f>IF(A154="","Pending",IF(H154="","⚠️ Enter Code",IF(IFERROR(VLOOKUP(G154,DB_Agents!$B:$I,8,0),"")=H154,IF(AND(A154&lt;&gt;"",E154&lt;&gt;""),"Saved","Pending"),"🔒 BLOCKED — Wrong Code")))</f>
        <v>Pending</v>
      </c>
      <c r="J154" s="93" t="str">
        <f t="shared" ca="1" si="14"/>
        <v>—</v>
      </c>
      <c r="K154" s="94"/>
    </row>
    <row r="155" spans="1:11" x14ac:dyDescent="0.25">
      <c r="A155" s="79"/>
      <c r="B155" s="21" t="str">
        <f>IF(A155="","",IFERROR(VLOOKUP(A155,DB_Customers!$A:$D,4,0),"❌ Account Not Found"))</f>
        <v/>
      </c>
      <c r="C155" s="80" t="str">
        <f>IF(A155="","",IFERROR(VLOOKUP(A155,DB_Customers!$A:$N,14,0),""))</f>
        <v/>
      </c>
      <c r="D155" s="81" t="str">
        <f t="shared" ca="1" si="12"/>
        <v/>
      </c>
      <c r="E155" s="82"/>
      <c r="F155" s="83" t="str">
        <f t="shared" si="13"/>
        <v/>
      </c>
      <c r="G155" s="23"/>
      <c r="H155" s="84"/>
      <c r="I155" s="85" t="str">
        <f>IF(A155="","Pending",IF(H155="","⚠️ Enter Code",IF(IFERROR(VLOOKUP(G155,DB_Agents!$B:$I,8,0),"")=H155,IF(AND(A155&lt;&gt;"",E155&lt;&gt;""),"Saved","Pending"),"🔒 BLOCKED — Wrong Code")))</f>
        <v>Pending</v>
      </c>
      <c r="J155" s="86" t="str">
        <f t="shared" ca="1" si="14"/>
        <v>—</v>
      </c>
      <c r="K155" s="87"/>
    </row>
    <row r="156" spans="1:11" x14ac:dyDescent="0.25">
      <c r="A156" s="88"/>
      <c r="B156" s="25" t="str">
        <f>IF(A156="","",IFERROR(VLOOKUP(A156,DB_Customers!$A:$D,4,0),"❌ Account Not Found"))</f>
        <v/>
      </c>
      <c r="C156" s="89" t="str">
        <f>IF(A156="","",IFERROR(VLOOKUP(A156,DB_Customers!$A:$N,14,0),""))</f>
        <v/>
      </c>
      <c r="D156" s="90" t="str">
        <f t="shared" ca="1" si="12"/>
        <v/>
      </c>
      <c r="E156" s="82"/>
      <c r="F156" s="91" t="str">
        <f t="shared" si="13"/>
        <v/>
      </c>
      <c r="G156" s="27"/>
      <c r="H156" s="84"/>
      <c r="I156" s="92" t="str">
        <f>IF(A156="","Pending",IF(H156="","⚠️ Enter Code",IF(IFERROR(VLOOKUP(G156,DB_Agents!$B:$I,8,0),"")=H156,IF(AND(A156&lt;&gt;"",E156&lt;&gt;""),"Saved","Pending"),"🔒 BLOCKED — Wrong Code")))</f>
        <v>Pending</v>
      </c>
      <c r="J156" s="93" t="str">
        <f t="shared" ca="1" si="14"/>
        <v>—</v>
      </c>
      <c r="K156" s="94"/>
    </row>
    <row r="157" spans="1:11" x14ac:dyDescent="0.25">
      <c r="A157" s="79"/>
      <c r="B157" s="21" t="str">
        <f>IF(A157="","",IFERROR(VLOOKUP(A157,DB_Customers!$A:$D,4,0),"❌ Account Not Found"))</f>
        <v/>
      </c>
      <c r="C157" s="80" t="str">
        <f>IF(A157="","",IFERROR(VLOOKUP(A157,DB_Customers!$A:$N,14,0),""))</f>
        <v/>
      </c>
      <c r="D157" s="81" t="str">
        <f t="shared" ca="1" si="12"/>
        <v/>
      </c>
      <c r="E157" s="82"/>
      <c r="F157" s="83" t="str">
        <f t="shared" si="13"/>
        <v/>
      </c>
      <c r="G157" s="23"/>
      <c r="H157" s="84"/>
      <c r="I157" s="85" t="str">
        <f>IF(A157="","Pending",IF(H157="","⚠️ Enter Code",IF(IFERROR(VLOOKUP(G157,DB_Agents!$B:$I,8,0),"")=H157,IF(AND(A157&lt;&gt;"",E157&lt;&gt;""),"Saved","Pending"),"🔒 BLOCKED — Wrong Code")))</f>
        <v>Pending</v>
      </c>
      <c r="J157" s="86" t="str">
        <f t="shared" ca="1" si="14"/>
        <v>—</v>
      </c>
      <c r="K157" s="87"/>
    </row>
    <row r="158" spans="1:11" x14ac:dyDescent="0.25">
      <c r="A158" s="88"/>
      <c r="B158" s="25" t="str">
        <f>IF(A158="","",IFERROR(VLOOKUP(A158,DB_Customers!$A:$D,4,0),"❌ Account Not Found"))</f>
        <v/>
      </c>
      <c r="C158" s="89" t="str">
        <f>IF(A158="","",IFERROR(VLOOKUP(A158,DB_Customers!$A:$N,14,0),""))</f>
        <v/>
      </c>
      <c r="D158" s="90" t="str">
        <f t="shared" ca="1" si="12"/>
        <v/>
      </c>
      <c r="E158" s="82"/>
      <c r="F158" s="91" t="str">
        <f t="shared" si="13"/>
        <v/>
      </c>
      <c r="G158" s="27"/>
      <c r="H158" s="84"/>
      <c r="I158" s="92" t="str">
        <f>IF(A158="","Pending",IF(H158="","⚠️ Enter Code",IF(IFERROR(VLOOKUP(G158,DB_Agents!$B:$I,8,0),"")=H158,IF(AND(A158&lt;&gt;"",E158&lt;&gt;""),"Saved","Pending"),"🔒 BLOCKED — Wrong Code")))</f>
        <v>Pending</v>
      </c>
      <c r="J158" s="93" t="str">
        <f t="shared" ca="1" si="14"/>
        <v>—</v>
      </c>
      <c r="K158" s="94"/>
    </row>
    <row r="159" spans="1:11" x14ac:dyDescent="0.25">
      <c r="A159" s="79"/>
      <c r="B159" s="21" t="str">
        <f>IF(A159="","",IFERROR(VLOOKUP(A159,DB_Customers!$A:$D,4,0),"❌ Account Not Found"))</f>
        <v/>
      </c>
      <c r="C159" s="80" t="str">
        <f>IF(A159="","",IFERROR(VLOOKUP(A159,DB_Customers!$A:$N,14,0),""))</f>
        <v/>
      </c>
      <c r="D159" s="81" t="str">
        <f t="shared" ca="1" si="12"/>
        <v/>
      </c>
      <c r="E159" s="82"/>
      <c r="F159" s="83" t="str">
        <f t="shared" si="13"/>
        <v/>
      </c>
      <c r="G159" s="23"/>
      <c r="H159" s="84"/>
      <c r="I159" s="85" t="str">
        <f>IF(A159="","Pending",IF(H159="","⚠️ Enter Code",IF(IFERROR(VLOOKUP(G159,DB_Agents!$B:$I,8,0),"")=H159,IF(AND(A159&lt;&gt;"",E159&lt;&gt;""),"Saved","Pending"),"🔒 BLOCKED — Wrong Code")))</f>
        <v>Pending</v>
      </c>
      <c r="J159" s="86" t="str">
        <f t="shared" ca="1" si="14"/>
        <v>—</v>
      </c>
      <c r="K159" s="87"/>
    </row>
    <row r="160" spans="1:11" x14ac:dyDescent="0.25">
      <c r="A160" s="88"/>
      <c r="B160" s="25" t="str">
        <f>IF(A160="","",IFERROR(VLOOKUP(A160,DB_Customers!$A:$D,4,0),"❌ Account Not Found"))</f>
        <v/>
      </c>
      <c r="C160" s="89" t="str">
        <f>IF(A160="","",IFERROR(VLOOKUP(A160,DB_Customers!$A:$N,14,0),""))</f>
        <v/>
      </c>
      <c r="D160" s="90" t="str">
        <f t="shared" ca="1" si="12"/>
        <v/>
      </c>
      <c r="E160" s="82"/>
      <c r="F160" s="91" t="str">
        <f t="shared" si="13"/>
        <v/>
      </c>
      <c r="G160" s="27"/>
      <c r="H160" s="84"/>
      <c r="I160" s="92" t="str">
        <f>IF(A160="","Pending",IF(H160="","⚠️ Enter Code",IF(IFERROR(VLOOKUP(G160,DB_Agents!$B:$I,8,0),"")=H160,IF(AND(A160&lt;&gt;"",E160&lt;&gt;""),"Saved","Pending"),"🔒 BLOCKED — Wrong Code")))</f>
        <v>Pending</v>
      </c>
      <c r="J160" s="93" t="str">
        <f t="shared" ca="1" si="14"/>
        <v>—</v>
      </c>
      <c r="K160" s="94"/>
    </row>
    <row r="161" spans="1:11" x14ac:dyDescent="0.25">
      <c r="A161" s="79"/>
      <c r="B161" s="21" t="str">
        <f>IF(A161="","",IFERROR(VLOOKUP(A161,DB_Customers!$A:$D,4,0),"❌ Account Not Found"))</f>
        <v/>
      </c>
      <c r="C161" s="80" t="str">
        <f>IF(A161="","",IFERROR(VLOOKUP(A161,DB_Customers!$A:$N,14,0),""))</f>
        <v/>
      </c>
      <c r="D161" s="81" t="str">
        <f t="shared" ca="1" si="12"/>
        <v/>
      </c>
      <c r="E161" s="82"/>
      <c r="F161" s="83" t="str">
        <f t="shared" si="13"/>
        <v/>
      </c>
      <c r="G161" s="23"/>
      <c r="H161" s="84"/>
      <c r="I161" s="85" t="str">
        <f>IF(A161="","Pending",IF(H161="","⚠️ Enter Code",IF(IFERROR(VLOOKUP(G161,DB_Agents!$B:$I,8,0),"")=H161,IF(AND(A161&lt;&gt;"",E161&lt;&gt;""),"Saved","Pending"),"🔒 BLOCKED — Wrong Code")))</f>
        <v>Pending</v>
      </c>
      <c r="J161" s="86" t="str">
        <f t="shared" ca="1" si="14"/>
        <v>—</v>
      </c>
      <c r="K161" s="87"/>
    </row>
    <row r="162" spans="1:11" x14ac:dyDescent="0.25">
      <c r="A162" s="88"/>
      <c r="B162" s="25" t="str">
        <f>IF(A162="","",IFERROR(VLOOKUP(A162,DB_Customers!$A:$D,4,0),"❌ Account Not Found"))</f>
        <v/>
      </c>
      <c r="C162" s="89" t="str">
        <f>IF(A162="","",IFERROR(VLOOKUP(A162,DB_Customers!$A:$N,14,0),""))</f>
        <v/>
      </c>
      <c r="D162" s="90" t="str">
        <f t="shared" ca="1" si="12"/>
        <v/>
      </c>
      <c r="E162" s="82"/>
      <c r="F162" s="91" t="str">
        <f t="shared" si="13"/>
        <v/>
      </c>
      <c r="G162" s="27"/>
      <c r="H162" s="84"/>
      <c r="I162" s="92" t="str">
        <f>IF(A162="","Pending",IF(H162="","⚠️ Enter Code",IF(IFERROR(VLOOKUP(G162,DB_Agents!$B:$I,8,0),"")=H162,IF(AND(A162&lt;&gt;"",E162&lt;&gt;""),"Saved","Pending"),"🔒 BLOCKED — Wrong Code")))</f>
        <v>Pending</v>
      </c>
      <c r="J162" s="93" t="str">
        <f t="shared" ca="1" si="14"/>
        <v>—</v>
      </c>
      <c r="K162" s="94"/>
    </row>
    <row r="163" spans="1:11" x14ac:dyDescent="0.25">
      <c r="A163" s="79"/>
      <c r="B163" s="21" t="str">
        <f>IF(A163="","",IFERROR(VLOOKUP(A163,DB_Customers!$A:$D,4,0),"❌ Account Not Found"))</f>
        <v/>
      </c>
      <c r="C163" s="80" t="str">
        <f>IF(A163="","",IFERROR(VLOOKUP(A163,DB_Customers!$A:$N,14,0),""))</f>
        <v/>
      </c>
      <c r="D163" s="81" t="str">
        <f t="shared" ca="1" si="12"/>
        <v/>
      </c>
      <c r="E163" s="82"/>
      <c r="F163" s="83" t="str">
        <f t="shared" si="13"/>
        <v/>
      </c>
      <c r="G163" s="23"/>
      <c r="H163" s="84"/>
      <c r="I163" s="85" t="str">
        <f>IF(A163="","Pending",IF(H163="","⚠️ Enter Code",IF(IFERROR(VLOOKUP(G163,DB_Agents!$B:$I,8,0),"")=H163,IF(AND(A163&lt;&gt;"",E163&lt;&gt;""),"Saved","Pending"),"🔒 BLOCKED — Wrong Code")))</f>
        <v>Pending</v>
      </c>
      <c r="J163" s="86" t="str">
        <f t="shared" ca="1" si="14"/>
        <v>—</v>
      </c>
      <c r="K163" s="87"/>
    </row>
    <row r="164" spans="1:11" x14ac:dyDescent="0.25">
      <c r="A164" s="88"/>
      <c r="B164" s="25" t="str">
        <f>IF(A164="","",IFERROR(VLOOKUP(A164,DB_Customers!$A:$D,4,0),"❌ Account Not Found"))</f>
        <v/>
      </c>
      <c r="C164" s="89" t="str">
        <f>IF(A164="","",IFERROR(VLOOKUP(A164,DB_Customers!$A:$N,14,0),""))</f>
        <v/>
      </c>
      <c r="D164" s="90" t="str">
        <f t="shared" ca="1" si="12"/>
        <v/>
      </c>
      <c r="E164" s="82"/>
      <c r="F164" s="91" t="str">
        <f t="shared" si="13"/>
        <v/>
      </c>
      <c r="G164" s="27"/>
      <c r="H164" s="84"/>
      <c r="I164" s="92" t="str">
        <f>IF(A164="","Pending",IF(H164="","⚠️ Enter Code",IF(IFERROR(VLOOKUP(G164,DB_Agents!$B:$I,8,0),"")=H164,IF(AND(A164&lt;&gt;"",E164&lt;&gt;""),"Saved","Pending"),"🔒 BLOCKED — Wrong Code")))</f>
        <v>Pending</v>
      </c>
      <c r="J164" s="93" t="str">
        <f t="shared" ca="1" si="14"/>
        <v>—</v>
      </c>
      <c r="K164" s="94"/>
    </row>
    <row r="165" spans="1:11" x14ac:dyDescent="0.25">
      <c r="A165" s="79"/>
      <c r="B165" s="21" t="str">
        <f>IF(A165="","",IFERROR(VLOOKUP(A165,DB_Customers!$A:$D,4,0),"❌ Account Not Found"))</f>
        <v/>
      </c>
      <c r="C165" s="80" t="str">
        <f>IF(A165="","",IFERROR(VLOOKUP(A165,DB_Customers!$A:$N,14,0),""))</f>
        <v/>
      </c>
      <c r="D165" s="81" t="str">
        <f t="shared" ca="1" si="12"/>
        <v/>
      </c>
      <c r="E165" s="82"/>
      <c r="F165" s="83" t="str">
        <f t="shared" si="13"/>
        <v/>
      </c>
      <c r="G165" s="23"/>
      <c r="H165" s="84"/>
      <c r="I165" s="85" t="str">
        <f>IF(A165="","Pending",IF(H165="","⚠️ Enter Code",IF(IFERROR(VLOOKUP(G165,DB_Agents!$B:$I,8,0),"")=H165,IF(AND(A165&lt;&gt;"",E165&lt;&gt;""),"Saved","Pending"),"🔒 BLOCKED — Wrong Code")))</f>
        <v>Pending</v>
      </c>
      <c r="J165" s="86" t="str">
        <f t="shared" ca="1" si="14"/>
        <v>—</v>
      </c>
      <c r="K165" s="87"/>
    </row>
    <row r="166" spans="1:11" x14ac:dyDescent="0.25">
      <c r="A166" s="88"/>
      <c r="B166" s="25" t="str">
        <f>IF(A166="","",IFERROR(VLOOKUP(A166,DB_Customers!$A:$D,4,0),"❌ Account Not Found"))</f>
        <v/>
      </c>
      <c r="C166" s="89" t="str">
        <f>IF(A166="","",IFERROR(VLOOKUP(A166,DB_Customers!$A:$N,14,0),""))</f>
        <v/>
      </c>
      <c r="D166" s="90" t="str">
        <f t="shared" ca="1" si="12"/>
        <v/>
      </c>
      <c r="E166" s="82"/>
      <c r="F166" s="91" t="str">
        <f t="shared" si="13"/>
        <v/>
      </c>
      <c r="G166" s="27"/>
      <c r="H166" s="84"/>
      <c r="I166" s="92" t="str">
        <f>IF(A166="","Pending",IF(H166="","⚠️ Enter Code",IF(IFERROR(VLOOKUP(G166,DB_Agents!$B:$I,8,0),"")=H166,IF(AND(A166&lt;&gt;"",E166&lt;&gt;""),"Saved","Pending"),"🔒 BLOCKED — Wrong Code")))</f>
        <v>Pending</v>
      </c>
      <c r="J166" s="93" t="str">
        <f t="shared" ca="1" si="14"/>
        <v>—</v>
      </c>
      <c r="K166" s="94"/>
    </row>
    <row r="167" spans="1:11" x14ac:dyDescent="0.25">
      <c r="A167" s="79"/>
      <c r="B167" s="21" t="str">
        <f>IF(A167="","",IFERROR(VLOOKUP(A167,DB_Customers!$A:$D,4,0),"❌ Account Not Found"))</f>
        <v/>
      </c>
      <c r="C167" s="80" t="str">
        <f>IF(A167="","",IFERROR(VLOOKUP(A167,DB_Customers!$A:$N,14,0),""))</f>
        <v/>
      </c>
      <c r="D167" s="81" t="str">
        <f t="shared" ca="1" si="12"/>
        <v/>
      </c>
      <c r="E167" s="82"/>
      <c r="F167" s="83" t="str">
        <f t="shared" si="13"/>
        <v/>
      </c>
      <c r="G167" s="23"/>
      <c r="H167" s="84"/>
      <c r="I167" s="85" t="str">
        <f>IF(A167="","Pending",IF(H167="","⚠️ Enter Code",IF(IFERROR(VLOOKUP(G167,DB_Agents!$B:$I,8,0),"")=H167,IF(AND(A167&lt;&gt;"",E167&lt;&gt;""),"Saved","Pending"),"🔒 BLOCKED — Wrong Code")))</f>
        <v>Pending</v>
      </c>
      <c r="J167" s="86" t="str">
        <f t="shared" ca="1" si="14"/>
        <v>—</v>
      </c>
      <c r="K167" s="87"/>
    </row>
    <row r="168" spans="1:11" x14ac:dyDescent="0.25">
      <c r="A168" s="88"/>
      <c r="B168" s="25" t="str">
        <f>IF(A168="","",IFERROR(VLOOKUP(A168,DB_Customers!$A:$D,4,0),"❌ Account Not Found"))</f>
        <v/>
      </c>
      <c r="C168" s="89" t="str">
        <f>IF(A168="","",IFERROR(VLOOKUP(A168,DB_Customers!$A:$N,14,0),""))</f>
        <v/>
      </c>
      <c r="D168" s="90" t="str">
        <f t="shared" ca="1" si="12"/>
        <v/>
      </c>
      <c r="E168" s="82"/>
      <c r="F168" s="91" t="str">
        <f t="shared" si="13"/>
        <v/>
      </c>
      <c r="G168" s="27"/>
      <c r="H168" s="84"/>
      <c r="I168" s="92" t="str">
        <f>IF(A168="","Pending",IF(H168="","⚠️ Enter Code",IF(IFERROR(VLOOKUP(G168,DB_Agents!$B:$I,8,0),"")=H168,IF(AND(A168&lt;&gt;"",E168&lt;&gt;""),"Saved","Pending"),"🔒 BLOCKED — Wrong Code")))</f>
        <v>Pending</v>
      </c>
      <c r="J168" s="93" t="str">
        <f t="shared" ca="1" si="14"/>
        <v>—</v>
      </c>
      <c r="K168" s="94"/>
    </row>
    <row r="169" spans="1:11" x14ac:dyDescent="0.25">
      <c r="A169" s="79"/>
      <c r="B169" s="21" t="str">
        <f>IF(A169="","",IFERROR(VLOOKUP(A169,DB_Customers!$A:$D,4,0),"❌ Account Not Found"))</f>
        <v/>
      </c>
      <c r="C169" s="80" t="str">
        <f>IF(A169="","",IFERROR(VLOOKUP(A169,DB_Customers!$A:$N,14,0),""))</f>
        <v/>
      </c>
      <c r="D169" s="81" t="str">
        <f t="shared" ref="D169:D200" ca="1" si="15">IF(A169="","",TODAY())</f>
        <v/>
      </c>
      <c r="E169" s="82"/>
      <c r="F169" s="83" t="str">
        <f t="shared" ref="F169:F200" si="16">IF(OR(A169="",E169=""),"",IF(C169="","",C169+E169))</f>
        <v/>
      </c>
      <c r="G169" s="23"/>
      <c r="H169" s="84"/>
      <c r="I169" s="85" t="str">
        <f>IF(A169="","Pending",IF(H169="","⚠️ Enter Code",IF(IFERROR(VLOOKUP(G169,DB_Agents!$B:$I,8,0),"")=H169,IF(AND(A169&lt;&gt;"",E169&lt;&gt;""),"Saved","Pending"),"🔒 BLOCKED — Wrong Code")))</f>
        <v>Pending</v>
      </c>
      <c r="J169" s="86" t="str">
        <f t="shared" ref="J169:J200" ca="1" si="17">IF(I169="Saved",TEXT(TODAY(),"YYYY-MM-DD")&amp;" Auto","—")</f>
        <v>—</v>
      </c>
      <c r="K169" s="87"/>
    </row>
    <row r="170" spans="1:11" x14ac:dyDescent="0.25">
      <c r="A170" s="88"/>
      <c r="B170" s="25" t="str">
        <f>IF(A170="","",IFERROR(VLOOKUP(A170,DB_Customers!$A:$D,4,0),"❌ Account Not Found"))</f>
        <v/>
      </c>
      <c r="C170" s="89" t="str">
        <f>IF(A170="","",IFERROR(VLOOKUP(A170,DB_Customers!$A:$N,14,0),""))</f>
        <v/>
      </c>
      <c r="D170" s="90" t="str">
        <f t="shared" ca="1" si="15"/>
        <v/>
      </c>
      <c r="E170" s="82"/>
      <c r="F170" s="91" t="str">
        <f t="shared" si="16"/>
        <v/>
      </c>
      <c r="G170" s="27"/>
      <c r="H170" s="84"/>
      <c r="I170" s="92" t="str">
        <f>IF(A170="","Pending",IF(H170="","⚠️ Enter Code",IF(IFERROR(VLOOKUP(G170,DB_Agents!$B:$I,8,0),"")=H170,IF(AND(A170&lt;&gt;"",E170&lt;&gt;""),"Saved","Pending"),"🔒 BLOCKED — Wrong Code")))</f>
        <v>Pending</v>
      </c>
      <c r="J170" s="93" t="str">
        <f t="shared" ca="1" si="17"/>
        <v>—</v>
      </c>
      <c r="K170" s="94"/>
    </row>
    <row r="171" spans="1:11" x14ac:dyDescent="0.25">
      <c r="A171" s="79"/>
      <c r="B171" s="21" t="str">
        <f>IF(A171="","",IFERROR(VLOOKUP(A171,DB_Customers!$A:$D,4,0),"❌ Account Not Found"))</f>
        <v/>
      </c>
      <c r="C171" s="80" t="str">
        <f>IF(A171="","",IFERROR(VLOOKUP(A171,DB_Customers!$A:$N,14,0),""))</f>
        <v/>
      </c>
      <c r="D171" s="81" t="str">
        <f t="shared" ca="1" si="15"/>
        <v/>
      </c>
      <c r="E171" s="82"/>
      <c r="F171" s="83" t="str">
        <f t="shared" si="16"/>
        <v/>
      </c>
      <c r="G171" s="23"/>
      <c r="H171" s="84"/>
      <c r="I171" s="85" t="str">
        <f>IF(A171="","Pending",IF(H171="","⚠️ Enter Code",IF(IFERROR(VLOOKUP(G171,DB_Agents!$B:$I,8,0),"")=H171,IF(AND(A171&lt;&gt;"",E171&lt;&gt;""),"Saved","Pending"),"🔒 BLOCKED — Wrong Code")))</f>
        <v>Pending</v>
      </c>
      <c r="J171" s="86" t="str">
        <f t="shared" ca="1" si="17"/>
        <v>—</v>
      </c>
      <c r="K171" s="87"/>
    </row>
    <row r="172" spans="1:11" x14ac:dyDescent="0.25">
      <c r="A172" s="88"/>
      <c r="B172" s="25" t="str">
        <f>IF(A172="","",IFERROR(VLOOKUP(A172,DB_Customers!$A:$D,4,0),"❌ Account Not Found"))</f>
        <v/>
      </c>
      <c r="C172" s="89" t="str">
        <f>IF(A172="","",IFERROR(VLOOKUP(A172,DB_Customers!$A:$N,14,0),""))</f>
        <v/>
      </c>
      <c r="D172" s="90" t="str">
        <f t="shared" ca="1" si="15"/>
        <v/>
      </c>
      <c r="E172" s="82"/>
      <c r="F172" s="91" t="str">
        <f t="shared" si="16"/>
        <v/>
      </c>
      <c r="G172" s="27"/>
      <c r="H172" s="84"/>
      <c r="I172" s="92" t="str">
        <f>IF(A172="","Pending",IF(H172="","⚠️ Enter Code",IF(IFERROR(VLOOKUP(G172,DB_Agents!$B:$I,8,0),"")=H172,IF(AND(A172&lt;&gt;"",E172&lt;&gt;""),"Saved","Pending"),"🔒 BLOCKED — Wrong Code")))</f>
        <v>Pending</v>
      </c>
      <c r="J172" s="93" t="str">
        <f t="shared" ca="1" si="17"/>
        <v>—</v>
      </c>
      <c r="K172" s="94"/>
    </row>
    <row r="173" spans="1:11" x14ac:dyDescent="0.25">
      <c r="A173" s="79"/>
      <c r="B173" s="21" t="str">
        <f>IF(A173="","",IFERROR(VLOOKUP(A173,DB_Customers!$A:$D,4,0),"❌ Account Not Found"))</f>
        <v/>
      </c>
      <c r="C173" s="80" t="str">
        <f>IF(A173="","",IFERROR(VLOOKUP(A173,DB_Customers!$A:$N,14,0),""))</f>
        <v/>
      </c>
      <c r="D173" s="81" t="str">
        <f t="shared" ca="1" si="15"/>
        <v/>
      </c>
      <c r="E173" s="82"/>
      <c r="F173" s="83" t="str">
        <f t="shared" si="16"/>
        <v/>
      </c>
      <c r="G173" s="23"/>
      <c r="H173" s="84"/>
      <c r="I173" s="85" t="str">
        <f>IF(A173="","Pending",IF(H173="","⚠️ Enter Code",IF(IFERROR(VLOOKUP(G173,DB_Agents!$B:$I,8,0),"")=H173,IF(AND(A173&lt;&gt;"",E173&lt;&gt;""),"Saved","Pending"),"🔒 BLOCKED — Wrong Code")))</f>
        <v>Pending</v>
      </c>
      <c r="J173" s="86" t="str">
        <f t="shared" ca="1" si="17"/>
        <v>—</v>
      </c>
      <c r="K173" s="87"/>
    </row>
    <row r="174" spans="1:11" x14ac:dyDescent="0.25">
      <c r="A174" s="88"/>
      <c r="B174" s="25" t="str">
        <f>IF(A174="","",IFERROR(VLOOKUP(A174,DB_Customers!$A:$D,4,0),"❌ Account Not Found"))</f>
        <v/>
      </c>
      <c r="C174" s="89" t="str">
        <f>IF(A174="","",IFERROR(VLOOKUP(A174,DB_Customers!$A:$N,14,0),""))</f>
        <v/>
      </c>
      <c r="D174" s="90" t="str">
        <f t="shared" ca="1" si="15"/>
        <v/>
      </c>
      <c r="E174" s="82"/>
      <c r="F174" s="91" t="str">
        <f t="shared" si="16"/>
        <v/>
      </c>
      <c r="G174" s="27"/>
      <c r="H174" s="84"/>
      <c r="I174" s="92" t="str">
        <f>IF(A174="","Pending",IF(H174="","⚠️ Enter Code",IF(IFERROR(VLOOKUP(G174,DB_Agents!$B:$I,8,0),"")=H174,IF(AND(A174&lt;&gt;"",E174&lt;&gt;""),"Saved","Pending"),"🔒 BLOCKED — Wrong Code")))</f>
        <v>Pending</v>
      </c>
      <c r="J174" s="93" t="str">
        <f t="shared" ca="1" si="17"/>
        <v>—</v>
      </c>
      <c r="K174" s="94"/>
    </row>
    <row r="175" spans="1:11" x14ac:dyDescent="0.25">
      <c r="A175" s="79"/>
      <c r="B175" s="21" t="str">
        <f>IF(A175="","",IFERROR(VLOOKUP(A175,DB_Customers!$A:$D,4,0),"❌ Account Not Found"))</f>
        <v/>
      </c>
      <c r="C175" s="80" t="str">
        <f>IF(A175="","",IFERROR(VLOOKUP(A175,DB_Customers!$A:$N,14,0),""))</f>
        <v/>
      </c>
      <c r="D175" s="81" t="str">
        <f t="shared" ca="1" si="15"/>
        <v/>
      </c>
      <c r="E175" s="82"/>
      <c r="F175" s="83" t="str">
        <f t="shared" si="16"/>
        <v/>
      </c>
      <c r="G175" s="23"/>
      <c r="H175" s="84"/>
      <c r="I175" s="85" t="str">
        <f>IF(A175="","Pending",IF(H175="","⚠️ Enter Code",IF(IFERROR(VLOOKUP(G175,DB_Agents!$B:$I,8,0),"")=H175,IF(AND(A175&lt;&gt;"",E175&lt;&gt;""),"Saved","Pending"),"🔒 BLOCKED — Wrong Code")))</f>
        <v>Pending</v>
      </c>
      <c r="J175" s="86" t="str">
        <f t="shared" ca="1" si="17"/>
        <v>—</v>
      </c>
      <c r="K175" s="87"/>
    </row>
    <row r="176" spans="1:11" x14ac:dyDescent="0.25">
      <c r="A176" s="88"/>
      <c r="B176" s="25" t="str">
        <f>IF(A176="","",IFERROR(VLOOKUP(A176,DB_Customers!$A:$D,4,0),"❌ Account Not Found"))</f>
        <v/>
      </c>
      <c r="C176" s="89" t="str">
        <f>IF(A176="","",IFERROR(VLOOKUP(A176,DB_Customers!$A:$N,14,0),""))</f>
        <v/>
      </c>
      <c r="D176" s="90" t="str">
        <f t="shared" ca="1" si="15"/>
        <v/>
      </c>
      <c r="E176" s="82"/>
      <c r="F176" s="91" t="str">
        <f t="shared" si="16"/>
        <v/>
      </c>
      <c r="G176" s="27"/>
      <c r="H176" s="84"/>
      <c r="I176" s="92" t="str">
        <f>IF(A176="","Pending",IF(H176="","⚠️ Enter Code",IF(IFERROR(VLOOKUP(G176,DB_Agents!$B:$I,8,0),"")=H176,IF(AND(A176&lt;&gt;"",E176&lt;&gt;""),"Saved","Pending"),"🔒 BLOCKED — Wrong Code")))</f>
        <v>Pending</v>
      </c>
      <c r="J176" s="93" t="str">
        <f t="shared" ca="1" si="17"/>
        <v>—</v>
      </c>
      <c r="K176" s="94"/>
    </row>
    <row r="177" spans="1:11" x14ac:dyDescent="0.25">
      <c r="A177" s="79"/>
      <c r="B177" s="21" t="str">
        <f>IF(A177="","",IFERROR(VLOOKUP(A177,DB_Customers!$A:$D,4,0),"❌ Account Not Found"))</f>
        <v/>
      </c>
      <c r="C177" s="80" t="str">
        <f>IF(A177="","",IFERROR(VLOOKUP(A177,DB_Customers!$A:$N,14,0),""))</f>
        <v/>
      </c>
      <c r="D177" s="81" t="str">
        <f t="shared" ca="1" si="15"/>
        <v/>
      </c>
      <c r="E177" s="82"/>
      <c r="F177" s="83" t="str">
        <f t="shared" si="16"/>
        <v/>
      </c>
      <c r="G177" s="23"/>
      <c r="H177" s="84"/>
      <c r="I177" s="85" t="str">
        <f>IF(A177="","Pending",IF(H177="","⚠️ Enter Code",IF(IFERROR(VLOOKUP(G177,DB_Agents!$B:$I,8,0),"")=H177,IF(AND(A177&lt;&gt;"",E177&lt;&gt;""),"Saved","Pending"),"🔒 BLOCKED — Wrong Code")))</f>
        <v>Pending</v>
      </c>
      <c r="J177" s="86" t="str">
        <f t="shared" ca="1" si="17"/>
        <v>—</v>
      </c>
      <c r="K177" s="87"/>
    </row>
    <row r="178" spans="1:11" x14ac:dyDescent="0.25">
      <c r="A178" s="88"/>
      <c r="B178" s="25" t="str">
        <f>IF(A178="","",IFERROR(VLOOKUP(A178,DB_Customers!$A:$D,4,0),"❌ Account Not Found"))</f>
        <v/>
      </c>
      <c r="C178" s="89" t="str">
        <f>IF(A178="","",IFERROR(VLOOKUP(A178,DB_Customers!$A:$N,14,0),""))</f>
        <v/>
      </c>
      <c r="D178" s="90" t="str">
        <f t="shared" ca="1" si="15"/>
        <v/>
      </c>
      <c r="E178" s="82"/>
      <c r="F178" s="91" t="str">
        <f t="shared" si="16"/>
        <v/>
      </c>
      <c r="G178" s="27"/>
      <c r="H178" s="84"/>
      <c r="I178" s="92" t="str">
        <f>IF(A178="","Pending",IF(H178="","⚠️ Enter Code",IF(IFERROR(VLOOKUP(G178,DB_Agents!$B:$I,8,0),"")=H178,IF(AND(A178&lt;&gt;"",E178&lt;&gt;""),"Saved","Pending"),"🔒 BLOCKED — Wrong Code")))</f>
        <v>Pending</v>
      </c>
      <c r="J178" s="93" t="str">
        <f t="shared" ca="1" si="17"/>
        <v>—</v>
      </c>
      <c r="K178" s="94"/>
    </row>
    <row r="179" spans="1:11" x14ac:dyDescent="0.25">
      <c r="A179" s="79"/>
      <c r="B179" s="21" t="str">
        <f>IF(A179="","",IFERROR(VLOOKUP(A179,DB_Customers!$A:$D,4,0),"❌ Account Not Found"))</f>
        <v/>
      </c>
      <c r="C179" s="80" t="str">
        <f>IF(A179="","",IFERROR(VLOOKUP(A179,DB_Customers!$A:$N,14,0),""))</f>
        <v/>
      </c>
      <c r="D179" s="81" t="str">
        <f t="shared" ca="1" si="15"/>
        <v/>
      </c>
      <c r="E179" s="82"/>
      <c r="F179" s="83" t="str">
        <f t="shared" si="16"/>
        <v/>
      </c>
      <c r="G179" s="23"/>
      <c r="H179" s="84"/>
      <c r="I179" s="85" t="str">
        <f>IF(A179="","Pending",IF(H179="","⚠️ Enter Code",IF(IFERROR(VLOOKUP(G179,DB_Agents!$B:$I,8,0),"")=H179,IF(AND(A179&lt;&gt;"",E179&lt;&gt;""),"Saved","Pending"),"🔒 BLOCKED — Wrong Code")))</f>
        <v>Pending</v>
      </c>
      <c r="J179" s="86" t="str">
        <f t="shared" ca="1" si="17"/>
        <v>—</v>
      </c>
      <c r="K179" s="87"/>
    </row>
    <row r="180" spans="1:11" x14ac:dyDescent="0.25">
      <c r="A180" s="88"/>
      <c r="B180" s="25" t="str">
        <f>IF(A180="","",IFERROR(VLOOKUP(A180,DB_Customers!$A:$D,4,0),"❌ Account Not Found"))</f>
        <v/>
      </c>
      <c r="C180" s="89" t="str">
        <f>IF(A180="","",IFERROR(VLOOKUP(A180,DB_Customers!$A:$N,14,0),""))</f>
        <v/>
      </c>
      <c r="D180" s="90" t="str">
        <f t="shared" ca="1" si="15"/>
        <v/>
      </c>
      <c r="E180" s="82"/>
      <c r="F180" s="91" t="str">
        <f t="shared" si="16"/>
        <v/>
      </c>
      <c r="G180" s="27"/>
      <c r="H180" s="84"/>
      <c r="I180" s="92" t="str">
        <f>IF(A180="","Pending",IF(H180="","⚠️ Enter Code",IF(IFERROR(VLOOKUP(G180,DB_Agents!$B:$I,8,0),"")=H180,IF(AND(A180&lt;&gt;"",E180&lt;&gt;""),"Saved","Pending"),"🔒 BLOCKED — Wrong Code")))</f>
        <v>Pending</v>
      </c>
      <c r="J180" s="93" t="str">
        <f t="shared" ca="1" si="17"/>
        <v>—</v>
      </c>
      <c r="K180" s="94"/>
    </row>
    <row r="181" spans="1:11" x14ac:dyDescent="0.25">
      <c r="A181" s="79"/>
      <c r="B181" s="21" t="str">
        <f>IF(A181="","",IFERROR(VLOOKUP(A181,DB_Customers!$A:$D,4,0),"❌ Account Not Found"))</f>
        <v/>
      </c>
      <c r="C181" s="80" t="str">
        <f>IF(A181="","",IFERROR(VLOOKUP(A181,DB_Customers!$A:$N,14,0),""))</f>
        <v/>
      </c>
      <c r="D181" s="81" t="str">
        <f t="shared" ca="1" si="15"/>
        <v/>
      </c>
      <c r="E181" s="82"/>
      <c r="F181" s="83" t="str">
        <f t="shared" si="16"/>
        <v/>
      </c>
      <c r="G181" s="23"/>
      <c r="H181" s="84"/>
      <c r="I181" s="85" t="str">
        <f>IF(A181="","Pending",IF(H181="","⚠️ Enter Code",IF(IFERROR(VLOOKUP(G181,DB_Agents!$B:$I,8,0),"")=H181,IF(AND(A181&lt;&gt;"",E181&lt;&gt;""),"Saved","Pending"),"🔒 BLOCKED — Wrong Code")))</f>
        <v>Pending</v>
      </c>
      <c r="J181" s="86" t="str">
        <f t="shared" ca="1" si="17"/>
        <v>—</v>
      </c>
      <c r="K181" s="87"/>
    </row>
    <row r="182" spans="1:11" x14ac:dyDescent="0.25">
      <c r="A182" s="88"/>
      <c r="B182" s="25" t="str">
        <f>IF(A182="","",IFERROR(VLOOKUP(A182,DB_Customers!$A:$D,4,0),"❌ Account Not Found"))</f>
        <v/>
      </c>
      <c r="C182" s="89" t="str">
        <f>IF(A182="","",IFERROR(VLOOKUP(A182,DB_Customers!$A:$N,14,0),""))</f>
        <v/>
      </c>
      <c r="D182" s="90" t="str">
        <f t="shared" ca="1" si="15"/>
        <v/>
      </c>
      <c r="E182" s="82"/>
      <c r="F182" s="91" t="str">
        <f t="shared" si="16"/>
        <v/>
      </c>
      <c r="G182" s="27"/>
      <c r="H182" s="84"/>
      <c r="I182" s="92" t="str">
        <f>IF(A182="","Pending",IF(H182="","⚠️ Enter Code",IF(IFERROR(VLOOKUP(G182,DB_Agents!$B:$I,8,0),"")=H182,IF(AND(A182&lt;&gt;"",E182&lt;&gt;""),"Saved","Pending"),"🔒 BLOCKED — Wrong Code")))</f>
        <v>Pending</v>
      </c>
      <c r="J182" s="93" t="str">
        <f t="shared" ca="1" si="17"/>
        <v>—</v>
      </c>
      <c r="K182" s="94"/>
    </row>
    <row r="183" spans="1:11" x14ac:dyDescent="0.25">
      <c r="A183" s="79"/>
      <c r="B183" s="21" t="str">
        <f>IF(A183="","",IFERROR(VLOOKUP(A183,DB_Customers!$A:$D,4,0),"❌ Account Not Found"))</f>
        <v/>
      </c>
      <c r="C183" s="80" t="str">
        <f>IF(A183="","",IFERROR(VLOOKUP(A183,DB_Customers!$A:$N,14,0),""))</f>
        <v/>
      </c>
      <c r="D183" s="81" t="str">
        <f t="shared" ca="1" si="15"/>
        <v/>
      </c>
      <c r="E183" s="82"/>
      <c r="F183" s="83" t="str">
        <f t="shared" si="16"/>
        <v/>
      </c>
      <c r="G183" s="23"/>
      <c r="H183" s="84"/>
      <c r="I183" s="85" t="str">
        <f>IF(A183="","Pending",IF(H183="","⚠️ Enter Code",IF(IFERROR(VLOOKUP(G183,DB_Agents!$B:$I,8,0),"")=H183,IF(AND(A183&lt;&gt;"",E183&lt;&gt;""),"Saved","Pending"),"🔒 BLOCKED — Wrong Code")))</f>
        <v>Pending</v>
      </c>
      <c r="J183" s="86" t="str">
        <f t="shared" ca="1" si="17"/>
        <v>—</v>
      </c>
      <c r="K183" s="87"/>
    </row>
    <row r="184" spans="1:11" x14ac:dyDescent="0.25">
      <c r="A184" s="88"/>
      <c r="B184" s="25" t="str">
        <f>IF(A184="","",IFERROR(VLOOKUP(A184,DB_Customers!$A:$D,4,0),"❌ Account Not Found"))</f>
        <v/>
      </c>
      <c r="C184" s="89" t="str">
        <f>IF(A184="","",IFERROR(VLOOKUP(A184,DB_Customers!$A:$N,14,0),""))</f>
        <v/>
      </c>
      <c r="D184" s="90" t="str">
        <f t="shared" ca="1" si="15"/>
        <v/>
      </c>
      <c r="E184" s="82"/>
      <c r="F184" s="91" t="str">
        <f t="shared" si="16"/>
        <v/>
      </c>
      <c r="G184" s="27"/>
      <c r="H184" s="84"/>
      <c r="I184" s="92" t="str">
        <f>IF(A184="","Pending",IF(H184="","⚠️ Enter Code",IF(IFERROR(VLOOKUP(G184,DB_Agents!$B:$I,8,0),"")=H184,IF(AND(A184&lt;&gt;"",E184&lt;&gt;""),"Saved","Pending"),"🔒 BLOCKED — Wrong Code")))</f>
        <v>Pending</v>
      </c>
      <c r="J184" s="93" t="str">
        <f t="shared" ca="1" si="17"/>
        <v>—</v>
      </c>
      <c r="K184" s="94"/>
    </row>
    <row r="185" spans="1:11" x14ac:dyDescent="0.25">
      <c r="A185" s="79"/>
      <c r="B185" s="21" t="str">
        <f>IF(A185="","",IFERROR(VLOOKUP(A185,DB_Customers!$A:$D,4,0),"❌ Account Not Found"))</f>
        <v/>
      </c>
      <c r="C185" s="80" t="str">
        <f>IF(A185="","",IFERROR(VLOOKUP(A185,DB_Customers!$A:$N,14,0),""))</f>
        <v/>
      </c>
      <c r="D185" s="81" t="str">
        <f t="shared" ca="1" si="15"/>
        <v/>
      </c>
      <c r="E185" s="82"/>
      <c r="F185" s="83" t="str">
        <f t="shared" si="16"/>
        <v/>
      </c>
      <c r="G185" s="23"/>
      <c r="H185" s="84"/>
      <c r="I185" s="85" t="str">
        <f>IF(A185="","Pending",IF(H185="","⚠️ Enter Code",IF(IFERROR(VLOOKUP(G185,DB_Agents!$B:$I,8,0),"")=H185,IF(AND(A185&lt;&gt;"",E185&lt;&gt;""),"Saved","Pending"),"🔒 BLOCKED — Wrong Code")))</f>
        <v>Pending</v>
      </c>
      <c r="J185" s="86" t="str">
        <f t="shared" ca="1" si="17"/>
        <v>—</v>
      </c>
      <c r="K185" s="87"/>
    </row>
    <row r="186" spans="1:11" x14ac:dyDescent="0.25">
      <c r="A186" s="88"/>
      <c r="B186" s="25" t="str">
        <f>IF(A186="","",IFERROR(VLOOKUP(A186,DB_Customers!$A:$D,4,0),"❌ Account Not Found"))</f>
        <v/>
      </c>
      <c r="C186" s="89" t="str">
        <f>IF(A186="","",IFERROR(VLOOKUP(A186,DB_Customers!$A:$N,14,0),""))</f>
        <v/>
      </c>
      <c r="D186" s="90" t="str">
        <f t="shared" ca="1" si="15"/>
        <v/>
      </c>
      <c r="E186" s="82"/>
      <c r="F186" s="91" t="str">
        <f t="shared" si="16"/>
        <v/>
      </c>
      <c r="G186" s="27"/>
      <c r="H186" s="84"/>
      <c r="I186" s="92" t="str">
        <f>IF(A186="","Pending",IF(H186="","⚠️ Enter Code",IF(IFERROR(VLOOKUP(G186,DB_Agents!$B:$I,8,0),"")=H186,IF(AND(A186&lt;&gt;"",E186&lt;&gt;""),"Saved","Pending"),"🔒 BLOCKED — Wrong Code")))</f>
        <v>Pending</v>
      </c>
      <c r="J186" s="93" t="str">
        <f t="shared" ca="1" si="17"/>
        <v>—</v>
      </c>
      <c r="K186" s="94"/>
    </row>
    <row r="187" spans="1:11" x14ac:dyDescent="0.25">
      <c r="A187" s="79"/>
      <c r="B187" s="21" t="str">
        <f>IF(A187="","",IFERROR(VLOOKUP(A187,DB_Customers!$A:$D,4,0),"❌ Account Not Found"))</f>
        <v/>
      </c>
      <c r="C187" s="80" t="str">
        <f>IF(A187="","",IFERROR(VLOOKUP(A187,DB_Customers!$A:$N,14,0),""))</f>
        <v/>
      </c>
      <c r="D187" s="81" t="str">
        <f t="shared" ca="1" si="15"/>
        <v/>
      </c>
      <c r="E187" s="82"/>
      <c r="F187" s="83" t="str">
        <f t="shared" si="16"/>
        <v/>
      </c>
      <c r="G187" s="23"/>
      <c r="H187" s="84"/>
      <c r="I187" s="85" t="str">
        <f>IF(A187="","Pending",IF(H187="","⚠️ Enter Code",IF(IFERROR(VLOOKUP(G187,DB_Agents!$B:$I,8,0),"")=H187,IF(AND(A187&lt;&gt;"",E187&lt;&gt;""),"Saved","Pending"),"🔒 BLOCKED — Wrong Code")))</f>
        <v>Pending</v>
      </c>
      <c r="J187" s="86" t="str">
        <f t="shared" ca="1" si="17"/>
        <v>—</v>
      </c>
      <c r="K187" s="87"/>
    </row>
    <row r="188" spans="1:11" x14ac:dyDescent="0.25">
      <c r="A188" s="88"/>
      <c r="B188" s="25" t="str">
        <f>IF(A188="","",IFERROR(VLOOKUP(A188,DB_Customers!$A:$D,4,0),"❌ Account Not Found"))</f>
        <v/>
      </c>
      <c r="C188" s="89" t="str">
        <f>IF(A188="","",IFERROR(VLOOKUP(A188,DB_Customers!$A:$N,14,0),""))</f>
        <v/>
      </c>
      <c r="D188" s="90" t="str">
        <f t="shared" ca="1" si="15"/>
        <v/>
      </c>
      <c r="E188" s="82"/>
      <c r="F188" s="91" t="str">
        <f t="shared" si="16"/>
        <v/>
      </c>
      <c r="G188" s="27"/>
      <c r="H188" s="84"/>
      <c r="I188" s="92" t="str">
        <f>IF(A188="","Pending",IF(H188="","⚠️ Enter Code",IF(IFERROR(VLOOKUP(G188,DB_Agents!$B:$I,8,0),"")=H188,IF(AND(A188&lt;&gt;"",E188&lt;&gt;""),"Saved","Pending"),"🔒 BLOCKED — Wrong Code")))</f>
        <v>Pending</v>
      </c>
      <c r="J188" s="93" t="str">
        <f t="shared" ca="1" si="17"/>
        <v>—</v>
      </c>
      <c r="K188" s="94"/>
    </row>
    <row r="189" spans="1:11" x14ac:dyDescent="0.25">
      <c r="A189" s="79"/>
      <c r="B189" s="21" t="str">
        <f>IF(A189="","",IFERROR(VLOOKUP(A189,DB_Customers!$A:$D,4,0),"❌ Account Not Found"))</f>
        <v/>
      </c>
      <c r="C189" s="80" t="str">
        <f>IF(A189="","",IFERROR(VLOOKUP(A189,DB_Customers!$A:$N,14,0),""))</f>
        <v/>
      </c>
      <c r="D189" s="81" t="str">
        <f t="shared" ca="1" si="15"/>
        <v/>
      </c>
      <c r="E189" s="82"/>
      <c r="F189" s="83" t="str">
        <f t="shared" si="16"/>
        <v/>
      </c>
      <c r="G189" s="23"/>
      <c r="H189" s="84"/>
      <c r="I189" s="85" t="str">
        <f>IF(A189="","Pending",IF(H189="","⚠️ Enter Code",IF(IFERROR(VLOOKUP(G189,DB_Agents!$B:$I,8,0),"")=H189,IF(AND(A189&lt;&gt;"",E189&lt;&gt;""),"Saved","Pending"),"🔒 BLOCKED — Wrong Code")))</f>
        <v>Pending</v>
      </c>
      <c r="J189" s="86" t="str">
        <f t="shared" ca="1" si="17"/>
        <v>—</v>
      </c>
      <c r="K189" s="87"/>
    </row>
    <row r="190" spans="1:11" x14ac:dyDescent="0.25">
      <c r="A190" s="88"/>
      <c r="B190" s="25" t="str">
        <f>IF(A190="","",IFERROR(VLOOKUP(A190,DB_Customers!$A:$D,4,0),"❌ Account Not Found"))</f>
        <v/>
      </c>
      <c r="C190" s="89" t="str">
        <f>IF(A190="","",IFERROR(VLOOKUP(A190,DB_Customers!$A:$N,14,0),""))</f>
        <v/>
      </c>
      <c r="D190" s="90" t="str">
        <f t="shared" ca="1" si="15"/>
        <v/>
      </c>
      <c r="E190" s="82"/>
      <c r="F190" s="91" t="str">
        <f t="shared" si="16"/>
        <v/>
      </c>
      <c r="G190" s="27"/>
      <c r="H190" s="84"/>
      <c r="I190" s="92" t="str">
        <f>IF(A190="","Pending",IF(H190="","⚠️ Enter Code",IF(IFERROR(VLOOKUP(G190,DB_Agents!$B:$I,8,0),"")=H190,IF(AND(A190&lt;&gt;"",E190&lt;&gt;""),"Saved","Pending"),"🔒 BLOCKED — Wrong Code")))</f>
        <v>Pending</v>
      </c>
      <c r="J190" s="93" t="str">
        <f t="shared" ca="1" si="17"/>
        <v>—</v>
      </c>
      <c r="K190" s="94"/>
    </row>
    <row r="191" spans="1:11" x14ac:dyDescent="0.25">
      <c r="A191" s="79"/>
      <c r="B191" s="21" t="str">
        <f>IF(A191="","",IFERROR(VLOOKUP(A191,DB_Customers!$A:$D,4,0),"❌ Account Not Found"))</f>
        <v/>
      </c>
      <c r="C191" s="80" t="str">
        <f>IF(A191="","",IFERROR(VLOOKUP(A191,DB_Customers!$A:$N,14,0),""))</f>
        <v/>
      </c>
      <c r="D191" s="81" t="str">
        <f t="shared" ca="1" si="15"/>
        <v/>
      </c>
      <c r="E191" s="82"/>
      <c r="F191" s="83" t="str">
        <f t="shared" si="16"/>
        <v/>
      </c>
      <c r="G191" s="23"/>
      <c r="H191" s="84"/>
      <c r="I191" s="85" t="str">
        <f>IF(A191="","Pending",IF(H191="","⚠️ Enter Code",IF(IFERROR(VLOOKUP(G191,DB_Agents!$B:$I,8,0),"")=H191,IF(AND(A191&lt;&gt;"",E191&lt;&gt;""),"Saved","Pending"),"🔒 BLOCKED — Wrong Code")))</f>
        <v>Pending</v>
      </c>
      <c r="J191" s="86" t="str">
        <f t="shared" ca="1" si="17"/>
        <v>—</v>
      </c>
      <c r="K191" s="87"/>
    </row>
    <row r="192" spans="1:11" x14ac:dyDescent="0.25">
      <c r="A192" s="88"/>
      <c r="B192" s="25" t="str">
        <f>IF(A192="","",IFERROR(VLOOKUP(A192,DB_Customers!$A:$D,4,0),"❌ Account Not Found"))</f>
        <v/>
      </c>
      <c r="C192" s="89" t="str">
        <f>IF(A192="","",IFERROR(VLOOKUP(A192,DB_Customers!$A:$N,14,0),""))</f>
        <v/>
      </c>
      <c r="D192" s="90" t="str">
        <f t="shared" ca="1" si="15"/>
        <v/>
      </c>
      <c r="E192" s="82"/>
      <c r="F192" s="91" t="str">
        <f t="shared" si="16"/>
        <v/>
      </c>
      <c r="G192" s="27"/>
      <c r="H192" s="84"/>
      <c r="I192" s="92" t="str">
        <f>IF(A192="","Pending",IF(H192="","⚠️ Enter Code",IF(IFERROR(VLOOKUP(G192,DB_Agents!$B:$I,8,0),"")=H192,IF(AND(A192&lt;&gt;"",E192&lt;&gt;""),"Saved","Pending"),"🔒 BLOCKED — Wrong Code")))</f>
        <v>Pending</v>
      </c>
      <c r="J192" s="93" t="str">
        <f t="shared" ca="1" si="17"/>
        <v>—</v>
      </c>
      <c r="K192" s="94"/>
    </row>
    <row r="193" spans="1:11" x14ac:dyDescent="0.25">
      <c r="A193" s="79"/>
      <c r="B193" s="21" t="str">
        <f>IF(A193="","",IFERROR(VLOOKUP(A193,DB_Customers!$A:$D,4,0),"❌ Account Not Found"))</f>
        <v/>
      </c>
      <c r="C193" s="80" t="str">
        <f>IF(A193="","",IFERROR(VLOOKUP(A193,DB_Customers!$A:$N,14,0),""))</f>
        <v/>
      </c>
      <c r="D193" s="81" t="str">
        <f t="shared" ca="1" si="15"/>
        <v/>
      </c>
      <c r="E193" s="82"/>
      <c r="F193" s="83" t="str">
        <f t="shared" si="16"/>
        <v/>
      </c>
      <c r="G193" s="23"/>
      <c r="H193" s="84"/>
      <c r="I193" s="85" t="str">
        <f>IF(A193="","Pending",IF(H193="","⚠️ Enter Code",IF(IFERROR(VLOOKUP(G193,DB_Agents!$B:$I,8,0),"")=H193,IF(AND(A193&lt;&gt;"",E193&lt;&gt;""),"Saved","Pending"),"🔒 BLOCKED — Wrong Code")))</f>
        <v>Pending</v>
      </c>
      <c r="J193" s="86" t="str">
        <f t="shared" ca="1" si="17"/>
        <v>—</v>
      </c>
      <c r="K193" s="87"/>
    </row>
    <row r="194" spans="1:11" x14ac:dyDescent="0.25">
      <c r="A194" s="88"/>
      <c r="B194" s="25" t="str">
        <f>IF(A194="","",IFERROR(VLOOKUP(A194,DB_Customers!$A:$D,4,0),"❌ Account Not Found"))</f>
        <v/>
      </c>
      <c r="C194" s="89" t="str">
        <f>IF(A194="","",IFERROR(VLOOKUP(A194,DB_Customers!$A:$N,14,0),""))</f>
        <v/>
      </c>
      <c r="D194" s="90" t="str">
        <f t="shared" ca="1" si="15"/>
        <v/>
      </c>
      <c r="E194" s="82"/>
      <c r="F194" s="91" t="str">
        <f t="shared" si="16"/>
        <v/>
      </c>
      <c r="G194" s="27"/>
      <c r="H194" s="84"/>
      <c r="I194" s="92" t="str">
        <f>IF(A194="","Pending",IF(H194="","⚠️ Enter Code",IF(IFERROR(VLOOKUP(G194,DB_Agents!$B:$I,8,0),"")=H194,IF(AND(A194&lt;&gt;"",E194&lt;&gt;""),"Saved","Pending"),"🔒 BLOCKED — Wrong Code")))</f>
        <v>Pending</v>
      </c>
      <c r="J194" s="93" t="str">
        <f t="shared" ca="1" si="17"/>
        <v>—</v>
      </c>
      <c r="K194" s="94"/>
    </row>
    <row r="195" spans="1:11" x14ac:dyDescent="0.25">
      <c r="A195" s="79"/>
      <c r="B195" s="21" t="str">
        <f>IF(A195="","",IFERROR(VLOOKUP(A195,DB_Customers!$A:$D,4,0),"❌ Account Not Found"))</f>
        <v/>
      </c>
      <c r="C195" s="80" t="str">
        <f>IF(A195="","",IFERROR(VLOOKUP(A195,DB_Customers!$A:$N,14,0),""))</f>
        <v/>
      </c>
      <c r="D195" s="81" t="str">
        <f t="shared" ca="1" si="15"/>
        <v/>
      </c>
      <c r="E195" s="82"/>
      <c r="F195" s="83" t="str">
        <f t="shared" si="16"/>
        <v/>
      </c>
      <c r="G195" s="23"/>
      <c r="H195" s="84"/>
      <c r="I195" s="85" t="str">
        <f>IF(A195="","Pending",IF(H195="","⚠️ Enter Code",IF(IFERROR(VLOOKUP(G195,DB_Agents!$B:$I,8,0),"")=H195,IF(AND(A195&lt;&gt;"",E195&lt;&gt;""),"Saved","Pending"),"🔒 BLOCKED — Wrong Code")))</f>
        <v>Pending</v>
      </c>
      <c r="J195" s="86" t="str">
        <f t="shared" ca="1" si="17"/>
        <v>—</v>
      </c>
      <c r="K195" s="87"/>
    </row>
    <row r="196" spans="1:11" x14ac:dyDescent="0.25">
      <c r="A196" s="88"/>
      <c r="B196" s="25" t="str">
        <f>IF(A196="","",IFERROR(VLOOKUP(A196,DB_Customers!$A:$D,4,0),"❌ Account Not Found"))</f>
        <v/>
      </c>
      <c r="C196" s="89" t="str">
        <f>IF(A196="","",IFERROR(VLOOKUP(A196,DB_Customers!$A:$N,14,0),""))</f>
        <v/>
      </c>
      <c r="D196" s="90" t="str">
        <f t="shared" ca="1" si="15"/>
        <v/>
      </c>
      <c r="E196" s="82"/>
      <c r="F196" s="91" t="str">
        <f t="shared" si="16"/>
        <v/>
      </c>
      <c r="G196" s="27"/>
      <c r="H196" s="84"/>
      <c r="I196" s="92" t="str">
        <f>IF(A196="","Pending",IF(H196="","⚠️ Enter Code",IF(IFERROR(VLOOKUP(G196,DB_Agents!$B:$I,8,0),"")=H196,IF(AND(A196&lt;&gt;"",E196&lt;&gt;""),"Saved","Pending"),"🔒 BLOCKED — Wrong Code")))</f>
        <v>Pending</v>
      </c>
      <c r="J196" s="93" t="str">
        <f t="shared" ca="1" si="17"/>
        <v>—</v>
      </c>
      <c r="K196" s="94"/>
    </row>
    <row r="197" spans="1:11" x14ac:dyDescent="0.25">
      <c r="A197" s="79"/>
      <c r="B197" s="21" t="str">
        <f>IF(A197="","",IFERROR(VLOOKUP(A197,DB_Customers!$A:$D,4,0),"❌ Account Not Found"))</f>
        <v/>
      </c>
      <c r="C197" s="80" t="str">
        <f>IF(A197="","",IFERROR(VLOOKUP(A197,DB_Customers!$A:$N,14,0),""))</f>
        <v/>
      </c>
      <c r="D197" s="81" t="str">
        <f t="shared" ca="1" si="15"/>
        <v/>
      </c>
      <c r="E197" s="82"/>
      <c r="F197" s="83" t="str">
        <f t="shared" si="16"/>
        <v/>
      </c>
      <c r="G197" s="23"/>
      <c r="H197" s="84"/>
      <c r="I197" s="85" t="str">
        <f>IF(A197="","Pending",IF(H197="","⚠️ Enter Code",IF(IFERROR(VLOOKUP(G197,DB_Agents!$B:$I,8,0),"")=H197,IF(AND(A197&lt;&gt;"",E197&lt;&gt;""),"Saved","Pending"),"🔒 BLOCKED — Wrong Code")))</f>
        <v>Pending</v>
      </c>
      <c r="J197" s="86" t="str">
        <f t="shared" ca="1" si="17"/>
        <v>—</v>
      </c>
      <c r="K197" s="87"/>
    </row>
    <row r="198" spans="1:11" x14ac:dyDescent="0.25">
      <c r="A198" s="88"/>
      <c r="B198" s="25" t="str">
        <f>IF(A198="","",IFERROR(VLOOKUP(A198,DB_Customers!$A:$D,4,0),"❌ Account Not Found"))</f>
        <v/>
      </c>
      <c r="C198" s="89" t="str">
        <f>IF(A198="","",IFERROR(VLOOKUP(A198,DB_Customers!$A:$N,14,0),""))</f>
        <v/>
      </c>
      <c r="D198" s="90" t="str">
        <f t="shared" ca="1" si="15"/>
        <v/>
      </c>
      <c r="E198" s="82"/>
      <c r="F198" s="91" t="str">
        <f t="shared" si="16"/>
        <v/>
      </c>
      <c r="G198" s="27"/>
      <c r="H198" s="84"/>
      <c r="I198" s="92" t="str">
        <f>IF(A198="","Pending",IF(H198="","⚠️ Enter Code",IF(IFERROR(VLOOKUP(G198,DB_Agents!$B:$I,8,0),"")=H198,IF(AND(A198&lt;&gt;"",E198&lt;&gt;""),"Saved","Pending"),"🔒 BLOCKED — Wrong Code")))</f>
        <v>Pending</v>
      </c>
      <c r="J198" s="93" t="str">
        <f t="shared" ca="1" si="17"/>
        <v>—</v>
      </c>
      <c r="K198" s="94"/>
    </row>
    <row r="199" spans="1:11" x14ac:dyDescent="0.25">
      <c r="A199" s="79"/>
      <c r="B199" s="21" t="str">
        <f>IF(A199="","",IFERROR(VLOOKUP(A199,DB_Customers!$A:$D,4,0),"❌ Account Not Found"))</f>
        <v/>
      </c>
      <c r="C199" s="80" t="str">
        <f>IF(A199="","",IFERROR(VLOOKUP(A199,DB_Customers!$A:$N,14,0),""))</f>
        <v/>
      </c>
      <c r="D199" s="81" t="str">
        <f t="shared" ca="1" si="15"/>
        <v/>
      </c>
      <c r="E199" s="82"/>
      <c r="F199" s="83" t="str">
        <f t="shared" si="16"/>
        <v/>
      </c>
      <c r="G199" s="23"/>
      <c r="H199" s="84"/>
      <c r="I199" s="85" t="str">
        <f>IF(A199="","Pending",IF(H199="","⚠️ Enter Code",IF(IFERROR(VLOOKUP(G199,DB_Agents!$B:$I,8,0),"")=H199,IF(AND(A199&lt;&gt;"",E199&lt;&gt;""),"Saved","Pending"),"🔒 BLOCKED — Wrong Code")))</f>
        <v>Pending</v>
      </c>
      <c r="J199" s="86" t="str">
        <f t="shared" ca="1" si="17"/>
        <v>—</v>
      </c>
      <c r="K199" s="87"/>
    </row>
    <row r="200" spans="1:11" x14ac:dyDescent="0.25">
      <c r="A200" s="88"/>
      <c r="B200" s="25" t="str">
        <f>IF(A200="","",IFERROR(VLOOKUP(A200,DB_Customers!$A:$D,4,0),"❌ Account Not Found"))</f>
        <v/>
      </c>
      <c r="C200" s="89" t="str">
        <f>IF(A200="","",IFERROR(VLOOKUP(A200,DB_Customers!$A:$N,14,0),""))</f>
        <v/>
      </c>
      <c r="D200" s="90" t="str">
        <f t="shared" ca="1" si="15"/>
        <v/>
      </c>
      <c r="E200" s="82"/>
      <c r="F200" s="91" t="str">
        <f t="shared" si="16"/>
        <v/>
      </c>
      <c r="G200" s="27"/>
      <c r="H200" s="84"/>
      <c r="I200" s="92" t="str">
        <f>IF(A200="","Pending",IF(H200="","⚠️ Enter Code",IF(IFERROR(VLOOKUP(G200,DB_Agents!$B:$I,8,0),"")=H200,IF(AND(A200&lt;&gt;"",E200&lt;&gt;""),"Saved","Pending"),"🔒 BLOCKED — Wrong Code")))</f>
        <v>Pending</v>
      </c>
      <c r="J200" s="93" t="str">
        <f t="shared" ca="1" si="17"/>
        <v>—</v>
      </c>
      <c r="K200" s="94"/>
    </row>
    <row r="201" spans="1:11" x14ac:dyDescent="0.25">
      <c r="A201" s="79"/>
      <c r="B201" s="21" t="str">
        <f>IF(A201="","",IFERROR(VLOOKUP(A201,DB_Customers!$A:$D,4,0),"❌ Account Not Found"))</f>
        <v/>
      </c>
      <c r="C201" s="80" t="str">
        <f>IF(A201="","",IFERROR(VLOOKUP(A201,DB_Customers!$A:$N,14,0),""))</f>
        <v/>
      </c>
      <c r="D201" s="81" t="str">
        <f t="shared" ref="D201:D208" ca="1" si="18">IF(A201="","",TODAY())</f>
        <v/>
      </c>
      <c r="E201" s="82"/>
      <c r="F201" s="83" t="str">
        <f t="shared" ref="F201:F232" si="19">IF(OR(A201="",E201=""),"",IF(C201="","",C201+E201))</f>
        <v/>
      </c>
      <c r="G201" s="23"/>
      <c r="H201" s="84"/>
      <c r="I201" s="85" t="str">
        <f>IF(A201="","Pending",IF(H201="","⚠️ Enter Code",IF(IFERROR(VLOOKUP(G201,DB_Agents!$B:$I,8,0),"")=H201,IF(AND(A201&lt;&gt;"",E201&lt;&gt;""),"Saved","Pending"),"🔒 BLOCKED — Wrong Code")))</f>
        <v>Pending</v>
      </c>
      <c r="J201" s="86" t="str">
        <f t="shared" ref="J201:J232" ca="1" si="20">IF(I201="Saved",TEXT(TODAY(),"YYYY-MM-DD")&amp;" Auto","—")</f>
        <v>—</v>
      </c>
      <c r="K201" s="87"/>
    </row>
    <row r="202" spans="1:11" x14ac:dyDescent="0.25">
      <c r="A202" s="88"/>
      <c r="B202" s="25" t="str">
        <f>IF(A202="","",IFERROR(VLOOKUP(A202,DB_Customers!$A:$D,4,0),"❌ Account Not Found"))</f>
        <v/>
      </c>
      <c r="C202" s="89" t="str">
        <f>IF(A202="","",IFERROR(VLOOKUP(A202,DB_Customers!$A:$N,14,0),""))</f>
        <v/>
      </c>
      <c r="D202" s="90" t="str">
        <f t="shared" ca="1" si="18"/>
        <v/>
      </c>
      <c r="E202" s="82"/>
      <c r="F202" s="91" t="str">
        <f t="shared" si="19"/>
        <v/>
      </c>
      <c r="G202" s="27"/>
      <c r="H202" s="84"/>
      <c r="I202" s="92" t="str">
        <f>IF(A202="","Pending",IF(H202="","⚠️ Enter Code",IF(IFERROR(VLOOKUP(G202,DB_Agents!$B:$I,8,0),"")=H202,IF(AND(A202&lt;&gt;"",E202&lt;&gt;""),"Saved","Pending"),"🔒 BLOCKED — Wrong Code")))</f>
        <v>Pending</v>
      </c>
      <c r="J202" s="93" t="str">
        <f t="shared" ca="1" si="20"/>
        <v>—</v>
      </c>
      <c r="K202" s="94"/>
    </row>
    <row r="203" spans="1:11" x14ac:dyDescent="0.25">
      <c r="A203" s="79"/>
      <c r="B203" s="21" t="str">
        <f>IF(A203="","",IFERROR(VLOOKUP(A203,DB_Customers!$A:$D,4,0),"❌ Account Not Found"))</f>
        <v/>
      </c>
      <c r="C203" s="80" t="str">
        <f>IF(A203="","",IFERROR(VLOOKUP(A203,DB_Customers!$A:$N,14,0),""))</f>
        <v/>
      </c>
      <c r="D203" s="81" t="str">
        <f t="shared" ca="1" si="18"/>
        <v/>
      </c>
      <c r="E203" s="82"/>
      <c r="F203" s="83" t="str">
        <f t="shared" si="19"/>
        <v/>
      </c>
      <c r="G203" s="23"/>
      <c r="H203" s="84"/>
      <c r="I203" s="85" t="str">
        <f>IF(A203="","Pending",IF(H203="","⚠️ Enter Code",IF(IFERROR(VLOOKUP(G203,DB_Agents!$B:$I,8,0),"")=H203,IF(AND(A203&lt;&gt;"",E203&lt;&gt;""),"Saved","Pending"),"🔒 BLOCKED — Wrong Code")))</f>
        <v>Pending</v>
      </c>
      <c r="J203" s="86" t="str">
        <f t="shared" ca="1" si="20"/>
        <v>—</v>
      </c>
      <c r="K203" s="87"/>
    </row>
    <row r="204" spans="1:11" x14ac:dyDescent="0.25">
      <c r="A204" s="88"/>
      <c r="B204" s="25" t="str">
        <f>IF(A204="","",IFERROR(VLOOKUP(A204,DB_Customers!$A:$D,4,0),"❌ Account Not Found"))</f>
        <v/>
      </c>
      <c r="C204" s="89" t="str">
        <f>IF(A204="","",IFERROR(VLOOKUP(A204,DB_Customers!$A:$N,14,0),""))</f>
        <v/>
      </c>
      <c r="D204" s="90" t="str">
        <f t="shared" ca="1" si="18"/>
        <v/>
      </c>
      <c r="E204" s="82"/>
      <c r="F204" s="91" t="str">
        <f t="shared" si="19"/>
        <v/>
      </c>
      <c r="G204" s="27"/>
      <c r="H204" s="84"/>
      <c r="I204" s="92" t="str">
        <f>IF(A204="","Pending",IF(H204="","⚠️ Enter Code",IF(IFERROR(VLOOKUP(G204,DB_Agents!$B:$I,8,0),"")=H204,IF(AND(A204&lt;&gt;"",E204&lt;&gt;""),"Saved","Pending"),"🔒 BLOCKED — Wrong Code")))</f>
        <v>Pending</v>
      </c>
      <c r="J204" s="93" t="str">
        <f t="shared" ca="1" si="20"/>
        <v>—</v>
      </c>
      <c r="K204" s="94"/>
    </row>
    <row r="205" spans="1:11" x14ac:dyDescent="0.25">
      <c r="A205" s="79"/>
      <c r="B205" s="21" t="str">
        <f>IF(A205="","",IFERROR(VLOOKUP(A205,DB_Customers!$A:$D,4,0),"❌ Account Not Found"))</f>
        <v/>
      </c>
      <c r="C205" s="80" t="str">
        <f>IF(A205="","",IFERROR(VLOOKUP(A205,DB_Customers!$A:$N,14,0),""))</f>
        <v/>
      </c>
      <c r="D205" s="81" t="str">
        <f t="shared" ca="1" si="18"/>
        <v/>
      </c>
      <c r="E205" s="82"/>
      <c r="F205" s="83" t="str">
        <f t="shared" si="19"/>
        <v/>
      </c>
      <c r="G205" s="23"/>
      <c r="H205" s="84"/>
      <c r="I205" s="85" t="str">
        <f>IF(A205="","Pending",IF(H205="","⚠️ Enter Code",IF(IFERROR(VLOOKUP(G205,DB_Agents!$B:$I,8,0),"")=H205,IF(AND(A205&lt;&gt;"",E205&lt;&gt;""),"Saved","Pending"),"🔒 BLOCKED — Wrong Code")))</f>
        <v>Pending</v>
      </c>
      <c r="J205" s="86" t="str">
        <f t="shared" ca="1" si="20"/>
        <v>—</v>
      </c>
      <c r="K205" s="87"/>
    </row>
    <row r="206" spans="1:11" x14ac:dyDescent="0.25">
      <c r="A206" s="88"/>
      <c r="B206" s="25" t="str">
        <f>IF(A206="","",IFERROR(VLOOKUP(A206,DB_Customers!$A:$D,4,0),"❌ Account Not Found"))</f>
        <v/>
      </c>
      <c r="C206" s="89" t="str">
        <f>IF(A206="","",IFERROR(VLOOKUP(A206,DB_Customers!$A:$N,14,0),""))</f>
        <v/>
      </c>
      <c r="D206" s="90" t="str">
        <f t="shared" ca="1" si="18"/>
        <v/>
      </c>
      <c r="E206" s="82"/>
      <c r="F206" s="91" t="str">
        <f t="shared" si="19"/>
        <v/>
      </c>
      <c r="G206" s="27"/>
      <c r="H206" s="84"/>
      <c r="I206" s="92" t="str">
        <f>IF(A206="","Pending",IF(H206="","⚠️ Enter Code",IF(IFERROR(VLOOKUP(G206,DB_Agents!$B:$I,8,0),"")=H206,IF(AND(A206&lt;&gt;"",E206&lt;&gt;""),"Saved","Pending"),"🔒 BLOCKED — Wrong Code")))</f>
        <v>Pending</v>
      </c>
      <c r="J206" s="93" t="str">
        <f t="shared" ca="1" si="20"/>
        <v>—</v>
      </c>
      <c r="K206" s="94"/>
    </row>
    <row r="207" spans="1:11" x14ac:dyDescent="0.25">
      <c r="A207" s="79"/>
      <c r="B207" s="21" t="str">
        <f>IF(A207="","",IFERROR(VLOOKUP(A207,DB_Customers!$A:$D,4,0),"❌ Account Not Found"))</f>
        <v/>
      </c>
      <c r="C207" s="80" t="str">
        <f>IF(A207="","",IFERROR(VLOOKUP(A207,DB_Customers!$A:$N,14,0),""))</f>
        <v/>
      </c>
      <c r="D207" s="81" t="str">
        <f t="shared" ca="1" si="18"/>
        <v/>
      </c>
      <c r="E207" s="82"/>
      <c r="F207" s="83" t="str">
        <f t="shared" si="19"/>
        <v/>
      </c>
      <c r="G207" s="23"/>
      <c r="H207" s="84"/>
      <c r="I207" s="85" t="str">
        <f>IF(A207="","Pending",IF(H207="","⚠️ Enter Code",IF(IFERROR(VLOOKUP(G207,DB_Agents!$B:$I,8,0),"")=H207,IF(AND(A207&lt;&gt;"",E207&lt;&gt;""),"Saved","Pending"),"🔒 BLOCKED — Wrong Code")))</f>
        <v>Pending</v>
      </c>
      <c r="J207" s="86" t="str">
        <f t="shared" ca="1" si="20"/>
        <v>—</v>
      </c>
      <c r="K207" s="87"/>
    </row>
    <row r="208" spans="1:11" x14ac:dyDescent="0.25">
      <c r="A208" s="88"/>
      <c r="B208" s="25" t="str">
        <f>IF(A208="","",IFERROR(VLOOKUP(A208,DB_Customers!$A:$D,4,0),"❌ Account Not Found"))</f>
        <v/>
      </c>
      <c r="C208" s="89" t="str">
        <f>IF(A208="","",IFERROR(VLOOKUP(A208,DB_Customers!$A:$N,14,0),""))</f>
        <v/>
      </c>
      <c r="D208" s="90" t="str">
        <f t="shared" ca="1" si="18"/>
        <v/>
      </c>
      <c r="E208" s="82"/>
      <c r="F208" s="91" t="str">
        <f t="shared" si="19"/>
        <v/>
      </c>
      <c r="G208" s="27"/>
      <c r="H208" s="84"/>
      <c r="I208" s="92" t="str">
        <f>IF(A208="","Pending",IF(H208="","⚠️ Enter Code",IF(IFERROR(VLOOKUP(G208,DB_Agents!$B:$I,8,0),"")=H208,IF(AND(A208&lt;&gt;"",E208&lt;&gt;""),"Saved","Pending"),"🔒 BLOCKED — Wrong Code")))</f>
        <v>Pending</v>
      </c>
      <c r="J208" s="93" t="str">
        <f t="shared" ca="1" si="20"/>
        <v>—</v>
      </c>
      <c r="K208" s="94"/>
    </row>
  </sheetData>
  <mergeCells count="12">
    <mergeCell ref="A7:L7"/>
    <mergeCell ref="A4:C4"/>
    <mergeCell ref="D4:F4"/>
    <mergeCell ref="G4:I4"/>
    <mergeCell ref="J4:L4"/>
    <mergeCell ref="A5:L5"/>
    <mergeCell ref="A1:L1"/>
    <mergeCell ref="A2:L2"/>
    <mergeCell ref="A3:C3"/>
    <mergeCell ref="D3:F3"/>
    <mergeCell ref="G3:I3"/>
    <mergeCell ref="J3:L3"/>
  </mergeCells>
  <conditionalFormatting sqref="H9:H208">
    <cfRule type="cellIs" dxfId="62" priority="2" operator="equal">
      <formula>"Saved"</formula>
    </cfRule>
    <cfRule type="cellIs" dxfId="61" priority="3" operator="equal">
      <formula>"Pending"</formula>
    </cfRule>
  </conditionalFormatting>
  <conditionalFormatting sqref="A9:J208">
    <cfRule type="expression" dxfId="60" priority="4">
      <formula>$H9="Saved"</formula>
    </cfRule>
  </conditionalFormatting>
  <dataValidations count="2">
    <dataValidation type="decimal" operator="greaterThan" showErrorMessage="1" error="Must be &gt; 0" sqref="E9:E208" xr:uid="{00000000-0002-0000-1100-000000000000}">
      <formula1>0</formula1>
      <formula2>0</formula2>
    </dataValidation>
    <dataValidation type="list" sqref="G9:G208" xr:uid="{00000000-0002-0000-11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tabColor rgb="FFC0392B"/>
  </sheetPr>
  <dimension ref="A1:M208"/>
  <sheetViews>
    <sheetView zoomScaleNormal="100" workbookViewId="0">
      <pane ySplit="8" topLeftCell="A9" activePane="bottomLeft" state="frozen"/>
      <selection pane="bottomLeft"/>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5" customWidth="1"/>
    <col min="8" max="8" width="12" customWidth="1"/>
    <col min="9" max="9" width="14" customWidth="1"/>
    <col min="10" max="10" width="22" customWidth="1"/>
    <col min="11" max="11" width="20" customWidth="1"/>
  </cols>
  <sheetData>
    <row r="1" spans="1:13" ht="31.5" customHeight="1" x14ac:dyDescent="0.25">
      <c r="A1" s="210" t="s">
        <v>212</v>
      </c>
      <c r="B1" s="210"/>
      <c r="C1" s="210"/>
      <c r="D1" s="210"/>
      <c r="E1" s="210"/>
      <c r="F1" s="210"/>
      <c r="G1" s="210"/>
      <c r="H1" s="210"/>
      <c r="I1" s="210"/>
      <c r="J1" s="210"/>
      <c r="K1" s="210"/>
      <c r="L1" s="210"/>
      <c r="M1" s="210"/>
    </row>
    <row r="2" spans="1:13" ht="19.5" customHeight="1" x14ac:dyDescent="0.25">
      <c r="A2" s="211" t="s">
        <v>213</v>
      </c>
      <c r="B2" s="211"/>
      <c r="C2" s="211"/>
      <c r="D2" s="211"/>
      <c r="E2" s="211"/>
      <c r="F2" s="211"/>
      <c r="G2" s="211"/>
      <c r="H2" s="211"/>
      <c r="I2" s="211"/>
      <c r="J2" s="211"/>
      <c r="K2" s="211"/>
      <c r="L2" s="211"/>
      <c r="M2" s="211"/>
    </row>
    <row r="3" spans="1:13" ht="18" customHeight="1" x14ac:dyDescent="0.25">
      <c r="A3" s="178" t="s">
        <v>180</v>
      </c>
      <c r="B3" s="178"/>
      <c r="C3" s="178"/>
      <c r="D3" s="177" t="s">
        <v>181</v>
      </c>
      <c r="E3" s="177"/>
      <c r="F3" s="177"/>
      <c r="G3" s="19" t="s">
        <v>182</v>
      </c>
      <c r="K3" s="48" t="s">
        <v>169</v>
      </c>
    </row>
    <row r="4" spans="1:13" ht="27.75" customHeight="1" x14ac:dyDescent="0.25">
      <c r="A4" s="212">
        <f ca="1">SUMIFS(DB_Withdrawals!$G:$G,DB_Withdrawals!$J:$J,"Agent 05",DB_Withdrawals!$F:$F,TODAY())</f>
        <v>0</v>
      </c>
      <c r="B4" s="212"/>
      <c r="C4" s="212"/>
      <c r="D4" s="213">
        <f ca="1">COUNTIFS(DB_Withdrawals!$J:$J,"Agent 05",DB_Withdrawals!$K:$K,"Successful",DB_Withdrawals!$F:$F,TODAY())</f>
        <v>0</v>
      </c>
      <c r="E4" s="213"/>
      <c r="F4" s="213"/>
      <c r="G4" s="95">
        <f ca="1">COUNTIFS(DB_Withdrawals!$J:$J,"Agent 05",DB_Withdrawals!$K:$K,"Unsuccessful",DB_Withdrawals!$F:$F,TODAY())</f>
        <v>0</v>
      </c>
      <c r="K4" s="77" t="str">
        <f ca="1">TEXT(TODAY(),"DD MMM YYYY")</f>
        <v>19 Apr 2026</v>
      </c>
    </row>
    <row r="5" spans="1:13" ht="19.5" customHeight="1" x14ac:dyDescent="0.25">
      <c r="A5" s="214" t="s">
        <v>183</v>
      </c>
      <c r="B5" s="214"/>
      <c r="C5" s="214"/>
      <c r="D5" s="214"/>
      <c r="E5" s="214"/>
      <c r="F5" s="214"/>
      <c r="G5" s="214"/>
      <c r="H5" s="214"/>
      <c r="I5" s="214"/>
      <c r="J5" s="214"/>
      <c r="K5" s="214"/>
      <c r="L5" s="214"/>
      <c r="M5" s="214"/>
    </row>
    <row r="6" spans="1:13" ht="7.5" customHeight="1" x14ac:dyDescent="0.25"/>
    <row r="7" spans="1:13" ht="19.5" customHeight="1" x14ac:dyDescent="0.25">
      <c r="A7" s="215" t="s">
        <v>184</v>
      </c>
      <c r="B7" s="215"/>
      <c r="C7" s="215"/>
      <c r="D7" s="215"/>
      <c r="E7" s="215"/>
      <c r="F7" s="215"/>
      <c r="G7" s="215"/>
      <c r="H7" s="215"/>
      <c r="I7" s="215"/>
      <c r="J7" s="215"/>
      <c r="K7" s="215"/>
      <c r="L7" s="215"/>
      <c r="M7" s="215"/>
    </row>
    <row r="8" spans="1:13" ht="19.5" customHeight="1" x14ac:dyDescent="0.25">
      <c r="A8" s="96" t="s">
        <v>171</v>
      </c>
      <c r="B8" s="96" t="s">
        <v>118</v>
      </c>
      <c r="C8" s="96" t="s">
        <v>185</v>
      </c>
      <c r="D8" s="96" t="s">
        <v>111</v>
      </c>
      <c r="E8" s="96" t="s">
        <v>186</v>
      </c>
      <c r="F8" s="96" t="s">
        <v>187</v>
      </c>
      <c r="G8" s="96" t="s">
        <v>174</v>
      </c>
      <c r="H8" s="96" t="s">
        <v>32</v>
      </c>
      <c r="I8" s="78" t="s">
        <v>175</v>
      </c>
      <c r="J8" s="96" t="s">
        <v>155</v>
      </c>
      <c r="K8" s="96" t="s">
        <v>176</v>
      </c>
      <c r="L8" s="96" t="s">
        <v>177</v>
      </c>
    </row>
    <row r="9" spans="1:13" x14ac:dyDescent="0.25">
      <c r="A9" s="79"/>
      <c r="B9" s="21" t="str">
        <f>IF(A9="","",IFERROR(VLOOKUP(A9,DB_Customers!$A:$D,4,0),"❌ Account Not Found"))</f>
        <v/>
      </c>
      <c r="C9" s="80" t="str">
        <f>IF(A9="","",IFERROR(VLOOKUP(A9,DB_Customers!$A:$N,14,0),""))</f>
        <v/>
      </c>
      <c r="D9" s="81" t="str">
        <f t="shared" ref="D9:D40" ca="1" si="0">IF(A9="","",TODAY())</f>
        <v/>
      </c>
      <c r="E9" s="97"/>
      <c r="F9" s="21"/>
      <c r="G9" s="98" t="str">
        <f t="shared" ref="G9:G40" si="1">IF(OR(A9="",E9=""),"",IF(C9="","",C9-E9))</f>
        <v/>
      </c>
      <c r="H9" s="23" t="s">
        <v>45</v>
      </c>
      <c r="I9" s="84"/>
      <c r="J9" s="85" t="str">
        <f>IF(AND(A9&lt;&gt;"",E9&lt;&gt;""),IF(I9="","⚠️ Enter Code",IF(IFERROR(VLOOKUP(H9,DB_Agents!$B:$I,8,0),"")=I9,IF(C9&gt;=E9,"Successful","Unsuccessful"),"🔒 BLOCKED — Wrong Code")),"—")</f>
        <v>—</v>
      </c>
      <c r="K9" s="86" t="str">
        <f t="shared" ref="K9:K40" ca="1" si="2">IF(J9="Successful",TEXT(TODAY(),"YYYY-MM-DD")&amp;" Auto","—")</f>
        <v>—</v>
      </c>
      <c r="L9" s="87"/>
    </row>
    <row r="10" spans="1:13" x14ac:dyDescent="0.25">
      <c r="A10" s="88"/>
      <c r="B10" s="25" t="str">
        <f>IF(A10="","",IFERROR(VLOOKUP(A10,DB_Customers!$A:$D,4,0),"❌ Account Not Found"))</f>
        <v/>
      </c>
      <c r="C10" s="89" t="str">
        <f>IF(A10="","",IFERROR(VLOOKUP(A10,DB_Customers!$A:$N,14,0),""))</f>
        <v/>
      </c>
      <c r="D10" s="90" t="str">
        <f t="shared" ca="1" si="0"/>
        <v/>
      </c>
      <c r="E10" s="97"/>
      <c r="F10" s="25"/>
      <c r="G10" s="99" t="str">
        <f t="shared" si="1"/>
        <v/>
      </c>
      <c r="H10" s="27" t="s">
        <v>45</v>
      </c>
      <c r="I10" s="84"/>
      <c r="J10" s="92" t="str">
        <f>IF(AND(A10&lt;&gt;"",E10&lt;&gt;""),IF(I10="","⚠️ Enter Code",IF(IFERROR(VLOOKUP(H10,DB_Agents!$B:$I,8,0),"")=I10,IF(C10&gt;=E10,"Successful","Unsuccessful"),"🔒 BLOCKED — Wrong Code")),"—")</f>
        <v>—</v>
      </c>
      <c r="K10" s="93" t="str">
        <f t="shared" ca="1" si="2"/>
        <v>—</v>
      </c>
      <c r="L10" s="94"/>
    </row>
    <row r="11" spans="1:13" x14ac:dyDescent="0.25">
      <c r="A11" s="79"/>
      <c r="B11" s="21" t="str">
        <f>IF(A11="","",IFERROR(VLOOKUP(A11,DB_Customers!$A:$D,4,0),"❌ Account Not Found"))</f>
        <v/>
      </c>
      <c r="C11" s="80" t="str">
        <f>IF(A11="","",IFERROR(VLOOKUP(A11,DB_Customers!$A:$N,14,0),""))</f>
        <v/>
      </c>
      <c r="D11" s="81" t="str">
        <f t="shared" ca="1" si="0"/>
        <v/>
      </c>
      <c r="E11" s="97"/>
      <c r="F11" s="21"/>
      <c r="G11" s="98" t="str">
        <f t="shared" si="1"/>
        <v/>
      </c>
      <c r="H11" s="23" t="s">
        <v>45</v>
      </c>
      <c r="I11" s="84"/>
      <c r="J11" s="85" t="str">
        <f>IF(AND(A11&lt;&gt;"",E11&lt;&gt;""),IF(I11="","⚠️ Enter Code",IF(IFERROR(VLOOKUP(H11,DB_Agents!$B:$I,8,0),"")=I11,IF(C11&gt;=E11,"Successful","Unsuccessful"),"🔒 BLOCKED — Wrong Code")),"—")</f>
        <v>—</v>
      </c>
      <c r="K11" s="86" t="str">
        <f t="shared" ca="1" si="2"/>
        <v>—</v>
      </c>
      <c r="L11" s="87"/>
    </row>
    <row r="12" spans="1:13" x14ac:dyDescent="0.25">
      <c r="A12" s="88"/>
      <c r="B12" s="25" t="str">
        <f>IF(A12="","",IFERROR(VLOOKUP(A12,DB_Customers!$A:$D,4,0),"❌ Account Not Found"))</f>
        <v/>
      </c>
      <c r="C12" s="89" t="str">
        <f>IF(A12="","",IFERROR(VLOOKUP(A12,DB_Customers!$A:$N,14,0),""))</f>
        <v/>
      </c>
      <c r="D12" s="90" t="str">
        <f t="shared" ca="1" si="0"/>
        <v/>
      </c>
      <c r="E12" s="97"/>
      <c r="F12" s="25"/>
      <c r="G12" s="99" t="str">
        <f t="shared" si="1"/>
        <v/>
      </c>
      <c r="H12" s="27" t="s">
        <v>45</v>
      </c>
      <c r="I12" s="84"/>
      <c r="J12" s="92" t="str">
        <f>IF(AND(A12&lt;&gt;"",E12&lt;&gt;""),IF(I12="","⚠️ Enter Code",IF(IFERROR(VLOOKUP(H12,DB_Agents!$B:$I,8,0),"")=I12,IF(C12&gt;=E12,"Successful","Unsuccessful"),"🔒 BLOCKED — Wrong Code")),"—")</f>
        <v>—</v>
      </c>
      <c r="K12" s="93" t="str">
        <f t="shared" ca="1" si="2"/>
        <v>—</v>
      </c>
      <c r="L12" s="94"/>
    </row>
    <row r="13" spans="1:13" x14ac:dyDescent="0.25">
      <c r="A13" s="79"/>
      <c r="B13" s="21" t="str">
        <f>IF(A13="","",IFERROR(VLOOKUP(A13,DB_Customers!$A:$D,4,0),"❌ Account Not Found"))</f>
        <v/>
      </c>
      <c r="C13" s="80" t="str">
        <f>IF(A13="","",IFERROR(VLOOKUP(A13,DB_Customers!$A:$N,14,0),""))</f>
        <v/>
      </c>
      <c r="D13" s="81" t="str">
        <f t="shared" ca="1" si="0"/>
        <v/>
      </c>
      <c r="E13" s="97"/>
      <c r="F13" s="21"/>
      <c r="G13" s="98" t="str">
        <f t="shared" si="1"/>
        <v/>
      </c>
      <c r="H13" s="23" t="s">
        <v>45</v>
      </c>
      <c r="I13" s="84"/>
      <c r="J13" s="85" t="str">
        <f>IF(AND(A13&lt;&gt;"",E13&lt;&gt;""),IF(I13="","⚠️ Enter Code",IF(IFERROR(VLOOKUP(H13,DB_Agents!$B:$I,8,0),"")=I13,IF(C13&gt;=E13,"Successful","Unsuccessful"),"🔒 BLOCKED — Wrong Code")),"—")</f>
        <v>—</v>
      </c>
      <c r="K13" s="86" t="str">
        <f t="shared" ca="1" si="2"/>
        <v>—</v>
      </c>
      <c r="L13" s="87"/>
    </row>
    <row r="14" spans="1:13" x14ac:dyDescent="0.25">
      <c r="A14" s="88"/>
      <c r="B14" s="25" t="str">
        <f>IF(A14="","",IFERROR(VLOOKUP(A14,DB_Customers!$A:$D,4,0),"❌ Account Not Found"))</f>
        <v/>
      </c>
      <c r="C14" s="89" t="str">
        <f>IF(A14="","",IFERROR(VLOOKUP(A14,DB_Customers!$A:$N,14,0),""))</f>
        <v/>
      </c>
      <c r="D14" s="90" t="str">
        <f t="shared" ca="1" si="0"/>
        <v/>
      </c>
      <c r="E14" s="97"/>
      <c r="F14" s="25"/>
      <c r="G14" s="99" t="str">
        <f t="shared" si="1"/>
        <v/>
      </c>
      <c r="H14" s="27"/>
      <c r="I14" s="84"/>
      <c r="J14" s="92" t="str">
        <f>IF(AND(A14&lt;&gt;"",E14&lt;&gt;""),IF(I14="","⚠️ Enter Code",IF(IFERROR(VLOOKUP(H14,DB_Agents!$B:$I,8,0),"")=I14,IF(C14&gt;=E14,"Successful","Unsuccessful"),"🔒 BLOCKED — Wrong Code")),"—")</f>
        <v>—</v>
      </c>
      <c r="K14" s="93" t="str">
        <f t="shared" ca="1" si="2"/>
        <v>—</v>
      </c>
      <c r="L14" s="94"/>
    </row>
    <row r="15" spans="1:13" x14ac:dyDescent="0.25">
      <c r="A15" s="79"/>
      <c r="B15" s="21" t="str">
        <f>IF(A15="","",IFERROR(VLOOKUP(A15,DB_Customers!$A:$D,4,0),"❌ Account Not Found"))</f>
        <v/>
      </c>
      <c r="C15" s="80" t="str">
        <f>IF(A15="","",IFERROR(VLOOKUP(A15,DB_Customers!$A:$N,14,0),""))</f>
        <v/>
      </c>
      <c r="D15" s="81" t="str">
        <f t="shared" ca="1" si="0"/>
        <v/>
      </c>
      <c r="E15" s="97"/>
      <c r="F15" s="21"/>
      <c r="G15" s="98" t="str">
        <f t="shared" si="1"/>
        <v/>
      </c>
      <c r="H15" s="23"/>
      <c r="I15" s="84"/>
      <c r="J15" s="85" t="str">
        <f>IF(AND(A15&lt;&gt;"",E15&lt;&gt;""),IF(I15="","⚠️ Enter Code",IF(IFERROR(VLOOKUP(H15,DB_Agents!$B:$I,8,0),"")=I15,IF(C15&gt;=E15,"Successful","Unsuccessful"),"🔒 BLOCKED — Wrong Code")),"—")</f>
        <v>—</v>
      </c>
      <c r="K15" s="86" t="str">
        <f t="shared" ca="1" si="2"/>
        <v>—</v>
      </c>
      <c r="L15" s="87"/>
    </row>
    <row r="16" spans="1:13" x14ac:dyDescent="0.25">
      <c r="A16" s="88"/>
      <c r="B16" s="25" t="str">
        <f>IF(A16="","",IFERROR(VLOOKUP(A16,DB_Customers!$A:$D,4,0),"❌ Account Not Found"))</f>
        <v/>
      </c>
      <c r="C16" s="89" t="str">
        <f>IF(A16="","",IFERROR(VLOOKUP(A16,DB_Customers!$A:$N,14,0),""))</f>
        <v/>
      </c>
      <c r="D16" s="90" t="str">
        <f t="shared" ca="1" si="0"/>
        <v/>
      </c>
      <c r="E16" s="97"/>
      <c r="F16" s="25"/>
      <c r="G16" s="99" t="str">
        <f t="shared" si="1"/>
        <v/>
      </c>
      <c r="H16" s="27"/>
      <c r="I16" s="84"/>
      <c r="J16" s="92" t="str">
        <f>IF(AND(A16&lt;&gt;"",E16&lt;&gt;""),IF(I16="","⚠️ Enter Code",IF(IFERROR(VLOOKUP(H16,DB_Agents!$B:$I,8,0),"")=I16,IF(C16&gt;=E16,"Successful","Unsuccessful"),"🔒 BLOCKED — Wrong Code")),"—")</f>
        <v>—</v>
      </c>
      <c r="K16" s="93" t="str">
        <f t="shared" ca="1" si="2"/>
        <v>—</v>
      </c>
      <c r="L16" s="94"/>
    </row>
    <row r="17" spans="1:12" x14ac:dyDescent="0.25">
      <c r="A17" s="79"/>
      <c r="B17" s="21" t="str">
        <f>IF(A17="","",IFERROR(VLOOKUP(A17,DB_Customers!$A:$D,4,0),"❌ Account Not Found"))</f>
        <v/>
      </c>
      <c r="C17" s="80" t="str">
        <f>IF(A17="","",IFERROR(VLOOKUP(A17,DB_Customers!$A:$N,14,0),""))</f>
        <v/>
      </c>
      <c r="D17" s="81" t="str">
        <f t="shared" ca="1" si="0"/>
        <v/>
      </c>
      <c r="E17" s="97"/>
      <c r="F17" s="21"/>
      <c r="G17" s="98" t="str">
        <f t="shared" si="1"/>
        <v/>
      </c>
      <c r="H17" s="23"/>
      <c r="I17" s="84"/>
      <c r="J17" s="85" t="str">
        <f>IF(AND(A17&lt;&gt;"",E17&lt;&gt;""),IF(I17="","⚠️ Enter Code",IF(IFERROR(VLOOKUP(H17,DB_Agents!$B:$I,8,0),"")=I17,IF(C17&gt;=E17,"Successful","Unsuccessful"),"🔒 BLOCKED — Wrong Code")),"—")</f>
        <v>—</v>
      </c>
      <c r="K17" s="86" t="str">
        <f t="shared" ca="1" si="2"/>
        <v>—</v>
      </c>
      <c r="L17" s="87"/>
    </row>
    <row r="18" spans="1:12" x14ac:dyDescent="0.25">
      <c r="A18" s="88"/>
      <c r="B18" s="25" t="str">
        <f>IF(A18="","",IFERROR(VLOOKUP(A18,DB_Customers!$A:$D,4,0),"❌ Account Not Found"))</f>
        <v/>
      </c>
      <c r="C18" s="89" t="str">
        <f>IF(A18="","",IFERROR(VLOOKUP(A18,DB_Customers!$A:$N,14,0),""))</f>
        <v/>
      </c>
      <c r="D18" s="90" t="str">
        <f t="shared" ca="1" si="0"/>
        <v/>
      </c>
      <c r="E18" s="97"/>
      <c r="F18" s="25"/>
      <c r="G18" s="99" t="str">
        <f t="shared" si="1"/>
        <v/>
      </c>
      <c r="H18" s="27"/>
      <c r="I18" s="84"/>
      <c r="J18" s="92" t="str">
        <f>IF(AND(A18&lt;&gt;"",E18&lt;&gt;""),IF(I18="","⚠️ Enter Code",IF(IFERROR(VLOOKUP(H18,DB_Agents!$B:$I,8,0),"")=I18,IF(C18&gt;=E18,"Successful","Unsuccessful"),"🔒 BLOCKED — Wrong Code")),"—")</f>
        <v>—</v>
      </c>
      <c r="K18" s="93" t="str">
        <f t="shared" ca="1" si="2"/>
        <v>—</v>
      </c>
      <c r="L18" s="94"/>
    </row>
    <row r="19" spans="1:12" x14ac:dyDescent="0.25">
      <c r="A19" s="79"/>
      <c r="B19" s="21" t="str">
        <f>IF(A19="","",IFERROR(VLOOKUP(A19,DB_Customers!$A:$D,4,0),"❌ Account Not Found"))</f>
        <v/>
      </c>
      <c r="C19" s="80" t="str">
        <f>IF(A19="","",IFERROR(VLOOKUP(A19,DB_Customers!$A:$N,14,0),""))</f>
        <v/>
      </c>
      <c r="D19" s="81" t="str">
        <f t="shared" ca="1" si="0"/>
        <v/>
      </c>
      <c r="E19" s="97"/>
      <c r="F19" s="21"/>
      <c r="G19" s="98" t="str">
        <f t="shared" si="1"/>
        <v/>
      </c>
      <c r="H19" s="23"/>
      <c r="I19" s="84"/>
      <c r="J19" s="85" t="str">
        <f>IF(AND(A19&lt;&gt;"",E19&lt;&gt;""),IF(I19="","⚠️ Enter Code",IF(IFERROR(VLOOKUP(H19,DB_Agents!$B:$I,8,0),"")=I19,IF(C19&gt;=E19,"Successful","Unsuccessful"),"🔒 BLOCKED — Wrong Code")),"—")</f>
        <v>—</v>
      </c>
      <c r="K19" s="86" t="str">
        <f t="shared" ca="1" si="2"/>
        <v>—</v>
      </c>
      <c r="L19" s="87"/>
    </row>
    <row r="20" spans="1:12" x14ac:dyDescent="0.25">
      <c r="A20" s="88"/>
      <c r="B20" s="25" t="str">
        <f>IF(A20="","",IFERROR(VLOOKUP(A20,DB_Customers!$A:$D,4,0),"❌ Account Not Found"))</f>
        <v/>
      </c>
      <c r="C20" s="89" t="str">
        <f>IF(A20="","",IFERROR(VLOOKUP(A20,DB_Customers!$A:$N,14,0),""))</f>
        <v/>
      </c>
      <c r="D20" s="90" t="str">
        <f t="shared" ca="1" si="0"/>
        <v/>
      </c>
      <c r="E20" s="97"/>
      <c r="F20" s="25"/>
      <c r="G20" s="99" t="str">
        <f t="shared" si="1"/>
        <v/>
      </c>
      <c r="H20" s="27"/>
      <c r="I20" s="84"/>
      <c r="J20" s="92" t="str">
        <f>IF(AND(A20&lt;&gt;"",E20&lt;&gt;""),IF(I20="","⚠️ Enter Code",IF(IFERROR(VLOOKUP(H20,DB_Agents!$B:$I,8,0),"")=I20,IF(C20&gt;=E20,"Successful","Unsuccessful"),"🔒 BLOCKED — Wrong Code")),"—")</f>
        <v>—</v>
      </c>
      <c r="K20" s="93" t="str">
        <f t="shared" ca="1" si="2"/>
        <v>—</v>
      </c>
      <c r="L20" s="94"/>
    </row>
    <row r="21" spans="1:12" x14ac:dyDescent="0.25">
      <c r="A21" s="79"/>
      <c r="B21" s="21" t="str">
        <f>IF(A21="","",IFERROR(VLOOKUP(A21,DB_Customers!$A:$D,4,0),"❌ Account Not Found"))</f>
        <v/>
      </c>
      <c r="C21" s="80" t="str">
        <f>IF(A21="","",IFERROR(VLOOKUP(A21,DB_Customers!$A:$N,14,0),""))</f>
        <v/>
      </c>
      <c r="D21" s="81" t="str">
        <f t="shared" ca="1" si="0"/>
        <v/>
      </c>
      <c r="E21" s="97"/>
      <c r="F21" s="21"/>
      <c r="G21" s="98" t="str">
        <f t="shared" si="1"/>
        <v/>
      </c>
      <c r="H21" s="23"/>
      <c r="I21" s="84"/>
      <c r="J21" s="85" t="str">
        <f>IF(AND(A21&lt;&gt;"",E21&lt;&gt;""),IF(I21="","⚠️ Enter Code",IF(IFERROR(VLOOKUP(H21,DB_Agents!$B:$I,8,0),"")=I21,IF(C21&gt;=E21,"Successful","Unsuccessful"),"🔒 BLOCKED — Wrong Code")),"—")</f>
        <v>—</v>
      </c>
      <c r="K21" s="86" t="str">
        <f t="shared" ca="1" si="2"/>
        <v>—</v>
      </c>
      <c r="L21" s="87"/>
    </row>
    <row r="22" spans="1:12" x14ac:dyDescent="0.25">
      <c r="A22" s="88"/>
      <c r="B22" s="25" t="str">
        <f>IF(A22="","",IFERROR(VLOOKUP(A22,DB_Customers!$A:$D,4,0),"❌ Account Not Found"))</f>
        <v/>
      </c>
      <c r="C22" s="89" t="str">
        <f>IF(A22="","",IFERROR(VLOOKUP(A22,DB_Customers!$A:$N,14,0),""))</f>
        <v/>
      </c>
      <c r="D22" s="90" t="str">
        <f t="shared" ca="1" si="0"/>
        <v/>
      </c>
      <c r="E22" s="97"/>
      <c r="F22" s="25"/>
      <c r="G22" s="99" t="str">
        <f t="shared" si="1"/>
        <v/>
      </c>
      <c r="H22" s="27"/>
      <c r="I22" s="84"/>
      <c r="J22" s="92" t="str">
        <f>IF(AND(A22&lt;&gt;"",E22&lt;&gt;""),IF(I22="","⚠️ Enter Code",IF(IFERROR(VLOOKUP(H22,DB_Agents!$B:$I,8,0),"")=I22,IF(C22&gt;=E22,"Successful","Unsuccessful"),"🔒 BLOCKED — Wrong Code")),"—")</f>
        <v>—</v>
      </c>
      <c r="K22" s="93" t="str">
        <f t="shared" ca="1" si="2"/>
        <v>—</v>
      </c>
      <c r="L22" s="94"/>
    </row>
    <row r="23" spans="1:12" x14ac:dyDescent="0.25">
      <c r="A23" s="79"/>
      <c r="B23" s="21" t="str">
        <f>IF(A23="","",IFERROR(VLOOKUP(A23,DB_Customers!$A:$D,4,0),"❌ Account Not Found"))</f>
        <v/>
      </c>
      <c r="C23" s="80" t="str">
        <f>IF(A23="","",IFERROR(VLOOKUP(A23,DB_Customers!$A:$N,14,0),""))</f>
        <v/>
      </c>
      <c r="D23" s="81" t="str">
        <f t="shared" ca="1" si="0"/>
        <v/>
      </c>
      <c r="E23" s="97"/>
      <c r="F23" s="21"/>
      <c r="G23" s="98" t="str">
        <f t="shared" si="1"/>
        <v/>
      </c>
      <c r="H23" s="23"/>
      <c r="I23" s="84"/>
      <c r="J23" s="85" t="str">
        <f>IF(AND(A23&lt;&gt;"",E23&lt;&gt;""),IF(I23="","⚠️ Enter Code",IF(IFERROR(VLOOKUP(H23,DB_Agents!$B:$I,8,0),"")=I23,IF(C23&gt;=E23,"Successful","Unsuccessful"),"🔒 BLOCKED — Wrong Code")),"—")</f>
        <v>—</v>
      </c>
      <c r="K23" s="86" t="str">
        <f t="shared" ca="1" si="2"/>
        <v>—</v>
      </c>
      <c r="L23" s="87"/>
    </row>
    <row r="24" spans="1:12" x14ac:dyDescent="0.25">
      <c r="A24" s="88"/>
      <c r="B24" s="25" t="str">
        <f>IF(A24="","",IFERROR(VLOOKUP(A24,DB_Customers!$A:$D,4,0),"❌ Account Not Found"))</f>
        <v/>
      </c>
      <c r="C24" s="89" t="str">
        <f>IF(A24="","",IFERROR(VLOOKUP(A24,DB_Customers!$A:$N,14,0),""))</f>
        <v/>
      </c>
      <c r="D24" s="90" t="str">
        <f t="shared" ca="1" si="0"/>
        <v/>
      </c>
      <c r="E24" s="97"/>
      <c r="F24" s="25"/>
      <c r="G24" s="99" t="str">
        <f t="shared" si="1"/>
        <v/>
      </c>
      <c r="H24" s="27"/>
      <c r="I24" s="84"/>
      <c r="J24" s="92" t="str">
        <f>IF(AND(A24&lt;&gt;"",E24&lt;&gt;""),IF(I24="","⚠️ Enter Code",IF(IFERROR(VLOOKUP(H24,DB_Agents!$B:$I,8,0),"")=I24,IF(C24&gt;=E24,"Successful","Unsuccessful"),"🔒 BLOCKED — Wrong Code")),"—")</f>
        <v>—</v>
      </c>
      <c r="K24" s="93" t="str">
        <f t="shared" ca="1" si="2"/>
        <v>—</v>
      </c>
      <c r="L24" s="94"/>
    </row>
    <row r="25" spans="1:12" x14ac:dyDescent="0.25">
      <c r="A25" s="79"/>
      <c r="B25" s="21" t="str">
        <f>IF(A25="","",IFERROR(VLOOKUP(A25,DB_Customers!$A:$D,4,0),"❌ Account Not Found"))</f>
        <v/>
      </c>
      <c r="C25" s="80" t="str">
        <f>IF(A25="","",IFERROR(VLOOKUP(A25,DB_Customers!$A:$N,14,0),""))</f>
        <v/>
      </c>
      <c r="D25" s="81" t="str">
        <f t="shared" ca="1" si="0"/>
        <v/>
      </c>
      <c r="E25" s="97"/>
      <c r="F25" s="21"/>
      <c r="G25" s="98" t="str">
        <f t="shared" si="1"/>
        <v/>
      </c>
      <c r="H25" s="23"/>
      <c r="I25" s="84"/>
      <c r="J25" s="85" t="str">
        <f>IF(AND(A25&lt;&gt;"",E25&lt;&gt;""),IF(I25="","⚠️ Enter Code",IF(IFERROR(VLOOKUP(H25,DB_Agents!$B:$I,8,0),"")=I25,IF(C25&gt;=E25,"Successful","Unsuccessful"),"🔒 BLOCKED — Wrong Code")),"—")</f>
        <v>—</v>
      </c>
      <c r="K25" s="86" t="str">
        <f t="shared" ca="1" si="2"/>
        <v>—</v>
      </c>
      <c r="L25" s="87"/>
    </row>
    <row r="26" spans="1:12" x14ac:dyDescent="0.25">
      <c r="A26" s="88"/>
      <c r="B26" s="25" t="str">
        <f>IF(A26="","",IFERROR(VLOOKUP(A26,DB_Customers!$A:$D,4,0),"❌ Account Not Found"))</f>
        <v/>
      </c>
      <c r="C26" s="89" t="str">
        <f>IF(A26="","",IFERROR(VLOOKUP(A26,DB_Customers!$A:$N,14,0),""))</f>
        <v/>
      </c>
      <c r="D26" s="90" t="str">
        <f t="shared" ca="1" si="0"/>
        <v/>
      </c>
      <c r="E26" s="97"/>
      <c r="F26" s="25"/>
      <c r="G26" s="99" t="str">
        <f t="shared" si="1"/>
        <v/>
      </c>
      <c r="H26" s="27"/>
      <c r="I26" s="84"/>
      <c r="J26" s="92" t="str">
        <f>IF(AND(A26&lt;&gt;"",E26&lt;&gt;""),IF(I26="","⚠️ Enter Code",IF(IFERROR(VLOOKUP(H26,DB_Agents!$B:$I,8,0),"")=I26,IF(C26&gt;=E26,"Successful","Unsuccessful"),"🔒 BLOCKED — Wrong Code")),"—")</f>
        <v>—</v>
      </c>
      <c r="K26" s="93" t="str">
        <f t="shared" ca="1" si="2"/>
        <v>—</v>
      </c>
      <c r="L26" s="94"/>
    </row>
    <row r="27" spans="1:12" x14ac:dyDescent="0.25">
      <c r="A27" s="79"/>
      <c r="B27" s="21" t="str">
        <f>IF(A27="","",IFERROR(VLOOKUP(A27,DB_Customers!$A:$D,4,0),"❌ Account Not Found"))</f>
        <v/>
      </c>
      <c r="C27" s="80" t="str">
        <f>IF(A27="","",IFERROR(VLOOKUP(A27,DB_Customers!$A:$N,14,0),""))</f>
        <v/>
      </c>
      <c r="D27" s="81" t="str">
        <f t="shared" ca="1" si="0"/>
        <v/>
      </c>
      <c r="E27" s="97"/>
      <c r="F27" s="21"/>
      <c r="G27" s="98" t="str">
        <f t="shared" si="1"/>
        <v/>
      </c>
      <c r="H27" s="23"/>
      <c r="I27" s="84"/>
      <c r="J27" s="85" t="str">
        <f>IF(AND(A27&lt;&gt;"",E27&lt;&gt;""),IF(I27="","⚠️ Enter Code",IF(IFERROR(VLOOKUP(H27,DB_Agents!$B:$I,8,0),"")=I27,IF(C27&gt;=E27,"Successful","Unsuccessful"),"🔒 BLOCKED — Wrong Code")),"—")</f>
        <v>—</v>
      </c>
      <c r="K27" s="86" t="str">
        <f t="shared" ca="1" si="2"/>
        <v>—</v>
      </c>
      <c r="L27" s="87"/>
    </row>
    <row r="28" spans="1:12" x14ac:dyDescent="0.25">
      <c r="A28" s="88"/>
      <c r="B28" s="25" t="str">
        <f>IF(A28="","",IFERROR(VLOOKUP(A28,DB_Customers!$A:$D,4,0),"❌ Account Not Found"))</f>
        <v/>
      </c>
      <c r="C28" s="89" t="str">
        <f>IF(A28="","",IFERROR(VLOOKUP(A28,DB_Customers!$A:$N,14,0),""))</f>
        <v/>
      </c>
      <c r="D28" s="90" t="str">
        <f t="shared" ca="1" si="0"/>
        <v/>
      </c>
      <c r="E28" s="97"/>
      <c r="F28" s="25"/>
      <c r="G28" s="99" t="str">
        <f t="shared" si="1"/>
        <v/>
      </c>
      <c r="H28" s="27"/>
      <c r="I28" s="84"/>
      <c r="J28" s="92" t="str">
        <f>IF(AND(A28&lt;&gt;"",E28&lt;&gt;""),IF(I28="","⚠️ Enter Code",IF(IFERROR(VLOOKUP(H28,DB_Agents!$B:$I,8,0),"")=I28,IF(C28&gt;=E28,"Successful","Unsuccessful"),"🔒 BLOCKED — Wrong Code")),"—")</f>
        <v>—</v>
      </c>
      <c r="K28" s="93" t="str">
        <f t="shared" ca="1" si="2"/>
        <v>—</v>
      </c>
      <c r="L28" s="94"/>
    </row>
    <row r="29" spans="1:12" x14ac:dyDescent="0.25">
      <c r="A29" s="79"/>
      <c r="B29" s="21" t="str">
        <f>IF(A29="","",IFERROR(VLOOKUP(A29,DB_Customers!$A:$D,4,0),"❌ Account Not Found"))</f>
        <v/>
      </c>
      <c r="C29" s="80" t="str">
        <f>IF(A29="","",IFERROR(VLOOKUP(A29,DB_Customers!$A:$N,14,0),""))</f>
        <v/>
      </c>
      <c r="D29" s="81" t="str">
        <f t="shared" ca="1" si="0"/>
        <v/>
      </c>
      <c r="E29" s="97"/>
      <c r="F29" s="21"/>
      <c r="G29" s="98" t="str">
        <f t="shared" si="1"/>
        <v/>
      </c>
      <c r="H29" s="23"/>
      <c r="I29" s="84"/>
      <c r="J29" s="85" t="str">
        <f>IF(AND(A29&lt;&gt;"",E29&lt;&gt;""),IF(I29="","⚠️ Enter Code",IF(IFERROR(VLOOKUP(H29,DB_Agents!$B:$I,8,0),"")=I29,IF(C29&gt;=E29,"Successful","Unsuccessful"),"🔒 BLOCKED — Wrong Code")),"—")</f>
        <v>—</v>
      </c>
      <c r="K29" s="86" t="str">
        <f t="shared" ca="1" si="2"/>
        <v>—</v>
      </c>
      <c r="L29" s="87"/>
    </row>
    <row r="30" spans="1:12" x14ac:dyDescent="0.25">
      <c r="A30" s="88"/>
      <c r="B30" s="25" t="str">
        <f>IF(A30="","",IFERROR(VLOOKUP(A30,DB_Customers!$A:$D,4,0),"❌ Account Not Found"))</f>
        <v/>
      </c>
      <c r="C30" s="89" t="str">
        <f>IF(A30="","",IFERROR(VLOOKUP(A30,DB_Customers!$A:$N,14,0),""))</f>
        <v/>
      </c>
      <c r="D30" s="90" t="str">
        <f t="shared" ca="1" si="0"/>
        <v/>
      </c>
      <c r="E30" s="97"/>
      <c r="F30" s="25"/>
      <c r="G30" s="99" t="str">
        <f t="shared" si="1"/>
        <v/>
      </c>
      <c r="H30" s="27"/>
      <c r="I30" s="84"/>
      <c r="J30" s="92" t="str">
        <f>IF(AND(A30&lt;&gt;"",E30&lt;&gt;""),IF(I30="","⚠️ Enter Code",IF(IFERROR(VLOOKUP(H30,DB_Agents!$B:$I,8,0),"")=I30,IF(C30&gt;=E30,"Successful","Unsuccessful"),"🔒 BLOCKED — Wrong Code")),"—")</f>
        <v>—</v>
      </c>
      <c r="K30" s="93" t="str">
        <f t="shared" ca="1" si="2"/>
        <v>—</v>
      </c>
      <c r="L30" s="94"/>
    </row>
    <row r="31" spans="1:12" x14ac:dyDescent="0.25">
      <c r="A31" s="79"/>
      <c r="B31" s="21" t="str">
        <f>IF(A31="","",IFERROR(VLOOKUP(A31,DB_Customers!$A:$D,4,0),"❌ Account Not Found"))</f>
        <v/>
      </c>
      <c r="C31" s="80" t="str">
        <f>IF(A31="","",IFERROR(VLOOKUP(A31,DB_Customers!$A:$N,14,0),""))</f>
        <v/>
      </c>
      <c r="D31" s="81" t="str">
        <f t="shared" ca="1" si="0"/>
        <v/>
      </c>
      <c r="E31" s="97"/>
      <c r="F31" s="21"/>
      <c r="G31" s="98" t="str">
        <f t="shared" si="1"/>
        <v/>
      </c>
      <c r="H31" s="23"/>
      <c r="I31" s="84"/>
      <c r="J31" s="85" t="str">
        <f>IF(AND(A31&lt;&gt;"",E31&lt;&gt;""),IF(I31="","⚠️ Enter Code",IF(IFERROR(VLOOKUP(H31,DB_Agents!$B:$I,8,0),"")=I31,IF(C31&gt;=E31,"Successful","Unsuccessful"),"🔒 BLOCKED — Wrong Code")),"—")</f>
        <v>—</v>
      </c>
      <c r="K31" s="86" t="str">
        <f t="shared" ca="1" si="2"/>
        <v>—</v>
      </c>
      <c r="L31" s="87"/>
    </row>
    <row r="32" spans="1:12" x14ac:dyDescent="0.25">
      <c r="A32" s="88"/>
      <c r="B32" s="25" t="str">
        <f>IF(A32="","",IFERROR(VLOOKUP(A32,DB_Customers!$A:$D,4,0),"❌ Account Not Found"))</f>
        <v/>
      </c>
      <c r="C32" s="89" t="str">
        <f>IF(A32="","",IFERROR(VLOOKUP(A32,DB_Customers!$A:$N,14,0),""))</f>
        <v/>
      </c>
      <c r="D32" s="90" t="str">
        <f t="shared" ca="1" si="0"/>
        <v/>
      </c>
      <c r="E32" s="97"/>
      <c r="F32" s="25"/>
      <c r="G32" s="99" t="str">
        <f t="shared" si="1"/>
        <v/>
      </c>
      <c r="H32" s="27"/>
      <c r="I32" s="84"/>
      <c r="J32" s="92" t="str">
        <f>IF(AND(A32&lt;&gt;"",E32&lt;&gt;""),IF(I32="","⚠️ Enter Code",IF(IFERROR(VLOOKUP(H32,DB_Agents!$B:$I,8,0),"")=I32,IF(C32&gt;=E32,"Successful","Unsuccessful"),"🔒 BLOCKED — Wrong Code")),"—")</f>
        <v>—</v>
      </c>
      <c r="K32" s="93" t="str">
        <f t="shared" ca="1" si="2"/>
        <v>—</v>
      </c>
      <c r="L32" s="94"/>
    </row>
    <row r="33" spans="1:12" x14ac:dyDescent="0.25">
      <c r="A33" s="79"/>
      <c r="B33" s="21" t="str">
        <f>IF(A33="","",IFERROR(VLOOKUP(A33,DB_Customers!$A:$D,4,0),"❌ Account Not Found"))</f>
        <v/>
      </c>
      <c r="C33" s="80" t="str">
        <f>IF(A33="","",IFERROR(VLOOKUP(A33,DB_Customers!$A:$N,14,0),""))</f>
        <v/>
      </c>
      <c r="D33" s="81" t="str">
        <f t="shared" ca="1" si="0"/>
        <v/>
      </c>
      <c r="E33" s="97"/>
      <c r="F33" s="21"/>
      <c r="G33" s="98" t="str">
        <f t="shared" si="1"/>
        <v/>
      </c>
      <c r="H33" s="23"/>
      <c r="I33" s="84"/>
      <c r="J33" s="85" t="str">
        <f>IF(AND(A33&lt;&gt;"",E33&lt;&gt;""),IF(I33="","⚠️ Enter Code",IF(IFERROR(VLOOKUP(H33,DB_Agents!$B:$I,8,0),"")=I33,IF(C33&gt;=E33,"Successful","Unsuccessful"),"🔒 BLOCKED — Wrong Code")),"—")</f>
        <v>—</v>
      </c>
      <c r="K33" s="86" t="str">
        <f t="shared" ca="1" si="2"/>
        <v>—</v>
      </c>
      <c r="L33" s="87"/>
    </row>
    <row r="34" spans="1:12" x14ac:dyDescent="0.25">
      <c r="A34" s="88"/>
      <c r="B34" s="25" t="str">
        <f>IF(A34="","",IFERROR(VLOOKUP(A34,DB_Customers!$A:$D,4,0),"❌ Account Not Found"))</f>
        <v/>
      </c>
      <c r="C34" s="89" t="str">
        <f>IF(A34="","",IFERROR(VLOOKUP(A34,DB_Customers!$A:$N,14,0),""))</f>
        <v/>
      </c>
      <c r="D34" s="90" t="str">
        <f t="shared" ca="1" si="0"/>
        <v/>
      </c>
      <c r="E34" s="97"/>
      <c r="F34" s="25"/>
      <c r="G34" s="99" t="str">
        <f t="shared" si="1"/>
        <v/>
      </c>
      <c r="H34" s="27"/>
      <c r="I34" s="84"/>
      <c r="J34" s="92" t="str">
        <f>IF(AND(A34&lt;&gt;"",E34&lt;&gt;""),IF(I34="","⚠️ Enter Code",IF(IFERROR(VLOOKUP(H34,DB_Agents!$B:$I,8,0),"")=I34,IF(C34&gt;=E34,"Successful","Unsuccessful"),"🔒 BLOCKED — Wrong Code")),"—")</f>
        <v>—</v>
      </c>
      <c r="K34" s="93" t="str">
        <f t="shared" ca="1" si="2"/>
        <v>—</v>
      </c>
      <c r="L34" s="94"/>
    </row>
    <row r="35" spans="1:12" x14ac:dyDescent="0.25">
      <c r="A35" s="79"/>
      <c r="B35" s="21" t="str">
        <f>IF(A35="","",IFERROR(VLOOKUP(A35,DB_Customers!$A:$D,4,0),"❌ Account Not Found"))</f>
        <v/>
      </c>
      <c r="C35" s="80" t="str">
        <f>IF(A35="","",IFERROR(VLOOKUP(A35,DB_Customers!$A:$N,14,0),""))</f>
        <v/>
      </c>
      <c r="D35" s="81" t="str">
        <f t="shared" ca="1" si="0"/>
        <v/>
      </c>
      <c r="E35" s="97"/>
      <c r="F35" s="21"/>
      <c r="G35" s="98" t="str">
        <f t="shared" si="1"/>
        <v/>
      </c>
      <c r="H35" s="23"/>
      <c r="I35" s="84"/>
      <c r="J35" s="85" t="str">
        <f>IF(AND(A35&lt;&gt;"",E35&lt;&gt;""),IF(I35="","⚠️ Enter Code",IF(IFERROR(VLOOKUP(H35,DB_Agents!$B:$I,8,0),"")=I35,IF(C35&gt;=E35,"Successful","Unsuccessful"),"🔒 BLOCKED — Wrong Code")),"—")</f>
        <v>—</v>
      </c>
      <c r="K35" s="86" t="str">
        <f t="shared" ca="1" si="2"/>
        <v>—</v>
      </c>
      <c r="L35" s="87"/>
    </row>
    <row r="36" spans="1:12" x14ac:dyDescent="0.25">
      <c r="A36" s="88"/>
      <c r="B36" s="25" t="str">
        <f>IF(A36="","",IFERROR(VLOOKUP(A36,DB_Customers!$A:$D,4,0),"❌ Account Not Found"))</f>
        <v/>
      </c>
      <c r="C36" s="89" t="str">
        <f>IF(A36="","",IFERROR(VLOOKUP(A36,DB_Customers!$A:$N,14,0),""))</f>
        <v/>
      </c>
      <c r="D36" s="90" t="str">
        <f t="shared" ca="1" si="0"/>
        <v/>
      </c>
      <c r="E36" s="97"/>
      <c r="F36" s="25"/>
      <c r="G36" s="99" t="str">
        <f t="shared" si="1"/>
        <v/>
      </c>
      <c r="H36" s="27"/>
      <c r="I36" s="84"/>
      <c r="J36" s="92" t="str">
        <f>IF(AND(A36&lt;&gt;"",E36&lt;&gt;""),IF(I36="","⚠️ Enter Code",IF(IFERROR(VLOOKUP(H36,DB_Agents!$B:$I,8,0),"")=I36,IF(C36&gt;=E36,"Successful","Unsuccessful"),"🔒 BLOCKED — Wrong Code")),"—")</f>
        <v>—</v>
      </c>
      <c r="K36" s="93" t="str">
        <f t="shared" ca="1" si="2"/>
        <v>—</v>
      </c>
      <c r="L36" s="94"/>
    </row>
    <row r="37" spans="1:12" x14ac:dyDescent="0.25">
      <c r="A37" s="79"/>
      <c r="B37" s="21" t="str">
        <f>IF(A37="","",IFERROR(VLOOKUP(A37,DB_Customers!$A:$D,4,0),"❌ Account Not Found"))</f>
        <v/>
      </c>
      <c r="C37" s="80" t="str">
        <f>IF(A37="","",IFERROR(VLOOKUP(A37,DB_Customers!$A:$N,14,0),""))</f>
        <v/>
      </c>
      <c r="D37" s="81" t="str">
        <f t="shared" ca="1" si="0"/>
        <v/>
      </c>
      <c r="E37" s="97"/>
      <c r="F37" s="21"/>
      <c r="G37" s="98" t="str">
        <f t="shared" si="1"/>
        <v/>
      </c>
      <c r="H37" s="23"/>
      <c r="I37" s="84"/>
      <c r="J37" s="85" t="str">
        <f>IF(AND(A37&lt;&gt;"",E37&lt;&gt;""),IF(I37="","⚠️ Enter Code",IF(IFERROR(VLOOKUP(H37,DB_Agents!$B:$I,8,0),"")=I37,IF(C37&gt;=E37,"Successful","Unsuccessful"),"🔒 BLOCKED — Wrong Code")),"—")</f>
        <v>—</v>
      </c>
      <c r="K37" s="86" t="str">
        <f t="shared" ca="1" si="2"/>
        <v>—</v>
      </c>
      <c r="L37" s="87"/>
    </row>
    <row r="38" spans="1:12" x14ac:dyDescent="0.25">
      <c r="A38" s="88"/>
      <c r="B38" s="25" t="str">
        <f>IF(A38="","",IFERROR(VLOOKUP(A38,DB_Customers!$A:$D,4,0),"❌ Account Not Found"))</f>
        <v/>
      </c>
      <c r="C38" s="89" t="str">
        <f>IF(A38="","",IFERROR(VLOOKUP(A38,DB_Customers!$A:$N,14,0),""))</f>
        <v/>
      </c>
      <c r="D38" s="90" t="str">
        <f t="shared" ca="1" si="0"/>
        <v/>
      </c>
      <c r="E38" s="97"/>
      <c r="F38" s="25"/>
      <c r="G38" s="99" t="str">
        <f t="shared" si="1"/>
        <v/>
      </c>
      <c r="H38" s="27"/>
      <c r="I38" s="84"/>
      <c r="J38" s="92" t="str">
        <f>IF(AND(A38&lt;&gt;"",E38&lt;&gt;""),IF(I38="","⚠️ Enter Code",IF(IFERROR(VLOOKUP(H38,DB_Agents!$B:$I,8,0),"")=I38,IF(C38&gt;=E38,"Successful","Unsuccessful"),"🔒 BLOCKED — Wrong Code")),"—")</f>
        <v>—</v>
      </c>
      <c r="K38" s="93" t="str">
        <f t="shared" ca="1" si="2"/>
        <v>—</v>
      </c>
      <c r="L38" s="94"/>
    </row>
    <row r="39" spans="1:12" x14ac:dyDescent="0.25">
      <c r="A39" s="79"/>
      <c r="B39" s="21" t="str">
        <f>IF(A39="","",IFERROR(VLOOKUP(A39,DB_Customers!$A:$D,4,0),"❌ Account Not Found"))</f>
        <v/>
      </c>
      <c r="C39" s="80" t="str">
        <f>IF(A39="","",IFERROR(VLOOKUP(A39,DB_Customers!$A:$N,14,0),""))</f>
        <v/>
      </c>
      <c r="D39" s="81" t="str">
        <f t="shared" ca="1" si="0"/>
        <v/>
      </c>
      <c r="E39" s="97"/>
      <c r="F39" s="21"/>
      <c r="G39" s="98" t="str">
        <f t="shared" si="1"/>
        <v/>
      </c>
      <c r="H39" s="23"/>
      <c r="I39" s="84"/>
      <c r="J39" s="85" t="str">
        <f>IF(AND(A39&lt;&gt;"",E39&lt;&gt;""),IF(I39="","⚠️ Enter Code",IF(IFERROR(VLOOKUP(H39,DB_Agents!$B:$I,8,0),"")=I39,IF(C39&gt;=E39,"Successful","Unsuccessful"),"🔒 BLOCKED — Wrong Code")),"—")</f>
        <v>—</v>
      </c>
      <c r="K39" s="86" t="str">
        <f t="shared" ca="1" si="2"/>
        <v>—</v>
      </c>
      <c r="L39" s="87"/>
    </row>
    <row r="40" spans="1:12" x14ac:dyDescent="0.25">
      <c r="A40" s="88"/>
      <c r="B40" s="25" t="str">
        <f>IF(A40="","",IFERROR(VLOOKUP(A40,DB_Customers!$A:$D,4,0),"❌ Account Not Found"))</f>
        <v/>
      </c>
      <c r="C40" s="89" t="str">
        <f>IF(A40="","",IFERROR(VLOOKUP(A40,DB_Customers!$A:$N,14,0),""))</f>
        <v/>
      </c>
      <c r="D40" s="90" t="str">
        <f t="shared" ca="1" si="0"/>
        <v/>
      </c>
      <c r="E40" s="97"/>
      <c r="F40" s="25"/>
      <c r="G40" s="99" t="str">
        <f t="shared" si="1"/>
        <v/>
      </c>
      <c r="H40" s="27"/>
      <c r="I40" s="84"/>
      <c r="J40" s="92" t="str">
        <f>IF(AND(A40&lt;&gt;"",E40&lt;&gt;""),IF(I40="","⚠️ Enter Code",IF(IFERROR(VLOOKUP(H40,DB_Agents!$B:$I,8,0),"")=I40,IF(C40&gt;=E40,"Successful","Unsuccessful"),"🔒 BLOCKED — Wrong Code")),"—")</f>
        <v>—</v>
      </c>
      <c r="K40" s="93" t="str">
        <f t="shared" ca="1" si="2"/>
        <v>—</v>
      </c>
      <c r="L40" s="94"/>
    </row>
    <row r="41" spans="1:12" x14ac:dyDescent="0.25">
      <c r="A41" s="79"/>
      <c r="B41" s="21" t="str">
        <f>IF(A41="","",IFERROR(VLOOKUP(A41,DB_Customers!$A:$D,4,0),"❌ Account Not Found"))</f>
        <v/>
      </c>
      <c r="C41" s="80" t="str">
        <f>IF(A41="","",IFERROR(VLOOKUP(A41,DB_Customers!$A:$N,14,0),""))</f>
        <v/>
      </c>
      <c r="D41" s="81" t="str">
        <f t="shared" ref="D41:D72" ca="1" si="3">IF(A41="","",TODAY())</f>
        <v/>
      </c>
      <c r="E41" s="97"/>
      <c r="F41" s="21"/>
      <c r="G41" s="98" t="str">
        <f t="shared" ref="G41:G72" si="4">IF(OR(A41="",E41=""),"",IF(C41="","",C41-E41))</f>
        <v/>
      </c>
      <c r="H41" s="23"/>
      <c r="I41" s="84"/>
      <c r="J41" s="85" t="str">
        <f>IF(AND(A41&lt;&gt;"",E41&lt;&gt;""),IF(I41="","⚠️ Enter Code",IF(IFERROR(VLOOKUP(H41,DB_Agents!$B:$I,8,0),"")=I41,IF(C41&gt;=E41,"Successful","Unsuccessful"),"🔒 BLOCKED — Wrong Code")),"—")</f>
        <v>—</v>
      </c>
      <c r="K41" s="86" t="str">
        <f t="shared" ref="K41:K72" ca="1" si="5">IF(J41="Successful",TEXT(TODAY(),"YYYY-MM-DD")&amp;" Auto","—")</f>
        <v>—</v>
      </c>
      <c r="L41" s="87"/>
    </row>
    <row r="42" spans="1:12" x14ac:dyDescent="0.25">
      <c r="A42" s="88"/>
      <c r="B42" s="25" t="str">
        <f>IF(A42="","",IFERROR(VLOOKUP(A42,DB_Customers!$A:$D,4,0),"❌ Account Not Found"))</f>
        <v/>
      </c>
      <c r="C42" s="89" t="str">
        <f>IF(A42="","",IFERROR(VLOOKUP(A42,DB_Customers!$A:$N,14,0),""))</f>
        <v/>
      </c>
      <c r="D42" s="90" t="str">
        <f t="shared" ca="1" si="3"/>
        <v/>
      </c>
      <c r="E42" s="97"/>
      <c r="F42" s="25"/>
      <c r="G42" s="99" t="str">
        <f t="shared" si="4"/>
        <v/>
      </c>
      <c r="H42" s="27"/>
      <c r="I42" s="84"/>
      <c r="J42" s="92" t="str">
        <f>IF(AND(A42&lt;&gt;"",E42&lt;&gt;""),IF(I42="","⚠️ Enter Code",IF(IFERROR(VLOOKUP(H42,DB_Agents!$B:$I,8,0),"")=I42,IF(C42&gt;=E42,"Successful","Unsuccessful"),"🔒 BLOCKED — Wrong Code")),"—")</f>
        <v>—</v>
      </c>
      <c r="K42" s="93" t="str">
        <f t="shared" ca="1" si="5"/>
        <v>—</v>
      </c>
      <c r="L42" s="94"/>
    </row>
    <row r="43" spans="1:12" x14ac:dyDescent="0.25">
      <c r="A43" s="79"/>
      <c r="B43" s="21" t="str">
        <f>IF(A43="","",IFERROR(VLOOKUP(A43,DB_Customers!$A:$D,4,0),"❌ Account Not Found"))</f>
        <v/>
      </c>
      <c r="C43" s="80" t="str">
        <f>IF(A43="","",IFERROR(VLOOKUP(A43,DB_Customers!$A:$N,14,0),""))</f>
        <v/>
      </c>
      <c r="D43" s="81" t="str">
        <f t="shared" ca="1" si="3"/>
        <v/>
      </c>
      <c r="E43" s="97"/>
      <c r="F43" s="21"/>
      <c r="G43" s="98" t="str">
        <f t="shared" si="4"/>
        <v/>
      </c>
      <c r="H43" s="23"/>
      <c r="I43" s="84"/>
      <c r="J43" s="85" t="str">
        <f>IF(AND(A43&lt;&gt;"",E43&lt;&gt;""),IF(I43="","⚠️ Enter Code",IF(IFERROR(VLOOKUP(H43,DB_Agents!$B:$I,8,0),"")=I43,IF(C43&gt;=E43,"Successful","Unsuccessful"),"🔒 BLOCKED — Wrong Code")),"—")</f>
        <v>—</v>
      </c>
      <c r="K43" s="86" t="str">
        <f t="shared" ca="1" si="5"/>
        <v>—</v>
      </c>
      <c r="L43" s="87"/>
    </row>
    <row r="44" spans="1:12" x14ac:dyDescent="0.25">
      <c r="A44" s="88"/>
      <c r="B44" s="25" t="str">
        <f>IF(A44="","",IFERROR(VLOOKUP(A44,DB_Customers!$A:$D,4,0),"❌ Account Not Found"))</f>
        <v/>
      </c>
      <c r="C44" s="89" t="str">
        <f>IF(A44="","",IFERROR(VLOOKUP(A44,DB_Customers!$A:$N,14,0),""))</f>
        <v/>
      </c>
      <c r="D44" s="90" t="str">
        <f t="shared" ca="1" si="3"/>
        <v/>
      </c>
      <c r="E44" s="97"/>
      <c r="F44" s="25"/>
      <c r="G44" s="99" t="str">
        <f t="shared" si="4"/>
        <v/>
      </c>
      <c r="H44" s="27"/>
      <c r="I44" s="84"/>
      <c r="J44" s="92" t="str">
        <f>IF(AND(A44&lt;&gt;"",E44&lt;&gt;""),IF(I44="","⚠️ Enter Code",IF(IFERROR(VLOOKUP(H44,DB_Agents!$B:$I,8,0),"")=I44,IF(C44&gt;=E44,"Successful","Unsuccessful"),"🔒 BLOCKED — Wrong Code")),"—")</f>
        <v>—</v>
      </c>
      <c r="K44" s="93" t="str">
        <f t="shared" ca="1" si="5"/>
        <v>—</v>
      </c>
      <c r="L44" s="94"/>
    </row>
    <row r="45" spans="1:12" x14ac:dyDescent="0.25">
      <c r="A45" s="79"/>
      <c r="B45" s="21" t="str">
        <f>IF(A45="","",IFERROR(VLOOKUP(A45,DB_Customers!$A:$D,4,0),"❌ Account Not Found"))</f>
        <v/>
      </c>
      <c r="C45" s="80" t="str">
        <f>IF(A45="","",IFERROR(VLOOKUP(A45,DB_Customers!$A:$N,14,0),""))</f>
        <v/>
      </c>
      <c r="D45" s="81" t="str">
        <f t="shared" ca="1" si="3"/>
        <v/>
      </c>
      <c r="E45" s="97"/>
      <c r="F45" s="21"/>
      <c r="G45" s="98" t="str">
        <f t="shared" si="4"/>
        <v/>
      </c>
      <c r="H45" s="23"/>
      <c r="I45" s="84"/>
      <c r="J45" s="85" t="str">
        <f>IF(AND(A45&lt;&gt;"",E45&lt;&gt;""),IF(I45="","⚠️ Enter Code",IF(IFERROR(VLOOKUP(H45,DB_Agents!$B:$I,8,0),"")=I45,IF(C45&gt;=E45,"Successful","Unsuccessful"),"🔒 BLOCKED — Wrong Code")),"—")</f>
        <v>—</v>
      </c>
      <c r="K45" s="86" t="str">
        <f t="shared" ca="1" si="5"/>
        <v>—</v>
      </c>
      <c r="L45" s="87"/>
    </row>
    <row r="46" spans="1:12" x14ac:dyDescent="0.25">
      <c r="A46" s="88"/>
      <c r="B46" s="25" t="str">
        <f>IF(A46="","",IFERROR(VLOOKUP(A46,DB_Customers!$A:$D,4,0),"❌ Account Not Found"))</f>
        <v/>
      </c>
      <c r="C46" s="89" t="str">
        <f>IF(A46="","",IFERROR(VLOOKUP(A46,DB_Customers!$A:$N,14,0),""))</f>
        <v/>
      </c>
      <c r="D46" s="90" t="str">
        <f t="shared" ca="1" si="3"/>
        <v/>
      </c>
      <c r="E46" s="97"/>
      <c r="F46" s="25"/>
      <c r="G46" s="99" t="str">
        <f t="shared" si="4"/>
        <v/>
      </c>
      <c r="H46" s="27"/>
      <c r="I46" s="84"/>
      <c r="J46" s="92" t="str">
        <f>IF(AND(A46&lt;&gt;"",E46&lt;&gt;""),IF(I46="","⚠️ Enter Code",IF(IFERROR(VLOOKUP(H46,DB_Agents!$B:$I,8,0),"")=I46,IF(C46&gt;=E46,"Successful","Unsuccessful"),"🔒 BLOCKED — Wrong Code")),"—")</f>
        <v>—</v>
      </c>
      <c r="K46" s="93" t="str">
        <f t="shared" ca="1" si="5"/>
        <v>—</v>
      </c>
      <c r="L46" s="94"/>
    </row>
    <row r="47" spans="1:12" x14ac:dyDescent="0.25">
      <c r="A47" s="79"/>
      <c r="B47" s="21" t="str">
        <f>IF(A47="","",IFERROR(VLOOKUP(A47,DB_Customers!$A:$D,4,0),"❌ Account Not Found"))</f>
        <v/>
      </c>
      <c r="C47" s="80" t="str">
        <f>IF(A47="","",IFERROR(VLOOKUP(A47,DB_Customers!$A:$N,14,0),""))</f>
        <v/>
      </c>
      <c r="D47" s="81" t="str">
        <f t="shared" ca="1" si="3"/>
        <v/>
      </c>
      <c r="E47" s="97"/>
      <c r="F47" s="21"/>
      <c r="G47" s="98" t="str">
        <f t="shared" si="4"/>
        <v/>
      </c>
      <c r="H47" s="23"/>
      <c r="I47" s="84"/>
      <c r="J47" s="85" t="str">
        <f>IF(AND(A47&lt;&gt;"",E47&lt;&gt;""),IF(I47="","⚠️ Enter Code",IF(IFERROR(VLOOKUP(H47,DB_Agents!$B:$I,8,0),"")=I47,IF(C47&gt;=E47,"Successful","Unsuccessful"),"🔒 BLOCKED — Wrong Code")),"—")</f>
        <v>—</v>
      </c>
      <c r="K47" s="86" t="str">
        <f t="shared" ca="1" si="5"/>
        <v>—</v>
      </c>
      <c r="L47" s="87"/>
    </row>
    <row r="48" spans="1:12" x14ac:dyDescent="0.25">
      <c r="A48" s="88"/>
      <c r="B48" s="25" t="str">
        <f>IF(A48="","",IFERROR(VLOOKUP(A48,DB_Customers!$A:$D,4,0),"❌ Account Not Found"))</f>
        <v/>
      </c>
      <c r="C48" s="89" t="str">
        <f>IF(A48="","",IFERROR(VLOOKUP(A48,DB_Customers!$A:$N,14,0),""))</f>
        <v/>
      </c>
      <c r="D48" s="90" t="str">
        <f t="shared" ca="1" si="3"/>
        <v/>
      </c>
      <c r="E48" s="97"/>
      <c r="F48" s="25"/>
      <c r="G48" s="99" t="str">
        <f t="shared" si="4"/>
        <v/>
      </c>
      <c r="H48" s="27"/>
      <c r="I48" s="84"/>
      <c r="J48" s="92" t="str">
        <f>IF(AND(A48&lt;&gt;"",E48&lt;&gt;""),IF(I48="","⚠️ Enter Code",IF(IFERROR(VLOOKUP(H48,DB_Agents!$B:$I,8,0),"")=I48,IF(C48&gt;=E48,"Successful","Unsuccessful"),"🔒 BLOCKED — Wrong Code")),"—")</f>
        <v>—</v>
      </c>
      <c r="K48" s="93" t="str">
        <f t="shared" ca="1" si="5"/>
        <v>—</v>
      </c>
      <c r="L48" s="94"/>
    </row>
    <row r="49" spans="1:12" x14ac:dyDescent="0.25">
      <c r="A49" s="79"/>
      <c r="B49" s="21" t="str">
        <f>IF(A49="","",IFERROR(VLOOKUP(A49,DB_Customers!$A:$D,4,0),"❌ Account Not Found"))</f>
        <v/>
      </c>
      <c r="C49" s="80" t="str">
        <f>IF(A49="","",IFERROR(VLOOKUP(A49,DB_Customers!$A:$N,14,0),""))</f>
        <v/>
      </c>
      <c r="D49" s="81" t="str">
        <f t="shared" ca="1" si="3"/>
        <v/>
      </c>
      <c r="E49" s="97"/>
      <c r="F49" s="21"/>
      <c r="G49" s="98" t="str">
        <f t="shared" si="4"/>
        <v/>
      </c>
      <c r="H49" s="23"/>
      <c r="I49" s="84"/>
      <c r="J49" s="85" t="str">
        <f>IF(AND(A49&lt;&gt;"",E49&lt;&gt;""),IF(I49="","⚠️ Enter Code",IF(IFERROR(VLOOKUP(H49,DB_Agents!$B:$I,8,0),"")=I49,IF(C49&gt;=E49,"Successful","Unsuccessful"),"🔒 BLOCKED — Wrong Code")),"—")</f>
        <v>—</v>
      </c>
      <c r="K49" s="86" t="str">
        <f t="shared" ca="1" si="5"/>
        <v>—</v>
      </c>
      <c r="L49" s="87"/>
    </row>
    <row r="50" spans="1:12" x14ac:dyDescent="0.25">
      <c r="A50" s="88"/>
      <c r="B50" s="25" t="str">
        <f>IF(A50="","",IFERROR(VLOOKUP(A50,DB_Customers!$A:$D,4,0),"❌ Account Not Found"))</f>
        <v/>
      </c>
      <c r="C50" s="89" t="str">
        <f>IF(A50="","",IFERROR(VLOOKUP(A50,DB_Customers!$A:$N,14,0),""))</f>
        <v/>
      </c>
      <c r="D50" s="90" t="str">
        <f t="shared" ca="1" si="3"/>
        <v/>
      </c>
      <c r="E50" s="97"/>
      <c r="F50" s="25"/>
      <c r="G50" s="99" t="str">
        <f t="shared" si="4"/>
        <v/>
      </c>
      <c r="H50" s="27"/>
      <c r="I50" s="84"/>
      <c r="J50" s="92" t="str">
        <f>IF(AND(A50&lt;&gt;"",E50&lt;&gt;""),IF(I50="","⚠️ Enter Code",IF(IFERROR(VLOOKUP(H50,DB_Agents!$B:$I,8,0),"")=I50,IF(C50&gt;=E50,"Successful","Unsuccessful"),"🔒 BLOCKED — Wrong Code")),"—")</f>
        <v>—</v>
      </c>
      <c r="K50" s="93" t="str">
        <f t="shared" ca="1" si="5"/>
        <v>—</v>
      </c>
      <c r="L50" s="94"/>
    </row>
    <row r="51" spans="1:12" x14ac:dyDescent="0.25">
      <c r="A51" s="79"/>
      <c r="B51" s="21" t="str">
        <f>IF(A51="","",IFERROR(VLOOKUP(A51,DB_Customers!$A:$D,4,0),"❌ Account Not Found"))</f>
        <v/>
      </c>
      <c r="C51" s="80" t="str">
        <f>IF(A51="","",IFERROR(VLOOKUP(A51,DB_Customers!$A:$N,14,0),""))</f>
        <v/>
      </c>
      <c r="D51" s="81" t="str">
        <f t="shared" ca="1" si="3"/>
        <v/>
      </c>
      <c r="E51" s="97"/>
      <c r="F51" s="21"/>
      <c r="G51" s="98" t="str">
        <f t="shared" si="4"/>
        <v/>
      </c>
      <c r="H51" s="23"/>
      <c r="I51" s="84"/>
      <c r="J51" s="85" t="str">
        <f>IF(AND(A51&lt;&gt;"",E51&lt;&gt;""),IF(I51="","⚠️ Enter Code",IF(IFERROR(VLOOKUP(H51,DB_Agents!$B:$I,8,0),"")=I51,IF(C51&gt;=E51,"Successful","Unsuccessful"),"🔒 BLOCKED — Wrong Code")),"—")</f>
        <v>—</v>
      </c>
      <c r="K51" s="86" t="str">
        <f t="shared" ca="1" si="5"/>
        <v>—</v>
      </c>
      <c r="L51" s="87"/>
    </row>
    <row r="52" spans="1:12" x14ac:dyDescent="0.25">
      <c r="A52" s="88"/>
      <c r="B52" s="25" t="str">
        <f>IF(A52="","",IFERROR(VLOOKUP(A52,DB_Customers!$A:$D,4,0),"❌ Account Not Found"))</f>
        <v/>
      </c>
      <c r="C52" s="89" t="str">
        <f>IF(A52="","",IFERROR(VLOOKUP(A52,DB_Customers!$A:$N,14,0),""))</f>
        <v/>
      </c>
      <c r="D52" s="90" t="str">
        <f t="shared" ca="1" si="3"/>
        <v/>
      </c>
      <c r="E52" s="97"/>
      <c r="F52" s="25"/>
      <c r="G52" s="99" t="str">
        <f t="shared" si="4"/>
        <v/>
      </c>
      <c r="H52" s="27"/>
      <c r="I52" s="84"/>
      <c r="J52" s="92" t="str">
        <f>IF(AND(A52&lt;&gt;"",E52&lt;&gt;""),IF(I52="","⚠️ Enter Code",IF(IFERROR(VLOOKUP(H52,DB_Agents!$B:$I,8,0),"")=I52,IF(C52&gt;=E52,"Successful","Unsuccessful"),"🔒 BLOCKED — Wrong Code")),"—")</f>
        <v>—</v>
      </c>
      <c r="K52" s="93" t="str">
        <f t="shared" ca="1" si="5"/>
        <v>—</v>
      </c>
      <c r="L52" s="94"/>
    </row>
    <row r="53" spans="1:12" x14ac:dyDescent="0.25">
      <c r="A53" s="79"/>
      <c r="B53" s="21" t="str">
        <f>IF(A53="","",IFERROR(VLOOKUP(A53,DB_Customers!$A:$D,4,0),"❌ Account Not Found"))</f>
        <v/>
      </c>
      <c r="C53" s="80" t="str">
        <f>IF(A53="","",IFERROR(VLOOKUP(A53,DB_Customers!$A:$N,14,0),""))</f>
        <v/>
      </c>
      <c r="D53" s="81" t="str">
        <f t="shared" ca="1" si="3"/>
        <v/>
      </c>
      <c r="E53" s="97"/>
      <c r="F53" s="21"/>
      <c r="G53" s="98" t="str">
        <f t="shared" si="4"/>
        <v/>
      </c>
      <c r="H53" s="23"/>
      <c r="I53" s="84"/>
      <c r="J53" s="85" t="str">
        <f>IF(AND(A53&lt;&gt;"",E53&lt;&gt;""),IF(I53="","⚠️ Enter Code",IF(IFERROR(VLOOKUP(H53,DB_Agents!$B:$I,8,0),"")=I53,IF(C53&gt;=E53,"Successful","Unsuccessful"),"🔒 BLOCKED — Wrong Code")),"—")</f>
        <v>—</v>
      </c>
      <c r="K53" s="86" t="str">
        <f t="shared" ca="1" si="5"/>
        <v>—</v>
      </c>
      <c r="L53" s="87"/>
    </row>
    <row r="54" spans="1:12" x14ac:dyDescent="0.25">
      <c r="A54" s="88"/>
      <c r="B54" s="25" t="str">
        <f>IF(A54="","",IFERROR(VLOOKUP(A54,DB_Customers!$A:$D,4,0),"❌ Account Not Found"))</f>
        <v/>
      </c>
      <c r="C54" s="89" t="str">
        <f>IF(A54="","",IFERROR(VLOOKUP(A54,DB_Customers!$A:$N,14,0),""))</f>
        <v/>
      </c>
      <c r="D54" s="90" t="str">
        <f t="shared" ca="1" si="3"/>
        <v/>
      </c>
      <c r="E54" s="97"/>
      <c r="F54" s="25"/>
      <c r="G54" s="99" t="str">
        <f t="shared" si="4"/>
        <v/>
      </c>
      <c r="H54" s="27"/>
      <c r="I54" s="84"/>
      <c r="J54" s="92" t="str">
        <f>IF(AND(A54&lt;&gt;"",E54&lt;&gt;""),IF(I54="","⚠️ Enter Code",IF(IFERROR(VLOOKUP(H54,DB_Agents!$B:$I,8,0),"")=I54,IF(C54&gt;=E54,"Successful","Unsuccessful"),"🔒 BLOCKED — Wrong Code")),"—")</f>
        <v>—</v>
      </c>
      <c r="K54" s="93" t="str">
        <f t="shared" ca="1" si="5"/>
        <v>—</v>
      </c>
      <c r="L54" s="94"/>
    </row>
    <row r="55" spans="1:12" x14ac:dyDescent="0.25">
      <c r="A55" s="79"/>
      <c r="B55" s="21" t="str">
        <f>IF(A55="","",IFERROR(VLOOKUP(A55,DB_Customers!$A:$D,4,0),"❌ Account Not Found"))</f>
        <v/>
      </c>
      <c r="C55" s="80" t="str">
        <f>IF(A55="","",IFERROR(VLOOKUP(A55,DB_Customers!$A:$N,14,0),""))</f>
        <v/>
      </c>
      <c r="D55" s="81" t="str">
        <f t="shared" ca="1" si="3"/>
        <v/>
      </c>
      <c r="E55" s="97"/>
      <c r="F55" s="21"/>
      <c r="G55" s="98" t="str">
        <f t="shared" si="4"/>
        <v/>
      </c>
      <c r="H55" s="23"/>
      <c r="I55" s="84"/>
      <c r="J55" s="85" t="str">
        <f>IF(AND(A55&lt;&gt;"",E55&lt;&gt;""),IF(I55="","⚠️ Enter Code",IF(IFERROR(VLOOKUP(H55,DB_Agents!$B:$I,8,0),"")=I55,IF(C55&gt;=E55,"Successful","Unsuccessful"),"🔒 BLOCKED — Wrong Code")),"—")</f>
        <v>—</v>
      </c>
      <c r="K55" s="86" t="str">
        <f t="shared" ca="1" si="5"/>
        <v>—</v>
      </c>
      <c r="L55" s="87"/>
    </row>
    <row r="56" spans="1:12" x14ac:dyDescent="0.25">
      <c r="A56" s="88"/>
      <c r="B56" s="25" t="str">
        <f>IF(A56="","",IFERROR(VLOOKUP(A56,DB_Customers!$A:$D,4,0),"❌ Account Not Found"))</f>
        <v/>
      </c>
      <c r="C56" s="89" t="str">
        <f>IF(A56="","",IFERROR(VLOOKUP(A56,DB_Customers!$A:$N,14,0),""))</f>
        <v/>
      </c>
      <c r="D56" s="90" t="str">
        <f t="shared" ca="1" si="3"/>
        <v/>
      </c>
      <c r="E56" s="97"/>
      <c r="F56" s="25"/>
      <c r="G56" s="99" t="str">
        <f t="shared" si="4"/>
        <v/>
      </c>
      <c r="H56" s="27"/>
      <c r="I56" s="84"/>
      <c r="J56" s="92" t="str">
        <f>IF(AND(A56&lt;&gt;"",E56&lt;&gt;""),IF(I56="","⚠️ Enter Code",IF(IFERROR(VLOOKUP(H56,DB_Agents!$B:$I,8,0),"")=I56,IF(C56&gt;=E56,"Successful","Unsuccessful"),"🔒 BLOCKED — Wrong Code")),"—")</f>
        <v>—</v>
      </c>
      <c r="K56" s="93" t="str">
        <f t="shared" ca="1" si="5"/>
        <v>—</v>
      </c>
      <c r="L56" s="94"/>
    </row>
    <row r="57" spans="1:12" x14ac:dyDescent="0.25">
      <c r="A57" s="79"/>
      <c r="B57" s="21" t="str">
        <f>IF(A57="","",IFERROR(VLOOKUP(A57,DB_Customers!$A:$D,4,0),"❌ Account Not Found"))</f>
        <v/>
      </c>
      <c r="C57" s="80" t="str">
        <f>IF(A57="","",IFERROR(VLOOKUP(A57,DB_Customers!$A:$N,14,0),""))</f>
        <v/>
      </c>
      <c r="D57" s="81" t="str">
        <f t="shared" ca="1" si="3"/>
        <v/>
      </c>
      <c r="E57" s="97"/>
      <c r="F57" s="21"/>
      <c r="G57" s="98" t="str">
        <f t="shared" si="4"/>
        <v/>
      </c>
      <c r="H57" s="23"/>
      <c r="I57" s="84"/>
      <c r="J57" s="85" t="str">
        <f>IF(AND(A57&lt;&gt;"",E57&lt;&gt;""),IF(I57="","⚠️ Enter Code",IF(IFERROR(VLOOKUP(H57,DB_Agents!$B:$I,8,0),"")=I57,IF(C57&gt;=E57,"Successful","Unsuccessful"),"🔒 BLOCKED — Wrong Code")),"—")</f>
        <v>—</v>
      </c>
      <c r="K57" s="86" t="str">
        <f t="shared" ca="1" si="5"/>
        <v>—</v>
      </c>
      <c r="L57" s="87"/>
    </row>
    <row r="58" spans="1:12" x14ac:dyDescent="0.25">
      <c r="A58" s="88"/>
      <c r="B58" s="25" t="str">
        <f>IF(A58="","",IFERROR(VLOOKUP(A58,DB_Customers!$A:$D,4,0),"❌ Account Not Found"))</f>
        <v/>
      </c>
      <c r="C58" s="89" t="str">
        <f>IF(A58="","",IFERROR(VLOOKUP(A58,DB_Customers!$A:$N,14,0),""))</f>
        <v/>
      </c>
      <c r="D58" s="90" t="str">
        <f t="shared" ca="1" si="3"/>
        <v/>
      </c>
      <c r="E58" s="97"/>
      <c r="F58" s="25"/>
      <c r="G58" s="99" t="str">
        <f t="shared" si="4"/>
        <v/>
      </c>
      <c r="H58" s="27"/>
      <c r="I58" s="84"/>
      <c r="J58" s="92" t="str">
        <f>IF(AND(A58&lt;&gt;"",E58&lt;&gt;""),IF(I58="","⚠️ Enter Code",IF(IFERROR(VLOOKUP(H58,DB_Agents!$B:$I,8,0),"")=I58,IF(C58&gt;=E58,"Successful","Unsuccessful"),"🔒 BLOCKED — Wrong Code")),"—")</f>
        <v>—</v>
      </c>
      <c r="K58" s="93" t="str">
        <f t="shared" ca="1" si="5"/>
        <v>—</v>
      </c>
      <c r="L58" s="94"/>
    </row>
    <row r="59" spans="1:12" x14ac:dyDescent="0.25">
      <c r="A59" s="79"/>
      <c r="B59" s="21" t="str">
        <f>IF(A59="","",IFERROR(VLOOKUP(A59,DB_Customers!$A:$D,4,0),"❌ Account Not Found"))</f>
        <v/>
      </c>
      <c r="C59" s="80" t="str">
        <f>IF(A59="","",IFERROR(VLOOKUP(A59,DB_Customers!$A:$N,14,0),""))</f>
        <v/>
      </c>
      <c r="D59" s="81" t="str">
        <f t="shared" ca="1" si="3"/>
        <v/>
      </c>
      <c r="E59" s="97"/>
      <c r="F59" s="21"/>
      <c r="G59" s="98" t="str">
        <f t="shared" si="4"/>
        <v/>
      </c>
      <c r="H59" s="23"/>
      <c r="I59" s="84"/>
      <c r="J59" s="85" t="str">
        <f>IF(AND(A59&lt;&gt;"",E59&lt;&gt;""),IF(I59="","⚠️ Enter Code",IF(IFERROR(VLOOKUP(H59,DB_Agents!$B:$I,8,0),"")=I59,IF(C59&gt;=E59,"Successful","Unsuccessful"),"🔒 BLOCKED — Wrong Code")),"—")</f>
        <v>—</v>
      </c>
      <c r="K59" s="86" t="str">
        <f t="shared" ca="1" si="5"/>
        <v>—</v>
      </c>
      <c r="L59" s="87"/>
    </row>
    <row r="60" spans="1:12" x14ac:dyDescent="0.25">
      <c r="A60" s="88"/>
      <c r="B60" s="25" t="str">
        <f>IF(A60="","",IFERROR(VLOOKUP(A60,DB_Customers!$A:$D,4,0),"❌ Account Not Found"))</f>
        <v/>
      </c>
      <c r="C60" s="89" t="str">
        <f>IF(A60="","",IFERROR(VLOOKUP(A60,DB_Customers!$A:$N,14,0),""))</f>
        <v/>
      </c>
      <c r="D60" s="90" t="str">
        <f t="shared" ca="1" si="3"/>
        <v/>
      </c>
      <c r="E60" s="97"/>
      <c r="F60" s="25"/>
      <c r="G60" s="99" t="str">
        <f t="shared" si="4"/>
        <v/>
      </c>
      <c r="H60" s="27"/>
      <c r="I60" s="84"/>
      <c r="J60" s="92" t="str">
        <f>IF(AND(A60&lt;&gt;"",E60&lt;&gt;""),IF(I60="","⚠️ Enter Code",IF(IFERROR(VLOOKUP(H60,DB_Agents!$B:$I,8,0),"")=I60,IF(C60&gt;=E60,"Successful","Unsuccessful"),"🔒 BLOCKED — Wrong Code")),"—")</f>
        <v>—</v>
      </c>
      <c r="K60" s="93" t="str">
        <f t="shared" ca="1" si="5"/>
        <v>—</v>
      </c>
      <c r="L60" s="94"/>
    </row>
    <row r="61" spans="1:12" x14ac:dyDescent="0.25">
      <c r="A61" s="79"/>
      <c r="B61" s="21" t="str">
        <f>IF(A61="","",IFERROR(VLOOKUP(A61,DB_Customers!$A:$D,4,0),"❌ Account Not Found"))</f>
        <v/>
      </c>
      <c r="C61" s="80" t="str">
        <f>IF(A61="","",IFERROR(VLOOKUP(A61,DB_Customers!$A:$N,14,0),""))</f>
        <v/>
      </c>
      <c r="D61" s="81" t="str">
        <f t="shared" ca="1" si="3"/>
        <v/>
      </c>
      <c r="E61" s="97"/>
      <c r="F61" s="21"/>
      <c r="G61" s="98" t="str">
        <f t="shared" si="4"/>
        <v/>
      </c>
      <c r="H61" s="23"/>
      <c r="I61" s="84"/>
      <c r="J61" s="85" t="str">
        <f>IF(AND(A61&lt;&gt;"",E61&lt;&gt;""),IF(I61="","⚠️ Enter Code",IF(IFERROR(VLOOKUP(H61,DB_Agents!$B:$I,8,0),"")=I61,IF(C61&gt;=E61,"Successful","Unsuccessful"),"🔒 BLOCKED — Wrong Code")),"—")</f>
        <v>—</v>
      </c>
      <c r="K61" s="86" t="str">
        <f t="shared" ca="1" si="5"/>
        <v>—</v>
      </c>
      <c r="L61" s="87"/>
    </row>
    <row r="62" spans="1:12" x14ac:dyDescent="0.25">
      <c r="A62" s="88"/>
      <c r="B62" s="25" t="str">
        <f>IF(A62="","",IFERROR(VLOOKUP(A62,DB_Customers!$A:$D,4,0),"❌ Account Not Found"))</f>
        <v/>
      </c>
      <c r="C62" s="89" t="str">
        <f>IF(A62="","",IFERROR(VLOOKUP(A62,DB_Customers!$A:$N,14,0),""))</f>
        <v/>
      </c>
      <c r="D62" s="90" t="str">
        <f t="shared" ca="1" si="3"/>
        <v/>
      </c>
      <c r="E62" s="97"/>
      <c r="F62" s="25"/>
      <c r="G62" s="99" t="str">
        <f t="shared" si="4"/>
        <v/>
      </c>
      <c r="H62" s="27"/>
      <c r="I62" s="84"/>
      <c r="J62" s="92" t="str">
        <f>IF(AND(A62&lt;&gt;"",E62&lt;&gt;""),IF(I62="","⚠️ Enter Code",IF(IFERROR(VLOOKUP(H62,DB_Agents!$B:$I,8,0),"")=I62,IF(C62&gt;=E62,"Successful","Unsuccessful"),"🔒 BLOCKED — Wrong Code")),"—")</f>
        <v>—</v>
      </c>
      <c r="K62" s="93" t="str">
        <f t="shared" ca="1" si="5"/>
        <v>—</v>
      </c>
      <c r="L62" s="94"/>
    </row>
    <row r="63" spans="1:12" x14ac:dyDescent="0.25">
      <c r="A63" s="79"/>
      <c r="B63" s="21" t="str">
        <f>IF(A63="","",IFERROR(VLOOKUP(A63,DB_Customers!$A:$D,4,0),"❌ Account Not Found"))</f>
        <v/>
      </c>
      <c r="C63" s="80" t="str">
        <f>IF(A63="","",IFERROR(VLOOKUP(A63,DB_Customers!$A:$N,14,0),""))</f>
        <v/>
      </c>
      <c r="D63" s="81" t="str">
        <f t="shared" ca="1" si="3"/>
        <v/>
      </c>
      <c r="E63" s="97"/>
      <c r="F63" s="21"/>
      <c r="G63" s="98" t="str">
        <f t="shared" si="4"/>
        <v/>
      </c>
      <c r="H63" s="23"/>
      <c r="I63" s="84"/>
      <c r="J63" s="85" t="str">
        <f>IF(AND(A63&lt;&gt;"",E63&lt;&gt;""),IF(I63="","⚠️ Enter Code",IF(IFERROR(VLOOKUP(H63,DB_Agents!$B:$I,8,0),"")=I63,IF(C63&gt;=E63,"Successful","Unsuccessful"),"🔒 BLOCKED — Wrong Code")),"—")</f>
        <v>—</v>
      </c>
      <c r="K63" s="86" t="str">
        <f t="shared" ca="1" si="5"/>
        <v>—</v>
      </c>
      <c r="L63" s="87"/>
    </row>
    <row r="64" spans="1:12" x14ac:dyDescent="0.25">
      <c r="A64" s="88"/>
      <c r="B64" s="25" t="str">
        <f>IF(A64="","",IFERROR(VLOOKUP(A64,DB_Customers!$A:$D,4,0),"❌ Account Not Found"))</f>
        <v/>
      </c>
      <c r="C64" s="89" t="str">
        <f>IF(A64="","",IFERROR(VLOOKUP(A64,DB_Customers!$A:$N,14,0),""))</f>
        <v/>
      </c>
      <c r="D64" s="90" t="str">
        <f t="shared" ca="1" si="3"/>
        <v/>
      </c>
      <c r="E64" s="97"/>
      <c r="F64" s="25"/>
      <c r="G64" s="99" t="str">
        <f t="shared" si="4"/>
        <v/>
      </c>
      <c r="H64" s="27"/>
      <c r="I64" s="84"/>
      <c r="J64" s="92" t="str">
        <f>IF(AND(A64&lt;&gt;"",E64&lt;&gt;""),IF(I64="","⚠️ Enter Code",IF(IFERROR(VLOOKUP(H64,DB_Agents!$B:$I,8,0),"")=I64,IF(C64&gt;=E64,"Successful","Unsuccessful"),"🔒 BLOCKED — Wrong Code")),"—")</f>
        <v>—</v>
      </c>
      <c r="K64" s="93" t="str">
        <f t="shared" ca="1" si="5"/>
        <v>—</v>
      </c>
      <c r="L64" s="94"/>
    </row>
    <row r="65" spans="1:12" x14ac:dyDescent="0.25">
      <c r="A65" s="79"/>
      <c r="B65" s="21" t="str">
        <f>IF(A65="","",IFERROR(VLOOKUP(A65,DB_Customers!$A:$D,4,0),"❌ Account Not Found"))</f>
        <v/>
      </c>
      <c r="C65" s="80" t="str">
        <f>IF(A65="","",IFERROR(VLOOKUP(A65,DB_Customers!$A:$N,14,0),""))</f>
        <v/>
      </c>
      <c r="D65" s="81" t="str">
        <f t="shared" ca="1" si="3"/>
        <v/>
      </c>
      <c r="E65" s="97"/>
      <c r="F65" s="21"/>
      <c r="G65" s="98" t="str">
        <f t="shared" si="4"/>
        <v/>
      </c>
      <c r="H65" s="23"/>
      <c r="I65" s="84"/>
      <c r="J65" s="85" t="str">
        <f>IF(AND(A65&lt;&gt;"",E65&lt;&gt;""),IF(I65="","⚠️ Enter Code",IF(IFERROR(VLOOKUP(H65,DB_Agents!$B:$I,8,0),"")=I65,IF(C65&gt;=E65,"Successful","Unsuccessful"),"🔒 BLOCKED — Wrong Code")),"—")</f>
        <v>—</v>
      </c>
      <c r="K65" s="86" t="str">
        <f t="shared" ca="1" si="5"/>
        <v>—</v>
      </c>
      <c r="L65" s="87"/>
    </row>
    <row r="66" spans="1:12" x14ac:dyDescent="0.25">
      <c r="A66" s="88"/>
      <c r="B66" s="25" t="str">
        <f>IF(A66="","",IFERROR(VLOOKUP(A66,DB_Customers!$A:$D,4,0),"❌ Account Not Found"))</f>
        <v/>
      </c>
      <c r="C66" s="89" t="str">
        <f>IF(A66="","",IFERROR(VLOOKUP(A66,DB_Customers!$A:$N,14,0),""))</f>
        <v/>
      </c>
      <c r="D66" s="90" t="str">
        <f t="shared" ca="1" si="3"/>
        <v/>
      </c>
      <c r="E66" s="97"/>
      <c r="F66" s="25"/>
      <c r="G66" s="99" t="str">
        <f t="shared" si="4"/>
        <v/>
      </c>
      <c r="H66" s="27"/>
      <c r="I66" s="84"/>
      <c r="J66" s="92" t="str">
        <f>IF(AND(A66&lt;&gt;"",E66&lt;&gt;""),IF(I66="","⚠️ Enter Code",IF(IFERROR(VLOOKUP(H66,DB_Agents!$B:$I,8,0),"")=I66,IF(C66&gt;=E66,"Successful","Unsuccessful"),"🔒 BLOCKED — Wrong Code")),"—")</f>
        <v>—</v>
      </c>
      <c r="K66" s="93" t="str">
        <f t="shared" ca="1" si="5"/>
        <v>—</v>
      </c>
      <c r="L66" s="94"/>
    </row>
    <row r="67" spans="1:12" x14ac:dyDescent="0.25">
      <c r="A67" s="79"/>
      <c r="B67" s="21" t="str">
        <f>IF(A67="","",IFERROR(VLOOKUP(A67,DB_Customers!$A:$D,4,0),"❌ Account Not Found"))</f>
        <v/>
      </c>
      <c r="C67" s="80" t="str">
        <f>IF(A67="","",IFERROR(VLOOKUP(A67,DB_Customers!$A:$N,14,0),""))</f>
        <v/>
      </c>
      <c r="D67" s="81" t="str">
        <f t="shared" ca="1" si="3"/>
        <v/>
      </c>
      <c r="E67" s="97"/>
      <c r="F67" s="21"/>
      <c r="G67" s="98" t="str">
        <f t="shared" si="4"/>
        <v/>
      </c>
      <c r="H67" s="23"/>
      <c r="I67" s="84"/>
      <c r="J67" s="85" t="str">
        <f>IF(AND(A67&lt;&gt;"",E67&lt;&gt;""),IF(I67="","⚠️ Enter Code",IF(IFERROR(VLOOKUP(H67,DB_Agents!$B:$I,8,0),"")=I67,IF(C67&gt;=E67,"Successful","Unsuccessful"),"🔒 BLOCKED — Wrong Code")),"—")</f>
        <v>—</v>
      </c>
      <c r="K67" s="86" t="str">
        <f t="shared" ca="1" si="5"/>
        <v>—</v>
      </c>
      <c r="L67" s="87"/>
    </row>
    <row r="68" spans="1:12" x14ac:dyDescent="0.25">
      <c r="A68" s="88"/>
      <c r="B68" s="25" t="str">
        <f>IF(A68="","",IFERROR(VLOOKUP(A68,DB_Customers!$A:$D,4,0),"❌ Account Not Found"))</f>
        <v/>
      </c>
      <c r="C68" s="89" t="str">
        <f>IF(A68="","",IFERROR(VLOOKUP(A68,DB_Customers!$A:$N,14,0),""))</f>
        <v/>
      </c>
      <c r="D68" s="90" t="str">
        <f t="shared" ca="1" si="3"/>
        <v/>
      </c>
      <c r="E68" s="97"/>
      <c r="F68" s="25"/>
      <c r="G68" s="99" t="str">
        <f t="shared" si="4"/>
        <v/>
      </c>
      <c r="H68" s="27"/>
      <c r="I68" s="84"/>
      <c r="J68" s="92" t="str">
        <f>IF(AND(A68&lt;&gt;"",E68&lt;&gt;""),IF(I68="","⚠️ Enter Code",IF(IFERROR(VLOOKUP(H68,DB_Agents!$B:$I,8,0),"")=I68,IF(C68&gt;=E68,"Successful","Unsuccessful"),"🔒 BLOCKED — Wrong Code")),"—")</f>
        <v>—</v>
      </c>
      <c r="K68" s="93" t="str">
        <f t="shared" ca="1" si="5"/>
        <v>—</v>
      </c>
      <c r="L68" s="94"/>
    </row>
    <row r="69" spans="1:12" x14ac:dyDescent="0.25">
      <c r="A69" s="79"/>
      <c r="B69" s="21" t="str">
        <f>IF(A69="","",IFERROR(VLOOKUP(A69,DB_Customers!$A:$D,4,0),"❌ Account Not Found"))</f>
        <v/>
      </c>
      <c r="C69" s="80" t="str">
        <f>IF(A69="","",IFERROR(VLOOKUP(A69,DB_Customers!$A:$N,14,0),""))</f>
        <v/>
      </c>
      <c r="D69" s="81" t="str">
        <f t="shared" ca="1" si="3"/>
        <v/>
      </c>
      <c r="E69" s="97"/>
      <c r="F69" s="21"/>
      <c r="G69" s="98" t="str">
        <f t="shared" si="4"/>
        <v/>
      </c>
      <c r="H69" s="23"/>
      <c r="I69" s="84"/>
      <c r="J69" s="85" t="str">
        <f>IF(AND(A69&lt;&gt;"",E69&lt;&gt;""),IF(I69="","⚠️ Enter Code",IF(IFERROR(VLOOKUP(H69,DB_Agents!$B:$I,8,0),"")=I69,IF(C69&gt;=E69,"Successful","Unsuccessful"),"🔒 BLOCKED — Wrong Code")),"—")</f>
        <v>—</v>
      </c>
      <c r="K69" s="86" t="str">
        <f t="shared" ca="1" si="5"/>
        <v>—</v>
      </c>
      <c r="L69" s="87"/>
    </row>
    <row r="70" spans="1:12" x14ac:dyDescent="0.25">
      <c r="A70" s="88"/>
      <c r="B70" s="25" t="str">
        <f>IF(A70="","",IFERROR(VLOOKUP(A70,DB_Customers!$A:$D,4,0),"❌ Account Not Found"))</f>
        <v/>
      </c>
      <c r="C70" s="89" t="str">
        <f>IF(A70="","",IFERROR(VLOOKUP(A70,DB_Customers!$A:$N,14,0),""))</f>
        <v/>
      </c>
      <c r="D70" s="90" t="str">
        <f t="shared" ca="1" si="3"/>
        <v/>
      </c>
      <c r="E70" s="97"/>
      <c r="F70" s="25"/>
      <c r="G70" s="99" t="str">
        <f t="shared" si="4"/>
        <v/>
      </c>
      <c r="H70" s="27"/>
      <c r="I70" s="84"/>
      <c r="J70" s="92" t="str">
        <f>IF(AND(A70&lt;&gt;"",E70&lt;&gt;""),IF(I70="","⚠️ Enter Code",IF(IFERROR(VLOOKUP(H70,DB_Agents!$B:$I,8,0),"")=I70,IF(C70&gt;=E70,"Successful","Unsuccessful"),"🔒 BLOCKED — Wrong Code")),"—")</f>
        <v>—</v>
      </c>
      <c r="K70" s="93" t="str">
        <f t="shared" ca="1" si="5"/>
        <v>—</v>
      </c>
      <c r="L70" s="94"/>
    </row>
    <row r="71" spans="1:12" x14ac:dyDescent="0.25">
      <c r="A71" s="79"/>
      <c r="B71" s="21" t="str">
        <f>IF(A71="","",IFERROR(VLOOKUP(A71,DB_Customers!$A:$D,4,0),"❌ Account Not Found"))</f>
        <v/>
      </c>
      <c r="C71" s="80" t="str">
        <f>IF(A71="","",IFERROR(VLOOKUP(A71,DB_Customers!$A:$N,14,0),""))</f>
        <v/>
      </c>
      <c r="D71" s="81" t="str">
        <f t="shared" ca="1" si="3"/>
        <v/>
      </c>
      <c r="E71" s="97"/>
      <c r="F71" s="21"/>
      <c r="G71" s="98" t="str">
        <f t="shared" si="4"/>
        <v/>
      </c>
      <c r="H71" s="23"/>
      <c r="I71" s="84"/>
      <c r="J71" s="85" t="str">
        <f>IF(AND(A71&lt;&gt;"",E71&lt;&gt;""),IF(I71="","⚠️ Enter Code",IF(IFERROR(VLOOKUP(H71,DB_Agents!$B:$I,8,0),"")=I71,IF(C71&gt;=E71,"Successful","Unsuccessful"),"🔒 BLOCKED — Wrong Code")),"—")</f>
        <v>—</v>
      </c>
      <c r="K71" s="86" t="str">
        <f t="shared" ca="1" si="5"/>
        <v>—</v>
      </c>
      <c r="L71" s="87"/>
    </row>
    <row r="72" spans="1:12" x14ac:dyDescent="0.25">
      <c r="A72" s="88"/>
      <c r="B72" s="25" t="str">
        <f>IF(A72="","",IFERROR(VLOOKUP(A72,DB_Customers!$A:$D,4,0),"❌ Account Not Found"))</f>
        <v/>
      </c>
      <c r="C72" s="89" t="str">
        <f>IF(A72="","",IFERROR(VLOOKUP(A72,DB_Customers!$A:$N,14,0),""))</f>
        <v/>
      </c>
      <c r="D72" s="90" t="str">
        <f t="shared" ca="1" si="3"/>
        <v/>
      </c>
      <c r="E72" s="97"/>
      <c r="F72" s="25"/>
      <c r="G72" s="99" t="str">
        <f t="shared" si="4"/>
        <v/>
      </c>
      <c r="H72" s="27"/>
      <c r="I72" s="84"/>
      <c r="J72" s="92" t="str">
        <f>IF(AND(A72&lt;&gt;"",E72&lt;&gt;""),IF(I72="","⚠️ Enter Code",IF(IFERROR(VLOOKUP(H72,DB_Agents!$B:$I,8,0),"")=I72,IF(C72&gt;=E72,"Successful","Unsuccessful"),"🔒 BLOCKED — Wrong Code")),"—")</f>
        <v>—</v>
      </c>
      <c r="K72" s="93" t="str">
        <f t="shared" ca="1" si="5"/>
        <v>—</v>
      </c>
      <c r="L72" s="94"/>
    </row>
    <row r="73" spans="1:12" x14ac:dyDescent="0.25">
      <c r="A73" s="79"/>
      <c r="B73" s="21" t="str">
        <f>IF(A73="","",IFERROR(VLOOKUP(A73,DB_Customers!$A:$D,4,0),"❌ Account Not Found"))</f>
        <v/>
      </c>
      <c r="C73" s="80" t="str">
        <f>IF(A73="","",IFERROR(VLOOKUP(A73,DB_Customers!$A:$N,14,0),""))</f>
        <v/>
      </c>
      <c r="D73" s="81" t="str">
        <f t="shared" ref="D73:D104" ca="1" si="6">IF(A73="","",TODAY())</f>
        <v/>
      </c>
      <c r="E73" s="97"/>
      <c r="F73" s="21"/>
      <c r="G73" s="98" t="str">
        <f t="shared" ref="G73:G104" si="7">IF(OR(A73="",E73=""),"",IF(C73="","",C73-E73))</f>
        <v/>
      </c>
      <c r="H73" s="23"/>
      <c r="I73" s="84"/>
      <c r="J73" s="85" t="str">
        <f>IF(AND(A73&lt;&gt;"",E73&lt;&gt;""),IF(I73="","⚠️ Enter Code",IF(IFERROR(VLOOKUP(H73,DB_Agents!$B:$I,8,0),"")=I73,IF(C73&gt;=E73,"Successful","Unsuccessful"),"🔒 BLOCKED — Wrong Code")),"—")</f>
        <v>—</v>
      </c>
      <c r="K73" s="86" t="str">
        <f t="shared" ref="K73:K104" ca="1" si="8">IF(J73="Successful",TEXT(TODAY(),"YYYY-MM-DD")&amp;" Auto","—")</f>
        <v>—</v>
      </c>
      <c r="L73" s="87"/>
    </row>
    <row r="74" spans="1:12" x14ac:dyDescent="0.25">
      <c r="A74" s="88"/>
      <c r="B74" s="25" t="str">
        <f>IF(A74="","",IFERROR(VLOOKUP(A74,DB_Customers!$A:$D,4,0),"❌ Account Not Found"))</f>
        <v/>
      </c>
      <c r="C74" s="89" t="str">
        <f>IF(A74="","",IFERROR(VLOOKUP(A74,DB_Customers!$A:$N,14,0),""))</f>
        <v/>
      </c>
      <c r="D74" s="90" t="str">
        <f t="shared" ca="1" si="6"/>
        <v/>
      </c>
      <c r="E74" s="97"/>
      <c r="F74" s="25"/>
      <c r="G74" s="99" t="str">
        <f t="shared" si="7"/>
        <v/>
      </c>
      <c r="H74" s="27"/>
      <c r="I74" s="84"/>
      <c r="J74" s="92" t="str">
        <f>IF(AND(A74&lt;&gt;"",E74&lt;&gt;""),IF(I74="","⚠️ Enter Code",IF(IFERROR(VLOOKUP(H74,DB_Agents!$B:$I,8,0),"")=I74,IF(C74&gt;=E74,"Successful","Unsuccessful"),"🔒 BLOCKED — Wrong Code")),"—")</f>
        <v>—</v>
      </c>
      <c r="K74" s="93" t="str">
        <f t="shared" ca="1" si="8"/>
        <v>—</v>
      </c>
      <c r="L74" s="94"/>
    </row>
    <row r="75" spans="1:12" x14ac:dyDescent="0.25">
      <c r="A75" s="79"/>
      <c r="B75" s="21" t="str">
        <f>IF(A75="","",IFERROR(VLOOKUP(A75,DB_Customers!$A:$D,4,0),"❌ Account Not Found"))</f>
        <v/>
      </c>
      <c r="C75" s="80" t="str">
        <f>IF(A75="","",IFERROR(VLOOKUP(A75,DB_Customers!$A:$N,14,0),""))</f>
        <v/>
      </c>
      <c r="D75" s="81" t="str">
        <f t="shared" ca="1" si="6"/>
        <v/>
      </c>
      <c r="E75" s="97"/>
      <c r="F75" s="21"/>
      <c r="G75" s="98" t="str">
        <f t="shared" si="7"/>
        <v/>
      </c>
      <c r="H75" s="23"/>
      <c r="I75" s="84"/>
      <c r="J75" s="85" t="str">
        <f>IF(AND(A75&lt;&gt;"",E75&lt;&gt;""),IF(I75="","⚠️ Enter Code",IF(IFERROR(VLOOKUP(H75,DB_Agents!$B:$I,8,0),"")=I75,IF(C75&gt;=E75,"Successful","Unsuccessful"),"🔒 BLOCKED — Wrong Code")),"—")</f>
        <v>—</v>
      </c>
      <c r="K75" s="86" t="str">
        <f t="shared" ca="1" si="8"/>
        <v>—</v>
      </c>
      <c r="L75" s="87"/>
    </row>
    <row r="76" spans="1:12" x14ac:dyDescent="0.25">
      <c r="A76" s="88"/>
      <c r="B76" s="25" t="str">
        <f>IF(A76="","",IFERROR(VLOOKUP(A76,DB_Customers!$A:$D,4,0),"❌ Account Not Found"))</f>
        <v/>
      </c>
      <c r="C76" s="89" t="str">
        <f>IF(A76="","",IFERROR(VLOOKUP(A76,DB_Customers!$A:$N,14,0),""))</f>
        <v/>
      </c>
      <c r="D76" s="90" t="str">
        <f t="shared" ca="1" si="6"/>
        <v/>
      </c>
      <c r="E76" s="97"/>
      <c r="F76" s="25"/>
      <c r="G76" s="99" t="str">
        <f t="shared" si="7"/>
        <v/>
      </c>
      <c r="H76" s="27"/>
      <c r="I76" s="84"/>
      <c r="J76" s="92" t="str">
        <f>IF(AND(A76&lt;&gt;"",E76&lt;&gt;""),IF(I76="","⚠️ Enter Code",IF(IFERROR(VLOOKUP(H76,DB_Agents!$B:$I,8,0),"")=I76,IF(C76&gt;=E76,"Successful","Unsuccessful"),"🔒 BLOCKED — Wrong Code")),"—")</f>
        <v>—</v>
      </c>
      <c r="K76" s="93" t="str">
        <f t="shared" ca="1" si="8"/>
        <v>—</v>
      </c>
      <c r="L76" s="94"/>
    </row>
    <row r="77" spans="1:12" x14ac:dyDescent="0.25">
      <c r="A77" s="79"/>
      <c r="B77" s="21" t="str">
        <f>IF(A77="","",IFERROR(VLOOKUP(A77,DB_Customers!$A:$D,4,0),"❌ Account Not Found"))</f>
        <v/>
      </c>
      <c r="C77" s="80" t="str">
        <f>IF(A77="","",IFERROR(VLOOKUP(A77,DB_Customers!$A:$N,14,0),""))</f>
        <v/>
      </c>
      <c r="D77" s="81" t="str">
        <f t="shared" ca="1" si="6"/>
        <v/>
      </c>
      <c r="E77" s="97"/>
      <c r="F77" s="21"/>
      <c r="G77" s="98" t="str">
        <f t="shared" si="7"/>
        <v/>
      </c>
      <c r="H77" s="23"/>
      <c r="I77" s="84"/>
      <c r="J77" s="85" t="str">
        <f>IF(AND(A77&lt;&gt;"",E77&lt;&gt;""),IF(I77="","⚠️ Enter Code",IF(IFERROR(VLOOKUP(H77,DB_Agents!$B:$I,8,0),"")=I77,IF(C77&gt;=E77,"Successful","Unsuccessful"),"🔒 BLOCKED — Wrong Code")),"—")</f>
        <v>—</v>
      </c>
      <c r="K77" s="86" t="str">
        <f t="shared" ca="1" si="8"/>
        <v>—</v>
      </c>
      <c r="L77" s="87"/>
    </row>
    <row r="78" spans="1:12" x14ac:dyDescent="0.25">
      <c r="A78" s="88"/>
      <c r="B78" s="25" t="str">
        <f>IF(A78="","",IFERROR(VLOOKUP(A78,DB_Customers!$A:$D,4,0),"❌ Account Not Found"))</f>
        <v/>
      </c>
      <c r="C78" s="89" t="str">
        <f>IF(A78="","",IFERROR(VLOOKUP(A78,DB_Customers!$A:$N,14,0),""))</f>
        <v/>
      </c>
      <c r="D78" s="90" t="str">
        <f t="shared" ca="1" si="6"/>
        <v/>
      </c>
      <c r="E78" s="97"/>
      <c r="F78" s="25"/>
      <c r="G78" s="99" t="str">
        <f t="shared" si="7"/>
        <v/>
      </c>
      <c r="H78" s="27"/>
      <c r="I78" s="84"/>
      <c r="J78" s="92" t="str">
        <f>IF(AND(A78&lt;&gt;"",E78&lt;&gt;""),IF(I78="","⚠️ Enter Code",IF(IFERROR(VLOOKUP(H78,DB_Agents!$B:$I,8,0),"")=I78,IF(C78&gt;=E78,"Successful","Unsuccessful"),"🔒 BLOCKED — Wrong Code")),"—")</f>
        <v>—</v>
      </c>
      <c r="K78" s="93" t="str">
        <f t="shared" ca="1" si="8"/>
        <v>—</v>
      </c>
      <c r="L78" s="94"/>
    </row>
    <row r="79" spans="1:12" x14ac:dyDescent="0.25">
      <c r="A79" s="79"/>
      <c r="B79" s="21" t="str">
        <f>IF(A79="","",IFERROR(VLOOKUP(A79,DB_Customers!$A:$D,4,0),"❌ Account Not Found"))</f>
        <v/>
      </c>
      <c r="C79" s="80" t="str">
        <f>IF(A79="","",IFERROR(VLOOKUP(A79,DB_Customers!$A:$N,14,0),""))</f>
        <v/>
      </c>
      <c r="D79" s="81" t="str">
        <f t="shared" ca="1" si="6"/>
        <v/>
      </c>
      <c r="E79" s="97"/>
      <c r="F79" s="21"/>
      <c r="G79" s="98" t="str">
        <f t="shared" si="7"/>
        <v/>
      </c>
      <c r="H79" s="23"/>
      <c r="I79" s="84"/>
      <c r="J79" s="85" t="str">
        <f>IF(AND(A79&lt;&gt;"",E79&lt;&gt;""),IF(I79="","⚠️ Enter Code",IF(IFERROR(VLOOKUP(H79,DB_Agents!$B:$I,8,0),"")=I79,IF(C79&gt;=E79,"Successful","Unsuccessful"),"🔒 BLOCKED — Wrong Code")),"—")</f>
        <v>—</v>
      </c>
      <c r="K79" s="86" t="str">
        <f t="shared" ca="1" si="8"/>
        <v>—</v>
      </c>
      <c r="L79" s="87"/>
    </row>
    <row r="80" spans="1:12" x14ac:dyDescent="0.25">
      <c r="A80" s="88"/>
      <c r="B80" s="25" t="str">
        <f>IF(A80="","",IFERROR(VLOOKUP(A80,DB_Customers!$A:$D,4,0),"❌ Account Not Found"))</f>
        <v/>
      </c>
      <c r="C80" s="89" t="str">
        <f>IF(A80="","",IFERROR(VLOOKUP(A80,DB_Customers!$A:$N,14,0),""))</f>
        <v/>
      </c>
      <c r="D80" s="90" t="str">
        <f t="shared" ca="1" si="6"/>
        <v/>
      </c>
      <c r="E80" s="97"/>
      <c r="F80" s="25"/>
      <c r="G80" s="99" t="str">
        <f t="shared" si="7"/>
        <v/>
      </c>
      <c r="H80" s="27"/>
      <c r="I80" s="84"/>
      <c r="J80" s="92" t="str">
        <f>IF(AND(A80&lt;&gt;"",E80&lt;&gt;""),IF(I80="","⚠️ Enter Code",IF(IFERROR(VLOOKUP(H80,DB_Agents!$B:$I,8,0),"")=I80,IF(C80&gt;=E80,"Successful","Unsuccessful"),"🔒 BLOCKED — Wrong Code")),"—")</f>
        <v>—</v>
      </c>
      <c r="K80" s="93" t="str">
        <f t="shared" ca="1" si="8"/>
        <v>—</v>
      </c>
      <c r="L80" s="94"/>
    </row>
    <row r="81" spans="1:12" x14ac:dyDescent="0.25">
      <c r="A81" s="79"/>
      <c r="B81" s="21" t="str">
        <f>IF(A81="","",IFERROR(VLOOKUP(A81,DB_Customers!$A:$D,4,0),"❌ Account Not Found"))</f>
        <v/>
      </c>
      <c r="C81" s="80" t="str">
        <f>IF(A81="","",IFERROR(VLOOKUP(A81,DB_Customers!$A:$N,14,0),""))</f>
        <v/>
      </c>
      <c r="D81" s="81" t="str">
        <f t="shared" ca="1" si="6"/>
        <v/>
      </c>
      <c r="E81" s="97"/>
      <c r="F81" s="21"/>
      <c r="G81" s="98" t="str">
        <f t="shared" si="7"/>
        <v/>
      </c>
      <c r="H81" s="23"/>
      <c r="I81" s="84"/>
      <c r="J81" s="85" t="str">
        <f>IF(AND(A81&lt;&gt;"",E81&lt;&gt;""),IF(I81="","⚠️ Enter Code",IF(IFERROR(VLOOKUP(H81,DB_Agents!$B:$I,8,0),"")=I81,IF(C81&gt;=E81,"Successful","Unsuccessful"),"🔒 BLOCKED — Wrong Code")),"—")</f>
        <v>—</v>
      </c>
      <c r="K81" s="86" t="str">
        <f t="shared" ca="1" si="8"/>
        <v>—</v>
      </c>
      <c r="L81" s="87"/>
    </row>
    <row r="82" spans="1:12" x14ac:dyDescent="0.25">
      <c r="A82" s="88"/>
      <c r="B82" s="25" t="str">
        <f>IF(A82="","",IFERROR(VLOOKUP(A82,DB_Customers!$A:$D,4,0),"❌ Account Not Found"))</f>
        <v/>
      </c>
      <c r="C82" s="89" t="str">
        <f>IF(A82="","",IFERROR(VLOOKUP(A82,DB_Customers!$A:$N,14,0),""))</f>
        <v/>
      </c>
      <c r="D82" s="90" t="str">
        <f t="shared" ca="1" si="6"/>
        <v/>
      </c>
      <c r="E82" s="97"/>
      <c r="F82" s="25"/>
      <c r="G82" s="99" t="str">
        <f t="shared" si="7"/>
        <v/>
      </c>
      <c r="H82" s="27"/>
      <c r="I82" s="84"/>
      <c r="J82" s="92" t="str">
        <f>IF(AND(A82&lt;&gt;"",E82&lt;&gt;""),IF(I82="","⚠️ Enter Code",IF(IFERROR(VLOOKUP(H82,DB_Agents!$B:$I,8,0),"")=I82,IF(C82&gt;=E82,"Successful","Unsuccessful"),"🔒 BLOCKED — Wrong Code")),"—")</f>
        <v>—</v>
      </c>
      <c r="K82" s="93" t="str">
        <f t="shared" ca="1" si="8"/>
        <v>—</v>
      </c>
      <c r="L82" s="94"/>
    </row>
    <row r="83" spans="1:12" x14ac:dyDescent="0.25">
      <c r="A83" s="79"/>
      <c r="B83" s="21" t="str">
        <f>IF(A83="","",IFERROR(VLOOKUP(A83,DB_Customers!$A:$D,4,0),"❌ Account Not Found"))</f>
        <v/>
      </c>
      <c r="C83" s="80" t="str">
        <f>IF(A83="","",IFERROR(VLOOKUP(A83,DB_Customers!$A:$N,14,0),""))</f>
        <v/>
      </c>
      <c r="D83" s="81" t="str">
        <f t="shared" ca="1" si="6"/>
        <v/>
      </c>
      <c r="E83" s="97"/>
      <c r="F83" s="21"/>
      <c r="G83" s="98" t="str">
        <f t="shared" si="7"/>
        <v/>
      </c>
      <c r="H83" s="23"/>
      <c r="I83" s="84"/>
      <c r="J83" s="85" t="str">
        <f>IF(AND(A83&lt;&gt;"",E83&lt;&gt;""),IF(I83="","⚠️ Enter Code",IF(IFERROR(VLOOKUP(H83,DB_Agents!$B:$I,8,0),"")=I83,IF(C83&gt;=E83,"Successful","Unsuccessful"),"🔒 BLOCKED — Wrong Code")),"—")</f>
        <v>—</v>
      </c>
      <c r="K83" s="86" t="str">
        <f t="shared" ca="1" si="8"/>
        <v>—</v>
      </c>
      <c r="L83" s="87"/>
    </row>
    <row r="84" spans="1:12" x14ac:dyDescent="0.25">
      <c r="A84" s="88"/>
      <c r="B84" s="25" t="str">
        <f>IF(A84="","",IFERROR(VLOOKUP(A84,DB_Customers!$A:$D,4,0),"❌ Account Not Found"))</f>
        <v/>
      </c>
      <c r="C84" s="89" t="str">
        <f>IF(A84="","",IFERROR(VLOOKUP(A84,DB_Customers!$A:$N,14,0),""))</f>
        <v/>
      </c>
      <c r="D84" s="90" t="str">
        <f t="shared" ca="1" si="6"/>
        <v/>
      </c>
      <c r="E84" s="97"/>
      <c r="F84" s="25"/>
      <c r="G84" s="99" t="str">
        <f t="shared" si="7"/>
        <v/>
      </c>
      <c r="H84" s="27"/>
      <c r="I84" s="84"/>
      <c r="J84" s="92" t="str">
        <f>IF(AND(A84&lt;&gt;"",E84&lt;&gt;""),IF(I84="","⚠️ Enter Code",IF(IFERROR(VLOOKUP(H84,DB_Agents!$B:$I,8,0),"")=I84,IF(C84&gt;=E84,"Successful","Unsuccessful"),"🔒 BLOCKED — Wrong Code")),"—")</f>
        <v>—</v>
      </c>
      <c r="K84" s="93" t="str">
        <f t="shared" ca="1" si="8"/>
        <v>—</v>
      </c>
      <c r="L84" s="94"/>
    </row>
    <row r="85" spans="1:12" x14ac:dyDescent="0.25">
      <c r="A85" s="79"/>
      <c r="B85" s="21" t="str">
        <f>IF(A85="","",IFERROR(VLOOKUP(A85,DB_Customers!$A:$D,4,0),"❌ Account Not Found"))</f>
        <v/>
      </c>
      <c r="C85" s="80" t="str">
        <f>IF(A85="","",IFERROR(VLOOKUP(A85,DB_Customers!$A:$N,14,0),""))</f>
        <v/>
      </c>
      <c r="D85" s="81" t="str">
        <f t="shared" ca="1" si="6"/>
        <v/>
      </c>
      <c r="E85" s="97"/>
      <c r="F85" s="21"/>
      <c r="G85" s="98" t="str">
        <f t="shared" si="7"/>
        <v/>
      </c>
      <c r="H85" s="23"/>
      <c r="I85" s="84"/>
      <c r="J85" s="85" t="str">
        <f>IF(AND(A85&lt;&gt;"",E85&lt;&gt;""),IF(I85="","⚠️ Enter Code",IF(IFERROR(VLOOKUP(H85,DB_Agents!$B:$I,8,0),"")=I85,IF(C85&gt;=E85,"Successful","Unsuccessful"),"🔒 BLOCKED — Wrong Code")),"—")</f>
        <v>—</v>
      </c>
      <c r="K85" s="86" t="str">
        <f t="shared" ca="1" si="8"/>
        <v>—</v>
      </c>
      <c r="L85" s="87"/>
    </row>
    <row r="86" spans="1:12" x14ac:dyDescent="0.25">
      <c r="A86" s="88"/>
      <c r="B86" s="25" t="str">
        <f>IF(A86="","",IFERROR(VLOOKUP(A86,DB_Customers!$A:$D,4,0),"❌ Account Not Found"))</f>
        <v/>
      </c>
      <c r="C86" s="89" t="str">
        <f>IF(A86="","",IFERROR(VLOOKUP(A86,DB_Customers!$A:$N,14,0),""))</f>
        <v/>
      </c>
      <c r="D86" s="90" t="str">
        <f t="shared" ca="1" si="6"/>
        <v/>
      </c>
      <c r="E86" s="97"/>
      <c r="F86" s="25"/>
      <c r="G86" s="99" t="str">
        <f t="shared" si="7"/>
        <v/>
      </c>
      <c r="H86" s="27"/>
      <c r="I86" s="84"/>
      <c r="J86" s="92" t="str">
        <f>IF(AND(A86&lt;&gt;"",E86&lt;&gt;""),IF(I86="","⚠️ Enter Code",IF(IFERROR(VLOOKUP(H86,DB_Agents!$B:$I,8,0),"")=I86,IF(C86&gt;=E86,"Successful","Unsuccessful"),"🔒 BLOCKED — Wrong Code")),"—")</f>
        <v>—</v>
      </c>
      <c r="K86" s="93" t="str">
        <f t="shared" ca="1" si="8"/>
        <v>—</v>
      </c>
      <c r="L86" s="94"/>
    </row>
    <row r="87" spans="1:12" x14ac:dyDescent="0.25">
      <c r="A87" s="79"/>
      <c r="B87" s="21" t="str">
        <f>IF(A87="","",IFERROR(VLOOKUP(A87,DB_Customers!$A:$D,4,0),"❌ Account Not Found"))</f>
        <v/>
      </c>
      <c r="C87" s="80" t="str">
        <f>IF(A87="","",IFERROR(VLOOKUP(A87,DB_Customers!$A:$N,14,0),""))</f>
        <v/>
      </c>
      <c r="D87" s="81" t="str">
        <f t="shared" ca="1" si="6"/>
        <v/>
      </c>
      <c r="E87" s="97"/>
      <c r="F87" s="21"/>
      <c r="G87" s="98" t="str">
        <f t="shared" si="7"/>
        <v/>
      </c>
      <c r="H87" s="23"/>
      <c r="I87" s="84"/>
      <c r="J87" s="85" t="str">
        <f>IF(AND(A87&lt;&gt;"",E87&lt;&gt;""),IF(I87="","⚠️ Enter Code",IF(IFERROR(VLOOKUP(H87,DB_Agents!$B:$I,8,0),"")=I87,IF(C87&gt;=E87,"Successful","Unsuccessful"),"🔒 BLOCKED — Wrong Code")),"—")</f>
        <v>—</v>
      </c>
      <c r="K87" s="86" t="str">
        <f t="shared" ca="1" si="8"/>
        <v>—</v>
      </c>
      <c r="L87" s="87"/>
    </row>
    <row r="88" spans="1:12" x14ac:dyDescent="0.25">
      <c r="A88" s="88"/>
      <c r="B88" s="25" t="str">
        <f>IF(A88="","",IFERROR(VLOOKUP(A88,DB_Customers!$A:$D,4,0),"❌ Account Not Found"))</f>
        <v/>
      </c>
      <c r="C88" s="89" t="str">
        <f>IF(A88="","",IFERROR(VLOOKUP(A88,DB_Customers!$A:$N,14,0),""))</f>
        <v/>
      </c>
      <c r="D88" s="90" t="str">
        <f t="shared" ca="1" si="6"/>
        <v/>
      </c>
      <c r="E88" s="97"/>
      <c r="F88" s="25"/>
      <c r="G88" s="99" t="str">
        <f t="shared" si="7"/>
        <v/>
      </c>
      <c r="H88" s="27"/>
      <c r="I88" s="84"/>
      <c r="J88" s="92" t="str">
        <f>IF(AND(A88&lt;&gt;"",E88&lt;&gt;""),IF(I88="","⚠️ Enter Code",IF(IFERROR(VLOOKUP(H88,DB_Agents!$B:$I,8,0),"")=I88,IF(C88&gt;=E88,"Successful","Unsuccessful"),"🔒 BLOCKED — Wrong Code")),"—")</f>
        <v>—</v>
      </c>
      <c r="K88" s="93" t="str">
        <f t="shared" ca="1" si="8"/>
        <v>—</v>
      </c>
      <c r="L88" s="94"/>
    </row>
    <row r="89" spans="1:12" x14ac:dyDescent="0.25">
      <c r="A89" s="79"/>
      <c r="B89" s="21" t="str">
        <f>IF(A89="","",IFERROR(VLOOKUP(A89,DB_Customers!$A:$D,4,0),"❌ Account Not Found"))</f>
        <v/>
      </c>
      <c r="C89" s="80" t="str">
        <f>IF(A89="","",IFERROR(VLOOKUP(A89,DB_Customers!$A:$N,14,0),""))</f>
        <v/>
      </c>
      <c r="D89" s="81" t="str">
        <f t="shared" ca="1" si="6"/>
        <v/>
      </c>
      <c r="E89" s="97"/>
      <c r="F89" s="21"/>
      <c r="G89" s="98" t="str">
        <f t="shared" si="7"/>
        <v/>
      </c>
      <c r="H89" s="23"/>
      <c r="I89" s="84"/>
      <c r="J89" s="85" t="str">
        <f>IF(AND(A89&lt;&gt;"",E89&lt;&gt;""),IF(I89="","⚠️ Enter Code",IF(IFERROR(VLOOKUP(H89,DB_Agents!$B:$I,8,0),"")=I89,IF(C89&gt;=E89,"Successful","Unsuccessful"),"🔒 BLOCKED — Wrong Code")),"—")</f>
        <v>—</v>
      </c>
      <c r="K89" s="86" t="str">
        <f t="shared" ca="1" si="8"/>
        <v>—</v>
      </c>
      <c r="L89" s="87"/>
    </row>
    <row r="90" spans="1:12" x14ac:dyDescent="0.25">
      <c r="A90" s="88"/>
      <c r="B90" s="25" t="str">
        <f>IF(A90="","",IFERROR(VLOOKUP(A90,DB_Customers!$A:$D,4,0),"❌ Account Not Found"))</f>
        <v/>
      </c>
      <c r="C90" s="89" t="str">
        <f>IF(A90="","",IFERROR(VLOOKUP(A90,DB_Customers!$A:$N,14,0),""))</f>
        <v/>
      </c>
      <c r="D90" s="90" t="str">
        <f t="shared" ca="1" si="6"/>
        <v/>
      </c>
      <c r="E90" s="97"/>
      <c r="F90" s="25"/>
      <c r="G90" s="99" t="str">
        <f t="shared" si="7"/>
        <v/>
      </c>
      <c r="H90" s="27"/>
      <c r="I90" s="84"/>
      <c r="J90" s="92" t="str">
        <f>IF(AND(A90&lt;&gt;"",E90&lt;&gt;""),IF(I90="","⚠️ Enter Code",IF(IFERROR(VLOOKUP(H90,DB_Agents!$B:$I,8,0),"")=I90,IF(C90&gt;=E90,"Successful","Unsuccessful"),"🔒 BLOCKED — Wrong Code")),"—")</f>
        <v>—</v>
      </c>
      <c r="K90" s="93" t="str">
        <f t="shared" ca="1" si="8"/>
        <v>—</v>
      </c>
      <c r="L90" s="94"/>
    </row>
    <row r="91" spans="1:12" x14ac:dyDescent="0.25">
      <c r="A91" s="79"/>
      <c r="B91" s="21" t="str">
        <f>IF(A91="","",IFERROR(VLOOKUP(A91,DB_Customers!$A:$D,4,0),"❌ Account Not Found"))</f>
        <v/>
      </c>
      <c r="C91" s="80" t="str">
        <f>IF(A91="","",IFERROR(VLOOKUP(A91,DB_Customers!$A:$N,14,0),""))</f>
        <v/>
      </c>
      <c r="D91" s="81" t="str">
        <f t="shared" ca="1" si="6"/>
        <v/>
      </c>
      <c r="E91" s="97"/>
      <c r="F91" s="21"/>
      <c r="G91" s="98" t="str">
        <f t="shared" si="7"/>
        <v/>
      </c>
      <c r="H91" s="23"/>
      <c r="I91" s="84"/>
      <c r="J91" s="85" t="str">
        <f>IF(AND(A91&lt;&gt;"",E91&lt;&gt;""),IF(I91="","⚠️ Enter Code",IF(IFERROR(VLOOKUP(H91,DB_Agents!$B:$I,8,0),"")=I91,IF(C91&gt;=E91,"Successful","Unsuccessful"),"🔒 BLOCKED — Wrong Code")),"—")</f>
        <v>—</v>
      </c>
      <c r="K91" s="86" t="str">
        <f t="shared" ca="1" si="8"/>
        <v>—</v>
      </c>
      <c r="L91" s="87"/>
    </row>
    <row r="92" spans="1:12" x14ac:dyDescent="0.25">
      <c r="A92" s="88"/>
      <c r="B92" s="25" t="str">
        <f>IF(A92="","",IFERROR(VLOOKUP(A92,DB_Customers!$A:$D,4,0),"❌ Account Not Found"))</f>
        <v/>
      </c>
      <c r="C92" s="89" t="str">
        <f>IF(A92="","",IFERROR(VLOOKUP(A92,DB_Customers!$A:$N,14,0),""))</f>
        <v/>
      </c>
      <c r="D92" s="90" t="str">
        <f t="shared" ca="1" si="6"/>
        <v/>
      </c>
      <c r="E92" s="97"/>
      <c r="F92" s="25"/>
      <c r="G92" s="99" t="str">
        <f t="shared" si="7"/>
        <v/>
      </c>
      <c r="H92" s="27"/>
      <c r="I92" s="84"/>
      <c r="J92" s="92" t="str">
        <f>IF(AND(A92&lt;&gt;"",E92&lt;&gt;""),IF(I92="","⚠️ Enter Code",IF(IFERROR(VLOOKUP(H92,DB_Agents!$B:$I,8,0),"")=I92,IF(C92&gt;=E92,"Successful","Unsuccessful"),"🔒 BLOCKED — Wrong Code")),"—")</f>
        <v>—</v>
      </c>
      <c r="K92" s="93" t="str">
        <f t="shared" ca="1" si="8"/>
        <v>—</v>
      </c>
      <c r="L92" s="94"/>
    </row>
    <row r="93" spans="1:12" x14ac:dyDescent="0.25">
      <c r="A93" s="79"/>
      <c r="B93" s="21" t="str">
        <f>IF(A93="","",IFERROR(VLOOKUP(A93,DB_Customers!$A:$D,4,0),"❌ Account Not Found"))</f>
        <v/>
      </c>
      <c r="C93" s="80" t="str">
        <f>IF(A93="","",IFERROR(VLOOKUP(A93,DB_Customers!$A:$N,14,0),""))</f>
        <v/>
      </c>
      <c r="D93" s="81" t="str">
        <f t="shared" ca="1" si="6"/>
        <v/>
      </c>
      <c r="E93" s="97"/>
      <c r="F93" s="21"/>
      <c r="G93" s="98" t="str">
        <f t="shared" si="7"/>
        <v/>
      </c>
      <c r="H93" s="23"/>
      <c r="I93" s="84"/>
      <c r="J93" s="85" t="str">
        <f>IF(AND(A93&lt;&gt;"",E93&lt;&gt;""),IF(I93="","⚠️ Enter Code",IF(IFERROR(VLOOKUP(H93,DB_Agents!$B:$I,8,0),"")=I93,IF(C93&gt;=E93,"Successful","Unsuccessful"),"🔒 BLOCKED — Wrong Code")),"—")</f>
        <v>—</v>
      </c>
      <c r="K93" s="86" t="str">
        <f t="shared" ca="1" si="8"/>
        <v>—</v>
      </c>
      <c r="L93" s="87"/>
    </row>
    <row r="94" spans="1:12" x14ac:dyDescent="0.25">
      <c r="A94" s="88"/>
      <c r="B94" s="25" t="str">
        <f>IF(A94="","",IFERROR(VLOOKUP(A94,DB_Customers!$A:$D,4,0),"❌ Account Not Found"))</f>
        <v/>
      </c>
      <c r="C94" s="89" t="str">
        <f>IF(A94="","",IFERROR(VLOOKUP(A94,DB_Customers!$A:$N,14,0),""))</f>
        <v/>
      </c>
      <c r="D94" s="90" t="str">
        <f t="shared" ca="1" si="6"/>
        <v/>
      </c>
      <c r="E94" s="97"/>
      <c r="F94" s="25"/>
      <c r="G94" s="99" t="str">
        <f t="shared" si="7"/>
        <v/>
      </c>
      <c r="H94" s="27"/>
      <c r="I94" s="84"/>
      <c r="J94" s="92" t="str">
        <f>IF(AND(A94&lt;&gt;"",E94&lt;&gt;""),IF(I94="","⚠️ Enter Code",IF(IFERROR(VLOOKUP(H94,DB_Agents!$B:$I,8,0),"")=I94,IF(C94&gt;=E94,"Successful","Unsuccessful"),"🔒 BLOCKED — Wrong Code")),"—")</f>
        <v>—</v>
      </c>
      <c r="K94" s="93" t="str">
        <f t="shared" ca="1" si="8"/>
        <v>—</v>
      </c>
      <c r="L94" s="94"/>
    </row>
    <row r="95" spans="1:12" x14ac:dyDescent="0.25">
      <c r="A95" s="79"/>
      <c r="B95" s="21" t="str">
        <f>IF(A95="","",IFERROR(VLOOKUP(A95,DB_Customers!$A:$D,4,0),"❌ Account Not Found"))</f>
        <v/>
      </c>
      <c r="C95" s="80" t="str">
        <f>IF(A95="","",IFERROR(VLOOKUP(A95,DB_Customers!$A:$N,14,0),""))</f>
        <v/>
      </c>
      <c r="D95" s="81" t="str">
        <f t="shared" ca="1" si="6"/>
        <v/>
      </c>
      <c r="E95" s="97"/>
      <c r="F95" s="21"/>
      <c r="G95" s="98" t="str">
        <f t="shared" si="7"/>
        <v/>
      </c>
      <c r="H95" s="23"/>
      <c r="I95" s="84"/>
      <c r="J95" s="85" t="str">
        <f>IF(AND(A95&lt;&gt;"",E95&lt;&gt;""),IF(I95="","⚠️ Enter Code",IF(IFERROR(VLOOKUP(H95,DB_Agents!$B:$I,8,0),"")=I95,IF(C95&gt;=E95,"Successful","Unsuccessful"),"🔒 BLOCKED — Wrong Code")),"—")</f>
        <v>—</v>
      </c>
      <c r="K95" s="86" t="str">
        <f t="shared" ca="1" si="8"/>
        <v>—</v>
      </c>
      <c r="L95" s="87"/>
    </row>
    <row r="96" spans="1:12" x14ac:dyDescent="0.25">
      <c r="A96" s="88"/>
      <c r="B96" s="25" t="str">
        <f>IF(A96="","",IFERROR(VLOOKUP(A96,DB_Customers!$A:$D,4,0),"❌ Account Not Found"))</f>
        <v/>
      </c>
      <c r="C96" s="89" t="str">
        <f>IF(A96="","",IFERROR(VLOOKUP(A96,DB_Customers!$A:$N,14,0),""))</f>
        <v/>
      </c>
      <c r="D96" s="90" t="str">
        <f t="shared" ca="1" si="6"/>
        <v/>
      </c>
      <c r="E96" s="97"/>
      <c r="F96" s="25"/>
      <c r="G96" s="99" t="str">
        <f t="shared" si="7"/>
        <v/>
      </c>
      <c r="H96" s="27"/>
      <c r="I96" s="84"/>
      <c r="J96" s="92" t="str">
        <f>IF(AND(A96&lt;&gt;"",E96&lt;&gt;""),IF(I96="","⚠️ Enter Code",IF(IFERROR(VLOOKUP(H96,DB_Agents!$B:$I,8,0),"")=I96,IF(C96&gt;=E96,"Successful","Unsuccessful"),"🔒 BLOCKED — Wrong Code")),"—")</f>
        <v>—</v>
      </c>
      <c r="K96" s="93" t="str">
        <f t="shared" ca="1" si="8"/>
        <v>—</v>
      </c>
      <c r="L96" s="94"/>
    </row>
    <row r="97" spans="1:12" x14ac:dyDescent="0.25">
      <c r="A97" s="79"/>
      <c r="B97" s="21" t="str">
        <f>IF(A97="","",IFERROR(VLOOKUP(A97,DB_Customers!$A:$D,4,0),"❌ Account Not Found"))</f>
        <v/>
      </c>
      <c r="C97" s="80" t="str">
        <f>IF(A97="","",IFERROR(VLOOKUP(A97,DB_Customers!$A:$N,14,0),""))</f>
        <v/>
      </c>
      <c r="D97" s="81" t="str">
        <f t="shared" ca="1" si="6"/>
        <v/>
      </c>
      <c r="E97" s="97"/>
      <c r="F97" s="21"/>
      <c r="G97" s="98" t="str">
        <f t="shared" si="7"/>
        <v/>
      </c>
      <c r="H97" s="23"/>
      <c r="I97" s="84"/>
      <c r="J97" s="85" t="str">
        <f>IF(AND(A97&lt;&gt;"",E97&lt;&gt;""),IF(I97="","⚠️ Enter Code",IF(IFERROR(VLOOKUP(H97,DB_Agents!$B:$I,8,0),"")=I97,IF(C97&gt;=E97,"Successful","Unsuccessful"),"🔒 BLOCKED — Wrong Code")),"—")</f>
        <v>—</v>
      </c>
      <c r="K97" s="86" t="str">
        <f t="shared" ca="1" si="8"/>
        <v>—</v>
      </c>
      <c r="L97" s="87"/>
    </row>
    <row r="98" spans="1:12" x14ac:dyDescent="0.25">
      <c r="A98" s="88"/>
      <c r="B98" s="25" t="str">
        <f>IF(A98="","",IFERROR(VLOOKUP(A98,DB_Customers!$A:$D,4,0),"❌ Account Not Found"))</f>
        <v/>
      </c>
      <c r="C98" s="89" t="str">
        <f>IF(A98="","",IFERROR(VLOOKUP(A98,DB_Customers!$A:$N,14,0),""))</f>
        <v/>
      </c>
      <c r="D98" s="90" t="str">
        <f t="shared" ca="1" si="6"/>
        <v/>
      </c>
      <c r="E98" s="97"/>
      <c r="F98" s="25"/>
      <c r="G98" s="99" t="str">
        <f t="shared" si="7"/>
        <v/>
      </c>
      <c r="H98" s="27"/>
      <c r="I98" s="84"/>
      <c r="J98" s="92" t="str">
        <f>IF(AND(A98&lt;&gt;"",E98&lt;&gt;""),IF(I98="","⚠️ Enter Code",IF(IFERROR(VLOOKUP(H98,DB_Agents!$B:$I,8,0),"")=I98,IF(C98&gt;=E98,"Successful","Unsuccessful"),"🔒 BLOCKED — Wrong Code")),"—")</f>
        <v>—</v>
      </c>
      <c r="K98" s="93" t="str">
        <f t="shared" ca="1" si="8"/>
        <v>—</v>
      </c>
      <c r="L98" s="94"/>
    </row>
    <row r="99" spans="1:12" x14ac:dyDescent="0.25">
      <c r="A99" s="79"/>
      <c r="B99" s="21" t="str">
        <f>IF(A99="","",IFERROR(VLOOKUP(A99,DB_Customers!$A:$D,4,0),"❌ Account Not Found"))</f>
        <v/>
      </c>
      <c r="C99" s="80" t="str">
        <f>IF(A99="","",IFERROR(VLOOKUP(A99,DB_Customers!$A:$N,14,0),""))</f>
        <v/>
      </c>
      <c r="D99" s="81" t="str">
        <f t="shared" ca="1" si="6"/>
        <v/>
      </c>
      <c r="E99" s="97"/>
      <c r="F99" s="21"/>
      <c r="G99" s="98" t="str">
        <f t="shared" si="7"/>
        <v/>
      </c>
      <c r="H99" s="23"/>
      <c r="I99" s="84"/>
      <c r="J99" s="85" t="str">
        <f>IF(AND(A99&lt;&gt;"",E99&lt;&gt;""),IF(I99="","⚠️ Enter Code",IF(IFERROR(VLOOKUP(H99,DB_Agents!$B:$I,8,0),"")=I99,IF(C99&gt;=E99,"Successful","Unsuccessful"),"🔒 BLOCKED — Wrong Code")),"—")</f>
        <v>—</v>
      </c>
      <c r="K99" s="86" t="str">
        <f t="shared" ca="1" si="8"/>
        <v>—</v>
      </c>
      <c r="L99" s="87"/>
    </row>
    <row r="100" spans="1:12" x14ac:dyDescent="0.25">
      <c r="A100" s="88"/>
      <c r="B100" s="25" t="str">
        <f>IF(A100="","",IFERROR(VLOOKUP(A100,DB_Customers!$A:$D,4,0),"❌ Account Not Found"))</f>
        <v/>
      </c>
      <c r="C100" s="89" t="str">
        <f>IF(A100="","",IFERROR(VLOOKUP(A100,DB_Customers!$A:$N,14,0),""))</f>
        <v/>
      </c>
      <c r="D100" s="90" t="str">
        <f t="shared" ca="1" si="6"/>
        <v/>
      </c>
      <c r="E100" s="97"/>
      <c r="F100" s="25"/>
      <c r="G100" s="99" t="str">
        <f t="shared" si="7"/>
        <v/>
      </c>
      <c r="H100" s="27"/>
      <c r="I100" s="84"/>
      <c r="J100" s="92" t="str">
        <f>IF(AND(A100&lt;&gt;"",E100&lt;&gt;""),IF(I100="","⚠️ Enter Code",IF(IFERROR(VLOOKUP(H100,DB_Agents!$B:$I,8,0),"")=I100,IF(C100&gt;=E100,"Successful","Unsuccessful"),"🔒 BLOCKED — Wrong Code")),"—")</f>
        <v>—</v>
      </c>
      <c r="K100" s="93" t="str">
        <f t="shared" ca="1" si="8"/>
        <v>—</v>
      </c>
      <c r="L100" s="94"/>
    </row>
    <row r="101" spans="1:12" x14ac:dyDescent="0.25">
      <c r="A101" s="79"/>
      <c r="B101" s="21" t="str">
        <f>IF(A101="","",IFERROR(VLOOKUP(A101,DB_Customers!$A:$D,4,0),"❌ Account Not Found"))</f>
        <v/>
      </c>
      <c r="C101" s="80" t="str">
        <f>IF(A101="","",IFERROR(VLOOKUP(A101,DB_Customers!$A:$N,14,0),""))</f>
        <v/>
      </c>
      <c r="D101" s="81" t="str">
        <f t="shared" ca="1" si="6"/>
        <v/>
      </c>
      <c r="E101" s="97"/>
      <c r="F101" s="21"/>
      <c r="G101" s="98" t="str">
        <f t="shared" si="7"/>
        <v/>
      </c>
      <c r="H101" s="23"/>
      <c r="I101" s="84"/>
      <c r="J101" s="85" t="str">
        <f>IF(AND(A101&lt;&gt;"",E101&lt;&gt;""),IF(I101="","⚠️ Enter Code",IF(IFERROR(VLOOKUP(H101,DB_Agents!$B:$I,8,0),"")=I101,IF(C101&gt;=E101,"Successful","Unsuccessful"),"🔒 BLOCKED — Wrong Code")),"—")</f>
        <v>—</v>
      </c>
      <c r="K101" s="86" t="str">
        <f t="shared" ca="1" si="8"/>
        <v>—</v>
      </c>
      <c r="L101" s="87"/>
    </row>
    <row r="102" spans="1:12" x14ac:dyDescent="0.25">
      <c r="A102" s="88"/>
      <c r="B102" s="25" t="str">
        <f>IF(A102="","",IFERROR(VLOOKUP(A102,DB_Customers!$A:$D,4,0),"❌ Account Not Found"))</f>
        <v/>
      </c>
      <c r="C102" s="89" t="str">
        <f>IF(A102="","",IFERROR(VLOOKUP(A102,DB_Customers!$A:$N,14,0),""))</f>
        <v/>
      </c>
      <c r="D102" s="90" t="str">
        <f t="shared" ca="1" si="6"/>
        <v/>
      </c>
      <c r="E102" s="97"/>
      <c r="F102" s="25"/>
      <c r="G102" s="99" t="str">
        <f t="shared" si="7"/>
        <v/>
      </c>
      <c r="H102" s="27"/>
      <c r="I102" s="84"/>
      <c r="J102" s="92" t="str">
        <f>IF(AND(A102&lt;&gt;"",E102&lt;&gt;""),IF(I102="","⚠️ Enter Code",IF(IFERROR(VLOOKUP(H102,DB_Agents!$B:$I,8,0),"")=I102,IF(C102&gt;=E102,"Successful","Unsuccessful"),"🔒 BLOCKED — Wrong Code")),"—")</f>
        <v>—</v>
      </c>
      <c r="K102" s="93" t="str">
        <f t="shared" ca="1" si="8"/>
        <v>—</v>
      </c>
      <c r="L102" s="94"/>
    </row>
    <row r="103" spans="1:12" x14ac:dyDescent="0.25">
      <c r="A103" s="79"/>
      <c r="B103" s="21" t="str">
        <f>IF(A103="","",IFERROR(VLOOKUP(A103,DB_Customers!$A:$D,4,0),"❌ Account Not Found"))</f>
        <v/>
      </c>
      <c r="C103" s="80" t="str">
        <f>IF(A103="","",IFERROR(VLOOKUP(A103,DB_Customers!$A:$N,14,0),""))</f>
        <v/>
      </c>
      <c r="D103" s="81" t="str">
        <f t="shared" ca="1" si="6"/>
        <v/>
      </c>
      <c r="E103" s="97"/>
      <c r="F103" s="21"/>
      <c r="G103" s="98" t="str">
        <f t="shared" si="7"/>
        <v/>
      </c>
      <c r="H103" s="23"/>
      <c r="I103" s="84"/>
      <c r="J103" s="85" t="str">
        <f>IF(AND(A103&lt;&gt;"",E103&lt;&gt;""),IF(I103="","⚠️ Enter Code",IF(IFERROR(VLOOKUP(H103,DB_Agents!$B:$I,8,0),"")=I103,IF(C103&gt;=E103,"Successful","Unsuccessful"),"🔒 BLOCKED — Wrong Code")),"—")</f>
        <v>—</v>
      </c>
      <c r="K103" s="86" t="str">
        <f t="shared" ca="1" si="8"/>
        <v>—</v>
      </c>
      <c r="L103" s="87"/>
    </row>
    <row r="104" spans="1:12" x14ac:dyDescent="0.25">
      <c r="A104" s="88"/>
      <c r="B104" s="25" t="str">
        <f>IF(A104="","",IFERROR(VLOOKUP(A104,DB_Customers!$A:$D,4,0),"❌ Account Not Found"))</f>
        <v/>
      </c>
      <c r="C104" s="89" t="str">
        <f>IF(A104="","",IFERROR(VLOOKUP(A104,DB_Customers!$A:$N,14,0),""))</f>
        <v/>
      </c>
      <c r="D104" s="90" t="str">
        <f t="shared" ca="1" si="6"/>
        <v/>
      </c>
      <c r="E104" s="97"/>
      <c r="F104" s="25"/>
      <c r="G104" s="99" t="str">
        <f t="shared" si="7"/>
        <v/>
      </c>
      <c r="H104" s="27"/>
      <c r="I104" s="84"/>
      <c r="J104" s="92" t="str">
        <f>IF(AND(A104&lt;&gt;"",E104&lt;&gt;""),IF(I104="","⚠️ Enter Code",IF(IFERROR(VLOOKUP(H104,DB_Agents!$B:$I,8,0),"")=I104,IF(C104&gt;=E104,"Successful","Unsuccessful"),"🔒 BLOCKED — Wrong Code")),"—")</f>
        <v>—</v>
      </c>
      <c r="K104" s="93" t="str">
        <f t="shared" ca="1" si="8"/>
        <v>—</v>
      </c>
      <c r="L104" s="94"/>
    </row>
    <row r="105" spans="1:12" x14ac:dyDescent="0.25">
      <c r="A105" s="79"/>
      <c r="B105" s="21" t="str">
        <f>IF(A105="","",IFERROR(VLOOKUP(A105,DB_Customers!$A:$D,4,0),"❌ Account Not Found"))</f>
        <v/>
      </c>
      <c r="C105" s="80" t="str">
        <f>IF(A105="","",IFERROR(VLOOKUP(A105,DB_Customers!$A:$N,14,0),""))</f>
        <v/>
      </c>
      <c r="D105" s="81" t="str">
        <f t="shared" ref="D105:D136" ca="1" si="9">IF(A105="","",TODAY())</f>
        <v/>
      </c>
      <c r="E105" s="97"/>
      <c r="F105" s="21"/>
      <c r="G105" s="98" t="str">
        <f t="shared" ref="G105:G136" si="10">IF(OR(A105="",E105=""),"",IF(C105="","",C105-E105))</f>
        <v/>
      </c>
      <c r="H105" s="23"/>
      <c r="I105" s="84"/>
      <c r="J105" s="85" t="str">
        <f>IF(AND(A105&lt;&gt;"",E105&lt;&gt;""),IF(I105="","⚠️ Enter Code",IF(IFERROR(VLOOKUP(H105,DB_Agents!$B:$I,8,0),"")=I105,IF(C105&gt;=E105,"Successful","Unsuccessful"),"🔒 BLOCKED — Wrong Code")),"—")</f>
        <v>—</v>
      </c>
      <c r="K105" s="86" t="str">
        <f t="shared" ref="K105:K136" ca="1" si="11">IF(J105="Successful",TEXT(TODAY(),"YYYY-MM-DD")&amp;" Auto","—")</f>
        <v>—</v>
      </c>
      <c r="L105" s="87"/>
    </row>
    <row r="106" spans="1:12" x14ac:dyDescent="0.25">
      <c r="A106" s="88"/>
      <c r="B106" s="25" t="str">
        <f>IF(A106="","",IFERROR(VLOOKUP(A106,DB_Customers!$A:$D,4,0),"❌ Account Not Found"))</f>
        <v/>
      </c>
      <c r="C106" s="89" t="str">
        <f>IF(A106="","",IFERROR(VLOOKUP(A106,DB_Customers!$A:$N,14,0),""))</f>
        <v/>
      </c>
      <c r="D106" s="90" t="str">
        <f t="shared" ca="1" si="9"/>
        <v/>
      </c>
      <c r="E106" s="97"/>
      <c r="F106" s="25"/>
      <c r="G106" s="99" t="str">
        <f t="shared" si="10"/>
        <v/>
      </c>
      <c r="H106" s="27"/>
      <c r="I106" s="84"/>
      <c r="J106" s="92" t="str">
        <f>IF(AND(A106&lt;&gt;"",E106&lt;&gt;""),IF(I106="","⚠️ Enter Code",IF(IFERROR(VLOOKUP(H106,DB_Agents!$B:$I,8,0),"")=I106,IF(C106&gt;=E106,"Successful","Unsuccessful"),"🔒 BLOCKED — Wrong Code")),"—")</f>
        <v>—</v>
      </c>
      <c r="K106" s="93" t="str">
        <f t="shared" ca="1" si="11"/>
        <v>—</v>
      </c>
      <c r="L106" s="94"/>
    </row>
    <row r="107" spans="1:12" x14ac:dyDescent="0.25">
      <c r="A107" s="79"/>
      <c r="B107" s="21" t="str">
        <f>IF(A107="","",IFERROR(VLOOKUP(A107,DB_Customers!$A:$D,4,0),"❌ Account Not Found"))</f>
        <v/>
      </c>
      <c r="C107" s="80" t="str">
        <f>IF(A107="","",IFERROR(VLOOKUP(A107,DB_Customers!$A:$N,14,0),""))</f>
        <v/>
      </c>
      <c r="D107" s="81" t="str">
        <f t="shared" ca="1" si="9"/>
        <v/>
      </c>
      <c r="E107" s="97"/>
      <c r="F107" s="21"/>
      <c r="G107" s="98" t="str">
        <f t="shared" si="10"/>
        <v/>
      </c>
      <c r="H107" s="23"/>
      <c r="I107" s="84"/>
      <c r="J107" s="85" t="str">
        <f>IF(AND(A107&lt;&gt;"",E107&lt;&gt;""),IF(I107="","⚠️ Enter Code",IF(IFERROR(VLOOKUP(H107,DB_Agents!$B:$I,8,0),"")=I107,IF(C107&gt;=E107,"Successful","Unsuccessful"),"🔒 BLOCKED — Wrong Code")),"—")</f>
        <v>—</v>
      </c>
      <c r="K107" s="86" t="str">
        <f t="shared" ca="1" si="11"/>
        <v>—</v>
      </c>
      <c r="L107" s="87"/>
    </row>
    <row r="108" spans="1:12" x14ac:dyDescent="0.25">
      <c r="A108" s="88"/>
      <c r="B108" s="25" t="str">
        <f>IF(A108="","",IFERROR(VLOOKUP(A108,DB_Customers!$A:$D,4,0),"❌ Account Not Found"))</f>
        <v/>
      </c>
      <c r="C108" s="89" t="str">
        <f>IF(A108="","",IFERROR(VLOOKUP(A108,DB_Customers!$A:$N,14,0),""))</f>
        <v/>
      </c>
      <c r="D108" s="90" t="str">
        <f t="shared" ca="1" si="9"/>
        <v/>
      </c>
      <c r="E108" s="97"/>
      <c r="F108" s="25"/>
      <c r="G108" s="99" t="str">
        <f t="shared" si="10"/>
        <v/>
      </c>
      <c r="H108" s="27"/>
      <c r="I108" s="84"/>
      <c r="J108" s="92" t="str">
        <f>IF(AND(A108&lt;&gt;"",E108&lt;&gt;""),IF(I108="","⚠️ Enter Code",IF(IFERROR(VLOOKUP(H108,DB_Agents!$B:$I,8,0),"")=I108,IF(C108&gt;=E108,"Successful","Unsuccessful"),"🔒 BLOCKED — Wrong Code")),"—")</f>
        <v>—</v>
      </c>
      <c r="K108" s="93" t="str">
        <f t="shared" ca="1" si="11"/>
        <v>—</v>
      </c>
      <c r="L108" s="94"/>
    </row>
    <row r="109" spans="1:12" x14ac:dyDescent="0.25">
      <c r="A109" s="79"/>
      <c r="B109" s="21" t="str">
        <f>IF(A109="","",IFERROR(VLOOKUP(A109,DB_Customers!$A:$D,4,0),"❌ Account Not Found"))</f>
        <v/>
      </c>
      <c r="C109" s="80" t="str">
        <f>IF(A109="","",IFERROR(VLOOKUP(A109,DB_Customers!$A:$N,14,0),""))</f>
        <v/>
      </c>
      <c r="D109" s="81" t="str">
        <f t="shared" ca="1" si="9"/>
        <v/>
      </c>
      <c r="E109" s="97"/>
      <c r="F109" s="21"/>
      <c r="G109" s="98" t="str">
        <f t="shared" si="10"/>
        <v/>
      </c>
      <c r="H109" s="23"/>
      <c r="I109" s="84"/>
      <c r="J109" s="85" t="str">
        <f>IF(AND(A109&lt;&gt;"",E109&lt;&gt;""),IF(I109="","⚠️ Enter Code",IF(IFERROR(VLOOKUP(H109,DB_Agents!$B:$I,8,0),"")=I109,IF(C109&gt;=E109,"Successful","Unsuccessful"),"🔒 BLOCKED — Wrong Code")),"—")</f>
        <v>—</v>
      </c>
      <c r="K109" s="86" t="str">
        <f t="shared" ca="1" si="11"/>
        <v>—</v>
      </c>
      <c r="L109" s="87"/>
    </row>
    <row r="110" spans="1:12" x14ac:dyDescent="0.25">
      <c r="A110" s="88"/>
      <c r="B110" s="25" t="str">
        <f>IF(A110="","",IFERROR(VLOOKUP(A110,DB_Customers!$A:$D,4,0),"❌ Account Not Found"))</f>
        <v/>
      </c>
      <c r="C110" s="89" t="str">
        <f>IF(A110="","",IFERROR(VLOOKUP(A110,DB_Customers!$A:$N,14,0),""))</f>
        <v/>
      </c>
      <c r="D110" s="90" t="str">
        <f t="shared" ca="1" si="9"/>
        <v/>
      </c>
      <c r="E110" s="97"/>
      <c r="F110" s="25"/>
      <c r="G110" s="99" t="str">
        <f t="shared" si="10"/>
        <v/>
      </c>
      <c r="H110" s="27"/>
      <c r="I110" s="84"/>
      <c r="J110" s="92" t="str">
        <f>IF(AND(A110&lt;&gt;"",E110&lt;&gt;""),IF(I110="","⚠️ Enter Code",IF(IFERROR(VLOOKUP(H110,DB_Agents!$B:$I,8,0),"")=I110,IF(C110&gt;=E110,"Successful","Unsuccessful"),"🔒 BLOCKED — Wrong Code")),"—")</f>
        <v>—</v>
      </c>
      <c r="K110" s="93" t="str">
        <f t="shared" ca="1" si="11"/>
        <v>—</v>
      </c>
      <c r="L110" s="94"/>
    </row>
    <row r="111" spans="1:12" x14ac:dyDescent="0.25">
      <c r="A111" s="79"/>
      <c r="B111" s="21" t="str">
        <f>IF(A111="","",IFERROR(VLOOKUP(A111,DB_Customers!$A:$D,4,0),"❌ Account Not Found"))</f>
        <v/>
      </c>
      <c r="C111" s="80" t="str">
        <f>IF(A111="","",IFERROR(VLOOKUP(A111,DB_Customers!$A:$N,14,0),""))</f>
        <v/>
      </c>
      <c r="D111" s="81" t="str">
        <f t="shared" ca="1" si="9"/>
        <v/>
      </c>
      <c r="E111" s="97"/>
      <c r="F111" s="21"/>
      <c r="G111" s="98" t="str">
        <f t="shared" si="10"/>
        <v/>
      </c>
      <c r="H111" s="23"/>
      <c r="I111" s="84"/>
      <c r="J111" s="85" t="str">
        <f>IF(AND(A111&lt;&gt;"",E111&lt;&gt;""),IF(I111="","⚠️ Enter Code",IF(IFERROR(VLOOKUP(H111,DB_Agents!$B:$I,8,0),"")=I111,IF(C111&gt;=E111,"Successful","Unsuccessful"),"🔒 BLOCKED — Wrong Code")),"—")</f>
        <v>—</v>
      </c>
      <c r="K111" s="86" t="str">
        <f t="shared" ca="1" si="11"/>
        <v>—</v>
      </c>
      <c r="L111" s="87"/>
    </row>
    <row r="112" spans="1:12" x14ac:dyDescent="0.25">
      <c r="A112" s="88"/>
      <c r="B112" s="25" t="str">
        <f>IF(A112="","",IFERROR(VLOOKUP(A112,DB_Customers!$A:$D,4,0),"❌ Account Not Found"))</f>
        <v/>
      </c>
      <c r="C112" s="89" t="str">
        <f>IF(A112="","",IFERROR(VLOOKUP(A112,DB_Customers!$A:$N,14,0),""))</f>
        <v/>
      </c>
      <c r="D112" s="90" t="str">
        <f t="shared" ca="1" si="9"/>
        <v/>
      </c>
      <c r="E112" s="97"/>
      <c r="F112" s="25"/>
      <c r="G112" s="99" t="str">
        <f t="shared" si="10"/>
        <v/>
      </c>
      <c r="H112" s="27"/>
      <c r="I112" s="84"/>
      <c r="J112" s="92" t="str">
        <f>IF(AND(A112&lt;&gt;"",E112&lt;&gt;""),IF(I112="","⚠️ Enter Code",IF(IFERROR(VLOOKUP(H112,DB_Agents!$B:$I,8,0),"")=I112,IF(C112&gt;=E112,"Successful","Unsuccessful"),"🔒 BLOCKED — Wrong Code")),"—")</f>
        <v>—</v>
      </c>
      <c r="K112" s="93" t="str">
        <f t="shared" ca="1" si="11"/>
        <v>—</v>
      </c>
      <c r="L112" s="94"/>
    </row>
    <row r="113" spans="1:12" x14ac:dyDescent="0.25">
      <c r="A113" s="79"/>
      <c r="B113" s="21" t="str">
        <f>IF(A113="","",IFERROR(VLOOKUP(A113,DB_Customers!$A:$D,4,0),"❌ Account Not Found"))</f>
        <v/>
      </c>
      <c r="C113" s="80" t="str">
        <f>IF(A113="","",IFERROR(VLOOKUP(A113,DB_Customers!$A:$N,14,0),""))</f>
        <v/>
      </c>
      <c r="D113" s="81" t="str">
        <f t="shared" ca="1" si="9"/>
        <v/>
      </c>
      <c r="E113" s="97"/>
      <c r="F113" s="21"/>
      <c r="G113" s="98" t="str">
        <f t="shared" si="10"/>
        <v/>
      </c>
      <c r="H113" s="23"/>
      <c r="I113" s="84"/>
      <c r="J113" s="85" t="str">
        <f>IF(AND(A113&lt;&gt;"",E113&lt;&gt;""),IF(I113="","⚠️ Enter Code",IF(IFERROR(VLOOKUP(H113,DB_Agents!$B:$I,8,0),"")=I113,IF(C113&gt;=E113,"Successful","Unsuccessful"),"🔒 BLOCKED — Wrong Code")),"—")</f>
        <v>—</v>
      </c>
      <c r="K113" s="86" t="str">
        <f t="shared" ca="1" si="11"/>
        <v>—</v>
      </c>
      <c r="L113" s="87"/>
    </row>
    <row r="114" spans="1:12" x14ac:dyDescent="0.25">
      <c r="A114" s="88"/>
      <c r="B114" s="25" t="str">
        <f>IF(A114="","",IFERROR(VLOOKUP(A114,DB_Customers!$A:$D,4,0),"❌ Account Not Found"))</f>
        <v/>
      </c>
      <c r="C114" s="89" t="str">
        <f>IF(A114="","",IFERROR(VLOOKUP(A114,DB_Customers!$A:$N,14,0),""))</f>
        <v/>
      </c>
      <c r="D114" s="90" t="str">
        <f t="shared" ca="1" si="9"/>
        <v/>
      </c>
      <c r="E114" s="97"/>
      <c r="F114" s="25"/>
      <c r="G114" s="99" t="str">
        <f t="shared" si="10"/>
        <v/>
      </c>
      <c r="H114" s="27"/>
      <c r="I114" s="84"/>
      <c r="J114" s="92" t="str">
        <f>IF(AND(A114&lt;&gt;"",E114&lt;&gt;""),IF(I114="","⚠️ Enter Code",IF(IFERROR(VLOOKUP(H114,DB_Agents!$B:$I,8,0),"")=I114,IF(C114&gt;=E114,"Successful","Unsuccessful"),"🔒 BLOCKED — Wrong Code")),"—")</f>
        <v>—</v>
      </c>
      <c r="K114" s="93" t="str">
        <f t="shared" ca="1" si="11"/>
        <v>—</v>
      </c>
      <c r="L114" s="94"/>
    </row>
    <row r="115" spans="1:12" x14ac:dyDescent="0.25">
      <c r="A115" s="79"/>
      <c r="B115" s="21" t="str">
        <f>IF(A115="","",IFERROR(VLOOKUP(A115,DB_Customers!$A:$D,4,0),"❌ Account Not Found"))</f>
        <v/>
      </c>
      <c r="C115" s="80" t="str">
        <f>IF(A115="","",IFERROR(VLOOKUP(A115,DB_Customers!$A:$N,14,0),""))</f>
        <v/>
      </c>
      <c r="D115" s="81" t="str">
        <f t="shared" ca="1" si="9"/>
        <v/>
      </c>
      <c r="E115" s="97"/>
      <c r="F115" s="21"/>
      <c r="G115" s="98" t="str">
        <f t="shared" si="10"/>
        <v/>
      </c>
      <c r="H115" s="23"/>
      <c r="I115" s="84"/>
      <c r="J115" s="85" t="str">
        <f>IF(AND(A115&lt;&gt;"",E115&lt;&gt;""),IF(I115="","⚠️ Enter Code",IF(IFERROR(VLOOKUP(H115,DB_Agents!$B:$I,8,0),"")=I115,IF(C115&gt;=E115,"Successful","Unsuccessful"),"🔒 BLOCKED — Wrong Code")),"—")</f>
        <v>—</v>
      </c>
      <c r="K115" s="86" t="str">
        <f t="shared" ca="1" si="11"/>
        <v>—</v>
      </c>
      <c r="L115" s="87"/>
    </row>
    <row r="116" spans="1:12" x14ac:dyDescent="0.25">
      <c r="A116" s="88"/>
      <c r="B116" s="25" t="str">
        <f>IF(A116="","",IFERROR(VLOOKUP(A116,DB_Customers!$A:$D,4,0),"❌ Account Not Found"))</f>
        <v/>
      </c>
      <c r="C116" s="89" t="str">
        <f>IF(A116="","",IFERROR(VLOOKUP(A116,DB_Customers!$A:$N,14,0),""))</f>
        <v/>
      </c>
      <c r="D116" s="90" t="str">
        <f t="shared" ca="1" si="9"/>
        <v/>
      </c>
      <c r="E116" s="97"/>
      <c r="F116" s="25"/>
      <c r="G116" s="99" t="str">
        <f t="shared" si="10"/>
        <v/>
      </c>
      <c r="H116" s="27"/>
      <c r="I116" s="84"/>
      <c r="J116" s="92" t="str">
        <f>IF(AND(A116&lt;&gt;"",E116&lt;&gt;""),IF(I116="","⚠️ Enter Code",IF(IFERROR(VLOOKUP(H116,DB_Agents!$B:$I,8,0),"")=I116,IF(C116&gt;=E116,"Successful","Unsuccessful"),"🔒 BLOCKED — Wrong Code")),"—")</f>
        <v>—</v>
      </c>
      <c r="K116" s="93" t="str">
        <f t="shared" ca="1" si="11"/>
        <v>—</v>
      </c>
      <c r="L116" s="94"/>
    </row>
    <row r="117" spans="1:12" x14ac:dyDescent="0.25">
      <c r="A117" s="79"/>
      <c r="B117" s="21" t="str">
        <f>IF(A117="","",IFERROR(VLOOKUP(A117,DB_Customers!$A:$D,4,0),"❌ Account Not Found"))</f>
        <v/>
      </c>
      <c r="C117" s="80" t="str">
        <f>IF(A117="","",IFERROR(VLOOKUP(A117,DB_Customers!$A:$N,14,0),""))</f>
        <v/>
      </c>
      <c r="D117" s="81" t="str">
        <f t="shared" ca="1" si="9"/>
        <v/>
      </c>
      <c r="E117" s="97"/>
      <c r="F117" s="21"/>
      <c r="G117" s="98" t="str">
        <f t="shared" si="10"/>
        <v/>
      </c>
      <c r="H117" s="23"/>
      <c r="I117" s="84"/>
      <c r="J117" s="85" t="str">
        <f>IF(AND(A117&lt;&gt;"",E117&lt;&gt;""),IF(I117="","⚠️ Enter Code",IF(IFERROR(VLOOKUP(H117,DB_Agents!$B:$I,8,0),"")=I117,IF(C117&gt;=E117,"Successful","Unsuccessful"),"🔒 BLOCKED — Wrong Code")),"—")</f>
        <v>—</v>
      </c>
      <c r="K117" s="86" t="str">
        <f t="shared" ca="1" si="11"/>
        <v>—</v>
      </c>
      <c r="L117" s="87"/>
    </row>
    <row r="118" spans="1:12" x14ac:dyDescent="0.25">
      <c r="A118" s="88"/>
      <c r="B118" s="25" t="str">
        <f>IF(A118="","",IFERROR(VLOOKUP(A118,DB_Customers!$A:$D,4,0),"❌ Account Not Found"))</f>
        <v/>
      </c>
      <c r="C118" s="89" t="str">
        <f>IF(A118="","",IFERROR(VLOOKUP(A118,DB_Customers!$A:$N,14,0),""))</f>
        <v/>
      </c>
      <c r="D118" s="90" t="str">
        <f t="shared" ca="1" si="9"/>
        <v/>
      </c>
      <c r="E118" s="97"/>
      <c r="F118" s="25"/>
      <c r="G118" s="99" t="str">
        <f t="shared" si="10"/>
        <v/>
      </c>
      <c r="H118" s="27"/>
      <c r="I118" s="84"/>
      <c r="J118" s="92" t="str">
        <f>IF(AND(A118&lt;&gt;"",E118&lt;&gt;""),IF(I118="","⚠️ Enter Code",IF(IFERROR(VLOOKUP(H118,DB_Agents!$B:$I,8,0),"")=I118,IF(C118&gt;=E118,"Successful","Unsuccessful"),"🔒 BLOCKED — Wrong Code")),"—")</f>
        <v>—</v>
      </c>
      <c r="K118" s="93" t="str">
        <f t="shared" ca="1" si="11"/>
        <v>—</v>
      </c>
      <c r="L118" s="94"/>
    </row>
    <row r="119" spans="1:12" x14ac:dyDescent="0.25">
      <c r="A119" s="79"/>
      <c r="B119" s="21" t="str">
        <f>IF(A119="","",IFERROR(VLOOKUP(A119,DB_Customers!$A:$D,4,0),"❌ Account Not Found"))</f>
        <v/>
      </c>
      <c r="C119" s="80" t="str">
        <f>IF(A119="","",IFERROR(VLOOKUP(A119,DB_Customers!$A:$N,14,0),""))</f>
        <v/>
      </c>
      <c r="D119" s="81" t="str">
        <f t="shared" ca="1" si="9"/>
        <v/>
      </c>
      <c r="E119" s="97"/>
      <c r="F119" s="21"/>
      <c r="G119" s="98" t="str">
        <f t="shared" si="10"/>
        <v/>
      </c>
      <c r="H119" s="23"/>
      <c r="I119" s="84"/>
      <c r="J119" s="85" t="str">
        <f>IF(AND(A119&lt;&gt;"",E119&lt;&gt;""),IF(I119="","⚠️ Enter Code",IF(IFERROR(VLOOKUP(H119,DB_Agents!$B:$I,8,0),"")=I119,IF(C119&gt;=E119,"Successful","Unsuccessful"),"🔒 BLOCKED — Wrong Code")),"—")</f>
        <v>—</v>
      </c>
      <c r="K119" s="86" t="str">
        <f t="shared" ca="1" si="11"/>
        <v>—</v>
      </c>
      <c r="L119" s="87"/>
    </row>
    <row r="120" spans="1:12" x14ac:dyDescent="0.25">
      <c r="A120" s="88"/>
      <c r="B120" s="25" t="str">
        <f>IF(A120="","",IFERROR(VLOOKUP(A120,DB_Customers!$A:$D,4,0),"❌ Account Not Found"))</f>
        <v/>
      </c>
      <c r="C120" s="89" t="str">
        <f>IF(A120="","",IFERROR(VLOOKUP(A120,DB_Customers!$A:$N,14,0),""))</f>
        <v/>
      </c>
      <c r="D120" s="90" t="str">
        <f t="shared" ca="1" si="9"/>
        <v/>
      </c>
      <c r="E120" s="97"/>
      <c r="F120" s="25"/>
      <c r="G120" s="99" t="str">
        <f t="shared" si="10"/>
        <v/>
      </c>
      <c r="H120" s="27"/>
      <c r="I120" s="84"/>
      <c r="J120" s="92" t="str">
        <f>IF(AND(A120&lt;&gt;"",E120&lt;&gt;""),IF(I120="","⚠️ Enter Code",IF(IFERROR(VLOOKUP(H120,DB_Agents!$B:$I,8,0),"")=I120,IF(C120&gt;=E120,"Successful","Unsuccessful"),"🔒 BLOCKED — Wrong Code")),"—")</f>
        <v>—</v>
      </c>
      <c r="K120" s="93" t="str">
        <f t="shared" ca="1" si="11"/>
        <v>—</v>
      </c>
      <c r="L120" s="94"/>
    </row>
    <row r="121" spans="1:12" x14ac:dyDescent="0.25">
      <c r="A121" s="79"/>
      <c r="B121" s="21" t="str">
        <f>IF(A121="","",IFERROR(VLOOKUP(A121,DB_Customers!$A:$D,4,0),"❌ Account Not Found"))</f>
        <v/>
      </c>
      <c r="C121" s="80" t="str">
        <f>IF(A121="","",IFERROR(VLOOKUP(A121,DB_Customers!$A:$N,14,0),""))</f>
        <v/>
      </c>
      <c r="D121" s="81" t="str">
        <f t="shared" ca="1" si="9"/>
        <v/>
      </c>
      <c r="E121" s="97"/>
      <c r="F121" s="21"/>
      <c r="G121" s="98" t="str">
        <f t="shared" si="10"/>
        <v/>
      </c>
      <c r="H121" s="23"/>
      <c r="I121" s="84"/>
      <c r="J121" s="85" t="str">
        <f>IF(AND(A121&lt;&gt;"",E121&lt;&gt;""),IF(I121="","⚠️ Enter Code",IF(IFERROR(VLOOKUP(H121,DB_Agents!$B:$I,8,0),"")=I121,IF(C121&gt;=E121,"Successful","Unsuccessful"),"🔒 BLOCKED — Wrong Code")),"—")</f>
        <v>—</v>
      </c>
      <c r="K121" s="86" t="str">
        <f t="shared" ca="1" si="11"/>
        <v>—</v>
      </c>
      <c r="L121" s="87"/>
    </row>
    <row r="122" spans="1:12" x14ac:dyDescent="0.25">
      <c r="A122" s="88"/>
      <c r="B122" s="25" t="str">
        <f>IF(A122="","",IFERROR(VLOOKUP(A122,DB_Customers!$A:$D,4,0),"❌ Account Not Found"))</f>
        <v/>
      </c>
      <c r="C122" s="89" t="str">
        <f>IF(A122="","",IFERROR(VLOOKUP(A122,DB_Customers!$A:$N,14,0),""))</f>
        <v/>
      </c>
      <c r="D122" s="90" t="str">
        <f t="shared" ca="1" si="9"/>
        <v/>
      </c>
      <c r="E122" s="97"/>
      <c r="F122" s="25"/>
      <c r="G122" s="99" t="str">
        <f t="shared" si="10"/>
        <v/>
      </c>
      <c r="H122" s="27"/>
      <c r="I122" s="84"/>
      <c r="J122" s="92" t="str">
        <f>IF(AND(A122&lt;&gt;"",E122&lt;&gt;""),IF(I122="","⚠️ Enter Code",IF(IFERROR(VLOOKUP(H122,DB_Agents!$B:$I,8,0),"")=I122,IF(C122&gt;=E122,"Successful","Unsuccessful"),"🔒 BLOCKED — Wrong Code")),"—")</f>
        <v>—</v>
      </c>
      <c r="K122" s="93" t="str">
        <f t="shared" ca="1" si="11"/>
        <v>—</v>
      </c>
      <c r="L122" s="94"/>
    </row>
    <row r="123" spans="1:12" x14ac:dyDescent="0.25">
      <c r="A123" s="79"/>
      <c r="B123" s="21" t="str">
        <f>IF(A123="","",IFERROR(VLOOKUP(A123,DB_Customers!$A:$D,4,0),"❌ Account Not Found"))</f>
        <v/>
      </c>
      <c r="C123" s="80" t="str">
        <f>IF(A123="","",IFERROR(VLOOKUP(A123,DB_Customers!$A:$N,14,0),""))</f>
        <v/>
      </c>
      <c r="D123" s="81" t="str">
        <f t="shared" ca="1" si="9"/>
        <v/>
      </c>
      <c r="E123" s="97"/>
      <c r="F123" s="21"/>
      <c r="G123" s="98" t="str">
        <f t="shared" si="10"/>
        <v/>
      </c>
      <c r="H123" s="23"/>
      <c r="I123" s="84"/>
      <c r="J123" s="85" t="str">
        <f>IF(AND(A123&lt;&gt;"",E123&lt;&gt;""),IF(I123="","⚠️ Enter Code",IF(IFERROR(VLOOKUP(H123,DB_Agents!$B:$I,8,0),"")=I123,IF(C123&gt;=E123,"Successful","Unsuccessful"),"🔒 BLOCKED — Wrong Code")),"—")</f>
        <v>—</v>
      </c>
      <c r="K123" s="86" t="str">
        <f t="shared" ca="1" si="11"/>
        <v>—</v>
      </c>
      <c r="L123" s="87"/>
    </row>
    <row r="124" spans="1:12" x14ac:dyDescent="0.25">
      <c r="A124" s="88"/>
      <c r="B124" s="25" t="str">
        <f>IF(A124="","",IFERROR(VLOOKUP(A124,DB_Customers!$A:$D,4,0),"❌ Account Not Found"))</f>
        <v/>
      </c>
      <c r="C124" s="89" t="str">
        <f>IF(A124="","",IFERROR(VLOOKUP(A124,DB_Customers!$A:$N,14,0),""))</f>
        <v/>
      </c>
      <c r="D124" s="90" t="str">
        <f t="shared" ca="1" si="9"/>
        <v/>
      </c>
      <c r="E124" s="97"/>
      <c r="F124" s="25"/>
      <c r="G124" s="99" t="str">
        <f t="shared" si="10"/>
        <v/>
      </c>
      <c r="H124" s="27"/>
      <c r="I124" s="84"/>
      <c r="J124" s="92" t="str">
        <f>IF(AND(A124&lt;&gt;"",E124&lt;&gt;""),IF(I124="","⚠️ Enter Code",IF(IFERROR(VLOOKUP(H124,DB_Agents!$B:$I,8,0),"")=I124,IF(C124&gt;=E124,"Successful","Unsuccessful"),"🔒 BLOCKED — Wrong Code")),"—")</f>
        <v>—</v>
      </c>
      <c r="K124" s="93" t="str">
        <f t="shared" ca="1" si="11"/>
        <v>—</v>
      </c>
      <c r="L124" s="94"/>
    </row>
    <row r="125" spans="1:12" x14ac:dyDescent="0.25">
      <c r="A125" s="79"/>
      <c r="B125" s="21" t="str">
        <f>IF(A125="","",IFERROR(VLOOKUP(A125,DB_Customers!$A:$D,4,0),"❌ Account Not Found"))</f>
        <v/>
      </c>
      <c r="C125" s="80" t="str">
        <f>IF(A125="","",IFERROR(VLOOKUP(A125,DB_Customers!$A:$N,14,0),""))</f>
        <v/>
      </c>
      <c r="D125" s="81" t="str">
        <f t="shared" ca="1" si="9"/>
        <v/>
      </c>
      <c r="E125" s="97"/>
      <c r="F125" s="21"/>
      <c r="G125" s="98" t="str">
        <f t="shared" si="10"/>
        <v/>
      </c>
      <c r="H125" s="23"/>
      <c r="I125" s="84"/>
      <c r="J125" s="85" t="str">
        <f>IF(AND(A125&lt;&gt;"",E125&lt;&gt;""),IF(I125="","⚠️ Enter Code",IF(IFERROR(VLOOKUP(H125,DB_Agents!$B:$I,8,0),"")=I125,IF(C125&gt;=E125,"Successful","Unsuccessful"),"🔒 BLOCKED — Wrong Code")),"—")</f>
        <v>—</v>
      </c>
      <c r="K125" s="86" t="str">
        <f t="shared" ca="1" si="11"/>
        <v>—</v>
      </c>
      <c r="L125" s="87"/>
    </row>
    <row r="126" spans="1:12" x14ac:dyDescent="0.25">
      <c r="A126" s="88"/>
      <c r="B126" s="25" t="str">
        <f>IF(A126="","",IFERROR(VLOOKUP(A126,DB_Customers!$A:$D,4,0),"❌ Account Not Found"))</f>
        <v/>
      </c>
      <c r="C126" s="89" t="str">
        <f>IF(A126="","",IFERROR(VLOOKUP(A126,DB_Customers!$A:$N,14,0),""))</f>
        <v/>
      </c>
      <c r="D126" s="90" t="str">
        <f t="shared" ca="1" si="9"/>
        <v/>
      </c>
      <c r="E126" s="97"/>
      <c r="F126" s="25"/>
      <c r="G126" s="99" t="str">
        <f t="shared" si="10"/>
        <v/>
      </c>
      <c r="H126" s="27"/>
      <c r="I126" s="84"/>
      <c r="J126" s="92" t="str">
        <f>IF(AND(A126&lt;&gt;"",E126&lt;&gt;""),IF(I126="","⚠️ Enter Code",IF(IFERROR(VLOOKUP(H126,DB_Agents!$B:$I,8,0),"")=I126,IF(C126&gt;=E126,"Successful","Unsuccessful"),"🔒 BLOCKED — Wrong Code")),"—")</f>
        <v>—</v>
      </c>
      <c r="K126" s="93" t="str">
        <f t="shared" ca="1" si="11"/>
        <v>—</v>
      </c>
      <c r="L126" s="94"/>
    </row>
    <row r="127" spans="1:12" x14ac:dyDescent="0.25">
      <c r="A127" s="79"/>
      <c r="B127" s="21" t="str">
        <f>IF(A127="","",IFERROR(VLOOKUP(A127,DB_Customers!$A:$D,4,0),"❌ Account Not Found"))</f>
        <v/>
      </c>
      <c r="C127" s="80" t="str">
        <f>IF(A127="","",IFERROR(VLOOKUP(A127,DB_Customers!$A:$N,14,0),""))</f>
        <v/>
      </c>
      <c r="D127" s="81" t="str">
        <f t="shared" ca="1" si="9"/>
        <v/>
      </c>
      <c r="E127" s="97"/>
      <c r="F127" s="21"/>
      <c r="G127" s="98" t="str">
        <f t="shared" si="10"/>
        <v/>
      </c>
      <c r="H127" s="23"/>
      <c r="I127" s="84"/>
      <c r="J127" s="85" t="str">
        <f>IF(AND(A127&lt;&gt;"",E127&lt;&gt;""),IF(I127="","⚠️ Enter Code",IF(IFERROR(VLOOKUP(H127,DB_Agents!$B:$I,8,0),"")=I127,IF(C127&gt;=E127,"Successful","Unsuccessful"),"🔒 BLOCKED — Wrong Code")),"—")</f>
        <v>—</v>
      </c>
      <c r="K127" s="86" t="str">
        <f t="shared" ca="1" si="11"/>
        <v>—</v>
      </c>
      <c r="L127" s="87"/>
    </row>
    <row r="128" spans="1:12" x14ac:dyDescent="0.25">
      <c r="A128" s="88"/>
      <c r="B128" s="25" t="str">
        <f>IF(A128="","",IFERROR(VLOOKUP(A128,DB_Customers!$A:$D,4,0),"❌ Account Not Found"))</f>
        <v/>
      </c>
      <c r="C128" s="89" t="str">
        <f>IF(A128="","",IFERROR(VLOOKUP(A128,DB_Customers!$A:$N,14,0),""))</f>
        <v/>
      </c>
      <c r="D128" s="90" t="str">
        <f t="shared" ca="1" si="9"/>
        <v/>
      </c>
      <c r="E128" s="97"/>
      <c r="F128" s="25"/>
      <c r="G128" s="99" t="str">
        <f t="shared" si="10"/>
        <v/>
      </c>
      <c r="H128" s="27"/>
      <c r="I128" s="84"/>
      <c r="J128" s="92" t="str">
        <f>IF(AND(A128&lt;&gt;"",E128&lt;&gt;""),IF(I128="","⚠️ Enter Code",IF(IFERROR(VLOOKUP(H128,DB_Agents!$B:$I,8,0),"")=I128,IF(C128&gt;=E128,"Successful","Unsuccessful"),"🔒 BLOCKED — Wrong Code")),"—")</f>
        <v>—</v>
      </c>
      <c r="K128" s="93" t="str">
        <f t="shared" ca="1" si="11"/>
        <v>—</v>
      </c>
      <c r="L128" s="94"/>
    </row>
    <row r="129" spans="1:12" x14ac:dyDescent="0.25">
      <c r="A129" s="79"/>
      <c r="B129" s="21" t="str">
        <f>IF(A129="","",IFERROR(VLOOKUP(A129,DB_Customers!$A:$D,4,0),"❌ Account Not Found"))</f>
        <v/>
      </c>
      <c r="C129" s="80" t="str">
        <f>IF(A129="","",IFERROR(VLOOKUP(A129,DB_Customers!$A:$N,14,0),""))</f>
        <v/>
      </c>
      <c r="D129" s="81" t="str">
        <f t="shared" ca="1" si="9"/>
        <v/>
      </c>
      <c r="E129" s="97"/>
      <c r="F129" s="21"/>
      <c r="G129" s="98" t="str">
        <f t="shared" si="10"/>
        <v/>
      </c>
      <c r="H129" s="23"/>
      <c r="I129" s="84"/>
      <c r="J129" s="85" t="str">
        <f>IF(AND(A129&lt;&gt;"",E129&lt;&gt;""),IF(I129="","⚠️ Enter Code",IF(IFERROR(VLOOKUP(H129,DB_Agents!$B:$I,8,0),"")=I129,IF(C129&gt;=E129,"Successful","Unsuccessful"),"🔒 BLOCKED — Wrong Code")),"—")</f>
        <v>—</v>
      </c>
      <c r="K129" s="86" t="str">
        <f t="shared" ca="1" si="11"/>
        <v>—</v>
      </c>
      <c r="L129" s="87"/>
    </row>
    <row r="130" spans="1:12" x14ac:dyDescent="0.25">
      <c r="A130" s="88"/>
      <c r="B130" s="25" t="str">
        <f>IF(A130="","",IFERROR(VLOOKUP(A130,DB_Customers!$A:$D,4,0),"❌ Account Not Found"))</f>
        <v/>
      </c>
      <c r="C130" s="89" t="str">
        <f>IF(A130="","",IFERROR(VLOOKUP(A130,DB_Customers!$A:$N,14,0),""))</f>
        <v/>
      </c>
      <c r="D130" s="90" t="str">
        <f t="shared" ca="1" si="9"/>
        <v/>
      </c>
      <c r="E130" s="97"/>
      <c r="F130" s="25"/>
      <c r="G130" s="99" t="str">
        <f t="shared" si="10"/>
        <v/>
      </c>
      <c r="H130" s="27"/>
      <c r="I130" s="84"/>
      <c r="J130" s="92" t="str">
        <f>IF(AND(A130&lt;&gt;"",E130&lt;&gt;""),IF(I130="","⚠️ Enter Code",IF(IFERROR(VLOOKUP(H130,DB_Agents!$B:$I,8,0),"")=I130,IF(C130&gt;=E130,"Successful","Unsuccessful"),"🔒 BLOCKED — Wrong Code")),"—")</f>
        <v>—</v>
      </c>
      <c r="K130" s="93" t="str">
        <f t="shared" ca="1" si="11"/>
        <v>—</v>
      </c>
      <c r="L130" s="94"/>
    </row>
    <row r="131" spans="1:12" x14ac:dyDescent="0.25">
      <c r="A131" s="79"/>
      <c r="B131" s="21" t="str">
        <f>IF(A131="","",IFERROR(VLOOKUP(A131,DB_Customers!$A:$D,4,0),"❌ Account Not Found"))</f>
        <v/>
      </c>
      <c r="C131" s="80" t="str">
        <f>IF(A131="","",IFERROR(VLOOKUP(A131,DB_Customers!$A:$N,14,0),""))</f>
        <v/>
      </c>
      <c r="D131" s="81" t="str">
        <f t="shared" ca="1" si="9"/>
        <v/>
      </c>
      <c r="E131" s="97"/>
      <c r="F131" s="21"/>
      <c r="G131" s="98" t="str">
        <f t="shared" si="10"/>
        <v/>
      </c>
      <c r="H131" s="23"/>
      <c r="I131" s="84"/>
      <c r="J131" s="85" t="str">
        <f>IF(AND(A131&lt;&gt;"",E131&lt;&gt;""),IF(I131="","⚠️ Enter Code",IF(IFERROR(VLOOKUP(H131,DB_Agents!$B:$I,8,0),"")=I131,IF(C131&gt;=E131,"Successful","Unsuccessful"),"🔒 BLOCKED — Wrong Code")),"—")</f>
        <v>—</v>
      </c>
      <c r="K131" s="86" t="str">
        <f t="shared" ca="1" si="11"/>
        <v>—</v>
      </c>
      <c r="L131" s="87"/>
    </row>
    <row r="132" spans="1:12" x14ac:dyDescent="0.25">
      <c r="A132" s="88"/>
      <c r="B132" s="25" t="str">
        <f>IF(A132="","",IFERROR(VLOOKUP(A132,DB_Customers!$A:$D,4,0),"❌ Account Not Found"))</f>
        <v/>
      </c>
      <c r="C132" s="89" t="str">
        <f>IF(A132="","",IFERROR(VLOOKUP(A132,DB_Customers!$A:$N,14,0),""))</f>
        <v/>
      </c>
      <c r="D132" s="90" t="str">
        <f t="shared" ca="1" si="9"/>
        <v/>
      </c>
      <c r="E132" s="97"/>
      <c r="F132" s="25"/>
      <c r="G132" s="99" t="str">
        <f t="shared" si="10"/>
        <v/>
      </c>
      <c r="H132" s="27"/>
      <c r="I132" s="84"/>
      <c r="J132" s="92" t="str">
        <f>IF(AND(A132&lt;&gt;"",E132&lt;&gt;""),IF(I132="","⚠️ Enter Code",IF(IFERROR(VLOOKUP(H132,DB_Agents!$B:$I,8,0),"")=I132,IF(C132&gt;=E132,"Successful","Unsuccessful"),"🔒 BLOCKED — Wrong Code")),"—")</f>
        <v>—</v>
      </c>
      <c r="K132" s="93" t="str">
        <f t="shared" ca="1" si="11"/>
        <v>—</v>
      </c>
      <c r="L132" s="94"/>
    </row>
    <row r="133" spans="1:12" x14ac:dyDescent="0.25">
      <c r="A133" s="79"/>
      <c r="B133" s="21" t="str">
        <f>IF(A133="","",IFERROR(VLOOKUP(A133,DB_Customers!$A:$D,4,0),"❌ Account Not Found"))</f>
        <v/>
      </c>
      <c r="C133" s="80" t="str">
        <f>IF(A133="","",IFERROR(VLOOKUP(A133,DB_Customers!$A:$N,14,0),""))</f>
        <v/>
      </c>
      <c r="D133" s="81" t="str">
        <f t="shared" ca="1" si="9"/>
        <v/>
      </c>
      <c r="E133" s="97"/>
      <c r="F133" s="21"/>
      <c r="G133" s="98" t="str">
        <f t="shared" si="10"/>
        <v/>
      </c>
      <c r="H133" s="23"/>
      <c r="I133" s="84"/>
      <c r="J133" s="85" t="str">
        <f>IF(AND(A133&lt;&gt;"",E133&lt;&gt;""),IF(I133="","⚠️ Enter Code",IF(IFERROR(VLOOKUP(H133,DB_Agents!$B:$I,8,0),"")=I133,IF(C133&gt;=E133,"Successful","Unsuccessful"),"🔒 BLOCKED — Wrong Code")),"—")</f>
        <v>—</v>
      </c>
      <c r="K133" s="86" t="str">
        <f t="shared" ca="1" si="11"/>
        <v>—</v>
      </c>
      <c r="L133" s="87"/>
    </row>
    <row r="134" spans="1:12" x14ac:dyDescent="0.25">
      <c r="A134" s="88"/>
      <c r="B134" s="25" t="str">
        <f>IF(A134="","",IFERROR(VLOOKUP(A134,DB_Customers!$A:$D,4,0),"❌ Account Not Found"))</f>
        <v/>
      </c>
      <c r="C134" s="89" t="str">
        <f>IF(A134="","",IFERROR(VLOOKUP(A134,DB_Customers!$A:$N,14,0),""))</f>
        <v/>
      </c>
      <c r="D134" s="90" t="str">
        <f t="shared" ca="1" si="9"/>
        <v/>
      </c>
      <c r="E134" s="97"/>
      <c r="F134" s="25"/>
      <c r="G134" s="99" t="str">
        <f t="shared" si="10"/>
        <v/>
      </c>
      <c r="H134" s="27"/>
      <c r="I134" s="84"/>
      <c r="J134" s="92" t="str">
        <f>IF(AND(A134&lt;&gt;"",E134&lt;&gt;""),IF(I134="","⚠️ Enter Code",IF(IFERROR(VLOOKUP(H134,DB_Agents!$B:$I,8,0),"")=I134,IF(C134&gt;=E134,"Successful","Unsuccessful"),"🔒 BLOCKED — Wrong Code")),"—")</f>
        <v>—</v>
      </c>
      <c r="K134" s="93" t="str">
        <f t="shared" ca="1" si="11"/>
        <v>—</v>
      </c>
      <c r="L134" s="94"/>
    </row>
    <row r="135" spans="1:12" x14ac:dyDescent="0.25">
      <c r="A135" s="79"/>
      <c r="B135" s="21" t="str">
        <f>IF(A135="","",IFERROR(VLOOKUP(A135,DB_Customers!$A:$D,4,0),"❌ Account Not Found"))</f>
        <v/>
      </c>
      <c r="C135" s="80" t="str">
        <f>IF(A135="","",IFERROR(VLOOKUP(A135,DB_Customers!$A:$N,14,0),""))</f>
        <v/>
      </c>
      <c r="D135" s="81" t="str">
        <f t="shared" ca="1" si="9"/>
        <v/>
      </c>
      <c r="E135" s="97"/>
      <c r="F135" s="21"/>
      <c r="G135" s="98" t="str">
        <f t="shared" si="10"/>
        <v/>
      </c>
      <c r="H135" s="23"/>
      <c r="I135" s="84"/>
      <c r="J135" s="85" t="str">
        <f>IF(AND(A135&lt;&gt;"",E135&lt;&gt;""),IF(I135="","⚠️ Enter Code",IF(IFERROR(VLOOKUP(H135,DB_Agents!$B:$I,8,0),"")=I135,IF(C135&gt;=E135,"Successful","Unsuccessful"),"🔒 BLOCKED — Wrong Code")),"—")</f>
        <v>—</v>
      </c>
      <c r="K135" s="86" t="str">
        <f t="shared" ca="1" si="11"/>
        <v>—</v>
      </c>
      <c r="L135" s="87"/>
    </row>
    <row r="136" spans="1:12" x14ac:dyDescent="0.25">
      <c r="A136" s="88"/>
      <c r="B136" s="25" t="str">
        <f>IF(A136="","",IFERROR(VLOOKUP(A136,DB_Customers!$A:$D,4,0),"❌ Account Not Found"))</f>
        <v/>
      </c>
      <c r="C136" s="89" t="str">
        <f>IF(A136="","",IFERROR(VLOOKUP(A136,DB_Customers!$A:$N,14,0),""))</f>
        <v/>
      </c>
      <c r="D136" s="90" t="str">
        <f t="shared" ca="1" si="9"/>
        <v/>
      </c>
      <c r="E136" s="97"/>
      <c r="F136" s="25"/>
      <c r="G136" s="99" t="str">
        <f t="shared" si="10"/>
        <v/>
      </c>
      <c r="H136" s="27"/>
      <c r="I136" s="84"/>
      <c r="J136" s="92" t="str">
        <f>IF(AND(A136&lt;&gt;"",E136&lt;&gt;""),IF(I136="","⚠️ Enter Code",IF(IFERROR(VLOOKUP(H136,DB_Agents!$B:$I,8,0),"")=I136,IF(C136&gt;=E136,"Successful","Unsuccessful"),"🔒 BLOCKED — Wrong Code")),"—")</f>
        <v>—</v>
      </c>
      <c r="K136" s="93" t="str">
        <f t="shared" ca="1" si="11"/>
        <v>—</v>
      </c>
      <c r="L136" s="94"/>
    </row>
    <row r="137" spans="1:12" x14ac:dyDescent="0.25">
      <c r="A137" s="79"/>
      <c r="B137" s="21" t="str">
        <f>IF(A137="","",IFERROR(VLOOKUP(A137,DB_Customers!$A:$D,4,0),"❌ Account Not Found"))</f>
        <v/>
      </c>
      <c r="C137" s="80" t="str">
        <f>IF(A137="","",IFERROR(VLOOKUP(A137,DB_Customers!$A:$N,14,0),""))</f>
        <v/>
      </c>
      <c r="D137" s="81" t="str">
        <f t="shared" ref="D137:D168" ca="1" si="12">IF(A137="","",TODAY())</f>
        <v/>
      </c>
      <c r="E137" s="97"/>
      <c r="F137" s="21"/>
      <c r="G137" s="98" t="str">
        <f t="shared" ref="G137:G168" si="13">IF(OR(A137="",E137=""),"",IF(C137="","",C137-E137))</f>
        <v/>
      </c>
      <c r="H137" s="23"/>
      <c r="I137" s="84"/>
      <c r="J137" s="85" t="str">
        <f>IF(AND(A137&lt;&gt;"",E137&lt;&gt;""),IF(I137="","⚠️ Enter Code",IF(IFERROR(VLOOKUP(H137,DB_Agents!$B:$I,8,0),"")=I137,IF(C137&gt;=E137,"Successful","Unsuccessful"),"🔒 BLOCKED — Wrong Code")),"—")</f>
        <v>—</v>
      </c>
      <c r="K137" s="86" t="str">
        <f t="shared" ref="K137:K168" ca="1" si="14">IF(J137="Successful",TEXT(TODAY(),"YYYY-MM-DD")&amp;" Auto","—")</f>
        <v>—</v>
      </c>
      <c r="L137" s="87"/>
    </row>
    <row r="138" spans="1:12" x14ac:dyDescent="0.25">
      <c r="A138" s="88"/>
      <c r="B138" s="25" t="str">
        <f>IF(A138="","",IFERROR(VLOOKUP(A138,DB_Customers!$A:$D,4,0),"❌ Account Not Found"))</f>
        <v/>
      </c>
      <c r="C138" s="89" t="str">
        <f>IF(A138="","",IFERROR(VLOOKUP(A138,DB_Customers!$A:$N,14,0),""))</f>
        <v/>
      </c>
      <c r="D138" s="90" t="str">
        <f t="shared" ca="1" si="12"/>
        <v/>
      </c>
      <c r="E138" s="97"/>
      <c r="F138" s="25"/>
      <c r="G138" s="99" t="str">
        <f t="shared" si="13"/>
        <v/>
      </c>
      <c r="H138" s="27"/>
      <c r="I138" s="84"/>
      <c r="J138" s="92" t="str">
        <f>IF(AND(A138&lt;&gt;"",E138&lt;&gt;""),IF(I138="","⚠️ Enter Code",IF(IFERROR(VLOOKUP(H138,DB_Agents!$B:$I,8,0),"")=I138,IF(C138&gt;=E138,"Successful","Unsuccessful"),"🔒 BLOCKED — Wrong Code")),"—")</f>
        <v>—</v>
      </c>
      <c r="K138" s="93" t="str">
        <f t="shared" ca="1" si="14"/>
        <v>—</v>
      </c>
      <c r="L138" s="94"/>
    </row>
    <row r="139" spans="1:12" x14ac:dyDescent="0.25">
      <c r="A139" s="79"/>
      <c r="B139" s="21" t="str">
        <f>IF(A139="","",IFERROR(VLOOKUP(A139,DB_Customers!$A:$D,4,0),"❌ Account Not Found"))</f>
        <v/>
      </c>
      <c r="C139" s="80" t="str">
        <f>IF(A139="","",IFERROR(VLOOKUP(A139,DB_Customers!$A:$N,14,0),""))</f>
        <v/>
      </c>
      <c r="D139" s="81" t="str">
        <f t="shared" ca="1" si="12"/>
        <v/>
      </c>
      <c r="E139" s="97"/>
      <c r="F139" s="21"/>
      <c r="G139" s="98" t="str">
        <f t="shared" si="13"/>
        <v/>
      </c>
      <c r="H139" s="23"/>
      <c r="I139" s="84"/>
      <c r="J139" s="85" t="str">
        <f>IF(AND(A139&lt;&gt;"",E139&lt;&gt;""),IF(I139="","⚠️ Enter Code",IF(IFERROR(VLOOKUP(H139,DB_Agents!$B:$I,8,0),"")=I139,IF(C139&gt;=E139,"Successful","Unsuccessful"),"🔒 BLOCKED — Wrong Code")),"—")</f>
        <v>—</v>
      </c>
      <c r="K139" s="86" t="str">
        <f t="shared" ca="1" si="14"/>
        <v>—</v>
      </c>
      <c r="L139" s="87"/>
    </row>
    <row r="140" spans="1:12" x14ac:dyDescent="0.25">
      <c r="A140" s="88"/>
      <c r="B140" s="25" t="str">
        <f>IF(A140="","",IFERROR(VLOOKUP(A140,DB_Customers!$A:$D,4,0),"❌ Account Not Found"))</f>
        <v/>
      </c>
      <c r="C140" s="89" t="str">
        <f>IF(A140="","",IFERROR(VLOOKUP(A140,DB_Customers!$A:$N,14,0),""))</f>
        <v/>
      </c>
      <c r="D140" s="90" t="str">
        <f t="shared" ca="1" si="12"/>
        <v/>
      </c>
      <c r="E140" s="97"/>
      <c r="F140" s="25"/>
      <c r="G140" s="99" t="str">
        <f t="shared" si="13"/>
        <v/>
      </c>
      <c r="H140" s="27"/>
      <c r="I140" s="84"/>
      <c r="J140" s="92" t="str">
        <f>IF(AND(A140&lt;&gt;"",E140&lt;&gt;""),IF(I140="","⚠️ Enter Code",IF(IFERROR(VLOOKUP(H140,DB_Agents!$B:$I,8,0),"")=I140,IF(C140&gt;=E140,"Successful","Unsuccessful"),"🔒 BLOCKED — Wrong Code")),"—")</f>
        <v>—</v>
      </c>
      <c r="K140" s="93" t="str">
        <f t="shared" ca="1" si="14"/>
        <v>—</v>
      </c>
      <c r="L140" s="94"/>
    </row>
    <row r="141" spans="1:12" x14ac:dyDescent="0.25">
      <c r="A141" s="79"/>
      <c r="B141" s="21" t="str">
        <f>IF(A141="","",IFERROR(VLOOKUP(A141,DB_Customers!$A:$D,4,0),"❌ Account Not Found"))</f>
        <v/>
      </c>
      <c r="C141" s="80" t="str">
        <f>IF(A141="","",IFERROR(VLOOKUP(A141,DB_Customers!$A:$N,14,0),""))</f>
        <v/>
      </c>
      <c r="D141" s="81" t="str">
        <f t="shared" ca="1" si="12"/>
        <v/>
      </c>
      <c r="E141" s="97"/>
      <c r="F141" s="21"/>
      <c r="G141" s="98" t="str">
        <f t="shared" si="13"/>
        <v/>
      </c>
      <c r="H141" s="23"/>
      <c r="I141" s="84"/>
      <c r="J141" s="85" t="str">
        <f>IF(AND(A141&lt;&gt;"",E141&lt;&gt;""),IF(I141="","⚠️ Enter Code",IF(IFERROR(VLOOKUP(H141,DB_Agents!$B:$I,8,0),"")=I141,IF(C141&gt;=E141,"Successful","Unsuccessful"),"🔒 BLOCKED — Wrong Code")),"—")</f>
        <v>—</v>
      </c>
      <c r="K141" s="86" t="str">
        <f t="shared" ca="1" si="14"/>
        <v>—</v>
      </c>
      <c r="L141" s="87"/>
    </row>
    <row r="142" spans="1:12" x14ac:dyDescent="0.25">
      <c r="A142" s="88"/>
      <c r="B142" s="25" t="str">
        <f>IF(A142="","",IFERROR(VLOOKUP(A142,DB_Customers!$A:$D,4,0),"❌ Account Not Found"))</f>
        <v/>
      </c>
      <c r="C142" s="89" t="str">
        <f>IF(A142="","",IFERROR(VLOOKUP(A142,DB_Customers!$A:$N,14,0),""))</f>
        <v/>
      </c>
      <c r="D142" s="90" t="str">
        <f t="shared" ca="1" si="12"/>
        <v/>
      </c>
      <c r="E142" s="97"/>
      <c r="F142" s="25"/>
      <c r="G142" s="99" t="str">
        <f t="shared" si="13"/>
        <v/>
      </c>
      <c r="H142" s="27"/>
      <c r="I142" s="84"/>
      <c r="J142" s="92" t="str">
        <f>IF(AND(A142&lt;&gt;"",E142&lt;&gt;""),IF(I142="","⚠️ Enter Code",IF(IFERROR(VLOOKUP(H142,DB_Agents!$B:$I,8,0),"")=I142,IF(C142&gt;=E142,"Successful","Unsuccessful"),"🔒 BLOCKED — Wrong Code")),"—")</f>
        <v>—</v>
      </c>
      <c r="K142" s="93" t="str">
        <f t="shared" ca="1" si="14"/>
        <v>—</v>
      </c>
      <c r="L142" s="94"/>
    </row>
    <row r="143" spans="1:12" x14ac:dyDescent="0.25">
      <c r="A143" s="79"/>
      <c r="B143" s="21" t="str">
        <f>IF(A143="","",IFERROR(VLOOKUP(A143,DB_Customers!$A:$D,4,0),"❌ Account Not Found"))</f>
        <v/>
      </c>
      <c r="C143" s="80" t="str">
        <f>IF(A143="","",IFERROR(VLOOKUP(A143,DB_Customers!$A:$N,14,0),""))</f>
        <v/>
      </c>
      <c r="D143" s="81" t="str">
        <f t="shared" ca="1" si="12"/>
        <v/>
      </c>
      <c r="E143" s="97"/>
      <c r="F143" s="21"/>
      <c r="G143" s="98" t="str">
        <f t="shared" si="13"/>
        <v/>
      </c>
      <c r="H143" s="23"/>
      <c r="I143" s="84"/>
      <c r="J143" s="85" t="str">
        <f>IF(AND(A143&lt;&gt;"",E143&lt;&gt;""),IF(I143="","⚠️ Enter Code",IF(IFERROR(VLOOKUP(H143,DB_Agents!$B:$I,8,0),"")=I143,IF(C143&gt;=E143,"Successful","Unsuccessful"),"🔒 BLOCKED — Wrong Code")),"—")</f>
        <v>—</v>
      </c>
      <c r="K143" s="86" t="str">
        <f t="shared" ca="1" si="14"/>
        <v>—</v>
      </c>
      <c r="L143" s="87"/>
    </row>
    <row r="144" spans="1:12" x14ac:dyDescent="0.25">
      <c r="A144" s="88"/>
      <c r="B144" s="25" t="str">
        <f>IF(A144="","",IFERROR(VLOOKUP(A144,DB_Customers!$A:$D,4,0),"❌ Account Not Found"))</f>
        <v/>
      </c>
      <c r="C144" s="89" t="str">
        <f>IF(A144="","",IFERROR(VLOOKUP(A144,DB_Customers!$A:$N,14,0),""))</f>
        <v/>
      </c>
      <c r="D144" s="90" t="str">
        <f t="shared" ca="1" si="12"/>
        <v/>
      </c>
      <c r="E144" s="97"/>
      <c r="F144" s="25"/>
      <c r="G144" s="99" t="str">
        <f t="shared" si="13"/>
        <v/>
      </c>
      <c r="H144" s="27"/>
      <c r="I144" s="84"/>
      <c r="J144" s="92" t="str">
        <f>IF(AND(A144&lt;&gt;"",E144&lt;&gt;""),IF(I144="","⚠️ Enter Code",IF(IFERROR(VLOOKUP(H144,DB_Agents!$B:$I,8,0),"")=I144,IF(C144&gt;=E144,"Successful","Unsuccessful"),"🔒 BLOCKED — Wrong Code")),"—")</f>
        <v>—</v>
      </c>
      <c r="K144" s="93" t="str">
        <f t="shared" ca="1" si="14"/>
        <v>—</v>
      </c>
      <c r="L144" s="94"/>
    </row>
    <row r="145" spans="1:12" x14ac:dyDescent="0.25">
      <c r="A145" s="79"/>
      <c r="B145" s="21" t="str">
        <f>IF(A145="","",IFERROR(VLOOKUP(A145,DB_Customers!$A:$D,4,0),"❌ Account Not Found"))</f>
        <v/>
      </c>
      <c r="C145" s="80" t="str">
        <f>IF(A145="","",IFERROR(VLOOKUP(A145,DB_Customers!$A:$N,14,0),""))</f>
        <v/>
      </c>
      <c r="D145" s="81" t="str">
        <f t="shared" ca="1" si="12"/>
        <v/>
      </c>
      <c r="E145" s="97"/>
      <c r="F145" s="21"/>
      <c r="G145" s="98" t="str">
        <f t="shared" si="13"/>
        <v/>
      </c>
      <c r="H145" s="23"/>
      <c r="I145" s="84"/>
      <c r="J145" s="85" t="str">
        <f>IF(AND(A145&lt;&gt;"",E145&lt;&gt;""),IF(I145="","⚠️ Enter Code",IF(IFERROR(VLOOKUP(H145,DB_Agents!$B:$I,8,0),"")=I145,IF(C145&gt;=E145,"Successful","Unsuccessful"),"🔒 BLOCKED — Wrong Code")),"—")</f>
        <v>—</v>
      </c>
      <c r="K145" s="86" t="str">
        <f t="shared" ca="1" si="14"/>
        <v>—</v>
      </c>
      <c r="L145" s="87"/>
    </row>
    <row r="146" spans="1:12" x14ac:dyDescent="0.25">
      <c r="A146" s="88"/>
      <c r="B146" s="25" t="str">
        <f>IF(A146="","",IFERROR(VLOOKUP(A146,DB_Customers!$A:$D,4,0),"❌ Account Not Found"))</f>
        <v/>
      </c>
      <c r="C146" s="89" t="str">
        <f>IF(A146="","",IFERROR(VLOOKUP(A146,DB_Customers!$A:$N,14,0),""))</f>
        <v/>
      </c>
      <c r="D146" s="90" t="str">
        <f t="shared" ca="1" si="12"/>
        <v/>
      </c>
      <c r="E146" s="97"/>
      <c r="F146" s="25"/>
      <c r="G146" s="99" t="str">
        <f t="shared" si="13"/>
        <v/>
      </c>
      <c r="H146" s="27"/>
      <c r="I146" s="84"/>
      <c r="J146" s="92" t="str">
        <f>IF(AND(A146&lt;&gt;"",E146&lt;&gt;""),IF(I146="","⚠️ Enter Code",IF(IFERROR(VLOOKUP(H146,DB_Agents!$B:$I,8,0),"")=I146,IF(C146&gt;=E146,"Successful","Unsuccessful"),"🔒 BLOCKED — Wrong Code")),"—")</f>
        <v>—</v>
      </c>
      <c r="K146" s="93" t="str">
        <f t="shared" ca="1" si="14"/>
        <v>—</v>
      </c>
      <c r="L146" s="94"/>
    </row>
    <row r="147" spans="1:12" x14ac:dyDescent="0.25">
      <c r="A147" s="79"/>
      <c r="B147" s="21" t="str">
        <f>IF(A147="","",IFERROR(VLOOKUP(A147,DB_Customers!$A:$D,4,0),"❌ Account Not Found"))</f>
        <v/>
      </c>
      <c r="C147" s="80" t="str">
        <f>IF(A147="","",IFERROR(VLOOKUP(A147,DB_Customers!$A:$N,14,0),""))</f>
        <v/>
      </c>
      <c r="D147" s="81" t="str">
        <f t="shared" ca="1" si="12"/>
        <v/>
      </c>
      <c r="E147" s="97"/>
      <c r="F147" s="21"/>
      <c r="G147" s="98" t="str">
        <f t="shared" si="13"/>
        <v/>
      </c>
      <c r="H147" s="23"/>
      <c r="I147" s="84"/>
      <c r="J147" s="85" t="str">
        <f>IF(AND(A147&lt;&gt;"",E147&lt;&gt;""),IF(I147="","⚠️ Enter Code",IF(IFERROR(VLOOKUP(H147,DB_Agents!$B:$I,8,0),"")=I147,IF(C147&gt;=E147,"Successful","Unsuccessful"),"🔒 BLOCKED — Wrong Code")),"—")</f>
        <v>—</v>
      </c>
      <c r="K147" s="86" t="str">
        <f t="shared" ca="1" si="14"/>
        <v>—</v>
      </c>
      <c r="L147" s="87"/>
    </row>
    <row r="148" spans="1:12" x14ac:dyDescent="0.25">
      <c r="A148" s="88"/>
      <c r="B148" s="25" t="str">
        <f>IF(A148="","",IFERROR(VLOOKUP(A148,DB_Customers!$A:$D,4,0),"❌ Account Not Found"))</f>
        <v/>
      </c>
      <c r="C148" s="89" t="str">
        <f>IF(A148="","",IFERROR(VLOOKUP(A148,DB_Customers!$A:$N,14,0),""))</f>
        <v/>
      </c>
      <c r="D148" s="90" t="str">
        <f t="shared" ca="1" si="12"/>
        <v/>
      </c>
      <c r="E148" s="97"/>
      <c r="F148" s="25"/>
      <c r="G148" s="99" t="str">
        <f t="shared" si="13"/>
        <v/>
      </c>
      <c r="H148" s="27"/>
      <c r="I148" s="84"/>
      <c r="J148" s="92" t="str">
        <f>IF(AND(A148&lt;&gt;"",E148&lt;&gt;""),IF(I148="","⚠️ Enter Code",IF(IFERROR(VLOOKUP(H148,DB_Agents!$B:$I,8,0),"")=I148,IF(C148&gt;=E148,"Successful","Unsuccessful"),"🔒 BLOCKED — Wrong Code")),"—")</f>
        <v>—</v>
      </c>
      <c r="K148" s="93" t="str">
        <f t="shared" ca="1" si="14"/>
        <v>—</v>
      </c>
      <c r="L148" s="94"/>
    </row>
    <row r="149" spans="1:12" x14ac:dyDescent="0.25">
      <c r="A149" s="79"/>
      <c r="B149" s="21" t="str">
        <f>IF(A149="","",IFERROR(VLOOKUP(A149,DB_Customers!$A:$D,4,0),"❌ Account Not Found"))</f>
        <v/>
      </c>
      <c r="C149" s="80" t="str">
        <f>IF(A149="","",IFERROR(VLOOKUP(A149,DB_Customers!$A:$N,14,0),""))</f>
        <v/>
      </c>
      <c r="D149" s="81" t="str">
        <f t="shared" ca="1" si="12"/>
        <v/>
      </c>
      <c r="E149" s="97"/>
      <c r="F149" s="21"/>
      <c r="G149" s="98" t="str">
        <f t="shared" si="13"/>
        <v/>
      </c>
      <c r="H149" s="23"/>
      <c r="I149" s="84"/>
      <c r="J149" s="85" t="str">
        <f>IF(AND(A149&lt;&gt;"",E149&lt;&gt;""),IF(I149="","⚠️ Enter Code",IF(IFERROR(VLOOKUP(H149,DB_Agents!$B:$I,8,0),"")=I149,IF(C149&gt;=E149,"Successful","Unsuccessful"),"🔒 BLOCKED — Wrong Code")),"—")</f>
        <v>—</v>
      </c>
      <c r="K149" s="86" t="str">
        <f t="shared" ca="1" si="14"/>
        <v>—</v>
      </c>
      <c r="L149" s="87"/>
    </row>
    <row r="150" spans="1:12" x14ac:dyDescent="0.25">
      <c r="A150" s="88"/>
      <c r="B150" s="25" t="str">
        <f>IF(A150="","",IFERROR(VLOOKUP(A150,DB_Customers!$A:$D,4,0),"❌ Account Not Found"))</f>
        <v/>
      </c>
      <c r="C150" s="89" t="str">
        <f>IF(A150="","",IFERROR(VLOOKUP(A150,DB_Customers!$A:$N,14,0),""))</f>
        <v/>
      </c>
      <c r="D150" s="90" t="str">
        <f t="shared" ca="1" si="12"/>
        <v/>
      </c>
      <c r="E150" s="97"/>
      <c r="F150" s="25"/>
      <c r="G150" s="99" t="str">
        <f t="shared" si="13"/>
        <v/>
      </c>
      <c r="H150" s="27"/>
      <c r="I150" s="84"/>
      <c r="J150" s="92" t="str">
        <f>IF(AND(A150&lt;&gt;"",E150&lt;&gt;""),IF(I150="","⚠️ Enter Code",IF(IFERROR(VLOOKUP(H150,DB_Agents!$B:$I,8,0),"")=I150,IF(C150&gt;=E150,"Successful","Unsuccessful"),"🔒 BLOCKED — Wrong Code")),"—")</f>
        <v>—</v>
      </c>
      <c r="K150" s="93" t="str">
        <f t="shared" ca="1" si="14"/>
        <v>—</v>
      </c>
      <c r="L150" s="94"/>
    </row>
    <row r="151" spans="1:12" x14ac:dyDescent="0.25">
      <c r="A151" s="79"/>
      <c r="B151" s="21" t="str">
        <f>IF(A151="","",IFERROR(VLOOKUP(A151,DB_Customers!$A:$D,4,0),"❌ Account Not Found"))</f>
        <v/>
      </c>
      <c r="C151" s="80" t="str">
        <f>IF(A151="","",IFERROR(VLOOKUP(A151,DB_Customers!$A:$N,14,0),""))</f>
        <v/>
      </c>
      <c r="D151" s="81" t="str">
        <f t="shared" ca="1" si="12"/>
        <v/>
      </c>
      <c r="E151" s="97"/>
      <c r="F151" s="21"/>
      <c r="G151" s="98" t="str">
        <f t="shared" si="13"/>
        <v/>
      </c>
      <c r="H151" s="23"/>
      <c r="I151" s="84"/>
      <c r="J151" s="85" t="str">
        <f>IF(AND(A151&lt;&gt;"",E151&lt;&gt;""),IF(I151="","⚠️ Enter Code",IF(IFERROR(VLOOKUP(H151,DB_Agents!$B:$I,8,0),"")=I151,IF(C151&gt;=E151,"Successful","Unsuccessful"),"🔒 BLOCKED — Wrong Code")),"—")</f>
        <v>—</v>
      </c>
      <c r="K151" s="86" t="str">
        <f t="shared" ca="1" si="14"/>
        <v>—</v>
      </c>
      <c r="L151" s="87"/>
    </row>
    <row r="152" spans="1:12" x14ac:dyDescent="0.25">
      <c r="A152" s="88"/>
      <c r="B152" s="25" t="str">
        <f>IF(A152="","",IFERROR(VLOOKUP(A152,DB_Customers!$A:$D,4,0),"❌ Account Not Found"))</f>
        <v/>
      </c>
      <c r="C152" s="89" t="str">
        <f>IF(A152="","",IFERROR(VLOOKUP(A152,DB_Customers!$A:$N,14,0),""))</f>
        <v/>
      </c>
      <c r="D152" s="90" t="str">
        <f t="shared" ca="1" si="12"/>
        <v/>
      </c>
      <c r="E152" s="97"/>
      <c r="F152" s="25"/>
      <c r="G152" s="99" t="str">
        <f t="shared" si="13"/>
        <v/>
      </c>
      <c r="H152" s="27"/>
      <c r="I152" s="84"/>
      <c r="J152" s="92" t="str">
        <f>IF(AND(A152&lt;&gt;"",E152&lt;&gt;""),IF(I152="","⚠️ Enter Code",IF(IFERROR(VLOOKUP(H152,DB_Agents!$B:$I,8,0),"")=I152,IF(C152&gt;=E152,"Successful","Unsuccessful"),"🔒 BLOCKED — Wrong Code")),"—")</f>
        <v>—</v>
      </c>
      <c r="K152" s="93" t="str">
        <f t="shared" ca="1" si="14"/>
        <v>—</v>
      </c>
      <c r="L152" s="94"/>
    </row>
    <row r="153" spans="1:12" x14ac:dyDescent="0.25">
      <c r="A153" s="79"/>
      <c r="B153" s="21" t="str">
        <f>IF(A153="","",IFERROR(VLOOKUP(A153,DB_Customers!$A:$D,4,0),"❌ Account Not Found"))</f>
        <v/>
      </c>
      <c r="C153" s="80" t="str">
        <f>IF(A153="","",IFERROR(VLOOKUP(A153,DB_Customers!$A:$N,14,0),""))</f>
        <v/>
      </c>
      <c r="D153" s="81" t="str">
        <f t="shared" ca="1" si="12"/>
        <v/>
      </c>
      <c r="E153" s="97"/>
      <c r="F153" s="21"/>
      <c r="G153" s="98" t="str">
        <f t="shared" si="13"/>
        <v/>
      </c>
      <c r="H153" s="23"/>
      <c r="I153" s="84"/>
      <c r="J153" s="85" t="str">
        <f>IF(AND(A153&lt;&gt;"",E153&lt;&gt;""),IF(I153="","⚠️ Enter Code",IF(IFERROR(VLOOKUP(H153,DB_Agents!$B:$I,8,0),"")=I153,IF(C153&gt;=E153,"Successful","Unsuccessful"),"🔒 BLOCKED — Wrong Code")),"—")</f>
        <v>—</v>
      </c>
      <c r="K153" s="86" t="str">
        <f t="shared" ca="1" si="14"/>
        <v>—</v>
      </c>
      <c r="L153" s="87"/>
    </row>
    <row r="154" spans="1:12" x14ac:dyDescent="0.25">
      <c r="A154" s="88"/>
      <c r="B154" s="25" t="str">
        <f>IF(A154="","",IFERROR(VLOOKUP(A154,DB_Customers!$A:$D,4,0),"❌ Account Not Found"))</f>
        <v/>
      </c>
      <c r="C154" s="89" t="str">
        <f>IF(A154="","",IFERROR(VLOOKUP(A154,DB_Customers!$A:$N,14,0),""))</f>
        <v/>
      </c>
      <c r="D154" s="90" t="str">
        <f t="shared" ca="1" si="12"/>
        <v/>
      </c>
      <c r="E154" s="97"/>
      <c r="F154" s="25"/>
      <c r="G154" s="99" t="str">
        <f t="shared" si="13"/>
        <v/>
      </c>
      <c r="H154" s="27"/>
      <c r="I154" s="84"/>
      <c r="J154" s="92" t="str">
        <f>IF(AND(A154&lt;&gt;"",E154&lt;&gt;""),IF(I154="","⚠️ Enter Code",IF(IFERROR(VLOOKUP(H154,DB_Agents!$B:$I,8,0),"")=I154,IF(C154&gt;=E154,"Successful","Unsuccessful"),"🔒 BLOCKED — Wrong Code")),"—")</f>
        <v>—</v>
      </c>
      <c r="K154" s="93" t="str">
        <f t="shared" ca="1" si="14"/>
        <v>—</v>
      </c>
      <c r="L154" s="94"/>
    </row>
    <row r="155" spans="1:12" x14ac:dyDescent="0.25">
      <c r="A155" s="79"/>
      <c r="B155" s="21" t="str">
        <f>IF(A155="","",IFERROR(VLOOKUP(A155,DB_Customers!$A:$D,4,0),"❌ Account Not Found"))</f>
        <v/>
      </c>
      <c r="C155" s="80" t="str">
        <f>IF(A155="","",IFERROR(VLOOKUP(A155,DB_Customers!$A:$N,14,0),""))</f>
        <v/>
      </c>
      <c r="D155" s="81" t="str">
        <f t="shared" ca="1" si="12"/>
        <v/>
      </c>
      <c r="E155" s="97"/>
      <c r="F155" s="21"/>
      <c r="G155" s="98" t="str">
        <f t="shared" si="13"/>
        <v/>
      </c>
      <c r="H155" s="23"/>
      <c r="I155" s="84"/>
      <c r="J155" s="85" t="str">
        <f>IF(AND(A155&lt;&gt;"",E155&lt;&gt;""),IF(I155="","⚠️ Enter Code",IF(IFERROR(VLOOKUP(H155,DB_Agents!$B:$I,8,0),"")=I155,IF(C155&gt;=E155,"Successful","Unsuccessful"),"🔒 BLOCKED — Wrong Code")),"—")</f>
        <v>—</v>
      </c>
      <c r="K155" s="86" t="str">
        <f t="shared" ca="1" si="14"/>
        <v>—</v>
      </c>
      <c r="L155" s="87"/>
    </row>
    <row r="156" spans="1:12" x14ac:dyDescent="0.25">
      <c r="A156" s="88"/>
      <c r="B156" s="25" t="str">
        <f>IF(A156="","",IFERROR(VLOOKUP(A156,DB_Customers!$A:$D,4,0),"❌ Account Not Found"))</f>
        <v/>
      </c>
      <c r="C156" s="89" t="str">
        <f>IF(A156="","",IFERROR(VLOOKUP(A156,DB_Customers!$A:$N,14,0),""))</f>
        <v/>
      </c>
      <c r="D156" s="90" t="str">
        <f t="shared" ca="1" si="12"/>
        <v/>
      </c>
      <c r="E156" s="97"/>
      <c r="F156" s="25"/>
      <c r="G156" s="99" t="str">
        <f t="shared" si="13"/>
        <v/>
      </c>
      <c r="H156" s="27"/>
      <c r="I156" s="84"/>
      <c r="J156" s="92" t="str">
        <f>IF(AND(A156&lt;&gt;"",E156&lt;&gt;""),IF(I156="","⚠️ Enter Code",IF(IFERROR(VLOOKUP(H156,DB_Agents!$B:$I,8,0),"")=I156,IF(C156&gt;=E156,"Successful","Unsuccessful"),"🔒 BLOCKED — Wrong Code")),"—")</f>
        <v>—</v>
      </c>
      <c r="K156" s="93" t="str">
        <f t="shared" ca="1" si="14"/>
        <v>—</v>
      </c>
      <c r="L156" s="94"/>
    </row>
    <row r="157" spans="1:12" x14ac:dyDescent="0.25">
      <c r="A157" s="79"/>
      <c r="B157" s="21" t="str">
        <f>IF(A157="","",IFERROR(VLOOKUP(A157,DB_Customers!$A:$D,4,0),"❌ Account Not Found"))</f>
        <v/>
      </c>
      <c r="C157" s="80" t="str">
        <f>IF(A157="","",IFERROR(VLOOKUP(A157,DB_Customers!$A:$N,14,0),""))</f>
        <v/>
      </c>
      <c r="D157" s="81" t="str">
        <f t="shared" ca="1" si="12"/>
        <v/>
      </c>
      <c r="E157" s="97"/>
      <c r="F157" s="21"/>
      <c r="G157" s="98" t="str">
        <f t="shared" si="13"/>
        <v/>
      </c>
      <c r="H157" s="23"/>
      <c r="I157" s="84"/>
      <c r="J157" s="85" t="str">
        <f>IF(AND(A157&lt;&gt;"",E157&lt;&gt;""),IF(I157="","⚠️ Enter Code",IF(IFERROR(VLOOKUP(H157,DB_Agents!$B:$I,8,0),"")=I157,IF(C157&gt;=E157,"Successful","Unsuccessful"),"🔒 BLOCKED — Wrong Code")),"—")</f>
        <v>—</v>
      </c>
      <c r="K157" s="86" t="str">
        <f t="shared" ca="1" si="14"/>
        <v>—</v>
      </c>
      <c r="L157" s="87"/>
    </row>
    <row r="158" spans="1:12" x14ac:dyDescent="0.25">
      <c r="A158" s="88"/>
      <c r="B158" s="25" t="str">
        <f>IF(A158="","",IFERROR(VLOOKUP(A158,DB_Customers!$A:$D,4,0),"❌ Account Not Found"))</f>
        <v/>
      </c>
      <c r="C158" s="89" t="str">
        <f>IF(A158="","",IFERROR(VLOOKUP(A158,DB_Customers!$A:$N,14,0),""))</f>
        <v/>
      </c>
      <c r="D158" s="90" t="str">
        <f t="shared" ca="1" si="12"/>
        <v/>
      </c>
      <c r="E158" s="97"/>
      <c r="F158" s="25"/>
      <c r="G158" s="99" t="str">
        <f t="shared" si="13"/>
        <v/>
      </c>
      <c r="H158" s="27"/>
      <c r="I158" s="84"/>
      <c r="J158" s="92" t="str">
        <f>IF(AND(A158&lt;&gt;"",E158&lt;&gt;""),IF(I158="","⚠️ Enter Code",IF(IFERROR(VLOOKUP(H158,DB_Agents!$B:$I,8,0),"")=I158,IF(C158&gt;=E158,"Successful","Unsuccessful"),"🔒 BLOCKED — Wrong Code")),"—")</f>
        <v>—</v>
      </c>
      <c r="K158" s="93" t="str">
        <f t="shared" ca="1" si="14"/>
        <v>—</v>
      </c>
      <c r="L158" s="94"/>
    </row>
    <row r="159" spans="1:12" x14ac:dyDescent="0.25">
      <c r="A159" s="79"/>
      <c r="B159" s="21" t="str">
        <f>IF(A159="","",IFERROR(VLOOKUP(A159,DB_Customers!$A:$D,4,0),"❌ Account Not Found"))</f>
        <v/>
      </c>
      <c r="C159" s="80" t="str">
        <f>IF(A159="","",IFERROR(VLOOKUP(A159,DB_Customers!$A:$N,14,0),""))</f>
        <v/>
      </c>
      <c r="D159" s="81" t="str">
        <f t="shared" ca="1" si="12"/>
        <v/>
      </c>
      <c r="E159" s="97"/>
      <c r="F159" s="21"/>
      <c r="G159" s="98" t="str">
        <f t="shared" si="13"/>
        <v/>
      </c>
      <c r="H159" s="23"/>
      <c r="I159" s="84"/>
      <c r="J159" s="85" t="str">
        <f>IF(AND(A159&lt;&gt;"",E159&lt;&gt;""),IF(I159="","⚠️ Enter Code",IF(IFERROR(VLOOKUP(H159,DB_Agents!$B:$I,8,0),"")=I159,IF(C159&gt;=E159,"Successful","Unsuccessful"),"🔒 BLOCKED — Wrong Code")),"—")</f>
        <v>—</v>
      </c>
      <c r="K159" s="86" t="str">
        <f t="shared" ca="1" si="14"/>
        <v>—</v>
      </c>
      <c r="L159" s="87"/>
    </row>
    <row r="160" spans="1:12" x14ac:dyDescent="0.25">
      <c r="A160" s="88"/>
      <c r="B160" s="25" t="str">
        <f>IF(A160="","",IFERROR(VLOOKUP(A160,DB_Customers!$A:$D,4,0),"❌ Account Not Found"))</f>
        <v/>
      </c>
      <c r="C160" s="89" t="str">
        <f>IF(A160="","",IFERROR(VLOOKUP(A160,DB_Customers!$A:$N,14,0),""))</f>
        <v/>
      </c>
      <c r="D160" s="90" t="str">
        <f t="shared" ca="1" si="12"/>
        <v/>
      </c>
      <c r="E160" s="97"/>
      <c r="F160" s="25"/>
      <c r="G160" s="99" t="str">
        <f t="shared" si="13"/>
        <v/>
      </c>
      <c r="H160" s="27"/>
      <c r="I160" s="84"/>
      <c r="J160" s="92" t="str">
        <f>IF(AND(A160&lt;&gt;"",E160&lt;&gt;""),IF(I160="","⚠️ Enter Code",IF(IFERROR(VLOOKUP(H160,DB_Agents!$B:$I,8,0),"")=I160,IF(C160&gt;=E160,"Successful","Unsuccessful"),"🔒 BLOCKED — Wrong Code")),"—")</f>
        <v>—</v>
      </c>
      <c r="K160" s="93" t="str">
        <f t="shared" ca="1" si="14"/>
        <v>—</v>
      </c>
      <c r="L160" s="94"/>
    </row>
    <row r="161" spans="1:12" x14ac:dyDescent="0.25">
      <c r="A161" s="79"/>
      <c r="B161" s="21" t="str">
        <f>IF(A161="","",IFERROR(VLOOKUP(A161,DB_Customers!$A:$D,4,0),"❌ Account Not Found"))</f>
        <v/>
      </c>
      <c r="C161" s="80" t="str">
        <f>IF(A161="","",IFERROR(VLOOKUP(A161,DB_Customers!$A:$N,14,0),""))</f>
        <v/>
      </c>
      <c r="D161" s="81" t="str">
        <f t="shared" ca="1" si="12"/>
        <v/>
      </c>
      <c r="E161" s="97"/>
      <c r="F161" s="21"/>
      <c r="G161" s="98" t="str">
        <f t="shared" si="13"/>
        <v/>
      </c>
      <c r="H161" s="23"/>
      <c r="I161" s="84"/>
      <c r="J161" s="85" t="str">
        <f>IF(AND(A161&lt;&gt;"",E161&lt;&gt;""),IF(I161="","⚠️ Enter Code",IF(IFERROR(VLOOKUP(H161,DB_Agents!$B:$I,8,0),"")=I161,IF(C161&gt;=E161,"Successful","Unsuccessful"),"🔒 BLOCKED — Wrong Code")),"—")</f>
        <v>—</v>
      </c>
      <c r="K161" s="86" t="str">
        <f t="shared" ca="1" si="14"/>
        <v>—</v>
      </c>
      <c r="L161" s="87"/>
    </row>
    <row r="162" spans="1:12" x14ac:dyDescent="0.25">
      <c r="A162" s="88"/>
      <c r="B162" s="25" t="str">
        <f>IF(A162="","",IFERROR(VLOOKUP(A162,DB_Customers!$A:$D,4,0),"❌ Account Not Found"))</f>
        <v/>
      </c>
      <c r="C162" s="89" t="str">
        <f>IF(A162="","",IFERROR(VLOOKUP(A162,DB_Customers!$A:$N,14,0),""))</f>
        <v/>
      </c>
      <c r="D162" s="90" t="str">
        <f t="shared" ca="1" si="12"/>
        <v/>
      </c>
      <c r="E162" s="97"/>
      <c r="F162" s="25"/>
      <c r="G162" s="99" t="str">
        <f t="shared" si="13"/>
        <v/>
      </c>
      <c r="H162" s="27"/>
      <c r="I162" s="84"/>
      <c r="J162" s="92" t="str">
        <f>IF(AND(A162&lt;&gt;"",E162&lt;&gt;""),IF(I162="","⚠️ Enter Code",IF(IFERROR(VLOOKUP(H162,DB_Agents!$B:$I,8,0),"")=I162,IF(C162&gt;=E162,"Successful","Unsuccessful"),"🔒 BLOCKED — Wrong Code")),"—")</f>
        <v>—</v>
      </c>
      <c r="K162" s="93" t="str">
        <f t="shared" ca="1" si="14"/>
        <v>—</v>
      </c>
      <c r="L162" s="94"/>
    </row>
    <row r="163" spans="1:12" x14ac:dyDescent="0.25">
      <c r="A163" s="79"/>
      <c r="B163" s="21" t="str">
        <f>IF(A163="","",IFERROR(VLOOKUP(A163,DB_Customers!$A:$D,4,0),"❌ Account Not Found"))</f>
        <v/>
      </c>
      <c r="C163" s="80" t="str">
        <f>IF(A163="","",IFERROR(VLOOKUP(A163,DB_Customers!$A:$N,14,0),""))</f>
        <v/>
      </c>
      <c r="D163" s="81" t="str">
        <f t="shared" ca="1" si="12"/>
        <v/>
      </c>
      <c r="E163" s="97"/>
      <c r="F163" s="21"/>
      <c r="G163" s="98" t="str">
        <f t="shared" si="13"/>
        <v/>
      </c>
      <c r="H163" s="23"/>
      <c r="I163" s="84"/>
      <c r="J163" s="85" t="str">
        <f>IF(AND(A163&lt;&gt;"",E163&lt;&gt;""),IF(I163="","⚠️ Enter Code",IF(IFERROR(VLOOKUP(H163,DB_Agents!$B:$I,8,0),"")=I163,IF(C163&gt;=E163,"Successful","Unsuccessful"),"🔒 BLOCKED — Wrong Code")),"—")</f>
        <v>—</v>
      </c>
      <c r="K163" s="86" t="str">
        <f t="shared" ca="1" si="14"/>
        <v>—</v>
      </c>
      <c r="L163" s="87"/>
    </row>
    <row r="164" spans="1:12" x14ac:dyDescent="0.25">
      <c r="A164" s="88"/>
      <c r="B164" s="25" t="str">
        <f>IF(A164="","",IFERROR(VLOOKUP(A164,DB_Customers!$A:$D,4,0),"❌ Account Not Found"))</f>
        <v/>
      </c>
      <c r="C164" s="89" t="str">
        <f>IF(A164="","",IFERROR(VLOOKUP(A164,DB_Customers!$A:$N,14,0),""))</f>
        <v/>
      </c>
      <c r="D164" s="90" t="str">
        <f t="shared" ca="1" si="12"/>
        <v/>
      </c>
      <c r="E164" s="97"/>
      <c r="F164" s="25"/>
      <c r="G164" s="99" t="str">
        <f t="shared" si="13"/>
        <v/>
      </c>
      <c r="H164" s="27"/>
      <c r="I164" s="84"/>
      <c r="J164" s="92" t="str">
        <f>IF(AND(A164&lt;&gt;"",E164&lt;&gt;""),IF(I164="","⚠️ Enter Code",IF(IFERROR(VLOOKUP(H164,DB_Agents!$B:$I,8,0),"")=I164,IF(C164&gt;=E164,"Successful","Unsuccessful"),"🔒 BLOCKED — Wrong Code")),"—")</f>
        <v>—</v>
      </c>
      <c r="K164" s="93" t="str">
        <f t="shared" ca="1" si="14"/>
        <v>—</v>
      </c>
      <c r="L164" s="94"/>
    </row>
    <row r="165" spans="1:12" x14ac:dyDescent="0.25">
      <c r="A165" s="79"/>
      <c r="B165" s="21" t="str">
        <f>IF(A165="","",IFERROR(VLOOKUP(A165,DB_Customers!$A:$D,4,0),"❌ Account Not Found"))</f>
        <v/>
      </c>
      <c r="C165" s="80" t="str">
        <f>IF(A165="","",IFERROR(VLOOKUP(A165,DB_Customers!$A:$N,14,0),""))</f>
        <v/>
      </c>
      <c r="D165" s="81" t="str">
        <f t="shared" ca="1" si="12"/>
        <v/>
      </c>
      <c r="E165" s="97"/>
      <c r="F165" s="21"/>
      <c r="G165" s="98" t="str">
        <f t="shared" si="13"/>
        <v/>
      </c>
      <c r="H165" s="23"/>
      <c r="I165" s="84"/>
      <c r="J165" s="85" t="str">
        <f>IF(AND(A165&lt;&gt;"",E165&lt;&gt;""),IF(I165="","⚠️ Enter Code",IF(IFERROR(VLOOKUP(H165,DB_Agents!$B:$I,8,0),"")=I165,IF(C165&gt;=E165,"Successful","Unsuccessful"),"🔒 BLOCKED — Wrong Code")),"—")</f>
        <v>—</v>
      </c>
      <c r="K165" s="86" t="str">
        <f t="shared" ca="1" si="14"/>
        <v>—</v>
      </c>
      <c r="L165" s="87"/>
    </row>
    <row r="166" spans="1:12" x14ac:dyDescent="0.25">
      <c r="A166" s="88"/>
      <c r="B166" s="25" t="str">
        <f>IF(A166="","",IFERROR(VLOOKUP(A166,DB_Customers!$A:$D,4,0),"❌ Account Not Found"))</f>
        <v/>
      </c>
      <c r="C166" s="89" t="str">
        <f>IF(A166="","",IFERROR(VLOOKUP(A166,DB_Customers!$A:$N,14,0),""))</f>
        <v/>
      </c>
      <c r="D166" s="90" t="str">
        <f t="shared" ca="1" si="12"/>
        <v/>
      </c>
      <c r="E166" s="97"/>
      <c r="F166" s="25"/>
      <c r="G166" s="99" t="str">
        <f t="shared" si="13"/>
        <v/>
      </c>
      <c r="H166" s="27"/>
      <c r="I166" s="84"/>
      <c r="J166" s="92" t="str">
        <f>IF(AND(A166&lt;&gt;"",E166&lt;&gt;""),IF(I166="","⚠️ Enter Code",IF(IFERROR(VLOOKUP(H166,DB_Agents!$B:$I,8,0),"")=I166,IF(C166&gt;=E166,"Successful","Unsuccessful"),"🔒 BLOCKED — Wrong Code")),"—")</f>
        <v>—</v>
      </c>
      <c r="K166" s="93" t="str">
        <f t="shared" ca="1" si="14"/>
        <v>—</v>
      </c>
      <c r="L166" s="94"/>
    </row>
    <row r="167" spans="1:12" x14ac:dyDescent="0.25">
      <c r="A167" s="79"/>
      <c r="B167" s="21" t="str">
        <f>IF(A167="","",IFERROR(VLOOKUP(A167,DB_Customers!$A:$D,4,0),"❌ Account Not Found"))</f>
        <v/>
      </c>
      <c r="C167" s="80" t="str">
        <f>IF(A167="","",IFERROR(VLOOKUP(A167,DB_Customers!$A:$N,14,0),""))</f>
        <v/>
      </c>
      <c r="D167" s="81" t="str">
        <f t="shared" ca="1" si="12"/>
        <v/>
      </c>
      <c r="E167" s="97"/>
      <c r="F167" s="21"/>
      <c r="G167" s="98" t="str">
        <f t="shared" si="13"/>
        <v/>
      </c>
      <c r="H167" s="23"/>
      <c r="I167" s="84"/>
      <c r="J167" s="85" t="str">
        <f>IF(AND(A167&lt;&gt;"",E167&lt;&gt;""),IF(I167="","⚠️ Enter Code",IF(IFERROR(VLOOKUP(H167,DB_Agents!$B:$I,8,0),"")=I167,IF(C167&gt;=E167,"Successful","Unsuccessful"),"🔒 BLOCKED — Wrong Code")),"—")</f>
        <v>—</v>
      </c>
      <c r="K167" s="86" t="str">
        <f t="shared" ca="1" si="14"/>
        <v>—</v>
      </c>
      <c r="L167" s="87"/>
    </row>
    <row r="168" spans="1:12" x14ac:dyDescent="0.25">
      <c r="A168" s="88"/>
      <c r="B168" s="25" t="str">
        <f>IF(A168="","",IFERROR(VLOOKUP(A168,DB_Customers!$A:$D,4,0),"❌ Account Not Found"))</f>
        <v/>
      </c>
      <c r="C168" s="89" t="str">
        <f>IF(A168="","",IFERROR(VLOOKUP(A168,DB_Customers!$A:$N,14,0),""))</f>
        <v/>
      </c>
      <c r="D168" s="90" t="str">
        <f t="shared" ca="1" si="12"/>
        <v/>
      </c>
      <c r="E168" s="97"/>
      <c r="F168" s="25"/>
      <c r="G168" s="99" t="str">
        <f t="shared" si="13"/>
        <v/>
      </c>
      <c r="H168" s="27"/>
      <c r="I168" s="84"/>
      <c r="J168" s="92" t="str">
        <f>IF(AND(A168&lt;&gt;"",E168&lt;&gt;""),IF(I168="","⚠️ Enter Code",IF(IFERROR(VLOOKUP(H168,DB_Agents!$B:$I,8,0),"")=I168,IF(C168&gt;=E168,"Successful","Unsuccessful"),"🔒 BLOCKED — Wrong Code")),"—")</f>
        <v>—</v>
      </c>
      <c r="K168" s="93" t="str">
        <f t="shared" ca="1" si="14"/>
        <v>—</v>
      </c>
      <c r="L168" s="94"/>
    </row>
    <row r="169" spans="1:12" x14ac:dyDescent="0.25">
      <c r="A169" s="79"/>
      <c r="B169" s="21" t="str">
        <f>IF(A169="","",IFERROR(VLOOKUP(A169,DB_Customers!$A:$D,4,0),"❌ Account Not Found"))</f>
        <v/>
      </c>
      <c r="C169" s="80" t="str">
        <f>IF(A169="","",IFERROR(VLOOKUP(A169,DB_Customers!$A:$N,14,0),""))</f>
        <v/>
      </c>
      <c r="D169" s="81" t="str">
        <f t="shared" ref="D169:D200" ca="1" si="15">IF(A169="","",TODAY())</f>
        <v/>
      </c>
      <c r="E169" s="97"/>
      <c r="F169" s="21"/>
      <c r="G169" s="98" t="str">
        <f t="shared" ref="G169:G200" si="16">IF(OR(A169="",E169=""),"",IF(C169="","",C169-E169))</f>
        <v/>
      </c>
      <c r="H169" s="23"/>
      <c r="I169" s="84"/>
      <c r="J169" s="85" t="str">
        <f>IF(AND(A169&lt;&gt;"",E169&lt;&gt;""),IF(I169="","⚠️ Enter Code",IF(IFERROR(VLOOKUP(H169,DB_Agents!$B:$I,8,0),"")=I169,IF(C169&gt;=E169,"Successful","Unsuccessful"),"🔒 BLOCKED — Wrong Code")),"—")</f>
        <v>—</v>
      </c>
      <c r="K169" s="86" t="str">
        <f t="shared" ref="K169:K200" ca="1" si="17">IF(J169="Successful",TEXT(TODAY(),"YYYY-MM-DD")&amp;" Auto","—")</f>
        <v>—</v>
      </c>
      <c r="L169" s="87"/>
    </row>
    <row r="170" spans="1:12" x14ac:dyDescent="0.25">
      <c r="A170" s="88"/>
      <c r="B170" s="25" t="str">
        <f>IF(A170="","",IFERROR(VLOOKUP(A170,DB_Customers!$A:$D,4,0),"❌ Account Not Found"))</f>
        <v/>
      </c>
      <c r="C170" s="89" t="str">
        <f>IF(A170="","",IFERROR(VLOOKUP(A170,DB_Customers!$A:$N,14,0),""))</f>
        <v/>
      </c>
      <c r="D170" s="90" t="str">
        <f t="shared" ca="1" si="15"/>
        <v/>
      </c>
      <c r="E170" s="97"/>
      <c r="F170" s="25"/>
      <c r="G170" s="99" t="str">
        <f t="shared" si="16"/>
        <v/>
      </c>
      <c r="H170" s="27"/>
      <c r="I170" s="84"/>
      <c r="J170" s="92" t="str">
        <f>IF(AND(A170&lt;&gt;"",E170&lt;&gt;""),IF(I170="","⚠️ Enter Code",IF(IFERROR(VLOOKUP(H170,DB_Agents!$B:$I,8,0),"")=I170,IF(C170&gt;=E170,"Successful","Unsuccessful"),"🔒 BLOCKED — Wrong Code")),"—")</f>
        <v>—</v>
      </c>
      <c r="K170" s="93" t="str">
        <f t="shared" ca="1" si="17"/>
        <v>—</v>
      </c>
      <c r="L170" s="94"/>
    </row>
    <row r="171" spans="1:12" x14ac:dyDescent="0.25">
      <c r="A171" s="79"/>
      <c r="B171" s="21" t="str">
        <f>IF(A171="","",IFERROR(VLOOKUP(A171,DB_Customers!$A:$D,4,0),"❌ Account Not Found"))</f>
        <v/>
      </c>
      <c r="C171" s="80" t="str">
        <f>IF(A171="","",IFERROR(VLOOKUP(A171,DB_Customers!$A:$N,14,0),""))</f>
        <v/>
      </c>
      <c r="D171" s="81" t="str">
        <f t="shared" ca="1" si="15"/>
        <v/>
      </c>
      <c r="E171" s="97"/>
      <c r="F171" s="21"/>
      <c r="G171" s="98" t="str">
        <f t="shared" si="16"/>
        <v/>
      </c>
      <c r="H171" s="23"/>
      <c r="I171" s="84"/>
      <c r="J171" s="85" t="str">
        <f>IF(AND(A171&lt;&gt;"",E171&lt;&gt;""),IF(I171="","⚠️ Enter Code",IF(IFERROR(VLOOKUP(H171,DB_Agents!$B:$I,8,0),"")=I171,IF(C171&gt;=E171,"Successful","Unsuccessful"),"🔒 BLOCKED — Wrong Code")),"—")</f>
        <v>—</v>
      </c>
      <c r="K171" s="86" t="str">
        <f t="shared" ca="1" si="17"/>
        <v>—</v>
      </c>
      <c r="L171" s="87"/>
    </row>
    <row r="172" spans="1:12" x14ac:dyDescent="0.25">
      <c r="A172" s="88"/>
      <c r="B172" s="25" t="str">
        <f>IF(A172="","",IFERROR(VLOOKUP(A172,DB_Customers!$A:$D,4,0),"❌ Account Not Found"))</f>
        <v/>
      </c>
      <c r="C172" s="89" t="str">
        <f>IF(A172="","",IFERROR(VLOOKUP(A172,DB_Customers!$A:$N,14,0),""))</f>
        <v/>
      </c>
      <c r="D172" s="90" t="str">
        <f t="shared" ca="1" si="15"/>
        <v/>
      </c>
      <c r="E172" s="97"/>
      <c r="F172" s="25"/>
      <c r="G172" s="99" t="str">
        <f t="shared" si="16"/>
        <v/>
      </c>
      <c r="H172" s="27"/>
      <c r="I172" s="84"/>
      <c r="J172" s="92" t="str">
        <f>IF(AND(A172&lt;&gt;"",E172&lt;&gt;""),IF(I172="","⚠️ Enter Code",IF(IFERROR(VLOOKUP(H172,DB_Agents!$B:$I,8,0),"")=I172,IF(C172&gt;=E172,"Successful","Unsuccessful"),"🔒 BLOCKED — Wrong Code")),"—")</f>
        <v>—</v>
      </c>
      <c r="K172" s="93" t="str">
        <f t="shared" ca="1" si="17"/>
        <v>—</v>
      </c>
      <c r="L172" s="94"/>
    </row>
    <row r="173" spans="1:12" x14ac:dyDescent="0.25">
      <c r="A173" s="79"/>
      <c r="B173" s="21" t="str">
        <f>IF(A173="","",IFERROR(VLOOKUP(A173,DB_Customers!$A:$D,4,0),"❌ Account Not Found"))</f>
        <v/>
      </c>
      <c r="C173" s="80" t="str">
        <f>IF(A173="","",IFERROR(VLOOKUP(A173,DB_Customers!$A:$N,14,0),""))</f>
        <v/>
      </c>
      <c r="D173" s="81" t="str">
        <f t="shared" ca="1" si="15"/>
        <v/>
      </c>
      <c r="E173" s="97"/>
      <c r="F173" s="21"/>
      <c r="G173" s="98" t="str">
        <f t="shared" si="16"/>
        <v/>
      </c>
      <c r="H173" s="23"/>
      <c r="I173" s="84"/>
      <c r="J173" s="85" t="str">
        <f>IF(AND(A173&lt;&gt;"",E173&lt;&gt;""),IF(I173="","⚠️ Enter Code",IF(IFERROR(VLOOKUP(H173,DB_Agents!$B:$I,8,0),"")=I173,IF(C173&gt;=E173,"Successful","Unsuccessful"),"🔒 BLOCKED — Wrong Code")),"—")</f>
        <v>—</v>
      </c>
      <c r="K173" s="86" t="str">
        <f t="shared" ca="1" si="17"/>
        <v>—</v>
      </c>
      <c r="L173" s="87"/>
    </row>
    <row r="174" spans="1:12" x14ac:dyDescent="0.25">
      <c r="A174" s="88"/>
      <c r="B174" s="25" t="str">
        <f>IF(A174="","",IFERROR(VLOOKUP(A174,DB_Customers!$A:$D,4,0),"❌ Account Not Found"))</f>
        <v/>
      </c>
      <c r="C174" s="89" t="str">
        <f>IF(A174="","",IFERROR(VLOOKUP(A174,DB_Customers!$A:$N,14,0),""))</f>
        <v/>
      </c>
      <c r="D174" s="90" t="str">
        <f t="shared" ca="1" si="15"/>
        <v/>
      </c>
      <c r="E174" s="97"/>
      <c r="F174" s="25"/>
      <c r="G174" s="99" t="str">
        <f t="shared" si="16"/>
        <v/>
      </c>
      <c r="H174" s="27"/>
      <c r="I174" s="84"/>
      <c r="J174" s="92" t="str">
        <f>IF(AND(A174&lt;&gt;"",E174&lt;&gt;""),IF(I174="","⚠️ Enter Code",IF(IFERROR(VLOOKUP(H174,DB_Agents!$B:$I,8,0),"")=I174,IF(C174&gt;=E174,"Successful","Unsuccessful"),"🔒 BLOCKED — Wrong Code")),"—")</f>
        <v>—</v>
      </c>
      <c r="K174" s="93" t="str">
        <f t="shared" ca="1" si="17"/>
        <v>—</v>
      </c>
      <c r="L174" s="94"/>
    </row>
    <row r="175" spans="1:12" x14ac:dyDescent="0.25">
      <c r="A175" s="79"/>
      <c r="B175" s="21" t="str">
        <f>IF(A175="","",IFERROR(VLOOKUP(A175,DB_Customers!$A:$D,4,0),"❌ Account Not Found"))</f>
        <v/>
      </c>
      <c r="C175" s="80" t="str">
        <f>IF(A175="","",IFERROR(VLOOKUP(A175,DB_Customers!$A:$N,14,0),""))</f>
        <v/>
      </c>
      <c r="D175" s="81" t="str">
        <f t="shared" ca="1" si="15"/>
        <v/>
      </c>
      <c r="E175" s="97"/>
      <c r="F175" s="21"/>
      <c r="G175" s="98" t="str">
        <f t="shared" si="16"/>
        <v/>
      </c>
      <c r="H175" s="23"/>
      <c r="I175" s="84"/>
      <c r="J175" s="85" t="str">
        <f>IF(AND(A175&lt;&gt;"",E175&lt;&gt;""),IF(I175="","⚠️ Enter Code",IF(IFERROR(VLOOKUP(H175,DB_Agents!$B:$I,8,0),"")=I175,IF(C175&gt;=E175,"Successful","Unsuccessful"),"🔒 BLOCKED — Wrong Code")),"—")</f>
        <v>—</v>
      </c>
      <c r="K175" s="86" t="str">
        <f t="shared" ca="1" si="17"/>
        <v>—</v>
      </c>
      <c r="L175" s="87"/>
    </row>
    <row r="176" spans="1:12" x14ac:dyDescent="0.25">
      <c r="A176" s="88"/>
      <c r="B176" s="25" t="str">
        <f>IF(A176="","",IFERROR(VLOOKUP(A176,DB_Customers!$A:$D,4,0),"❌ Account Not Found"))</f>
        <v/>
      </c>
      <c r="C176" s="89" t="str">
        <f>IF(A176="","",IFERROR(VLOOKUP(A176,DB_Customers!$A:$N,14,0),""))</f>
        <v/>
      </c>
      <c r="D176" s="90" t="str">
        <f t="shared" ca="1" si="15"/>
        <v/>
      </c>
      <c r="E176" s="97"/>
      <c r="F176" s="25"/>
      <c r="G176" s="99" t="str">
        <f t="shared" si="16"/>
        <v/>
      </c>
      <c r="H176" s="27"/>
      <c r="I176" s="84"/>
      <c r="J176" s="92" t="str">
        <f>IF(AND(A176&lt;&gt;"",E176&lt;&gt;""),IF(I176="","⚠️ Enter Code",IF(IFERROR(VLOOKUP(H176,DB_Agents!$B:$I,8,0),"")=I176,IF(C176&gt;=E176,"Successful","Unsuccessful"),"🔒 BLOCKED — Wrong Code")),"—")</f>
        <v>—</v>
      </c>
      <c r="K176" s="93" t="str">
        <f t="shared" ca="1" si="17"/>
        <v>—</v>
      </c>
      <c r="L176" s="94"/>
    </row>
    <row r="177" spans="1:12" x14ac:dyDescent="0.25">
      <c r="A177" s="79"/>
      <c r="B177" s="21" t="str">
        <f>IF(A177="","",IFERROR(VLOOKUP(A177,DB_Customers!$A:$D,4,0),"❌ Account Not Found"))</f>
        <v/>
      </c>
      <c r="C177" s="80" t="str">
        <f>IF(A177="","",IFERROR(VLOOKUP(A177,DB_Customers!$A:$N,14,0),""))</f>
        <v/>
      </c>
      <c r="D177" s="81" t="str">
        <f t="shared" ca="1" si="15"/>
        <v/>
      </c>
      <c r="E177" s="97"/>
      <c r="F177" s="21"/>
      <c r="G177" s="98" t="str">
        <f t="shared" si="16"/>
        <v/>
      </c>
      <c r="H177" s="23"/>
      <c r="I177" s="84"/>
      <c r="J177" s="85" t="str">
        <f>IF(AND(A177&lt;&gt;"",E177&lt;&gt;""),IF(I177="","⚠️ Enter Code",IF(IFERROR(VLOOKUP(H177,DB_Agents!$B:$I,8,0),"")=I177,IF(C177&gt;=E177,"Successful","Unsuccessful"),"🔒 BLOCKED — Wrong Code")),"—")</f>
        <v>—</v>
      </c>
      <c r="K177" s="86" t="str">
        <f t="shared" ca="1" si="17"/>
        <v>—</v>
      </c>
      <c r="L177" s="87"/>
    </row>
    <row r="178" spans="1:12" x14ac:dyDescent="0.25">
      <c r="A178" s="88"/>
      <c r="B178" s="25" t="str">
        <f>IF(A178="","",IFERROR(VLOOKUP(A178,DB_Customers!$A:$D,4,0),"❌ Account Not Found"))</f>
        <v/>
      </c>
      <c r="C178" s="89" t="str">
        <f>IF(A178="","",IFERROR(VLOOKUP(A178,DB_Customers!$A:$N,14,0),""))</f>
        <v/>
      </c>
      <c r="D178" s="90" t="str">
        <f t="shared" ca="1" si="15"/>
        <v/>
      </c>
      <c r="E178" s="97"/>
      <c r="F178" s="25"/>
      <c r="G178" s="99" t="str">
        <f t="shared" si="16"/>
        <v/>
      </c>
      <c r="H178" s="27"/>
      <c r="I178" s="84"/>
      <c r="J178" s="92" t="str">
        <f>IF(AND(A178&lt;&gt;"",E178&lt;&gt;""),IF(I178="","⚠️ Enter Code",IF(IFERROR(VLOOKUP(H178,DB_Agents!$B:$I,8,0),"")=I178,IF(C178&gt;=E178,"Successful","Unsuccessful"),"🔒 BLOCKED — Wrong Code")),"—")</f>
        <v>—</v>
      </c>
      <c r="K178" s="93" t="str">
        <f t="shared" ca="1" si="17"/>
        <v>—</v>
      </c>
      <c r="L178" s="94"/>
    </row>
    <row r="179" spans="1:12" x14ac:dyDescent="0.25">
      <c r="A179" s="79"/>
      <c r="B179" s="21" t="str">
        <f>IF(A179="","",IFERROR(VLOOKUP(A179,DB_Customers!$A:$D,4,0),"❌ Account Not Found"))</f>
        <v/>
      </c>
      <c r="C179" s="80" t="str">
        <f>IF(A179="","",IFERROR(VLOOKUP(A179,DB_Customers!$A:$N,14,0),""))</f>
        <v/>
      </c>
      <c r="D179" s="81" t="str">
        <f t="shared" ca="1" si="15"/>
        <v/>
      </c>
      <c r="E179" s="97"/>
      <c r="F179" s="21"/>
      <c r="G179" s="98" t="str">
        <f t="shared" si="16"/>
        <v/>
      </c>
      <c r="H179" s="23"/>
      <c r="I179" s="84"/>
      <c r="J179" s="85" t="str">
        <f>IF(AND(A179&lt;&gt;"",E179&lt;&gt;""),IF(I179="","⚠️ Enter Code",IF(IFERROR(VLOOKUP(H179,DB_Agents!$B:$I,8,0),"")=I179,IF(C179&gt;=E179,"Successful","Unsuccessful"),"🔒 BLOCKED — Wrong Code")),"—")</f>
        <v>—</v>
      </c>
      <c r="K179" s="86" t="str">
        <f t="shared" ca="1" si="17"/>
        <v>—</v>
      </c>
      <c r="L179" s="87"/>
    </row>
    <row r="180" spans="1:12" x14ac:dyDescent="0.25">
      <c r="A180" s="88"/>
      <c r="B180" s="25" t="str">
        <f>IF(A180="","",IFERROR(VLOOKUP(A180,DB_Customers!$A:$D,4,0),"❌ Account Not Found"))</f>
        <v/>
      </c>
      <c r="C180" s="89" t="str">
        <f>IF(A180="","",IFERROR(VLOOKUP(A180,DB_Customers!$A:$N,14,0),""))</f>
        <v/>
      </c>
      <c r="D180" s="90" t="str">
        <f t="shared" ca="1" si="15"/>
        <v/>
      </c>
      <c r="E180" s="97"/>
      <c r="F180" s="25"/>
      <c r="G180" s="99" t="str">
        <f t="shared" si="16"/>
        <v/>
      </c>
      <c r="H180" s="27"/>
      <c r="I180" s="84"/>
      <c r="J180" s="92" t="str">
        <f>IF(AND(A180&lt;&gt;"",E180&lt;&gt;""),IF(I180="","⚠️ Enter Code",IF(IFERROR(VLOOKUP(H180,DB_Agents!$B:$I,8,0),"")=I180,IF(C180&gt;=E180,"Successful","Unsuccessful"),"🔒 BLOCKED — Wrong Code")),"—")</f>
        <v>—</v>
      </c>
      <c r="K180" s="93" t="str">
        <f t="shared" ca="1" si="17"/>
        <v>—</v>
      </c>
      <c r="L180" s="94"/>
    </row>
    <row r="181" spans="1:12" x14ac:dyDescent="0.25">
      <c r="A181" s="79"/>
      <c r="B181" s="21" t="str">
        <f>IF(A181="","",IFERROR(VLOOKUP(A181,DB_Customers!$A:$D,4,0),"❌ Account Not Found"))</f>
        <v/>
      </c>
      <c r="C181" s="80" t="str">
        <f>IF(A181="","",IFERROR(VLOOKUP(A181,DB_Customers!$A:$N,14,0),""))</f>
        <v/>
      </c>
      <c r="D181" s="81" t="str">
        <f t="shared" ca="1" si="15"/>
        <v/>
      </c>
      <c r="E181" s="97"/>
      <c r="F181" s="21"/>
      <c r="G181" s="98" t="str">
        <f t="shared" si="16"/>
        <v/>
      </c>
      <c r="H181" s="23"/>
      <c r="I181" s="84"/>
      <c r="J181" s="85" t="str">
        <f>IF(AND(A181&lt;&gt;"",E181&lt;&gt;""),IF(I181="","⚠️ Enter Code",IF(IFERROR(VLOOKUP(H181,DB_Agents!$B:$I,8,0),"")=I181,IF(C181&gt;=E181,"Successful","Unsuccessful"),"🔒 BLOCKED — Wrong Code")),"—")</f>
        <v>—</v>
      </c>
      <c r="K181" s="86" t="str">
        <f t="shared" ca="1" si="17"/>
        <v>—</v>
      </c>
      <c r="L181" s="87"/>
    </row>
    <row r="182" spans="1:12" x14ac:dyDescent="0.25">
      <c r="A182" s="88"/>
      <c r="B182" s="25" t="str">
        <f>IF(A182="","",IFERROR(VLOOKUP(A182,DB_Customers!$A:$D,4,0),"❌ Account Not Found"))</f>
        <v/>
      </c>
      <c r="C182" s="89" t="str">
        <f>IF(A182="","",IFERROR(VLOOKUP(A182,DB_Customers!$A:$N,14,0),""))</f>
        <v/>
      </c>
      <c r="D182" s="90" t="str">
        <f t="shared" ca="1" si="15"/>
        <v/>
      </c>
      <c r="E182" s="97"/>
      <c r="F182" s="25"/>
      <c r="G182" s="99" t="str">
        <f t="shared" si="16"/>
        <v/>
      </c>
      <c r="H182" s="27"/>
      <c r="I182" s="84"/>
      <c r="J182" s="92" t="str">
        <f>IF(AND(A182&lt;&gt;"",E182&lt;&gt;""),IF(I182="","⚠️ Enter Code",IF(IFERROR(VLOOKUP(H182,DB_Agents!$B:$I,8,0),"")=I182,IF(C182&gt;=E182,"Successful","Unsuccessful"),"🔒 BLOCKED — Wrong Code")),"—")</f>
        <v>—</v>
      </c>
      <c r="K182" s="93" t="str">
        <f t="shared" ca="1" si="17"/>
        <v>—</v>
      </c>
      <c r="L182" s="94"/>
    </row>
    <row r="183" spans="1:12" x14ac:dyDescent="0.25">
      <c r="A183" s="79"/>
      <c r="B183" s="21" t="str">
        <f>IF(A183="","",IFERROR(VLOOKUP(A183,DB_Customers!$A:$D,4,0),"❌ Account Not Found"))</f>
        <v/>
      </c>
      <c r="C183" s="80" t="str">
        <f>IF(A183="","",IFERROR(VLOOKUP(A183,DB_Customers!$A:$N,14,0),""))</f>
        <v/>
      </c>
      <c r="D183" s="81" t="str">
        <f t="shared" ca="1" si="15"/>
        <v/>
      </c>
      <c r="E183" s="97"/>
      <c r="F183" s="21"/>
      <c r="G183" s="98" t="str">
        <f t="shared" si="16"/>
        <v/>
      </c>
      <c r="H183" s="23"/>
      <c r="I183" s="84"/>
      <c r="J183" s="85" t="str">
        <f>IF(AND(A183&lt;&gt;"",E183&lt;&gt;""),IF(I183="","⚠️ Enter Code",IF(IFERROR(VLOOKUP(H183,DB_Agents!$B:$I,8,0),"")=I183,IF(C183&gt;=E183,"Successful","Unsuccessful"),"🔒 BLOCKED — Wrong Code")),"—")</f>
        <v>—</v>
      </c>
      <c r="K183" s="86" t="str">
        <f t="shared" ca="1" si="17"/>
        <v>—</v>
      </c>
      <c r="L183" s="87"/>
    </row>
    <row r="184" spans="1:12" x14ac:dyDescent="0.25">
      <c r="A184" s="88"/>
      <c r="B184" s="25" t="str">
        <f>IF(A184="","",IFERROR(VLOOKUP(A184,DB_Customers!$A:$D,4,0),"❌ Account Not Found"))</f>
        <v/>
      </c>
      <c r="C184" s="89" t="str">
        <f>IF(A184="","",IFERROR(VLOOKUP(A184,DB_Customers!$A:$N,14,0),""))</f>
        <v/>
      </c>
      <c r="D184" s="90" t="str">
        <f t="shared" ca="1" si="15"/>
        <v/>
      </c>
      <c r="E184" s="97"/>
      <c r="F184" s="25"/>
      <c r="G184" s="99" t="str">
        <f t="shared" si="16"/>
        <v/>
      </c>
      <c r="H184" s="27"/>
      <c r="I184" s="84"/>
      <c r="J184" s="92" t="str">
        <f>IF(AND(A184&lt;&gt;"",E184&lt;&gt;""),IF(I184="","⚠️ Enter Code",IF(IFERROR(VLOOKUP(H184,DB_Agents!$B:$I,8,0),"")=I184,IF(C184&gt;=E184,"Successful","Unsuccessful"),"🔒 BLOCKED — Wrong Code")),"—")</f>
        <v>—</v>
      </c>
      <c r="K184" s="93" t="str">
        <f t="shared" ca="1" si="17"/>
        <v>—</v>
      </c>
      <c r="L184" s="94"/>
    </row>
    <row r="185" spans="1:12" x14ac:dyDescent="0.25">
      <c r="A185" s="79"/>
      <c r="B185" s="21" t="str">
        <f>IF(A185="","",IFERROR(VLOOKUP(A185,DB_Customers!$A:$D,4,0),"❌ Account Not Found"))</f>
        <v/>
      </c>
      <c r="C185" s="80" t="str">
        <f>IF(A185="","",IFERROR(VLOOKUP(A185,DB_Customers!$A:$N,14,0),""))</f>
        <v/>
      </c>
      <c r="D185" s="81" t="str">
        <f t="shared" ca="1" si="15"/>
        <v/>
      </c>
      <c r="E185" s="97"/>
      <c r="F185" s="21"/>
      <c r="G185" s="98" t="str">
        <f t="shared" si="16"/>
        <v/>
      </c>
      <c r="H185" s="23"/>
      <c r="I185" s="84"/>
      <c r="J185" s="85" t="str">
        <f>IF(AND(A185&lt;&gt;"",E185&lt;&gt;""),IF(I185="","⚠️ Enter Code",IF(IFERROR(VLOOKUP(H185,DB_Agents!$B:$I,8,0),"")=I185,IF(C185&gt;=E185,"Successful","Unsuccessful"),"🔒 BLOCKED — Wrong Code")),"—")</f>
        <v>—</v>
      </c>
      <c r="K185" s="86" t="str">
        <f t="shared" ca="1" si="17"/>
        <v>—</v>
      </c>
      <c r="L185" s="87"/>
    </row>
    <row r="186" spans="1:12" x14ac:dyDescent="0.25">
      <c r="A186" s="88"/>
      <c r="B186" s="25" t="str">
        <f>IF(A186="","",IFERROR(VLOOKUP(A186,DB_Customers!$A:$D,4,0),"❌ Account Not Found"))</f>
        <v/>
      </c>
      <c r="C186" s="89" t="str">
        <f>IF(A186="","",IFERROR(VLOOKUP(A186,DB_Customers!$A:$N,14,0),""))</f>
        <v/>
      </c>
      <c r="D186" s="90" t="str">
        <f t="shared" ca="1" si="15"/>
        <v/>
      </c>
      <c r="E186" s="97"/>
      <c r="F186" s="25"/>
      <c r="G186" s="99" t="str">
        <f t="shared" si="16"/>
        <v/>
      </c>
      <c r="H186" s="27"/>
      <c r="I186" s="84"/>
      <c r="J186" s="92" t="str">
        <f>IF(AND(A186&lt;&gt;"",E186&lt;&gt;""),IF(I186="","⚠️ Enter Code",IF(IFERROR(VLOOKUP(H186,DB_Agents!$B:$I,8,0),"")=I186,IF(C186&gt;=E186,"Successful","Unsuccessful"),"🔒 BLOCKED — Wrong Code")),"—")</f>
        <v>—</v>
      </c>
      <c r="K186" s="93" t="str">
        <f t="shared" ca="1" si="17"/>
        <v>—</v>
      </c>
      <c r="L186" s="94"/>
    </row>
    <row r="187" spans="1:12" x14ac:dyDescent="0.25">
      <c r="A187" s="79"/>
      <c r="B187" s="21" t="str">
        <f>IF(A187="","",IFERROR(VLOOKUP(A187,DB_Customers!$A:$D,4,0),"❌ Account Not Found"))</f>
        <v/>
      </c>
      <c r="C187" s="80" t="str">
        <f>IF(A187="","",IFERROR(VLOOKUP(A187,DB_Customers!$A:$N,14,0),""))</f>
        <v/>
      </c>
      <c r="D187" s="81" t="str">
        <f t="shared" ca="1" si="15"/>
        <v/>
      </c>
      <c r="E187" s="97"/>
      <c r="F187" s="21"/>
      <c r="G187" s="98" t="str">
        <f t="shared" si="16"/>
        <v/>
      </c>
      <c r="H187" s="23"/>
      <c r="I187" s="84"/>
      <c r="J187" s="85" t="str">
        <f>IF(AND(A187&lt;&gt;"",E187&lt;&gt;""),IF(I187="","⚠️ Enter Code",IF(IFERROR(VLOOKUP(H187,DB_Agents!$B:$I,8,0),"")=I187,IF(C187&gt;=E187,"Successful","Unsuccessful"),"🔒 BLOCKED — Wrong Code")),"—")</f>
        <v>—</v>
      </c>
      <c r="K187" s="86" t="str">
        <f t="shared" ca="1" si="17"/>
        <v>—</v>
      </c>
      <c r="L187" s="87"/>
    </row>
    <row r="188" spans="1:12" x14ac:dyDescent="0.25">
      <c r="A188" s="88"/>
      <c r="B188" s="25" t="str">
        <f>IF(A188="","",IFERROR(VLOOKUP(A188,DB_Customers!$A:$D,4,0),"❌ Account Not Found"))</f>
        <v/>
      </c>
      <c r="C188" s="89" t="str">
        <f>IF(A188="","",IFERROR(VLOOKUP(A188,DB_Customers!$A:$N,14,0),""))</f>
        <v/>
      </c>
      <c r="D188" s="90" t="str">
        <f t="shared" ca="1" si="15"/>
        <v/>
      </c>
      <c r="E188" s="97"/>
      <c r="F188" s="25"/>
      <c r="G188" s="99" t="str">
        <f t="shared" si="16"/>
        <v/>
      </c>
      <c r="H188" s="27"/>
      <c r="I188" s="84"/>
      <c r="J188" s="92" t="str">
        <f>IF(AND(A188&lt;&gt;"",E188&lt;&gt;""),IF(I188="","⚠️ Enter Code",IF(IFERROR(VLOOKUP(H188,DB_Agents!$B:$I,8,0),"")=I188,IF(C188&gt;=E188,"Successful","Unsuccessful"),"🔒 BLOCKED — Wrong Code")),"—")</f>
        <v>—</v>
      </c>
      <c r="K188" s="93" t="str">
        <f t="shared" ca="1" si="17"/>
        <v>—</v>
      </c>
      <c r="L188" s="94"/>
    </row>
    <row r="189" spans="1:12" x14ac:dyDescent="0.25">
      <c r="A189" s="79"/>
      <c r="B189" s="21" t="str">
        <f>IF(A189="","",IFERROR(VLOOKUP(A189,DB_Customers!$A:$D,4,0),"❌ Account Not Found"))</f>
        <v/>
      </c>
      <c r="C189" s="80" t="str">
        <f>IF(A189="","",IFERROR(VLOOKUP(A189,DB_Customers!$A:$N,14,0),""))</f>
        <v/>
      </c>
      <c r="D189" s="81" t="str">
        <f t="shared" ca="1" si="15"/>
        <v/>
      </c>
      <c r="E189" s="97"/>
      <c r="F189" s="21"/>
      <c r="G189" s="98" t="str">
        <f t="shared" si="16"/>
        <v/>
      </c>
      <c r="H189" s="23"/>
      <c r="I189" s="84"/>
      <c r="J189" s="85" t="str">
        <f>IF(AND(A189&lt;&gt;"",E189&lt;&gt;""),IF(I189="","⚠️ Enter Code",IF(IFERROR(VLOOKUP(H189,DB_Agents!$B:$I,8,0),"")=I189,IF(C189&gt;=E189,"Successful","Unsuccessful"),"🔒 BLOCKED — Wrong Code")),"—")</f>
        <v>—</v>
      </c>
      <c r="K189" s="86" t="str">
        <f t="shared" ca="1" si="17"/>
        <v>—</v>
      </c>
      <c r="L189" s="87"/>
    </row>
    <row r="190" spans="1:12" x14ac:dyDescent="0.25">
      <c r="A190" s="88"/>
      <c r="B190" s="25" t="str">
        <f>IF(A190="","",IFERROR(VLOOKUP(A190,DB_Customers!$A:$D,4,0),"❌ Account Not Found"))</f>
        <v/>
      </c>
      <c r="C190" s="89" t="str">
        <f>IF(A190="","",IFERROR(VLOOKUP(A190,DB_Customers!$A:$N,14,0),""))</f>
        <v/>
      </c>
      <c r="D190" s="90" t="str">
        <f t="shared" ca="1" si="15"/>
        <v/>
      </c>
      <c r="E190" s="97"/>
      <c r="F190" s="25"/>
      <c r="G190" s="99" t="str">
        <f t="shared" si="16"/>
        <v/>
      </c>
      <c r="H190" s="27"/>
      <c r="I190" s="84"/>
      <c r="J190" s="92" t="str">
        <f>IF(AND(A190&lt;&gt;"",E190&lt;&gt;""),IF(I190="","⚠️ Enter Code",IF(IFERROR(VLOOKUP(H190,DB_Agents!$B:$I,8,0),"")=I190,IF(C190&gt;=E190,"Successful","Unsuccessful"),"🔒 BLOCKED — Wrong Code")),"—")</f>
        <v>—</v>
      </c>
      <c r="K190" s="93" t="str">
        <f t="shared" ca="1" si="17"/>
        <v>—</v>
      </c>
      <c r="L190" s="94"/>
    </row>
    <row r="191" spans="1:12" x14ac:dyDescent="0.25">
      <c r="A191" s="79"/>
      <c r="B191" s="21" t="str">
        <f>IF(A191="","",IFERROR(VLOOKUP(A191,DB_Customers!$A:$D,4,0),"❌ Account Not Found"))</f>
        <v/>
      </c>
      <c r="C191" s="80" t="str">
        <f>IF(A191="","",IFERROR(VLOOKUP(A191,DB_Customers!$A:$N,14,0),""))</f>
        <v/>
      </c>
      <c r="D191" s="81" t="str">
        <f t="shared" ca="1" si="15"/>
        <v/>
      </c>
      <c r="E191" s="97"/>
      <c r="F191" s="21"/>
      <c r="G191" s="98" t="str">
        <f t="shared" si="16"/>
        <v/>
      </c>
      <c r="H191" s="23"/>
      <c r="I191" s="84"/>
      <c r="J191" s="85" t="str">
        <f>IF(AND(A191&lt;&gt;"",E191&lt;&gt;""),IF(I191="","⚠️ Enter Code",IF(IFERROR(VLOOKUP(H191,DB_Agents!$B:$I,8,0),"")=I191,IF(C191&gt;=E191,"Successful","Unsuccessful"),"🔒 BLOCKED — Wrong Code")),"—")</f>
        <v>—</v>
      </c>
      <c r="K191" s="86" t="str">
        <f t="shared" ca="1" si="17"/>
        <v>—</v>
      </c>
      <c r="L191" s="87"/>
    </row>
    <row r="192" spans="1:12" x14ac:dyDescent="0.25">
      <c r="A192" s="88"/>
      <c r="B192" s="25" t="str">
        <f>IF(A192="","",IFERROR(VLOOKUP(A192,DB_Customers!$A:$D,4,0),"❌ Account Not Found"))</f>
        <v/>
      </c>
      <c r="C192" s="89" t="str">
        <f>IF(A192="","",IFERROR(VLOOKUP(A192,DB_Customers!$A:$N,14,0),""))</f>
        <v/>
      </c>
      <c r="D192" s="90" t="str">
        <f t="shared" ca="1" si="15"/>
        <v/>
      </c>
      <c r="E192" s="97"/>
      <c r="F192" s="25"/>
      <c r="G192" s="99" t="str">
        <f t="shared" si="16"/>
        <v/>
      </c>
      <c r="H192" s="27"/>
      <c r="I192" s="84"/>
      <c r="J192" s="92" t="str">
        <f>IF(AND(A192&lt;&gt;"",E192&lt;&gt;""),IF(I192="","⚠️ Enter Code",IF(IFERROR(VLOOKUP(H192,DB_Agents!$B:$I,8,0),"")=I192,IF(C192&gt;=E192,"Successful","Unsuccessful"),"🔒 BLOCKED — Wrong Code")),"—")</f>
        <v>—</v>
      </c>
      <c r="K192" s="93" t="str">
        <f t="shared" ca="1" si="17"/>
        <v>—</v>
      </c>
      <c r="L192" s="94"/>
    </row>
    <row r="193" spans="1:12" x14ac:dyDescent="0.25">
      <c r="A193" s="79"/>
      <c r="B193" s="21" t="str">
        <f>IF(A193="","",IFERROR(VLOOKUP(A193,DB_Customers!$A:$D,4,0),"❌ Account Not Found"))</f>
        <v/>
      </c>
      <c r="C193" s="80" t="str">
        <f>IF(A193="","",IFERROR(VLOOKUP(A193,DB_Customers!$A:$N,14,0),""))</f>
        <v/>
      </c>
      <c r="D193" s="81" t="str">
        <f t="shared" ca="1" si="15"/>
        <v/>
      </c>
      <c r="E193" s="97"/>
      <c r="F193" s="21"/>
      <c r="G193" s="98" t="str">
        <f t="shared" si="16"/>
        <v/>
      </c>
      <c r="H193" s="23"/>
      <c r="I193" s="84"/>
      <c r="J193" s="85" t="str">
        <f>IF(AND(A193&lt;&gt;"",E193&lt;&gt;""),IF(I193="","⚠️ Enter Code",IF(IFERROR(VLOOKUP(H193,DB_Agents!$B:$I,8,0),"")=I193,IF(C193&gt;=E193,"Successful","Unsuccessful"),"🔒 BLOCKED — Wrong Code")),"—")</f>
        <v>—</v>
      </c>
      <c r="K193" s="86" t="str">
        <f t="shared" ca="1" si="17"/>
        <v>—</v>
      </c>
      <c r="L193" s="87"/>
    </row>
    <row r="194" spans="1:12" x14ac:dyDescent="0.25">
      <c r="A194" s="88"/>
      <c r="B194" s="25" t="str">
        <f>IF(A194="","",IFERROR(VLOOKUP(A194,DB_Customers!$A:$D,4,0),"❌ Account Not Found"))</f>
        <v/>
      </c>
      <c r="C194" s="89" t="str">
        <f>IF(A194="","",IFERROR(VLOOKUP(A194,DB_Customers!$A:$N,14,0),""))</f>
        <v/>
      </c>
      <c r="D194" s="90" t="str">
        <f t="shared" ca="1" si="15"/>
        <v/>
      </c>
      <c r="E194" s="97"/>
      <c r="F194" s="25"/>
      <c r="G194" s="99" t="str">
        <f t="shared" si="16"/>
        <v/>
      </c>
      <c r="H194" s="27"/>
      <c r="I194" s="84"/>
      <c r="J194" s="92" t="str">
        <f>IF(AND(A194&lt;&gt;"",E194&lt;&gt;""),IF(I194="","⚠️ Enter Code",IF(IFERROR(VLOOKUP(H194,DB_Agents!$B:$I,8,0),"")=I194,IF(C194&gt;=E194,"Successful","Unsuccessful"),"🔒 BLOCKED — Wrong Code")),"—")</f>
        <v>—</v>
      </c>
      <c r="K194" s="93" t="str">
        <f t="shared" ca="1" si="17"/>
        <v>—</v>
      </c>
      <c r="L194" s="94"/>
    </row>
    <row r="195" spans="1:12" x14ac:dyDescent="0.25">
      <c r="A195" s="79"/>
      <c r="B195" s="21" t="str">
        <f>IF(A195="","",IFERROR(VLOOKUP(A195,DB_Customers!$A:$D,4,0),"❌ Account Not Found"))</f>
        <v/>
      </c>
      <c r="C195" s="80" t="str">
        <f>IF(A195="","",IFERROR(VLOOKUP(A195,DB_Customers!$A:$N,14,0),""))</f>
        <v/>
      </c>
      <c r="D195" s="81" t="str">
        <f t="shared" ca="1" si="15"/>
        <v/>
      </c>
      <c r="E195" s="97"/>
      <c r="F195" s="21"/>
      <c r="G195" s="98" t="str">
        <f t="shared" si="16"/>
        <v/>
      </c>
      <c r="H195" s="23"/>
      <c r="I195" s="84"/>
      <c r="J195" s="85" t="str">
        <f>IF(AND(A195&lt;&gt;"",E195&lt;&gt;""),IF(I195="","⚠️ Enter Code",IF(IFERROR(VLOOKUP(H195,DB_Agents!$B:$I,8,0),"")=I195,IF(C195&gt;=E195,"Successful","Unsuccessful"),"🔒 BLOCKED — Wrong Code")),"—")</f>
        <v>—</v>
      </c>
      <c r="K195" s="86" t="str">
        <f t="shared" ca="1" si="17"/>
        <v>—</v>
      </c>
      <c r="L195" s="87"/>
    </row>
    <row r="196" spans="1:12" x14ac:dyDescent="0.25">
      <c r="A196" s="88"/>
      <c r="B196" s="25" t="str">
        <f>IF(A196="","",IFERROR(VLOOKUP(A196,DB_Customers!$A:$D,4,0),"❌ Account Not Found"))</f>
        <v/>
      </c>
      <c r="C196" s="89" t="str">
        <f>IF(A196="","",IFERROR(VLOOKUP(A196,DB_Customers!$A:$N,14,0),""))</f>
        <v/>
      </c>
      <c r="D196" s="90" t="str">
        <f t="shared" ca="1" si="15"/>
        <v/>
      </c>
      <c r="E196" s="97"/>
      <c r="F196" s="25"/>
      <c r="G196" s="99" t="str">
        <f t="shared" si="16"/>
        <v/>
      </c>
      <c r="H196" s="27"/>
      <c r="I196" s="84"/>
      <c r="J196" s="92" t="str">
        <f>IF(AND(A196&lt;&gt;"",E196&lt;&gt;""),IF(I196="","⚠️ Enter Code",IF(IFERROR(VLOOKUP(H196,DB_Agents!$B:$I,8,0),"")=I196,IF(C196&gt;=E196,"Successful","Unsuccessful"),"🔒 BLOCKED — Wrong Code")),"—")</f>
        <v>—</v>
      </c>
      <c r="K196" s="93" t="str">
        <f t="shared" ca="1" si="17"/>
        <v>—</v>
      </c>
      <c r="L196" s="94"/>
    </row>
    <row r="197" spans="1:12" x14ac:dyDescent="0.25">
      <c r="A197" s="79"/>
      <c r="B197" s="21" t="str">
        <f>IF(A197="","",IFERROR(VLOOKUP(A197,DB_Customers!$A:$D,4,0),"❌ Account Not Found"))</f>
        <v/>
      </c>
      <c r="C197" s="80" t="str">
        <f>IF(A197="","",IFERROR(VLOOKUP(A197,DB_Customers!$A:$N,14,0),""))</f>
        <v/>
      </c>
      <c r="D197" s="81" t="str">
        <f t="shared" ca="1" si="15"/>
        <v/>
      </c>
      <c r="E197" s="97"/>
      <c r="F197" s="21"/>
      <c r="G197" s="98" t="str">
        <f t="shared" si="16"/>
        <v/>
      </c>
      <c r="H197" s="23"/>
      <c r="I197" s="84"/>
      <c r="J197" s="85" t="str">
        <f>IF(AND(A197&lt;&gt;"",E197&lt;&gt;""),IF(I197="","⚠️ Enter Code",IF(IFERROR(VLOOKUP(H197,DB_Agents!$B:$I,8,0),"")=I197,IF(C197&gt;=E197,"Successful","Unsuccessful"),"🔒 BLOCKED — Wrong Code")),"—")</f>
        <v>—</v>
      </c>
      <c r="K197" s="86" t="str">
        <f t="shared" ca="1" si="17"/>
        <v>—</v>
      </c>
      <c r="L197" s="87"/>
    </row>
    <row r="198" spans="1:12" x14ac:dyDescent="0.25">
      <c r="A198" s="88"/>
      <c r="B198" s="25" t="str">
        <f>IF(A198="","",IFERROR(VLOOKUP(A198,DB_Customers!$A:$D,4,0),"❌ Account Not Found"))</f>
        <v/>
      </c>
      <c r="C198" s="89" t="str">
        <f>IF(A198="","",IFERROR(VLOOKUP(A198,DB_Customers!$A:$N,14,0),""))</f>
        <v/>
      </c>
      <c r="D198" s="90" t="str">
        <f t="shared" ca="1" si="15"/>
        <v/>
      </c>
      <c r="E198" s="97"/>
      <c r="F198" s="25"/>
      <c r="G198" s="99" t="str">
        <f t="shared" si="16"/>
        <v/>
      </c>
      <c r="H198" s="27"/>
      <c r="I198" s="84"/>
      <c r="J198" s="92" t="str">
        <f>IF(AND(A198&lt;&gt;"",E198&lt;&gt;""),IF(I198="","⚠️ Enter Code",IF(IFERROR(VLOOKUP(H198,DB_Agents!$B:$I,8,0),"")=I198,IF(C198&gt;=E198,"Successful","Unsuccessful"),"🔒 BLOCKED — Wrong Code")),"—")</f>
        <v>—</v>
      </c>
      <c r="K198" s="93" t="str">
        <f t="shared" ca="1" si="17"/>
        <v>—</v>
      </c>
      <c r="L198" s="94"/>
    </row>
    <row r="199" spans="1:12" x14ac:dyDescent="0.25">
      <c r="A199" s="79"/>
      <c r="B199" s="21" t="str">
        <f>IF(A199="","",IFERROR(VLOOKUP(A199,DB_Customers!$A:$D,4,0),"❌ Account Not Found"))</f>
        <v/>
      </c>
      <c r="C199" s="80" t="str">
        <f>IF(A199="","",IFERROR(VLOOKUP(A199,DB_Customers!$A:$N,14,0),""))</f>
        <v/>
      </c>
      <c r="D199" s="81" t="str">
        <f t="shared" ca="1" si="15"/>
        <v/>
      </c>
      <c r="E199" s="97"/>
      <c r="F199" s="21"/>
      <c r="G199" s="98" t="str">
        <f t="shared" si="16"/>
        <v/>
      </c>
      <c r="H199" s="23"/>
      <c r="I199" s="84"/>
      <c r="J199" s="85" t="str">
        <f>IF(AND(A199&lt;&gt;"",E199&lt;&gt;""),IF(I199="","⚠️ Enter Code",IF(IFERROR(VLOOKUP(H199,DB_Agents!$B:$I,8,0),"")=I199,IF(C199&gt;=E199,"Successful","Unsuccessful"),"🔒 BLOCKED — Wrong Code")),"—")</f>
        <v>—</v>
      </c>
      <c r="K199" s="86" t="str">
        <f t="shared" ca="1" si="17"/>
        <v>—</v>
      </c>
      <c r="L199" s="87"/>
    </row>
    <row r="200" spans="1:12" x14ac:dyDescent="0.25">
      <c r="A200" s="88"/>
      <c r="B200" s="25" t="str">
        <f>IF(A200="","",IFERROR(VLOOKUP(A200,DB_Customers!$A:$D,4,0),"❌ Account Not Found"))</f>
        <v/>
      </c>
      <c r="C200" s="89" t="str">
        <f>IF(A200="","",IFERROR(VLOOKUP(A200,DB_Customers!$A:$N,14,0),""))</f>
        <v/>
      </c>
      <c r="D200" s="90" t="str">
        <f t="shared" ca="1" si="15"/>
        <v/>
      </c>
      <c r="E200" s="97"/>
      <c r="F200" s="25"/>
      <c r="G200" s="99" t="str">
        <f t="shared" si="16"/>
        <v/>
      </c>
      <c r="H200" s="27"/>
      <c r="I200" s="84"/>
      <c r="J200" s="92" t="str">
        <f>IF(AND(A200&lt;&gt;"",E200&lt;&gt;""),IF(I200="","⚠️ Enter Code",IF(IFERROR(VLOOKUP(H200,DB_Agents!$B:$I,8,0),"")=I200,IF(C200&gt;=E200,"Successful","Unsuccessful"),"🔒 BLOCKED — Wrong Code")),"—")</f>
        <v>—</v>
      </c>
      <c r="K200" s="93" t="str">
        <f t="shared" ca="1" si="17"/>
        <v>—</v>
      </c>
      <c r="L200" s="94"/>
    </row>
    <row r="201" spans="1:12" x14ac:dyDescent="0.25">
      <c r="A201" s="79"/>
      <c r="B201" s="21" t="str">
        <f>IF(A201="","",IFERROR(VLOOKUP(A201,DB_Customers!$A:$D,4,0),"❌ Account Not Found"))</f>
        <v/>
      </c>
      <c r="C201" s="80" t="str">
        <f>IF(A201="","",IFERROR(VLOOKUP(A201,DB_Customers!$A:$N,14,0),""))</f>
        <v/>
      </c>
      <c r="D201" s="81" t="str">
        <f t="shared" ref="D201:D208" ca="1" si="18">IF(A201="","",TODAY())</f>
        <v/>
      </c>
      <c r="E201" s="97"/>
      <c r="F201" s="21"/>
      <c r="G201" s="98" t="str">
        <f t="shared" ref="G201:G208" si="19">IF(OR(A201="",E201=""),"",IF(C201="","",C201-E201))</f>
        <v/>
      </c>
      <c r="H201" s="23"/>
      <c r="I201" s="84"/>
      <c r="J201" s="85" t="str">
        <f>IF(AND(A201&lt;&gt;"",E201&lt;&gt;""),IF(I201="","⚠️ Enter Code",IF(IFERROR(VLOOKUP(H201,DB_Agents!$B:$I,8,0),"")=I201,IF(C201&gt;=E201,"Successful","Unsuccessful"),"🔒 BLOCKED — Wrong Code")),"—")</f>
        <v>—</v>
      </c>
      <c r="K201" s="86" t="str">
        <f t="shared" ref="K201:K232" ca="1" si="20">IF(J201="Successful",TEXT(TODAY(),"YYYY-MM-DD")&amp;" Auto","—")</f>
        <v>—</v>
      </c>
      <c r="L201" s="87"/>
    </row>
    <row r="202" spans="1:12" x14ac:dyDescent="0.25">
      <c r="A202" s="88"/>
      <c r="B202" s="25" t="str">
        <f>IF(A202="","",IFERROR(VLOOKUP(A202,DB_Customers!$A:$D,4,0),"❌ Account Not Found"))</f>
        <v/>
      </c>
      <c r="C202" s="89" t="str">
        <f>IF(A202="","",IFERROR(VLOOKUP(A202,DB_Customers!$A:$N,14,0),""))</f>
        <v/>
      </c>
      <c r="D202" s="90" t="str">
        <f t="shared" ca="1" si="18"/>
        <v/>
      </c>
      <c r="E202" s="97"/>
      <c r="F202" s="25"/>
      <c r="G202" s="99" t="str">
        <f t="shared" si="19"/>
        <v/>
      </c>
      <c r="H202" s="27"/>
      <c r="I202" s="84"/>
      <c r="J202" s="92" t="str">
        <f>IF(AND(A202&lt;&gt;"",E202&lt;&gt;""),IF(I202="","⚠️ Enter Code",IF(IFERROR(VLOOKUP(H202,DB_Agents!$B:$I,8,0),"")=I202,IF(C202&gt;=E202,"Successful","Unsuccessful"),"🔒 BLOCKED — Wrong Code")),"—")</f>
        <v>—</v>
      </c>
      <c r="K202" s="93" t="str">
        <f t="shared" ca="1" si="20"/>
        <v>—</v>
      </c>
      <c r="L202" s="94"/>
    </row>
    <row r="203" spans="1:12" x14ac:dyDescent="0.25">
      <c r="A203" s="79"/>
      <c r="B203" s="21" t="str">
        <f>IF(A203="","",IFERROR(VLOOKUP(A203,DB_Customers!$A:$D,4,0),"❌ Account Not Found"))</f>
        <v/>
      </c>
      <c r="C203" s="80" t="str">
        <f>IF(A203="","",IFERROR(VLOOKUP(A203,DB_Customers!$A:$N,14,0),""))</f>
        <v/>
      </c>
      <c r="D203" s="81" t="str">
        <f t="shared" ca="1" si="18"/>
        <v/>
      </c>
      <c r="E203" s="97"/>
      <c r="F203" s="21"/>
      <c r="G203" s="98" t="str">
        <f t="shared" si="19"/>
        <v/>
      </c>
      <c r="H203" s="23"/>
      <c r="I203" s="84"/>
      <c r="J203" s="85" t="str">
        <f>IF(AND(A203&lt;&gt;"",E203&lt;&gt;""),IF(I203="","⚠️ Enter Code",IF(IFERROR(VLOOKUP(H203,DB_Agents!$B:$I,8,0),"")=I203,IF(C203&gt;=E203,"Successful","Unsuccessful"),"🔒 BLOCKED — Wrong Code")),"—")</f>
        <v>—</v>
      </c>
      <c r="K203" s="86" t="str">
        <f t="shared" ca="1" si="20"/>
        <v>—</v>
      </c>
      <c r="L203" s="87"/>
    </row>
    <row r="204" spans="1:12" x14ac:dyDescent="0.25">
      <c r="A204" s="88"/>
      <c r="B204" s="25" t="str">
        <f>IF(A204="","",IFERROR(VLOOKUP(A204,DB_Customers!$A:$D,4,0),"❌ Account Not Found"))</f>
        <v/>
      </c>
      <c r="C204" s="89" t="str">
        <f>IF(A204="","",IFERROR(VLOOKUP(A204,DB_Customers!$A:$N,14,0),""))</f>
        <v/>
      </c>
      <c r="D204" s="90" t="str">
        <f t="shared" ca="1" si="18"/>
        <v/>
      </c>
      <c r="E204" s="97"/>
      <c r="F204" s="25"/>
      <c r="G204" s="99" t="str">
        <f t="shared" si="19"/>
        <v/>
      </c>
      <c r="H204" s="27"/>
      <c r="I204" s="84"/>
      <c r="J204" s="92" t="str">
        <f>IF(AND(A204&lt;&gt;"",E204&lt;&gt;""),IF(I204="","⚠️ Enter Code",IF(IFERROR(VLOOKUP(H204,DB_Agents!$B:$I,8,0),"")=I204,IF(C204&gt;=E204,"Successful","Unsuccessful"),"🔒 BLOCKED — Wrong Code")),"—")</f>
        <v>—</v>
      </c>
      <c r="K204" s="93" t="str">
        <f t="shared" ca="1" si="20"/>
        <v>—</v>
      </c>
      <c r="L204" s="94"/>
    </row>
    <row r="205" spans="1:12" x14ac:dyDescent="0.25">
      <c r="A205" s="79"/>
      <c r="B205" s="21" t="str">
        <f>IF(A205="","",IFERROR(VLOOKUP(A205,DB_Customers!$A:$D,4,0),"❌ Account Not Found"))</f>
        <v/>
      </c>
      <c r="C205" s="80" t="str">
        <f>IF(A205="","",IFERROR(VLOOKUP(A205,DB_Customers!$A:$N,14,0),""))</f>
        <v/>
      </c>
      <c r="D205" s="81" t="str">
        <f t="shared" ca="1" si="18"/>
        <v/>
      </c>
      <c r="E205" s="97"/>
      <c r="F205" s="21"/>
      <c r="G205" s="98" t="str">
        <f t="shared" si="19"/>
        <v/>
      </c>
      <c r="H205" s="23"/>
      <c r="I205" s="84"/>
      <c r="J205" s="85" t="str">
        <f>IF(AND(A205&lt;&gt;"",E205&lt;&gt;""),IF(I205="","⚠️ Enter Code",IF(IFERROR(VLOOKUP(H205,DB_Agents!$B:$I,8,0),"")=I205,IF(C205&gt;=E205,"Successful","Unsuccessful"),"🔒 BLOCKED — Wrong Code")),"—")</f>
        <v>—</v>
      </c>
      <c r="K205" s="86" t="str">
        <f t="shared" ca="1" si="20"/>
        <v>—</v>
      </c>
      <c r="L205" s="87"/>
    </row>
    <row r="206" spans="1:12" x14ac:dyDescent="0.25">
      <c r="A206" s="88"/>
      <c r="B206" s="25" t="str">
        <f>IF(A206="","",IFERROR(VLOOKUP(A206,DB_Customers!$A:$D,4,0),"❌ Account Not Found"))</f>
        <v/>
      </c>
      <c r="C206" s="89" t="str">
        <f>IF(A206="","",IFERROR(VLOOKUP(A206,DB_Customers!$A:$N,14,0),""))</f>
        <v/>
      </c>
      <c r="D206" s="90" t="str">
        <f t="shared" ca="1" si="18"/>
        <v/>
      </c>
      <c r="E206" s="97"/>
      <c r="F206" s="25"/>
      <c r="G206" s="99" t="str">
        <f t="shared" si="19"/>
        <v/>
      </c>
      <c r="H206" s="27"/>
      <c r="I206" s="84"/>
      <c r="J206" s="92" t="str">
        <f>IF(AND(A206&lt;&gt;"",E206&lt;&gt;""),IF(I206="","⚠️ Enter Code",IF(IFERROR(VLOOKUP(H206,DB_Agents!$B:$I,8,0),"")=I206,IF(C206&gt;=E206,"Successful","Unsuccessful"),"🔒 BLOCKED — Wrong Code")),"—")</f>
        <v>—</v>
      </c>
      <c r="K206" s="93" t="str">
        <f t="shared" ca="1" si="20"/>
        <v>—</v>
      </c>
      <c r="L206" s="94"/>
    </row>
    <row r="207" spans="1:12" x14ac:dyDescent="0.25">
      <c r="A207" s="79"/>
      <c r="B207" s="21" t="str">
        <f>IF(A207="","",IFERROR(VLOOKUP(A207,DB_Customers!$A:$D,4,0),"❌ Account Not Found"))</f>
        <v/>
      </c>
      <c r="C207" s="80" t="str">
        <f>IF(A207="","",IFERROR(VLOOKUP(A207,DB_Customers!$A:$N,14,0),""))</f>
        <v/>
      </c>
      <c r="D207" s="81" t="str">
        <f t="shared" ca="1" si="18"/>
        <v/>
      </c>
      <c r="E207" s="97"/>
      <c r="F207" s="21"/>
      <c r="G207" s="98" t="str">
        <f t="shared" si="19"/>
        <v/>
      </c>
      <c r="H207" s="23"/>
      <c r="I207" s="84"/>
      <c r="J207" s="85" t="str">
        <f>IF(AND(A207&lt;&gt;"",E207&lt;&gt;""),IF(I207="","⚠️ Enter Code",IF(IFERROR(VLOOKUP(H207,DB_Agents!$B:$I,8,0),"")=I207,IF(C207&gt;=E207,"Successful","Unsuccessful"),"🔒 BLOCKED — Wrong Code")),"—")</f>
        <v>—</v>
      </c>
      <c r="K207" s="86" t="str">
        <f t="shared" ca="1" si="20"/>
        <v>—</v>
      </c>
      <c r="L207" s="87"/>
    </row>
    <row r="208" spans="1:12" x14ac:dyDescent="0.25">
      <c r="A208" s="88"/>
      <c r="B208" s="25" t="str">
        <f>IF(A208="","",IFERROR(VLOOKUP(A208,DB_Customers!$A:$D,4,0),"❌ Account Not Found"))</f>
        <v/>
      </c>
      <c r="C208" s="89" t="str">
        <f>IF(A208="","",IFERROR(VLOOKUP(A208,DB_Customers!$A:$N,14,0),""))</f>
        <v/>
      </c>
      <c r="D208" s="90" t="str">
        <f t="shared" ca="1" si="18"/>
        <v/>
      </c>
      <c r="E208" s="97"/>
      <c r="F208" s="25"/>
      <c r="G208" s="99" t="str">
        <f t="shared" si="19"/>
        <v/>
      </c>
      <c r="H208" s="27"/>
      <c r="I208" s="84"/>
      <c r="J208" s="92" t="str">
        <f>IF(AND(A208&lt;&gt;"",E208&lt;&gt;""),IF(I208="","⚠️ Enter Code",IF(IFERROR(VLOOKUP(H208,DB_Agents!$B:$I,8,0),"")=I208,IF(C208&gt;=E208,"Successful","Unsuccessful"),"🔒 BLOCKED — Wrong Code")),"—")</f>
        <v>—</v>
      </c>
      <c r="K208" s="93" t="str">
        <f t="shared" ca="1" si="20"/>
        <v>—</v>
      </c>
      <c r="L208" s="94"/>
    </row>
  </sheetData>
  <mergeCells count="8">
    <mergeCell ref="A5:M5"/>
    <mergeCell ref="A7:M7"/>
    <mergeCell ref="A1:M1"/>
    <mergeCell ref="A2:M2"/>
    <mergeCell ref="A3:C3"/>
    <mergeCell ref="D3:F3"/>
    <mergeCell ref="A4:C4"/>
    <mergeCell ref="D4:F4"/>
  </mergeCells>
  <conditionalFormatting sqref="I9:I208">
    <cfRule type="cellIs" dxfId="59" priority="2" operator="equal">
      <formula>"Successful"</formula>
    </cfRule>
    <cfRule type="cellIs" dxfId="58" priority="3" operator="equal">
      <formula>"Unsuccessful"</formula>
    </cfRule>
  </conditionalFormatting>
  <conditionalFormatting sqref="A9:K208">
    <cfRule type="expression" dxfId="57" priority="4">
      <formula>$I9="Unsuccessful"</formula>
    </cfRule>
  </conditionalFormatting>
  <conditionalFormatting sqref="G9:G208">
    <cfRule type="cellIs" dxfId="56" priority="5" operator="lessThan">
      <formula>0</formula>
    </cfRule>
  </conditionalFormatting>
  <dataValidations count="1">
    <dataValidation type="list" sqref="H9:H208" xr:uid="{00000000-0002-0000-1200-000000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tabColor rgb="FFE67E22"/>
  </sheetPr>
  <dimension ref="A1:N213"/>
  <sheetViews>
    <sheetView zoomScaleNormal="100" workbookViewId="0">
      <pane ySplit="13" topLeftCell="A14" activePane="bottomLeft" state="frozen"/>
      <selection pane="bottomLeft"/>
    </sheetView>
  </sheetViews>
  <sheetFormatPr defaultColWidth="8.7109375" defaultRowHeight="15" x14ac:dyDescent="0.25"/>
  <cols>
    <col min="1" max="1" width="22" customWidth="1"/>
    <col min="2" max="2" width="16" customWidth="1"/>
    <col min="3" max="3" width="22" customWidth="1"/>
    <col min="4" max="4" width="13" customWidth="1"/>
    <col min="5" max="5" width="14" customWidth="1"/>
    <col min="6" max="6" width="22" customWidth="1"/>
    <col min="7" max="7" width="9" customWidth="1"/>
    <col min="8" max="8" width="8" customWidth="1"/>
    <col min="9" max="9" width="16" customWidth="1"/>
    <col min="10" max="10" width="15" customWidth="1"/>
    <col min="11" max="11" width="14" customWidth="1"/>
    <col min="12" max="12" width="12" customWidth="1"/>
    <col min="13" max="13" width="14" customWidth="1"/>
  </cols>
  <sheetData>
    <row r="1" spans="1:14" ht="31.5" customHeight="1" x14ac:dyDescent="0.25">
      <c r="A1" s="216" t="s">
        <v>214</v>
      </c>
      <c r="B1" s="216"/>
      <c r="C1" s="216"/>
      <c r="D1" s="216"/>
      <c r="E1" s="216"/>
      <c r="F1" s="216"/>
      <c r="G1" s="216"/>
      <c r="H1" s="216"/>
      <c r="I1" s="216"/>
      <c r="J1" s="216"/>
      <c r="K1" s="216"/>
      <c r="L1" s="216"/>
      <c r="M1" s="216"/>
      <c r="N1" s="216"/>
    </row>
    <row r="2" spans="1:14" ht="19.5" customHeight="1" x14ac:dyDescent="0.25">
      <c r="A2" s="217" t="s">
        <v>189</v>
      </c>
      <c r="B2" s="217"/>
      <c r="C2" s="217"/>
      <c r="D2" s="217"/>
      <c r="E2" s="217"/>
      <c r="F2" s="217"/>
      <c r="G2" s="217"/>
      <c r="H2" s="217"/>
      <c r="I2" s="217"/>
      <c r="J2" s="217"/>
      <c r="K2" s="217"/>
      <c r="L2" s="217"/>
      <c r="M2" s="217"/>
      <c r="N2" s="217"/>
    </row>
    <row r="4" spans="1:14" ht="21.75" customHeight="1" x14ac:dyDescent="0.25">
      <c r="A4" s="218" t="s">
        <v>190</v>
      </c>
      <c r="B4" s="218"/>
      <c r="C4" s="218"/>
      <c r="D4" s="218"/>
    </row>
    <row r="5" spans="1:14" ht="19.5" customHeight="1" x14ac:dyDescent="0.25">
      <c r="A5" s="101" t="s">
        <v>191</v>
      </c>
      <c r="B5" s="219"/>
      <c r="C5" s="219"/>
      <c r="D5" s="219"/>
    </row>
    <row r="6" spans="1:14" ht="19.5" customHeight="1" x14ac:dyDescent="0.25">
      <c r="A6" s="101" t="s">
        <v>192</v>
      </c>
      <c r="B6" s="219"/>
      <c r="C6" s="219"/>
      <c r="D6" s="219"/>
    </row>
    <row r="7" spans="1:14" ht="19.5" customHeight="1" x14ac:dyDescent="0.25">
      <c r="A7" s="102" t="s">
        <v>193</v>
      </c>
      <c r="B7" s="220">
        <v>2.5</v>
      </c>
      <c r="C7" s="220"/>
      <c r="D7" s="220"/>
    </row>
    <row r="8" spans="1:14" ht="19.5" customHeight="1" x14ac:dyDescent="0.25">
      <c r="A8" s="102" t="s">
        <v>194</v>
      </c>
      <c r="B8" s="221" t="str">
        <f>IF(B5="","",B5*B7/100*B6)</f>
        <v/>
      </c>
      <c r="C8" s="221"/>
      <c r="D8" s="221"/>
    </row>
    <row r="9" spans="1:14" ht="19.5" customHeight="1" x14ac:dyDescent="0.25">
      <c r="A9" s="102"/>
      <c r="B9" s="222" t="str">
        <f>IF(B5="","",B5+(B5*B7/100*B6))</f>
        <v/>
      </c>
      <c r="C9" s="222"/>
      <c r="D9" s="222"/>
    </row>
    <row r="10" spans="1:14" ht="19.5" customHeight="1" x14ac:dyDescent="0.25">
      <c r="A10" s="102"/>
      <c r="B10" s="222" t="str">
        <f>IFERROR(B9/B6,"")</f>
        <v/>
      </c>
      <c r="C10" s="222"/>
      <c r="D10" s="222"/>
    </row>
    <row r="11" spans="1:14" ht="7.5" customHeight="1" x14ac:dyDescent="0.25"/>
    <row r="12" spans="1:14" ht="21.75" customHeight="1" x14ac:dyDescent="0.25">
      <c r="A12" s="223"/>
      <c r="B12" s="223"/>
      <c r="C12" s="223"/>
      <c r="D12" s="223"/>
      <c r="E12" s="223"/>
      <c r="F12" s="223"/>
      <c r="G12" s="223"/>
      <c r="H12" s="223"/>
      <c r="I12" s="223"/>
      <c r="J12" s="223"/>
      <c r="K12" s="223"/>
      <c r="L12" s="223"/>
      <c r="M12" s="223"/>
      <c r="N12" s="223"/>
    </row>
    <row r="13" spans="1:14" ht="19.5" customHeight="1" x14ac:dyDescent="0.25">
      <c r="A13" s="103"/>
      <c r="B13" s="103"/>
      <c r="C13" s="103"/>
      <c r="D13" s="103"/>
      <c r="E13" s="103"/>
      <c r="F13" s="103"/>
      <c r="G13" s="103"/>
      <c r="H13" s="103"/>
      <c r="I13" s="103"/>
      <c r="J13" s="103"/>
      <c r="K13" s="103"/>
      <c r="L13" s="103" t="s">
        <v>32</v>
      </c>
      <c r="M13" s="78"/>
      <c r="N13" s="103"/>
    </row>
    <row r="14" spans="1:14" x14ac:dyDescent="0.25">
      <c r="A14" s="92" t="str">
        <f t="shared" ref="A14:A45" si="0">IF(B14="","",IF(C14="❌ Account Not Found","INVALID","LN"&amp;TEXT(D14,"YYYYMMDD")&amp;TEXT(ROW()-13,"0000")))</f>
        <v/>
      </c>
      <c r="B14" s="88"/>
      <c r="C14" s="25" t="str">
        <f>IF(B14="","",IFERROR(VLOOKUP(B14,DB_Customers!$A:$D,4,0),"❌ Account Not Found"))</f>
        <v/>
      </c>
      <c r="D14" s="90" t="str">
        <f t="shared" ref="D14:D45" ca="1" si="1">IF(B14="","",TODAY())</f>
        <v/>
      </c>
      <c r="E14" s="104"/>
      <c r="F14" s="25"/>
      <c r="G14" s="105"/>
      <c r="H14" s="106"/>
      <c r="I14" s="107" t="str">
        <f t="shared" ref="I14:I45" si="2">IF(E14="","",E14+(E14*H14/100*G14))</f>
        <v/>
      </c>
      <c r="J14" s="108" t="str">
        <f t="shared" ref="J14:J45" si="3">IFERROR(I14/G14,"")</f>
        <v/>
      </c>
      <c r="K14" s="109" t="str">
        <f>IF(B14="","Pending",IF(M14="","⚠️ Enter Code",IF(IFERROR(VLOOKUP(L14,DB_Agents!$B:$I,8,0),"")=M14,"Pending","🔒 BLOCKED — Wrong Code")))</f>
        <v>Pending</v>
      </c>
      <c r="L14" s="27" t="s">
        <v>45</v>
      </c>
      <c r="M14" s="84"/>
      <c r="N14" s="94"/>
    </row>
    <row r="15" spans="1:14" x14ac:dyDescent="0.25">
      <c r="A15" s="85" t="str">
        <f t="shared" si="0"/>
        <v/>
      </c>
      <c r="B15" s="79"/>
      <c r="C15" s="21" t="str">
        <f>IF(B15="","",IFERROR(VLOOKUP(B15,DB_Customers!$A:$D,4,0),"❌ Account Not Found"))</f>
        <v/>
      </c>
      <c r="D15" s="81" t="str">
        <f t="shared" ca="1" si="1"/>
        <v/>
      </c>
      <c r="E15" s="104"/>
      <c r="F15" s="21"/>
      <c r="G15" s="110"/>
      <c r="H15" s="111"/>
      <c r="I15" s="107" t="str">
        <f t="shared" si="2"/>
        <v/>
      </c>
      <c r="J15" s="112" t="str">
        <f t="shared" si="3"/>
        <v/>
      </c>
      <c r="K15" s="113" t="str">
        <f>IF(B15="","Pending",IF(M15="","⚠️ Enter Code",IF(IFERROR(VLOOKUP(L15,DB_Agents!$B:$I,8,0),"")=M15,"Pending","🔒 BLOCKED — Wrong Code")))</f>
        <v>Pending</v>
      </c>
      <c r="L15" s="23" t="s">
        <v>45</v>
      </c>
      <c r="M15" s="84"/>
      <c r="N15" s="87"/>
    </row>
    <row r="16" spans="1:14" x14ac:dyDescent="0.25">
      <c r="A16" s="92" t="str">
        <f t="shared" si="0"/>
        <v/>
      </c>
      <c r="B16" s="88"/>
      <c r="C16" s="25" t="str">
        <f>IF(B16="","",IFERROR(VLOOKUP(B16,DB_Customers!$A:$D,4,0),"❌ Account Not Found"))</f>
        <v/>
      </c>
      <c r="D16" s="90" t="str">
        <f t="shared" ca="1" si="1"/>
        <v/>
      </c>
      <c r="E16" s="104"/>
      <c r="F16" s="25"/>
      <c r="G16" s="105"/>
      <c r="H16" s="106"/>
      <c r="I16" s="107" t="str">
        <f t="shared" si="2"/>
        <v/>
      </c>
      <c r="J16" s="108" t="str">
        <f t="shared" si="3"/>
        <v/>
      </c>
      <c r="K16" s="109" t="str">
        <f>IF(B16="","Pending",IF(M16="","⚠️ Enter Code",IF(IFERROR(VLOOKUP(L16,DB_Agents!$B:$I,8,0),"")=M16,"Pending","🔒 BLOCKED — Wrong Code")))</f>
        <v>Pending</v>
      </c>
      <c r="L16" s="27" t="s">
        <v>45</v>
      </c>
      <c r="M16" s="84"/>
      <c r="N16" s="94"/>
    </row>
    <row r="17" spans="1:14" x14ac:dyDescent="0.25">
      <c r="A17" s="85" t="str">
        <f t="shared" si="0"/>
        <v/>
      </c>
      <c r="B17" s="79"/>
      <c r="C17" s="21" t="str">
        <f>IF(B17="","",IFERROR(VLOOKUP(B17,DB_Customers!$A:$D,4,0),"❌ Account Not Found"))</f>
        <v/>
      </c>
      <c r="D17" s="81" t="str">
        <f t="shared" ca="1" si="1"/>
        <v/>
      </c>
      <c r="E17" s="104"/>
      <c r="F17" s="21"/>
      <c r="G17" s="110"/>
      <c r="H17" s="111"/>
      <c r="I17" s="107" t="str">
        <f t="shared" si="2"/>
        <v/>
      </c>
      <c r="J17" s="112" t="str">
        <f t="shared" si="3"/>
        <v/>
      </c>
      <c r="K17" s="113" t="str">
        <f>IF(B17="","Pending",IF(M17="","⚠️ Enter Code",IF(IFERROR(VLOOKUP(L17,DB_Agents!$B:$I,8,0),"")=M17,"Pending","🔒 BLOCKED — Wrong Code")))</f>
        <v>Pending</v>
      </c>
      <c r="L17" s="23" t="s">
        <v>45</v>
      </c>
      <c r="M17" s="84"/>
      <c r="N17" s="87"/>
    </row>
    <row r="18" spans="1:14" x14ac:dyDescent="0.25">
      <c r="A18" s="92" t="str">
        <f t="shared" si="0"/>
        <v/>
      </c>
      <c r="B18" s="88"/>
      <c r="C18" s="25" t="str">
        <f>IF(B18="","",IFERROR(VLOOKUP(B18,DB_Customers!$A:$D,4,0),"❌ Account Not Found"))</f>
        <v/>
      </c>
      <c r="D18" s="90" t="str">
        <f t="shared" ca="1" si="1"/>
        <v/>
      </c>
      <c r="E18" s="104"/>
      <c r="F18" s="25"/>
      <c r="G18" s="105"/>
      <c r="H18" s="106"/>
      <c r="I18" s="107" t="str">
        <f t="shared" si="2"/>
        <v/>
      </c>
      <c r="J18" s="108" t="str">
        <f t="shared" si="3"/>
        <v/>
      </c>
      <c r="K18" s="109" t="str">
        <f>IF(B18="","Pending",IF(M18="","⚠️ Enter Code",IF(IFERROR(VLOOKUP(L18,DB_Agents!$B:$I,8,0),"")=M18,"Pending","🔒 BLOCKED — Wrong Code")))</f>
        <v>Pending</v>
      </c>
      <c r="L18" s="27" t="s">
        <v>45</v>
      </c>
      <c r="M18" s="84"/>
      <c r="N18" s="94"/>
    </row>
    <row r="19" spans="1:14" x14ac:dyDescent="0.25">
      <c r="A19" s="85" t="str">
        <f t="shared" si="0"/>
        <v/>
      </c>
      <c r="B19" s="79"/>
      <c r="C19" s="21" t="str">
        <f>IF(B19="","",IFERROR(VLOOKUP(B19,DB_Customers!$A:$D,4,0),"❌ Account Not Found"))</f>
        <v/>
      </c>
      <c r="D19" s="81" t="str">
        <f t="shared" ca="1" si="1"/>
        <v/>
      </c>
      <c r="E19" s="104"/>
      <c r="F19" s="21"/>
      <c r="G19" s="110"/>
      <c r="H19" s="111"/>
      <c r="I19" s="107" t="str">
        <f t="shared" si="2"/>
        <v/>
      </c>
      <c r="J19" s="112" t="str">
        <f t="shared" si="3"/>
        <v/>
      </c>
      <c r="K19" s="113" t="str">
        <f>IF(B19="","Pending",IF(M19="","⚠️ Enter Code",IF(IFERROR(VLOOKUP(L19,DB_Agents!$B:$I,8,0),"")=M19,"Pending","🔒 BLOCKED — Wrong Code")))</f>
        <v>Pending</v>
      </c>
      <c r="L19" s="23"/>
      <c r="M19" s="84"/>
      <c r="N19" s="87"/>
    </row>
    <row r="20" spans="1:14" x14ac:dyDescent="0.25">
      <c r="A20" s="92" t="str">
        <f t="shared" si="0"/>
        <v/>
      </c>
      <c r="B20" s="88"/>
      <c r="C20" s="25" t="str">
        <f>IF(B20="","",IFERROR(VLOOKUP(B20,DB_Customers!$A:$D,4,0),"❌ Account Not Found"))</f>
        <v/>
      </c>
      <c r="D20" s="90" t="str">
        <f t="shared" ca="1" si="1"/>
        <v/>
      </c>
      <c r="E20" s="104"/>
      <c r="F20" s="25"/>
      <c r="G20" s="105"/>
      <c r="H20" s="106"/>
      <c r="I20" s="107" t="str">
        <f t="shared" si="2"/>
        <v/>
      </c>
      <c r="J20" s="108" t="str">
        <f t="shared" si="3"/>
        <v/>
      </c>
      <c r="K20" s="109" t="str">
        <f>IF(B20="","Pending",IF(M20="","⚠️ Enter Code",IF(IFERROR(VLOOKUP(L20,DB_Agents!$B:$I,8,0),"")=M20,"Pending","🔒 BLOCKED — Wrong Code")))</f>
        <v>Pending</v>
      </c>
      <c r="L20" s="27"/>
      <c r="M20" s="84"/>
      <c r="N20" s="94"/>
    </row>
    <row r="21" spans="1:14" x14ac:dyDescent="0.25">
      <c r="A21" s="85" t="str">
        <f t="shared" si="0"/>
        <v/>
      </c>
      <c r="B21" s="79"/>
      <c r="C21" s="21" t="str">
        <f>IF(B21="","",IFERROR(VLOOKUP(B21,DB_Customers!$A:$D,4,0),"❌ Account Not Found"))</f>
        <v/>
      </c>
      <c r="D21" s="81" t="str">
        <f t="shared" ca="1" si="1"/>
        <v/>
      </c>
      <c r="E21" s="104"/>
      <c r="F21" s="21"/>
      <c r="G21" s="110"/>
      <c r="H21" s="111"/>
      <c r="I21" s="107" t="str">
        <f t="shared" si="2"/>
        <v/>
      </c>
      <c r="J21" s="112" t="str">
        <f t="shared" si="3"/>
        <v/>
      </c>
      <c r="K21" s="113" t="str">
        <f>IF(B21="","Pending",IF(M21="","⚠️ Enter Code",IF(IFERROR(VLOOKUP(L21,DB_Agents!$B:$I,8,0),"")=M21,"Pending","🔒 BLOCKED — Wrong Code")))</f>
        <v>Pending</v>
      </c>
      <c r="L21" s="23"/>
      <c r="M21" s="84"/>
      <c r="N21" s="87"/>
    </row>
    <row r="22" spans="1:14" x14ac:dyDescent="0.25">
      <c r="A22" s="92" t="str">
        <f t="shared" si="0"/>
        <v/>
      </c>
      <c r="B22" s="88"/>
      <c r="C22" s="25" t="str">
        <f>IF(B22="","",IFERROR(VLOOKUP(B22,DB_Customers!$A:$D,4,0),"❌ Account Not Found"))</f>
        <v/>
      </c>
      <c r="D22" s="90" t="str">
        <f t="shared" ca="1" si="1"/>
        <v/>
      </c>
      <c r="E22" s="104"/>
      <c r="F22" s="25"/>
      <c r="G22" s="105"/>
      <c r="H22" s="106"/>
      <c r="I22" s="107" t="str">
        <f t="shared" si="2"/>
        <v/>
      </c>
      <c r="J22" s="108" t="str">
        <f t="shared" si="3"/>
        <v/>
      </c>
      <c r="K22" s="109" t="str">
        <f>IF(B22="","Pending",IF(M22="","⚠️ Enter Code",IF(IFERROR(VLOOKUP(L22,DB_Agents!$B:$I,8,0),"")=M22,"Pending","🔒 BLOCKED — Wrong Code")))</f>
        <v>Pending</v>
      </c>
      <c r="L22" s="27"/>
      <c r="M22" s="84"/>
      <c r="N22" s="94"/>
    </row>
    <row r="23" spans="1:14" x14ac:dyDescent="0.25">
      <c r="A23" s="85" t="str">
        <f t="shared" si="0"/>
        <v/>
      </c>
      <c r="B23" s="79"/>
      <c r="C23" s="21" t="str">
        <f>IF(B23="","",IFERROR(VLOOKUP(B23,DB_Customers!$A:$D,4,0),"❌ Account Not Found"))</f>
        <v/>
      </c>
      <c r="D23" s="81" t="str">
        <f t="shared" ca="1" si="1"/>
        <v/>
      </c>
      <c r="E23" s="104"/>
      <c r="F23" s="21"/>
      <c r="G23" s="110"/>
      <c r="H23" s="111"/>
      <c r="I23" s="107" t="str">
        <f t="shared" si="2"/>
        <v/>
      </c>
      <c r="J23" s="112" t="str">
        <f t="shared" si="3"/>
        <v/>
      </c>
      <c r="K23" s="113" t="str">
        <f>IF(B23="","Pending",IF(M23="","⚠️ Enter Code",IF(IFERROR(VLOOKUP(L23,DB_Agents!$B:$I,8,0),"")=M23,"Pending","🔒 BLOCKED — Wrong Code")))</f>
        <v>Pending</v>
      </c>
      <c r="L23" s="23"/>
      <c r="M23" s="84"/>
      <c r="N23" s="87"/>
    </row>
    <row r="24" spans="1:14" x14ac:dyDescent="0.25">
      <c r="A24" s="92" t="str">
        <f t="shared" si="0"/>
        <v/>
      </c>
      <c r="B24" s="88"/>
      <c r="C24" s="25" t="str">
        <f>IF(B24="","",IFERROR(VLOOKUP(B24,DB_Customers!$A:$D,4,0),"❌ Account Not Found"))</f>
        <v/>
      </c>
      <c r="D24" s="90" t="str">
        <f t="shared" ca="1" si="1"/>
        <v/>
      </c>
      <c r="E24" s="104"/>
      <c r="F24" s="25"/>
      <c r="G24" s="105"/>
      <c r="H24" s="106"/>
      <c r="I24" s="107" t="str">
        <f t="shared" si="2"/>
        <v/>
      </c>
      <c r="J24" s="108" t="str">
        <f t="shared" si="3"/>
        <v/>
      </c>
      <c r="K24" s="109" t="str">
        <f>IF(B24="","Pending",IF(M24="","⚠️ Enter Code",IF(IFERROR(VLOOKUP(L24,DB_Agents!$B:$I,8,0),"")=M24,"Pending","🔒 BLOCKED — Wrong Code")))</f>
        <v>Pending</v>
      </c>
      <c r="L24" s="27"/>
      <c r="M24" s="84"/>
      <c r="N24" s="94"/>
    </row>
    <row r="25" spans="1:14" x14ac:dyDescent="0.25">
      <c r="A25" s="85" t="str">
        <f t="shared" si="0"/>
        <v/>
      </c>
      <c r="B25" s="79"/>
      <c r="C25" s="21" t="str">
        <f>IF(B25="","",IFERROR(VLOOKUP(B25,DB_Customers!$A:$D,4,0),"❌ Account Not Found"))</f>
        <v/>
      </c>
      <c r="D25" s="81" t="str">
        <f t="shared" ca="1" si="1"/>
        <v/>
      </c>
      <c r="E25" s="104"/>
      <c r="F25" s="21"/>
      <c r="G25" s="110"/>
      <c r="H25" s="111"/>
      <c r="I25" s="107" t="str">
        <f t="shared" si="2"/>
        <v/>
      </c>
      <c r="J25" s="112" t="str">
        <f t="shared" si="3"/>
        <v/>
      </c>
      <c r="K25" s="113" t="str">
        <f>IF(B25="","Pending",IF(M25="","⚠️ Enter Code",IF(IFERROR(VLOOKUP(L25,DB_Agents!$B:$I,8,0),"")=M25,"Pending","🔒 BLOCKED — Wrong Code")))</f>
        <v>Pending</v>
      </c>
      <c r="L25" s="23"/>
      <c r="M25" s="84"/>
      <c r="N25" s="87"/>
    </row>
    <row r="26" spans="1:14" x14ac:dyDescent="0.25">
      <c r="A26" s="92" t="str">
        <f t="shared" si="0"/>
        <v/>
      </c>
      <c r="B26" s="88"/>
      <c r="C26" s="25" t="str">
        <f>IF(B26="","",IFERROR(VLOOKUP(B26,DB_Customers!$A:$D,4,0),"❌ Account Not Found"))</f>
        <v/>
      </c>
      <c r="D26" s="90" t="str">
        <f t="shared" ca="1" si="1"/>
        <v/>
      </c>
      <c r="E26" s="104"/>
      <c r="F26" s="25"/>
      <c r="G26" s="105"/>
      <c r="H26" s="106"/>
      <c r="I26" s="107" t="str">
        <f t="shared" si="2"/>
        <v/>
      </c>
      <c r="J26" s="108" t="str">
        <f t="shared" si="3"/>
        <v/>
      </c>
      <c r="K26" s="109" t="str">
        <f>IF(B26="","Pending",IF(M26="","⚠️ Enter Code",IF(IFERROR(VLOOKUP(L26,DB_Agents!$B:$I,8,0),"")=M26,"Pending","🔒 BLOCKED — Wrong Code")))</f>
        <v>Pending</v>
      </c>
      <c r="L26" s="27"/>
      <c r="M26" s="84"/>
      <c r="N26" s="94"/>
    </row>
    <row r="27" spans="1:14" x14ac:dyDescent="0.25">
      <c r="A27" s="85" t="str">
        <f t="shared" si="0"/>
        <v/>
      </c>
      <c r="B27" s="79"/>
      <c r="C27" s="21" t="str">
        <f>IF(B27="","",IFERROR(VLOOKUP(B27,DB_Customers!$A:$D,4,0),"❌ Account Not Found"))</f>
        <v/>
      </c>
      <c r="D27" s="81" t="str">
        <f t="shared" ca="1" si="1"/>
        <v/>
      </c>
      <c r="E27" s="104"/>
      <c r="F27" s="21"/>
      <c r="G27" s="110"/>
      <c r="H27" s="111"/>
      <c r="I27" s="107" t="str">
        <f t="shared" si="2"/>
        <v/>
      </c>
      <c r="J27" s="112" t="str">
        <f t="shared" si="3"/>
        <v/>
      </c>
      <c r="K27" s="113" t="str">
        <f>IF(B27="","Pending",IF(M27="","⚠️ Enter Code",IF(IFERROR(VLOOKUP(L27,DB_Agents!$B:$I,8,0),"")=M27,"Pending","🔒 BLOCKED — Wrong Code")))</f>
        <v>Pending</v>
      </c>
      <c r="L27" s="23"/>
      <c r="M27" s="84"/>
      <c r="N27" s="87"/>
    </row>
    <row r="28" spans="1:14" x14ac:dyDescent="0.25">
      <c r="A28" s="92" t="str">
        <f t="shared" si="0"/>
        <v/>
      </c>
      <c r="B28" s="88"/>
      <c r="C28" s="25" t="str">
        <f>IF(B28="","",IFERROR(VLOOKUP(B28,DB_Customers!$A:$D,4,0),"❌ Account Not Found"))</f>
        <v/>
      </c>
      <c r="D28" s="90" t="str">
        <f t="shared" ca="1" si="1"/>
        <v/>
      </c>
      <c r="E28" s="104"/>
      <c r="F28" s="25"/>
      <c r="G28" s="105"/>
      <c r="H28" s="106"/>
      <c r="I28" s="107" t="str">
        <f t="shared" si="2"/>
        <v/>
      </c>
      <c r="J28" s="108" t="str">
        <f t="shared" si="3"/>
        <v/>
      </c>
      <c r="K28" s="109" t="str">
        <f>IF(B28="","Pending",IF(M28="","⚠️ Enter Code",IF(IFERROR(VLOOKUP(L28,DB_Agents!$B:$I,8,0),"")=M28,"Pending","🔒 BLOCKED — Wrong Code")))</f>
        <v>Pending</v>
      </c>
      <c r="L28" s="27"/>
      <c r="M28" s="84"/>
      <c r="N28" s="94"/>
    </row>
    <row r="29" spans="1:14" x14ac:dyDescent="0.25">
      <c r="A29" s="85" t="str">
        <f t="shared" si="0"/>
        <v/>
      </c>
      <c r="B29" s="79"/>
      <c r="C29" s="21" t="str">
        <f>IF(B29="","",IFERROR(VLOOKUP(B29,DB_Customers!$A:$D,4,0),"❌ Account Not Found"))</f>
        <v/>
      </c>
      <c r="D29" s="81" t="str">
        <f t="shared" ca="1" si="1"/>
        <v/>
      </c>
      <c r="E29" s="104"/>
      <c r="F29" s="21"/>
      <c r="G29" s="110"/>
      <c r="H29" s="111"/>
      <c r="I29" s="107" t="str">
        <f t="shared" si="2"/>
        <v/>
      </c>
      <c r="J29" s="112" t="str">
        <f t="shared" si="3"/>
        <v/>
      </c>
      <c r="K29" s="113" t="str">
        <f>IF(B29="","Pending",IF(M29="","⚠️ Enter Code",IF(IFERROR(VLOOKUP(L29,DB_Agents!$B:$I,8,0),"")=M29,"Pending","🔒 BLOCKED — Wrong Code")))</f>
        <v>Pending</v>
      </c>
      <c r="L29" s="23"/>
      <c r="M29" s="84"/>
      <c r="N29" s="87"/>
    </row>
    <row r="30" spans="1:14" x14ac:dyDescent="0.25">
      <c r="A30" s="92" t="str">
        <f t="shared" si="0"/>
        <v/>
      </c>
      <c r="B30" s="88"/>
      <c r="C30" s="25" t="str">
        <f>IF(B30="","",IFERROR(VLOOKUP(B30,DB_Customers!$A:$D,4,0),"❌ Account Not Found"))</f>
        <v/>
      </c>
      <c r="D30" s="90" t="str">
        <f t="shared" ca="1" si="1"/>
        <v/>
      </c>
      <c r="E30" s="104"/>
      <c r="F30" s="25"/>
      <c r="G30" s="105"/>
      <c r="H30" s="106"/>
      <c r="I30" s="107" t="str">
        <f t="shared" si="2"/>
        <v/>
      </c>
      <c r="J30" s="108" t="str">
        <f t="shared" si="3"/>
        <v/>
      </c>
      <c r="K30" s="109" t="str">
        <f>IF(B30="","Pending",IF(M30="","⚠️ Enter Code",IF(IFERROR(VLOOKUP(L30,DB_Agents!$B:$I,8,0),"")=M30,"Pending","🔒 BLOCKED — Wrong Code")))</f>
        <v>Pending</v>
      </c>
      <c r="L30" s="27"/>
      <c r="M30" s="84"/>
      <c r="N30" s="94"/>
    </row>
    <row r="31" spans="1:14" x14ac:dyDescent="0.25">
      <c r="A31" s="85" t="str">
        <f t="shared" si="0"/>
        <v/>
      </c>
      <c r="B31" s="79"/>
      <c r="C31" s="21" t="str">
        <f>IF(B31="","",IFERROR(VLOOKUP(B31,DB_Customers!$A:$D,4,0),"❌ Account Not Found"))</f>
        <v/>
      </c>
      <c r="D31" s="81" t="str">
        <f t="shared" ca="1" si="1"/>
        <v/>
      </c>
      <c r="E31" s="104"/>
      <c r="F31" s="21"/>
      <c r="G31" s="110"/>
      <c r="H31" s="111"/>
      <c r="I31" s="107" t="str">
        <f t="shared" si="2"/>
        <v/>
      </c>
      <c r="J31" s="112" t="str">
        <f t="shared" si="3"/>
        <v/>
      </c>
      <c r="K31" s="113" t="str">
        <f>IF(B31="","Pending",IF(M31="","⚠️ Enter Code",IF(IFERROR(VLOOKUP(L31,DB_Agents!$B:$I,8,0),"")=M31,"Pending","🔒 BLOCKED — Wrong Code")))</f>
        <v>Pending</v>
      </c>
      <c r="L31" s="23"/>
      <c r="M31" s="84"/>
      <c r="N31" s="87"/>
    </row>
    <row r="32" spans="1:14" x14ac:dyDescent="0.25">
      <c r="A32" s="92" t="str">
        <f t="shared" si="0"/>
        <v/>
      </c>
      <c r="B32" s="88"/>
      <c r="C32" s="25" t="str">
        <f>IF(B32="","",IFERROR(VLOOKUP(B32,DB_Customers!$A:$D,4,0),"❌ Account Not Found"))</f>
        <v/>
      </c>
      <c r="D32" s="90" t="str">
        <f t="shared" ca="1" si="1"/>
        <v/>
      </c>
      <c r="E32" s="104"/>
      <c r="F32" s="25"/>
      <c r="G32" s="105"/>
      <c r="H32" s="106"/>
      <c r="I32" s="107" t="str">
        <f t="shared" si="2"/>
        <v/>
      </c>
      <c r="J32" s="108" t="str">
        <f t="shared" si="3"/>
        <v/>
      </c>
      <c r="K32" s="109" t="str">
        <f>IF(B32="","Pending",IF(M32="","⚠️ Enter Code",IF(IFERROR(VLOOKUP(L32,DB_Agents!$B:$I,8,0),"")=M32,"Pending","🔒 BLOCKED — Wrong Code")))</f>
        <v>Pending</v>
      </c>
      <c r="L32" s="27"/>
      <c r="M32" s="84"/>
      <c r="N32" s="94"/>
    </row>
    <row r="33" spans="1:14" x14ac:dyDescent="0.25">
      <c r="A33" s="85" t="str">
        <f t="shared" si="0"/>
        <v/>
      </c>
      <c r="B33" s="79"/>
      <c r="C33" s="21" t="str">
        <f>IF(B33="","",IFERROR(VLOOKUP(B33,DB_Customers!$A:$D,4,0),"❌ Account Not Found"))</f>
        <v/>
      </c>
      <c r="D33" s="81" t="str">
        <f t="shared" ca="1" si="1"/>
        <v/>
      </c>
      <c r="E33" s="104"/>
      <c r="F33" s="21"/>
      <c r="G33" s="110"/>
      <c r="H33" s="111"/>
      <c r="I33" s="107" t="str">
        <f t="shared" si="2"/>
        <v/>
      </c>
      <c r="J33" s="112" t="str">
        <f t="shared" si="3"/>
        <v/>
      </c>
      <c r="K33" s="113" t="str">
        <f>IF(B33="","Pending",IF(M33="","⚠️ Enter Code",IF(IFERROR(VLOOKUP(L33,DB_Agents!$B:$I,8,0),"")=M33,"Pending","🔒 BLOCKED — Wrong Code")))</f>
        <v>Pending</v>
      </c>
      <c r="L33" s="23"/>
      <c r="M33" s="84"/>
      <c r="N33" s="87"/>
    </row>
    <row r="34" spans="1:14" x14ac:dyDescent="0.25">
      <c r="A34" s="92" t="str">
        <f t="shared" si="0"/>
        <v/>
      </c>
      <c r="B34" s="88"/>
      <c r="C34" s="25" t="str">
        <f>IF(B34="","",IFERROR(VLOOKUP(B34,DB_Customers!$A:$D,4,0),"❌ Account Not Found"))</f>
        <v/>
      </c>
      <c r="D34" s="90" t="str">
        <f t="shared" ca="1" si="1"/>
        <v/>
      </c>
      <c r="E34" s="104"/>
      <c r="F34" s="25"/>
      <c r="G34" s="105"/>
      <c r="H34" s="106"/>
      <c r="I34" s="107" t="str">
        <f t="shared" si="2"/>
        <v/>
      </c>
      <c r="J34" s="108" t="str">
        <f t="shared" si="3"/>
        <v/>
      </c>
      <c r="K34" s="109" t="str">
        <f>IF(B34="","Pending",IF(M34="","⚠️ Enter Code",IF(IFERROR(VLOOKUP(L34,DB_Agents!$B:$I,8,0),"")=M34,"Pending","🔒 BLOCKED — Wrong Code")))</f>
        <v>Pending</v>
      </c>
      <c r="L34" s="27"/>
      <c r="M34" s="84"/>
      <c r="N34" s="94"/>
    </row>
    <row r="35" spans="1:14" x14ac:dyDescent="0.25">
      <c r="A35" s="85" t="str">
        <f t="shared" si="0"/>
        <v/>
      </c>
      <c r="B35" s="79"/>
      <c r="C35" s="21" t="str">
        <f>IF(B35="","",IFERROR(VLOOKUP(B35,DB_Customers!$A:$D,4,0),"❌ Account Not Found"))</f>
        <v/>
      </c>
      <c r="D35" s="81" t="str">
        <f t="shared" ca="1" si="1"/>
        <v/>
      </c>
      <c r="E35" s="104"/>
      <c r="F35" s="21"/>
      <c r="G35" s="110"/>
      <c r="H35" s="111"/>
      <c r="I35" s="107" t="str">
        <f t="shared" si="2"/>
        <v/>
      </c>
      <c r="J35" s="112" t="str">
        <f t="shared" si="3"/>
        <v/>
      </c>
      <c r="K35" s="113" t="str">
        <f>IF(B35="","Pending",IF(M35="","⚠️ Enter Code",IF(IFERROR(VLOOKUP(L35,DB_Agents!$B:$I,8,0),"")=M35,"Pending","🔒 BLOCKED — Wrong Code")))</f>
        <v>Pending</v>
      </c>
      <c r="L35" s="23"/>
      <c r="M35" s="84"/>
      <c r="N35" s="87"/>
    </row>
    <row r="36" spans="1:14" x14ac:dyDescent="0.25">
      <c r="A36" s="92" t="str">
        <f t="shared" si="0"/>
        <v/>
      </c>
      <c r="B36" s="88"/>
      <c r="C36" s="25" t="str">
        <f>IF(B36="","",IFERROR(VLOOKUP(B36,DB_Customers!$A:$D,4,0),"❌ Account Not Found"))</f>
        <v/>
      </c>
      <c r="D36" s="90" t="str">
        <f t="shared" ca="1" si="1"/>
        <v/>
      </c>
      <c r="E36" s="104"/>
      <c r="F36" s="25"/>
      <c r="G36" s="105"/>
      <c r="H36" s="106"/>
      <c r="I36" s="107" t="str">
        <f t="shared" si="2"/>
        <v/>
      </c>
      <c r="J36" s="108" t="str">
        <f t="shared" si="3"/>
        <v/>
      </c>
      <c r="K36" s="109" t="str">
        <f>IF(B36="","Pending",IF(M36="","⚠️ Enter Code",IF(IFERROR(VLOOKUP(L36,DB_Agents!$B:$I,8,0),"")=M36,"Pending","🔒 BLOCKED — Wrong Code")))</f>
        <v>Pending</v>
      </c>
      <c r="L36" s="27"/>
      <c r="M36" s="84"/>
      <c r="N36" s="94"/>
    </row>
    <row r="37" spans="1:14" x14ac:dyDescent="0.25">
      <c r="A37" s="85" t="str">
        <f t="shared" si="0"/>
        <v/>
      </c>
      <c r="B37" s="79"/>
      <c r="C37" s="21" t="str">
        <f>IF(B37="","",IFERROR(VLOOKUP(B37,DB_Customers!$A:$D,4,0),"❌ Account Not Found"))</f>
        <v/>
      </c>
      <c r="D37" s="81" t="str">
        <f t="shared" ca="1" si="1"/>
        <v/>
      </c>
      <c r="E37" s="104"/>
      <c r="F37" s="21"/>
      <c r="G37" s="110"/>
      <c r="H37" s="111"/>
      <c r="I37" s="107" t="str">
        <f t="shared" si="2"/>
        <v/>
      </c>
      <c r="J37" s="112" t="str">
        <f t="shared" si="3"/>
        <v/>
      </c>
      <c r="K37" s="113" t="str">
        <f>IF(B37="","Pending",IF(M37="","⚠️ Enter Code",IF(IFERROR(VLOOKUP(L37,DB_Agents!$B:$I,8,0),"")=M37,"Pending","🔒 BLOCKED — Wrong Code")))</f>
        <v>Pending</v>
      </c>
      <c r="L37" s="23"/>
      <c r="M37" s="84"/>
      <c r="N37" s="87"/>
    </row>
    <row r="38" spans="1:14" x14ac:dyDescent="0.25">
      <c r="A38" s="92" t="str">
        <f t="shared" si="0"/>
        <v/>
      </c>
      <c r="B38" s="88"/>
      <c r="C38" s="25" t="str">
        <f>IF(B38="","",IFERROR(VLOOKUP(B38,DB_Customers!$A:$D,4,0),"❌ Account Not Found"))</f>
        <v/>
      </c>
      <c r="D38" s="90" t="str">
        <f t="shared" ca="1" si="1"/>
        <v/>
      </c>
      <c r="E38" s="104"/>
      <c r="F38" s="25"/>
      <c r="G38" s="105"/>
      <c r="H38" s="106"/>
      <c r="I38" s="107" t="str">
        <f t="shared" si="2"/>
        <v/>
      </c>
      <c r="J38" s="108" t="str">
        <f t="shared" si="3"/>
        <v/>
      </c>
      <c r="K38" s="109" t="str">
        <f>IF(B38="","Pending",IF(M38="","⚠️ Enter Code",IF(IFERROR(VLOOKUP(L38,DB_Agents!$B:$I,8,0),"")=M38,"Pending","🔒 BLOCKED — Wrong Code")))</f>
        <v>Pending</v>
      </c>
      <c r="L38" s="27"/>
      <c r="M38" s="84"/>
      <c r="N38" s="94"/>
    </row>
    <row r="39" spans="1:14" x14ac:dyDescent="0.25">
      <c r="A39" s="85" t="str">
        <f t="shared" si="0"/>
        <v/>
      </c>
      <c r="B39" s="79"/>
      <c r="C39" s="21" t="str">
        <f>IF(B39="","",IFERROR(VLOOKUP(B39,DB_Customers!$A:$D,4,0),"❌ Account Not Found"))</f>
        <v/>
      </c>
      <c r="D39" s="81" t="str">
        <f t="shared" ca="1" si="1"/>
        <v/>
      </c>
      <c r="E39" s="104"/>
      <c r="F39" s="21"/>
      <c r="G39" s="110"/>
      <c r="H39" s="111"/>
      <c r="I39" s="107" t="str">
        <f t="shared" si="2"/>
        <v/>
      </c>
      <c r="J39" s="112" t="str">
        <f t="shared" si="3"/>
        <v/>
      </c>
      <c r="K39" s="113" t="str">
        <f>IF(B39="","Pending",IF(M39="","⚠️ Enter Code",IF(IFERROR(VLOOKUP(L39,DB_Agents!$B:$I,8,0),"")=M39,"Pending","🔒 BLOCKED — Wrong Code")))</f>
        <v>Pending</v>
      </c>
      <c r="L39" s="23"/>
      <c r="M39" s="84"/>
      <c r="N39" s="87"/>
    </row>
    <row r="40" spans="1:14" x14ac:dyDescent="0.25">
      <c r="A40" s="92" t="str">
        <f t="shared" si="0"/>
        <v/>
      </c>
      <c r="B40" s="88"/>
      <c r="C40" s="25" t="str">
        <f>IF(B40="","",IFERROR(VLOOKUP(B40,DB_Customers!$A:$D,4,0),"❌ Account Not Found"))</f>
        <v/>
      </c>
      <c r="D40" s="90" t="str">
        <f t="shared" ca="1" si="1"/>
        <v/>
      </c>
      <c r="E40" s="104"/>
      <c r="F40" s="25"/>
      <c r="G40" s="105"/>
      <c r="H40" s="106"/>
      <c r="I40" s="107" t="str">
        <f t="shared" si="2"/>
        <v/>
      </c>
      <c r="J40" s="108" t="str">
        <f t="shared" si="3"/>
        <v/>
      </c>
      <c r="K40" s="109" t="str">
        <f>IF(B40="","Pending",IF(M40="","⚠️ Enter Code",IF(IFERROR(VLOOKUP(L40,DB_Agents!$B:$I,8,0),"")=M40,"Pending","🔒 BLOCKED — Wrong Code")))</f>
        <v>Pending</v>
      </c>
      <c r="L40" s="27"/>
      <c r="M40" s="84"/>
      <c r="N40" s="94"/>
    </row>
    <row r="41" spans="1:14" x14ac:dyDescent="0.25">
      <c r="A41" s="85" t="str">
        <f t="shared" si="0"/>
        <v/>
      </c>
      <c r="B41" s="79"/>
      <c r="C41" s="21" t="str">
        <f>IF(B41="","",IFERROR(VLOOKUP(B41,DB_Customers!$A:$D,4,0),"❌ Account Not Found"))</f>
        <v/>
      </c>
      <c r="D41" s="81" t="str">
        <f t="shared" ca="1" si="1"/>
        <v/>
      </c>
      <c r="E41" s="104"/>
      <c r="F41" s="21"/>
      <c r="G41" s="110"/>
      <c r="H41" s="111"/>
      <c r="I41" s="107" t="str">
        <f t="shared" si="2"/>
        <v/>
      </c>
      <c r="J41" s="112" t="str">
        <f t="shared" si="3"/>
        <v/>
      </c>
      <c r="K41" s="113" t="str">
        <f>IF(B41="","Pending",IF(M41="","⚠️ Enter Code",IF(IFERROR(VLOOKUP(L41,DB_Agents!$B:$I,8,0),"")=M41,"Pending","🔒 BLOCKED — Wrong Code")))</f>
        <v>Pending</v>
      </c>
      <c r="L41" s="23"/>
      <c r="M41" s="84"/>
      <c r="N41" s="87"/>
    </row>
    <row r="42" spans="1:14" x14ac:dyDescent="0.25">
      <c r="A42" s="92" t="str">
        <f t="shared" si="0"/>
        <v/>
      </c>
      <c r="B42" s="88"/>
      <c r="C42" s="25" t="str">
        <f>IF(B42="","",IFERROR(VLOOKUP(B42,DB_Customers!$A:$D,4,0),"❌ Account Not Found"))</f>
        <v/>
      </c>
      <c r="D42" s="90" t="str">
        <f t="shared" ca="1" si="1"/>
        <v/>
      </c>
      <c r="E42" s="104"/>
      <c r="F42" s="25"/>
      <c r="G42" s="105"/>
      <c r="H42" s="106"/>
      <c r="I42" s="107" t="str">
        <f t="shared" si="2"/>
        <v/>
      </c>
      <c r="J42" s="108" t="str">
        <f t="shared" si="3"/>
        <v/>
      </c>
      <c r="K42" s="109" t="str">
        <f>IF(B42="","Pending",IF(M42="","⚠️ Enter Code",IF(IFERROR(VLOOKUP(L42,DB_Agents!$B:$I,8,0),"")=M42,"Pending","🔒 BLOCKED — Wrong Code")))</f>
        <v>Pending</v>
      </c>
      <c r="L42" s="27"/>
      <c r="M42" s="84"/>
      <c r="N42" s="94"/>
    </row>
    <row r="43" spans="1:14" x14ac:dyDescent="0.25">
      <c r="A43" s="85" t="str">
        <f t="shared" si="0"/>
        <v/>
      </c>
      <c r="B43" s="79"/>
      <c r="C43" s="21" t="str">
        <f>IF(B43="","",IFERROR(VLOOKUP(B43,DB_Customers!$A:$D,4,0),"❌ Account Not Found"))</f>
        <v/>
      </c>
      <c r="D43" s="81" t="str">
        <f t="shared" ca="1" si="1"/>
        <v/>
      </c>
      <c r="E43" s="104"/>
      <c r="F43" s="21"/>
      <c r="G43" s="110"/>
      <c r="H43" s="111"/>
      <c r="I43" s="107" t="str">
        <f t="shared" si="2"/>
        <v/>
      </c>
      <c r="J43" s="112" t="str">
        <f t="shared" si="3"/>
        <v/>
      </c>
      <c r="K43" s="113" t="str">
        <f>IF(B43="","Pending",IF(M43="","⚠️ Enter Code",IF(IFERROR(VLOOKUP(L43,DB_Agents!$B:$I,8,0),"")=M43,"Pending","🔒 BLOCKED — Wrong Code")))</f>
        <v>Pending</v>
      </c>
      <c r="L43" s="23"/>
      <c r="M43" s="84"/>
      <c r="N43" s="87"/>
    </row>
    <row r="44" spans="1:14" x14ac:dyDescent="0.25">
      <c r="A44" s="92" t="str">
        <f t="shared" si="0"/>
        <v/>
      </c>
      <c r="B44" s="88"/>
      <c r="C44" s="25" t="str">
        <f>IF(B44="","",IFERROR(VLOOKUP(B44,DB_Customers!$A:$D,4,0),"❌ Account Not Found"))</f>
        <v/>
      </c>
      <c r="D44" s="90" t="str">
        <f t="shared" ca="1" si="1"/>
        <v/>
      </c>
      <c r="E44" s="104"/>
      <c r="F44" s="25"/>
      <c r="G44" s="105"/>
      <c r="H44" s="106"/>
      <c r="I44" s="107" t="str">
        <f t="shared" si="2"/>
        <v/>
      </c>
      <c r="J44" s="108" t="str">
        <f t="shared" si="3"/>
        <v/>
      </c>
      <c r="K44" s="109" t="str">
        <f>IF(B44="","Pending",IF(M44="","⚠️ Enter Code",IF(IFERROR(VLOOKUP(L44,DB_Agents!$B:$I,8,0),"")=M44,"Pending","🔒 BLOCKED — Wrong Code")))</f>
        <v>Pending</v>
      </c>
      <c r="L44" s="27"/>
      <c r="M44" s="84"/>
      <c r="N44" s="94"/>
    </row>
    <row r="45" spans="1:14" x14ac:dyDescent="0.25">
      <c r="A45" s="85" t="str">
        <f t="shared" si="0"/>
        <v/>
      </c>
      <c r="B45" s="79"/>
      <c r="C45" s="21" t="str">
        <f>IF(B45="","",IFERROR(VLOOKUP(B45,DB_Customers!$A:$D,4,0),"❌ Account Not Found"))</f>
        <v/>
      </c>
      <c r="D45" s="81" t="str">
        <f t="shared" ca="1" si="1"/>
        <v/>
      </c>
      <c r="E45" s="104"/>
      <c r="F45" s="21"/>
      <c r="G45" s="110"/>
      <c r="H45" s="111"/>
      <c r="I45" s="107" t="str">
        <f t="shared" si="2"/>
        <v/>
      </c>
      <c r="J45" s="112" t="str">
        <f t="shared" si="3"/>
        <v/>
      </c>
      <c r="K45" s="113" t="str">
        <f>IF(B45="","Pending",IF(M45="","⚠️ Enter Code",IF(IFERROR(VLOOKUP(L45,DB_Agents!$B:$I,8,0),"")=M45,"Pending","🔒 BLOCKED — Wrong Code")))</f>
        <v>Pending</v>
      </c>
      <c r="L45" s="23"/>
      <c r="M45" s="84"/>
      <c r="N45" s="87"/>
    </row>
    <row r="46" spans="1:14" x14ac:dyDescent="0.25">
      <c r="A46" s="92" t="str">
        <f t="shared" ref="A46:A77" si="4">IF(B46="","",IF(C46="❌ Account Not Found","INVALID","LN"&amp;TEXT(D46,"YYYYMMDD")&amp;TEXT(ROW()-13,"0000")))</f>
        <v/>
      </c>
      <c r="B46" s="88"/>
      <c r="C46" s="25" t="str">
        <f>IF(B46="","",IFERROR(VLOOKUP(B46,DB_Customers!$A:$D,4,0),"❌ Account Not Found"))</f>
        <v/>
      </c>
      <c r="D46" s="90" t="str">
        <f t="shared" ref="D46:D77" ca="1" si="5">IF(B46="","",TODAY())</f>
        <v/>
      </c>
      <c r="E46" s="104"/>
      <c r="F46" s="25"/>
      <c r="G46" s="105"/>
      <c r="H46" s="106"/>
      <c r="I46" s="107" t="str">
        <f t="shared" ref="I46:I77" si="6">IF(E46="","",E46+(E46*H46/100*G46))</f>
        <v/>
      </c>
      <c r="J46" s="108" t="str">
        <f t="shared" ref="J46:J77" si="7">IFERROR(I46/G46,"")</f>
        <v/>
      </c>
      <c r="K46" s="109" t="str">
        <f>IF(B46="","Pending",IF(M46="","⚠️ Enter Code",IF(IFERROR(VLOOKUP(L46,DB_Agents!$B:$I,8,0),"")=M46,"Pending","🔒 BLOCKED — Wrong Code")))</f>
        <v>Pending</v>
      </c>
      <c r="L46" s="27"/>
      <c r="M46" s="84"/>
      <c r="N46" s="94"/>
    </row>
    <row r="47" spans="1:14" x14ac:dyDescent="0.25">
      <c r="A47" s="85" t="str">
        <f t="shared" si="4"/>
        <v/>
      </c>
      <c r="B47" s="79"/>
      <c r="C47" s="21" t="str">
        <f>IF(B47="","",IFERROR(VLOOKUP(B47,DB_Customers!$A:$D,4,0),"❌ Account Not Found"))</f>
        <v/>
      </c>
      <c r="D47" s="81" t="str">
        <f t="shared" ca="1" si="5"/>
        <v/>
      </c>
      <c r="E47" s="104"/>
      <c r="F47" s="21"/>
      <c r="G47" s="110"/>
      <c r="H47" s="111"/>
      <c r="I47" s="107" t="str">
        <f t="shared" si="6"/>
        <v/>
      </c>
      <c r="J47" s="112" t="str">
        <f t="shared" si="7"/>
        <v/>
      </c>
      <c r="K47" s="113" t="str">
        <f>IF(B47="","Pending",IF(M47="","⚠️ Enter Code",IF(IFERROR(VLOOKUP(L47,DB_Agents!$B:$I,8,0),"")=M47,"Pending","🔒 BLOCKED — Wrong Code")))</f>
        <v>Pending</v>
      </c>
      <c r="L47" s="23"/>
      <c r="M47" s="84"/>
      <c r="N47" s="87"/>
    </row>
    <row r="48" spans="1:14" x14ac:dyDescent="0.25">
      <c r="A48" s="92" t="str">
        <f t="shared" si="4"/>
        <v/>
      </c>
      <c r="B48" s="88"/>
      <c r="C48" s="25" t="str">
        <f>IF(B48="","",IFERROR(VLOOKUP(B48,DB_Customers!$A:$D,4,0),"❌ Account Not Found"))</f>
        <v/>
      </c>
      <c r="D48" s="90" t="str">
        <f t="shared" ca="1" si="5"/>
        <v/>
      </c>
      <c r="E48" s="104"/>
      <c r="F48" s="25"/>
      <c r="G48" s="105"/>
      <c r="H48" s="106"/>
      <c r="I48" s="107" t="str">
        <f t="shared" si="6"/>
        <v/>
      </c>
      <c r="J48" s="108" t="str">
        <f t="shared" si="7"/>
        <v/>
      </c>
      <c r="K48" s="109" t="str">
        <f>IF(B48="","Pending",IF(M48="","⚠️ Enter Code",IF(IFERROR(VLOOKUP(L48,DB_Agents!$B:$I,8,0),"")=M48,"Pending","🔒 BLOCKED — Wrong Code")))</f>
        <v>Pending</v>
      </c>
      <c r="L48" s="27"/>
      <c r="M48" s="84"/>
      <c r="N48" s="94"/>
    </row>
    <row r="49" spans="1:14" x14ac:dyDescent="0.25">
      <c r="A49" s="85" t="str">
        <f t="shared" si="4"/>
        <v/>
      </c>
      <c r="B49" s="79"/>
      <c r="C49" s="21" t="str">
        <f>IF(B49="","",IFERROR(VLOOKUP(B49,DB_Customers!$A:$D,4,0),"❌ Account Not Found"))</f>
        <v/>
      </c>
      <c r="D49" s="81" t="str">
        <f t="shared" ca="1" si="5"/>
        <v/>
      </c>
      <c r="E49" s="104"/>
      <c r="F49" s="21"/>
      <c r="G49" s="110"/>
      <c r="H49" s="111"/>
      <c r="I49" s="107" t="str">
        <f t="shared" si="6"/>
        <v/>
      </c>
      <c r="J49" s="112" t="str">
        <f t="shared" si="7"/>
        <v/>
      </c>
      <c r="K49" s="113" t="str">
        <f>IF(B49="","Pending",IF(M49="","⚠️ Enter Code",IF(IFERROR(VLOOKUP(L49,DB_Agents!$B:$I,8,0),"")=M49,"Pending","🔒 BLOCKED — Wrong Code")))</f>
        <v>Pending</v>
      </c>
      <c r="L49" s="23"/>
      <c r="M49" s="84"/>
      <c r="N49" s="87"/>
    </row>
    <row r="50" spans="1:14" x14ac:dyDescent="0.25">
      <c r="A50" s="92" t="str">
        <f t="shared" si="4"/>
        <v/>
      </c>
      <c r="B50" s="88"/>
      <c r="C50" s="25" t="str">
        <f>IF(B50="","",IFERROR(VLOOKUP(B50,DB_Customers!$A:$D,4,0),"❌ Account Not Found"))</f>
        <v/>
      </c>
      <c r="D50" s="90" t="str">
        <f t="shared" ca="1" si="5"/>
        <v/>
      </c>
      <c r="E50" s="104"/>
      <c r="F50" s="25"/>
      <c r="G50" s="105"/>
      <c r="H50" s="106"/>
      <c r="I50" s="107" t="str">
        <f t="shared" si="6"/>
        <v/>
      </c>
      <c r="J50" s="108" t="str">
        <f t="shared" si="7"/>
        <v/>
      </c>
      <c r="K50" s="109" t="str">
        <f>IF(B50="","Pending",IF(M50="","⚠️ Enter Code",IF(IFERROR(VLOOKUP(L50,DB_Agents!$B:$I,8,0),"")=M50,"Pending","🔒 BLOCKED — Wrong Code")))</f>
        <v>Pending</v>
      </c>
      <c r="L50" s="27"/>
      <c r="M50" s="84"/>
      <c r="N50" s="94"/>
    </row>
    <row r="51" spans="1:14" x14ac:dyDescent="0.25">
      <c r="A51" s="85" t="str">
        <f t="shared" si="4"/>
        <v/>
      </c>
      <c r="B51" s="79"/>
      <c r="C51" s="21" t="str">
        <f>IF(B51="","",IFERROR(VLOOKUP(B51,DB_Customers!$A:$D,4,0),"❌ Account Not Found"))</f>
        <v/>
      </c>
      <c r="D51" s="81" t="str">
        <f t="shared" ca="1" si="5"/>
        <v/>
      </c>
      <c r="E51" s="104"/>
      <c r="F51" s="21"/>
      <c r="G51" s="110"/>
      <c r="H51" s="111"/>
      <c r="I51" s="107" t="str">
        <f t="shared" si="6"/>
        <v/>
      </c>
      <c r="J51" s="112" t="str">
        <f t="shared" si="7"/>
        <v/>
      </c>
      <c r="K51" s="113" t="str">
        <f>IF(B51="","Pending",IF(M51="","⚠️ Enter Code",IF(IFERROR(VLOOKUP(L51,DB_Agents!$B:$I,8,0),"")=M51,"Pending","🔒 BLOCKED — Wrong Code")))</f>
        <v>Pending</v>
      </c>
      <c r="L51" s="23"/>
      <c r="M51" s="84"/>
      <c r="N51" s="87"/>
    </row>
    <row r="52" spans="1:14" x14ac:dyDescent="0.25">
      <c r="A52" s="92" t="str">
        <f t="shared" si="4"/>
        <v/>
      </c>
      <c r="B52" s="88"/>
      <c r="C52" s="25" t="str">
        <f>IF(B52="","",IFERROR(VLOOKUP(B52,DB_Customers!$A:$D,4,0),"❌ Account Not Found"))</f>
        <v/>
      </c>
      <c r="D52" s="90" t="str">
        <f t="shared" ca="1" si="5"/>
        <v/>
      </c>
      <c r="E52" s="104"/>
      <c r="F52" s="25"/>
      <c r="G52" s="105"/>
      <c r="H52" s="106"/>
      <c r="I52" s="107" t="str">
        <f t="shared" si="6"/>
        <v/>
      </c>
      <c r="J52" s="108" t="str">
        <f t="shared" si="7"/>
        <v/>
      </c>
      <c r="K52" s="109" t="str">
        <f>IF(B52="","Pending",IF(M52="","⚠️ Enter Code",IF(IFERROR(VLOOKUP(L52,DB_Agents!$B:$I,8,0),"")=M52,"Pending","🔒 BLOCKED — Wrong Code")))</f>
        <v>Pending</v>
      </c>
      <c r="L52" s="27"/>
      <c r="M52" s="84"/>
      <c r="N52" s="94"/>
    </row>
    <row r="53" spans="1:14" x14ac:dyDescent="0.25">
      <c r="A53" s="85" t="str">
        <f t="shared" si="4"/>
        <v/>
      </c>
      <c r="B53" s="79"/>
      <c r="C53" s="21" t="str">
        <f>IF(B53="","",IFERROR(VLOOKUP(B53,DB_Customers!$A:$D,4,0),"❌ Account Not Found"))</f>
        <v/>
      </c>
      <c r="D53" s="81" t="str">
        <f t="shared" ca="1" si="5"/>
        <v/>
      </c>
      <c r="E53" s="104"/>
      <c r="F53" s="21"/>
      <c r="G53" s="110"/>
      <c r="H53" s="111"/>
      <c r="I53" s="107" t="str">
        <f t="shared" si="6"/>
        <v/>
      </c>
      <c r="J53" s="112" t="str">
        <f t="shared" si="7"/>
        <v/>
      </c>
      <c r="K53" s="113" t="str">
        <f>IF(B53="","Pending",IF(M53="","⚠️ Enter Code",IF(IFERROR(VLOOKUP(L53,DB_Agents!$B:$I,8,0),"")=M53,"Pending","🔒 BLOCKED — Wrong Code")))</f>
        <v>Pending</v>
      </c>
      <c r="L53" s="23"/>
      <c r="M53" s="84"/>
      <c r="N53" s="87"/>
    </row>
    <row r="54" spans="1:14" x14ac:dyDescent="0.25">
      <c r="A54" s="92" t="str">
        <f t="shared" si="4"/>
        <v/>
      </c>
      <c r="B54" s="88"/>
      <c r="C54" s="25" t="str">
        <f>IF(B54="","",IFERROR(VLOOKUP(B54,DB_Customers!$A:$D,4,0),"❌ Account Not Found"))</f>
        <v/>
      </c>
      <c r="D54" s="90" t="str">
        <f t="shared" ca="1" si="5"/>
        <v/>
      </c>
      <c r="E54" s="104"/>
      <c r="F54" s="25"/>
      <c r="G54" s="105"/>
      <c r="H54" s="106"/>
      <c r="I54" s="107" t="str">
        <f t="shared" si="6"/>
        <v/>
      </c>
      <c r="J54" s="108" t="str">
        <f t="shared" si="7"/>
        <v/>
      </c>
      <c r="K54" s="109" t="str">
        <f>IF(B54="","Pending",IF(M54="","⚠️ Enter Code",IF(IFERROR(VLOOKUP(L54,DB_Agents!$B:$I,8,0),"")=M54,"Pending","🔒 BLOCKED — Wrong Code")))</f>
        <v>Pending</v>
      </c>
      <c r="L54" s="27"/>
      <c r="M54" s="84"/>
      <c r="N54" s="94"/>
    </row>
    <row r="55" spans="1:14" x14ac:dyDescent="0.25">
      <c r="A55" s="85" t="str">
        <f t="shared" si="4"/>
        <v/>
      </c>
      <c r="B55" s="79"/>
      <c r="C55" s="21" t="str">
        <f>IF(B55="","",IFERROR(VLOOKUP(B55,DB_Customers!$A:$D,4,0),"❌ Account Not Found"))</f>
        <v/>
      </c>
      <c r="D55" s="81" t="str">
        <f t="shared" ca="1" si="5"/>
        <v/>
      </c>
      <c r="E55" s="104"/>
      <c r="F55" s="21"/>
      <c r="G55" s="110"/>
      <c r="H55" s="111"/>
      <c r="I55" s="107" t="str">
        <f t="shared" si="6"/>
        <v/>
      </c>
      <c r="J55" s="112" t="str">
        <f t="shared" si="7"/>
        <v/>
      </c>
      <c r="K55" s="113" t="str">
        <f>IF(B55="","Pending",IF(M55="","⚠️ Enter Code",IF(IFERROR(VLOOKUP(L55,DB_Agents!$B:$I,8,0),"")=M55,"Pending","🔒 BLOCKED — Wrong Code")))</f>
        <v>Pending</v>
      </c>
      <c r="L55" s="23"/>
      <c r="M55" s="84"/>
      <c r="N55" s="87"/>
    </row>
    <row r="56" spans="1:14" x14ac:dyDescent="0.25">
      <c r="A56" s="92" t="str">
        <f t="shared" si="4"/>
        <v/>
      </c>
      <c r="B56" s="88"/>
      <c r="C56" s="25" t="str">
        <f>IF(B56="","",IFERROR(VLOOKUP(B56,DB_Customers!$A:$D,4,0),"❌ Account Not Found"))</f>
        <v/>
      </c>
      <c r="D56" s="90" t="str">
        <f t="shared" ca="1" si="5"/>
        <v/>
      </c>
      <c r="E56" s="104"/>
      <c r="F56" s="25"/>
      <c r="G56" s="105"/>
      <c r="H56" s="106"/>
      <c r="I56" s="107" t="str">
        <f t="shared" si="6"/>
        <v/>
      </c>
      <c r="J56" s="108" t="str">
        <f t="shared" si="7"/>
        <v/>
      </c>
      <c r="K56" s="109" t="str">
        <f>IF(B56="","Pending",IF(M56="","⚠️ Enter Code",IF(IFERROR(VLOOKUP(L56,DB_Agents!$B:$I,8,0),"")=M56,"Pending","🔒 BLOCKED — Wrong Code")))</f>
        <v>Pending</v>
      </c>
      <c r="L56" s="27"/>
      <c r="M56" s="84"/>
      <c r="N56" s="94"/>
    </row>
    <row r="57" spans="1:14" x14ac:dyDescent="0.25">
      <c r="A57" s="85" t="str">
        <f t="shared" si="4"/>
        <v/>
      </c>
      <c r="B57" s="79"/>
      <c r="C57" s="21" t="str">
        <f>IF(B57="","",IFERROR(VLOOKUP(B57,DB_Customers!$A:$D,4,0),"❌ Account Not Found"))</f>
        <v/>
      </c>
      <c r="D57" s="81" t="str">
        <f t="shared" ca="1" si="5"/>
        <v/>
      </c>
      <c r="E57" s="104"/>
      <c r="F57" s="21"/>
      <c r="G57" s="110"/>
      <c r="H57" s="111"/>
      <c r="I57" s="107" t="str">
        <f t="shared" si="6"/>
        <v/>
      </c>
      <c r="J57" s="112" t="str">
        <f t="shared" si="7"/>
        <v/>
      </c>
      <c r="K57" s="113" t="str">
        <f>IF(B57="","Pending",IF(M57="","⚠️ Enter Code",IF(IFERROR(VLOOKUP(L57,DB_Agents!$B:$I,8,0),"")=M57,"Pending","🔒 BLOCKED — Wrong Code")))</f>
        <v>Pending</v>
      </c>
      <c r="L57" s="23"/>
      <c r="M57" s="84"/>
      <c r="N57" s="87"/>
    </row>
    <row r="58" spans="1:14" x14ac:dyDescent="0.25">
      <c r="A58" s="92" t="str">
        <f t="shared" si="4"/>
        <v/>
      </c>
      <c r="B58" s="88"/>
      <c r="C58" s="25" t="str">
        <f>IF(B58="","",IFERROR(VLOOKUP(B58,DB_Customers!$A:$D,4,0),"❌ Account Not Found"))</f>
        <v/>
      </c>
      <c r="D58" s="90" t="str">
        <f t="shared" ca="1" si="5"/>
        <v/>
      </c>
      <c r="E58" s="104"/>
      <c r="F58" s="25"/>
      <c r="G58" s="105"/>
      <c r="H58" s="106"/>
      <c r="I58" s="107" t="str">
        <f t="shared" si="6"/>
        <v/>
      </c>
      <c r="J58" s="108" t="str">
        <f t="shared" si="7"/>
        <v/>
      </c>
      <c r="K58" s="109" t="str">
        <f>IF(B58="","Pending",IF(M58="","⚠️ Enter Code",IF(IFERROR(VLOOKUP(L58,DB_Agents!$B:$I,8,0),"")=M58,"Pending","🔒 BLOCKED — Wrong Code")))</f>
        <v>Pending</v>
      </c>
      <c r="L58" s="27"/>
      <c r="M58" s="84"/>
      <c r="N58" s="94"/>
    </row>
    <row r="59" spans="1:14" x14ac:dyDescent="0.25">
      <c r="A59" s="85" t="str">
        <f t="shared" si="4"/>
        <v/>
      </c>
      <c r="B59" s="79"/>
      <c r="C59" s="21" t="str">
        <f>IF(B59="","",IFERROR(VLOOKUP(B59,DB_Customers!$A:$D,4,0),"❌ Account Not Found"))</f>
        <v/>
      </c>
      <c r="D59" s="81" t="str">
        <f t="shared" ca="1" si="5"/>
        <v/>
      </c>
      <c r="E59" s="104"/>
      <c r="F59" s="21"/>
      <c r="G59" s="110"/>
      <c r="H59" s="111"/>
      <c r="I59" s="107" t="str">
        <f t="shared" si="6"/>
        <v/>
      </c>
      <c r="J59" s="112" t="str">
        <f t="shared" si="7"/>
        <v/>
      </c>
      <c r="K59" s="113" t="str">
        <f>IF(B59="","Pending",IF(M59="","⚠️ Enter Code",IF(IFERROR(VLOOKUP(L59,DB_Agents!$B:$I,8,0),"")=M59,"Pending","🔒 BLOCKED — Wrong Code")))</f>
        <v>Pending</v>
      </c>
      <c r="L59" s="23"/>
      <c r="M59" s="84"/>
      <c r="N59" s="87"/>
    </row>
    <row r="60" spans="1:14" x14ac:dyDescent="0.25">
      <c r="A60" s="92" t="str">
        <f t="shared" si="4"/>
        <v/>
      </c>
      <c r="B60" s="88"/>
      <c r="C60" s="25" t="str">
        <f>IF(B60="","",IFERROR(VLOOKUP(B60,DB_Customers!$A:$D,4,0),"❌ Account Not Found"))</f>
        <v/>
      </c>
      <c r="D60" s="90" t="str">
        <f t="shared" ca="1" si="5"/>
        <v/>
      </c>
      <c r="E60" s="104"/>
      <c r="F60" s="25"/>
      <c r="G60" s="105"/>
      <c r="H60" s="106"/>
      <c r="I60" s="107" t="str">
        <f t="shared" si="6"/>
        <v/>
      </c>
      <c r="J60" s="108" t="str">
        <f t="shared" si="7"/>
        <v/>
      </c>
      <c r="K60" s="109" t="str">
        <f>IF(B60="","Pending",IF(M60="","⚠️ Enter Code",IF(IFERROR(VLOOKUP(L60,DB_Agents!$B:$I,8,0),"")=M60,"Pending","🔒 BLOCKED — Wrong Code")))</f>
        <v>Pending</v>
      </c>
      <c r="L60" s="27"/>
      <c r="M60" s="84"/>
      <c r="N60" s="94"/>
    </row>
    <row r="61" spans="1:14" x14ac:dyDescent="0.25">
      <c r="A61" s="85" t="str">
        <f t="shared" si="4"/>
        <v/>
      </c>
      <c r="B61" s="79"/>
      <c r="C61" s="21" t="str">
        <f>IF(B61="","",IFERROR(VLOOKUP(B61,DB_Customers!$A:$D,4,0),"❌ Account Not Found"))</f>
        <v/>
      </c>
      <c r="D61" s="81" t="str">
        <f t="shared" ca="1" si="5"/>
        <v/>
      </c>
      <c r="E61" s="104"/>
      <c r="F61" s="21"/>
      <c r="G61" s="110"/>
      <c r="H61" s="111"/>
      <c r="I61" s="107" t="str">
        <f t="shared" si="6"/>
        <v/>
      </c>
      <c r="J61" s="112" t="str">
        <f t="shared" si="7"/>
        <v/>
      </c>
      <c r="K61" s="113" t="str">
        <f>IF(B61="","Pending",IF(M61="","⚠️ Enter Code",IF(IFERROR(VLOOKUP(L61,DB_Agents!$B:$I,8,0),"")=M61,"Pending","🔒 BLOCKED — Wrong Code")))</f>
        <v>Pending</v>
      </c>
      <c r="L61" s="23"/>
      <c r="M61" s="84"/>
      <c r="N61" s="87"/>
    </row>
    <row r="62" spans="1:14" x14ac:dyDescent="0.25">
      <c r="A62" s="92" t="str">
        <f t="shared" si="4"/>
        <v/>
      </c>
      <c r="B62" s="88"/>
      <c r="C62" s="25" t="str">
        <f>IF(B62="","",IFERROR(VLOOKUP(B62,DB_Customers!$A:$D,4,0),"❌ Account Not Found"))</f>
        <v/>
      </c>
      <c r="D62" s="90" t="str">
        <f t="shared" ca="1" si="5"/>
        <v/>
      </c>
      <c r="E62" s="104"/>
      <c r="F62" s="25"/>
      <c r="G62" s="105"/>
      <c r="H62" s="106"/>
      <c r="I62" s="107" t="str">
        <f t="shared" si="6"/>
        <v/>
      </c>
      <c r="J62" s="108" t="str">
        <f t="shared" si="7"/>
        <v/>
      </c>
      <c r="K62" s="109" t="str">
        <f>IF(B62="","Pending",IF(M62="","⚠️ Enter Code",IF(IFERROR(VLOOKUP(L62,DB_Agents!$B:$I,8,0),"")=M62,"Pending","🔒 BLOCKED — Wrong Code")))</f>
        <v>Pending</v>
      </c>
      <c r="L62" s="27"/>
      <c r="M62" s="84"/>
      <c r="N62" s="94"/>
    </row>
    <row r="63" spans="1:14" x14ac:dyDescent="0.25">
      <c r="A63" s="85" t="str">
        <f t="shared" si="4"/>
        <v/>
      </c>
      <c r="B63" s="79"/>
      <c r="C63" s="21" t="str">
        <f>IF(B63="","",IFERROR(VLOOKUP(B63,DB_Customers!$A:$D,4,0),"❌ Account Not Found"))</f>
        <v/>
      </c>
      <c r="D63" s="81" t="str">
        <f t="shared" ca="1" si="5"/>
        <v/>
      </c>
      <c r="E63" s="104"/>
      <c r="F63" s="21"/>
      <c r="G63" s="110"/>
      <c r="H63" s="111"/>
      <c r="I63" s="107" t="str">
        <f t="shared" si="6"/>
        <v/>
      </c>
      <c r="J63" s="112" t="str">
        <f t="shared" si="7"/>
        <v/>
      </c>
      <c r="K63" s="113" t="str">
        <f>IF(B63="","Pending",IF(M63="","⚠️ Enter Code",IF(IFERROR(VLOOKUP(L63,DB_Agents!$B:$I,8,0),"")=M63,"Pending","🔒 BLOCKED — Wrong Code")))</f>
        <v>Pending</v>
      </c>
      <c r="L63" s="23"/>
      <c r="M63" s="84"/>
      <c r="N63" s="87"/>
    </row>
    <row r="64" spans="1:14" x14ac:dyDescent="0.25">
      <c r="A64" s="92" t="str">
        <f t="shared" si="4"/>
        <v/>
      </c>
      <c r="B64" s="88"/>
      <c r="C64" s="25" t="str">
        <f>IF(B64="","",IFERROR(VLOOKUP(B64,DB_Customers!$A:$D,4,0),"❌ Account Not Found"))</f>
        <v/>
      </c>
      <c r="D64" s="90" t="str">
        <f t="shared" ca="1" si="5"/>
        <v/>
      </c>
      <c r="E64" s="104"/>
      <c r="F64" s="25"/>
      <c r="G64" s="105"/>
      <c r="H64" s="106"/>
      <c r="I64" s="107" t="str">
        <f t="shared" si="6"/>
        <v/>
      </c>
      <c r="J64" s="108" t="str">
        <f t="shared" si="7"/>
        <v/>
      </c>
      <c r="K64" s="109" t="str">
        <f>IF(B64="","Pending",IF(M64="","⚠️ Enter Code",IF(IFERROR(VLOOKUP(L64,DB_Agents!$B:$I,8,0),"")=M64,"Pending","🔒 BLOCKED — Wrong Code")))</f>
        <v>Pending</v>
      </c>
      <c r="L64" s="27"/>
      <c r="M64" s="84"/>
      <c r="N64" s="94"/>
    </row>
    <row r="65" spans="1:14" x14ac:dyDescent="0.25">
      <c r="A65" s="85" t="str">
        <f t="shared" si="4"/>
        <v/>
      </c>
      <c r="B65" s="79"/>
      <c r="C65" s="21" t="str">
        <f>IF(B65="","",IFERROR(VLOOKUP(B65,DB_Customers!$A:$D,4,0),"❌ Account Not Found"))</f>
        <v/>
      </c>
      <c r="D65" s="81" t="str">
        <f t="shared" ca="1" si="5"/>
        <v/>
      </c>
      <c r="E65" s="104"/>
      <c r="F65" s="21"/>
      <c r="G65" s="110"/>
      <c r="H65" s="111"/>
      <c r="I65" s="107" t="str">
        <f t="shared" si="6"/>
        <v/>
      </c>
      <c r="J65" s="112" t="str">
        <f t="shared" si="7"/>
        <v/>
      </c>
      <c r="K65" s="113" t="str">
        <f>IF(B65="","Pending",IF(M65="","⚠️ Enter Code",IF(IFERROR(VLOOKUP(L65,DB_Agents!$B:$I,8,0),"")=M65,"Pending","🔒 BLOCKED — Wrong Code")))</f>
        <v>Pending</v>
      </c>
      <c r="L65" s="23"/>
      <c r="M65" s="84"/>
      <c r="N65" s="87"/>
    </row>
    <row r="66" spans="1:14" x14ac:dyDescent="0.25">
      <c r="A66" s="92" t="str">
        <f t="shared" si="4"/>
        <v/>
      </c>
      <c r="B66" s="88"/>
      <c r="C66" s="25" t="str">
        <f>IF(B66="","",IFERROR(VLOOKUP(B66,DB_Customers!$A:$D,4,0),"❌ Account Not Found"))</f>
        <v/>
      </c>
      <c r="D66" s="90" t="str">
        <f t="shared" ca="1" si="5"/>
        <v/>
      </c>
      <c r="E66" s="104"/>
      <c r="F66" s="25"/>
      <c r="G66" s="105"/>
      <c r="H66" s="106"/>
      <c r="I66" s="107" t="str">
        <f t="shared" si="6"/>
        <v/>
      </c>
      <c r="J66" s="108" t="str">
        <f t="shared" si="7"/>
        <v/>
      </c>
      <c r="K66" s="109" t="str">
        <f>IF(B66="","Pending",IF(M66="","⚠️ Enter Code",IF(IFERROR(VLOOKUP(L66,DB_Agents!$B:$I,8,0),"")=M66,"Pending","🔒 BLOCKED — Wrong Code")))</f>
        <v>Pending</v>
      </c>
      <c r="L66" s="27"/>
      <c r="M66" s="84"/>
      <c r="N66" s="94"/>
    </row>
    <row r="67" spans="1:14" x14ac:dyDescent="0.25">
      <c r="A67" s="85" t="str">
        <f t="shared" si="4"/>
        <v/>
      </c>
      <c r="B67" s="79"/>
      <c r="C67" s="21" t="str">
        <f>IF(B67="","",IFERROR(VLOOKUP(B67,DB_Customers!$A:$D,4,0),"❌ Account Not Found"))</f>
        <v/>
      </c>
      <c r="D67" s="81" t="str">
        <f t="shared" ca="1" si="5"/>
        <v/>
      </c>
      <c r="E67" s="104"/>
      <c r="F67" s="21"/>
      <c r="G67" s="110"/>
      <c r="H67" s="111"/>
      <c r="I67" s="107" t="str">
        <f t="shared" si="6"/>
        <v/>
      </c>
      <c r="J67" s="112" t="str">
        <f t="shared" si="7"/>
        <v/>
      </c>
      <c r="K67" s="113" t="str">
        <f>IF(B67="","Pending",IF(M67="","⚠️ Enter Code",IF(IFERROR(VLOOKUP(L67,DB_Agents!$B:$I,8,0),"")=M67,"Pending","🔒 BLOCKED — Wrong Code")))</f>
        <v>Pending</v>
      </c>
      <c r="L67" s="23"/>
      <c r="M67" s="84"/>
      <c r="N67" s="87"/>
    </row>
    <row r="68" spans="1:14" x14ac:dyDescent="0.25">
      <c r="A68" s="92" t="str">
        <f t="shared" si="4"/>
        <v/>
      </c>
      <c r="B68" s="88"/>
      <c r="C68" s="25" t="str">
        <f>IF(B68="","",IFERROR(VLOOKUP(B68,DB_Customers!$A:$D,4,0),"❌ Account Not Found"))</f>
        <v/>
      </c>
      <c r="D68" s="90" t="str">
        <f t="shared" ca="1" si="5"/>
        <v/>
      </c>
      <c r="E68" s="104"/>
      <c r="F68" s="25"/>
      <c r="G68" s="105"/>
      <c r="H68" s="106"/>
      <c r="I68" s="107" t="str">
        <f t="shared" si="6"/>
        <v/>
      </c>
      <c r="J68" s="108" t="str">
        <f t="shared" si="7"/>
        <v/>
      </c>
      <c r="K68" s="109" t="str">
        <f>IF(B68="","Pending",IF(M68="","⚠️ Enter Code",IF(IFERROR(VLOOKUP(L68,DB_Agents!$B:$I,8,0),"")=M68,"Pending","🔒 BLOCKED — Wrong Code")))</f>
        <v>Pending</v>
      </c>
      <c r="L68" s="27"/>
      <c r="M68" s="84"/>
      <c r="N68" s="94"/>
    </row>
    <row r="69" spans="1:14" x14ac:dyDescent="0.25">
      <c r="A69" s="85" t="str">
        <f t="shared" si="4"/>
        <v/>
      </c>
      <c r="B69" s="79"/>
      <c r="C69" s="21" t="str">
        <f>IF(B69="","",IFERROR(VLOOKUP(B69,DB_Customers!$A:$D,4,0),"❌ Account Not Found"))</f>
        <v/>
      </c>
      <c r="D69" s="81" t="str">
        <f t="shared" ca="1" si="5"/>
        <v/>
      </c>
      <c r="E69" s="104"/>
      <c r="F69" s="21"/>
      <c r="G69" s="110"/>
      <c r="H69" s="111"/>
      <c r="I69" s="107" t="str">
        <f t="shared" si="6"/>
        <v/>
      </c>
      <c r="J69" s="112" t="str">
        <f t="shared" si="7"/>
        <v/>
      </c>
      <c r="K69" s="113" t="str">
        <f>IF(B69="","Pending",IF(M69="","⚠️ Enter Code",IF(IFERROR(VLOOKUP(L69,DB_Agents!$B:$I,8,0),"")=M69,"Pending","🔒 BLOCKED — Wrong Code")))</f>
        <v>Pending</v>
      </c>
      <c r="L69" s="23"/>
      <c r="M69" s="84"/>
      <c r="N69" s="87"/>
    </row>
    <row r="70" spans="1:14" x14ac:dyDescent="0.25">
      <c r="A70" s="92" t="str">
        <f t="shared" si="4"/>
        <v/>
      </c>
      <c r="B70" s="88"/>
      <c r="C70" s="25" t="str">
        <f>IF(B70="","",IFERROR(VLOOKUP(B70,DB_Customers!$A:$D,4,0),"❌ Account Not Found"))</f>
        <v/>
      </c>
      <c r="D70" s="90" t="str">
        <f t="shared" ca="1" si="5"/>
        <v/>
      </c>
      <c r="E70" s="104"/>
      <c r="F70" s="25"/>
      <c r="G70" s="105"/>
      <c r="H70" s="106"/>
      <c r="I70" s="107" t="str">
        <f t="shared" si="6"/>
        <v/>
      </c>
      <c r="J70" s="108" t="str">
        <f t="shared" si="7"/>
        <v/>
      </c>
      <c r="K70" s="109" t="str">
        <f>IF(B70="","Pending",IF(M70="","⚠️ Enter Code",IF(IFERROR(VLOOKUP(L70,DB_Agents!$B:$I,8,0),"")=M70,"Pending","🔒 BLOCKED — Wrong Code")))</f>
        <v>Pending</v>
      </c>
      <c r="L70" s="27"/>
      <c r="M70" s="84"/>
      <c r="N70" s="94"/>
    </row>
    <row r="71" spans="1:14" x14ac:dyDescent="0.25">
      <c r="A71" s="85" t="str">
        <f t="shared" si="4"/>
        <v/>
      </c>
      <c r="B71" s="79"/>
      <c r="C71" s="21" t="str">
        <f>IF(B71="","",IFERROR(VLOOKUP(B71,DB_Customers!$A:$D,4,0),"❌ Account Not Found"))</f>
        <v/>
      </c>
      <c r="D71" s="81" t="str">
        <f t="shared" ca="1" si="5"/>
        <v/>
      </c>
      <c r="E71" s="104"/>
      <c r="F71" s="21"/>
      <c r="G71" s="110"/>
      <c r="H71" s="111"/>
      <c r="I71" s="107" t="str">
        <f t="shared" si="6"/>
        <v/>
      </c>
      <c r="J71" s="112" t="str">
        <f t="shared" si="7"/>
        <v/>
      </c>
      <c r="K71" s="113" t="str">
        <f>IF(B71="","Pending",IF(M71="","⚠️ Enter Code",IF(IFERROR(VLOOKUP(L71,DB_Agents!$B:$I,8,0),"")=M71,"Pending","🔒 BLOCKED — Wrong Code")))</f>
        <v>Pending</v>
      </c>
      <c r="L71" s="23"/>
      <c r="M71" s="84"/>
      <c r="N71" s="87"/>
    </row>
    <row r="72" spans="1:14" x14ac:dyDescent="0.25">
      <c r="A72" s="92" t="str">
        <f t="shared" si="4"/>
        <v/>
      </c>
      <c r="B72" s="88"/>
      <c r="C72" s="25" t="str">
        <f>IF(B72="","",IFERROR(VLOOKUP(B72,DB_Customers!$A:$D,4,0),"❌ Account Not Found"))</f>
        <v/>
      </c>
      <c r="D72" s="90" t="str">
        <f t="shared" ca="1" si="5"/>
        <v/>
      </c>
      <c r="E72" s="104"/>
      <c r="F72" s="25"/>
      <c r="G72" s="105"/>
      <c r="H72" s="106"/>
      <c r="I72" s="107" t="str">
        <f t="shared" si="6"/>
        <v/>
      </c>
      <c r="J72" s="108" t="str">
        <f t="shared" si="7"/>
        <v/>
      </c>
      <c r="K72" s="109" t="str">
        <f>IF(B72="","Pending",IF(M72="","⚠️ Enter Code",IF(IFERROR(VLOOKUP(L72,DB_Agents!$B:$I,8,0),"")=M72,"Pending","🔒 BLOCKED — Wrong Code")))</f>
        <v>Pending</v>
      </c>
      <c r="L72" s="27"/>
      <c r="M72" s="84"/>
      <c r="N72" s="94"/>
    </row>
    <row r="73" spans="1:14" x14ac:dyDescent="0.25">
      <c r="A73" s="85" t="str">
        <f t="shared" si="4"/>
        <v/>
      </c>
      <c r="B73" s="79"/>
      <c r="C73" s="21" t="str">
        <f>IF(B73="","",IFERROR(VLOOKUP(B73,DB_Customers!$A:$D,4,0),"❌ Account Not Found"))</f>
        <v/>
      </c>
      <c r="D73" s="81" t="str">
        <f t="shared" ca="1" si="5"/>
        <v/>
      </c>
      <c r="E73" s="104"/>
      <c r="F73" s="21"/>
      <c r="G73" s="110"/>
      <c r="H73" s="111"/>
      <c r="I73" s="107" t="str">
        <f t="shared" si="6"/>
        <v/>
      </c>
      <c r="J73" s="112" t="str">
        <f t="shared" si="7"/>
        <v/>
      </c>
      <c r="K73" s="113" t="str">
        <f>IF(B73="","Pending",IF(M73="","⚠️ Enter Code",IF(IFERROR(VLOOKUP(L73,DB_Agents!$B:$I,8,0),"")=M73,"Pending","🔒 BLOCKED — Wrong Code")))</f>
        <v>Pending</v>
      </c>
      <c r="L73" s="23"/>
      <c r="M73" s="84"/>
      <c r="N73" s="87"/>
    </row>
    <row r="74" spans="1:14" x14ac:dyDescent="0.25">
      <c r="A74" s="92" t="str">
        <f t="shared" si="4"/>
        <v/>
      </c>
      <c r="B74" s="88"/>
      <c r="C74" s="25" t="str">
        <f>IF(B74="","",IFERROR(VLOOKUP(B74,DB_Customers!$A:$D,4,0),"❌ Account Not Found"))</f>
        <v/>
      </c>
      <c r="D74" s="90" t="str">
        <f t="shared" ca="1" si="5"/>
        <v/>
      </c>
      <c r="E74" s="104"/>
      <c r="F74" s="25"/>
      <c r="G74" s="105"/>
      <c r="H74" s="106"/>
      <c r="I74" s="107" t="str">
        <f t="shared" si="6"/>
        <v/>
      </c>
      <c r="J74" s="108" t="str">
        <f t="shared" si="7"/>
        <v/>
      </c>
      <c r="K74" s="109" t="str">
        <f>IF(B74="","Pending",IF(M74="","⚠️ Enter Code",IF(IFERROR(VLOOKUP(L74,DB_Agents!$B:$I,8,0),"")=M74,"Pending","🔒 BLOCKED — Wrong Code")))</f>
        <v>Pending</v>
      </c>
      <c r="L74" s="27"/>
      <c r="M74" s="84"/>
      <c r="N74" s="94"/>
    </row>
    <row r="75" spans="1:14" x14ac:dyDescent="0.25">
      <c r="A75" s="85" t="str">
        <f t="shared" si="4"/>
        <v/>
      </c>
      <c r="B75" s="79"/>
      <c r="C75" s="21" t="str">
        <f>IF(B75="","",IFERROR(VLOOKUP(B75,DB_Customers!$A:$D,4,0),"❌ Account Not Found"))</f>
        <v/>
      </c>
      <c r="D75" s="81" t="str">
        <f t="shared" ca="1" si="5"/>
        <v/>
      </c>
      <c r="E75" s="104"/>
      <c r="F75" s="21"/>
      <c r="G75" s="110"/>
      <c r="H75" s="111"/>
      <c r="I75" s="107" t="str">
        <f t="shared" si="6"/>
        <v/>
      </c>
      <c r="J75" s="112" t="str">
        <f t="shared" si="7"/>
        <v/>
      </c>
      <c r="K75" s="113" t="str">
        <f>IF(B75="","Pending",IF(M75="","⚠️ Enter Code",IF(IFERROR(VLOOKUP(L75,DB_Agents!$B:$I,8,0),"")=M75,"Pending","🔒 BLOCKED — Wrong Code")))</f>
        <v>Pending</v>
      </c>
      <c r="L75" s="23"/>
      <c r="M75" s="84"/>
      <c r="N75" s="87"/>
    </row>
    <row r="76" spans="1:14" x14ac:dyDescent="0.25">
      <c r="A76" s="92" t="str">
        <f t="shared" si="4"/>
        <v/>
      </c>
      <c r="B76" s="88"/>
      <c r="C76" s="25" t="str">
        <f>IF(B76="","",IFERROR(VLOOKUP(B76,DB_Customers!$A:$D,4,0),"❌ Account Not Found"))</f>
        <v/>
      </c>
      <c r="D76" s="90" t="str">
        <f t="shared" ca="1" si="5"/>
        <v/>
      </c>
      <c r="E76" s="104"/>
      <c r="F76" s="25"/>
      <c r="G76" s="105"/>
      <c r="H76" s="106"/>
      <c r="I76" s="107" t="str">
        <f t="shared" si="6"/>
        <v/>
      </c>
      <c r="J76" s="108" t="str">
        <f t="shared" si="7"/>
        <v/>
      </c>
      <c r="K76" s="109" t="str">
        <f>IF(B76="","Pending",IF(M76="","⚠️ Enter Code",IF(IFERROR(VLOOKUP(L76,DB_Agents!$B:$I,8,0),"")=M76,"Pending","🔒 BLOCKED — Wrong Code")))</f>
        <v>Pending</v>
      </c>
      <c r="L76" s="27"/>
      <c r="M76" s="84"/>
      <c r="N76" s="94"/>
    </row>
    <row r="77" spans="1:14" x14ac:dyDescent="0.25">
      <c r="A77" s="85" t="str">
        <f t="shared" si="4"/>
        <v/>
      </c>
      <c r="B77" s="79"/>
      <c r="C77" s="21" t="str">
        <f>IF(B77="","",IFERROR(VLOOKUP(B77,DB_Customers!$A:$D,4,0),"❌ Account Not Found"))</f>
        <v/>
      </c>
      <c r="D77" s="81" t="str">
        <f t="shared" ca="1" si="5"/>
        <v/>
      </c>
      <c r="E77" s="104"/>
      <c r="F77" s="21"/>
      <c r="G77" s="110"/>
      <c r="H77" s="111"/>
      <c r="I77" s="107" t="str">
        <f t="shared" si="6"/>
        <v/>
      </c>
      <c r="J77" s="112" t="str">
        <f t="shared" si="7"/>
        <v/>
      </c>
      <c r="K77" s="113" t="str">
        <f>IF(B77="","Pending",IF(M77="","⚠️ Enter Code",IF(IFERROR(VLOOKUP(L77,DB_Agents!$B:$I,8,0),"")=M77,"Pending","🔒 BLOCKED — Wrong Code")))</f>
        <v>Pending</v>
      </c>
      <c r="L77" s="23"/>
      <c r="M77" s="84"/>
      <c r="N77" s="87"/>
    </row>
    <row r="78" spans="1:14" x14ac:dyDescent="0.25">
      <c r="A78" s="92" t="str">
        <f t="shared" ref="A78:A109" si="8">IF(B78="","",IF(C78="❌ Account Not Found","INVALID","LN"&amp;TEXT(D78,"YYYYMMDD")&amp;TEXT(ROW()-13,"0000")))</f>
        <v/>
      </c>
      <c r="B78" s="88"/>
      <c r="C78" s="25" t="str">
        <f>IF(B78="","",IFERROR(VLOOKUP(B78,DB_Customers!$A:$D,4,0),"❌ Account Not Found"))</f>
        <v/>
      </c>
      <c r="D78" s="90" t="str">
        <f t="shared" ref="D78:D113" ca="1" si="9">IF(B78="","",TODAY())</f>
        <v/>
      </c>
      <c r="E78" s="104"/>
      <c r="F78" s="25"/>
      <c r="G78" s="105"/>
      <c r="H78" s="106"/>
      <c r="I78" s="107" t="str">
        <f t="shared" ref="I78:I109" si="10">IF(E78="","",E78+(E78*H78/100*G78))</f>
        <v/>
      </c>
      <c r="J78" s="108" t="str">
        <f t="shared" ref="J78:J109" si="11">IFERROR(I78/G78,"")</f>
        <v/>
      </c>
      <c r="K78" s="109" t="str">
        <f>IF(B78="","Pending",IF(M78="","⚠️ Enter Code",IF(IFERROR(VLOOKUP(L78,DB_Agents!$B:$I,8,0),"")=M78,"Pending","🔒 BLOCKED — Wrong Code")))</f>
        <v>Pending</v>
      </c>
      <c r="L78" s="27"/>
      <c r="M78" s="84"/>
      <c r="N78" s="94"/>
    </row>
    <row r="79" spans="1:14" x14ac:dyDescent="0.25">
      <c r="A79" s="85" t="str">
        <f t="shared" si="8"/>
        <v/>
      </c>
      <c r="B79" s="79"/>
      <c r="C79" s="21" t="str">
        <f>IF(B79="","",IFERROR(VLOOKUP(B79,DB_Customers!$A:$D,4,0),"❌ Account Not Found"))</f>
        <v/>
      </c>
      <c r="D79" s="81" t="str">
        <f t="shared" ca="1" si="9"/>
        <v/>
      </c>
      <c r="E79" s="104"/>
      <c r="F79" s="21"/>
      <c r="G79" s="110"/>
      <c r="H79" s="111"/>
      <c r="I79" s="107" t="str">
        <f t="shared" si="10"/>
        <v/>
      </c>
      <c r="J79" s="112" t="str">
        <f t="shared" si="11"/>
        <v/>
      </c>
      <c r="K79" s="113" t="str">
        <f>IF(B79="","Pending",IF(M79="","⚠️ Enter Code",IF(IFERROR(VLOOKUP(L79,DB_Agents!$B:$I,8,0),"")=M79,"Pending","🔒 BLOCKED — Wrong Code")))</f>
        <v>Pending</v>
      </c>
      <c r="L79" s="23"/>
      <c r="M79" s="84"/>
      <c r="N79" s="87"/>
    </row>
    <row r="80" spans="1:14" x14ac:dyDescent="0.25">
      <c r="A80" s="92" t="str">
        <f t="shared" si="8"/>
        <v/>
      </c>
      <c r="B80" s="88"/>
      <c r="C80" s="25" t="str">
        <f>IF(B80="","",IFERROR(VLOOKUP(B80,DB_Customers!$A:$D,4,0),"❌ Account Not Found"))</f>
        <v/>
      </c>
      <c r="D80" s="90" t="str">
        <f t="shared" ca="1" si="9"/>
        <v/>
      </c>
      <c r="E80" s="104"/>
      <c r="F80" s="25"/>
      <c r="G80" s="105"/>
      <c r="H80" s="106"/>
      <c r="I80" s="107" t="str">
        <f t="shared" si="10"/>
        <v/>
      </c>
      <c r="J80" s="108" t="str">
        <f t="shared" si="11"/>
        <v/>
      </c>
      <c r="K80" s="109" t="str">
        <f>IF(B80="","Pending",IF(M80="","⚠️ Enter Code",IF(IFERROR(VLOOKUP(L80,DB_Agents!$B:$I,8,0),"")=M80,"Pending","🔒 BLOCKED — Wrong Code")))</f>
        <v>Pending</v>
      </c>
      <c r="L80" s="27"/>
      <c r="M80" s="84"/>
      <c r="N80" s="94"/>
    </row>
    <row r="81" spans="1:14" x14ac:dyDescent="0.25">
      <c r="A81" s="85" t="str">
        <f t="shared" si="8"/>
        <v/>
      </c>
      <c r="B81" s="79"/>
      <c r="C81" s="21" t="str">
        <f>IF(B81="","",IFERROR(VLOOKUP(B81,DB_Customers!$A:$D,4,0),"❌ Account Not Found"))</f>
        <v/>
      </c>
      <c r="D81" s="81" t="str">
        <f t="shared" ca="1" si="9"/>
        <v/>
      </c>
      <c r="E81" s="104"/>
      <c r="F81" s="21"/>
      <c r="G81" s="110"/>
      <c r="H81" s="111"/>
      <c r="I81" s="107" t="str">
        <f t="shared" si="10"/>
        <v/>
      </c>
      <c r="J81" s="112" t="str">
        <f t="shared" si="11"/>
        <v/>
      </c>
      <c r="K81" s="113" t="str">
        <f>IF(B81="","Pending",IF(M81="","⚠️ Enter Code",IF(IFERROR(VLOOKUP(L81,DB_Agents!$B:$I,8,0),"")=M81,"Pending","🔒 BLOCKED — Wrong Code")))</f>
        <v>Pending</v>
      </c>
      <c r="L81" s="23"/>
      <c r="M81" s="84"/>
      <c r="N81" s="87"/>
    </row>
    <row r="82" spans="1:14" x14ac:dyDescent="0.25">
      <c r="A82" s="92" t="str">
        <f t="shared" si="8"/>
        <v/>
      </c>
      <c r="B82" s="88"/>
      <c r="C82" s="25" t="str">
        <f>IF(B82="","",IFERROR(VLOOKUP(B82,DB_Customers!$A:$D,4,0),"❌ Account Not Found"))</f>
        <v/>
      </c>
      <c r="D82" s="90" t="str">
        <f t="shared" ca="1" si="9"/>
        <v/>
      </c>
      <c r="E82" s="104"/>
      <c r="F82" s="25"/>
      <c r="G82" s="105"/>
      <c r="H82" s="106"/>
      <c r="I82" s="107" t="str">
        <f t="shared" si="10"/>
        <v/>
      </c>
      <c r="J82" s="108" t="str">
        <f t="shared" si="11"/>
        <v/>
      </c>
      <c r="K82" s="109" t="str">
        <f>IF(B82="","Pending",IF(M82="","⚠️ Enter Code",IF(IFERROR(VLOOKUP(L82,DB_Agents!$B:$I,8,0),"")=M82,"Pending","🔒 BLOCKED — Wrong Code")))</f>
        <v>Pending</v>
      </c>
      <c r="L82" s="27"/>
      <c r="M82" s="84"/>
      <c r="N82" s="94"/>
    </row>
    <row r="83" spans="1:14" x14ac:dyDescent="0.25">
      <c r="A83" s="85" t="str">
        <f t="shared" si="8"/>
        <v/>
      </c>
      <c r="B83" s="79"/>
      <c r="C83" s="21" t="str">
        <f>IF(B83="","",IFERROR(VLOOKUP(B83,DB_Customers!$A:$D,4,0),"❌ Account Not Found"))</f>
        <v/>
      </c>
      <c r="D83" s="81" t="str">
        <f t="shared" ca="1" si="9"/>
        <v/>
      </c>
      <c r="E83" s="104"/>
      <c r="F83" s="21"/>
      <c r="G83" s="110"/>
      <c r="H83" s="111"/>
      <c r="I83" s="107" t="str">
        <f t="shared" si="10"/>
        <v/>
      </c>
      <c r="J83" s="112" t="str">
        <f t="shared" si="11"/>
        <v/>
      </c>
      <c r="K83" s="113" t="str">
        <f>IF(B83="","Pending",IF(M83="","⚠️ Enter Code",IF(IFERROR(VLOOKUP(L83,DB_Agents!$B:$I,8,0),"")=M83,"Pending","🔒 BLOCKED — Wrong Code")))</f>
        <v>Pending</v>
      </c>
      <c r="L83" s="23"/>
      <c r="M83" s="84"/>
      <c r="N83" s="87"/>
    </row>
    <row r="84" spans="1:14" x14ac:dyDescent="0.25">
      <c r="A84" s="92" t="str">
        <f t="shared" si="8"/>
        <v/>
      </c>
      <c r="B84" s="88"/>
      <c r="C84" s="25" t="str">
        <f>IF(B84="","",IFERROR(VLOOKUP(B84,DB_Customers!$A:$D,4,0),"❌ Account Not Found"))</f>
        <v/>
      </c>
      <c r="D84" s="90" t="str">
        <f t="shared" ca="1" si="9"/>
        <v/>
      </c>
      <c r="E84" s="104"/>
      <c r="F84" s="25"/>
      <c r="G84" s="105"/>
      <c r="H84" s="106"/>
      <c r="I84" s="107" t="str">
        <f t="shared" si="10"/>
        <v/>
      </c>
      <c r="J84" s="108" t="str">
        <f t="shared" si="11"/>
        <v/>
      </c>
      <c r="K84" s="109" t="str">
        <f>IF(B84="","Pending",IF(M84="","⚠️ Enter Code",IF(IFERROR(VLOOKUP(L84,DB_Agents!$B:$I,8,0),"")=M84,"Pending","🔒 BLOCKED — Wrong Code")))</f>
        <v>Pending</v>
      </c>
      <c r="L84" s="27"/>
      <c r="M84" s="84"/>
      <c r="N84" s="94"/>
    </row>
    <row r="85" spans="1:14" x14ac:dyDescent="0.25">
      <c r="A85" s="85" t="str">
        <f t="shared" si="8"/>
        <v/>
      </c>
      <c r="B85" s="79"/>
      <c r="C85" s="21" t="str">
        <f>IF(B85="","",IFERROR(VLOOKUP(B85,DB_Customers!$A:$D,4,0),"❌ Account Not Found"))</f>
        <v/>
      </c>
      <c r="D85" s="81" t="str">
        <f t="shared" ca="1" si="9"/>
        <v/>
      </c>
      <c r="E85" s="104"/>
      <c r="F85" s="21"/>
      <c r="G85" s="110"/>
      <c r="H85" s="111"/>
      <c r="I85" s="107" t="str">
        <f t="shared" si="10"/>
        <v/>
      </c>
      <c r="J85" s="112" t="str">
        <f t="shared" si="11"/>
        <v/>
      </c>
      <c r="K85" s="113" t="str">
        <f>IF(B85="","Pending",IF(M85="","⚠️ Enter Code",IF(IFERROR(VLOOKUP(L85,DB_Agents!$B:$I,8,0),"")=M85,"Pending","🔒 BLOCKED — Wrong Code")))</f>
        <v>Pending</v>
      </c>
      <c r="L85" s="23"/>
      <c r="M85" s="84"/>
      <c r="N85" s="87"/>
    </row>
    <row r="86" spans="1:14" x14ac:dyDescent="0.25">
      <c r="A86" s="92" t="str">
        <f t="shared" si="8"/>
        <v/>
      </c>
      <c r="B86" s="88"/>
      <c r="C86" s="25" t="str">
        <f>IF(B86="","",IFERROR(VLOOKUP(B86,DB_Customers!$A:$D,4,0),"❌ Account Not Found"))</f>
        <v/>
      </c>
      <c r="D86" s="90" t="str">
        <f t="shared" ca="1" si="9"/>
        <v/>
      </c>
      <c r="E86" s="104"/>
      <c r="F86" s="25"/>
      <c r="G86" s="105"/>
      <c r="H86" s="106"/>
      <c r="I86" s="107" t="str">
        <f t="shared" si="10"/>
        <v/>
      </c>
      <c r="J86" s="108" t="str">
        <f t="shared" si="11"/>
        <v/>
      </c>
      <c r="K86" s="109" t="str">
        <f>IF(B86="","Pending",IF(M86="","⚠️ Enter Code",IF(IFERROR(VLOOKUP(L86,DB_Agents!$B:$I,8,0),"")=M86,"Pending","🔒 BLOCKED — Wrong Code")))</f>
        <v>Pending</v>
      </c>
      <c r="L86" s="27"/>
      <c r="M86" s="84"/>
      <c r="N86" s="94"/>
    </row>
    <row r="87" spans="1:14" x14ac:dyDescent="0.25">
      <c r="A87" s="85" t="str">
        <f t="shared" si="8"/>
        <v/>
      </c>
      <c r="B87" s="79"/>
      <c r="C87" s="21" t="str">
        <f>IF(B87="","",IFERROR(VLOOKUP(B87,DB_Customers!$A:$D,4,0),"❌ Account Not Found"))</f>
        <v/>
      </c>
      <c r="D87" s="81" t="str">
        <f t="shared" ca="1" si="9"/>
        <v/>
      </c>
      <c r="E87" s="104"/>
      <c r="F87" s="21"/>
      <c r="G87" s="110"/>
      <c r="H87" s="111"/>
      <c r="I87" s="107" t="str">
        <f t="shared" si="10"/>
        <v/>
      </c>
      <c r="J87" s="112" t="str">
        <f t="shared" si="11"/>
        <v/>
      </c>
      <c r="K87" s="113" t="str">
        <f>IF(B87="","Pending",IF(M87="","⚠️ Enter Code",IF(IFERROR(VLOOKUP(L87,DB_Agents!$B:$I,8,0),"")=M87,"Pending","🔒 BLOCKED — Wrong Code")))</f>
        <v>Pending</v>
      </c>
      <c r="L87" s="23"/>
      <c r="M87" s="84"/>
      <c r="N87" s="87"/>
    </row>
    <row r="88" spans="1:14" x14ac:dyDescent="0.25">
      <c r="A88" s="92" t="str">
        <f t="shared" si="8"/>
        <v/>
      </c>
      <c r="B88" s="88"/>
      <c r="C88" s="25" t="str">
        <f>IF(B88="","",IFERROR(VLOOKUP(B88,DB_Customers!$A:$D,4,0),"❌ Account Not Found"))</f>
        <v/>
      </c>
      <c r="D88" s="90" t="str">
        <f t="shared" ca="1" si="9"/>
        <v/>
      </c>
      <c r="E88" s="104"/>
      <c r="F88" s="25"/>
      <c r="G88" s="105"/>
      <c r="H88" s="106"/>
      <c r="I88" s="107" t="str">
        <f t="shared" si="10"/>
        <v/>
      </c>
      <c r="J88" s="108" t="str">
        <f t="shared" si="11"/>
        <v/>
      </c>
      <c r="K88" s="109" t="str">
        <f>IF(B88="","Pending",IF(M88="","⚠️ Enter Code",IF(IFERROR(VLOOKUP(L88,DB_Agents!$B:$I,8,0),"")=M88,"Pending","🔒 BLOCKED — Wrong Code")))</f>
        <v>Pending</v>
      </c>
      <c r="L88" s="27"/>
      <c r="M88" s="84"/>
      <c r="N88" s="94"/>
    </row>
    <row r="89" spans="1:14" x14ac:dyDescent="0.25">
      <c r="A89" s="85" t="str">
        <f t="shared" si="8"/>
        <v/>
      </c>
      <c r="B89" s="79"/>
      <c r="C89" s="21" t="str">
        <f>IF(B89="","",IFERROR(VLOOKUP(B89,DB_Customers!$A:$D,4,0),"❌ Account Not Found"))</f>
        <v/>
      </c>
      <c r="D89" s="81" t="str">
        <f t="shared" ca="1" si="9"/>
        <v/>
      </c>
      <c r="E89" s="104"/>
      <c r="F89" s="21"/>
      <c r="G89" s="110"/>
      <c r="H89" s="111"/>
      <c r="I89" s="107" t="str">
        <f t="shared" si="10"/>
        <v/>
      </c>
      <c r="J89" s="112" t="str">
        <f t="shared" si="11"/>
        <v/>
      </c>
      <c r="K89" s="113" t="str">
        <f>IF(B89="","Pending",IF(M89="","⚠️ Enter Code",IF(IFERROR(VLOOKUP(L89,DB_Agents!$B:$I,8,0),"")=M89,"Pending","🔒 BLOCKED — Wrong Code")))</f>
        <v>Pending</v>
      </c>
      <c r="L89" s="23"/>
      <c r="M89" s="84"/>
      <c r="N89" s="87"/>
    </row>
    <row r="90" spans="1:14" x14ac:dyDescent="0.25">
      <c r="A90" s="92" t="str">
        <f t="shared" si="8"/>
        <v/>
      </c>
      <c r="B90" s="88"/>
      <c r="C90" s="25" t="str">
        <f>IF(B90="","",IFERROR(VLOOKUP(B90,DB_Customers!$A:$D,4,0),"❌ Account Not Found"))</f>
        <v/>
      </c>
      <c r="D90" s="90" t="str">
        <f t="shared" ca="1" si="9"/>
        <v/>
      </c>
      <c r="E90" s="104"/>
      <c r="F90" s="25"/>
      <c r="G90" s="105"/>
      <c r="H90" s="106"/>
      <c r="I90" s="107" t="str">
        <f t="shared" si="10"/>
        <v/>
      </c>
      <c r="J90" s="108" t="str">
        <f t="shared" si="11"/>
        <v/>
      </c>
      <c r="K90" s="109" t="str">
        <f>IF(B90="","Pending",IF(M90="","⚠️ Enter Code",IF(IFERROR(VLOOKUP(L90,DB_Agents!$B:$I,8,0),"")=M90,"Pending","🔒 BLOCKED — Wrong Code")))</f>
        <v>Pending</v>
      </c>
      <c r="L90" s="27"/>
      <c r="M90" s="84"/>
      <c r="N90" s="94"/>
    </row>
    <row r="91" spans="1:14" x14ac:dyDescent="0.25">
      <c r="A91" s="85" t="str">
        <f t="shared" si="8"/>
        <v/>
      </c>
      <c r="B91" s="79"/>
      <c r="C91" s="21" t="str">
        <f>IF(B91="","",IFERROR(VLOOKUP(B91,DB_Customers!$A:$D,4,0),"❌ Account Not Found"))</f>
        <v/>
      </c>
      <c r="D91" s="81" t="str">
        <f t="shared" ca="1" si="9"/>
        <v/>
      </c>
      <c r="E91" s="104"/>
      <c r="F91" s="21"/>
      <c r="G91" s="110"/>
      <c r="H91" s="111"/>
      <c r="I91" s="107" t="str">
        <f t="shared" si="10"/>
        <v/>
      </c>
      <c r="J91" s="112" t="str">
        <f t="shared" si="11"/>
        <v/>
      </c>
      <c r="K91" s="113" t="str">
        <f>IF(B91="","Pending",IF(M91="","⚠️ Enter Code",IF(IFERROR(VLOOKUP(L91,DB_Agents!$B:$I,8,0),"")=M91,"Pending","🔒 BLOCKED — Wrong Code")))</f>
        <v>Pending</v>
      </c>
      <c r="L91" s="23"/>
      <c r="M91" s="84"/>
      <c r="N91" s="87"/>
    </row>
    <row r="92" spans="1:14" x14ac:dyDescent="0.25">
      <c r="A92" s="92" t="str">
        <f t="shared" si="8"/>
        <v/>
      </c>
      <c r="B92" s="88"/>
      <c r="C92" s="25" t="str">
        <f>IF(B92="","",IFERROR(VLOOKUP(B92,DB_Customers!$A:$D,4,0),"❌ Account Not Found"))</f>
        <v/>
      </c>
      <c r="D92" s="90" t="str">
        <f t="shared" ca="1" si="9"/>
        <v/>
      </c>
      <c r="E92" s="104"/>
      <c r="F92" s="25"/>
      <c r="G92" s="105"/>
      <c r="H92" s="106"/>
      <c r="I92" s="107" t="str">
        <f t="shared" si="10"/>
        <v/>
      </c>
      <c r="J92" s="108" t="str">
        <f t="shared" si="11"/>
        <v/>
      </c>
      <c r="K92" s="109" t="str">
        <f>IF(B92="","Pending",IF(M92="","⚠️ Enter Code",IF(IFERROR(VLOOKUP(L92,DB_Agents!$B:$I,8,0),"")=M92,"Pending","🔒 BLOCKED — Wrong Code")))</f>
        <v>Pending</v>
      </c>
      <c r="L92" s="27"/>
      <c r="M92" s="84"/>
      <c r="N92" s="94"/>
    </row>
    <row r="93" spans="1:14" x14ac:dyDescent="0.25">
      <c r="A93" s="85" t="str">
        <f t="shared" si="8"/>
        <v/>
      </c>
      <c r="B93" s="79"/>
      <c r="C93" s="21" t="str">
        <f>IF(B93="","",IFERROR(VLOOKUP(B93,DB_Customers!$A:$D,4,0),"❌ Account Not Found"))</f>
        <v/>
      </c>
      <c r="D93" s="81" t="str">
        <f t="shared" ca="1" si="9"/>
        <v/>
      </c>
      <c r="E93" s="104"/>
      <c r="F93" s="21"/>
      <c r="G93" s="110"/>
      <c r="H93" s="111"/>
      <c r="I93" s="107" t="str">
        <f t="shared" si="10"/>
        <v/>
      </c>
      <c r="J93" s="112" t="str">
        <f t="shared" si="11"/>
        <v/>
      </c>
      <c r="K93" s="113" t="str">
        <f>IF(B93="","Pending",IF(M93="","⚠️ Enter Code",IF(IFERROR(VLOOKUP(L93,DB_Agents!$B:$I,8,0),"")=M93,"Pending","🔒 BLOCKED — Wrong Code")))</f>
        <v>Pending</v>
      </c>
      <c r="L93" s="23"/>
      <c r="M93" s="84"/>
      <c r="N93" s="87"/>
    </row>
    <row r="94" spans="1:14" x14ac:dyDescent="0.25">
      <c r="A94" s="92" t="str">
        <f t="shared" si="8"/>
        <v/>
      </c>
      <c r="B94" s="88"/>
      <c r="C94" s="25" t="str">
        <f>IF(B94="","",IFERROR(VLOOKUP(B94,DB_Customers!$A:$D,4,0),"❌ Account Not Found"))</f>
        <v/>
      </c>
      <c r="D94" s="90" t="str">
        <f t="shared" ca="1" si="9"/>
        <v/>
      </c>
      <c r="E94" s="104"/>
      <c r="F94" s="25"/>
      <c r="G94" s="105"/>
      <c r="H94" s="106"/>
      <c r="I94" s="107" t="str">
        <f t="shared" si="10"/>
        <v/>
      </c>
      <c r="J94" s="108" t="str">
        <f t="shared" si="11"/>
        <v/>
      </c>
      <c r="K94" s="109" t="str">
        <f>IF(B94="","Pending",IF(M94="","⚠️ Enter Code",IF(IFERROR(VLOOKUP(L94,DB_Agents!$B:$I,8,0),"")=M94,"Pending","🔒 BLOCKED — Wrong Code")))</f>
        <v>Pending</v>
      </c>
      <c r="L94" s="27"/>
      <c r="M94" s="84"/>
      <c r="N94" s="94"/>
    </row>
    <row r="95" spans="1:14" x14ac:dyDescent="0.25">
      <c r="A95" s="85" t="str">
        <f t="shared" si="8"/>
        <v/>
      </c>
      <c r="B95" s="79"/>
      <c r="C95" s="21" t="str">
        <f>IF(B95="","",IFERROR(VLOOKUP(B95,DB_Customers!$A:$D,4,0),"❌ Account Not Found"))</f>
        <v/>
      </c>
      <c r="D95" s="81" t="str">
        <f t="shared" ca="1" si="9"/>
        <v/>
      </c>
      <c r="E95" s="104"/>
      <c r="F95" s="21"/>
      <c r="G95" s="110"/>
      <c r="H95" s="111"/>
      <c r="I95" s="107" t="str">
        <f t="shared" si="10"/>
        <v/>
      </c>
      <c r="J95" s="112" t="str">
        <f t="shared" si="11"/>
        <v/>
      </c>
      <c r="K95" s="113" t="str">
        <f>IF(B95="","Pending",IF(M95="","⚠️ Enter Code",IF(IFERROR(VLOOKUP(L95,DB_Agents!$B:$I,8,0),"")=M95,"Pending","🔒 BLOCKED — Wrong Code")))</f>
        <v>Pending</v>
      </c>
      <c r="L95" s="23"/>
      <c r="M95" s="84"/>
      <c r="N95" s="87"/>
    </row>
    <row r="96" spans="1:14" x14ac:dyDescent="0.25">
      <c r="A96" s="92" t="str">
        <f t="shared" si="8"/>
        <v/>
      </c>
      <c r="B96" s="88"/>
      <c r="C96" s="25" t="str">
        <f>IF(B96="","",IFERROR(VLOOKUP(B96,DB_Customers!$A:$D,4,0),"❌ Account Not Found"))</f>
        <v/>
      </c>
      <c r="D96" s="90" t="str">
        <f t="shared" ca="1" si="9"/>
        <v/>
      </c>
      <c r="E96" s="104"/>
      <c r="F96" s="25"/>
      <c r="G96" s="105"/>
      <c r="H96" s="106"/>
      <c r="I96" s="107" t="str">
        <f t="shared" si="10"/>
        <v/>
      </c>
      <c r="J96" s="108" t="str">
        <f t="shared" si="11"/>
        <v/>
      </c>
      <c r="K96" s="109" t="str">
        <f>IF(B96="","Pending",IF(M96="","⚠️ Enter Code",IF(IFERROR(VLOOKUP(L96,DB_Agents!$B:$I,8,0),"")=M96,"Pending","🔒 BLOCKED — Wrong Code")))</f>
        <v>Pending</v>
      </c>
      <c r="L96" s="27"/>
      <c r="M96" s="84"/>
      <c r="N96" s="94"/>
    </row>
    <row r="97" spans="1:14" x14ac:dyDescent="0.25">
      <c r="A97" s="85" t="str">
        <f t="shared" si="8"/>
        <v/>
      </c>
      <c r="B97" s="79"/>
      <c r="C97" s="21" t="str">
        <f>IF(B97="","",IFERROR(VLOOKUP(B97,DB_Customers!$A:$D,4,0),"❌ Account Not Found"))</f>
        <v/>
      </c>
      <c r="D97" s="81" t="str">
        <f t="shared" ca="1" si="9"/>
        <v/>
      </c>
      <c r="E97" s="104"/>
      <c r="F97" s="21"/>
      <c r="G97" s="110"/>
      <c r="H97" s="111"/>
      <c r="I97" s="107" t="str">
        <f t="shared" si="10"/>
        <v/>
      </c>
      <c r="J97" s="112" t="str">
        <f t="shared" si="11"/>
        <v/>
      </c>
      <c r="K97" s="113" t="str">
        <f>IF(B97="","Pending",IF(M97="","⚠️ Enter Code",IF(IFERROR(VLOOKUP(L97,DB_Agents!$B:$I,8,0),"")=M97,"Pending","🔒 BLOCKED — Wrong Code")))</f>
        <v>Pending</v>
      </c>
      <c r="L97" s="23"/>
      <c r="M97" s="84"/>
      <c r="N97" s="87"/>
    </row>
    <row r="98" spans="1:14" x14ac:dyDescent="0.25">
      <c r="A98" s="92" t="str">
        <f t="shared" si="8"/>
        <v/>
      </c>
      <c r="B98" s="88"/>
      <c r="C98" s="25" t="str">
        <f>IF(B98="","",IFERROR(VLOOKUP(B98,DB_Customers!$A:$D,4,0),"❌ Account Not Found"))</f>
        <v/>
      </c>
      <c r="D98" s="90" t="str">
        <f t="shared" ca="1" si="9"/>
        <v/>
      </c>
      <c r="E98" s="104"/>
      <c r="F98" s="25"/>
      <c r="G98" s="105"/>
      <c r="H98" s="106"/>
      <c r="I98" s="107" t="str">
        <f t="shared" si="10"/>
        <v/>
      </c>
      <c r="J98" s="108" t="str">
        <f t="shared" si="11"/>
        <v/>
      </c>
      <c r="K98" s="109" t="str">
        <f>IF(B98="","Pending",IF(M98="","⚠️ Enter Code",IF(IFERROR(VLOOKUP(L98,DB_Agents!$B:$I,8,0),"")=M98,"Pending","🔒 BLOCKED — Wrong Code")))</f>
        <v>Pending</v>
      </c>
      <c r="L98" s="27"/>
      <c r="M98" s="84"/>
      <c r="N98" s="94"/>
    </row>
    <row r="99" spans="1:14" x14ac:dyDescent="0.25">
      <c r="A99" s="85" t="str">
        <f t="shared" si="8"/>
        <v/>
      </c>
      <c r="B99" s="79"/>
      <c r="C99" s="21" t="str">
        <f>IF(B99="","",IFERROR(VLOOKUP(B99,DB_Customers!$A:$D,4,0),"❌ Account Not Found"))</f>
        <v/>
      </c>
      <c r="D99" s="81" t="str">
        <f t="shared" ca="1" si="9"/>
        <v/>
      </c>
      <c r="E99" s="104"/>
      <c r="F99" s="21"/>
      <c r="G99" s="110"/>
      <c r="H99" s="111"/>
      <c r="I99" s="107" t="str">
        <f t="shared" si="10"/>
        <v/>
      </c>
      <c r="J99" s="112" t="str">
        <f t="shared" si="11"/>
        <v/>
      </c>
      <c r="K99" s="113" t="str">
        <f>IF(B99="","Pending",IF(M99="","⚠️ Enter Code",IF(IFERROR(VLOOKUP(L99,DB_Agents!$B:$I,8,0),"")=M99,"Pending","🔒 BLOCKED — Wrong Code")))</f>
        <v>Pending</v>
      </c>
      <c r="L99" s="23"/>
      <c r="M99" s="84"/>
      <c r="N99" s="87"/>
    </row>
    <row r="100" spans="1:14" x14ac:dyDescent="0.25">
      <c r="A100" s="92" t="str">
        <f t="shared" si="8"/>
        <v/>
      </c>
      <c r="B100" s="88"/>
      <c r="C100" s="25" t="str">
        <f>IF(B100="","",IFERROR(VLOOKUP(B100,DB_Customers!$A:$D,4,0),"❌ Account Not Found"))</f>
        <v/>
      </c>
      <c r="D100" s="90" t="str">
        <f t="shared" ca="1" si="9"/>
        <v/>
      </c>
      <c r="E100" s="104"/>
      <c r="F100" s="25"/>
      <c r="G100" s="105"/>
      <c r="H100" s="106"/>
      <c r="I100" s="107" t="str">
        <f t="shared" si="10"/>
        <v/>
      </c>
      <c r="J100" s="108" t="str">
        <f t="shared" si="11"/>
        <v/>
      </c>
      <c r="K100" s="109" t="str">
        <f>IF(B100="","Pending",IF(M100="","⚠️ Enter Code",IF(IFERROR(VLOOKUP(L100,DB_Agents!$B:$I,8,0),"")=M100,"Pending","🔒 BLOCKED — Wrong Code")))</f>
        <v>Pending</v>
      </c>
      <c r="L100" s="27"/>
      <c r="M100" s="84"/>
      <c r="N100" s="94"/>
    </row>
    <row r="101" spans="1:14" x14ac:dyDescent="0.25">
      <c r="A101" s="85" t="str">
        <f t="shared" si="8"/>
        <v/>
      </c>
      <c r="B101" s="79"/>
      <c r="C101" s="21" t="str">
        <f>IF(B101="","",IFERROR(VLOOKUP(B101,DB_Customers!$A:$D,4,0),"❌ Account Not Found"))</f>
        <v/>
      </c>
      <c r="D101" s="81" t="str">
        <f t="shared" ca="1" si="9"/>
        <v/>
      </c>
      <c r="E101" s="104"/>
      <c r="F101" s="21"/>
      <c r="G101" s="110"/>
      <c r="H101" s="111"/>
      <c r="I101" s="107" t="str">
        <f t="shared" si="10"/>
        <v/>
      </c>
      <c r="J101" s="112" t="str">
        <f t="shared" si="11"/>
        <v/>
      </c>
      <c r="K101" s="113" t="str">
        <f>IF(B101="","Pending",IF(M101="","⚠️ Enter Code",IF(IFERROR(VLOOKUP(L101,DB_Agents!$B:$I,8,0),"")=M101,"Pending","🔒 BLOCKED — Wrong Code")))</f>
        <v>Pending</v>
      </c>
      <c r="L101" s="23"/>
      <c r="M101" s="84"/>
      <c r="N101" s="87"/>
    </row>
    <row r="102" spans="1:14" x14ac:dyDescent="0.25">
      <c r="A102" s="92" t="str">
        <f t="shared" si="8"/>
        <v/>
      </c>
      <c r="B102" s="88"/>
      <c r="C102" s="25" t="str">
        <f>IF(B102="","",IFERROR(VLOOKUP(B102,DB_Customers!$A:$D,4,0),"❌ Account Not Found"))</f>
        <v/>
      </c>
      <c r="D102" s="90" t="str">
        <f t="shared" ca="1" si="9"/>
        <v/>
      </c>
      <c r="E102" s="104"/>
      <c r="F102" s="25"/>
      <c r="G102" s="105"/>
      <c r="H102" s="106"/>
      <c r="I102" s="107" t="str">
        <f t="shared" si="10"/>
        <v/>
      </c>
      <c r="J102" s="108" t="str">
        <f t="shared" si="11"/>
        <v/>
      </c>
      <c r="K102" s="109" t="str">
        <f>IF(B102="","Pending",IF(M102="","⚠️ Enter Code",IF(IFERROR(VLOOKUP(L102,DB_Agents!$B:$I,8,0),"")=M102,"Pending","🔒 BLOCKED — Wrong Code")))</f>
        <v>Pending</v>
      </c>
      <c r="L102" s="27"/>
      <c r="M102" s="84"/>
      <c r="N102" s="94"/>
    </row>
    <row r="103" spans="1:14" x14ac:dyDescent="0.25">
      <c r="A103" s="85" t="str">
        <f t="shared" si="8"/>
        <v/>
      </c>
      <c r="B103" s="79"/>
      <c r="C103" s="21" t="str">
        <f>IF(B103="","",IFERROR(VLOOKUP(B103,DB_Customers!$A:$D,4,0),"❌ Account Not Found"))</f>
        <v/>
      </c>
      <c r="D103" s="81" t="str">
        <f t="shared" ca="1" si="9"/>
        <v/>
      </c>
      <c r="E103" s="104"/>
      <c r="F103" s="21"/>
      <c r="G103" s="110"/>
      <c r="H103" s="111"/>
      <c r="I103" s="107" t="str">
        <f t="shared" si="10"/>
        <v/>
      </c>
      <c r="J103" s="112" t="str">
        <f t="shared" si="11"/>
        <v/>
      </c>
      <c r="K103" s="113" t="str">
        <f>IF(B103="","Pending",IF(M103="","⚠️ Enter Code",IF(IFERROR(VLOOKUP(L103,DB_Agents!$B:$I,8,0),"")=M103,"Pending","🔒 BLOCKED — Wrong Code")))</f>
        <v>Pending</v>
      </c>
      <c r="L103" s="23"/>
      <c r="M103" s="84"/>
      <c r="N103" s="87"/>
    </row>
    <row r="104" spans="1:14" x14ac:dyDescent="0.25">
      <c r="A104" s="92" t="str">
        <f t="shared" si="8"/>
        <v/>
      </c>
      <c r="B104" s="88"/>
      <c r="C104" s="25" t="str">
        <f>IF(B104="","",IFERROR(VLOOKUP(B104,DB_Customers!$A:$D,4,0),"❌ Account Not Found"))</f>
        <v/>
      </c>
      <c r="D104" s="90" t="str">
        <f t="shared" ca="1" si="9"/>
        <v/>
      </c>
      <c r="E104" s="104"/>
      <c r="F104" s="25"/>
      <c r="G104" s="105"/>
      <c r="H104" s="106"/>
      <c r="I104" s="107" t="str">
        <f t="shared" si="10"/>
        <v/>
      </c>
      <c r="J104" s="108" t="str">
        <f t="shared" si="11"/>
        <v/>
      </c>
      <c r="K104" s="109" t="str">
        <f>IF(B104="","Pending",IF(M104="","⚠️ Enter Code",IF(IFERROR(VLOOKUP(L104,DB_Agents!$B:$I,8,0),"")=M104,"Pending","🔒 BLOCKED — Wrong Code")))</f>
        <v>Pending</v>
      </c>
      <c r="L104" s="27"/>
      <c r="M104" s="84"/>
      <c r="N104" s="94"/>
    </row>
    <row r="105" spans="1:14" x14ac:dyDescent="0.25">
      <c r="A105" s="85" t="str">
        <f t="shared" si="8"/>
        <v/>
      </c>
      <c r="B105" s="79"/>
      <c r="C105" s="21" t="str">
        <f>IF(B105="","",IFERROR(VLOOKUP(B105,DB_Customers!$A:$D,4,0),"❌ Account Not Found"))</f>
        <v/>
      </c>
      <c r="D105" s="81" t="str">
        <f t="shared" ca="1" si="9"/>
        <v/>
      </c>
      <c r="E105" s="104"/>
      <c r="F105" s="21"/>
      <c r="G105" s="110"/>
      <c r="H105" s="111"/>
      <c r="I105" s="107" t="str">
        <f t="shared" si="10"/>
        <v/>
      </c>
      <c r="J105" s="112" t="str">
        <f t="shared" si="11"/>
        <v/>
      </c>
      <c r="K105" s="113" t="str">
        <f>IF(B105="","Pending",IF(M105="","⚠️ Enter Code",IF(IFERROR(VLOOKUP(L105,DB_Agents!$B:$I,8,0),"")=M105,"Pending","🔒 BLOCKED — Wrong Code")))</f>
        <v>Pending</v>
      </c>
      <c r="L105" s="23"/>
      <c r="M105" s="84"/>
      <c r="N105" s="87"/>
    </row>
    <row r="106" spans="1:14" x14ac:dyDescent="0.25">
      <c r="A106" s="92" t="str">
        <f t="shared" si="8"/>
        <v/>
      </c>
      <c r="B106" s="88"/>
      <c r="C106" s="25" t="str">
        <f>IF(B106="","",IFERROR(VLOOKUP(B106,DB_Customers!$A:$D,4,0),"❌ Account Not Found"))</f>
        <v/>
      </c>
      <c r="D106" s="90" t="str">
        <f t="shared" ca="1" si="9"/>
        <v/>
      </c>
      <c r="E106" s="104"/>
      <c r="F106" s="25"/>
      <c r="G106" s="105"/>
      <c r="H106" s="106"/>
      <c r="I106" s="107" t="str">
        <f t="shared" si="10"/>
        <v/>
      </c>
      <c r="J106" s="108" t="str">
        <f t="shared" si="11"/>
        <v/>
      </c>
      <c r="K106" s="109" t="str">
        <f>IF(B106="","Pending",IF(M106="","⚠️ Enter Code",IF(IFERROR(VLOOKUP(L106,DB_Agents!$B:$I,8,0),"")=M106,"Pending","🔒 BLOCKED — Wrong Code")))</f>
        <v>Pending</v>
      </c>
      <c r="L106" s="27"/>
      <c r="M106" s="84"/>
      <c r="N106" s="94"/>
    </row>
    <row r="107" spans="1:14" x14ac:dyDescent="0.25">
      <c r="A107" s="85" t="str">
        <f t="shared" si="8"/>
        <v/>
      </c>
      <c r="B107" s="79"/>
      <c r="C107" s="21" t="str">
        <f>IF(B107="","",IFERROR(VLOOKUP(B107,DB_Customers!$A:$D,4,0),"❌ Account Not Found"))</f>
        <v/>
      </c>
      <c r="D107" s="81" t="str">
        <f t="shared" ca="1" si="9"/>
        <v/>
      </c>
      <c r="E107" s="104"/>
      <c r="F107" s="21"/>
      <c r="G107" s="110"/>
      <c r="H107" s="111"/>
      <c r="I107" s="107" t="str">
        <f t="shared" si="10"/>
        <v/>
      </c>
      <c r="J107" s="112" t="str">
        <f t="shared" si="11"/>
        <v/>
      </c>
      <c r="K107" s="113" t="str">
        <f>IF(B107="","Pending",IF(M107="","⚠️ Enter Code",IF(IFERROR(VLOOKUP(L107,DB_Agents!$B:$I,8,0),"")=M107,"Pending","🔒 BLOCKED — Wrong Code")))</f>
        <v>Pending</v>
      </c>
      <c r="L107" s="23"/>
      <c r="M107" s="84"/>
      <c r="N107" s="87"/>
    </row>
    <row r="108" spans="1:14" x14ac:dyDescent="0.25">
      <c r="A108" s="92" t="str">
        <f t="shared" si="8"/>
        <v/>
      </c>
      <c r="B108" s="88"/>
      <c r="C108" s="25" t="str">
        <f>IF(B108="","",IFERROR(VLOOKUP(B108,DB_Customers!$A:$D,4,0),"❌ Account Not Found"))</f>
        <v/>
      </c>
      <c r="D108" s="90" t="str">
        <f t="shared" ca="1" si="9"/>
        <v/>
      </c>
      <c r="E108" s="104"/>
      <c r="F108" s="25"/>
      <c r="G108" s="105"/>
      <c r="H108" s="106"/>
      <c r="I108" s="107" t="str">
        <f t="shared" si="10"/>
        <v/>
      </c>
      <c r="J108" s="108" t="str">
        <f t="shared" si="11"/>
        <v/>
      </c>
      <c r="K108" s="109" t="str">
        <f>IF(B108="","Pending",IF(M108="","⚠️ Enter Code",IF(IFERROR(VLOOKUP(L108,DB_Agents!$B:$I,8,0),"")=M108,"Pending","🔒 BLOCKED — Wrong Code")))</f>
        <v>Pending</v>
      </c>
      <c r="L108" s="27"/>
      <c r="M108" s="84"/>
      <c r="N108" s="94"/>
    </row>
    <row r="109" spans="1:14" x14ac:dyDescent="0.25">
      <c r="A109" s="85" t="str">
        <f t="shared" si="8"/>
        <v/>
      </c>
      <c r="B109" s="79"/>
      <c r="C109" s="21" t="str">
        <f>IF(B109="","",IFERROR(VLOOKUP(B109,DB_Customers!$A:$D,4,0),"❌ Account Not Found"))</f>
        <v/>
      </c>
      <c r="D109" s="81" t="str">
        <f t="shared" ca="1" si="9"/>
        <v/>
      </c>
      <c r="E109" s="104"/>
      <c r="F109" s="21"/>
      <c r="G109" s="110"/>
      <c r="H109" s="111"/>
      <c r="I109" s="107" t="str">
        <f t="shared" si="10"/>
        <v/>
      </c>
      <c r="J109" s="112" t="str">
        <f t="shared" si="11"/>
        <v/>
      </c>
      <c r="K109" s="113" t="str">
        <f>IF(B109="","Pending",IF(M109="","⚠️ Enter Code",IF(IFERROR(VLOOKUP(L109,DB_Agents!$B:$I,8,0),"")=M109,"Pending","🔒 BLOCKED — Wrong Code")))</f>
        <v>Pending</v>
      </c>
      <c r="L109" s="23"/>
      <c r="M109" s="84"/>
      <c r="N109" s="87"/>
    </row>
    <row r="110" spans="1:14" x14ac:dyDescent="0.25">
      <c r="A110" s="92" t="str">
        <f t="shared" ref="A110:A141" si="12">IF(B110="","",IF(C110="❌ Account Not Found","INVALID","LN"&amp;TEXT(D110,"YYYYMMDD")&amp;TEXT(ROW()-13,"0000")))</f>
        <v/>
      </c>
      <c r="B110" s="88"/>
      <c r="C110" s="25" t="str">
        <f>IF(B110="","",IFERROR(VLOOKUP(B110,DB_Customers!$A:$D,4,0),"❌ Account Not Found"))</f>
        <v/>
      </c>
      <c r="D110" s="90" t="str">
        <f t="shared" ca="1" si="9"/>
        <v/>
      </c>
      <c r="E110" s="104"/>
      <c r="F110" s="25"/>
      <c r="G110" s="105"/>
      <c r="H110" s="106"/>
      <c r="I110" s="107" t="str">
        <f t="shared" ref="I110:I141" si="13">IF(E110="","",E110+(E110*H110/100*G110))</f>
        <v/>
      </c>
      <c r="J110" s="108" t="str">
        <f t="shared" ref="J110:J141" si="14">IFERROR(I110/G110,"")</f>
        <v/>
      </c>
      <c r="K110" s="109" t="str">
        <f>IF(B110="","Pending",IF(M110="","⚠️ Enter Code",IF(IFERROR(VLOOKUP(L110,DB_Agents!$B:$I,8,0),"")=M110,"Pending","🔒 BLOCKED — Wrong Code")))</f>
        <v>Pending</v>
      </c>
      <c r="L110" s="27"/>
      <c r="M110" s="84"/>
      <c r="N110" s="94"/>
    </row>
    <row r="111" spans="1:14" x14ac:dyDescent="0.25">
      <c r="A111" s="85" t="str">
        <f t="shared" si="12"/>
        <v/>
      </c>
      <c r="B111" s="79"/>
      <c r="C111" s="21" t="str">
        <f>IF(B111="","",IFERROR(VLOOKUP(B111,DB_Customers!$A:$D,4,0),"❌ Account Not Found"))</f>
        <v/>
      </c>
      <c r="D111" s="81" t="str">
        <f t="shared" ca="1" si="9"/>
        <v/>
      </c>
      <c r="E111" s="104"/>
      <c r="F111" s="21"/>
      <c r="G111" s="110"/>
      <c r="H111" s="111"/>
      <c r="I111" s="107" t="str">
        <f t="shared" si="13"/>
        <v/>
      </c>
      <c r="J111" s="112" t="str">
        <f t="shared" si="14"/>
        <v/>
      </c>
      <c r="K111" s="113" t="str">
        <f>IF(B111="","Pending",IF(M111="","⚠️ Enter Code",IF(IFERROR(VLOOKUP(L111,DB_Agents!$B:$I,8,0),"")=M111,"Pending","🔒 BLOCKED — Wrong Code")))</f>
        <v>Pending</v>
      </c>
      <c r="L111" s="23"/>
      <c r="M111" s="84"/>
      <c r="N111" s="87"/>
    </row>
    <row r="112" spans="1:14" x14ac:dyDescent="0.25">
      <c r="A112" s="92" t="str">
        <f t="shared" si="12"/>
        <v/>
      </c>
      <c r="B112" s="88"/>
      <c r="C112" s="25" t="str">
        <f>IF(B112="","",IFERROR(VLOOKUP(B112,DB_Customers!$A:$D,4,0),"❌ Account Not Found"))</f>
        <v/>
      </c>
      <c r="D112" s="90" t="str">
        <f t="shared" ca="1" si="9"/>
        <v/>
      </c>
      <c r="E112" s="104"/>
      <c r="F112" s="25"/>
      <c r="G112" s="105"/>
      <c r="H112" s="106"/>
      <c r="I112" s="107" t="str">
        <f t="shared" si="13"/>
        <v/>
      </c>
      <c r="J112" s="108" t="str">
        <f t="shared" si="14"/>
        <v/>
      </c>
      <c r="K112" s="109" t="str">
        <f>IF(B112="","Pending",IF(M112="","⚠️ Enter Code",IF(IFERROR(VLOOKUP(L112,DB_Agents!$B:$I,8,0),"")=M112,"Pending","🔒 BLOCKED — Wrong Code")))</f>
        <v>Pending</v>
      </c>
      <c r="L112" s="27"/>
      <c r="M112" s="84"/>
      <c r="N112" s="94"/>
    </row>
    <row r="113" spans="1:14" x14ac:dyDescent="0.25">
      <c r="A113" s="85" t="str">
        <f t="shared" si="12"/>
        <v/>
      </c>
      <c r="B113" s="79"/>
      <c r="C113" s="21" t="str">
        <f>IF(B113="","",IFERROR(VLOOKUP(B113,DB_Customers!$A:$D,4,0),"❌ Account Not Found"))</f>
        <v/>
      </c>
      <c r="D113" s="81" t="str">
        <f t="shared" ca="1" si="9"/>
        <v/>
      </c>
      <c r="E113" s="104"/>
      <c r="F113" s="21"/>
      <c r="G113" s="110"/>
      <c r="H113" s="111"/>
      <c r="I113" s="107" t="str">
        <f t="shared" si="13"/>
        <v/>
      </c>
      <c r="J113" s="112" t="str">
        <f t="shared" si="14"/>
        <v/>
      </c>
      <c r="K113" s="113" t="str">
        <f>IF(B113="","Pending",IF(M113="","⚠️ Enter Code",IF(IFERROR(VLOOKUP(L113,DB_Agents!$B:$I,8,0),"")=M113,"Pending","🔒 BLOCKED — Wrong Code")))</f>
        <v>Pending</v>
      </c>
      <c r="L113" s="23"/>
      <c r="M113" s="84"/>
      <c r="N113" s="87"/>
    </row>
    <row r="114" spans="1:14" x14ac:dyDescent="0.25">
      <c r="H114" s="114"/>
      <c r="K114" s="115" t="str">
        <f>IF(B114="","Pending",IF(M114="","⚠️ Enter Code",IF(IFERROR(VLOOKUP(L114,DB_Agents!$B:$I,8,0),"")=M114,"Pending","🔒 BLOCKED — Wrong Code")))</f>
        <v>Pending</v>
      </c>
      <c r="M114" s="84"/>
    </row>
    <row r="115" spans="1:14" x14ac:dyDescent="0.25">
      <c r="H115" s="114"/>
      <c r="K115" s="15" t="str">
        <f>IF(B115="","Pending",IF(M115="","⚠️ Enter Code",IF(IFERROR(VLOOKUP(L115,DB_Agents!$B:$I,8,0),"")=M115,"Pending","🔒 BLOCKED — Wrong Code")))</f>
        <v>Pending</v>
      </c>
      <c r="M115" s="84"/>
    </row>
    <row r="116" spans="1:14" x14ac:dyDescent="0.25">
      <c r="H116" s="114"/>
      <c r="K116" s="115" t="str">
        <f>IF(B116="","Pending",IF(M116="","⚠️ Enter Code",IF(IFERROR(VLOOKUP(L116,DB_Agents!$B:$I,8,0),"")=M116,"Pending","🔒 BLOCKED — Wrong Code")))</f>
        <v>Pending</v>
      </c>
      <c r="M116" s="84"/>
    </row>
    <row r="117" spans="1:14" x14ac:dyDescent="0.25">
      <c r="H117" s="114"/>
      <c r="K117" s="15" t="str">
        <f>IF(B117="","Pending",IF(M117="","⚠️ Enter Code",IF(IFERROR(VLOOKUP(L117,DB_Agents!$B:$I,8,0),"")=M117,"Pending","🔒 BLOCKED — Wrong Code")))</f>
        <v>Pending</v>
      </c>
      <c r="M117" s="84"/>
    </row>
    <row r="118" spans="1:14" x14ac:dyDescent="0.25">
      <c r="H118" s="114"/>
      <c r="K118" s="115" t="str">
        <f>IF(B118="","Pending",IF(M118="","⚠️ Enter Code",IF(IFERROR(VLOOKUP(L118,DB_Agents!$B:$I,8,0),"")=M118,"Pending","🔒 BLOCKED — Wrong Code")))</f>
        <v>Pending</v>
      </c>
      <c r="M118" s="84"/>
    </row>
    <row r="119" spans="1:14" x14ac:dyDescent="0.25">
      <c r="H119" s="114"/>
      <c r="K119" s="15" t="str">
        <f>IF(B119="","Pending",IF(M119="","⚠️ Enter Code",IF(IFERROR(VLOOKUP(L119,DB_Agents!$B:$I,8,0),"")=M119,"Pending","🔒 BLOCKED — Wrong Code")))</f>
        <v>Pending</v>
      </c>
      <c r="M119" s="84"/>
    </row>
    <row r="120" spans="1:14" x14ac:dyDescent="0.25">
      <c r="H120" s="114"/>
      <c r="K120" s="115" t="str">
        <f>IF(B120="","Pending",IF(M120="","⚠️ Enter Code",IF(IFERROR(VLOOKUP(L120,DB_Agents!$B:$I,8,0),"")=M120,"Pending","🔒 BLOCKED — Wrong Code")))</f>
        <v>Pending</v>
      </c>
      <c r="M120" s="84"/>
    </row>
    <row r="121" spans="1:14" x14ac:dyDescent="0.25">
      <c r="H121" s="114"/>
      <c r="K121" s="15" t="str">
        <f>IF(B121="","Pending",IF(M121="","⚠️ Enter Code",IF(IFERROR(VLOOKUP(L121,DB_Agents!$B:$I,8,0),"")=M121,"Pending","🔒 BLOCKED — Wrong Code")))</f>
        <v>Pending</v>
      </c>
      <c r="M121" s="84"/>
    </row>
    <row r="122" spans="1:14" x14ac:dyDescent="0.25">
      <c r="H122" s="114"/>
      <c r="K122" s="115" t="str">
        <f>IF(B122="","Pending",IF(M122="","⚠️ Enter Code",IF(IFERROR(VLOOKUP(L122,DB_Agents!$B:$I,8,0),"")=M122,"Pending","🔒 BLOCKED — Wrong Code")))</f>
        <v>Pending</v>
      </c>
      <c r="M122" s="84"/>
    </row>
    <row r="123" spans="1:14" x14ac:dyDescent="0.25">
      <c r="H123" s="114"/>
      <c r="K123" s="15" t="str">
        <f>IF(B123="","Pending",IF(M123="","⚠️ Enter Code",IF(IFERROR(VLOOKUP(L123,DB_Agents!$B:$I,8,0),"")=M123,"Pending","🔒 BLOCKED — Wrong Code")))</f>
        <v>Pending</v>
      </c>
      <c r="M123" s="84"/>
    </row>
    <row r="124" spans="1:14" x14ac:dyDescent="0.25">
      <c r="H124" s="114"/>
      <c r="K124" s="115" t="str">
        <f>IF(B124="","Pending",IF(M124="","⚠️ Enter Code",IF(IFERROR(VLOOKUP(L124,DB_Agents!$B:$I,8,0),"")=M124,"Pending","🔒 BLOCKED — Wrong Code")))</f>
        <v>Pending</v>
      </c>
      <c r="M124" s="84"/>
    </row>
    <row r="125" spans="1:14" x14ac:dyDescent="0.25">
      <c r="H125" s="114"/>
      <c r="K125" s="15" t="str">
        <f>IF(B125="","Pending",IF(M125="","⚠️ Enter Code",IF(IFERROR(VLOOKUP(L125,DB_Agents!$B:$I,8,0),"")=M125,"Pending","🔒 BLOCKED — Wrong Code")))</f>
        <v>Pending</v>
      </c>
      <c r="M125" s="84"/>
    </row>
    <row r="126" spans="1:14" x14ac:dyDescent="0.25">
      <c r="H126" s="114"/>
      <c r="K126" s="115" t="str">
        <f>IF(B126="","Pending",IF(M126="","⚠️ Enter Code",IF(IFERROR(VLOOKUP(L126,DB_Agents!$B:$I,8,0),"")=M126,"Pending","🔒 BLOCKED — Wrong Code")))</f>
        <v>Pending</v>
      </c>
      <c r="M126" s="84"/>
    </row>
    <row r="127" spans="1:14" x14ac:dyDescent="0.25">
      <c r="H127" s="114"/>
      <c r="K127" s="15" t="str">
        <f>IF(B127="","Pending",IF(M127="","⚠️ Enter Code",IF(IFERROR(VLOOKUP(L127,DB_Agents!$B:$I,8,0),"")=M127,"Pending","🔒 BLOCKED — Wrong Code")))</f>
        <v>Pending</v>
      </c>
      <c r="M127" s="84"/>
    </row>
    <row r="128" spans="1:14" x14ac:dyDescent="0.25">
      <c r="H128" s="114"/>
      <c r="K128" s="115" t="str">
        <f>IF(B128="","Pending",IF(M128="","⚠️ Enter Code",IF(IFERROR(VLOOKUP(L128,DB_Agents!$B:$I,8,0),"")=M128,"Pending","🔒 BLOCKED — Wrong Code")))</f>
        <v>Pending</v>
      </c>
      <c r="M128" s="84"/>
    </row>
    <row r="129" spans="8:13" x14ac:dyDescent="0.25">
      <c r="H129" s="114"/>
      <c r="K129" s="15" t="str">
        <f>IF(B129="","Pending",IF(M129="","⚠️ Enter Code",IF(IFERROR(VLOOKUP(L129,DB_Agents!$B:$I,8,0),"")=M129,"Pending","🔒 BLOCKED — Wrong Code")))</f>
        <v>Pending</v>
      </c>
      <c r="M129" s="84"/>
    </row>
    <row r="130" spans="8:13" x14ac:dyDescent="0.25">
      <c r="H130" s="114"/>
      <c r="K130" s="115" t="str">
        <f>IF(B130="","Pending",IF(M130="","⚠️ Enter Code",IF(IFERROR(VLOOKUP(L130,DB_Agents!$B:$I,8,0),"")=M130,"Pending","🔒 BLOCKED — Wrong Code")))</f>
        <v>Pending</v>
      </c>
      <c r="M130" s="84"/>
    </row>
    <row r="131" spans="8:13" x14ac:dyDescent="0.25">
      <c r="H131" s="114"/>
      <c r="K131" s="15" t="str">
        <f>IF(B131="","Pending",IF(M131="","⚠️ Enter Code",IF(IFERROR(VLOOKUP(L131,DB_Agents!$B:$I,8,0),"")=M131,"Pending","🔒 BLOCKED — Wrong Code")))</f>
        <v>Pending</v>
      </c>
      <c r="M131" s="84"/>
    </row>
    <row r="132" spans="8:13" x14ac:dyDescent="0.25">
      <c r="H132" s="114"/>
      <c r="K132" s="115" t="str">
        <f>IF(B132="","Pending",IF(M132="","⚠️ Enter Code",IF(IFERROR(VLOOKUP(L132,DB_Agents!$B:$I,8,0),"")=M132,"Pending","🔒 BLOCKED — Wrong Code")))</f>
        <v>Pending</v>
      </c>
      <c r="M132" s="84"/>
    </row>
    <row r="133" spans="8:13" x14ac:dyDescent="0.25">
      <c r="H133" s="114"/>
      <c r="K133" s="15" t="str">
        <f>IF(B133="","Pending",IF(M133="","⚠️ Enter Code",IF(IFERROR(VLOOKUP(L133,DB_Agents!$B:$I,8,0),"")=M133,"Pending","🔒 BLOCKED — Wrong Code")))</f>
        <v>Pending</v>
      </c>
      <c r="M133" s="84"/>
    </row>
    <row r="134" spans="8:13" x14ac:dyDescent="0.25">
      <c r="H134" s="114"/>
      <c r="K134" s="115" t="str">
        <f>IF(B134="","Pending",IF(M134="","⚠️ Enter Code",IF(IFERROR(VLOOKUP(L134,DB_Agents!$B:$I,8,0),"")=M134,"Pending","🔒 BLOCKED — Wrong Code")))</f>
        <v>Pending</v>
      </c>
      <c r="M134" s="84"/>
    </row>
    <row r="135" spans="8:13" x14ac:dyDescent="0.25">
      <c r="H135" s="114"/>
      <c r="K135" s="15" t="str">
        <f>IF(B135="","Pending",IF(M135="","⚠️ Enter Code",IF(IFERROR(VLOOKUP(L135,DB_Agents!$B:$I,8,0),"")=M135,"Pending","🔒 BLOCKED — Wrong Code")))</f>
        <v>Pending</v>
      </c>
      <c r="M135" s="84"/>
    </row>
    <row r="136" spans="8:13" x14ac:dyDescent="0.25">
      <c r="H136" s="114"/>
      <c r="K136" s="115" t="str">
        <f>IF(B136="","Pending",IF(M136="","⚠️ Enter Code",IF(IFERROR(VLOOKUP(L136,DB_Agents!$B:$I,8,0),"")=M136,"Pending","🔒 BLOCKED — Wrong Code")))</f>
        <v>Pending</v>
      </c>
      <c r="M136" s="84"/>
    </row>
    <row r="137" spans="8:13" x14ac:dyDescent="0.25">
      <c r="H137" s="114"/>
      <c r="K137" s="15" t="str">
        <f>IF(B137="","Pending",IF(M137="","⚠️ Enter Code",IF(IFERROR(VLOOKUP(L137,DB_Agents!$B:$I,8,0),"")=M137,"Pending","🔒 BLOCKED — Wrong Code")))</f>
        <v>Pending</v>
      </c>
      <c r="M137" s="84"/>
    </row>
    <row r="138" spans="8:13" x14ac:dyDescent="0.25">
      <c r="H138" s="114"/>
      <c r="K138" s="115" t="str">
        <f>IF(B138="","Pending",IF(M138="","⚠️ Enter Code",IF(IFERROR(VLOOKUP(L138,DB_Agents!$B:$I,8,0),"")=M138,"Pending","🔒 BLOCKED — Wrong Code")))</f>
        <v>Pending</v>
      </c>
      <c r="M138" s="84"/>
    </row>
    <row r="139" spans="8:13" x14ac:dyDescent="0.25">
      <c r="H139" s="114"/>
      <c r="K139" s="15" t="str">
        <f>IF(B139="","Pending",IF(M139="","⚠️ Enter Code",IF(IFERROR(VLOOKUP(L139,DB_Agents!$B:$I,8,0),"")=M139,"Pending","🔒 BLOCKED — Wrong Code")))</f>
        <v>Pending</v>
      </c>
      <c r="M139" s="84"/>
    </row>
    <row r="140" spans="8:13" x14ac:dyDescent="0.25">
      <c r="H140" s="114"/>
      <c r="K140" s="115" t="str">
        <f>IF(B140="","Pending",IF(M140="","⚠️ Enter Code",IF(IFERROR(VLOOKUP(L140,DB_Agents!$B:$I,8,0),"")=M140,"Pending","🔒 BLOCKED — Wrong Code")))</f>
        <v>Pending</v>
      </c>
      <c r="M140" s="84"/>
    </row>
    <row r="141" spans="8:13" x14ac:dyDescent="0.25">
      <c r="H141" s="114"/>
      <c r="K141" s="15" t="str">
        <f>IF(B141="","Pending",IF(M141="","⚠️ Enter Code",IF(IFERROR(VLOOKUP(L141,DB_Agents!$B:$I,8,0),"")=M141,"Pending","🔒 BLOCKED — Wrong Code")))</f>
        <v>Pending</v>
      </c>
      <c r="M141" s="84"/>
    </row>
    <row r="142" spans="8:13" x14ac:dyDescent="0.25">
      <c r="H142" s="114"/>
      <c r="K142" s="115" t="str">
        <f>IF(B142="","Pending",IF(M142="","⚠️ Enter Code",IF(IFERROR(VLOOKUP(L142,DB_Agents!$B:$I,8,0),"")=M142,"Pending","🔒 BLOCKED — Wrong Code")))</f>
        <v>Pending</v>
      </c>
      <c r="M142" s="84"/>
    </row>
    <row r="143" spans="8:13" x14ac:dyDescent="0.25">
      <c r="H143" s="114"/>
      <c r="K143" s="15" t="str">
        <f>IF(B143="","Pending",IF(M143="","⚠️ Enter Code",IF(IFERROR(VLOOKUP(L143,DB_Agents!$B:$I,8,0),"")=M143,"Pending","🔒 BLOCKED — Wrong Code")))</f>
        <v>Pending</v>
      </c>
      <c r="M143" s="84"/>
    </row>
    <row r="144" spans="8:13" x14ac:dyDescent="0.25">
      <c r="H144" s="114"/>
      <c r="K144" s="115" t="str">
        <f>IF(B144="","Pending",IF(M144="","⚠️ Enter Code",IF(IFERROR(VLOOKUP(L144,DB_Agents!$B:$I,8,0),"")=M144,"Pending","🔒 BLOCKED — Wrong Code")))</f>
        <v>Pending</v>
      </c>
      <c r="M144" s="84"/>
    </row>
    <row r="145" spans="8:13" x14ac:dyDescent="0.25">
      <c r="H145" s="114"/>
      <c r="K145" s="15" t="str">
        <f>IF(B145="","Pending",IF(M145="","⚠️ Enter Code",IF(IFERROR(VLOOKUP(L145,DB_Agents!$B:$I,8,0),"")=M145,"Pending","🔒 BLOCKED — Wrong Code")))</f>
        <v>Pending</v>
      </c>
      <c r="M145" s="84"/>
    </row>
    <row r="146" spans="8:13" x14ac:dyDescent="0.25">
      <c r="H146" s="114"/>
      <c r="K146" s="115" t="str">
        <f>IF(B146="","Pending",IF(M146="","⚠️ Enter Code",IF(IFERROR(VLOOKUP(L146,DB_Agents!$B:$I,8,0),"")=M146,"Pending","🔒 BLOCKED — Wrong Code")))</f>
        <v>Pending</v>
      </c>
      <c r="M146" s="84"/>
    </row>
    <row r="147" spans="8:13" x14ac:dyDescent="0.25">
      <c r="H147" s="114"/>
      <c r="K147" s="15" t="str">
        <f>IF(B147="","Pending",IF(M147="","⚠️ Enter Code",IF(IFERROR(VLOOKUP(L147,DB_Agents!$B:$I,8,0),"")=M147,"Pending","🔒 BLOCKED — Wrong Code")))</f>
        <v>Pending</v>
      </c>
      <c r="M147" s="84"/>
    </row>
    <row r="148" spans="8:13" x14ac:dyDescent="0.25">
      <c r="H148" s="114"/>
      <c r="K148" s="115" t="str">
        <f>IF(B148="","Pending",IF(M148="","⚠️ Enter Code",IF(IFERROR(VLOOKUP(L148,DB_Agents!$B:$I,8,0),"")=M148,"Pending","🔒 BLOCKED — Wrong Code")))</f>
        <v>Pending</v>
      </c>
      <c r="M148" s="84"/>
    </row>
    <row r="149" spans="8:13" x14ac:dyDescent="0.25">
      <c r="H149" s="114"/>
      <c r="K149" s="15" t="str">
        <f>IF(B149="","Pending",IF(M149="","⚠️ Enter Code",IF(IFERROR(VLOOKUP(L149,DB_Agents!$B:$I,8,0),"")=M149,"Pending","🔒 BLOCKED — Wrong Code")))</f>
        <v>Pending</v>
      </c>
      <c r="M149" s="84"/>
    </row>
    <row r="150" spans="8:13" x14ac:dyDescent="0.25">
      <c r="H150" s="114"/>
      <c r="K150" s="115" t="str">
        <f>IF(B150="","Pending",IF(M150="","⚠️ Enter Code",IF(IFERROR(VLOOKUP(L150,DB_Agents!$B:$I,8,0),"")=M150,"Pending","🔒 BLOCKED — Wrong Code")))</f>
        <v>Pending</v>
      </c>
      <c r="M150" s="84"/>
    </row>
    <row r="151" spans="8:13" x14ac:dyDescent="0.25">
      <c r="H151" s="114"/>
      <c r="K151" s="15" t="str">
        <f>IF(B151="","Pending",IF(M151="","⚠️ Enter Code",IF(IFERROR(VLOOKUP(L151,DB_Agents!$B:$I,8,0),"")=M151,"Pending","🔒 BLOCKED — Wrong Code")))</f>
        <v>Pending</v>
      </c>
      <c r="M151" s="84"/>
    </row>
    <row r="152" spans="8:13" x14ac:dyDescent="0.25">
      <c r="H152" s="114"/>
      <c r="K152" s="115" t="str">
        <f>IF(B152="","Pending",IF(M152="","⚠️ Enter Code",IF(IFERROR(VLOOKUP(L152,DB_Agents!$B:$I,8,0),"")=M152,"Pending","🔒 BLOCKED — Wrong Code")))</f>
        <v>Pending</v>
      </c>
      <c r="M152" s="84"/>
    </row>
    <row r="153" spans="8:13" x14ac:dyDescent="0.25">
      <c r="H153" s="114"/>
      <c r="K153" s="15" t="str">
        <f>IF(B153="","Pending",IF(M153="","⚠️ Enter Code",IF(IFERROR(VLOOKUP(L153,DB_Agents!$B:$I,8,0),"")=M153,"Pending","🔒 BLOCKED — Wrong Code")))</f>
        <v>Pending</v>
      </c>
      <c r="M153" s="84"/>
    </row>
    <row r="154" spans="8:13" x14ac:dyDescent="0.25">
      <c r="H154" s="114"/>
      <c r="K154" s="115" t="str">
        <f>IF(B154="","Pending",IF(M154="","⚠️ Enter Code",IF(IFERROR(VLOOKUP(L154,DB_Agents!$B:$I,8,0),"")=M154,"Pending","🔒 BLOCKED — Wrong Code")))</f>
        <v>Pending</v>
      </c>
      <c r="M154" s="84"/>
    </row>
    <row r="155" spans="8:13" x14ac:dyDescent="0.25">
      <c r="H155" s="114"/>
      <c r="K155" s="15" t="str">
        <f>IF(B155="","Pending",IF(M155="","⚠️ Enter Code",IF(IFERROR(VLOOKUP(L155,DB_Agents!$B:$I,8,0),"")=M155,"Pending","🔒 BLOCKED — Wrong Code")))</f>
        <v>Pending</v>
      </c>
      <c r="M155" s="84"/>
    </row>
    <row r="156" spans="8:13" x14ac:dyDescent="0.25">
      <c r="H156" s="114"/>
      <c r="K156" s="115" t="str">
        <f>IF(B156="","Pending",IF(M156="","⚠️ Enter Code",IF(IFERROR(VLOOKUP(L156,DB_Agents!$B:$I,8,0),"")=M156,"Pending","🔒 BLOCKED — Wrong Code")))</f>
        <v>Pending</v>
      </c>
      <c r="M156" s="84"/>
    </row>
    <row r="157" spans="8:13" x14ac:dyDescent="0.25">
      <c r="H157" s="114"/>
      <c r="K157" s="15" t="str">
        <f>IF(B157="","Pending",IF(M157="","⚠️ Enter Code",IF(IFERROR(VLOOKUP(L157,DB_Agents!$B:$I,8,0),"")=M157,"Pending","🔒 BLOCKED — Wrong Code")))</f>
        <v>Pending</v>
      </c>
      <c r="M157" s="84"/>
    </row>
    <row r="158" spans="8:13" x14ac:dyDescent="0.25">
      <c r="H158" s="114"/>
      <c r="K158" s="115" t="str">
        <f>IF(B158="","Pending",IF(M158="","⚠️ Enter Code",IF(IFERROR(VLOOKUP(L158,DB_Agents!$B:$I,8,0),"")=M158,"Pending","🔒 BLOCKED — Wrong Code")))</f>
        <v>Pending</v>
      </c>
      <c r="M158" s="84"/>
    </row>
    <row r="159" spans="8:13" x14ac:dyDescent="0.25">
      <c r="H159" s="114"/>
      <c r="K159" s="15" t="str">
        <f>IF(B159="","Pending",IF(M159="","⚠️ Enter Code",IF(IFERROR(VLOOKUP(L159,DB_Agents!$B:$I,8,0),"")=M159,"Pending","🔒 BLOCKED — Wrong Code")))</f>
        <v>Pending</v>
      </c>
      <c r="M159" s="84"/>
    </row>
    <row r="160" spans="8:13" x14ac:dyDescent="0.25">
      <c r="H160" s="114"/>
      <c r="K160" s="115" t="str">
        <f>IF(B160="","Pending",IF(M160="","⚠️ Enter Code",IF(IFERROR(VLOOKUP(L160,DB_Agents!$B:$I,8,0),"")=M160,"Pending","🔒 BLOCKED — Wrong Code")))</f>
        <v>Pending</v>
      </c>
      <c r="M160" s="84"/>
    </row>
    <row r="161" spans="8:13" x14ac:dyDescent="0.25">
      <c r="H161" s="114"/>
      <c r="K161" s="15" t="str">
        <f>IF(B161="","Pending",IF(M161="","⚠️ Enter Code",IF(IFERROR(VLOOKUP(L161,DB_Agents!$B:$I,8,0),"")=M161,"Pending","🔒 BLOCKED — Wrong Code")))</f>
        <v>Pending</v>
      </c>
      <c r="M161" s="84"/>
    </row>
    <row r="162" spans="8:13" x14ac:dyDescent="0.25">
      <c r="H162" s="114"/>
      <c r="K162" s="115" t="str">
        <f>IF(B162="","Pending",IF(M162="","⚠️ Enter Code",IF(IFERROR(VLOOKUP(L162,DB_Agents!$B:$I,8,0),"")=M162,"Pending","🔒 BLOCKED — Wrong Code")))</f>
        <v>Pending</v>
      </c>
      <c r="M162" s="84"/>
    </row>
    <row r="163" spans="8:13" x14ac:dyDescent="0.25">
      <c r="H163" s="114"/>
      <c r="K163" s="15" t="str">
        <f>IF(B163="","Pending",IF(M163="","⚠️ Enter Code",IF(IFERROR(VLOOKUP(L163,DB_Agents!$B:$I,8,0),"")=M163,"Pending","🔒 BLOCKED — Wrong Code")))</f>
        <v>Pending</v>
      </c>
      <c r="M163" s="84"/>
    </row>
    <row r="164" spans="8:13" x14ac:dyDescent="0.25">
      <c r="H164" s="114"/>
      <c r="K164" s="115" t="str">
        <f>IF(B164="","Pending",IF(M164="","⚠️ Enter Code",IF(IFERROR(VLOOKUP(L164,DB_Agents!$B:$I,8,0),"")=M164,"Pending","🔒 BLOCKED — Wrong Code")))</f>
        <v>Pending</v>
      </c>
      <c r="M164" s="84"/>
    </row>
    <row r="165" spans="8:13" x14ac:dyDescent="0.25">
      <c r="H165" s="114"/>
      <c r="K165" s="15" t="str">
        <f>IF(B165="","Pending",IF(M165="","⚠️ Enter Code",IF(IFERROR(VLOOKUP(L165,DB_Agents!$B:$I,8,0),"")=M165,"Pending","🔒 BLOCKED — Wrong Code")))</f>
        <v>Pending</v>
      </c>
      <c r="M165" s="84"/>
    </row>
    <row r="166" spans="8:13" x14ac:dyDescent="0.25">
      <c r="H166" s="114"/>
      <c r="K166" s="115" t="str">
        <f>IF(B166="","Pending",IF(M166="","⚠️ Enter Code",IF(IFERROR(VLOOKUP(L166,DB_Agents!$B:$I,8,0),"")=M166,"Pending","🔒 BLOCKED — Wrong Code")))</f>
        <v>Pending</v>
      </c>
      <c r="M166" s="84"/>
    </row>
    <row r="167" spans="8:13" x14ac:dyDescent="0.25">
      <c r="H167" s="114"/>
      <c r="K167" s="15" t="str">
        <f>IF(B167="","Pending",IF(M167="","⚠️ Enter Code",IF(IFERROR(VLOOKUP(L167,DB_Agents!$B:$I,8,0),"")=M167,"Pending","🔒 BLOCKED — Wrong Code")))</f>
        <v>Pending</v>
      </c>
      <c r="M167" s="84"/>
    </row>
    <row r="168" spans="8:13" x14ac:dyDescent="0.25">
      <c r="H168" s="114"/>
      <c r="K168" s="115" t="str">
        <f>IF(B168="","Pending",IF(M168="","⚠️ Enter Code",IF(IFERROR(VLOOKUP(L168,DB_Agents!$B:$I,8,0),"")=M168,"Pending","🔒 BLOCKED — Wrong Code")))</f>
        <v>Pending</v>
      </c>
      <c r="M168" s="84"/>
    </row>
    <row r="169" spans="8:13" x14ac:dyDescent="0.25">
      <c r="H169" s="114"/>
      <c r="K169" s="15" t="str">
        <f>IF(B169="","Pending",IF(M169="","⚠️ Enter Code",IF(IFERROR(VLOOKUP(L169,DB_Agents!$B:$I,8,0),"")=M169,"Pending","🔒 BLOCKED — Wrong Code")))</f>
        <v>Pending</v>
      </c>
      <c r="M169" s="84"/>
    </row>
    <row r="170" spans="8:13" x14ac:dyDescent="0.25">
      <c r="H170" s="114"/>
      <c r="K170" s="115" t="str">
        <f>IF(B170="","Pending",IF(M170="","⚠️ Enter Code",IF(IFERROR(VLOOKUP(L170,DB_Agents!$B:$I,8,0),"")=M170,"Pending","🔒 BLOCKED — Wrong Code")))</f>
        <v>Pending</v>
      </c>
      <c r="M170" s="84"/>
    </row>
    <row r="171" spans="8:13" x14ac:dyDescent="0.25">
      <c r="H171" s="114"/>
      <c r="K171" s="15" t="str">
        <f>IF(B171="","Pending",IF(M171="","⚠️ Enter Code",IF(IFERROR(VLOOKUP(L171,DB_Agents!$B:$I,8,0),"")=M171,"Pending","🔒 BLOCKED — Wrong Code")))</f>
        <v>Pending</v>
      </c>
      <c r="M171" s="84"/>
    </row>
    <row r="172" spans="8:13" x14ac:dyDescent="0.25">
      <c r="H172" s="114"/>
      <c r="K172" s="115" t="str">
        <f>IF(B172="","Pending",IF(M172="","⚠️ Enter Code",IF(IFERROR(VLOOKUP(L172,DB_Agents!$B:$I,8,0),"")=M172,"Pending","🔒 BLOCKED — Wrong Code")))</f>
        <v>Pending</v>
      </c>
      <c r="M172" s="84"/>
    </row>
    <row r="173" spans="8:13" x14ac:dyDescent="0.25">
      <c r="H173" s="114"/>
      <c r="K173" s="15" t="str">
        <f>IF(B173="","Pending",IF(M173="","⚠️ Enter Code",IF(IFERROR(VLOOKUP(L173,DB_Agents!$B:$I,8,0),"")=M173,"Pending","🔒 BLOCKED — Wrong Code")))</f>
        <v>Pending</v>
      </c>
      <c r="M173" s="84"/>
    </row>
    <row r="174" spans="8:13" x14ac:dyDescent="0.25">
      <c r="H174" s="114"/>
      <c r="K174" s="115" t="str">
        <f>IF(B174="","Pending",IF(M174="","⚠️ Enter Code",IF(IFERROR(VLOOKUP(L174,DB_Agents!$B:$I,8,0),"")=M174,"Pending","🔒 BLOCKED — Wrong Code")))</f>
        <v>Pending</v>
      </c>
      <c r="M174" s="84"/>
    </row>
    <row r="175" spans="8:13" x14ac:dyDescent="0.25">
      <c r="H175" s="114"/>
      <c r="K175" s="15" t="str">
        <f>IF(B175="","Pending",IF(M175="","⚠️ Enter Code",IF(IFERROR(VLOOKUP(L175,DB_Agents!$B:$I,8,0),"")=M175,"Pending","🔒 BLOCKED — Wrong Code")))</f>
        <v>Pending</v>
      </c>
      <c r="M175" s="84"/>
    </row>
    <row r="176" spans="8:13" x14ac:dyDescent="0.25">
      <c r="H176" s="114"/>
      <c r="K176" s="115" t="str">
        <f>IF(B176="","Pending",IF(M176="","⚠️ Enter Code",IF(IFERROR(VLOOKUP(L176,DB_Agents!$B:$I,8,0),"")=M176,"Pending","🔒 BLOCKED — Wrong Code")))</f>
        <v>Pending</v>
      </c>
      <c r="M176" s="84"/>
    </row>
    <row r="177" spans="8:13" x14ac:dyDescent="0.25">
      <c r="H177" s="114"/>
      <c r="K177" s="15" t="str">
        <f>IF(B177="","Pending",IF(M177="","⚠️ Enter Code",IF(IFERROR(VLOOKUP(L177,DB_Agents!$B:$I,8,0),"")=M177,"Pending","🔒 BLOCKED — Wrong Code")))</f>
        <v>Pending</v>
      </c>
      <c r="M177" s="84"/>
    </row>
    <row r="178" spans="8:13" x14ac:dyDescent="0.25">
      <c r="H178" s="114"/>
      <c r="K178" s="115" t="str">
        <f>IF(B178="","Pending",IF(M178="","⚠️ Enter Code",IF(IFERROR(VLOOKUP(L178,DB_Agents!$B:$I,8,0),"")=M178,"Pending","🔒 BLOCKED — Wrong Code")))</f>
        <v>Pending</v>
      </c>
      <c r="M178" s="84"/>
    </row>
    <row r="179" spans="8:13" x14ac:dyDescent="0.25">
      <c r="H179" s="114"/>
      <c r="K179" s="15" t="str">
        <f>IF(B179="","Pending",IF(M179="","⚠️ Enter Code",IF(IFERROR(VLOOKUP(L179,DB_Agents!$B:$I,8,0),"")=M179,"Pending","🔒 BLOCKED — Wrong Code")))</f>
        <v>Pending</v>
      </c>
      <c r="M179" s="84"/>
    </row>
    <row r="180" spans="8:13" x14ac:dyDescent="0.25">
      <c r="H180" s="114"/>
      <c r="K180" s="115" t="str">
        <f>IF(B180="","Pending",IF(M180="","⚠️ Enter Code",IF(IFERROR(VLOOKUP(L180,DB_Agents!$B:$I,8,0),"")=M180,"Pending","🔒 BLOCKED — Wrong Code")))</f>
        <v>Pending</v>
      </c>
      <c r="M180" s="84"/>
    </row>
    <row r="181" spans="8:13" x14ac:dyDescent="0.25">
      <c r="H181" s="114"/>
      <c r="K181" s="15" t="str">
        <f>IF(B181="","Pending",IF(M181="","⚠️ Enter Code",IF(IFERROR(VLOOKUP(L181,DB_Agents!$B:$I,8,0),"")=M181,"Pending","🔒 BLOCKED — Wrong Code")))</f>
        <v>Pending</v>
      </c>
      <c r="M181" s="84"/>
    </row>
    <row r="182" spans="8:13" x14ac:dyDescent="0.25">
      <c r="H182" s="114"/>
      <c r="K182" s="115" t="str">
        <f>IF(B182="","Pending",IF(M182="","⚠️ Enter Code",IF(IFERROR(VLOOKUP(L182,DB_Agents!$B:$I,8,0),"")=M182,"Pending","🔒 BLOCKED — Wrong Code")))</f>
        <v>Pending</v>
      </c>
      <c r="M182" s="84"/>
    </row>
    <row r="183" spans="8:13" x14ac:dyDescent="0.25">
      <c r="H183" s="114"/>
      <c r="K183" s="15" t="str">
        <f>IF(B183="","Pending",IF(M183="","⚠️ Enter Code",IF(IFERROR(VLOOKUP(L183,DB_Agents!$B:$I,8,0),"")=M183,"Pending","🔒 BLOCKED — Wrong Code")))</f>
        <v>Pending</v>
      </c>
      <c r="M183" s="84"/>
    </row>
    <row r="184" spans="8:13" x14ac:dyDescent="0.25">
      <c r="H184" s="114"/>
      <c r="K184" s="115" t="str">
        <f>IF(B184="","Pending",IF(M184="","⚠️ Enter Code",IF(IFERROR(VLOOKUP(L184,DB_Agents!$B:$I,8,0),"")=M184,"Pending","🔒 BLOCKED — Wrong Code")))</f>
        <v>Pending</v>
      </c>
      <c r="M184" s="84"/>
    </row>
    <row r="185" spans="8:13" x14ac:dyDescent="0.25">
      <c r="H185" s="114"/>
      <c r="K185" s="15" t="str">
        <f>IF(B185="","Pending",IF(M185="","⚠️ Enter Code",IF(IFERROR(VLOOKUP(L185,DB_Agents!$B:$I,8,0),"")=M185,"Pending","🔒 BLOCKED — Wrong Code")))</f>
        <v>Pending</v>
      </c>
      <c r="M185" s="84"/>
    </row>
    <row r="186" spans="8:13" x14ac:dyDescent="0.25">
      <c r="H186" s="114"/>
      <c r="K186" s="115" t="str">
        <f>IF(B186="","Pending",IF(M186="","⚠️ Enter Code",IF(IFERROR(VLOOKUP(L186,DB_Agents!$B:$I,8,0),"")=M186,"Pending","🔒 BLOCKED — Wrong Code")))</f>
        <v>Pending</v>
      </c>
      <c r="M186" s="84"/>
    </row>
    <row r="187" spans="8:13" x14ac:dyDescent="0.25">
      <c r="H187" s="114"/>
      <c r="K187" s="15" t="str">
        <f>IF(B187="","Pending",IF(M187="","⚠️ Enter Code",IF(IFERROR(VLOOKUP(L187,DB_Agents!$B:$I,8,0),"")=M187,"Pending","🔒 BLOCKED — Wrong Code")))</f>
        <v>Pending</v>
      </c>
      <c r="M187" s="84"/>
    </row>
    <row r="188" spans="8:13" x14ac:dyDescent="0.25">
      <c r="H188" s="114"/>
      <c r="K188" s="115" t="str">
        <f>IF(B188="","Pending",IF(M188="","⚠️ Enter Code",IF(IFERROR(VLOOKUP(L188,DB_Agents!$B:$I,8,0),"")=M188,"Pending","🔒 BLOCKED — Wrong Code")))</f>
        <v>Pending</v>
      </c>
      <c r="M188" s="84"/>
    </row>
    <row r="189" spans="8:13" x14ac:dyDescent="0.25">
      <c r="H189" s="114"/>
      <c r="K189" s="15" t="str">
        <f>IF(B189="","Pending",IF(M189="","⚠️ Enter Code",IF(IFERROR(VLOOKUP(L189,DB_Agents!$B:$I,8,0),"")=M189,"Pending","🔒 BLOCKED — Wrong Code")))</f>
        <v>Pending</v>
      </c>
      <c r="M189" s="84"/>
    </row>
    <row r="190" spans="8:13" x14ac:dyDescent="0.25">
      <c r="H190" s="114"/>
      <c r="K190" s="115" t="str">
        <f>IF(B190="","Pending",IF(M190="","⚠️ Enter Code",IF(IFERROR(VLOOKUP(L190,DB_Agents!$B:$I,8,0),"")=M190,"Pending","🔒 BLOCKED — Wrong Code")))</f>
        <v>Pending</v>
      </c>
      <c r="M190" s="84"/>
    </row>
    <row r="191" spans="8:13" x14ac:dyDescent="0.25">
      <c r="H191" s="114"/>
      <c r="K191" s="15" t="str">
        <f>IF(B191="","Pending",IF(M191="","⚠️ Enter Code",IF(IFERROR(VLOOKUP(L191,DB_Agents!$B:$I,8,0),"")=M191,"Pending","🔒 BLOCKED — Wrong Code")))</f>
        <v>Pending</v>
      </c>
      <c r="M191" s="84"/>
    </row>
    <row r="192" spans="8:13" x14ac:dyDescent="0.25">
      <c r="H192" s="114"/>
      <c r="K192" s="115" t="str">
        <f>IF(B192="","Pending",IF(M192="","⚠️ Enter Code",IF(IFERROR(VLOOKUP(L192,DB_Agents!$B:$I,8,0),"")=M192,"Pending","🔒 BLOCKED — Wrong Code")))</f>
        <v>Pending</v>
      </c>
      <c r="M192" s="84"/>
    </row>
    <row r="193" spans="8:13" x14ac:dyDescent="0.25">
      <c r="H193" s="114"/>
      <c r="K193" s="15" t="str">
        <f>IF(B193="","Pending",IF(M193="","⚠️ Enter Code",IF(IFERROR(VLOOKUP(L193,DB_Agents!$B:$I,8,0),"")=M193,"Pending","🔒 BLOCKED — Wrong Code")))</f>
        <v>Pending</v>
      </c>
      <c r="M193" s="84"/>
    </row>
    <row r="194" spans="8:13" x14ac:dyDescent="0.25">
      <c r="H194" s="114"/>
      <c r="K194" s="115" t="str">
        <f>IF(B194="","Pending",IF(M194="","⚠️ Enter Code",IF(IFERROR(VLOOKUP(L194,DB_Agents!$B:$I,8,0),"")=M194,"Pending","🔒 BLOCKED — Wrong Code")))</f>
        <v>Pending</v>
      </c>
      <c r="M194" s="84"/>
    </row>
    <row r="195" spans="8:13" x14ac:dyDescent="0.25">
      <c r="H195" s="114"/>
      <c r="K195" s="15" t="str">
        <f>IF(B195="","Pending",IF(M195="","⚠️ Enter Code",IF(IFERROR(VLOOKUP(L195,DB_Agents!$B:$I,8,0),"")=M195,"Pending","🔒 BLOCKED — Wrong Code")))</f>
        <v>Pending</v>
      </c>
      <c r="M195" s="84"/>
    </row>
    <row r="196" spans="8:13" x14ac:dyDescent="0.25">
      <c r="H196" s="114"/>
      <c r="K196" s="115" t="str">
        <f>IF(B196="","Pending",IF(M196="","⚠️ Enter Code",IF(IFERROR(VLOOKUP(L196,DB_Agents!$B:$I,8,0),"")=M196,"Pending","🔒 BLOCKED — Wrong Code")))</f>
        <v>Pending</v>
      </c>
      <c r="M196" s="84"/>
    </row>
    <row r="197" spans="8:13" x14ac:dyDescent="0.25">
      <c r="H197" s="114"/>
      <c r="K197" s="15" t="str">
        <f>IF(B197="","Pending",IF(M197="","⚠️ Enter Code",IF(IFERROR(VLOOKUP(L197,DB_Agents!$B:$I,8,0),"")=M197,"Pending","🔒 BLOCKED — Wrong Code")))</f>
        <v>Pending</v>
      </c>
      <c r="M197" s="84"/>
    </row>
    <row r="198" spans="8:13" x14ac:dyDescent="0.25">
      <c r="H198" s="114"/>
      <c r="K198" s="115" t="str">
        <f>IF(B198="","Pending",IF(M198="","⚠️ Enter Code",IF(IFERROR(VLOOKUP(L198,DB_Agents!$B:$I,8,0),"")=M198,"Pending","🔒 BLOCKED — Wrong Code")))</f>
        <v>Pending</v>
      </c>
      <c r="M198" s="84"/>
    </row>
    <row r="199" spans="8:13" x14ac:dyDescent="0.25">
      <c r="H199" s="114"/>
      <c r="K199" s="15" t="str">
        <f>IF(B199="","Pending",IF(M199="","⚠️ Enter Code",IF(IFERROR(VLOOKUP(L199,DB_Agents!$B:$I,8,0),"")=M199,"Pending","🔒 BLOCKED — Wrong Code")))</f>
        <v>Pending</v>
      </c>
      <c r="M199" s="84"/>
    </row>
    <row r="200" spans="8:13" x14ac:dyDescent="0.25">
      <c r="H200" s="114"/>
      <c r="K200" s="115" t="str">
        <f>IF(B200="","Pending",IF(M200="","⚠️ Enter Code",IF(IFERROR(VLOOKUP(L200,DB_Agents!$B:$I,8,0),"")=M200,"Pending","🔒 BLOCKED — Wrong Code")))</f>
        <v>Pending</v>
      </c>
      <c r="M200" s="84"/>
    </row>
    <row r="201" spans="8:13" x14ac:dyDescent="0.25">
      <c r="K201" s="15" t="str">
        <f>IF(B201="","Pending",IF(M201="","⚠️ Enter Code",IF(IFERROR(VLOOKUP(L201,DB_Agents!$B:$I,8,0),"")=M201,"Pending","🔒 BLOCKED — Wrong Code")))</f>
        <v>Pending</v>
      </c>
      <c r="M201" s="84"/>
    </row>
    <row r="202" spans="8:13" x14ac:dyDescent="0.25">
      <c r="K202" s="115" t="str">
        <f>IF(B202="","Pending",IF(M202="","⚠️ Enter Code",IF(IFERROR(VLOOKUP(L202,DB_Agents!$B:$I,8,0),"")=M202,"Pending","🔒 BLOCKED — Wrong Code")))</f>
        <v>Pending</v>
      </c>
      <c r="M202" s="84"/>
    </row>
    <row r="203" spans="8:13" x14ac:dyDescent="0.25">
      <c r="K203" s="15" t="str">
        <f>IF(B203="","Pending",IF(M203="","⚠️ Enter Code",IF(IFERROR(VLOOKUP(L203,DB_Agents!$B:$I,8,0),"")=M203,"Pending","🔒 BLOCKED — Wrong Code")))</f>
        <v>Pending</v>
      </c>
      <c r="M203" s="84"/>
    </row>
    <row r="204" spans="8:13" x14ac:dyDescent="0.25">
      <c r="K204" s="115" t="str">
        <f>IF(B204="","Pending",IF(M204="","⚠️ Enter Code",IF(IFERROR(VLOOKUP(L204,DB_Agents!$B:$I,8,0),"")=M204,"Pending","🔒 BLOCKED — Wrong Code")))</f>
        <v>Pending</v>
      </c>
      <c r="M204" s="84"/>
    </row>
    <row r="205" spans="8:13" x14ac:dyDescent="0.25">
      <c r="K205" s="15" t="str">
        <f>IF(B205="","Pending",IF(M205="","⚠️ Enter Code",IF(IFERROR(VLOOKUP(L205,DB_Agents!$B:$I,8,0),"")=M205,"Pending","🔒 BLOCKED — Wrong Code")))</f>
        <v>Pending</v>
      </c>
      <c r="M205" s="84"/>
    </row>
    <row r="206" spans="8:13" x14ac:dyDescent="0.25">
      <c r="K206" s="115" t="str">
        <f>IF(B206="","Pending",IF(M206="","⚠️ Enter Code",IF(IFERROR(VLOOKUP(L206,DB_Agents!$B:$I,8,0),"")=M206,"Pending","🔒 BLOCKED — Wrong Code")))</f>
        <v>Pending</v>
      </c>
      <c r="M206" s="84"/>
    </row>
    <row r="207" spans="8:13" x14ac:dyDescent="0.25">
      <c r="K207" s="15" t="str">
        <f>IF(B207="","Pending",IF(M207="","⚠️ Enter Code",IF(IFERROR(VLOOKUP(L207,DB_Agents!$B:$I,8,0),"")=M207,"Pending","🔒 BLOCKED — Wrong Code")))</f>
        <v>Pending</v>
      </c>
      <c r="M207" s="84"/>
    </row>
    <row r="208" spans="8:13" x14ac:dyDescent="0.25">
      <c r="K208" s="115" t="str">
        <f>IF(B208="","Pending",IF(M208="","⚠️ Enter Code",IF(IFERROR(VLOOKUP(L208,DB_Agents!$B:$I,8,0),"")=M208,"Pending","🔒 BLOCKED — Wrong Code")))</f>
        <v>Pending</v>
      </c>
      <c r="M208" s="84"/>
    </row>
    <row r="209" spans="11:13" x14ac:dyDescent="0.25">
      <c r="K209" s="15" t="str">
        <f>IF(B209="","Pending",IF(M209="","⚠️ Enter Code",IF(IFERROR(VLOOKUP(L209,DB_Agents!$B:$I,8,0),"")=M209,"Pending","🔒 BLOCKED — Wrong Code")))</f>
        <v>Pending</v>
      </c>
      <c r="M209" s="84"/>
    </row>
    <row r="210" spans="11:13" x14ac:dyDescent="0.25">
      <c r="K210" s="115" t="str">
        <f>IF(B210="","Pending",IF(M210="","⚠️ Enter Code",IF(IFERROR(VLOOKUP(L210,DB_Agents!$B:$I,8,0),"")=M210,"Pending","🔒 BLOCKED — Wrong Code")))</f>
        <v>Pending</v>
      </c>
      <c r="M210" s="84"/>
    </row>
    <row r="211" spans="11:13" x14ac:dyDescent="0.25">
      <c r="K211" s="15" t="str">
        <f>IF(B211="","Pending",IF(M211="","⚠️ Enter Code",IF(IFERROR(VLOOKUP(L211,DB_Agents!$B:$I,8,0),"")=M211,"Pending","🔒 BLOCKED — Wrong Code")))</f>
        <v>Pending</v>
      </c>
      <c r="M211" s="84"/>
    </row>
    <row r="212" spans="11:13" x14ac:dyDescent="0.25">
      <c r="K212" s="115" t="str">
        <f>IF(B212="","Pending",IF(M212="","⚠️ Enter Code",IF(IFERROR(VLOOKUP(L212,DB_Agents!$B:$I,8,0),"")=M212,"Pending","🔒 BLOCKED — Wrong Code")))</f>
        <v>Pending</v>
      </c>
      <c r="M212" s="84"/>
    </row>
    <row r="213" spans="11:13" x14ac:dyDescent="0.25">
      <c r="K213" s="15" t="str">
        <f>IF(B213="","Pending",IF(M213="","⚠️ Enter Code",IF(IFERROR(VLOOKUP(L213,DB_Agents!$B:$I,8,0),"")=M213,"Pending","🔒 BLOCKED — Wrong Code")))</f>
        <v>Pending</v>
      </c>
      <c r="M213" s="84"/>
    </row>
  </sheetData>
  <mergeCells count="10">
    <mergeCell ref="B7:D7"/>
    <mergeCell ref="B8:D8"/>
    <mergeCell ref="B9:D9"/>
    <mergeCell ref="B10:D10"/>
    <mergeCell ref="A12:N12"/>
    <mergeCell ref="A1:N1"/>
    <mergeCell ref="A2:N2"/>
    <mergeCell ref="A4:D4"/>
    <mergeCell ref="B5:D5"/>
    <mergeCell ref="B6:D6"/>
  </mergeCells>
  <conditionalFormatting sqref="K14:K113">
    <cfRule type="cellIs" dxfId="55" priority="2" operator="equal">
      <formula>"Approved"</formula>
    </cfRule>
    <cfRule type="cellIs" dxfId="54" priority="3" operator="equal">
      <formula>"Pending"</formula>
    </cfRule>
    <cfRule type="cellIs" dxfId="53" priority="4" operator="equal">
      <formula>"Rejected"</formula>
    </cfRule>
  </conditionalFormatting>
  <dataValidations count="2">
    <dataValidation type="whole" showErrorMessage="1" error="Enter 1-36 months" sqref="G14:G113" xr:uid="{00000000-0002-0000-1300-000000000000}">
      <formula1>1</formula1>
      <formula2>36</formula2>
    </dataValidation>
    <dataValidation type="list" sqref="L14:L113" xr:uid="{00000000-0002-0000-13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tabColor rgb="FF27AE60"/>
  </sheetPr>
  <dimension ref="A1:L208"/>
  <sheetViews>
    <sheetView zoomScaleNormal="100" workbookViewId="0">
      <pane ySplit="8" topLeftCell="A9" activePane="bottomLeft" state="frozen"/>
      <selection pane="bottomLeft"/>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2" customWidth="1"/>
    <col min="8" max="8" width="14" customWidth="1"/>
    <col min="9" max="10" width="22" customWidth="1"/>
  </cols>
  <sheetData>
    <row r="1" spans="1:12" ht="31.5" customHeight="1" x14ac:dyDescent="0.25">
      <c r="A1" s="14" t="s">
        <v>215</v>
      </c>
      <c r="B1" s="14"/>
      <c r="C1" s="14"/>
      <c r="D1" s="14"/>
      <c r="E1" s="14"/>
      <c r="F1" s="14"/>
      <c r="G1" s="14"/>
      <c r="H1" s="14"/>
      <c r="I1" s="14"/>
      <c r="J1" s="14"/>
      <c r="K1" s="14"/>
      <c r="L1" s="14"/>
    </row>
    <row r="2" spans="1:12" ht="19.5" customHeight="1" x14ac:dyDescent="0.25">
      <c r="A2" s="204" t="s">
        <v>216</v>
      </c>
      <c r="B2" s="204"/>
      <c r="C2" s="204"/>
      <c r="D2" s="204"/>
      <c r="E2" s="204"/>
      <c r="F2" s="204"/>
      <c r="G2" s="204"/>
      <c r="H2" s="204"/>
      <c r="I2" s="204"/>
      <c r="J2" s="204"/>
      <c r="K2" s="204"/>
      <c r="L2" s="204"/>
    </row>
    <row r="3" spans="1:12" ht="18" customHeight="1" x14ac:dyDescent="0.25">
      <c r="A3" s="177" t="s">
        <v>167</v>
      </c>
      <c r="B3" s="177"/>
      <c r="C3" s="177"/>
      <c r="D3" s="180" t="s">
        <v>168</v>
      </c>
      <c r="E3" s="180"/>
      <c r="F3" s="180"/>
      <c r="G3" s="154" t="s">
        <v>169</v>
      </c>
      <c r="H3" s="154"/>
      <c r="I3" s="154"/>
      <c r="J3" s="2"/>
      <c r="K3" s="2"/>
      <c r="L3" s="2"/>
    </row>
    <row r="4" spans="1:12" ht="27.75" customHeight="1" x14ac:dyDescent="0.25">
      <c r="A4" s="205">
        <f ca="1">SUMIFS(DB_Savings!$F:$F,DB_Savings!$G:$G,"Agent 06",DB_Savings!$E:$E,TODAY())</f>
        <v>0</v>
      </c>
      <c r="B4" s="205"/>
      <c r="C4" s="205"/>
      <c r="D4" s="206">
        <f ca="1">COUNTIFS(DB_Savings!$G:$G,"Agent 06",DB_Savings!$E:$E,TODAY())</f>
        <v>0</v>
      </c>
      <c r="E4" s="206"/>
      <c r="F4" s="206"/>
      <c r="G4" s="207" t="str">
        <f ca="1">TEXT(TODAY(),"DDDD, DD MMMM YYYY")</f>
        <v>Sunday, 19 April 2026</v>
      </c>
      <c r="H4" s="207"/>
      <c r="I4" s="207"/>
      <c r="J4" s="2"/>
      <c r="K4" s="2"/>
      <c r="L4" s="2"/>
    </row>
    <row r="5" spans="1:12" ht="21.75" customHeight="1" x14ac:dyDescent="0.25">
      <c r="A5" s="208" t="str">
        <f ca="1">IF(SUMIFS(DB_Savings!$F:$F,DB_Savings!$G:$G,"Agent 06",DB_Savings!$E:$E,TODAY())&gt;=J4,"✅ DAILY TARGET ACHIEVED! Well done Agent 06!","⏳ Collection in progress — Keep going! Remaining: GHC "&amp;TEXT(J4-SUMIFS(DB_Savings!$F:$F,DB_Savings!$G:$G,"Agent 06",DB_Savings!$E:$E,TODAY()),"#,##0.00"))</f>
        <v>✅ DAILY TARGET ACHIEVED! Well done Agent 06!</v>
      </c>
      <c r="B5" s="208"/>
      <c r="C5" s="208"/>
      <c r="D5" s="208"/>
      <c r="E5" s="208"/>
      <c r="F5" s="208"/>
      <c r="G5" s="208"/>
      <c r="H5" s="208"/>
      <c r="I5" s="208"/>
      <c r="J5" s="208"/>
      <c r="K5" s="208"/>
      <c r="L5" s="208"/>
    </row>
    <row r="6" spans="1:12" ht="7.5" customHeight="1" x14ac:dyDescent="0.25"/>
    <row r="7" spans="1:12" ht="19.5" customHeight="1" x14ac:dyDescent="0.25">
      <c r="A7" s="209" t="s">
        <v>170</v>
      </c>
      <c r="B7" s="209"/>
      <c r="C7" s="209"/>
      <c r="D7" s="209"/>
      <c r="E7" s="209"/>
      <c r="F7" s="209"/>
      <c r="G7" s="209"/>
      <c r="H7" s="209"/>
      <c r="I7" s="209"/>
      <c r="J7" s="209"/>
      <c r="K7" s="209"/>
      <c r="L7" s="209"/>
    </row>
    <row r="8" spans="1:12" ht="19.5" customHeight="1" x14ac:dyDescent="0.25">
      <c r="A8" s="20" t="s">
        <v>171</v>
      </c>
      <c r="B8" s="20" t="s">
        <v>118</v>
      </c>
      <c r="C8" s="20" t="s">
        <v>172</v>
      </c>
      <c r="D8" s="20" t="s">
        <v>111</v>
      </c>
      <c r="E8" s="20" t="s">
        <v>173</v>
      </c>
      <c r="F8" s="20" t="s">
        <v>174</v>
      </c>
      <c r="G8" s="20" t="s">
        <v>32</v>
      </c>
      <c r="H8" s="78" t="s">
        <v>175</v>
      </c>
      <c r="I8" s="20" t="s">
        <v>155</v>
      </c>
      <c r="J8" s="20" t="s">
        <v>176</v>
      </c>
      <c r="K8" s="20" t="s">
        <v>177</v>
      </c>
    </row>
    <row r="9" spans="1:12" x14ac:dyDescent="0.25">
      <c r="A9" s="79"/>
      <c r="B9" s="21" t="str">
        <f>IF(A9="","",IFERROR(VLOOKUP(A9,DB_Customers!$A:$D,4,0),"❌ Account Not Found"))</f>
        <v/>
      </c>
      <c r="C9" s="80" t="str">
        <f>IF(A9="","",IFERROR(VLOOKUP(A9,DB_Customers!$A:$N,14,0),""))</f>
        <v/>
      </c>
      <c r="D9" s="81" t="str">
        <f t="shared" ref="D9:D40" ca="1" si="0">IF(A9="","",TODAY())</f>
        <v/>
      </c>
      <c r="E9" s="82"/>
      <c r="F9" s="83" t="str">
        <f t="shared" ref="F9:F40" si="1">IF(OR(A9="",E9=""),"",IF(C9="","",C9+E9))</f>
        <v/>
      </c>
      <c r="G9" s="23" t="s">
        <v>46</v>
      </c>
      <c r="H9" s="84"/>
      <c r="I9" s="85" t="str">
        <f>IF(A9="","Pending",IF(H9="","⚠️ Enter Code",IF(IFERROR(VLOOKUP(G9,DB_Agents!$B:$I,8,0),"")=H9,IF(AND(A9&lt;&gt;"",E9&lt;&gt;""),"Saved","Pending"),"🔒 BLOCKED — Wrong Code")))</f>
        <v>Pending</v>
      </c>
      <c r="J9" s="86" t="str">
        <f t="shared" ref="J9:J40" ca="1" si="2">IF(I9="Saved",TEXT(TODAY(),"YYYY-MM-DD")&amp;" Auto","—")</f>
        <v>—</v>
      </c>
      <c r="K9" s="87"/>
    </row>
    <row r="10" spans="1:12" x14ac:dyDescent="0.25">
      <c r="A10" s="88"/>
      <c r="B10" s="25" t="str">
        <f>IF(A10="","",IFERROR(VLOOKUP(A10,DB_Customers!$A:$D,4,0),"❌ Account Not Found"))</f>
        <v/>
      </c>
      <c r="C10" s="89" t="str">
        <f>IF(A10="","",IFERROR(VLOOKUP(A10,DB_Customers!$A:$N,14,0),""))</f>
        <v/>
      </c>
      <c r="D10" s="90" t="str">
        <f t="shared" ca="1" si="0"/>
        <v/>
      </c>
      <c r="E10" s="82"/>
      <c r="F10" s="91" t="str">
        <f t="shared" si="1"/>
        <v/>
      </c>
      <c r="G10" s="27" t="s">
        <v>46</v>
      </c>
      <c r="H10" s="84"/>
      <c r="I10" s="92" t="str">
        <f>IF(A10="","Pending",IF(H10="","⚠️ Enter Code",IF(IFERROR(VLOOKUP(G10,DB_Agents!$B:$I,8,0),"")=H10,IF(AND(A10&lt;&gt;"",E10&lt;&gt;""),"Saved","Pending"),"🔒 BLOCKED — Wrong Code")))</f>
        <v>Pending</v>
      </c>
      <c r="J10" s="93" t="str">
        <f t="shared" ca="1" si="2"/>
        <v>—</v>
      </c>
      <c r="K10" s="94"/>
    </row>
    <row r="11" spans="1:12" x14ac:dyDescent="0.25">
      <c r="A11" s="79"/>
      <c r="B11" s="21" t="str">
        <f>IF(A11="","",IFERROR(VLOOKUP(A11,DB_Customers!$A:$D,4,0),"❌ Account Not Found"))</f>
        <v/>
      </c>
      <c r="C11" s="80" t="str">
        <f>IF(A11="","",IFERROR(VLOOKUP(A11,DB_Customers!$A:$N,14,0),""))</f>
        <v/>
      </c>
      <c r="D11" s="81" t="str">
        <f t="shared" ca="1" si="0"/>
        <v/>
      </c>
      <c r="E11" s="82"/>
      <c r="F11" s="83" t="str">
        <f t="shared" si="1"/>
        <v/>
      </c>
      <c r="G11" s="23" t="s">
        <v>46</v>
      </c>
      <c r="H11" s="84"/>
      <c r="I11" s="85" t="str">
        <f>IF(A11="","Pending",IF(H11="","⚠️ Enter Code",IF(IFERROR(VLOOKUP(G11,DB_Agents!$B:$I,8,0),"")=H11,IF(AND(A11&lt;&gt;"",E11&lt;&gt;""),"Saved","Pending"),"🔒 BLOCKED — Wrong Code")))</f>
        <v>Pending</v>
      </c>
      <c r="J11" s="86" t="str">
        <f t="shared" ca="1" si="2"/>
        <v>—</v>
      </c>
      <c r="K11" s="87"/>
    </row>
    <row r="12" spans="1:12" x14ac:dyDescent="0.25">
      <c r="A12" s="88"/>
      <c r="B12" s="25" t="str">
        <f>IF(A12="","",IFERROR(VLOOKUP(A12,DB_Customers!$A:$D,4,0),"❌ Account Not Found"))</f>
        <v/>
      </c>
      <c r="C12" s="89" t="str">
        <f>IF(A12="","",IFERROR(VLOOKUP(A12,DB_Customers!$A:$N,14,0),""))</f>
        <v/>
      </c>
      <c r="D12" s="90" t="str">
        <f t="shared" ca="1" si="0"/>
        <v/>
      </c>
      <c r="E12" s="82"/>
      <c r="F12" s="91" t="str">
        <f t="shared" si="1"/>
        <v/>
      </c>
      <c r="G12" s="27" t="s">
        <v>46</v>
      </c>
      <c r="H12" s="84"/>
      <c r="I12" s="92" t="str">
        <f>IF(A12="","Pending",IF(H12="","⚠️ Enter Code",IF(IFERROR(VLOOKUP(G12,DB_Agents!$B:$I,8,0),"")=H12,IF(AND(A12&lt;&gt;"",E12&lt;&gt;""),"Saved","Pending"),"🔒 BLOCKED — Wrong Code")))</f>
        <v>Pending</v>
      </c>
      <c r="J12" s="93" t="str">
        <f t="shared" ca="1" si="2"/>
        <v>—</v>
      </c>
      <c r="K12" s="94"/>
    </row>
    <row r="13" spans="1:12" x14ac:dyDescent="0.25">
      <c r="A13" s="79"/>
      <c r="B13" s="21" t="str">
        <f>IF(A13="","",IFERROR(VLOOKUP(A13,DB_Customers!$A:$D,4,0),"❌ Account Not Found"))</f>
        <v/>
      </c>
      <c r="C13" s="80" t="str">
        <f>IF(A13="","",IFERROR(VLOOKUP(A13,DB_Customers!$A:$N,14,0),""))</f>
        <v/>
      </c>
      <c r="D13" s="81" t="str">
        <f t="shared" ca="1" si="0"/>
        <v/>
      </c>
      <c r="E13" s="82"/>
      <c r="F13" s="83" t="str">
        <f t="shared" si="1"/>
        <v/>
      </c>
      <c r="G13" s="23" t="s">
        <v>46</v>
      </c>
      <c r="H13" s="84"/>
      <c r="I13" s="85" t="str">
        <f>IF(A13="","Pending",IF(H13="","⚠️ Enter Code",IF(IFERROR(VLOOKUP(G13,DB_Agents!$B:$I,8,0),"")=H13,IF(AND(A13&lt;&gt;"",E13&lt;&gt;""),"Saved","Pending"),"🔒 BLOCKED — Wrong Code")))</f>
        <v>Pending</v>
      </c>
      <c r="J13" s="86" t="str">
        <f t="shared" ca="1" si="2"/>
        <v>—</v>
      </c>
      <c r="K13" s="87"/>
    </row>
    <row r="14" spans="1:12" x14ac:dyDescent="0.25">
      <c r="A14" s="88"/>
      <c r="B14" s="25" t="str">
        <f>IF(A14="","",IFERROR(VLOOKUP(A14,DB_Customers!$A:$D,4,0),"❌ Account Not Found"))</f>
        <v/>
      </c>
      <c r="C14" s="89" t="str">
        <f>IF(A14="","",IFERROR(VLOOKUP(A14,DB_Customers!$A:$N,14,0),""))</f>
        <v/>
      </c>
      <c r="D14" s="90" t="str">
        <f t="shared" ca="1" si="0"/>
        <v/>
      </c>
      <c r="E14" s="82"/>
      <c r="F14" s="91" t="str">
        <f t="shared" si="1"/>
        <v/>
      </c>
      <c r="G14" s="27"/>
      <c r="H14" s="84"/>
      <c r="I14" s="92" t="str">
        <f>IF(A14="","Pending",IF(H14="","⚠️ Enter Code",IF(IFERROR(VLOOKUP(G14,DB_Agents!$B:$I,8,0),"")=H14,IF(AND(A14&lt;&gt;"",E14&lt;&gt;""),"Saved","Pending"),"🔒 BLOCKED — Wrong Code")))</f>
        <v>Pending</v>
      </c>
      <c r="J14" s="93" t="str">
        <f t="shared" ca="1" si="2"/>
        <v>—</v>
      </c>
      <c r="K14" s="94"/>
    </row>
    <row r="15" spans="1:12" x14ac:dyDescent="0.25">
      <c r="A15" s="79"/>
      <c r="B15" s="21" t="str">
        <f>IF(A15="","",IFERROR(VLOOKUP(A15,DB_Customers!$A:$D,4,0),"❌ Account Not Found"))</f>
        <v/>
      </c>
      <c r="C15" s="80" t="str">
        <f>IF(A15="","",IFERROR(VLOOKUP(A15,DB_Customers!$A:$N,14,0),""))</f>
        <v/>
      </c>
      <c r="D15" s="81" t="str">
        <f t="shared" ca="1" si="0"/>
        <v/>
      </c>
      <c r="E15" s="82"/>
      <c r="F15" s="83" t="str">
        <f t="shared" si="1"/>
        <v/>
      </c>
      <c r="G15" s="23"/>
      <c r="H15" s="84"/>
      <c r="I15" s="85" t="str">
        <f>IF(A15="","Pending",IF(H15="","⚠️ Enter Code",IF(IFERROR(VLOOKUP(G15,DB_Agents!$B:$I,8,0),"")=H15,IF(AND(A15&lt;&gt;"",E15&lt;&gt;""),"Saved","Pending"),"🔒 BLOCKED — Wrong Code")))</f>
        <v>Pending</v>
      </c>
      <c r="J15" s="86" t="str">
        <f t="shared" ca="1" si="2"/>
        <v>—</v>
      </c>
      <c r="K15" s="87"/>
    </row>
    <row r="16" spans="1:12" x14ac:dyDescent="0.25">
      <c r="A16" s="88"/>
      <c r="B16" s="25" t="str">
        <f>IF(A16="","",IFERROR(VLOOKUP(A16,DB_Customers!$A:$D,4,0),"❌ Account Not Found"))</f>
        <v/>
      </c>
      <c r="C16" s="89" t="str">
        <f>IF(A16="","",IFERROR(VLOOKUP(A16,DB_Customers!$A:$N,14,0),""))</f>
        <v/>
      </c>
      <c r="D16" s="90" t="str">
        <f t="shared" ca="1" si="0"/>
        <v/>
      </c>
      <c r="E16" s="82"/>
      <c r="F16" s="91" t="str">
        <f t="shared" si="1"/>
        <v/>
      </c>
      <c r="G16" s="27"/>
      <c r="H16" s="84"/>
      <c r="I16" s="92" t="str">
        <f>IF(A16="","Pending",IF(H16="","⚠️ Enter Code",IF(IFERROR(VLOOKUP(G16,DB_Agents!$B:$I,8,0),"")=H16,IF(AND(A16&lt;&gt;"",E16&lt;&gt;""),"Saved","Pending"),"🔒 BLOCKED — Wrong Code")))</f>
        <v>Pending</v>
      </c>
      <c r="J16" s="93" t="str">
        <f t="shared" ca="1" si="2"/>
        <v>—</v>
      </c>
      <c r="K16" s="94"/>
    </row>
    <row r="17" spans="1:11" x14ac:dyDescent="0.25">
      <c r="A17" s="79"/>
      <c r="B17" s="21" t="str">
        <f>IF(A17="","",IFERROR(VLOOKUP(A17,DB_Customers!$A:$D,4,0),"❌ Account Not Found"))</f>
        <v/>
      </c>
      <c r="C17" s="80" t="str">
        <f>IF(A17="","",IFERROR(VLOOKUP(A17,DB_Customers!$A:$N,14,0),""))</f>
        <v/>
      </c>
      <c r="D17" s="81" t="str">
        <f t="shared" ca="1" si="0"/>
        <v/>
      </c>
      <c r="E17" s="82"/>
      <c r="F17" s="83" t="str">
        <f t="shared" si="1"/>
        <v/>
      </c>
      <c r="G17" s="23"/>
      <c r="H17" s="84"/>
      <c r="I17" s="85" t="str">
        <f>IF(A17="","Pending",IF(H17="","⚠️ Enter Code",IF(IFERROR(VLOOKUP(G17,DB_Agents!$B:$I,8,0),"")=H17,IF(AND(A17&lt;&gt;"",E17&lt;&gt;""),"Saved","Pending"),"🔒 BLOCKED — Wrong Code")))</f>
        <v>Pending</v>
      </c>
      <c r="J17" s="86" t="str">
        <f t="shared" ca="1" si="2"/>
        <v>—</v>
      </c>
      <c r="K17" s="87"/>
    </row>
    <row r="18" spans="1:11" x14ac:dyDescent="0.25">
      <c r="A18" s="88"/>
      <c r="B18" s="25" t="str">
        <f>IF(A18="","",IFERROR(VLOOKUP(A18,DB_Customers!$A:$D,4,0),"❌ Account Not Found"))</f>
        <v/>
      </c>
      <c r="C18" s="89" t="str">
        <f>IF(A18="","",IFERROR(VLOOKUP(A18,DB_Customers!$A:$N,14,0),""))</f>
        <v/>
      </c>
      <c r="D18" s="90" t="str">
        <f t="shared" ca="1" si="0"/>
        <v/>
      </c>
      <c r="E18" s="82"/>
      <c r="F18" s="91" t="str">
        <f t="shared" si="1"/>
        <v/>
      </c>
      <c r="G18" s="27"/>
      <c r="H18" s="84"/>
      <c r="I18" s="92" t="str">
        <f>IF(A18="","Pending",IF(H18="","⚠️ Enter Code",IF(IFERROR(VLOOKUP(G18,DB_Agents!$B:$I,8,0),"")=H18,IF(AND(A18&lt;&gt;"",E18&lt;&gt;""),"Saved","Pending"),"🔒 BLOCKED — Wrong Code")))</f>
        <v>Pending</v>
      </c>
      <c r="J18" s="93" t="str">
        <f t="shared" ca="1" si="2"/>
        <v>—</v>
      </c>
      <c r="K18" s="94"/>
    </row>
    <row r="19" spans="1:11" x14ac:dyDescent="0.25">
      <c r="A19" s="79"/>
      <c r="B19" s="21" t="str">
        <f>IF(A19="","",IFERROR(VLOOKUP(A19,DB_Customers!$A:$D,4,0),"❌ Account Not Found"))</f>
        <v/>
      </c>
      <c r="C19" s="80" t="str">
        <f>IF(A19="","",IFERROR(VLOOKUP(A19,DB_Customers!$A:$N,14,0),""))</f>
        <v/>
      </c>
      <c r="D19" s="81" t="str">
        <f t="shared" ca="1" si="0"/>
        <v/>
      </c>
      <c r="E19" s="82"/>
      <c r="F19" s="83" t="str">
        <f t="shared" si="1"/>
        <v/>
      </c>
      <c r="G19" s="23"/>
      <c r="H19" s="84"/>
      <c r="I19" s="85" t="str">
        <f>IF(A19="","Pending",IF(H19="","⚠️ Enter Code",IF(IFERROR(VLOOKUP(G19,DB_Agents!$B:$I,8,0),"")=H19,IF(AND(A19&lt;&gt;"",E19&lt;&gt;""),"Saved","Pending"),"🔒 BLOCKED — Wrong Code")))</f>
        <v>Pending</v>
      </c>
      <c r="J19" s="86" t="str">
        <f t="shared" ca="1" si="2"/>
        <v>—</v>
      </c>
      <c r="K19" s="87"/>
    </row>
    <row r="20" spans="1:11" x14ac:dyDescent="0.25">
      <c r="A20" s="88"/>
      <c r="B20" s="25" t="str">
        <f>IF(A20="","",IFERROR(VLOOKUP(A20,DB_Customers!$A:$D,4,0),"❌ Account Not Found"))</f>
        <v/>
      </c>
      <c r="C20" s="89" t="str">
        <f>IF(A20="","",IFERROR(VLOOKUP(A20,DB_Customers!$A:$N,14,0),""))</f>
        <v/>
      </c>
      <c r="D20" s="90" t="str">
        <f t="shared" ca="1" si="0"/>
        <v/>
      </c>
      <c r="E20" s="82"/>
      <c r="F20" s="91" t="str">
        <f t="shared" si="1"/>
        <v/>
      </c>
      <c r="G20" s="27"/>
      <c r="H20" s="84"/>
      <c r="I20" s="92" t="str">
        <f>IF(A20="","Pending",IF(H20="","⚠️ Enter Code",IF(IFERROR(VLOOKUP(G20,DB_Agents!$B:$I,8,0),"")=H20,IF(AND(A20&lt;&gt;"",E20&lt;&gt;""),"Saved","Pending"),"🔒 BLOCKED — Wrong Code")))</f>
        <v>Pending</v>
      </c>
      <c r="J20" s="93" t="str">
        <f t="shared" ca="1" si="2"/>
        <v>—</v>
      </c>
      <c r="K20" s="94"/>
    </row>
    <row r="21" spans="1:11" x14ac:dyDescent="0.25">
      <c r="A21" s="79"/>
      <c r="B21" s="21" t="str">
        <f>IF(A21="","",IFERROR(VLOOKUP(A21,DB_Customers!$A:$D,4,0),"❌ Account Not Found"))</f>
        <v/>
      </c>
      <c r="C21" s="80" t="str">
        <f>IF(A21="","",IFERROR(VLOOKUP(A21,DB_Customers!$A:$N,14,0),""))</f>
        <v/>
      </c>
      <c r="D21" s="81" t="str">
        <f t="shared" ca="1" si="0"/>
        <v/>
      </c>
      <c r="E21" s="82"/>
      <c r="F21" s="83" t="str">
        <f t="shared" si="1"/>
        <v/>
      </c>
      <c r="G21" s="23"/>
      <c r="H21" s="84"/>
      <c r="I21" s="85" t="str">
        <f>IF(A21="","Pending",IF(H21="","⚠️ Enter Code",IF(IFERROR(VLOOKUP(G21,DB_Agents!$B:$I,8,0),"")=H21,IF(AND(A21&lt;&gt;"",E21&lt;&gt;""),"Saved","Pending"),"🔒 BLOCKED — Wrong Code")))</f>
        <v>Pending</v>
      </c>
      <c r="J21" s="86" t="str">
        <f t="shared" ca="1" si="2"/>
        <v>—</v>
      </c>
      <c r="K21" s="87"/>
    </row>
    <row r="22" spans="1:11" x14ac:dyDescent="0.25">
      <c r="A22" s="88"/>
      <c r="B22" s="25" t="str">
        <f>IF(A22="","",IFERROR(VLOOKUP(A22,DB_Customers!$A:$D,4,0),"❌ Account Not Found"))</f>
        <v/>
      </c>
      <c r="C22" s="89" t="str">
        <f>IF(A22="","",IFERROR(VLOOKUP(A22,DB_Customers!$A:$N,14,0),""))</f>
        <v/>
      </c>
      <c r="D22" s="90" t="str">
        <f t="shared" ca="1" si="0"/>
        <v/>
      </c>
      <c r="E22" s="82"/>
      <c r="F22" s="91" t="str">
        <f t="shared" si="1"/>
        <v/>
      </c>
      <c r="G22" s="27"/>
      <c r="H22" s="84"/>
      <c r="I22" s="92" t="str">
        <f>IF(A22="","Pending",IF(H22="","⚠️ Enter Code",IF(IFERROR(VLOOKUP(G22,DB_Agents!$B:$I,8,0),"")=H22,IF(AND(A22&lt;&gt;"",E22&lt;&gt;""),"Saved","Pending"),"🔒 BLOCKED — Wrong Code")))</f>
        <v>Pending</v>
      </c>
      <c r="J22" s="93" t="str">
        <f t="shared" ca="1" si="2"/>
        <v>—</v>
      </c>
      <c r="K22" s="94"/>
    </row>
    <row r="23" spans="1:11" x14ac:dyDescent="0.25">
      <c r="A23" s="79"/>
      <c r="B23" s="21" t="str">
        <f>IF(A23="","",IFERROR(VLOOKUP(A23,DB_Customers!$A:$D,4,0),"❌ Account Not Found"))</f>
        <v/>
      </c>
      <c r="C23" s="80" t="str">
        <f>IF(A23="","",IFERROR(VLOOKUP(A23,DB_Customers!$A:$N,14,0),""))</f>
        <v/>
      </c>
      <c r="D23" s="81" t="str">
        <f t="shared" ca="1" si="0"/>
        <v/>
      </c>
      <c r="E23" s="82"/>
      <c r="F23" s="83" t="str">
        <f t="shared" si="1"/>
        <v/>
      </c>
      <c r="G23" s="23"/>
      <c r="H23" s="84"/>
      <c r="I23" s="85" t="str">
        <f>IF(A23="","Pending",IF(H23="","⚠️ Enter Code",IF(IFERROR(VLOOKUP(G23,DB_Agents!$B:$I,8,0),"")=H23,IF(AND(A23&lt;&gt;"",E23&lt;&gt;""),"Saved","Pending"),"🔒 BLOCKED — Wrong Code")))</f>
        <v>Pending</v>
      </c>
      <c r="J23" s="86" t="str">
        <f t="shared" ca="1" si="2"/>
        <v>—</v>
      </c>
      <c r="K23" s="87"/>
    </row>
    <row r="24" spans="1:11" x14ac:dyDescent="0.25">
      <c r="A24" s="88"/>
      <c r="B24" s="25" t="str">
        <f>IF(A24="","",IFERROR(VLOOKUP(A24,DB_Customers!$A:$D,4,0),"❌ Account Not Found"))</f>
        <v/>
      </c>
      <c r="C24" s="89" t="str">
        <f>IF(A24="","",IFERROR(VLOOKUP(A24,DB_Customers!$A:$N,14,0),""))</f>
        <v/>
      </c>
      <c r="D24" s="90" t="str">
        <f t="shared" ca="1" si="0"/>
        <v/>
      </c>
      <c r="E24" s="82"/>
      <c r="F24" s="91" t="str">
        <f t="shared" si="1"/>
        <v/>
      </c>
      <c r="G24" s="27"/>
      <c r="H24" s="84"/>
      <c r="I24" s="92" t="str">
        <f>IF(A24="","Pending",IF(H24="","⚠️ Enter Code",IF(IFERROR(VLOOKUP(G24,DB_Agents!$B:$I,8,0),"")=H24,IF(AND(A24&lt;&gt;"",E24&lt;&gt;""),"Saved","Pending"),"🔒 BLOCKED — Wrong Code")))</f>
        <v>Pending</v>
      </c>
      <c r="J24" s="93" t="str">
        <f t="shared" ca="1" si="2"/>
        <v>—</v>
      </c>
      <c r="K24" s="94"/>
    </row>
    <row r="25" spans="1:11" x14ac:dyDescent="0.25">
      <c r="A25" s="79"/>
      <c r="B25" s="21" t="str">
        <f>IF(A25="","",IFERROR(VLOOKUP(A25,DB_Customers!$A:$D,4,0),"❌ Account Not Found"))</f>
        <v/>
      </c>
      <c r="C25" s="80" t="str">
        <f>IF(A25="","",IFERROR(VLOOKUP(A25,DB_Customers!$A:$N,14,0),""))</f>
        <v/>
      </c>
      <c r="D25" s="81" t="str">
        <f t="shared" ca="1" si="0"/>
        <v/>
      </c>
      <c r="E25" s="82"/>
      <c r="F25" s="83" t="str">
        <f t="shared" si="1"/>
        <v/>
      </c>
      <c r="G25" s="23"/>
      <c r="H25" s="84"/>
      <c r="I25" s="85" t="str">
        <f>IF(A25="","Pending",IF(H25="","⚠️ Enter Code",IF(IFERROR(VLOOKUP(G25,DB_Agents!$B:$I,8,0),"")=H25,IF(AND(A25&lt;&gt;"",E25&lt;&gt;""),"Saved","Pending"),"🔒 BLOCKED — Wrong Code")))</f>
        <v>Pending</v>
      </c>
      <c r="J25" s="86" t="str">
        <f t="shared" ca="1" si="2"/>
        <v>—</v>
      </c>
      <c r="K25" s="87"/>
    </row>
    <row r="26" spans="1:11" x14ac:dyDescent="0.25">
      <c r="A26" s="88"/>
      <c r="B26" s="25" t="str">
        <f>IF(A26="","",IFERROR(VLOOKUP(A26,DB_Customers!$A:$D,4,0),"❌ Account Not Found"))</f>
        <v/>
      </c>
      <c r="C26" s="89" t="str">
        <f>IF(A26="","",IFERROR(VLOOKUP(A26,DB_Customers!$A:$N,14,0),""))</f>
        <v/>
      </c>
      <c r="D26" s="90" t="str">
        <f t="shared" ca="1" si="0"/>
        <v/>
      </c>
      <c r="E26" s="82"/>
      <c r="F26" s="91" t="str">
        <f t="shared" si="1"/>
        <v/>
      </c>
      <c r="G26" s="27"/>
      <c r="H26" s="84"/>
      <c r="I26" s="92" t="str">
        <f>IF(A26="","Pending",IF(H26="","⚠️ Enter Code",IF(IFERROR(VLOOKUP(G26,DB_Agents!$B:$I,8,0),"")=H26,IF(AND(A26&lt;&gt;"",E26&lt;&gt;""),"Saved","Pending"),"🔒 BLOCKED — Wrong Code")))</f>
        <v>Pending</v>
      </c>
      <c r="J26" s="93" t="str">
        <f t="shared" ca="1" si="2"/>
        <v>—</v>
      </c>
      <c r="K26" s="94"/>
    </row>
    <row r="27" spans="1:11" x14ac:dyDescent="0.25">
      <c r="A27" s="79"/>
      <c r="B27" s="21" t="str">
        <f>IF(A27="","",IFERROR(VLOOKUP(A27,DB_Customers!$A:$D,4,0),"❌ Account Not Found"))</f>
        <v/>
      </c>
      <c r="C27" s="80" t="str">
        <f>IF(A27="","",IFERROR(VLOOKUP(A27,DB_Customers!$A:$N,14,0),""))</f>
        <v/>
      </c>
      <c r="D27" s="81" t="str">
        <f t="shared" ca="1" si="0"/>
        <v/>
      </c>
      <c r="E27" s="82"/>
      <c r="F27" s="83" t="str">
        <f t="shared" si="1"/>
        <v/>
      </c>
      <c r="G27" s="23"/>
      <c r="H27" s="84"/>
      <c r="I27" s="85" t="str">
        <f>IF(A27="","Pending",IF(H27="","⚠️ Enter Code",IF(IFERROR(VLOOKUP(G27,DB_Agents!$B:$I,8,0),"")=H27,IF(AND(A27&lt;&gt;"",E27&lt;&gt;""),"Saved","Pending"),"🔒 BLOCKED — Wrong Code")))</f>
        <v>Pending</v>
      </c>
      <c r="J27" s="86" t="str">
        <f t="shared" ca="1" si="2"/>
        <v>—</v>
      </c>
      <c r="K27" s="87"/>
    </row>
    <row r="28" spans="1:11" x14ac:dyDescent="0.25">
      <c r="A28" s="88"/>
      <c r="B28" s="25" t="str">
        <f>IF(A28="","",IFERROR(VLOOKUP(A28,DB_Customers!$A:$D,4,0),"❌ Account Not Found"))</f>
        <v/>
      </c>
      <c r="C28" s="89" t="str">
        <f>IF(A28="","",IFERROR(VLOOKUP(A28,DB_Customers!$A:$N,14,0),""))</f>
        <v/>
      </c>
      <c r="D28" s="90" t="str">
        <f t="shared" ca="1" si="0"/>
        <v/>
      </c>
      <c r="E28" s="82"/>
      <c r="F28" s="91" t="str">
        <f t="shared" si="1"/>
        <v/>
      </c>
      <c r="G28" s="27"/>
      <c r="H28" s="84"/>
      <c r="I28" s="92" t="str">
        <f>IF(A28="","Pending",IF(H28="","⚠️ Enter Code",IF(IFERROR(VLOOKUP(G28,DB_Agents!$B:$I,8,0),"")=H28,IF(AND(A28&lt;&gt;"",E28&lt;&gt;""),"Saved","Pending"),"🔒 BLOCKED — Wrong Code")))</f>
        <v>Pending</v>
      </c>
      <c r="J28" s="93" t="str">
        <f t="shared" ca="1" si="2"/>
        <v>—</v>
      </c>
      <c r="K28" s="94"/>
    </row>
    <row r="29" spans="1:11" x14ac:dyDescent="0.25">
      <c r="A29" s="79"/>
      <c r="B29" s="21" t="str">
        <f>IF(A29="","",IFERROR(VLOOKUP(A29,DB_Customers!$A:$D,4,0),"❌ Account Not Found"))</f>
        <v/>
      </c>
      <c r="C29" s="80" t="str">
        <f>IF(A29="","",IFERROR(VLOOKUP(A29,DB_Customers!$A:$N,14,0),""))</f>
        <v/>
      </c>
      <c r="D29" s="81" t="str">
        <f t="shared" ca="1" si="0"/>
        <v/>
      </c>
      <c r="E29" s="82"/>
      <c r="F29" s="83" t="str">
        <f t="shared" si="1"/>
        <v/>
      </c>
      <c r="G29" s="23"/>
      <c r="H29" s="84"/>
      <c r="I29" s="85" t="str">
        <f>IF(A29="","Pending",IF(H29="","⚠️ Enter Code",IF(IFERROR(VLOOKUP(G29,DB_Agents!$B:$I,8,0),"")=H29,IF(AND(A29&lt;&gt;"",E29&lt;&gt;""),"Saved","Pending"),"🔒 BLOCKED — Wrong Code")))</f>
        <v>Pending</v>
      </c>
      <c r="J29" s="86" t="str">
        <f t="shared" ca="1" si="2"/>
        <v>—</v>
      </c>
      <c r="K29" s="87"/>
    </row>
    <row r="30" spans="1:11" x14ac:dyDescent="0.25">
      <c r="A30" s="88"/>
      <c r="B30" s="25" t="str">
        <f>IF(A30="","",IFERROR(VLOOKUP(A30,DB_Customers!$A:$D,4,0),"❌ Account Not Found"))</f>
        <v/>
      </c>
      <c r="C30" s="89" t="str">
        <f>IF(A30="","",IFERROR(VLOOKUP(A30,DB_Customers!$A:$N,14,0),""))</f>
        <v/>
      </c>
      <c r="D30" s="90" t="str">
        <f t="shared" ca="1" si="0"/>
        <v/>
      </c>
      <c r="E30" s="82"/>
      <c r="F30" s="91" t="str">
        <f t="shared" si="1"/>
        <v/>
      </c>
      <c r="G30" s="27"/>
      <c r="H30" s="84"/>
      <c r="I30" s="92" t="str">
        <f>IF(A30="","Pending",IF(H30="","⚠️ Enter Code",IF(IFERROR(VLOOKUP(G30,DB_Agents!$B:$I,8,0),"")=H30,IF(AND(A30&lt;&gt;"",E30&lt;&gt;""),"Saved","Pending"),"🔒 BLOCKED — Wrong Code")))</f>
        <v>Pending</v>
      </c>
      <c r="J30" s="93" t="str">
        <f t="shared" ca="1" si="2"/>
        <v>—</v>
      </c>
      <c r="K30" s="94"/>
    </row>
    <row r="31" spans="1:11" x14ac:dyDescent="0.25">
      <c r="A31" s="79"/>
      <c r="B31" s="21" t="str">
        <f>IF(A31="","",IFERROR(VLOOKUP(A31,DB_Customers!$A:$D,4,0),"❌ Account Not Found"))</f>
        <v/>
      </c>
      <c r="C31" s="80" t="str">
        <f>IF(A31="","",IFERROR(VLOOKUP(A31,DB_Customers!$A:$N,14,0),""))</f>
        <v/>
      </c>
      <c r="D31" s="81" t="str">
        <f t="shared" ca="1" si="0"/>
        <v/>
      </c>
      <c r="E31" s="82"/>
      <c r="F31" s="83" t="str">
        <f t="shared" si="1"/>
        <v/>
      </c>
      <c r="G31" s="23"/>
      <c r="H31" s="84"/>
      <c r="I31" s="85" t="str">
        <f>IF(A31="","Pending",IF(H31="","⚠️ Enter Code",IF(IFERROR(VLOOKUP(G31,DB_Agents!$B:$I,8,0),"")=H31,IF(AND(A31&lt;&gt;"",E31&lt;&gt;""),"Saved","Pending"),"🔒 BLOCKED — Wrong Code")))</f>
        <v>Pending</v>
      </c>
      <c r="J31" s="86" t="str">
        <f t="shared" ca="1" si="2"/>
        <v>—</v>
      </c>
      <c r="K31" s="87"/>
    </row>
    <row r="32" spans="1:11" x14ac:dyDescent="0.25">
      <c r="A32" s="88"/>
      <c r="B32" s="25" t="str">
        <f>IF(A32="","",IFERROR(VLOOKUP(A32,DB_Customers!$A:$D,4,0),"❌ Account Not Found"))</f>
        <v/>
      </c>
      <c r="C32" s="89" t="str">
        <f>IF(A32="","",IFERROR(VLOOKUP(A32,DB_Customers!$A:$N,14,0),""))</f>
        <v/>
      </c>
      <c r="D32" s="90" t="str">
        <f t="shared" ca="1" si="0"/>
        <v/>
      </c>
      <c r="E32" s="82"/>
      <c r="F32" s="91" t="str">
        <f t="shared" si="1"/>
        <v/>
      </c>
      <c r="G32" s="27"/>
      <c r="H32" s="84"/>
      <c r="I32" s="92" t="str">
        <f>IF(A32="","Pending",IF(H32="","⚠️ Enter Code",IF(IFERROR(VLOOKUP(G32,DB_Agents!$B:$I,8,0),"")=H32,IF(AND(A32&lt;&gt;"",E32&lt;&gt;""),"Saved","Pending"),"🔒 BLOCKED — Wrong Code")))</f>
        <v>Pending</v>
      </c>
      <c r="J32" s="93" t="str">
        <f t="shared" ca="1" si="2"/>
        <v>—</v>
      </c>
      <c r="K32" s="94"/>
    </row>
    <row r="33" spans="1:11" x14ac:dyDescent="0.25">
      <c r="A33" s="79"/>
      <c r="B33" s="21" t="str">
        <f>IF(A33="","",IFERROR(VLOOKUP(A33,DB_Customers!$A:$D,4,0),"❌ Account Not Found"))</f>
        <v/>
      </c>
      <c r="C33" s="80" t="str">
        <f>IF(A33="","",IFERROR(VLOOKUP(A33,DB_Customers!$A:$N,14,0),""))</f>
        <v/>
      </c>
      <c r="D33" s="81" t="str">
        <f t="shared" ca="1" si="0"/>
        <v/>
      </c>
      <c r="E33" s="82"/>
      <c r="F33" s="83" t="str">
        <f t="shared" si="1"/>
        <v/>
      </c>
      <c r="G33" s="23"/>
      <c r="H33" s="84"/>
      <c r="I33" s="85" t="str">
        <f>IF(A33="","Pending",IF(H33="","⚠️ Enter Code",IF(IFERROR(VLOOKUP(G33,DB_Agents!$B:$I,8,0),"")=H33,IF(AND(A33&lt;&gt;"",E33&lt;&gt;""),"Saved","Pending"),"🔒 BLOCKED — Wrong Code")))</f>
        <v>Pending</v>
      </c>
      <c r="J33" s="86" t="str">
        <f t="shared" ca="1" si="2"/>
        <v>—</v>
      </c>
      <c r="K33" s="87"/>
    </row>
    <row r="34" spans="1:11" x14ac:dyDescent="0.25">
      <c r="A34" s="88"/>
      <c r="B34" s="25" t="str">
        <f>IF(A34="","",IFERROR(VLOOKUP(A34,DB_Customers!$A:$D,4,0),"❌ Account Not Found"))</f>
        <v/>
      </c>
      <c r="C34" s="89" t="str">
        <f>IF(A34="","",IFERROR(VLOOKUP(A34,DB_Customers!$A:$N,14,0),""))</f>
        <v/>
      </c>
      <c r="D34" s="90" t="str">
        <f t="shared" ca="1" si="0"/>
        <v/>
      </c>
      <c r="E34" s="82"/>
      <c r="F34" s="91" t="str">
        <f t="shared" si="1"/>
        <v/>
      </c>
      <c r="G34" s="27"/>
      <c r="H34" s="84"/>
      <c r="I34" s="92" t="str">
        <f>IF(A34="","Pending",IF(H34="","⚠️ Enter Code",IF(IFERROR(VLOOKUP(G34,DB_Agents!$B:$I,8,0),"")=H34,IF(AND(A34&lt;&gt;"",E34&lt;&gt;""),"Saved","Pending"),"🔒 BLOCKED — Wrong Code")))</f>
        <v>Pending</v>
      </c>
      <c r="J34" s="93" t="str">
        <f t="shared" ca="1" si="2"/>
        <v>—</v>
      </c>
      <c r="K34" s="94"/>
    </row>
    <row r="35" spans="1:11" x14ac:dyDescent="0.25">
      <c r="A35" s="79"/>
      <c r="B35" s="21" t="str">
        <f>IF(A35="","",IFERROR(VLOOKUP(A35,DB_Customers!$A:$D,4,0),"❌ Account Not Found"))</f>
        <v/>
      </c>
      <c r="C35" s="80" t="str">
        <f>IF(A35="","",IFERROR(VLOOKUP(A35,DB_Customers!$A:$N,14,0),""))</f>
        <v/>
      </c>
      <c r="D35" s="81" t="str">
        <f t="shared" ca="1" si="0"/>
        <v/>
      </c>
      <c r="E35" s="82"/>
      <c r="F35" s="83" t="str">
        <f t="shared" si="1"/>
        <v/>
      </c>
      <c r="G35" s="23"/>
      <c r="H35" s="84"/>
      <c r="I35" s="85" t="str">
        <f>IF(A35="","Pending",IF(H35="","⚠️ Enter Code",IF(IFERROR(VLOOKUP(G35,DB_Agents!$B:$I,8,0),"")=H35,IF(AND(A35&lt;&gt;"",E35&lt;&gt;""),"Saved","Pending"),"🔒 BLOCKED — Wrong Code")))</f>
        <v>Pending</v>
      </c>
      <c r="J35" s="86" t="str">
        <f t="shared" ca="1" si="2"/>
        <v>—</v>
      </c>
      <c r="K35" s="87"/>
    </row>
    <row r="36" spans="1:11" x14ac:dyDescent="0.25">
      <c r="A36" s="88"/>
      <c r="B36" s="25" t="str">
        <f>IF(A36="","",IFERROR(VLOOKUP(A36,DB_Customers!$A:$D,4,0),"❌ Account Not Found"))</f>
        <v/>
      </c>
      <c r="C36" s="89" t="str">
        <f>IF(A36="","",IFERROR(VLOOKUP(A36,DB_Customers!$A:$N,14,0),""))</f>
        <v/>
      </c>
      <c r="D36" s="90" t="str">
        <f t="shared" ca="1" si="0"/>
        <v/>
      </c>
      <c r="E36" s="82"/>
      <c r="F36" s="91" t="str">
        <f t="shared" si="1"/>
        <v/>
      </c>
      <c r="G36" s="27"/>
      <c r="H36" s="84"/>
      <c r="I36" s="92" t="str">
        <f>IF(A36="","Pending",IF(H36="","⚠️ Enter Code",IF(IFERROR(VLOOKUP(G36,DB_Agents!$B:$I,8,0),"")=H36,IF(AND(A36&lt;&gt;"",E36&lt;&gt;""),"Saved","Pending"),"🔒 BLOCKED — Wrong Code")))</f>
        <v>Pending</v>
      </c>
      <c r="J36" s="93" t="str">
        <f t="shared" ca="1" si="2"/>
        <v>—</v>
      </c>
      <c r="K36" s="94"/>
    </row>
    <row r="37" spans="1:11" x14ac:dyDescent="0.25">
      <c r="A37" s="79"/>
      <c r="B37" s="21" t="str">
        <f>IF(A37="","",IFERROR(VLOOKUP(A37,DB_Customers!$A:$D,4,0),"❌ Account Not Found"))</f>
        <v/>
      </c>
      <c r="C37" s="80" t="str">
        <f>IF(A37="","",IFERROR(VLOOKUP(A37,DB_Customers!$A:$N,14,0),""))</f>
        <v/>
      </c>
      <c r="D37" s="81" t="str">
        <f t="shared" ca="1" si="0"/>
        <v/>
      </c>
      <c r="E37" s="82"/>
      <c r="F37" s="83" t="str">
        <f t="shared" si="1"/>
        <v/>
      </c>
      <c r="G37" s="23"/>
      <c r="H37" s="84"/>
      <c r="I37" s="85" t="str">
        <f>IF(A37="","Pending",IF(H37="","⚠️ Enter Code",IF(IFERROR(VLOOKUP(G37,DB_Agents!$B:$I,8,0),"")=H37,IF(AND(A37&lt;&gt;"",E37&lt;&gt;""),"Saved","Pending"),"🔒 BLOCKED — Wrong Code")))</f>
        <v>Pending</v>
      </c>
      <c r="J37" s="86" t="str">
        <f t="shared" ca="1" si="2"/>
        <v>—</v>
      </c>
      <c r="K37" s="87"/>
    </row>
    <row r="38" spans="1:11" x14ac:dyDescent="0.25">
      <c r="A38" s="88"/>
      <c r="B38" s="25" t="str">
        <f>IF(A38="","",IFERROR(VLOOKUP(A38,DB_Customers!$A:$D,4,0),"❌ Account Not Found"))</f>
        <v/>
      </c>
      <c r="C38" s="89" t="str">
        <f>IF(A38="","",IFERROR(VLOOKUP(A38,DB_Customers!$A:$N,14,0),""))</f>
        <v/>
      </c>
      <c r="D38" s="90" t="str">
        <f t="shared" ca="1" si="0"/>
        <v/>
      </c>
      <c r="E38" s="82"/>
      <c r="F38" s="91" t="str">
        <f t="shared" si="1"/>
        <v/>
      </c>
      <c r="G38" s="27"/>
      <c r="H38" s="84"/>
      <c r="I38" s="92" t="str">
        <f>IF(A38="","Pending",IF(H38="","⚠️ Enter Code",IF(IFERROR(VLOOKUP(G38,DB_Agents!$B:$I,8,0),"")=H38,IF(AND(A38&lt;&gt;"",E38&lt;&gt;""),"Saved","Pending"),"🔒 BLOCKED — Wrong Code")))</f>
        <v>Pending</v>
      </c>
      <c r="J38" s="93" t="str">
        <f t="shared" ca="1" si="2"/>
        <v>—</v>
      </c>
      <c r="K38" s="94"/>
    </row>
    <row r="39" spans="1:11" x14ac:dyDescent="0.25">
      <c r="A39" s="79"/>
      <c r="B39" s="21" t="str">
        <f>IF(A39="","",IFERROR(VLOOKUP(A39,DB_Customers!$A:$D,4,0),"❌ Account Not Found"))</f>
        <v/>
      </c>
      <c r="C39" s="80" t="str">
        <f>IF(A39="","",IFERROR(VLOOKUP(A39,DB_Customers!$A:$N,14,0),""))</f>
        <v/>
      </c>
      <c r="D39" s="81" t="str">
        <f t="shared" ca="1" si="0"/>
        <v/>
      </c>
      <c r="E39" s="82"/>
      <c r="F39" s="83" t="str">
        <f t="shared" si="1"/>
        <v/>
      </c>
      <c r="G39" s="23"/>
      <c r="H39" s="84"/>
      <c r="I39" s="85" t="str">
        <f>IF(A39="","Pending",IF(H39="","⚠️ Enter Code",IF(IFERROR(VLOOKUP(G39,DB_Agents!$B:$I,8,0),"")=H39,IF(AND(A39&lt;&gt;"",E39&lt;&gt;""),"Saved","Pending"),"🔒 BLOCKED — Wrong Code")))</f>
        <v>Pending</v>
      </c>
      <c r="J39" s="86" t="str">
        <f t="shared" ca="1" si="2"/>
        <v>—</v>
      </c>
      <c r="K39" s="87"/>
    </row>
    <row r="40" spans="1:11" x14ac:dyDescent="0.25">
      <c r="A40" s="88"/>
      <c r="B40" s="25" t="str">
        <f>IF(A40="","",IFERROR(VLOOKUP(A40,DB_Customers!$A:$D,4,0),"❌ Account Not Found"))</f>
        <v/>
      </c>
      <c r="C40" s="89" t="str">
        <f>IF(A40="","",IFERROR(VLOOKUP(A40,DB_Customers!$A:$N,14,0),""))</f>
        <v/>
      </c>
      <c r="D40" s="90" t="str">
        <f t="shared" ca="1" si="0"/>
        <v/>
      </c>
      <c r="E40" s="82"/>
      <c r="F40" s="91" t="str">
        <f t="shared" si="1"/>
        <v/>
      </c>
      <c r="G40" s="27"/>
      <c r="H40" s="84"/>
      <c r="I40" s="92" t="str">
        <f>IF(A40="","Pending",IF(H40="","⚠️ Enter Code",IF(IFERROR(VLOOKUP(G40,DB_Agents!$B:$I,8,0),"")=H40,IF(AND(A40&lt;&gt;"",E40&lt;&gt;""),"Saved","Pending"),"🔒 BLOCKED — Wrong Code")))</f>
        <v>Pending</v>
      </c>
      <c r="J40" s="93" t="str">
        <f t="shared" ca="1" si="2"/>
        <v>—</v>
      </c>
      <c r="K40" s="94"/>
    </row>
    <row r="41" spans="1:11" x14ac:dyDescent="0.25">
      <c r="A41" s="79"/>
      <c r="B41" s="21" t="str">
        <f>IF(A41="","",IFERROR(VLOOKUP(A41,DB_Customers!$A:$D,4,0),"❌ Account Not Found"))</f>
        <v/>
      </c>
      <c r="C41" s="80" t="str">
        <f>IF(A41="","",IFERROR(VLOOKUP(A41,DB_Customers!$A:$N,14,0),""))</f>
        <v/>
      </c>
      <c r="D41" s="81" t="str">
        <f t="shared" ref="D41:D72" ca="1" si="3">IF(A41="","",TODAY())</f>
        <v/>
      </c>
      <c r="E41" s="82"/>
      <c r="F41" s="83" t="str">
        <f t="shared" ref="F41:F72" si="4">IF(OR(A41="",E41=""),"",IF(C41="","",C41+E41))</f>
        <v/>
      </c>
      <c r="G41" s="23"/>
      <c r="H41" s="84"/>
      <c r="I41" s="85" t="str">
        <f>IF(A41="","Pending",IF(H41="","⚠️ Enter Code",IF(IFERROR(VLOOKUP(G41,DB_Agents!$B:$I,8,0),"")=H41,IF(AND(A41&lt;&gt;"",E41&lt;&gt;""),"Saved","Pending"),"🔒 BLOCKED — Wrong Code")))</f>
        <v>Pending</v>
      </c>
      <c r="J41" s="86" t="str">
        <f t="shared" ref="J41:J72" ca="1" si="5">IF(I41="Saved",TEXT(TODAY(),"YYYY-MM-DD")&amp;" Auto","—")</f>
        <v>—</v>
      </c>
      <c r="K41" s="87"/>
    </row>
    <row r="42" spans="1:11" x14ac:dyDescent="0.25">
      <c r="A42" s="88"/>
      <c r="B42" s="25" t="str">
        <f>IF(A42="","",IFERROR(VLOOKUP(A42,DB_Customers!$A:$D,4,0),"❌ Account Not Found"))</f>
        <v/>
      </c>
      <c r="C42" s="89" t="str">
        <f>IF(A42="","",IFERROR(VLOOKUP(A42,DB_Customers!$A:$N,14,0),""))</f>
        <v/>
      </c>
      <c r="D42" s="90" t="str">
        <f t="shared" ca="1" si="3"/>
        <v/>
      </c>
      <c r="E42" s="82"/>
      <c r="F42" s="91" t="str">
        <f t="shared" si="4"/>
        <v/>
      </c>
      <c r="G42" s="27"/>
      <c r="H42" s="84"/>
      <c r="I42" s="92" t="str">
        <f>IF(A42="","Pending",IF(H42="","⚠️ Enter Code",IF(IFERROR(VLOOKUP(G42,DB_Agents!$B:$I,8,0),"")=H42,IF(AND(A42&lt;&gt;"",E42&lt;&gt;""),"Saved","Pending"),"🔒 BLOCKED — Wrong Code")))</f>
        <v>Pending</v>
      </c>
      <c r="J42" s="93" t="str">
        <f t="shared" ca="1" si="5"/>
        <v>—</v>
      </c>
      <c r="K42" s="94"/>
    </row>
    <row r="43" spans="1:11" x14ac:dyDescent="0.25">
      <c r="A43" s="79"/>
      <c r="B43" s="21" t="str">
        <f>IF(A43="","",IFERROR(VLOOKUP(A43,DB_Customers!$A:$D,4,0),"❌ Account Not Found"))</f>
        <v/>
      </c>
      <c r="C43" s="80" t="str">
        <f>IF(A43="","",IFERROR(VLOOKUP(A43,DB_Customers!$A:$N,14,0),""))</f>
        <v/>
      </c>
      <c r="D43" s="81" t="str">
        <f t="shared" ca="1" si="3"/>
        <v/>
      </c>
      <c r="E43" s="82"/>
      <c r="F43" s="83" t="str">
        <f t="shared" si="4"/>
        <v/>
      </c>
      <c r="G43" s="23"/>
      <c r="H43" s="84"/>
      <c r="I43" s="85" t="str">
        <f>IF(A43="","Pending",IF(H43="","⚠️ Enter Code",IF(IFERROR(VLOOKUP(G43,DB_Agents!$B:$I,8,0),"")=H43,IF(AND(A43&lt;&gt;"",E43&lt;&gt;""),"Saved","Pending"),"🔒 BLOCKED — Wrong Code")))</f>
        <v>Pending</v>
      </c>
      <c r="J43" s="86" t="str">
        <f t="shared" ca="1" si="5"/>
        <v>—</v>
      </c>
      <c r="K43" s="87"/>
    </row>
    <row r="44" spans="1:11" x14ac:dyDescent="0.25">
      <c r="A44" s="88"/>
      <c r="B44" s="25" t="str">
        <f>IF(A44="","",IFERROR(VLOOKUP(A44,DB_Customers!$A:$D,4,0),"❌ Account Not Found"))</f>
        <v/>
      </c>
      <c r="C44" s="89" t="str">
        <f>IF(A44="","",IFERROR(VLOOKUP(A44,DB_Customers!$A:$N,14,0),""))</f>
        <v/>
      </c>
      <c r="D44" s="90" t="str">
        <f t="shared" ca="1" si="3"/>
        <v/>
      </c>
      <c r="E44" s="82"/>
      <c r="F44" s="91" t="str">
        <f t="shared" si="4"/>
        <v/>
      </c>
      <c r="G44" s="27"/>
      <c r="H44" s="84"/>
      <c r="I44" s="92" t="str">
        <f>IF(A44="","Pending",IF(H44="","⚠️ Enter Code",IF(IFERROR(VLOOKUP(G44,DB_Agents!$B:$I,8,0),"")=H44,IF(AND(A44&lt;&gt;"",E44&lt;&gt;""),"Saved","Pending"),"🔒 BLOCKED — Wrong Code")))</f>
        <v>Pending</v>
      </c>
      <c r="J44" s="93" t="str">
        <f t="shared" ca="1" si="5"/>
        <v>—</v>
      </c>
      <c r="K44" s="94"/>
    </row>
    <row r="45" spans="1:11" x14ac:dyDescent="0.25">
      <c r="A45" s="79"/>
      <c r="B45" s="21" t="str">
        <f>IF(A45="","",IFERROR(VLOOKUP(A45,DB_Customers!$A:$D,4,0),"❌ Account Not Found"))</f>
        <v/>
      </c>
      <c r="C45" s="80" t="str">
        <f>IF(A45="","",IFERROR(VLOOKUP(A45,DB_Customers!$A:$N,14,0),""))</f>
        <v/>
      </c>
      <c r="D45" s="81" t="str">
        <f t="shared" ca="1" si="3"/>
        <v/>
      </c>
      <c r="E45" s="82"/>
      <c r="F45" s="83" t="str">
        <f t="shared" si="4"/>
        <v/>
      </c>
      <c r="G45" s="23"/>
      <c r="H45" s="84"/>
      <c r="I45" s="85" t="str">
        <f>IF(A45="","Pending",IF(H45="","⚠️ Enter Code",IF(IFERROR(VLOOKUP(G45,DB_Agents!$B:$I,8,0),"")=H45,IF(AND(A45&lt;&gt;"",E45&lt;&gt;""),"Saved","Pending"),"🔒 BLOCKED — Wrong Code")))</f>
        <v>Pending</v>
      </c>
      <c r="J45" s="86" t="str">
        <f t="shared" ca="1" si="5"/>
        <v>—</v>
      </c>
      <c r="K45" s="87"/>
    </row>
    <row r="46" spans="1:11" x14ac:dyDescent="0.25">
      <c r="A46" s="88"/>
      <c r="B46" s="25" t="str">
        <f>IF(A46="","",IFERROR(VLOOKUP(A46,DB_Customers!$A:$D,4,0),"❌ Account Not Found"))</f>
        <v/>
      </c>
      <c r="C46" s="89" t="str">
        <f>IF(A46="","",IFERROR(VLOOKUP(A46,DB_Customers!$A:$N,14,0),""))</f>
        <v/>
      </c>
      <c r="D46" s="90" t="str">
        <f t="shared" ca="1" si="3"/>
        <v/>
      </c>
      <c r="E46" s="82"/>
      <c r="F46" s="91" t="str">
        <f t="shared" si="4"/>
        <v/>
      </c>
      <c r="G46" s="27"/>
      <c r="H46" s="84"/>
      <c r="I46" s="92" t="str">
        <f>IF(A46="","Pending",IF(H46="","⚠️ Enter Code",IF(IFERROR(VLOOKUP(G46,DB_Agents!$B:$I,8,0),"")=H46,IF(AND(A46&lt;&gt;"",E46&lt;&gt;""),"Saved","Pending"),"🔒 BLOCKED — Wrong Code")))</f>
        <v>Pending</v>
      </c>
      <c r="J46" s="93" t="str">
        <f t="shared" ca="1" si="5"/>
        <v>—</v>
      </c>
      <c r="K46" s="94"/>
    </row>
    <row r="47" spans="1:11" x14ac:dyDescent="0.25">
      <c r="A47" s="79"/>
      <c r="B47" s="21" t="str">
        <f>IF(A47="","",IFERROR(VLOOKUP(A47,DB_Customers!$A:$D,4,0),"❌ Account Not Found"))</f>
        <v/>
      </c>
      <c r="C47" s="80" t="str">
        <f>IF(A47="","",IFERROR(VLOOKUP(A47,DB_Customers!$A:$N,14,0),""))</f>
        <v/>
      </c>
      <c r="D47" s="81" t="str">
        <f t="shared" ca="1" si="3"/>
        <v/>
      </c>
      <c r="E47" s="82"/>
      <c r="F47" s="83" t="str">
        <f t="shared" si="4"/>
        <v/>
      </c>
      <c r="G47" s="23"/>
      <c r="H47" s="84"/>
      <c r="I47" s="85" t="str">
        <f>IF(A47="","Pending",IF(H47="","⚠️ Enter Code",IF(IFERROR(VLOOKUP(G47,DB_Agents!$B:$I,8,0),"")=H47,IF(AND(A47&lt;&gt;"",E47&lt;&gt;""),"Saved","Pending"),"🔒 BLOCKED — Wrong Code")))</f>
        <v>Pending</v>
      </c>
      <c r="J47" s="86" t="str">
        <f t="shared" ca="1" si="5"/>
        <v>—</v>
      </c>
      <c r="K47" s="87"/>
    </row>
    <row r="48" spans="1:11" x14ac:dyDescent="0.25">
      <c r="A48" s="88"/>
      <c r="B48" s="25" t="str">
        <f>IF(A48="","",IFERROR(VLOOKUP(A48,DB_Customers!$A:$D,4,0),"❌ Account Not Found"))</f>
        <v/>
      </c>
      <c r="C48" s="89" t="str">
        <f>IF(A48="","",IFERROR(VLOOKUP(A48,DB_Customers!$A:$N,14,0),""))</f>
        <v/>
      </c>
      <c r="D48" s="90" t="str">
        <f t="shared" ca="1" si="3"/>
        <v/>
      </c>
      <c r="E48" s="82"/>
      <c r="F48" s="91" t="str">
        <f t="shared" si="4"/>
        <v/>
      </c>
      <c r="G48" s="27"/>
      <c r="H48" s="84"/>
      <c r="I48" s="92" t="str">
        <f>IF(A48="","Pending",IF(H48="","⚠️ Enter Code",IF(IFERROR(VLOOKUP(G48,DB_Agents!$B:$I,8,0),"")=H48,IF(AND(A48&lt;&gt;"",E48&lt;&gt;""),"Saved","Pending"),"🔒 BLOCKED — Wrong Code")))</f>
        <v>Pending</v>
      </c>
      <c r="J48" s="93" t="str">
        <f t="shared" ca="1" si="5"/>
        <v>—</v>
      </c>
      <c r="K48" s="94"/>
    </row>
    <row r="49" spans="1:11" x14ac:dyDescent="0.25">
      <c r="A49" s="79"/>
      <c r="B49" s="21" t="str">
        <f>IF(A49="","",IFERROR(VLOOKUP(A49,DB_Customers!$A:$D,4,0),"❌ Account Not Found"))</f>
        <v/>
      </c>
      <c r="C49" s="80" t="str">
        <f>IF(A49="","",IFERROR(VLOOKUP(A49,DB_Customers!$A:$N,14,0),""))</f>
        <v/>
      </c>
      <c r="D49" s="81" t="str">
        <f t="shared" ca="1" si="3"/>
        <v/>
      </c>
      <c r="E49" s="82"/>
      <c r="F49" s="83" t="str">
        <f t="shared" si="4"/>
        <v/>
      </c>
      <c r="G49" s="23"/>
      <c r="H49" s="84"/>
      <c r="I49" s="85" t="str">
        <f>IF(A49="","Pending",IF(H49="","⚠️ Enter Code",IF(IFERROR(VLOOKUP(G49,DB_Agents!$B:$I,8,0),"")=H49,IF(AND(A49&lt;&gt;"",E49&lt;&gt;""),"Saved","Pending"),"🔒 BLOCKED — Wrong Code")))</f>
        <v>Pending</v>
      </c>
      <c r="J49" s="86" t="str">
        <f t="shared" ca="1" si="5"/>
        <v>—</v>
      </c>
      <c r="K49" s="87"/>
    </row>
    <row r="50" spans="1:11" x14ac:dyDescent="0.25">
      <c r="A50" s="88"/>
      <c r="B50" s="25" t="str">
        <f>IF(A50="","",IFERROR(VLOOKUP(A50,DB_Customers!$A:$D,4,0),"❌ Account Not Found"))</f>
        <v/>
      </c>
      <c r="C50" s="89" t="str">
        <f>IF(A50="","",IFERROR(VLOOKUP(A50,DB_Customers!$A:$N,14,0),""))</f>
        <v/>
      </c>
      <c r="D50" s="90" t="str">
        <f t="shared" ca="1" si="3"/>
        <v/>
      </c>
      <c r="E50" s="82"/>
      <c r="F50" s="91" t="str">
        <f t="shared" si="4"/>
        <v/>
      </c>
      <c r="G50" s="27"/>
      <c r="H50" s="84"/>
      <c r="I50" s="92" t="str">
        <f>IF(A50="","Pending",IF(H50="","⚠️ Enter Code",IF(IFERROR(VLOOKUP(G50,DB_Agents!$B:$I,8,0),"")=H50,IF(AND(A50&lt;&gt;"",E50&lt;&gt;""),"Saved","Pending"),"🔒 BLOCKED — Wrong Code")))</f>
        <v>Pending</v>
      </c>
      <c r="J50" s="93" t="str">
        <f t="shared" ca="1" si="5"/>
        <v>—</v>
      </c>
      <c r="K50" s="94"/>
    </row>
    <row r="51" spans="1:11" x14ac:dyDescent="0.25">
      <c r="A51" s="79"/>
      <c r="B51" s="21" t="str">
        <f>IF(A51="","",IFERROR(VLOOKUP(A51,DB_Customers!$A:$D,4,0),"❌ Account Not Found"))</f>
        <v/>
      </c>
      <c r="C51" s="80" t="str">
        <f>IF(A51="","",IFERROR(VLOOKUP(A51,DB_Customers!$A:$N,14,0),""))</f>
        <v/>
      </c>
      <c r="D51" s="81" t="str">
        <f t="shared" ca="1" si="3"/>
        <v/>
      </c>
      <c r="E51" s="82"/>
      <c r="F51" s="83" t="str">
        <f t="shared" si="4"/>
        <v/>
      </c>
      <c r="G51" s="23"/>
      <c r="H51" s="84"/>
      <c r="I51" s="85" t="str">
        <f>IF(A51="","Pending",IF(H51="","⚠️ Enter Code",IF(IFERROR(VLOOKUP(G51,DB_Agents!$B:$I,8,0),"")=H51,IF(AND(A51&lt;&gt;"",E51&lt;&gt;""),"Saved","Pending"),"🔒 BLOCKED — Wrong Code")))</f>
        <v>Pending</v>
      </c>
      <c r="J51" s="86" t="str">
        <f t="shared" ca="1" si="5"/>
        <v>—</v>
      </c>
      <c r="K51" s="87"/>
    </row>
    <row r="52" spans="1:11" x14ac:dyDescent="0.25">
      <c r="A52" s="88"/>
      <c r="B52" s="25" t="str">
        <f>IF(A52="","",IFERROR(VLOOKUP(A52,DB_Customers!$A:$D,4,0),"❌ Account Not Found"))</f>
        <v/>
      </c>
      <c r="C52" s="89" t="str">
        <f>IF(A52="","",IFERROR(VLOOKUP(A52,DB_Customers!$A:$N,14,0),""))</f>
        <v/>
      </c>
      <c r="D52" s="90" t="str">
        <f t="shared" ca="1" si="3"/>
        <v/>
      </c>
      <c r="E52" s="82"/>
      <c r="F52" s="91" t="str">
        <f t="shared" si="4"/>
        <v/>
      </c>
      <c r="G52" s="27"/>
      <c r="H52" s="84"/>
      <c r="I52" s="92" t="str">
        <f>IF(A52="","Pending",IF(H52="","⚠️ Enter Code",IF(IFERROR(VLOOKUP(G52,DB_Agents!$B:$I,8,0),"")=H52,IF(AND(A52&lt;&gt;"",E52&lt;&gt;""),"Saved","Pending"),"🔒 BLOCKED — Wrong Code")))</f>
        <v>Pending</v>
      </c>
      <c r="J52" s="93" t="str">
        <f t="shared" ca="1" si="5"/>
        <v>—</v>
      </c>
      <c r="K52" s="94"/>
    </row>
    <row r="53" spans="1:11" x14ac:dyDescent="0.25">
      <c r="A53" s="79"/>
      <c r="B53" s="21" t="str">
        <f>IF(A53="","",IFERROR(VLOOKUP(A53,DB_Customers!$A:$D,4,0),"❌ Account Not Found"))</f>
        <v/>
      </c>
      <c r="C53" s="80" t="str">
        <f>IF(A53="","",IFERROR(VLOOKUP(A53,DB_Customers!$A:$N,14,0),""))</f>
        <v/>
      </c>
      <c r="D53" s="81" t="str">
        <f t="shared" ca="1" si="3"/>
        <v/>
      </c>
      <c r="E53" s="82"/>
      <c r="F53" s="83" t="str">
        <f t="shared" si="4"/>
        <v/>
      </c>
      <c r="G53" s="23"/>
      <c r="H53" s="84"/>
      <c r="I53" s="85" t="str">
        <f>IF(A53="","Pending",IF(H53="","⚠️ Enter Code",IF(IFERROR(VLOOKUP(G53,DB_Agents!$B:$I,8,0),"")=H53,IF(AND(A53&lt;&gt;"",E53&lt;&gt;""),"Saved","Pending"),"🔒 BLOCKED — Wrong Code")))</f>
        <v>Pending</v>
      </c>
      <c r="J53" s="86" t="str">
        <f t="shared" ca="1" si="5"/>
        <v>—</v>
      </c>
      <c r="K53" s="87"/>
    </row>
    <row r="54" spans="1:11" x14ac:dyDescent="0.25">
      <c r="A54" s="88"/>
      <c r="B54" s="25" t="str">
        <f>IF(A54="","",IFERROR(VLOOKUP(A54,DB_Customers!$A:$D,4,0),"❌ Account Not Found"))</f>
        <v/>
      </c>
      <c r="C54" s="89" t="str">
        <f>IF(A54="","",IFERROR(VLOOKUP(A54,DB_Customers!$A:$N,14,0),""))</f>
        <v/>
      </c>
      <c r="D54" s="90" t="str">
        <f t="shared" ca="1" si="3"/>
        <v/>
      </c>
      <c r="E54" s="82"/>
      <c r="F54" s="91" t="str">
        <f t="shared" si="4"/>
        <v/>
      </c>
      <c r="G54" s="27"/>
      <c r="H54" s="84"/>
      <c r="I54" s="92" t="str">
        <f>IF(A54="","Pending",IF(H54="","⚠️ Enter Code",IF(IFERROR(VLOOKUP(G54,DB_Agents!$B:$I,8,0),"")=H54,IF(AND(A54&lt;&gt;"",E54&lt;&gt;""),"Saved","Pending"),"🔒 BLOCKED — Wrong Code")))</f>
        <v>Pending</v>
      </c>
      <c r="J54" s="93" t="str">
        <f t="shared" ca="1" si="5"/>
        <v>—</v>
      </c>
      <c r="K54" s="94"/>
    </row>
    <row r="55" spans="1:11" x14ac:dyDescent="0.25">
      <c r="A55" s="79"/>
      <c r="B55" s="21" t="str">
        <f>IF(A55="","",IFERROR(VLOOKUP(A55,DB_Customers!$A:$D,4,0),"❌ Account Not Found"))</f>
        <v/>
      </c>
      <c r="C55" s="80" t="str">
        <f>IF(A55="","",IFERROR(VLOOKUP(A55,DB_Customers!$A:$N,14,0),""))</f>
        <v/>
      </c>
      <c r="D55" s="81" t="str">
        <f t="shared" ca="1" si="3"/>
        <v/>
      </c>
      <c r="E55" s="82"/>
      <c r="F55" s="83" t="str">
        <f t="shared" si="4"/>
        <v/>
      </c>
      <c r="G55" s="23"/>
      <c r="H55" s="84"/>
      <c r="I55" s="85" t="str">
        <f>IF(A55="","Pending",IF(H55="","⚠️ Enter Code",IF(IFERROR(VLOOKUP(G55,DB_Agents!$B:$I,8,0),"")=H55,IF(AND(A55&lt;&gt;"",E55&lt;&gt;""),"Saved","Pending"),"🔒 BLOCKED — Wrong Code")))</f>
        <v>Pending</v>
      </c>
      <c r="J55" s="86" t="str">
        <f t="shared" ca="1" si="5"/>
        <v>—</v>
      </c>
      <c r="K55" s="87"/>
    </row>
    <row r="56" spans="1:11" x14ac:dyDescent="0.25">
      <c r="A56" s="88"/>
      <c r="B56" s="25" t="str">
        <f>IF(A56="","",IFERROR(VLOOKUP(A56,DB_Customers!$A:$D,4,0),"❌ Account Not Found"))</f>
        <v/>
      </c>
      <c r="C56" s="89" t="str">
        <f>IF(A56="","",IFERROR(VLOOKUP(A56,DB_Customers!$A:$N,14,0),""))</f>
        <v/>
      </c>
      <c r="D56" s="90" t="str">
        <f t="shared" ca="1" si="3"/>
        <v/>
      </c>
      <c r="E56" s="82"/>
      <c r="F56" s="91" t="str">
        <f t="shared" si="4"/>
        <v/>
      </c>
      <c r="G56" s="27"/>
      <c r="H56" s="84"/>
      <c r="I56" s="92" t="str">
        <f>IF(A56="","Pending",IF(H56="","⚠️ Enter Code",IF(IFERROR(VLOOKUP(G56,DB_Agents!$B:$I,8,0),"")=H56,IF(AND(A56&lt;&gt;"",E56&lt;&gt;""),"Saved","Pending"),"🔒 BLOCKED — Wrong Code")))</f>
        <v>Pending</v>
      </c>
      <c r="J56" s="93" t="str">
        <f t="shared" ca="1" si="5"/>
        <v>—</v>
      </c>
      <c r="K56" s="94"/>
    </row>
    <row r="57" spans="1:11" x14ac:dyDescent="0.25">
      <c r="A57" s="79"/>
      <c r="B57" s="21" t="str">
        <f>IF(A57="","",IFERROR(VLOOKUP(A57,DB_Customers!$A:$D,4,0),"❌ Account Not Found"))</f>
        <v/>
      </c>
      <c r="C57" s="80" t="str">
        <f>IF(A57="","",IFERROR(VLOOKUP(A57,DB_Customers!$A:$N,14,0),""))</f>
        <v/>
      </c>
      <c r="D57" s="81" t="str">
        <f t="shared" ca="1" si="3"/>
        <v/>
      </c>
      <c r="E57" s="82"/>
      <c r="F57" s="83" t="str">
        <f t="shared" si="4"/>
        <v/>
      </c>
      <c r="G57" s="23"/>
      <c r="H57" s="84"/>
      <c r="I57" s="85" t="str">
        <f>IF(A57="","Pending",IF(H57="","⚠️ Enter Code",IF(IFERROR(VLOOKUP(G57,DB_Agents!$B:$I,8,0),"")=H57,IF(AND(A57&lt;&gt;"",E57&lt;&gt;""),"Saved","Pending"),"🔒 BLOCKED — Wrong Code")))</f>
        <v>Pending</v>
      </c>
      <c r="J57" s="86" t="str">
        <f t="shared" ca="1" si="5"/>
        <v>—</v>
      </c>
      <c r="K57" s="87"/>
    </row>
    <row r="58" spans="1:11" x14ac:dyDescent="0.25">
      <c r="A58" s="88"/>
      <c r="B58" s="25" t="str">
        <f>IF(A58="","",IFERROR(VLOOKUP(A58,DB_Customers!$A:$D,4,0),"❌ Account Not Found"))</f>
        <v/>
      </c>
      <c r="C58" s="89" t="str">
        <f>IF(A58="","",IFERROR(VLOOKUP(A58,DB_Customers!$A:$N,14,0),""))</f>
        <v/>
      </c>
      <c r="D58" s="90" t="str">
        <f t="shared" ca="1" si="3"/>
        <v/>
      </c>
      <c r="E58" s="82"/>
      <c r="F58" s="91" t="str">
        <f t="shared" si="4"/>
        <v/>
      </c>
      <c r="G58" s="27"/>
      <c r="H58" s="84"/>
      <c r="I58" s="92" t="str">
        <f>IF(A58="","Pending",IF(H58="","⚠️ Enter Code",IF(IFERROR(VLOOKUP(G58,DB_Agents!$B:$I,8,0),"")=H58,IF(AND(A58&lt;&gt;"",E58&lt;&gt;""),"Saved","Pending"),"🔒 BLOCKED — Wrong Code")))</f>
        <v>Pending</v>
      </c>
      <c r="J58" s="93" t="str">
        <f t="shared" ca="1" si="5"/>
        <v>—</v>
      </c>
      <c r="K58" s="94"/>
    </row>
    <row r="59" spans="1:11" x14ac:dyDescent="0.25">
      <c r="A59" s="79"/>
      <c r="B59" s="21" t="str">
        <f>IF(A59="","",IFERROR(VLOOKUP(A59,DB_Customers!$A:$D,4,0),"❌ Account Not Found"))</f>
        <v/>
      </c>
      <c r="C59" s="80" t="str">
        <f>IF(A59="","",IFERROR(VLOOKUP(A59,DB_Customers!$A:$N,14,0),""))</f>
        <v/>
      </c>
      <c r="D59" s="81" t="str">
        <f t="shared" ca="1" si="3"/>
        <v/>
      </c>
      <c r="E59" s="82"/>
      <c r="F59" s="83" t="str">
        <f t="shared" si="4"/>
        <v/>
      </c>
      <c r="G59" s="23"/>
      <c r="H59" s="84"/>
      <c r="I59" s="85" t="str">
        <f>IF(A59="","Pending",IF(H59="","⚠️ Enter Code",IF(IFERROR(VLOOKUP(G59,DB_Agents!$B:$I,8,0),"")=H59,IF(AND(A59&lt;&gt;"",E59&lt;&gt;""),"Saved","Pending"),"🔒 BLOCKED — Wrong Code")))</f>
        <v>Pending</v>
      </c>
      <c r="J59" s="86" t="str">
        <f t="shared" ca="1" si="5"/>
        <v>—</v>
      </c>
      <c r="K59" s="87"/>
    </row>
    <row r="60" spans="1:11" x14ac:dyDescent="0.25">
      <c r="A60" s="88"/>
      <c r="B60" s="25" t="str">
        <f>IF(A60="","",IFERROR(VLOOKUP(A60,DB_Customers!$A:$D,4,0),"❌ Account Not Found"))</f>
        <v/>
      </c>
      <c r="C60" s="89" t="str">
        <f>IF(A60="","",IFERROR(VLOOKUP(A60,DB_Customers!$A:$N,14,0),""))</f>
        <v/>
      </c>
      <c r="D60" s="90" t="str">
        <f t="shared" ca="1" si="3"/>
        <v/>
      </c>
      <c r="E60" s="82"/>
      <c r="F60" s="91" t="str">
        <f t="shared" si="4"/>
        <v/>
      </c>
      <c r="G60" s="27"/>
      <c r="H60" s="84"/>
      <c r="I60" s="92" t="str">
        <f>IF(A60="","Pending",IF(H60="","⚠️ Enter Code",IF(IFERROR(VLOOKUP(G60,DB_Agents!$B:$I,8,0),"")=H60,IF(AND(A60&lt;&gt;"",E60&lt;&gt;""),"Saved","Pending"),"🔒 BLOCKED — Wrong Code")))</f>
        <v>Pending</v>
      </c>
      <c r="J60" s="93" t="str">
        <f t="shared" ca="1" si="5"/>
        <v>—</v>
      </c>
      <c r="K60" s="94"/>
    </row>
    <row r="61" spans="1:11" x14ac:dyDescent="0.25">
      <c r="A61" s="79"/>
      <c r="B61" s="21" t="str">
        <f>IF(A61="","",IFERROR(VLOOKUP(A61,DB_Customers!$A:$D,4,0),"❌ Account Not Found"))</f>
        <v/>
      </c>
      <c r="C61" s="80" t="str">
        <f>IF(A61="","",IFERROR(VLOOKUP(A61,DB_Customers!$A:$N,14,0),""))</f>
        <v/>
      </c>
      <c r="D61" s="81" t="str">
        <f t="shared" ca="1" si="3"/>
        <v/>
      </c>
      <c r="E61" s="82"/>
      <c r="F61" s="83" t="str">
        <f t="shared" si="4"/>
        <v/>
      </c>
      <c r="G61" s="23"/>
      <c r="H61" s="84"/>
      <c r="I61" s="85" t="str">
        <f>IF(A61="","Pending",IF(H61="","⚠️ Enter Code",IF(IFERROR(VLOOKUP(G61,DB_Agents!$B:$I,8,0),"")=H61,IF(AND(A61&lt;&gt;"",E61&lt;&gt;""),"Saved","Pending"),"🔒 BLOCKED — Wrong Code")))</f>
        <v>Pending</v>
      </c>
      <c r="J61" s="86" t="str">
        <f t="shared" ca="1" si="5"/>
        <v>—</v>
      </c>
      <c r="K61" s="87"/>
    </row>
    <row r="62" spans="1:11" x14ac:dyDescent="0.25">
      <c r="A62" s="88"/>
      <c r="B62" s="25" t="str">
        <f>IF(A62="","",IFERROR(VLOOKUP(A62,DB_Customers!$A:$D,4,0),"❌ Account Not Found"))</f>
        <v/>
      </c>
      <c r="C62" s="89" t="str">
        <f>IF(A62="","",IFERROR(VLOOKUP(A62,DB_Customers!$A:$N,14,0),""))</f>
        <v/>
      </c>
      <c r="D62" s="90" t="str">
        <f t="shared" ca="1" si="3"/>
        <v/>
      </c>
      <c r="E62" s="82"/>
      <c r="F62" s="91" t="str">
        <f t="shared" si="4"/>
        <v/>
      </c>
      <c r="G62" s="27"/>
      <c r="H62" s="84"/>
      <c r="I62" s="92" t="str">
        <f>IF(A62="","Pending",IF(H62="","⚠️ Enter Code",IF(IFERROR(VLOOKUP(G62,DB_Agents!$B:$I,8,0),"")=H62,IF(AND(A62&lt;&gt;"",E62&lt;&gt;""),"Saved","Pending"),"🔒 BLOCKED — Wrong Code")))</f>
        <v>Pending</v>
      </c>
      <c r="J62" s="93" t="str">
        <f t="shared" ca="1" si="5"/>
        <v>—</v>
      </c>
      <c r="K62" s="94"/>
    </row>
    <row r="63" spans="1:11" x14ac:dyDescent="0.25">
      <c r="A63" s="79"/>
      <c r="B63" s="21" t="str">
        <f>IF(A63="","",IFERROR(VLOOKUP(A63,DB_Customers!$A:$D,4,0),"❌ Account Not Found"))</f>
        <v/>
      </c>
      <c r="C63" s="80" t="str">
        <f>IF(A63="","",IFERROR(VLOOKUP(A63,DB_Customers!$A:$N,14,0),""))</f>
        <v/>
      </c>
      <c r="D63" s="81" t="str">
        <f t="shared" ca="1" si="3"/>
        <v/>
      </c>
      <c r="E63" s="82"/>
      <c r="F63" s="83" t="str">
        <f t="shared" si="4"/>
        <v/>
      </c>
      <c r="G63" s="23"/>
      <c r="H63" s="84"/>
      <c r="I63" s="85" t="str">
        <f>IF(A63="","Pending",IF(H63="","⚠️ Enter Code",IF(IFERROR(VLOOKUP(G63,DB_Agents!$B:$I,8,0),"")=H63,IF(AND(A63&lt;&gt;"",E63&lt;&gt;""),"Saved","Pending"),"🔒 BLOCKED — Wrong Code")))</f>
        <v>Pending</v>
      </c>
      <c r="J63" s="86" t="str">
        <f t="shared" ca="1" si="5"/>
        <v>—</v>
      </c>
      <c r="K63" s="87"/>
    </row>
    <row r="64" spans="1:11" x14ac:dyDescent="0.25">
      <c r="A64" s="88"/>
      <c r="B64" s="25" t="str">
        <f>IF(A64="","",IFERROR(VLOOKUP(A64,DB_Customers!$A:$D,4,0),"❌ Account Not Found"))</f>
        <v/>
      </c>
      <c r="C64" s="89" t="str">
        <f>IF(A64="","",IFERROR(VLOOKUP(A64,DB_Customers!$A:$N,14,0),""))</f>
        <v/>
      </c>
      <c r="D64" s="90" t="str">
        <f t="shared" ca="1" si="3"/>
        <v/>
      </c>
      <c r="E64" s="82"/>
      <c r="F64" s="91" t="str">
        <f t="shared" si="4"/>
        <v/>
      </c>
      <c r="G64" s="27"/>
      <c r="H64" s="84"/>
      <c r="I64" s="92" t="str">
        <f>IF(A64="","Pending",IF(H64="","⚠️ Enter Code",IF(IFERROR(VLOOKUP(G64,DB_Agents!$B:$I,8,0),"")=H64,IF(AND(A64&lt;&gt;"",E64&lt;&gt;""),"Saved","Pending"),"🔒 BLOCKED — Wrong Code")))</f>
        <v>Pending</v>
      </c>
      <c r="J64" s="93" t="str">
        <f t="shared" ca="1" si="5"/>
        <v>—</v>
      </c>
      <c r="K64" s="94"/>
    </row>
    <row r="65" spans="1:11" x14ac:dyDescent="0.25">
      <c r="A65" s="79"/>
      <c r="B65" s="21" t="str">
        <f>IF(A65="","",IFERROR(VLOOKUP(A65,DB_Customers!$A:$D,4,0),"❌ Account Not Found"))</f>
        <v/>
      </c>
      <c r="C65" s="80" t="str">
        <f>IF(A65="","",IFERROR(VLOOKUP(A65,DB_Customers!$A:$N,14,0),""))</f>
        <v/>
      </c>
      <c r="D65" s="81" t="str">
        <f t="shared" ca="1" si="3"/>
        <v/>
      </c>
      <c r="E65" s="82"/>
      <c r="F65" s="83" t="str">
        <f t="shared" si="4"/>
        <v/>
      </c>
      <c r="G65" s="23"/>
      <c r="H65" s="84"/>
      <c r="I65" s="85" t="str">
        <f>IF(A65="","Pending",IF(H65="","⚠️ Enter Code",IF(IFERROR(VLOOKUP(G65,DB_Agents!$B:$I,8,0),"")=H65,IF(AND(A65&lt;&gt;"",E65&lt;&gt;""),"Saved","Pending"),"🔒 BLOCKED — Wrong Code")))</f>
        <v>Pending</v>
      </c>
      <c r="J65" s="86" t="str">
        <f t="shared" ca="1" si="5"/>
        <v>—</v>
      </c>
      <c r="K65" s="87"/>
    </row>
    <row r="66" spans="1:11" x14ac:dyDescent="0.25">
      <c r="A66" s="88"/>
      <c r="B66" s="25" t="str">
        <f>IF(A66="","",IFERROR(VLOOKUP(A66,DB_Customers!$A:$D,4,0),"❌ Account Not Found"))</f>
        <v/>
      </c>
      <c r="C66" s="89" t="str">
        <f>IF(A66="","",IFERROR(VLOOKUP(A66,DB_Customers!$A:$N,14,0),""))</f>
        <v/>
      </c>
      <c r="D66" s="90" t="str">
        <f t="shared" ca="1" si="3"/>
        <v/>
      </c>
      <c r="E66" s="82"/>
      <c r="F66" s="91" t="str">
        <f t="shared" si="4"/>
        <v/>
      </c>
      <c r="G66" s="27"/>
      <c r="H66" s="84"/>
      <c r="I66" s="92" t="str">
        <f>IF(A66="","Pending",IF(H66="","⚠️ Enter Code",IF(IFERROR(VLOOKUP(G66,DB_Agents!$B:$I,8,0),"")=H66,IF(AND(A66&lt;&gt;"",E66&lt;&gt;""),"Saved","Pending"),"🔒 BLOCKED — Wrong Code")))</f>
        <v>Pending</v>
      </c>
      <c r="J66" s="93" t="str">
        <f t="shared" ca="1" si="5"/>
        <v>—</v>
      </c>
      <c r="K66" s="94"/>
    </row>
    <row r="67" spans="1:11" x14ac:dyDescent="0.25">
      <c r="A67" s="79"/>
      <c r="B67" s="21" t="str">
        <f>IF(A67="","",IFERROR(VLOOKUP(A67,DB_Customers!$A:$D,4,0),"❌ Account Not Found"))</f>
        <v/>
      </c>
      <c r="C67" s="80" t="str">
        <f>IF(A67="","",IFERROR(VLOOKUP(A67,DB_Customers!$A:$N,14,0),""))</f>
        <v/>
      </c>
      <c r="D67" s="81" t="str">
        <f t="shared" ca="1" si="3"/>
        <v/>
      </c>
      <c r="E67" s="82"/>
      <c r="F67" s="83" t="str">
        <f t="shared" si="4"/>
        <v/>
      </c>
      <c r="G67" s="23"/>
      <c r="H67" s="84"/>
      <c r="I67" s="85" t="str">
        <f>IF(A67="","Pending",IF(H67="","⚠️ Enter Code",IF(IFERROR(VLOOKUP(G67,DB_Agents!$B:$I,8,0),"")=H67,IF(AND(A67&lt;&gt;"",E67&lt;&gt;""),"Saved","Pending"),"🔒 BLOCKED — Wrong Code")))</f>
        <v>Pending</v>
      </c>
      <c r="J67" s="86" t="str">
        <f t="shared" ca="1" si="5"/>
        <v>—</v>
      </c>
      <c r="K67" s="87"/>
    </row>
    <row r="68" spans="1:11" x14ac:dyDescent="0.25">
      <c r="A68" s="88"/>
      <c r="B68" s="25" t="str">
        <f>IF(A68="","",IFERROR(VLOOKUP(A68,DB_Customers!$A:$D,4,0),"❌ Account Not Found"))</f>
        <v/>
      </c>
      <c r="C68" s="89" t="str">
        <f>IF(A68="","",IFERROR(VLOOKUP(A68,DB_Customers!$A:$N,14,0),""))</f>
        <v/>
      </c>
      <c r="D68" s="90" t="str">
        <f t="shared" ca="1" si="3"/>
        <v/>
      </c>
      <c r="E68" s="82"/>
      <c r="F68" s="91" t="str">
        <f t="shared" si="4"/>
        <v/>
      </c>
      <c r="G68" s="27"/>
      <c r="H68" s="84"/>
      <c r="I68" s="92" t="str">
        <f>IF(A68="","Pending",IF(H68="","⚠️ Enter Code",IF(IFERROR(VLOOKUP(G68,DB_Agents!$B:$I,8,0),"")=H68,IF(AND(A68&lt;&gt;"",E68&lt;&gt;""),"Saved","Pending"),"🔒 BLOCKED — Wrong Code")))</f>
        <v>Pending</v>
      </c>
      <c r="J68" s="93" t="str">
        <f t="shared" ca="1" si="5"/>
        <v>—</v>
      </c>
      <c r="K68" s="94"/>
    </row>
    <row r="69" spans="1:11" x14ac:dyDescent="0.25">
      <c r="A69" s="79"/>
      <c r="B69" s="21" t="str">
        <f>IF(A69="","",IFERROR(VLOOKUP(A69,DB_Customers!$A:$D,4,0),"❌ Account Not Found"))</f>
        <v/>
      </c>
      <c r="C69" s="80" t="str">
        <f>IF(A69="","",IFERROR(VLOOKUP(A69,DB_Customers!$A:$N,14,0),""))</f>
        <v/>
      </c>
      <c r="D69" s="81" t="str">
        <f t="shared" ca="1" si="3"/>
        <v/>
      </c>
      <c r="E69" s="82"/>
      <c r="F69" s="83" t="str">
        <f t="shared" si="4"/>
        <v/>
      </c>
      <c r="G69" s="23"/>
      <c r="H69" s="84"/>
      <c r="I69" s="85" t="str">
        <f>IF(A69="","Pending",IF(H69="","⚠️ Enter Code",IF(IFERROR(VLOOKUP(G69,DB_Agents!$B:$I,8,0),"")=H69,IF(AND(A69&lt;&gt;"",E69&lt;&gt;""),"Saved","Pending"),"🔒 BLOCKED — Wrong Code")))</f>
        <v>Pending</v>
      </c>
      <c r="J69" s="86" t="str">
        <f t="shared" ca="1" si="5"/>
        <v>—</v>
      </c>
      <c r="K69" s="87"/>
    </row>
    <row r="70" spans="1:11" x14ac:dyDescent="0.25">
      <c r="A70" s="88"/>
      <c r="B70" s="25" t="str">
        <f>IF(A70="","",IFERROR(VLOOKUP(A70,DB_Customers!$A:$D,4,0),"❌ Account Not Found"))</f>
        <v/>
      </c>
      <c r="C70" s="89" t="str">
        <f>IF(A70="","",IFERROR(VLOOKUP(A70,DB_Customers!$A:$N,14,0),""))</f>
        <v/>
      </c>
      <c r="D70" s="90" t="str">
        <f t="shared" ca="1" si="3"/>
        <v/>
      </c>
      <c r="E70" s="82"/>
      <c r="F70" s="91" t="str">
        <f t="shared" si="4"/>
        <v/>
      </c>
      <c r="G70" s="27"/>
      <c r="H70" s="84"/>
      <c r="I70" s="92" t="str">
        <f>IF(A70="","Pending",IF(H70="","⚠️ Enter Code",IF(IFERROR(VLOOKUP(G70,DB_Agents!$B:$I,8,0),"")=H70,IF(AND(A70&lt;&gt;"",E70&lt;&gt;""),"Saved","Pending"),"🔒 BLOCKED — Wrong Code")))</f>
        <v>Pending</v>
      </c>
      <c r="J70" s="93" t="str">
        <f t="shared" ca="1" si="5"/>
        <v>—</v>
      </c>
      <c r="K70" s="94"/>
    </row>
    <row r="71" spans="1:11" x14ac:dyDescent="0.25">
      <c r="A71" s="79"/>
      <c r="B71" s="21" t="str">
        <f>IF(A71="","",IFERROR(VLOOKUP(A71,DB_Customers!$A:$D,4,0),"❌ Account Not Found"))</f>
        <v/>
      </c>
      <c r="C71" s="80" t="str">
        <f>IF(A71="","",IFERROR(VLOOKUP(A71,DB_Customers!$A:$N,14,0),""))</f>
        <v/>
      </c>
      <c r="D71" s="81" t="str">
        <f t="shared" ca="1" si="3"/>
        <v/>
      </c>
      <c r="E71" s="82"/>
      <c r="F71" s="83" t="str">
        <f t="shared" si="4"/>
        <v/>
      </c>
      <c r="G71" s="23"/>
      <c r="H71" s="84"/>
      <c r="I71" s="85" t="str">
        <f>IF(A71="","Pending",IF(H71="","⚠️ Enter Code",IF(IFERROR(VLOOKUP(G71,DB_Agents!$B:$I,8,0),"")=H71,IF(AND(A71&lt;&gt;"",E71&lt;&gt;""),"Saved","Pending"),"🔒 BLOCKED — Wrong Code")))</f>
        <v>Pending</v>
      </c>
      <c r="J71" s="86" t="str">
        <f t="shared" ca="1" si="5"/>
        <v>—</v>
      </c>
      <c r="K71" s="87"/>
    </row>
    <row r="72" spans="1:11" x14ac:dyDescent="0.25">
      <c r="A72" s="88"/>
      <c r="B72" s="25" t="str">
        <f>IF(A72="","",IFERROR(VLOOKUP(A72,DB_Customers!$A:$D,4,0),"❌ Account Not Found"))</f>
        <v/>
      </c>
      <c r="C72" s="89" t="str">
        <f>IF(A72="","",IFERROR(VLOOKUP(A72,DB_Customers!$A:$N,14,0),""))</f>
        <v/>
      </c>
      <c r="D72" s="90" t="str">
        <f t="shared" ca="1" si="3"/>
        <v/>
      </c>
      <c r="E72" s="82"/>
      <c r="F72" s="91" t="str">
        <f t="shared" si="4"/>
        <v/>
      </c>
      <c r="G72" s="27"/>
      <c r="H72" s="84"/>
      <c r="I72" s="92" t="str">
        <f>IF(A72="","Pending",IF(H72="","⚠️ Enter Code",IF(IFERROR(VLOOKUP(G72,DB_Agents!$B:$I,8,0),"")=H72,IF(AND(A72&lt;&gt;"",E72&lt;&gt;""),"Saved","Pending"),"🔒 BLOCKED — Wrong Code")))</f>
        <v>Pending</v>
      </c>
      <c r="J72" s="93" t="str">
        <f t="shared" ca="1" si="5"/>
        <v>—</v>
      </c>
      <c r="K72" s="94"/>
    </row>
    <row r="73" spans="1:11" x14ac:dyDescent="0.25">
      <c r="A73" s="79"/>
      <c r="B73" s="21" t="str">
        <f>IF(A73="","",IFERROR(VLOOKUP(A73,DB_Customers!$A:$D,4,0),"❌ Account Not Found"))</f>
        <v/>
      </c>
      <c r="C73" s="80" t="str">
        <f>IF(A73="","",IFERROR(VLOOKUP(A73,DB_Customers!$A:$N,14,0),""))</f>
        <v/>
      </c>
      <c r="D73" s="81" t="str">
        <f t="shared" ref="D73:D104" ca="1" si="6">IF(A73="","",TODAY())</f>
        <v/>
      </c>
      <c r="E73" s="82"/>
      <c r="F73" s="83" t="str">
        <f t="shared" ref="F73:F104" si="7">IF(OR(A73="",E73=""),"",IF(C73="","",C73+E73))</f>
        <v/>
      </c>
      <c r="G73" s="23"/>
      <c r="H73" s="84"/>
      <c r="I73" s="85" t="str">
        <f>IF(A73="","Pending",IF(H73="","⚠️ Enter Code",IF(IFERROR(VLOOKUP(G73,DB_Agents!$B:$I,8,0),"")=H73,IF(AND(A73&lt;&gt;"",E73&lt;&gt;""),"Saved","Pending"),"🔒 BLOCKED — Wrong Code")))</f>
        <v>Pending</v>
      </c>
      <c r="J73" s="86" t="str">
        <f t="shared" ref="J73:J104" ca="1" si="8">IF(I73="Saved",TEXT(TODAY(),"YYYY-MM-DD")&amp;" Auto","—")</f>
        <v>—</v>
      </c>
      <c r="K73" s="87"/>
    </row>
    <row r="74" spans="1:11" x14ac:dyDescent="0.25">
      <c r="A74" s="88"/>
      <c r="B74" s="25" t="str">
        <f>IF(A74="","",IFERROR(VLOOKUP(A74,DB_Customers!$A:$D,4,0),"❌ Account Not Found"))</f>
        <v/>
      </c>
      <c r="C74" s="89" t="str">
        <f>IF(A74="","",IFERROR(VLOOKUP(A74,DB_Customers!$A:$N,14,0),""))</f>
        <v/>
      </c>
      <c r="D74" s="90" t="str">
        <f t="shared" ca="1" si="6"/>
        <v/>
      </c>
      <c r="E74" s="82"/>
      <c r="F74" s="91" t="str">
        <f t="shared" si="7"/>
        <v/>
      </c>
      <c r="G74" s="27"/>
      <c r="H74" s="84"/>
      <c r="I74" s="92" t="str">
        <f>IF(A74="","Pending",IF(H74="","⚠️ Enter Code",IF(IFERROR(VLOOKUP(G74,DB_Agents!$B:$I,8,0),"")=H74,IF(AND(A74&lt;&gt;"",E74&lt;&gt;""),"Saved","Pending"),"🔒 BLOCKED — Wrong Code")))</f>
        <v>Pending</v>
      </c>
      <c r="J74" s="93" t="str">
        <f t="shared" ca="1" si="8"/>
        <v>—</v>
      </c>
      <c r="K74" s="94"/>
    </row>
    <row r="75" spans="1:11" x14ac:dyDescent="0.25">
      <c r="A75" s="79"/>
      <c r="B75" s="21" t="str">
        <f>IF(A75="","",IFERROR(VLOOKUP(A75,DB_Customers!$A:$D,4,0),"❌ Account Not Found"))</f>
        <v/>
      </c>
      <c r="C75" s="80" t="str">
        <f>IF(A75="","",IFERROR(VLOOKUP(A75,DB_Customers!$A:$N,14,0),""))</f>
        <v/>
      </c>
      <c r="D75" s="81" t="str">
        <f t="shared" ca="1" si="6"/>
        <v/>
      </c>
      <c r="E75" s="82"/>
      <c r="F75" s="83" t="str">
        <f t="shared" si="7"/>
        <v/>
      </c>
      <c r="G75" s="23"/>
      <c r="H75" s="84"/>
      <c r="I75" s="85" t="str">
        <f>IF(A75="","Pending",IF(H75="","⚠️ Enter Code",IF(IFERROR(VLOOKUP(G75,DB_Agents!$B:$I,8,0),"")=H75,IF(AND(A75&lt;&gt;"",E75&lt;&gt;""),"Saved","Pending"),"🔒 BLOCKED — Wrong Code")))</f>
        <v>Pending</v>
      </c>
      <c r="J75" s="86" t="str">
        <f t="shared" ca="1" si="8"/>
        <v>—</v>
      </c>
      <c r="K75" s="87"/>
    </row>
    <row r="76" spans="1:11" x14ac:dyDescent="0.25">
      <c r="A76" s="88"/>
      <c r="B76" s="25" t="str">
        <f>IF(A76="","",IFERROR(VLOOKUP(A76,DB_Customers!$A:$D,4,0),"❌ Account Not Found"))</f>
        <v/>
      </c>
      <c r="C76" s="89" t="str">
        <f>IF(A76="","",IFERROR(VLOOKUP(A76,DB_Customers!$A:$N,14,0),""))</f>
        <v/>
      </c>
      <c r="D76" s="90" t="str">
        <f t="shared" ca="1" si="6"/>
        <v/>
      </c>
      <c r="E76" s="82"/>
      <c r="F76" s="91" t="str">
        <f t="shared" si="7"/>
        <v/>
      </c>
      <c r="G76" s="27"/>
      <c r="H76" s="84"/>
      <c r="I76" s="92" t="str">
        <f>IF(A76="","Pending",IF(H76="","⚠️ Enter Code",IF(IFERROR(VLOOKUP(G76,DB_Agents!$B:$I,8,0),"")=H76,IF(AND(A76&lt;&gt;"",E76&lt;&gt;""),"Saved","Pending"),"🔒 BLOCKED — Wrong Code")))</f>
        <v>Pending</v>
      </c>
      <c r="J76" s="93" t="str">
        <f t="shared" ca="1" si="8"/>
        <v>—</v>
      </c>
      <c r="K76" s="94"/>
    </row>
    <row r="77" spans="1:11" x14ac:dyDescent="0.25">
      <c r="A77" s="79"/>
      <c r="B77" s="21" t="str">
        <f>IF(A77="","",IFERROR(VLOOKUP(A77,DB_Customers!$A:$D,4,0),"❌ Account Not Found"))</f>
        <v/>
      </c>
      <c r="C77" s="80" t="str">
        <f>IF(A77="","",IFERROR(VLOOKUP(A77,DB_Customers!$A:$N,14,0),""))</f>
        <v/>
      </c>
      <c r="D77" s="81" t="str">
        <f t="shared" ca="1" si="6"/>
        <v/>
      </c>
      <c r="E77" s="82"/>
      <c r="F77" s="83" t="str">
        <f t="shared" si="7"/>
        <v/>
      </c>
      <c r="G77" s="23"/>
      <c r="H77" s="84"/>
      <c r="I77" s="85" t="str">
        <f>IF(A77="","Pending",IF(H77="","⚠️ Enter Code",IF(IFERROR(VLOOKUP(G77,DB_Agents!$B:$I,8,0),"")=H77,IF(AND(A77&lt;&gt;"",E77&lt;&gt;""),"Saved","Pending"),"🔒 BLOCKED — Wrong Code")))</f>
        <v>Pending</v>
      </c>
      <c r="J77" s="86" t="str">
        <f t="shared" ca="1" si="8"/>
        <v>—</v>
      </c>
      <c r="K77" s="87"/>
    </row>
    <row r="78" spans="1:11" x14ac:dyDescent="0.25">
      <c r="A78" s="88"/>
      <c r="B78" s="25" t="str">
        <f>IF(A78="","",IFERROR(VLOOKUP(A78,DB_Customers!$A:$D,4,0),"❌ Account Not Found"))</f>
        <v/>
      </c>
      <c r="C78" s="89" t="str">
        <f>IF(A78="","",IFERROR(VLOOKUP(A78,DB_Customers!$A:$N,14,0),""))</f>
        <v/>
      </c>
      <c r="D78" s="90" t="str">
        <f t="shared" ca="1" si="6"/>
        <v/>
      </c>
      <c r="E78" s="82"/>
      <c r="F78" s="91" t="str">
        <f t="shared" si="7"/>
        <v/>
      </c>
      <c r="G78" s="27"/>
      <c r="H78" s="84"/>
      <c r="I78" s="92" t="str">
        <f>IF(A78="","Pending",IF(H78="","⚠️ Enter Code",IF(IFERROR(VLOOKUP(G78,DB_Agents!$B:$I,8,0),"")=H78,IF(AND(A78&lt;&gt;"",E78&lt;&gt;""),"Saved","Pending"),"🔒 BLOCKED — Wrong Code")))</f>
        <v>Pending</v>
      </c>
      <c r="J78" s="93" t="str">
        <f t="shared" ca="1" si="8"/>
        <v>—</v>
      </c>
      <c r="K78" s="94"/>
    </row>
    <row r="79" spans="1:11" x14ac:dyDescent="0.25">
      <c r="A79" s="79"/>
      <c r="B79" s="21" t="str">
        <f>IF(A79="","",IFERROR(VLOOKUP(A79,DB_Customers!$A:$D,4,0),"❌ Account Not Found"))</f>
        <v/>
      </c>
      <c r="C79" s="80" t="str">
        <f>IF(A79="","",IFERROR(VLOOKUP(A79,DB_Customers!$A:$N,14,0),""))</f>
        <v/>
      </c>
      <c r="D79" s="81" t="str">
        <f t="shared" ca="1" si="6"/>
        <v/>
      </c>
      <c r="E79" s="82"/>
      <c r="F79" s="83" t="str">
        <f t="shared" si="7"/>
        <v/>
      </c>
      <c r="G79" s="23"/>
      <c r="H79" s="84"/>
      <c r="I79" s="85" t="str">
        <f>IF(A79="","Pending",IF(H79="","⚠️ Enter Code",IF(IFERROR(VLOOKUP(G79,DB_Agents!$B:$I,8,0),"")=H79,IF(AND(A79&lt;&gt;"",E79&lt;&gt;""),"Saved","Pending"),"🔒 BLOCKED — Wrong Code")))</f>
        <v>Pending</v>
      </c>
      <c r="J79" s="86" t="str">
        <f t="shared" ca="1" si="8"/>
        <v>—</v>
      </c>
      <c r="K79" s="87"/>
    </row>
    <row r="80" spans="1:11" x14ac:dyDescent="0.25">
      <c r="A80" s="88"/>
      <c r="B80" s="25" t="str">
        <f>IF(A80="","",IFERROR(VLOOKUP(A80,DB_Customers!$A:$D,4,0),"❌ Account Not Found"))</f>
        <v/>
      </c>
      <c r="C80" s="89" t="str">
        <f>IF(A80="","",IFERROR(VLOOKUP(A80,DB_Customers!$A:$N,14,0),""))</f>
        <v/>
      </c>
      <c r="D80" s="90" t="str">
        <f t="shared" ca="1" si="6"/>
        <v/>
      </c>
      <c r="E80" s="82"/>
      <c r="F80" s="91" t="str">
        <f t="shared" si="7"/>
        <v/>
      </c>
      <c r="G80" s="27"/>
      <c r="H80" s="84"/>
      <c r="I80" s="92" t="str">
        <f>IF(A80="","Pending",IF(H80="","⚠️ Enter Code",IF(IFERROR(VLOOKUP(G80,DB_Agents!$B:$I,8,0),"")=H80,IF(AND(A80&lt;&gt;"",E80&lt;&gt;""),"Saved","Pending"),"🔒 BLOCKED — Wrong Code")))</f>
        <v>Pending</v>
      </c>
      <c r="J80" s="93" t="str">
        <f t="shared" ca="1" si="8"/>
        <v>—</v>
      </c>
      <c r="K80" s="94"/>
    </row>
    <row r="81" spans="1:11" x14ac:dyDescent="0.25">
      <c r="A81" s="79"/>
      <c r="B81" s="21" t="str">
        <f>IF(A81="","",IFERROR(VLOOKUP(A81,DB_Customers!$A:$D,4,0),"❌ Account Not Found"))</f>
        <v/>
      </c>
      <c r="C81" s="80" t="str">
        <f>IF(A81="","",IFERROR(VLOOKUP(A81,DB_Customers!$A:$N,14,0),""))</f>
        <v/>
      </c>
      <c r="D81" s="81" t="str">
        <f t="shared" ca="1" si="6"/>
        <v/>
      </c>
      <c r="E81" s="82"/>
      <c r="F81" s="83" t="str">
        <f t="shared" si="7"/>
        <v/>
      </c>
      <c r="G81" s="23"/>
      <c r="H81" s="84"/>
      <c r="I81" s="85" t="str">
        <f>IF(A81="","Pending",IF(H81="","⚠️ Enter Code",IF(IFERROR(VLOOKUP(G81,DB_Agents!$B:$I,8,0),"")=H81,IF(AND(A81&lt;&gt;"",E81&lt;&gt;""),"Saved","Pending"),"🔒 BLOCKED — Wrong Code")))</f>
        <v>Pending</v>
      </c>
      <c r="J81" s="86" t="str">
        <f t="shared" ca="1" si="8"/>
        <v>—</v>
      </c>
      <c r="K81" s="87"/>
    </row>
    <row r="82" spans="1:11" x14ac:dyDescent="0.25">
      <c r="A82" s="88"/>
      <c r="B82" s="25" t="str">
        <f>IF(A82="","",IFERROR(VLOOKUP(A82,DB_Customers!$A:$D,4,0),"❌ Account Not Found"))</f>
        <v/>
      </c>
      <c r="C82" s="89" t="str">
        <f>IF(A82="","",IFERROR(VLOOKUP(A82,DB_Customers!$A:$N,14,0),""))</f>
        <v/>
      </c>
      <c r="D82" s="90" t="str">
        <f t="shared" ca="1" si="6"/>
        <v/>
      </c>
      <c r="E82" s="82"/>
      <c r="F82" s="91" t="str">
        <f t="shared" si="7"/>
        <v/>
      </c>
      <c r="G82" s="27"/>
      <c r="H82" s="84"/>
      <c r="I82" s="92" t="str">
        <f>IF(A82="","Pending",IF(H82="","⚠️ Enter Code",IF(IFERROR(VLOOKUP(G82,DB_Agents!$B:$I,8,0),"")=H82,IF(AND(A82&lt;&gt;"",E82&lt;&gt;""),"Saved","Pending"),"🔒 BLOCKED — Wrong Code")))</f>
        <v>Pending</v>
      </c>
      <c r="J82" s="93" t="str">
        <f t="shared" ca="1" si="8"/>
        <v>—</v>
      </c>
      <c r="K82" s="94"/>
    </row>
    <row r="83" spans="1:11" x14ac:dyDescent="0.25">
      <c r="A83" s="79"/>
      <c r="B83" s="21" t="str">
        <f>IF(A83="","",IFERROR(VLOOKUP(A83,DB_Customers!$A:$D,4,0),"❌ Account Not Found"))</f>
        <v/>
      </c>
      <c r="C83" s="80" t="str">
        <f>IF(A83="","",IFERROR(VLOOKUP(A83,DB_Customers!$A:$N,14,0),""))</f>
        <v/>
      </c>
      <c r="D83" s="81" t="str">
        <f t="shared" ca="1" si="6"/>
        <v/>
      </c>
      <c r="E83" s="82"/>
      <c r="F83" s="83" t="str">
        <f t="shared" si="7"/>
        <v/>
      </c>
      <c r="G83" s="23"/>
      <c r="H83" s="84"/>
      <c r="I83" s="85" t="str">
        <f>IF(A83="","Pending",IF(H83="","⚠️ Enter Code",IF(IFERROR(VLOOKUP(G83,DB_Agents!$B:$I,8,0),"")=H83,IF(AND(A83&lt;&gt;"",E83&lt;&gt;""),"Saved","Pending"),"🔒 BLOCKED — Wrong Code")))</f>
        <v>Pending</v>
      </c>
      <c r="J83" s="86" t="str">
        <f t="shared" ca="1" si="8"/>
        <v>—</v>
      </c>
      <c r="K83" s="87"/>
    </row>
    <row r="84" spans="1:11" x14ac:dyDescent="0.25">
      <c r="A84" s="88"/>
      <c r="B84" s="25" t="str">
        <f>IF(A84="","",IFERROR(VLOOKUP(A84,DB_Customers!$A:$D,4,0),"❌ Account Not Found"))</f>
        <v/>
      </c>
      <c r="C84" s="89" t="str">
        <f>IF(A84="","",IFERROR(VLOOKUP(A84,DB_Customers!$A:$N,14,0),""))</f>
        <v/>
      </c>
      <c r="D84" s="90" t="str">
        <f t="shared" ca="1" si="6"/>
        <v/>
      </c>
      <c r="E84" s="82"/>
      <c r="F84" s="91" t="str">
        <f t="shared" si="7"/>
        <v/>
      </c>
      <c r="G84" s="27"/>
      <c r="H84" s="84"/>
      <c r="I84" s="92" t="str">
        <f>IF(A84="","Pending",IF(H84="","⚠️ Enter Code",IF(IFERROR(VLOOKUP(G84,DB_Agents!$B:$I,8,0),"")=H84,IF(AND(A84&lt;&gt;"",E84&lt;&gt;""),"Saved","Pending"),"🔒 BLOCKED — Wrong Code")))</f>
        <v>Pending</v>
      </c>
      <c r="J84" s="93" t="str">
        <f t="shared" ca="1" si="8"/>
        <v>—</v>
      </c>
      <c r="K84" s="94"/>
    </row>
    <row r="85" spans="1:11" x14ac:dyDescent="0.25">
      <c r="A85" s="79"/>
      <c r="B85" s="21" t="str">
        <f>IF(A85="","",IFERROR(VLOOKUP(A85,DB_Customers!$A:$D,4,0),"❌ Account Not Found"))</f>
        <v/>
      </c>
      <c r="C85" s="80" t="str">
        <f>IF(A85="","",IFERROR(VLOOKUP(A85,DB_Customers!$A:$N,14,0),""))</f>
        <v/>
      </c>
      <c r="D85" s="81" t="str">
        <f t="shared" ca="1" si="6"/>
        <v/>
      </c>
      <c r="E85" s="82"/>
      <c r="F85" s="83" t="str">
        <f t="shared" si="7"/>
        <v/>
      </c>
      <c r="G85" s="23"/>
      <c r="H85" s="84"/>
      <c r="I85" s="85" t="str">
        <f>IF(A85="","Pending",IF(H85="","⚠️ Enter Code",IF(IFERROR(VLOOKUP(G85,DB_Agents!$B:$I,8,0),"")=H85,IF(AND(A85&lt;&gt;"",E85&lt;&gt;""),"Saved","Pending"),"🔒 BLOCKED — Wrong Code")))</f>
        <v>Pending</v>
      </c>
      <c r="J85" s="86" t="str">
        <f t="shared" ca="1" si="8"/>
        <v>—</v>
      </c>
      <c r="K85" s="87"/>
    </row>
    <row r="86" spans="1:11" x14ac:dyDescent="0.25">
      <c r="A86" s="88"/>
      <c r="B86" s="25" t="str">
        <f>IF(A86="","",IFERROR(VLOOKUP(A86,DB_Customers!$A:$D,4,0),"❌ Account Not Found"))</f>
        <v/>
      </c>
      <c r="C86" s="89" t="str">
        <f>IF(A86="","",IFERROR(VLOOKUP(A86,DB_Customers!$A:$N,14,0),""))</f>
        <v/>
      </c>
      <c r="D86" s="90" t="str">
        <f t="shared" ca="1" si="6"/>
        <v/>
      </c>
      <c r="E86" s="82"/>
      <c r="F86" s="91" t="str">
        <f t="shared" si="7"/>
        <v/>
      </c>
      <c r="G86" s="27"/>
      <c r="H86" s="84"/>
      <c r="I86" s="92" t="str">
        <f>IF(A86="","Pending",IF(H86="","⚠️ Enter Code",IF(IFERROR(VLOOKUP(G86,DB_Agents!$B:$I,8,0),"")=H86,IF(AND(A86&lt;&gt;"",E86&lt;&gt;""),"Saved","Pending"),"🔒 BLOCKED — Wrong Code")))</f>
        <v>Pending</v>
      </c>
      <c r="J86" s="93" t="str">
        <f t="shared" ca="1" si="8"/>
        <v>—</v>
      </c>
      <c r="K86" s="94"/>
    </row>
    <row r="87" spans="1:11" x14ac:dyDescent="0.25">
      <c r="A87" s="79"/>
      <c r="B87" s="21" t="str">
        <f>IF(A87="","",IFERROR(VLOOKUP(A87,DB_Customers!$A:$D,4,0),"❌ Account Not Found"))</f>
        <v/>
      </c>
      <c r="C87" s="80" t="str">
        <f>IF(A87="","",IFERROR(VLOOKUP(A87,DB_Customers!$A:$N,14,0),""))</f>
        <v/>
      </c>
      <c r="D87" s="81" t="str">
        <f t="shared" ca="1" si="6"/>
        <v/>
      </c>
      <c r="E87" s="82"/>
      <c r="F87" s="83" t="str">
        <f t="shared" si="7"/>
        <v/>
      </c>
      <c r="G87" s="23"/>
      <c r="H87" s="84"/>
      <c r="I87" s="85" t="str">
        <f>IF(A87="","Pending",IF(H87="","⚠️ Enter Code",IF(IFERROR(VLOOKUP(G87,DB_Agents!$B:$I,8,0),"")=H87,IF(AND(A87&lt;&gt;"",E87&lt;&gt;""),"Saved","Pending"),"🔒 BLOCKED — Wrong Code")))</f>
        <v>Pending</v>
      </c>
      <c r="J87" s="86" t="str">
        <f t="shared" ca="1" si="8"/>
        <v>—</v>
      </c>
      <c r="K87" s="87"/>
    </row>
    <row r="88" spans="1:11" x14ac:dyDescent="0.25">
      <c r="A88" s="88"/>
      <c r="B88" s="25" t="str">
        <f>IF(A88="","",IFERROR(VLOOKUP(A88,DB_Customers!$A:$D,4,0),"❌ Account Not Found"))</f>
        <v/>
      </c>
      <c r="C88" s="89" t="str">
        <f>IF(A88="","",IFERROR(VLOOKUP(A88,DB_Customers!$A:$N,14,0),""))</f>
        <v/>
      </c>
      <c r="D88" s="90" t="str">
        <f t="shared" ca="1" si="6"/>
        <v/>
      </c>
      <c r="E88" s="82"/>
      <c r="F88" s="91" t="str">
        <f t="shared" si="7"/>
        <v/>
      </c>
      <c r="G88" s="27"/>
      <c r="H88" s="84"/>
      <c r="I88" s="92" t="str">
        <f>IF(A88="","Pending",IF(H88="","⚠️ Enter Code",IF(IFERROR(VLOOKUP(G88,DB_Agents!$B:$I,8,0),"")=H88,IF(AND(A88&lt;&gt;"",E88&lt;&gt;""),"Saved","Pending"),"🔒 BLOCKED — Wrong Code")))</f>
        <v>Pending</v>
      </c>
      <c r="J88" s="93" t="str">
        <f t="shared" ca="1" si="8"/>
        <v>—</v>
      </c>
      <c r="K88" s="94"/>
    </row>
    <row r="89" spans="1:11" x14ac:dyDescent="0.25">
      <c r="A89" s="79"/>
      <c r="B89" s="21" t="str">
        <f>IF(A89="","",IFERROR(VLOOKUP(A89,DB_Customers!$A:$D,4,0),"❌ Account Not Found"))</f>
        <v/>
      </c>
      <c r="C89" s="80" t="str">
        <f>IF(A89="","",IFERROR(VLOOKUP(A89,DB_Customers!$A:$N,14,0),""))</f>
        <v/>
      </c>
      <c r="D89" s="81" t="str">
        <f t="shared" ca="1" si="6"/>
        <v/>
      </c>
      <c r="E89" s="82"/>
      <c r="F89" s="83" t="str">
        <f t="shared" si="7"/>
        <v/>
      </c>
      <c r="G89" s="23"/>
      <c r="H89" s="84"/>
      <c r="I89" s="85" t="str">
        <f>IF(A89="","Pending",IF(H89="","⚠️ Enter Code",IF(IFERROR(VLOOKUP(G89,DB_Agents!$B:$I,8,0),"")=H89,IF(AND(A89&lt;&gt;"",E89&lt;&gt;""),"Saved","Pending"),"🔒 BLOCKED — Wrong Code")))</f>
        <v>Pending</v>
      </c>
      <c r="J89" s="86" t="str">
        <f t="shared" ca="1" si="8"/>
        <v>—</v>
      </c>
      <c r="K89" s="87"/>
    </row>
    <row r="90" spans="1:11" x14ac:dyDescent="0.25">
      <c r="A90" s="88"/>
      <c r="B90" s="25" t="str">
        <f>IF(A90="","",IFERROR(VLOOKUP(A90,DB_Customers!$A:$D,4,0),"❌ Account Not Found"))</f>
        <v/>
      </c>
      <c r="C90" s="89" t="str">
        <f>IF(A90="","",IFERROR(VLOOKUP(A90,DB_Customers!$A:$N,14,0),""))</f>
        <v/>
      </c>
      <c r="D90" s="90" t="str">
        <f t="shared" ca="1" si="6"/>
        <v/>
      </c>
      <c r="E90" s="82"/>
      <c r="F90" s="91" t="str">
        <f t="shared" si="7"/>
        <v/>
      </c>
      <c r="G90" s="27"/>
      <c r="H90" s="84"/>
      <c r="I90" s="92" t="str">
        <f>IF(A90="","Pending",IF(H90="","⚠️ Enter Code",IF(IFERROR(VLOOKUP(G90,DB_Agents!$B:$I,8,0),"")=H90,IF(AND(A90&lt;&gt;"",E90&lt;&gt;""),"Saved","Pending"),"🔒 BLOCKED — Wrong Code")))</f>
        <v>Pending</v>
      </c>
      <c r="J90" s="93" t="str">
        <f t="shared" ca="1" si="8"/>
        <v>—</v>
      </c>
      <c r="K90" s="94"/>
    </row>
    <row r="91" spans="1:11" x14ac:dyDescent="0.25">
      <c r="A91" s="79"/>
      <c r="B91" s="21" t="str">
        <f>IF(A91="","",IFERROR(VLOOKUP(A91,DB_Customers!$A:$D,4,0),"❌ Account Not Found"))</f>
        <v/>
      </c>
      <c r="C91" s="80" t="str">
        <f>IF(A91="","",IFERROR(VLOOKUP(A91,DB_Customers!$A:$N,14,0),""))</f>
        <v/>
      </c>
      <c r="D91" s="81" t="str">
        <f t="shared" ca="1" si="6"/>
        <v/>
      </c>
      <c r="E91" s="82"/>
      <c r="F91" s="83" t="str">
        <f t="shared" si="7"/>
        <v/>
      </c>
      <c r="G91" s="23"/>
      <c r="H91" s="84"/>
      <c r="I91" s="85" t="str">
        <f>IF(A91="","Pending",IF(H91="","⚠️ Enter Code",IF(IFERROR(VLOOKUP(G91,DB_Agents!$B:$I,8,0),"")=H91,IF(AND(A91&lt;&gt;"",E91&lt;&gt;""),"Saved","Pending"),"🔒 BLOCKED — Wrong Code")))</f>
        <v>Pending</v>
      </c>
      <c r="J91" s="86" t="str">
        <f t="shared" ca="1" si="8"/>
        <v>—</v>
      </c>
      <c r="K91" s="87"/>
    </row>
    <row r="92" spans="1:11" x14ac:dyDescent="0.25">
      <c r="A92" s="88"/>
      <c r="B92" s="25" t="str">
        <f>IF(A92="","",IFERROR(VLOOKUP(A92,DB_Customers!$A:$D,4,0),"❌ Account Not Found"))</f>
        <v/>
      </c>
      <c r="C92" s="89" t="str">
        <f>IF(A92="","",IFERROR(VLOOKUP(A92,DB_Customers!$A:$N,14,0),""))</f>
        <v/>
      </c>
      <c r="D92" s="90" t="str">
        <f t="shared" ca="1" si="6"/>
        <v/>
      </c>
      <c r="E92" s="82"/>
      <c r="F92" s="91" t="str">
        <f t="shared" si="7"/>
        <v/>
      </c>
      <c r="G92" s="27"/>
      <c r="H92" s="84"/>
      <c r="I92" s="92" t="str">
        <f>IF(A92="","Pending",IF(H92="","⚠️ Enter Code",IF(IFERROR(VLOOKUP(G92,DB_Agents!$B:$I,8,0),"")=H92,IF(AND(A92&lt;&gt;"",E92&lt;&gt;""),"Saved","Pending"),"🔒 BLOCKED — Wrong Code")))</f>
        <v>Pending</v>
      </c>
      <c r="J92" s="93" t="str">
        <f t="shared" ca="1" si="8"/>
        <v>—</v>
      </c>
      <c r="K92" s="94"/>
    </row>
    <row r="93" spans="1:11" x14ac:dyDescent="0.25">
      <c r="A93" s="79"/>
      <c r="B93" s="21" t="str">
        <f>IF(A93="","",IFERROR(VLOOKUP(A93,DB_Customers!$A:$D,4,0),"❌ Account Not Found"))</f>
        <v/>
      </c>
      <c r="C93" s="80" t="str">
        <f>IF(A93="","",IFERROR(VLOOKUP(A93,DB_Customers!$A:$N,14,0),""))</f>
        <v/>
      </c>
      <c r="D93" s="81" t="str">
        <f t="shared" ca="1" si="6"/>
        <v/>
      </c>
      <c r="E93" s="82"/>
      <c r="F93" s="83" t="str">
        <f t="shared" si="7"/>
        <v/>
      </c>
      <c r="G93" s="23"/>
      <c r="H93" s="84"/>
      <c r="I93" s="85" t="str">
        <f>IF(A93="","Pending",IF(H93="","⚠️ Enter Code",IF(IFERROR(VLOOKUP(G93,DB_Agents!$B:$I,8,0),"")=H93,IF(AND(A93&lt;&gt;"",E93&lt;&gt;""),"Saved","Pending"),"🔒 BLOCKED — Wrong Code")))</f>
        <v>Pending</v>
      </c>
      <c r="J93" s="86" t="str">
        <f t="shared" ca="1" si="8"/>
        <v>—</v>
      </c>
      <c r="K93" s="87"/>
    </row>
    <row r="94" spans="1:11" x14ac:dyDescent="0.25">
      <c r="A94" s="88"/>
      <c r="B94" s="25" t="str">
        <f>IF(A94="","",IFERROR(VLOOKUP(A94,DB_Customers!$A:$D,4,0),"❌ Account Not Found"))</f>
        <v/>
      </c>
      <c r="C94" s="89" t="str">
        <f>IF(A94="","",IFERROR(VLOOKUP(A94,DB_Customers!$A:$N,14,0),""))</f>
        <v/>
      </c>
      <c r="D94" s="90" t="str">
        <f t="shared" ca="1" si="6"/>
        <v/>
      </c>
      <c r="E94" s="82"/>
      <c r="F94" s="91" t="str">
        <f t="shared" si="7"/>
        <v/>
      </c>
      <c r="G94" s="27"/>
      <c r="H94" s="84"/>
      <c r="I94" s="92" t="str">
        <f>IF(A94="","Pending",IF(H94="","⚠️ Enter Code",IF(IFERROR(VLOOKUP(G94,DB_Agents!$B:$I,8,0),"")=H94,IF(AND(A94&lt;&gt;"",E94&lt;&gt;""),"Saved","Pending"),"🔒 BLOCKED — Wrong Code")))</f>
        <v>Pending</v>
      </c>
      <c r="J94" s="93" t="str">
        <f t="shared" ca="1" si="8"/>
        <v>—</v>
      </c>
      <c r="K94" s="94"/>
    </row>
    <row r="95" spans="1:11" x14ac:dyDescent="0.25">
      <c r="A95" s="79"/>
      <c r="B95" s="21" t="str">
        <f>IF(A95="","",IFERROR(VLOOKUP(A95,DB_Customers!$A:$D,4,0),"❌ Account Not Found"))</f>
        <v/>
      </c>
      <c r="C95" s="80" t="str">
        <f>IF(A95="","",IFERROR(VLOOKUP(A95,DB_Customers!$A:$N,14,0),""))</f>
        <v/>
      </c>
      <c r="D95" s="81" t="str">
        <f t="shared" ca="1" si="6"/>
        <v/>
      </c>
      <c r="E95" s="82"/>
      <c r="F95" s="83" t="str">
        <f t="shared" si="7"/>
        <v/>
      </c>
      <c r="G95" s="23"/>
      <c r="H95" s="84"/>
      <c r="I95" s="85" t="str">
        <f>IF(A95="","Pending",IF(H95="","⚠️ Enter Code",IF(IFERROR(VLOOKUP(G95,DB_Agents!$B:$I,8,0),"")=H95,IF(AND(A95&lt;&gt;"",E95&lt;&gt;""),"Saved","Pending"),"🔒 BLOCKED — Wrong Code")))</f>
        <v>Pending</v>
      </c>
      <c r="J95" s="86" t="str">
        <f t="shared" ca="1" si="8"/>
        <v>—</v>
      </c>
      <c r="K95" s="87"/>
    </row>
    <row r="96" spans="1:11" x14ac:dyDescent="0.25">
      <c r="A96" s="88"/>
      <c r="B96" s="25" t="str">
        <f>IF(A96="","",IFERROR(VLOOKUP(A96,DB_Customers!$A:$D,4,0),"❌ Account Not Found"))</f>
        <v/>
      </c>
      <c r="C96" s="89" t="str">
        <f>IF(A96="","",IFERROR(VLOOKUP(A96,DB_Customers!$A:$N,14,0),""))</f>
        <v/>
      </c>
      <c r="D96" s="90" t="str">
        <f t="shared" ca="1" si="6"/>
        <v/>
      </c>
      <c r="E96" s="82"/>
      <c r="F96" s="91" t="str">
        <f t="shared" si="7"/>
        <v/>
      </c>
      <c r="G96" s="27"/>
      <c r="H96" s="84"/>
      <c r="I96" s="92" t="str">
        <f>IF(A96="","Pending",IF(H96="","⚠️ Enter Code",IF(IFERROR(VLOOKUP(G96,DB_Agents!$B:$I,8,0),"")=H96,IF(AND(A96&lt;&gt;"",E96&lt;&gt;""),"Saved","Pending"),"🔒 BLOCKED — Wrong Code")))</f>
        <v>Pending</v>
      </c>
      <c r="J96" s="93" t="str">
        <f t="shared" ca="1" si="8"/>
        <v>—</v>
      </c>
      <c r="K96" s="94"/>
    </row>
    <row r="97" spans="1:11" x14ac:dyDescent="0.25">
      <c r="A97" s="79"/>
      <c r="B97" s="21" t="str">
        <f>IF(A97="","",IFERROR(VLOOKUP(A97,DB_Customers!$A:$D,4,0),"❌ Account Not Found"))</f>
        <v/>
      </c>
      <c r="C97" s="80" t="str">
        <f>IF(A97="","",IFERROR(VLOOKUP(A97,DB_Customers!$A:$N,14,0),""))</f>
        <v/>
      </c>
      <c r="D97" s="81" t="str">
        <f t="shared" ca="1" si="6"/>
        <v/>
      </c>
      <c r="E97" s="82"/>
      <c r="F97" s="83" t="str">
        <f t="shared" si="7"/>
        <v/>
      </c>
      <c r="G97" s="23"/>
      <c r="H97" s="84"/>
      <c r="I97" s="85" t="str">
        <f>IF(A97="","Pending",IF(H97="","⚠️ Enter Code",IF(IFERROR(VLOOKUP(G97,DB_Agents!$B:$I,8,0),"")=H97,IF(AND(A97&lt;&gt;"",E97&lt;&gt;""),"Saved","Pending"),"🔒 BLOCKED — Wrong Code")))</f>
        <v>Pending</v>
      </c>
      <c r="J97" s="86" t="str">
        <f t="shared" ca="1" si="8"/>
        <v>—</v>
      </c>
      <c r="K97" s="87"/>
    </row>
    <row r="98" spans="1:11" x14ac:dyDescent="0.25">
      <c r="A98" s="88"/>
      <c r="B98" s="25" t="str">
        <f>IF(A98="","",IFERROR(VLOOKUP(A98,DB_Customers!$A:$D,4,0),"❌ Account Not Found"))</f>
        <v/>
      </c>
      <c r="C98" s="89" t="str">
        <f>IF(A98="","",IFERROR(VLOOKUP(A98,DB_Customers!$A:$N,14,0),""))</f>
        <v/>
      </c>
      <c r="D98" s="90" t="str">
        <f t="shared" ca="1" si="6"/>
        <v/>
      </c>
      <c r="E98" s="82"/>
      <c r="F98" s="91" t="str">
        <f t="shared" si="7"/>
        <v/>
      </c>
      <c r="G98" s="27"/>
      <c r="H98" s="84"/>
      <c r="I98" s="92" t="str">
        <f>IF(A98="","Pending",IF(H98="","⚠️ Enter Code",IF(IFERROR(VLOOKUP(G98,DB_Agents!$B:$I,8,0),"")=H98,IF(AND(A98&lt;&gt;"",E98&lt;&gt;""),"Saved","Pending"),"🔒 BLOCKED — Wrong Code")))</f>
        <v>Pending</v>
      </c>
      <c r="J98" s="93" t="str">
        <f t="shared" ca="1" si="8"/>
        <v>—</v>
      </c>
      <c r="K98" s="94"/>
    </row>
    <row r="99" spans="1:11" x14ac:dyDescent="0.25">
      <c r="A99" s="79"/>
      <c r="B99" s="21" t="str">
        <f>IF(A99="","",IFERROR(VLOOKUP(A99,DB_Customers!$A:$D,4,0),"❌ Account Not Found"))</f>
        <v/>
      </c>
      <c r="C99" s="80" t="str">
        <f>IF(A99="","",IFERROR(VLOOKUP(A99,DB_Customers!$A:$N,14,0),""))</f>
        <v/>
      </c>
      <c r="D99" s="81" t="str">
        <f t="shared" ca="1" si="6"/>
        <v/>
      </c>
      <c r="E99" s="82"/>
      <c r="F99" s="83" t="str">
        <f t="shared" si="7"/>
        <v/>
      </c>
      <c r="G99" s="23"/>
      <c r="H99" s="84"/>
      <c r="I99" s="85" t="str">
        <f>IF(A99="","Pending",IF(H99="","⚠️ Enter Code",IF(IFERROR(VLOOKUP(G99,DB_Agents!$B:$I,8,0),"")=H99,IF(AND(A99&lt;&gt;"",E99&lt;&gt;""),"Saved","Pending"),"🔒 BLOCKED — Wrong Code")))</f>
        <v>Pending</v>
      </c>
      <c r="J99" s="86" t="str">
        <f t="shared" ca="1" si="8"/>
        <v>—</v>
      </c>
      <c r="K99" s="87"/>
    </row>
    <row r="100" spans="1:11" x14ac:dyDescent="0.25">
      <c r="A100" s="88"/>
      <c r="B100" s="25" t="str">
        <f>IF(A100="","",IFERROR(VLOOKUP(A100,DB_Customers!$A:$D,4,0),"❌ Account Not Found"))</f>
        <v/>
      </c>
      <c r="C100" s="89" t="str">
        <f>IF(A100="","",IFERROR(VLOOKUP(A100,DB_Customers!$A:$N,14,0),""))</f>
        <v/>
      </c>
      <c r="D100" s="90" t="str">
        <f t="shared" ca="1" si="6"/>
        <v/>
      </c>
      <c r="E100" s="82"/>
      <c r="F100" s="91" t="str">
        <f t="shared" si="7"/>
        <v/>
      </c>
      <c r="G100" s="27"/>
      <c r="H100" s="84"/>
      <c r="I100" s="92" t="str">
        <f>IF(A100="","Pending",IF(H100="","⚠️ Enter Code",IF(IFERROR(VLOOKUP(G100,DB_Agents!$B:$I,8,0),"")=H100,IF(AND(A100&lt;&gt;"",E100&lt;&gt;""),"Saved","Pending"),"🔒 BLOCKED — Wrong Code")))</f>
        <v>Pending</v>
      </c>
      <c r="J100" s="93" t="str">
        <f t="shared" ca="1" si="8"/>
        <v>—</v>
      </c>
      <c r="K100" s="94"/>
    </row>
    <row r="101" spans="1:11" x14ac:dyDescent="0.25">
      <c r="A101" s="79"/>
      <c r="B101" s="21" t="str">
        <f>IF(A101="","",IFERROR(VLOOKUP(A101,DB_Customers!$A:$D,4,0),"❌ Account Not Found"))</f>
        <v/>
      </c>
      <c r="C101" s="80" t="str">
        <f>IF(A101="","",IFERROR(VLOOKUP(A101,DB_Customers!$A:$N,14,0),""))</f>
        <v/>
      </c>
      <c r="D101" s="81" t="str">
        <f t="shared" ca="1" si="6"/>
        <v/>
      </c>
      <c r="E101" s="82"/>
      <c r="F101" s="83" t="str">
        <f t="shared" si="7"/>
        <v/>
      </c>
      <c r="G101" s="23"/>
      <c r="H101" s="84"/>
      <c r="I101" s="85" t="str">
        <f>IF(A101="","Pending",IF(H101="","⚠️ Enter Code",IF(IFERROR(VLOOKUP(G101,DB_Agents!$B:$I,8,0),"")=H101,IF(AND(A101&lt;&gt;"",E101&lt;&gt;""),"Saved","Pending"),"🔒 BLOCKED — Wrong Code")))</f>
        <v>Pending</v>
      </c>
      <c r="J101" s="86" t="str">
        <f t="shared" ca="1" si="8"/>
        <v>—</v>
      </c>
      <c r="K101" s="87"/>
    </row>
    <row r="102" spans="1:11" x14ac:dyDescent="0.25">
      <c r="A102" s="88"/>
      <c r="B102" s="25" t="str">
        <f>IF(A102="","",IFERROR(VLOOKUP(A102,DB_Customers!$A:$D,4,0),"❌ Account Not Found"))</f>
        <v/>
      </c>
      <c r="C102" s="89" t="str">
        <f>IF(A102="","",IFERROR(VLOOKUP(A102,DB_Customers!$A:$N,14,0),""))</f>
        <v/>
      </c>
      <c r="D102" s="90" t="str">
        <f t="shared" ca="1" si="6"/>
        <v/>
      </c>
      <c r="E102" s="82"/>
      <c r="F102" s="91" t="str">
        <f t="shared" si="7"/>
        <v/>
      </c>
      <c r="G102" s="27"/>
      <c r="H102" s="84"/>
      <c r="I102" s="92" t="str">
        <f>IF(A102="","Pending",IF(H102="","⚠️ Enter Code",IF(IFERROR(VLOOKUP(G102,DB_Agents!$B:$I,8,0),"")=H102,IF(AND(A102&lt;&gt;"",E102&lt;&gt;""),"Saved","Pending"),"🔒 BLOCKED — Wrong Code")))</f>
        <v>Pending</v>
      </c>
      <c r="J102" s="93" t="str">
        <f t="shared" ca="1" si="8"/>
        <v>—</v>
      </c>
      <c r="K102" s="94"/>
    </row>
    <row r="103" spans="1:11" x14ac:dyDescent="0.25">
      <c r="A103" s="79"/>
      <c r="B103" s="21" t="str">
        <f>IF(A103="","",IFERROR(VLOOKUP(A103,DB_Customers!$A:$D,4,0),"❌ Account Not Found"))</f>
        <v/>
      </c>
      <c r="C103" s="80" t="str">
        <f>IF(A103="","",IFERROR(VLOOKUP(A103,DB_Customers!$A:$N,14,0),""))</f>
        <v/>
      </c>
      <c r="D103" s="81" t="str">
        <f t="shared" ca="1" si="6"/>
        <v/>
      </c>
      <c r="E103" s="82"/>
      <c r="F103" s="83" t="str">
        <f t="shared" si="7"/>
        <v/>
      </c>
      <c r="G103" s="23"/>
      <c r="H103" s="84"/>
      <c r="I103" s="85" t="str">
        <f>IF(A103="","Pending",IF(H103="","⚠️ Enter Code",IF(IFERROR(VLOOKUP(G103,DB_Agents!$B:$I,8,0),"")=H103,IF(AND(A103&lt;&gt;"",E103&lt;&gt;""),"Saved","Pending"),"🔒 BLOCKED — Wrong Code")))</f>
        <v>Pending</v>
      </c>
      <c r="J103" s="86" t="str">
        <f t="shared" ca="1" si="8"/>
        <v>—</v>
      </c>
      <c r="K103" s="87"/>
    </row>
    <row r="104" spans="1:11" x14ac:dyDescent="0.25">
      <c r="A104" s="88"/>
      <c r="B104" s="25" t="str">
        <f>IF(A104="","",IFERROR(VLOOKUP(A104,DB_Customers!$A:$D,4,0),"❌ Account Not Found"))</f>
        <v/>
      </c>
      <c r="C104" s="89" t="str">
        <f>IF(A104="","",IFERROR(VLOOKUP(A104,DB_Customers!$A:$N,14,0),""))</f>
        <v/>
      </c>
      <c r="D104" s="90" t="str">
        <f t="shared" ca="1" si="6"/>
        <v/>
      </c>
      <c r="E104" s="82"/>
      <c r="F104" s="91" t="str">
        <f t="shared" si="7"/>
        <v/>
      </c>
      <c r="G104" s="27"/>
      <c r="H104" s="84"/>
      <c r="I104" s="92" t="str">
        <f>IF(A104="","Pending",IF(H104="","⚠️ Enter Code",IF(IFERROR(VLOOKUP(G104,DB_Agents!$B:$I,8,0),"")=H104,IF(AND(A104&lt;&gt;"",E104&lt;&gt;""),"Saved","Pending"),"🔒 BLOCKED — Wrong Code")))</f>
        <v>Pending</v>
      </c>
      <c r="J104" s="93" t="str">
        <f t="shared" ca="1" si="8"/>
        <v>—</v>
      </c>
      <c r="K104" s="94"/>
    </row>
    <row r="105" spans="1:11" x14ac:dyDescent="0.25">
      <c r="A105" s="79"/>
      <c r="B105" s="21" t="str">
        <f>IF(A105="","",IFERROR(VLOOKUP(A105,DB_Customers!$A:$D,4,0),"❌ Account Not Found"))</f>
        <v/>
      </c>
      <c r="C105" s="80" t="str">
        <f>IF(A105="","",IFERROR(VLOOKUP(A105,DB_Customers!$A:$N,14,0),""))</f>
        <v/>
      </c>
      <c r="D105" s="81" t="str">
        <f t="shared" ref="D105:D136" ca="1" si="9">IF(A105="","",TODAY())</f>
        <v/>
      </c>
      <c r="E105" s="82"/>
      <c r="F105" s="83" t="str">
        <f t="shared" ref="F105:F136" si="10">IF(OR(A105="",E105=""),"",IF(C105="","",C105+E105))</f>
        <v/>
      </c>
      <c r="G105" s="23"/>
      <c r="H105" s="84"/>
      <c r="I105" s="85" t="str">
        <f>IF(A105="","Pending",IF(H105="","⚠️ Enter Code",IF(IFERROR(VLOOKUP(G105,DB_Agents!$B:$I,8,0),"")=H105,IF(AND(A105&lt;&gt;"",E105&lt;&gt;""),"Saved","Pending"),"🔒 BLOCKED — Wrong Code")))</f>
        <v>Pending</v>
      </c>
      <c r="J105" s="86" t="str">
        <f t="shared" ref="J105:J136" ca="1" si="11">IF(I105="Saved",TEXT(TODAY(),"YYYY-MM-DD")&amp;" Auto","—")</f>
        <v>—</v>
      </c>
      <c r="K105" s="87"/>
    </row>
    <row r="106" spans="1:11" x14ac:dyDescent="0.25">
      <c r="A106" s="88"/>
      <c r="B106" s="25" t="str">
        <f>IF(A106="","",IFERROR(VLOOKUP(A106,DB_Customers!$A:$D,4,0),"❌ Account Not Found"))</f>
        <v/>
      </c>
      <c r="C106" s="89" t="str">
        <f>IF(A106="","",IFERROR(VLOOKUP(A106,DB_Customers!$A:$N,14,0),""))</f>
        <v/>
      </c>
      <c r="D106" s="90" t="str">
        <f t="shared" ca="1" si="9"/>
        <v/>
      </c>
      <c r="E106" s="82"/>
      <c r="F106" s="91" t="str">
        <f t="shared" si="10"/>
        <v/>
      </c>
      <c r="G106" s="27"/>
      <c r="H106" s="84"/>
      <c r="I106" s="92" t="str">
        <f>IF(A106="","Pending",IF(H106="","⚠️ Enter Code",IF(IFERROR(VLOOKUP(G106,DB_Agents!$B:$I,8,0),"")=H106,IF(AND(A106&lt;&gt;"",E106&lt;&gt;""),"Saved","Pending"),"🔒 BLOCKED — Wrong Code")))</f>
        <v>Pending</v>
      </c>
      <c r="J106" s="93" t="str">
        <f t="shared" ca="1" si="11"/>
        <v>—</v>
      </c>
      <c r="K106" s="94"/>
    </row>
    <row r="107" spans="1:11" x14ac:dyDescent="0.25">
      <c r="A107" s="79"/>
      <c r="B107" s="21" t="str">
        <f>IF(A107="","",IFERROR(VLOOKUP(A107,DB_Customers!$A:$D,4,0),"❌ Account Not Found"))</f>
        <v/>
      </c>
      <c r="C107" s="80" t="str">
        <f>IF(A107="","",IFERROR(VLOOKUP(A107,DB_Customers!$A:$N,14,0),""))</f>
        <v/>
      </c>
      <c r="D107" s="81" t="str">
        <f t="shared" ca="1" si="9"/>
        <v/>
      </c>
      <c r="E107" s="82"/>
      <c r="F107" s="83" t="str">
        <f t="shared" si="10"/>
        <v/>
      </c>
      <c r="G107" s="23"/>
      <c r="H107" s="84"/>
      <c r="I107" s="85" t="str">
        <f>IF(A107="","Pending",IF(H107="","⚠️ Enter Code",IF(IFERROR(VLOOKUP(G107,DB_Agents!$B:$I,8,0),"")=H107,IF(AND(A107&lt;&gt;"",E107&lt;&gt;""),"Saved","Pending"),"🔒 BLOCKED — Wrong Code")))</f>
        <v>Pending</v>
      </c>
      <c r="J107" s="86" t="str">
        <f t="shared" ca="1" si="11"/>
        <v>—</v>
      </c>
      <c r="K107" s="87"/>
    </row>
    <row r="108" spans="1:11" x14ac:dyDescent="0.25">
      <c r="A108" s="88"/>
      <c r="B108" s="25" t="str">
        <f>IF(A108="","",IFERROR(VLOOKUP(A108,DB_Customers!$A:$D,4,0),"❌ Account Not Found"))</f>
        <v/>
      </c>
      <c r="C108" s="89" t="str">
        <f>IF(A108="","",IFERROR(VLOOKUP(A108,DB_Customers!$A:$N,14,0),""))</f>
        <v/>
      </c>
      <c r="D108" s="90" t="str">
        <f t="shared" ca="1" si="9"/>
        <v/>
      </c>
      <c r="E108" s="82"/>
      <c r="F108" s="91" t="str">
        <f t="shared" si="10"/>
        <v/>
      </c>
      <c r="G108" s="27"/>
      <c r="H108" s="84"/>
      <c r="I108" s="92" t="str">
        <f>IF(A108="","Pending",IF(H108="","⚠️ Enter Code",IF(IFERROR(VLOOKUP(G108,DB_Agents!$B:$I,8,0),"")=H108,IF(AND(A108&lt;&gt;"",E108&lt;&gt;""),"Saved","Pending"),"🔒 BLOCKED — Wrong Code")))</f>
        <v>Pending</v>
      </c>
      <c r="J108" s="93" t="str">
        <f t="shared" ca="1" si="11"/>
        <v>—</v>
      </c>
      <c r="K108" s="94"/>
    </row>
    <row r="109" spans="1:11" x14ac:dyDescent="0.25">
      <c r="A109" s="79"/>
      <c r="B109" s="21" t="str">
        <f>IF(A109="","",IFERROR(VLOOKUP(A109,DB_Customers!$A:$D,4,0),"❌ Account Not Found"))</f>
        <v/>
      </c>
      <c r="C109" s="80" t="str">
        <f>IF(A109="","",IFERROR(VLOOKUP(A109,DB_Customers!$A:$N,14,0),""))</f>
        <v/>
      </c>
      <c r="D109" s="81" t="str">
        <f t="shared" ca="1" si="9"/>
        <v/>
      </c>
      <c r="E109" s="82"/>
      <c r="F109" s="83" t="str">
        <f t="shared" si="10"/>
        <v/>
      </c>
      <c r="G109" s="23"/>
      <c r="H109" s="84"/>
      <c r="I109" s="85" t="str">
        <f>IF(A109="","Pending",IF(H109="","⚠️ Enter Code",IF(IFERROR(VLOOKUP(G109,DB_Agents!$B:$I,8,0),"")=H109,IF(AND(A109&lt;&gt;"",E109&lt;&gt;""),"Saved","Pending"),"🔒 BLOCKED — Wrong Code")))</f>
        <v>Pending</v>
      </c>
      <c r="J109" s="86" t="str">
        <f t="shared" ca="1" si="11"/>
        <v>—</v>
      </c>
      <c r="K109" s="87"/>
    </row>
    <row r="110" spans="1:11" x14ac:dyDescent="0.25">
      <c r="A110" s="88"/>
      <c r="B110" s="25" t="str">
        <f>IF(A110="","",IFERROR(VLOOKUP(A110,DB_Customers!$A:$D,4,0),"❌ Account Not Found"))</f>
        <v/>
      </c>
      <c r="C110" s="89" t="str">
        <f>IF(A110="","",IFERROR(VLOOKUP(A110,DB_Customers!$A:$N,14,0),""))</f>
        <v/>
      </c>
      <c r="D110" s="90" t="str">
        <f t="shared" ca="1" si="9"/>
        <v/>
      </c>
      <c r="E110" s="82"/>
      <c r="F110" s="91" t="str">
        <f t="shared" si="10"/>
        <v/>
      </c>
      <c r="G110" s="27"/>
      <c r="H110" s="84"/>
      <c r="I110" s="92" t="str">
        <f>IF(A110="","Pending",IF(H110="","⚠️ Enter Code",IF(IFERROR(VLOOKUP(G110,DB_Agents!$B:$I,8,0),"")=H110,IF(AND(A110&lt;&gt;"",E110&lt;&gt;""),"Saved","Pending"),"🔒 BLOCKED — Wrong Code")))</f>
        <v>Pending</v>
      </c>
      <c r="J110" s="93" t="str">
        <f t="shared" ca="1" si="11"/>
        <v>—</v>
      </c>
      <c r="K110" s="94"/>
    </row>
    <row r="111" spans="1:11" x14ac:dyDescent="0.25">
      <c r="A111" s="79"/>
      <c r="B111" s="21" t="str">
        <f>IF(A111="","",IFERROR(VLOOKUP(A111,DB_Customers!$A:$D,4,0),"❌ Account Not Found"))</f>
        <v/>
      </c>
      <c r="C111" s="80" t="str">
        <f>IF(A111="","",IFERROR(VLOOKUP(A111,DB_Customers!$A:$N,14,0),""))</f>
        <v/>
      </c>
      <c r="D111" s="81" t="str">
        <f t="shared" ca="1" si="9"/>
        <v/>
      </c>
      <c r="E111" s="82"/>
      <c r="F111" s="83" t="str">
        <f t="shared" si="10"/>
        <v/>
      </c>
      <c r="G111" s="23"/>
      <c r="H111" s="84"/>
      <c r="I111" s="85" t="str">
        <f>IF(A111="","Pending",IF(H111="","⚠️ Enter Code",IF(IFERROR(VLOOKUP(G111,DB_Agents!$B:$I,8,0),"")=H111,IF(AND(A111&lt;&gt;"",E111&lt;&gt;""),"Saved","Pending"),"🔒 BLOCKED — Wrong Code")))</f>
        <v>Pending</v>
      </c>
      <c r="J111" s="86" t="str">
        <f t="shared" ca="1" si="11"/>
        <v>—</v>
      </c>
      <c r="K111" s="87"/>
    </row>
    <row r="112" spans="1:11" x14ac:dyDescent="0.25">
      <c r="A112" s="88"/>
      <c r="B112" s="25" t="str">
        <f>IF(A112="","",IFERROR(VLOOKUP(A112,DB_Customers!$A:$D,4,0),"❌ Account Not Found"))</f>
        <v/>
      </c>
      <c r="C112" s="89" t="str">
        <f>IF(A112="","",IFERROR(VLOOKUP(A112,DB_Customers!$A:$N,14,0),""))</f>
        <v/>
      </c>
      <c r="D112" s="90" t="str">
        <f t="shared" ca="1" si="9"/>
        <v/>
      </c>
      <c r="E112" s="82"/>
      <c r="F112" s="91" t="str">
        <f t="shared" si="10"/>
        <v/>
      </c>
      <c r="G112" s="27"/>
      <c r="H112" s="84"/>
      <c r="I112" s="92" t="str">
        <f>IF(A112="","Pending",IF(H112="","⚠️ Enter Code",IF(IFERROR(VLOOKUP(G112,DB_Agents!$B:$I,8,0),"")=H112,IF(AND(A112&lt;&gt;"",E112&lt;&gt;""),"Saved","Pending"),"🔒 BLOCKED — Wrong Code")))</f>
        <v>Pending</v>
      </c>
      <c r="J112" s="93" t="str">
        <f t="shared" ca="1" si="11"/>
        <v>—</v>
      </c>
      <c r="K112" s="94"/>
    </row>
    <row r="113" spans="1:11" x14ac:dyDescent="0.25">
      <c r="A113" s="79"/>
      <c r="B113" s="21" t="str">
        <f>IF(A113="","",IFERROR(VLOOKUP(A113,DB_Customers!$A:$D,4,0),"❌ Account Not Found"))</f>
        <v/>
      </c>
      <c r="C113" s="80" t="str">
        <f>IF(A113="","",IFERROR(VLOOKUP(A113,DB_Customers!$A:$N,14,0),""))</f>
        <v/>
      </c>
      <c r="D113" s="81" t="str">
        <f t="shared" ca="1" si="9"/>
        <v/>
      </c>
      <c r="E113" s="82"/>
      <c r="F113" s="83" t="str">
        <f t="shared" si="10"/>
        <v/>
      </c>
      <c r="G113" s="23"/>
      <c r="H113" s="84"/>
      <c r="I113" s="85" t="str">
        <f>IF(A113="","Pending",IF(H113="","⚠️ Enter Code",IF(IFERROR(VLOOKUP(G113,DB_Agents!$B:$I,8,0),"")=H113,IF(AND(A113&lt;&gt;"",E113&lt;&gt;""),"Saved","Pending"),"🔒 BLOCKED — Wrong Code")))</f>
        <v>Pending</v>
      </c>
      <c r="J113" s="86" t="str">
        <f t="shared" ca="1" si="11"/>
        <v>—</v>
      </c>
      <c r="K113" s="87"/>
    </row>
    <row r="114" spans="1:11" x14ac:dyDescent="0.25">
      <c r="A114" s="88"/>
      <c r="B114" s="25" t="str">
        <f>IF(A114="","",IFERROR(VLOOKUP(A114,DB_Customers!$A:$D,4,0),"❌ Account Not Found"))</f>
        <v/>
      </c>
      <c r="C114" s="89" t="str">
        <f>IF(A114="","",IFERROR(VLOOKUP(A114,DB_Customers!$A:$N,14,0),""))</f>
        <v/>
      </c>
      <c r="D114" s="90" t="str">
        <f t="shared" ca="1" si="9"/>
        <v/>
      </c>
      <c r="E114" s="82"/>
      <c r="F114" s="91" t="str">
        <f t="shared" si="10"/>
        <v/>
      </c>
      <c r="G114" s="27"/>
      <c r="H114" s="84"/>
      <c r="I114" s="92" t="str">
        <f>IF(A114="","Pending",IF(H114="","⚠️ Enter Code",IF(IFERROR(VLOOKUP(G114,DB_Agents!$B:$I,8,0),"")=H114,IF(AND(A114&lt;&gt;"",E114&lt;&gt;""),"Saved","Pending"),"🔒 BLOCKED — Wrong Code")))</f>
        <v>Pending</v>
      </c>
      <c r="J114" s="93" t="str">
        <f t="shared" ca="1" si="11"/>
        <v>—</v>
      </c>
      <c r="K114" s="94"/>
    </row>
    <row r="115" spans="1:11" x14ac:dyDescent="0.25">
      <c r="A115" s="79"/>
      <c r="B115" s="21" t="str">
        <f>IF(A115="","",IFERROR(VLOOKUP(A115,DB_Customers!$A:$D,4,0),"❌ Account Not Found"))</f>
        <v/>
      </c>
      <c r="C115" s="80" t="str">
        <f>IF(A115="","",IFERROR(VLOOKUP(A115,DB_Customers!$A:$N,14,0),""))</f>
        <v/>
      </c>
      <c r="D115" s="81" t="str">
        <f t="shared" ca="1" si="9"/>
        <v/>
      </c>
      <c r="E115" s="82"/>
      <c r="F115" s="83" t="str">
        <f t="shared" si="10"/>
        <v/>
      </c>
      <c r="G115" s="23"/>
      <c r="H115" s="84"/>
      <c r="I115" s="85" t="str">
        <f>IF(A115="","Pending",IF(H115="","⚠️ Enter Code",IF(IFERROR(VLOOKUP(G115,DB_Agents!$B:$I,8,0),"")=H115,IF(AND(A115&lt;&gt;"",E115&lt;&gt;""),"Saved","Pending"),"🔒 BLOCKED — Wrong Code")))</f>
        <v>Pending</v>
      </c>
      <c r="J115" s="86" t="str">
        <f t="shared" ca="1" si="11"/>
        <v>—</v>
      </c>
      <c r="K115" s="87"/>
    </row>
    <row r="116" spans="1:11" x14ac:dyDescent="0.25">
      <c r="A116" s="88"/>
      <c r="B116" s="25" t="str">
        <f>IF(A116="","",IFERROR(VLOOKUP(A116,DB_Customers!$A:$D,4,0),"❌ Account Not Found"))</f>
        <v/>
      </c>
      <c r="C116" s="89" t="str">
        <f>IF(A116="","",IFERROR(VLOOKUP(A116,DB_Customers!$A:$N,14,0),""))</f>
        <v/>
      </c>
      <c r="D116" s="90" t="str">
        <f t="shared" ca="1" si="9"/>
        <v/>
      </c>
      <c r="E116" s="82"/>
      <c r="F116" s="91" t="str">
        <f t="shared" si="10"/>
        <v/>
      </c>
      <c r="G116" s="27"/>
      <c r="H116" s="84"/>
      <c r="I116" s="92" t="str">
        <f>IF(A116="","Pending",IF(H116="","⚠️ Enter Code",IF(IFERROR(VLOOKUP(G116,DB_Agents!$B:$I,8,0),"")=H116,IF(AND(A116&lt;&gt;"",E116&lt;&gt;""),"Saved","Pending"),"🔒 BLOCKED — Wrong Code")))</f>
        <v>Pending</v>
      </c>
      <c r="J116" s="93" t="str">
        <f t="shared" ca="1" si="11"/>
        <v>—</v>
      </c>
      <c r="K116" s="94"/>
    </row>
    <row r="117" spans="1:11" x14ac:dyDescent="0.25">
      <c r="A117" s="79"/>
      <c r="B117" s="21" t="str">
        <f>IF(A117="","",IFERROR(VLOOKUP(A117,DB_Customers!$A:$D,4,0),"❌ Account Not Found"))</f>
        <v/>
      </c>
      <c r="C117" s="80" t="str">
        <f>IF(A117="","",IFERROR(VLOOKUP(A117,DB_Customers!$A:$N,14,0),""))</f>
        <v/>
      </c>
      <c r="D117" s="81" t="str">
        <f t="shared" ca="1" si="9"/>
        <v/>
      </c>
      <c r="E117" s="82"/>
      <c r="F117" s="83" t="str">
        <f t="shared" si="10"/>
        <v/>
      </c>
      <c r="G117" s="23"/>
      <c r="H117" s="84"/>
      <c r="I117" s="85" t="str">
        <f>IF(A117="","Pending",IF(H117="","⚠️ Enter Code",IF(IFERROR(VLOOKUP(G117,DB_Agents!$B:$I,8,0),"")=H117,IF(AND(A117&lt;&gt;"",E117&lt;&gt;""),"Saved","Pending"),"🔒 BLOCKED — Wrong Code")))</f>
        <v>Pending</v>
      </c>
      <c r="J117" s="86" t="str">
        <f t="shared" ca="1" si="11"/>
        <v>—</v>
      </c>
      <c r="K117" s="87"/>
    </row>
    <row r="118" spans="1:11" x14ac:dyDescent="0.25">
      <c r="A118" s="88"/>
      <c r="B118" s="25" t="str">
        <f>IF(A118="","",IFERROR(VLOOKUP(A118,DB_Customers!$A:$D,4,0),"❌ Account Not Found"))</f>
        <v/>
      </c>
      <c r="C118" s="89" t="str">
        <f>IF(A118="","",IFERROR(VLOOKUP(A118,DB_Customers!$A:$N,14,0),""))</f>
        <v/>
      </c>
      <c r="D118" s="90" t="str">
        <f t="shared" ca="1" si="9"/>
        <v/>
      </c>
      <c r="E118" s="82"/>
      <c r="F118" s="91" t="str">
        <f t="shared" si="10"/>
        <v/>
      </c>
      <c r="G118" s="27"/>
      <c r="H118" s="84"/>
      <c r="I118" s="92" t="str">
        <f>IF(A118="","Pending",IF(H118="","⚠️ Enter Code",IF(IFERROR(VLOOKUP(G118,DB_Agents!$B:$I,8,0),"")=H118,IF(AND(A118&lt;&gt;"",E118&lt;&gt;""),"Saved","Pending"),"🔒 BLOCKED — Wrong Code")))</f>
        <v>Pending</v>
      </c>
      <c r="J118" s="93" t="str">
        <f t="shared" ca="1" si="11"/>
        <v>—</v>
      </c>
      <c r="K118" s="94"/>
    </row>
    <row r="119" spans="1:11" x14ac:dyDescent="0.25">
      <c r="A119" s="79"/>
      <c r="B119" s="21" t="str">
        <f>IF(A119="","",IFERROR(VLOOKUP(A119,DB_Customers!$A:$D,4,0),"❌ Account Not Found"))</f>
        <v/>
      </c>
      <c r="C119" s="80" t="str">
        <f>IF(A119="","",IFERROR(VLOOKUP(A119,DB_Customers!$A:$N,14,0),""))</f>
        <v/>
      </c>
      <c r="D119" s="81" t="str">
        <f t="shared" ca="1" si="9"/>
        <v/>
      </c>
      <c r="E119" s="82"/>
      <c r="F119" s="83" t="str">
        <f t="shared" si="10"/>
        <v/>
      </c>
      <c r="G119" s="23"/>
      <c r="H119" s="84"/>
      <c r="I119" s="85" t="str">
        <f>IF(A119="","Pending",IF(H119="","⚠️ Enter Code",IF(IFERROR(VLOOKUP(G119,DB_Agents!$B:$I,8,0),"")=H119,IF(AND(A119&lt;&gt;"",E119&lt;&gt;""),"Saved","Pending"),"🔒 BLOCKED — Wrong Code")))</f>
        <v>Pending</v>
      </c>
      <c r="J119" s="86" t="str">
        <f t="shared" ca="1" si="11"/>
        <v>—</v>
      </c>
      <c r="K119" s="87"/>
    </row>
    <row r="120" spans="1:11" x14ac:dyDescent="0.25">
      <c r="A120" s="88"/>
      <c r="B120" s="25" t="str">
        <f>IF(A120="","",IFERROR(VLOOKUP(A120,DB_Customers!$A:$D,4,0),"❌ Account Not Found"))</f>
        <v/>
      </c>
      <c r="C120" s="89" t="str">
        <f>IF(A120="","",IFERROR(VLOOKUP(A120,DB_Customers!$A:$N,14,0),""))</f>
        <v/>
      </c>
      <c r="D120" s="90" t="str">
        <f t="shared" ca="1" si="9"/>
        <v/>
      </c>
      <c r="E120" s="82"/>
      <c r="F120" s="91" t="str">
        <f t="shared" si="10"/>
        <v/>
      </c>
      <c r="G120" s="27"/>
      <c r="H120" s="84"/>
      <c r="I120" s="92" t="str">
        <f>IF(A120="","Pending",IF(H120="","⚠️ Enter Code",IF(IFERROR(VLOOKUP(G120,DB_Agents!$B:$I,8,0),"")=H120,IF(AND(A120&lt;&gt;"",E120&lt;&gt;""),"Saved","Pending"),"🔒 BLOCKED — Wrong Code")))</f>
        <v>Pending</v>
      </c>
      <c r="J120" s="93" t="str">
        <f t="shared" ca="1" si="11"/>
        <v>—</v>
      </c>
      <c r="K120" s="94"/>
    </row>
    <row r="121" spans="1:11" x14ac:dyDescent="0.25">
      <c r="A121" s="79"/>
      <c r="B121" s="21" t="str">
        <f>IF(A121="","",IFERROR(VLOOKUP(A121,DB_Customers!$A:$D,4,0),"❌ Account Not Found"))</f>
        <v/>
      </c>
      <c r="C121" s="80" t="str">
        <f>IF(A121="","",IFERROR(VLOOKUP(A121,DB_Customers!$A:$N,14,0),""))</f>
        <v/>
      </c>
      <c r="D121" s="81" t="str">
        <f t="shared" ca="1" si="9"/>
        <v/>
      </c>
      <c r="E121" s="82"/>
      <c r="F121" s="83" t="str">
        <f t="shared" si="10"/>
        <v/>
      </c>
      <c r="G121" s="23"/>
      <c r="H121" s="84"/>
      <c r="I121" s="85" t="str">
        <f>IF(A121="","Pending",IF(H121="","⚠️ Enter Code",IF(IFERROR(VLOOKUP(G121,DB_Agents!$B:$I,8,0),"")=H121,IF(AND(A121&lt;&gt;"",E121&lt;&gt;""),"Saved","Pending"),"🔒 BLOCKED — Wrong Code")))</f>
        <v>Pending</v>
      </c>
      <c r="J121" s="86" t="str">
        <f t="shared" ca="1" si="11"/>
        <v>—</v>
      </c>
      <c r="K121" s="87"/>
    </row>
    <row r="122" spans="1:11" x14ac:dyDescent="0.25">
      <c r="A122" s="88"/>
      <c r="B122" s="25" t="str">
        <f>IF(A122="","",IFERROR(VLOOKUP(A122,DB_Customers!$A:$D,4,0),"❌ Account Not Found"))</f>
        <v/>
      </c>
      <c r="C122" s="89" t="str">
        <f>IF(A122="","",IFERROR(VLOOKUP(A122,DB_Customers!$A:$N,14,0),""))</f>
        <v/>
      </c>
      <c r="D122" s="90" t="str">
        <f t="shared" ca="1" si="9"/>
        <v/>
      </c>
      <c r="E122" s="82"/>
      <c r="F122" s="91" t="str">
        <f t="shared" si="10"/>
        <v/>
      </c>
      <c r="G122" s="27"/>
      <c r="H122" s="84"/>
      <c r="I122" s="92" t="str">
        <f>IF(A122="","Pending",IF(H122="","⚠️ Enter Code",IF(IFERROR(VLOOKUP(G122,DB_Agents!$B:$I,8,0),"")=H122,IF(AND(A122&lt;&gt;"",E122&lt;&gt;""),"Saved","Pending"),"🔒 BLOCKED — Wrong Code")))</f>
        <v>Pending</v>
      </c>
      <c r="J122" s="93" t="str">
        <f t="shared" ca="1" si="11"/>
        <v>—</v>
      </c>
      <c r="K122" s="94"/>
    </row>
    <row r="123" spans="1:11" x14ac:dyDescent="0.25">
      <c r="A123" s="79"/>
      <c r="B123" s="21" t="str">
        <f>IF(A123="","",IFERROR(VLOOKUP(A123,DB_Customers!$A:$D,4,0),"❌ Account Not Found"))</f>
        <v/>
      </c>
      <c r="C123" s="80" t="str">
        <f>IF(A123="","",IFERROR(VLOOKUP(A123,DB_Customers!$A:$N,14,0),""))</f>
        <v/>
      </c>
      <c r="D123" s="81" t="str">
        <f t="shared" ca="1" si="9"/>
        <v/>
      </c>
      <c r="E123" s="82"/>
      <c r="F123" s="83" t="str">
        <f t="shared" si="10"/>
        <v/>
      </c>
      <c r="G123" s="23"/>
      <c r="H123" s="84"/>
      <c r="I123" s="85" t="str">
        <f>IF(A123="","Pending",IF(H123="","⚠️ Enter Code",IF(IFERROR(VLOOKUP(G123,DB_Agents!$B:$I,8,0),"")=H123,IF(AND(A123&lt;&gt;"",E123&lt;&gt;""),"Saved","Pending"),"🔒 BLOCKED — Wrong Code")))</f>
        <v>Pending</v>
      </c>
      <c r="J123" s="86" t="str">
        <f t="shared" ca="1" si="11"/>
        <v>—</v>
      </c>
      <c r="K123" s="87"/>
    </row>
    <row r="124" spans="1:11" x14ac:dyDescent="0.25">
      <c r="A124" s="88"/>
      <c r="B124" s="25" t="str">
        <f>IF(A124="","",IFERROR(VLOOKUP(A124,DB_Customers!$A:$D,4,0),"❌ Account Not Found"))</f>
        <v/>
      </c>
      <c r="C124" s="89" t="str">
        <f>IF(A124="","",IFERROR(VLOOKUP(A124,DB_Customers!$A:$N,14,0),""))</f>
        <v/>
      </c>
      <c r="D124" s="90" t="str">
        <f t="shared" ca="1" si="9"/>
        <v/>
      </c>
      <c r="E124" s="82"/>
      <c r="F124" s="91" t="str">
        <f t="shared" si="10"/>
        <v/>
      </c>
      <c r="G124" s="27"/>
      <c r="H124" s="84"/>
      <c r="I124" s="92" t="str">
        <f>IF(A124="","Pending",IF(H124="","⚠️ Enter Code",IF(IFERROR(VLOOKUP(G124,DB_Agents!$B:$I,8,0),"")=H124,IF(AND(A124&lt;&gt;"",E124&lt;&gt;""),"Saved","Pending"),"🔒 BLOCKED — Wrong Code")))</f>
        <v>Pending</v>
      </c>
      <c r="J124" s="93" t="str">
        <f t="shared" ca="1" si="11"/>
        <v>—</v>
      </c>
      <c r="K124" s="94"/>
    </row>
    <row r="125" spans="1:11" x14ac:dyDescent="0.25">
      <c r="A125" s="79"/>
      <c r="B125" s="21" t="str">
        <f>IF(A125="","",IFERROR(VLOOKUP(A125,DB_Customers!$A:$D,4,0),"❌ Account Not Found"))</f>
        <v/>
      </c>
      <c r="C125" s="80" t="str">
        <f>IF(A125="","",IFERROR(VLOOKUP(A125,DB_Customers!$A:$N,14,0),""))</f>
        <v/>
      </c>
      <c r="D125" s="81" t="str">
        <f t="shared" ca="1" si="9"/>
        <v/>
      </c>
      <c r="E125" s="82"/>
      <c r="F125" s="83" t="str">
        <f t="shared" si="10"/>
        <v/>
      </c>
      <c r="G125" s="23"/>
      <c r="H125" s="84"/>
      <c r="I125" s="85" t="str">
        <f>IF(A125="","Pending",IF(H125="","⚠️ Enter Code",IF(IFERROR(VLOOKUP(G125,DB_Agents!$B:$I,8,0),"")=H125,IF(AND(A125&lt;&gt;"",E125&lt;&gt;""),"Saved","Pending"),"🔒 BLOCKED — Wrong Code")))</f>
        <v>Pending</v>
      </c>
      <c r="J125" s="86" t="str">
        <f t="shared" ca="1" si="11"/>
        <v>—</v>
      </c>
      <c r="K125" s="87"/>
    </row>
    <row r="126" spans="1:11" x14ac:dyDescent="0.25">
      <c r="A126" s="88"/>
      <c r="B126" s="25" t="str">
        <f>IF(A126="","",IFERROR(VLOOKUP(A126,DB_Customers!$A:$D,4,0),"❌ Account Not Found"))</f>
        <v/>
      </c>
      <c r="C126" s="89" t="str">
        <f>IF(A126="","",IFERROR(VLOOKUP(A126,DB_Customers!$A:$N,14,0),""))</f>
        <v/>
      </c>
      <c r="D126" s="90" t="str">
        <f t="shared" ca="1" si="9"/>
        <v/>
      </c>
      <c r="E126" s="82"/>
      <c r="F126" s="91" t="str">
        <f t="shared" si="10"/>
        <v/>
      </c>
      <c r="G126" s="27"/>
      <c r="H126" s="84"/>
      <c r="I126" s="92" t="str">
        <f>IF(A126="","Pending",IF(H126="","⚠️ Enter Code",IF(IFERROR(VLOOKUP(G126,DB_Agents!$B:$I,8,0),"")=H126,IF(AND(A126&lt;&gt;"",E126&lt;&gt;""),"Saved","Pending"),"🔒 BLOCKED — Wrong Code")))</f>
        <v>Pending</v>
      </c>
      <c r="J126" s="93" t="str">
        <f t="shared" ca="1" si="11"/>
        <v>—</v>
      </c>
      <c r="K126" s="94"/>
    </row>
    <row r="127" spans="1:11" x14ac:dyDescent="0.25">
      <c r="A127" s="79"/>
      <c r="B127" s="21" t="str">
        <f>IF(A127="","",IFERROR(VLOOKUP(A127,DB_Customers!$A:$D,4,0),"❌ Account Not Found"))</f>
        <v/>
      </c>
      <c r="C127" s="80" t="str">
        <f>IF(A127="","",IFERROR(VLOOKUP(A127,DB_Customers!$A:$N,14,0),""))</f>
        <v/>
      </c>
      <c r="D127" s="81" t="str">
        <f t="shared" ca="1" si="9"/>
        <v/>
      </c>
      <c r="E127" s="82"/>
      <c r="F127" s="83" t="str">
        <f t="shared" si="10"/>
        <v/>
      </c>
      <c r="G127" s="23"/>
      <c r="H127" s="84"/>
      <c r="I127" s="85" t="str">
        <f>IF(A127="","Pending",IF(H127="","⚠️ Enter Code",IF(IFERROR(VLOOKUP(G127,DB_Agents!$B:$I,8,0),"")=H127,IF(AND(A127&lt;&gt;"",E127&lt;&gt;""),"Saved","Pending"),"🔒 BLOCKED — Wrong Code")))</f>
        <v>Pending</v>
      </c>
      <c r="J127" s="86" t="str">
        <f t="shared" ca="1" si="11"/>
        <v>—</v>
      </c>
      <c r="K127" s="87"/>
    </row>
    <row r="128" spans="1:11" x14ac:dyDescent="0.25">
      <c r="A128" s="88"/>
      <c r="B128" s="25" t="str">
        <f>IF(A128="","",IFERROR(VLOOKUP(A128,DB_Customers!$A:$D,4,0),"❌ Account Not Found"))</f>
        <v/>
      </c>
      <c r="C128" s="89" t="str">
        <f>IF(A128="","",IFERROR(VLOOKUP(A128,DB_Customers!$A:$N,14,0),""))</f>
        <v/>
      </c>
      <c r="D128" s="90" t="str">
        <f t="shared" ca="1" si="9"/>
        <v/>
      </c>
      <c r="E128" s="82"/>
      <c r="F128" s="91" t="str">
        <f t="shared" si="10"/>
        <v/>
      </c>
      <c r="G128" s="27"/>
      <c r="H128" s="84"/>
      <c r="I128" s="92" t="str">
        <f>IF(A128="","Pending",IF(H128="","⚠️ Enter Code",IF(IFERROR(VLOOKUP(G128,DB_Agents!$B:$I,8,0),"")=H128,IF(AND(A128&lt;&gt;"",E128&lt;&gt;""),"Saved","Pending"),"🔒 BLOCKED — Wrong Code")))</f>
        <v>Pending</v>
      </c>
      <c r="J128" s="93" t="str">
        <f t="shared" ca="1" si="11"/>
        <v>—</v>
      </c>
      <c r="K128" s="94"/>
    </row>
    <row r="129" spans="1:11" x14ac:dyDescent="0.25">
      <c r="A129" s="79"/>
      <c r="B129" s="21" t="str">
        <f>IF(A129="","",IFERROR(VLOOKUP(A129,DB_Customers!$A:$D,4,0),"❌ Account Not Found"))</f>
        <v/>
      </c>
      <c r="C129" s="80" t="str">
        <f>IF(A129="","",IFERROR(VLOOKUP(A129,DB_Customers!$A:$N,14,0),""))</f>
        <v/>
      </c>
      <c r="D129" s="81" t="str">
        <f t="shared" ca="1" si="9"/>
        <v/>
      </c>
      <c r="E129" s="82"/>
      <c r="F129" s="83" t="str">
        <f t="shared" si="10"/>
        <v/>
      </c>
      <c r="G129" s="23"/>
      <c r="H129" s="84"/>
      <c r="I129" s="85" t="str">
        <f>IF(A129="","Pending",IF(H129="","⚠️ Enter Code",IF(IFERROR(VLOOKUP(G129,DB_Agents!$B:$I,8,0),"")=H129,IF(AND(A129&lt;&gt;"",E129&lt;&gt;""),"Saved","Pending"),"🔒 BLOCKED — Wrong Code")))</f>
        <v>Pending</v>
      </c>
      <c r="J129" s="86" t="str">
        <f t="shared" ca="1" si="11"/>
        <v>—</v>
      </c>
      <c r="K129" s="87"/>
    </row>
    <row r="130" spans="1:11" x14ac:dyDescent="0.25">
      <c r="A130" s="88"/>
      <c r="B130" s="25" t="str">
        <f>IF(A130="","",IFERROR(VLOOKUP(A130,DB_Customers!$A:$D,4,0),"❌ Account Not Found"))</f>
        <v/>
      </c>
      <c r="C130" s="89" t="str">
        <f>IF(A130="","",IFERROR(VLOOKUP(A130,DB_Customers!$A:$N,14,0),""))</f>
        <v/>
      </c>
      <c r="D130" s="90" t="str">
        <f t="shared" ca="1" si="9"/>
        <v/>
      </c>
      <c r="E130" s="82"/>
      <c r="F130" s="91" t="str">
        <f t="shared" si="10"/>
        <v/>
      </c>
      <c r="G130" s="27"/>
      <c r="H130" s="84"/>
      <c r="I130" s="92" t="str">
        <f>IF(A130="","Pending",IF(H130="","⚠️ Enter Code",IF(IFERROR(VLOOKUP(G130,DB_Agents!$B:$I,8,0),"")=H130,IF(AND(A130&lt;&gt;"",E130&lt;&gt;""),"Saved","Pending"),"🔒 BLOCKED — Wrong Code")))</f>
        <v>Pending</v>
      </c>
      <c r="J130" s="93" t="str">
        <f t="shared" ca="1" si="11"/>
        <v>—</v>
      </c>
      <c r="K130" s="94"/>
    </row>
    <row r="131" spans="1:11" x14ac:dyDescent="0.25">
      <c r="A131" s="79"/>
      <c r="B131" s="21" t="str">
        <f>IF(A131="","",IFERROR(VLOOKUP(A131,DB_Customers!$A:$D,4,0),"❌ Account Not Found"))</f>
        <v/>
      </c>
      <c r="C131" s="80" t="str">
        <f>IF(A131="","",IFERROR(VLOOKUP(A131,DB_Customers!$A:$N,14,0),""))</f>
        <v/>
      </c>
      <c r="D131" s="81" t="str">
        <f t="shared" ca="1" si="9"/>
        <v/>
      </c>
      <c r="E131" s="82"/>
      <c r="F131" s="83" t="str">
        <f t="shared" si="10"/>
        <v/>
      </c>
      <c r="G131" s="23"/>
      <c r="H131" s="84"/>
      <c r="I131" s="85" t="str">
        <f>IF(A131="","Pending",IF(H131="","⚠️ Enter Code",IF(IFERROR(VLOOKUP(G131,DB_Agents!$B:$I,8,0),"")=H131,IF(AND(A131&lt;&gt;"",E131&lt;&gt;""),"Saved","Pending"),"🔒 BLOCKED — Wrong Code")))</f>
        <v>Pending</v>
      </c>
      <c r="J131" s="86" t="str">
        <f t="shared" ca="1" si="11"/>
        <v>—</v>
      </c>
      <c r="K131" s="87"/>
    </row>
    <row r="132" spans="1:11" x14ac:dyDescent="0.25">
      <c r="A132" s="88"/>
      <c r="B132" s="25" t="str">
        <f>IF(A132="","",IFERROR(VLOOKUP(A132,DB_Customers!$A:$D,4,0),"❌ Account Not Found"))</f>
        <v/>
      </c>
      <c r="C132" s="89" t="str">
        <f>IF(A132="","",IFERROR(VLOOKUP(A132,DB_Customers!$A:$N,14,0),""))</f>
        <v/>
      </c>
      <c r="D132" s="90" t="str">
        <f t="shared" ca="1" si="9"/>
        <v/>
      </c>
      <c r="E132" s="82"/>
      <c r="F132" s="91" t="str">
        <f t="shared" si="10"/>
        <v/>
      </c>
      <c r="G132" s="27"/>
      <c r="H132" s="84"/>
      <c r="I132" s="92" t="str">
        <f>IF(A132="","Pending",IF(H132="","⚠️ Enter Code",IF(IFERROR(VLOOKUP(G132,DB_Agents!$B:$I,8,0),"")=H132,IF(AND(A132&lt;&gt;"",E132&lt;&gt;""),"Saved","Pending"),"🔒 BLOCKED — Wrong Code")))</f>
        <v>Pending</v>
      </c>
      <c r="J132" s="93" t="str">
        <f t="shared" ca="1" si="11"/>
        <v>—</v>
      </c>
      <c r="K132" s="94"/>
    </row>
    <row r="133" spans="1:11" x14ac:dyDescent="0.25">
      <c r="A133" s="79"/>
      <c r="B133" s="21" t="str">
        <f>IF(A133="","",IFERROR(VLOOKUP(A133,DB_Customers!$A:$D,4,0),"❌ Account Not Found"))</f>
        <v/>
      </c>
      <c r="C133" s="80" t="str">
        <f>IF(A133="","",IFERROR(VLOOKUP(A133,DB_Customers!$A:$N,14,0),""))</f>
        <v/>
      </c>
      <c r="D133" s="81" t="str">
        <f t="shared" ca="1" si="9"/>
        <v/>
      </c>
      <c r="E133" s="82"/>
      <c r="F133" s="83" t="str">
        <f t="shared" si="10"/>
        <v/>
      </c>
      <c r="G133" s="23"/>
      <c r="H133" s="84"/>
      <c r="I133" s="85" t="str">
        <f>IF(A133="","Pending",IF(H133="","⚠️ Enter Code",IF(IFERROR(VLOOKUP(G133,DB_Agents!$B:$I,8,0),"")=H133,IF(AND(A133&lt;&gt;"",E133&lt;&gt;""),"Saved","Pending"),"🔒 BLOCKED — Wrong Code")))</f>
        <v>Pending</v>
      </c>
      <c r="J133" s="86" t="str">
        <f t="shared" ca="1" si="11"/>
        <v>—</v>
      </c>
      <c r="K133" s="87"/>
    </row>
    <row r="134" spans="1:11" x14ac:dyDescent="0.25">
      <c r="A134" s="88"/>
      <c r="B134" s="25" t="str">
        <f>IF(A134="","",IFERROR(VLOOKUP(A134,DB_Customers!$A:$D,4,0),"❌ Account Not Found"))</f>
        <v/>
      </c>
      <c r="C134" s="89" t="str">
        <f>IF(A134="","",IFERROR(VLOOKUP(A134,DB_Customers!$A:$N,14,0),""))</f>
        <v/>
      </c>
      <c r="D134" s="90" t="str">
        <f t="shared" ca="1" si="9"/>
        <v/>
      </c>
      <c r="E134" s="82"/>
      <c r="F134" s="91" t="str">
        <f t="shared" si="10"/>
        <v/>
      </c>
      <c r="G134" s="27"/>
      <c r="H134" s="84"/>
      <c r="I134" s="92" t="str">
        <f>IF(A134="","Pending",IF(H134="","⚠️ Enter Code",IF(IFERROR(VLOOKUP(G134,DB_Agents!$B:$I,8,0),"")=H134,IF(AND(A134&lt;&gt;"",E134&lt;&gt;""),"Saved","Pending"),"🔒 BLOCKED — Wrong Code")))</f>
        <v>Pending</v>
      </c>
      <c r="J134" s="93" t="str">
        <f t="shared" ca="1" si="11"/>
        <v>—</v>
      </c>
      <c r="K134" s="94"/>
    </row>
    <row r="135" spans="1:11" x14ac:dyDescent="0.25">
      <c r="A135" s="79"/>
      <c r="B135" s="21" t="str">
        <f>IF(A135="","",IFERROR(VLOOKUP(A135,DB_Customers!$A:$D,4,0),"❌ Account Not Found"))</f>
        <v/>
      </c>
      <c r="C135" s="80" t="str">
        <f>IF(A135="","",IFERROR(VLOOKUP(A135,DB_Customers!$A:$N,14,0),""))</f>
        <v/>
      </c>
      <c r="D135" s="81" t="str">
        <f t="shared" ca="1" si="9"/>
        <v/>
      </c>
      <c r="E135" s="82"/>
      <c r="F135" s="83" t="str">
        <f t="shared" si="10"/>
        <v/>
      </c>
      <c r="G135" s="23"/>
      <c r="H135" s="84"/>
      <c r="I135" s="85" t="str">
        <f>IF(A135="","Pending",IF(H135="","⚠️ Enter Code",IF(IFERROR(VLOOKUP(G135,DB_Agents!$B:$I,8,0),"")=H135,IF(AND(A135&lt;&gt;"",E135&lt;&gt;""),"Saved","Pending"),"🔒 BLOCKED — Wrong Code")))</f>
        <v>Pending</v>
      </c>
      <c r="J135" s="86" t="str">
        <f t="shared" ca="1" si="11"/>
        <v>—</v>
      </c>
      <c r="K135" s="87"/>
    </row>
    <row r="136" spans="1:11" x14ac:dyDescent="0.25">
      <c r="A136" s="88"/>
      <c r="B136" s="25" t="str">
        <f>IF(A136="","",IFERROR(VLOOKUP(A136,DB_Customers!$A:$D,4,0),"❌ Account Not Found"))</f>
        <v/>
      </c>
      <c r="C136" s="89" t="str">
        <f>IF(A136="","",IFERROR(VLOOKUP(A136,DB_Customers!$A:$N,14,0),""))</f>
        <v/>
      </c>
      <c r="D136" s="90" t="str">
        <f t="shared" ca="1" si="9"/>
        <v/>
      </c>
      <c r="E136" s="82"/>
      <c r="F136" s="91" t="str">
        <f t="shared" si="10"/>
        <v/>
      </c>
      <c r="G136" s="27"/>
      <c r="H136" s="84"/>
      <c r="I136" s="92" t="str">
        <f>IF(A136="","Pending",IF(H136="","⚠️ Enter Code",IF(IFERROR(VLOOKUP(G136,DB_Agents!$B:$I,8,0),"")=H136,IF(AND(A136&lt;&gt;"",E136&lt;&gt;""),"Saved","Pending"),"🔒 BLOCKED — Wrong Code")))</f>
        <v>Pending</v>
      </c>
      <c r="J136" s="93" t="str">
        <f t="shared" ca="1" si="11"/>
        <v>—</v>
      </c>
      <c r="K136" s="94"/>
    </row>
    <row r="137" spans="1:11" x14ac:dyDescent="0.25">
      <c r="A137" s="79"/>
      <c r="B137" s="21" t="str">
        <f>IF(A137="","",IFERROR(VLOOKUP(A137,DB_Customers!$A:$D,4,0),"❌ Account Not Found"))</f>
        <v/>
      </c>
      <c r="C137" s="80" t="str">
        <f>IF(A137="","",IFERROR(VLOOKUP(A137,DB_Customers!$A:$N,14,0),""))</f>
        <v/>
      </c>
      <c r="D137" s="81" t="str">
        <f t="shared" ref="D137:D168" ca="1" si="12">IF(A137="","",TODAY())</f>
        <v/>
      </c>
      <c r="E137" s="82"/>
      <c r="F137" s="83" t="str">
        <f t="shared" ref="F137:F168" si="13">IF(OR(A137="",E137=""),"",IF(C137="","",C137+E137))</f>
        <v/>
      </c>
      <c r="G137" s="23"/>
      <c r="H137" s="84"/>
      <c r="I137" s="85" t="str">
        <f>IF(A137="","Pending",IF(H137="","⚠️ Enter Code",IF(IFERROR(VLOOKUP(G137,DB_Agents!$B:$I,8,0),"")=H137,IF(AND(A137&lt;&gt;"",E137&lt;&gt;""),"Saved","Pending"),"🔒 BLOCKED — Wrong Code")))</f>
        <v>Pending</v>
      </c>
      <c r="J137" s="86" t="str">
        <f t="shared" ref="J137:J168" ca="1" si="14">IF(I137="Saved",TEXT(TODAY(),"YYYY-MM-DD")&amp;" Auto","—")</f>
        <v>—</v>
      </c>
      <c r="K137" s="87"/>
    </row>
    <row r="138" spans="1:11" x14ac:dyDescent="0.25">
      <c r="A138" s="88"/>
      <c r="B138" s="25" t="str">
        <f>IF(A138="","",IFERROR(VLOOKUP(A138,DB_Customers!$A:$D,4,0),"❌ Account Not Found"))</f>
        <v/>
      </c>
      <c r="C138" s="89" t="str">
        <f>IF(A138="","",IFERROR(VLOOKUP(A138,DB_Customers!$A:$N,14,0),""))</f>
        <v/>
      </c>
      <c r="D138" s="90" t="str">
        <f t="shared" ca="1" si="12"/>
        <v/>
      </c>
      <c r="E138" s="82"/>
      <c r="F138" s="91" t="str">
        <f t="shared" si="13"/>
        <v/>
      </c>
      <c r="G138" s="27"/>
      <c r="H138" s="84"/>
      <c r="I138" s="92" t="str">
        <f>IF(A138="","Pending",IF(H138="","⚠️ Enter Code",IF(IFERROR(VLOOKUP(G138,DB_Agents!$B:$I,8,0),"")=H138,IF(AND(A138&lt;&gt;"",E138&lt;&gt;""),"Saved","Pending"),"🔒 BLOCKED — Wrong Code")))</f>
        <v>Pending</v>
      </c>
      <c r="J138" s="93" t="str">
        <f t="shared" ca="1" si="14"/>
        <v>—</v>
      </c>
      <c r="K138" s="94"/>
    </row>
    <row r="139" spans="1:11" x14ac:dyDescent="0.25">
      <c r="A139" s="79"/>
      <c r="B139" s="21" t="str">
        <f>IF(A139="","",IFERROR(VLOOKUP(A139,DB_Customers!$A:$D,4,0),"❌ Account Not Found"))</f>
        <v/>
      </c>
      <c r="C139" s="80" t="str">
        <f>IF(A139="","",IFERROR(VLOOKUP(A139,DB_Customers!$A:$N,14,0),""))</f>
        <v/>
      </c>
      <c r="D139" s="81" t="str">
        <f t="shared" ca="1" si="12"/>
        <v/>
      </c>
      <c r="E139" s="82"/>
      <c r="F139" s="83" t="str">
        <f t="shared" si="13"/>
        <v/>
      </c>
      <c r="G139" s="23"/>
      <c r="H139" s="84"/>
      <c r="I139" s="85" t="str">
        <f>IF(A139="","Pending",IF(H139="","⚠️ Enter Code",IF(IFERROR(VLOOKUP(G139,DB_Agents!$B:$I,8,0),"")=H139,IF(AND(A139&lt;&gt;"",E139&lt;&gt;""),"Saved","Pending"),"🔒 BLOCKED — Wrong Code")))</f>
        <v>Pending</v>
      </c>
      <c r="J139" s="86" t="str">
        <f t="shared" ca="1" si="14"/>
        <v>—</v>
      </c>
      <c r="K139" s="87"/>
    </row>
    <row r="140" spans="1:11" x14ac:dyDescent="0.25">
      <c r="A140" s="88"/>
      <c r="B140" s="25" t="str">
        <f>IF(A140="","",IFERROR(VLOOKUP(A140,DB_Customers!$A:$D,4,0),"❌ Account Not Found"))</f>
        <v/>
      </c>
      <c r="C140" s="89" t="str">
        <f>IF(A140="","",IFERROR(VLOOKUP(A140,DB_Customers!$A:$N,14,0),""))</f>
        <v/>
      </c>
      <c r="D140" s="90" t="str">
        <f t="shared" ca="1" si="12"/>
        <v/>
      </c>
      <c r="E140" s="82"/>
      <c r="F140" s="91" t="str">
        <f t="shared" si="13"/>
        <v/>
      </c>
      <c r="G140" s="27"/>
      <c r="H140" s="84"/>
      <c r="I140" s="92" t="str">
        <f>IF(A140="","Pending",IF(H140="","⚠️ Enter Code",IF(IFERROR(VLOOKUP(G140,DB_Agents!$B:$I,8,0),"")=H140,IF(AND(A140&lt;&gt;"",E140&lt;&gt;""),"Saved","Pending"),"🔒 BLOCKED — Wrong Code")))</f>
        <v>Pending</v>
      </c>
      <c r="J140" s="93" t="str">
        <f t="shared" ca="1" si="14"/>
        <v>—</v>
      </c>
      <c r="K140" s="94"/>
    </row>
    <row r="141" spans="1:11" x14ac:dyDescent="0.25">
      <c r="A141" s="79"/>
      <c r="B141" s="21" t="str">
        <f>IF(A141="","",IFERROR(VLOOKUP(A141,DB_Customers!$A:$D,4,0),"❌ Account Not Found"))</f>
        <v/>
      </c>
      <c r="C141" s="80" t="str">
        <f>IF(A141="","",IFERROR(VLOOKUP(A141,DB_Customers!$A:$N,14,0),""))</f>
        <v/>
      </c>
      <c r="D141" s="81" t="str">
        <f t="shared" ca="1" si="12"/>
        <v/>
      </c>
      <c r="E141" s="82"/>
      <c r="F141" s="83" t="str">
        <f t="shared" si="13"/>
        <v/>
      </c>
      <c r="G141" s="23"/>
      <c r="H141" s="84"/>
      <c r="I141" s="85" t="str">
        <f>IF(A141="","Pending",IF(H141="","⚠️ Enter Code",IF(IFERROR(VLOOKUP(G141,DB_Agents!$B:$I,8,0),"")=H141,IF(AND(A141&lt;&gt;"",E141&lt;&gt;""),"Saved","Pending"),"🔒 BLOCKED — Wrong Code")))</f>
        <v>Pending</v>
      </c>
      <c r="J141" s="86" t="str">
        <f t="shared" ca="1" si="14"/>
        <v>—</v>
      </c>
      <c r="K141" s="87"/>
    </row>
    <row r="142" spans="1:11" x14ac:dyDescent="0.25">
      <c r="A142" s="88"/>
      <c r="B142" s="25" t="str">
        <f>IF(A142="","",IFERROR(VLOOKUP(A142,DB_Customers!$A:$D,4,0),"❌ Account Not Found"))</f>
        <v/>
      </c>
      <c r="C142" s="89" t="str">
        <f>IF(A142="","",IFERROR(VLOOKUP(A142,DB_Customers!$A:$N,14,0),""))</f>
        <v/>
      </c>
      <c r="D142" s="90" t="str">
        <f t="shared" ca="1" si="12"/>
        <v/>
      </c>
      <c r="E142" s="82"/>
      <c r="F142" s="91" t="str">
        <f t="shared" si="13"/>
        <v/>
      </c>
      <c r="G142" s="27"/>
      <c r="H142" s="84"/>
      <c r="I142" s="92" t="str">
        <f>IF(A142="","Pending",IF(H142="","⚠️ Enter Code",IF(IFERROR(VLOOKUP(G142,DB_Agents!$B:$I,8,0),"")=H142,IF(AND(A142&lt;&gt;"",E142&lt;&gt;""),"Saved","Pending"),"🔒 BLOCKED — Wrong Code")))</f>
        <v>Pending</v>
      </c>
      <c r="J142" s="93" t="str">
        <f t="shared" ca="1" si="14"/>
        <v>—</v>
      </c>
      <c r="K142" s="94"/>
    </row>
    <row r="143" spans="1:11" x14ac:dyDescent="0.25">
      <c r="A143" s="79"/>
      <c r="B143" s="21" t="str">
        <f>IF(A143="","",IFERROR(VLOOKUP(A143,DB_Customers!$A:$D,4,0),"❌ Account Not Found"))</f>
        <v/>
      </c>
      <c r="C143" s="80" t="str">
        <f>IF(A143="","",IFERROR(VLOOKUP(A143,DB_Customers!$A:$N,14,0),""))</f>
        <v/>
      </c>
      <c r="D143" s="81" t="str">
        <f t="shared" ca="1" si="12"/>
        <v/>
      </c>
      <c r="E143" s="82"/>
      <c r="F143" s="83" t="str">
        <f t="shared" si="13"/>
        <v/>
      </c>
      <c r="G143" s="23"/>
      <c r="H143" s="84"/>
      <c r="I143" s="85" t="str">
        <f>IF(A143="","Pending",IF(H143="","⚠️ Enter Code",IF(IFERROR(VLOOKUP(G143,DB_Agents!$B:$I,8,0),"")=H143,IF(AND(A143&lt;&gt;"",E143&lt;&gt;""),"Saved","Pending"),"🔒 BLOCKED — Wrong Code")))</f>
        <v>Pending</v>
      </c>
      <c r="J143" s="86" t="str">
        <f t="shared" ca="1" si="14"/>
        <v>—</v>
      </c>
      <c r="K143" s="87"/>
    </row>
    <row r="144" spans="1:11" x14ac:dyDescent="0.25">
      <c r="A144" s="88"/>
      <c r="B144" s="25" t="str">
        <f>IF(A144="","",IFERROR(VLOOKUP(A144,DB_Customers!$A:$D,4,0),"❌ Account Not Found"))</f>
        <v/>
      </c>
      <c r="C144" s="89" t="str">
        <f>IF(A144="","",IFERROR(VLOOKUP(A144,DB_Customers!$A:$N,14,0),""))</f>
        <v/>
      </c>
      <c r="D144" s="90" t="str">
        <f t="shared" ca="1" si="12"/>
        <v/>
      </c>
      <c r="E144" s="82"/>
      <c r="F144" s="91" t="str">
        <f t="shared" si="13"/>
        <v/>
      </c>
      <c r="G144" s="27"/>
      <c r="H144" s="84"/>
      <c r="I144" s="92" t="str">
        <f>IF(A144="","Pending",IF(H144="","⚠️ Enter Code",IF(IFERROR(VLOOKUP(G144,DB_Agents!$B:$I,8,0),"")=H144,IF(AND(A144&lt;&gt;"",E144&lt;&gt;""),"Saved","Pending"),"🔒 BLOCKED — Wrong Code")))</f>
        <v>Pending</v>
      </c>
      <c r="J144" s="93" t="str">
        <f t="shared" ca="1" si="14"/>
        <v>—</v>
      </c>
      <c r="K144" s="94"/>
    </row>
    <row r="145" spans="1:11" x14ac:dyDescent="0.25">
      <c r="A145" s="79"/>
      <c r="B145" s="21" t="str">
        <f>IF(A145="","",IFERROR(VLOOKUP(A145,DB_Customers!$A:$D,4,0),"❌ Account Not Found"))</f>
        <v/>
      </c>
      <c r="C145" s="80" t="str">
        <f>IF(A145="","",IFERROR(VLOOKUP(A145,DB_Customers!$A:$N,14,0),""))</f>
        <v/>
      </c>
      <c r="D145" s="81" t="str">
        <f t="shared" ca="1" si="12"/>
        <v/>
      </c>
      <c r="E145" s="82"/>
      <c r="F145" s="83" t="str">
        <f t="shared" si="13"/>
        <v/>
      </c>
      <c r="G145" s="23"/>
      <c r="H145" s="84"/>
      <c r="I145" s="85" t="str">
        <f>IF(A145="","Pending",IF(H145="","⚠️ Enter Code",IF(IFERROR(VLOOKUP(G145,DB_Agents!$B:$I,8,0),"")=H145,IF(AND(A145&lt;&gt;"",E145&lt;&gt;""),"Saved","Pending"),"🔒 BLOCKED — Wrong Code")))</f>
        <v>Pending</v>
      </c>
      <c r="J145" s="86" t="str">
        <f t="shared" ca="1" si="14"/>
        <v>—</v>
      </c>
      <c r="K145" s="87"/>
    </row>
    <row r="146" spans="1:11" x14ac:dyDescent="0.25">
      <c r="A146" s="88"/>
      <c r="B146" s="25" t="str">
        <f>IF(A146="","",IFERROR(VLOOKUP(A146,DB_Customers!$A:$D,4,0),"❌ Account Not Found"))</f>
        <v/>
      </c>
      <c r="C146" s="89" t="str">
        <f>IF(A146="","",IFERROR(VLOOKUP(A146,DB_Customers!$A:$N,14,0),""))</f>
        <v/>
      </c>
      <c r="D146" s="90" t="str">
        <f t="shared" ca="1" si="12"/>
        <v/>
      </c>
      <c r="E146" s="82"/>
      <c r="F146" s="91" t="str">
        <f t="shared" si="13"/>
        <v/>
      </c>
      <c r="G146" s="27"/>
      <c r="H146" s="84"/>
      <c r="I146" s="92" t="str">
        <f>IF(A146="","Pending",IF(H146="","⚠️ Enter Code",IF(IFERROR(VLOOKUP(G146,DB_Agents!$B:$I,8,0),"")=H146,IF(AND(A146&lt;&gt;"",E146&lt;&gt;""),"Saved","Pending"),"🔒 BLOCKED — Wrong Code")))</f>
        <v>Pending</v>
      </c>
      <c r="J146" s="93" t="str">
        <f t="shared" ca="1" si="14"/>
        <v>—</v>
      </c>
      <c r="K146" s="94"/>
    </row>
    <row r="147" spans="1:11" x14ac:dyDescent="0.25">
      <c r="A147" s="79"/>
      <c r="B147" s="21" t="str">
        <f>IF(A147="","",IFERROR(VLOOKUP(A147,DB_Customers!$A:$D,4,0),"❌ Account Not Found"))</f>
        <v/>
      </c>
      <c r="C147" s="80" t="str">
        <f>IF(A147="","",IFERROR(VLOOKUP(A147,DB_Customers!$A:$N,14,0),""))</f>
        <v/>
      </c>
      <c r="D147" s="81" t="str">
        <f t="shared" ca="1" si="12"/>
        <v/>
      </c>
      <c r="E147" s="82"/>
      <c r="F147" s="83" t="str">
        <f t="shared" si="13"/>
        <v/>
      </c>
      <c r="G147" s="23"/>
      <c r="H147" s="84"/>
      <c r="I147" s="85" t="str">
        <f>IF(A147="","Pending",IF(H147="","⚠️ Enter Code",IF(IFERROR(VLOOKUP(G147,DB_Agents!$B:$I,8,0),"")=H147,IF(AND(A147&lt;&gt;"",E147&lt;&gt;""),"Saved","Pending"),"🔒 BLOCKED — Wrong Code")))</f>
        <v>Pending</v>
      </c>
      <c r="J147" s="86" t="str">
        <f t="shared" ca="1" si="14"/>
        <v>—</v>
      </c>
      <c r="K147" s="87"/>
    </row>
    <row r="148" spans="1:11" x14ac:dyDescent="0.25">
      <c r="A148" s="88"/>
      <c r="B148" s="25" t="str">
        <f>IF(A148="","",IFERROR(VLOOKUP(A148,DB_Customers!$A:$D,4,0),"❌ Account Not Found"))</f>
        <v/>
      </c>
      <c r="C148" s="89" t="str">
        <f>IF(A148="","",IFERROR(VLOOKUP(A148,DB_Customers!$A:$N,14,0),""))</f>
        <v/>
      </c>
      <c r="D148" s="90" t="str">
        <f t="shared" ca="1" si="12"/>
        <v/>
      </c>
      <c r="E148" s="82"/>
      <c r="F148" s="91" t="str">
        <f t="shared" si="13"/>
        <v/>
      </c>
      <c r="G148" s="27"/>
      <c r="H148" s="84"/>
      <c r="I148" s="92" t="str">
        <f>IF(A148="","Pending",IF(H148="","⚠️ Enter Code",IF(IFERROR(VLOOKUP(G148,DB_Agents!$B:$I,8,0),"")=H148,IF(AND(A148&lt;&gt;"",E148&lt;&gt;""),"Saved","Pending"),"🔒 BLOCKED — Wrong Code")))</f>
        <v>Pending</v>
      </c>
      <c r="J148" s="93" t="str">
        <f t="shared" ca="1" si="14"/>
        <v>—</v>
      </c>
      <c r="K148" s="94"/>
    </row>
    <row r="149" spans="1:11" x14ac:dyDescent="0.25">
      <c r="A149" s="79"/>
      <c r="B149" s="21" t="str">
        <f>IF(A149="","",IFERROR(VLOOKUP(A149,DB_Customers!$A:$D,4,0),"❌ Account Not Found"))</f>
        <v/>
      </c>
      <c r="C149" s="80" t="str">
        <f>IF(A149="","",IFERROR(VLOOKUP(A149,DB_Customers!$A:$N,14,0),""))</f>
        <v/>
      </c>
      <c r="D149" s="81" t="str">
        <f t="shared" ca="1" si="12"/>
        <v/>
      </c>
      <c r="E149" s="82"/>
      <c r="F149" s="83" t="str">
        <f t="shared" si="13"/>
        <v/>
      </c>
      <c r="G149" s="23"/>
      <c r="H149" s="84"/>
      <c r="I149" s="85" t="str">
        <f>IF(A149="","Pending",IF(H149="","⚠️ Enter Code",IF(IFERROR(VLOOKUP(G149,DB_Agents!$B:$I,8,0),"")=H149,IF(AND(A149&lt;&gt;"",E149&lt;&gt;""),"Saved","Pending"),"🔒 BLOCKED — Wrong Code")))</f>
        <v>Pending</v>
      </c>
      <c r="J149" s="86" t="str">
        <f t="shared" ca="1" si="14"/>
        <v>—</v>
      </c>
      <c r="K149" s="87"/>
    </row>
    <row r="150" spans="1:11" x14ac:dyDescent="0.25">
      <c r="A150" s="88"/>
      <c r="B150" s="25" t="str">
        <f>IF(A150="","",IFERROR(VLOOKUP(A150,DB_Customers!$A:$D,4,0),"❌ Account Not Found"))</f>
        <v/>
      </c>
      <c r="C150" s="89" t="str">
        <f>IF(A150="","",IFERROR(VLOOKUP(A150,DB_Customers!$A:$N,14,0),""))</f>
        <v/>
      </c>
      <c r="D150" s="90" t="str">
        <f t="shared" ca="1" si="12"/>
        <v/>
      </c>
      <c r="E150" s="82"/>
      <c r="F150" s="91" t="str">
        <f t="shared" si="13"/>
        <v/>
      </c>
      <c r="G150" s="27"/>
      <c r="H150" s="84"/>
      <c r="I150" s="92" t="str">
        <f>IF(A150="","Pending",IF(H150="","⚠️ Enter Code",IF(IFERROR(VLOOKUP(G150,DB_Agents!$B:$I,8,0),"")=H150,IF(AND(A150&lt;&gt;"",E150&lt;&gt;""),"Saved","Pending"),"🔒 BLOCKED — Wrong Code")))</f>
        <v>Pending</v>
      </c>
      <c r="J150" s="93" t="str">
        <f t="shared" ca="1" si="14"/>
        <v>—</v>
      </c>
      <c r="K150" s="94"/>
    </row>
    <row r="151" spans="1:11" x14ac:dyDescent="0.25">
      <c r="A151" s="79"/>
      <c r="B151" s="21" t="str">
        <f>IF(A151="","",IFERROR(VLOOKUP(A151,DB_Customers!$A:$D,4,0),"❌ Account Not Found"))</f>
        <v/>
      </c>
      <c r="C151" s="80" t="str">
        <f>IF(A151="","",IFERROR(VLOOKUP(A151,DB_Customers!$A:$N,14,0),""))</f>
        <v/>
      </c>
      <c r="D151" s="81" t="str">
        <f t="shared" ca="1" si="12"/>
        <v/>
      </c>
      <c r="E151" s="82"/>
      <c r="F151" s="83" t="str">
        <f t="shared" si="13"/>
        <v/>
      </c>
      <c r="G151" s="23"/>
      <c r="H151" s="84"/>
      <c r="I151" s="85" t="str">
        <f>IF(A151="","Pending",IF(H151="","⚠️ Enter Code",IF(IFERROR(VLOOKUP(G151,DB_Agents!$B:$I,8,0),"")=H151,IF(AND(A151&lt;&gt;"",E151&lt;&gt;""),"Saved","Pending"),"🔒 BLOCKED — Wrong Code")))</f>
        <v>Pending</v>
      </c>
      <c r="J151" s="86" t="str">
        <f t="shared" ca="1" si="14"/>
        <v>—</v>
      </c>
      <c r="K151" s="87"/>
    </row>
    <row r="152" spans="1:11" x14ac:dyDescent="0.25">
      <c r="A152" s="88"/>
      <c r="B152" s="25" t="str">
        <f>IF(A152="","",IFERROR(VLOOKUP(A152,DB_Customers!$A:$D,4,0),"❌ Account Not Found"))</f>
        <v/>
      </c>
      <c r="C152" s="89" t="str">
        <f>IF(A152="","",IFERROR(VLOOKUP(A152,DB_Customers!$A:$N,14,0),""))</f>
        <v/>
      </c>
      <c r="D152" s="90" t="str">
        <f t="shared" ca="1" si="12"/>
        <v/>
      </c>
      <c r="E152" s="82"/>
      <c r="F152" s="91" t="str">
        <f t="shared" si="13"/>
        <v/>
      </c>
      <c r="G152" s="27"/>
      <c r="H152" s="84"/>
      <c r="I152" s="92" t="str">
        <f>IF(A152="","Pending",IF(H152="","⚠️ Enter Code",IF(IFERROR(VLOOKUP(G152,DB_Agents!$B:$I,8,0),"")=H152,IF(AND(A152&lt;&gt;"",E152&lt;&gt;""),"Saved","Pending"),"🔒 BLOCKED — Wrong Code")))</f>
        <v>Pending</v>
      </c>
      <c r="J152" s="93" t="str">
        <f t="shared" ca="1" si="14"/>
        <v>—</v>
      </c>
      <c r="K152" s="94"/>
    </row>
    <row r="153" spans="1:11" x14ac:dyDescent="0.25">
      <c r="A153" s="79"/>
      <c r="B153" s="21" t="str">
        <f>IF(A153="","",IFERROR(VLOOKUP(A153,DB_Customers!$A:$D,4,0),"❌ Account Not Found"))</f>
        <v/>
      </c>
      <c r="C153" s="80" t="str">
        <f>IF(A153="","",IFERROR(VLOOKUP(A153,DB_Customers!$A:$N,14,0),""))</f>
        <v/>
      </c>
      <c r="D153" s="81" t="str">
        <f t="shared" ca="1" si="12"/>
        <v/>
      </c>
      <c r="E153" s="82"/>
      <c r="F153" s="83" t="str">
        <f t="shared" si="13"/>
        <v/>
      </c>
      <c r="G153" s="23"/>
      <c r="H153" s="84"/>
      <c r="I153" s="85" t="str">
        <f>IF(A153="","Pending",IF(H153="","⚠️ Enter Code",IF(IFERROR(VLOOKUP(G153,DB_Agents!$B:$I,8,0),"")=H153,IF(AND(A153&lt;&gt;"",E153&lt;&gt;""),"Saved","Pending"),"🔒 BLOCKED — Wrong Code")))</f>
        <v>Pending</v>
      </c>
      <c r="J153" s="86" t="str">
        <f t="shared" ca="1" si="14"/>
        <v>—</v>
      </c>
      <c r="K153" s="87"/>
    </row>
    <row r="154" spans="1:11" x14ac:dyDescent="0.25">
      <c r="A154" s="88"/>
      <c r="B154" s="25" t="str">
        <f>IF(A154="","",IFERROR(VLOOKUP(A154,DB_Customers!$A:$D,4,0),"❌ Account Not Found"))</f>
        <v/>
      </c>
      <c r="C154" s="89" t="str">
        <f>IF(A154="","",IFERROR(VLOOKUP(A154,DB_Customers!$A:$N,14,0),""))</f>
        <v/>
      </c>
      <c r="D154" s="90" t="str">
        <f t="shared" ca="1" si="12"/>
        <v/>
      </c>
      <c r="E154" s="82"/>
      <c r="F154" s="91" t="str">
        <f t="shared" si="13"/>
        <v/>
      </c>
      <c r="G154" s="27"/>
      <c r="H154" s="84"/>
      <c r="I154" s="92" t="str">
        <f>IF(A154="","Pending",IF(H154="","⚠️ Enter Code",IF(IFERROR(VLOOKUP(G154,DB_Agents!$B:$I,8,0),"")=H154,IF(AND(A154&lt;&gt;"",E154&lt;&gt;""),"Saved","Pending"),"🔒 BLOCKED — Wrong Code")))</f>
        <v>Pending</v>
      </c>
      <c r="J154" s="93" t="str">
        <f t="shared" ca="1" si="14"/>
        <v>—</v>
      </c>
      <c r="K154" s="94"/>
    </row>
    <row r="155" spans="1:11" x14ac:dyDescent="0.25">
      <c r="A155" s="79"/>
      <c r="B155" s="21" t="str">
        <f>IF(A155="","",IFERROR(VLOOKUP(A155,DB_Customers!$A:$D,4,0),"❌ Account Not Found"))</f>
        <v/>
      </c>
      <c r="C155" s="80" t="str">
        <f>IF(A155="","",IFERROR(VLOOKUP(A155,DB_Customers!$A:$N,14,0),""))</f>
        <v/>
      </c>
      <c r="D155" s="81" t="str">
        <f t="shared" ca="1" si="12"/>
        <v/>
      </c>
      <c r="E155" s="82"/>
      <c r="F155" s="83" t="str">
        <f t="shared" si="13"/>
        <v/>
      </c>
      <c r="G155" s="23"/>
      <c r="H155" s="84"/>
      <c r="I155" s="85" t="str">
        <f>IF(A155="","Pending",IF(H155="","⚠️ Enter Code",IF(IFERROR(VLOOKUP(G155,DB_Agents!$B:$I,8,0),"")=H155,IF(AND(A155&lt;&gt;"",E155&lt;&gt;""),"Saved","Pending"),"🔒 BLOCKED — Wrong Code")))</f>
        <v>Pending</v>
      </c>
      <c r="J155" s="86" t="str">
        <f t="shared" ca="1" si="14"/>
        <v>—</v>
      </c>
      <c r="K155" s="87"/>
    </row>
    <row r="156" spans="1:11" x14ac:dyDescent="0.25">
      <c r="A156" s="88"/>
      <c r="B156" s="25" t="str">
        <f>IF(A156="","",IFERROR(VLOOKUP(A156,DB_Customers!$A:$D,4,0),"❌ Account Not Found"))</f>
        <v/>
      </c>
      <c r="C156" s="89" t="str">
        <f>IF(A156="","",IFERROR(VLOOKUP(A156,DB_Customers!$A:$N,14,0),""))</f>
        <v/>
      </c>
      <c r="D156" s="90" t="str">
        <f t="shared" ca="1" si="12"/>
        <v/>
      </c>
      <c r="E156" s="82"/>
      <c r="F156" s="91" t="str">
        <f t="shared" si="13"/>
        <v/>
      </c>
      <c r="G156" s="27"/>
      <c r="H156" s="84"/>
      <c r="I156" s="92" t="str">
        <f>IF(A156="","Pending",IF(H156="","⚠️ Enter Code",IF(IFERROR(VLOOKUP(G156,DB_Agents!$B:$I,8,0),"")=H156,IF(AND(A156&lt;&gt;"",E156&lt;&gt;""),"Saved","Pending"),"🔒 BLOCKED — Wrong Code")))</f>
        <v>Pending</v>
      </c>
      <c r="J156" s="93" t="str">
        <f t="shared" ca="1" si="14"/>
        <v>—</v>
      </c>
      <c r="K156" s="94"/>
    </row>
    <row r="157" spans="1:11" x14ac:dyDescent="0.25">
      <c r="A157" s="79"/>
      <c r="B157" s="21" t="str">
        <f>IF(A157="","",IFERROR(VLOOKUP(A157,DB_Customers!$A:$D,4,0),"❌ Account Not Found"))</f>
        <v/>
      </c>
      <c r="C157" s="80" t="str">
        <f>IF(A157="","",IFERROR(VLOOKUP(A157,DB_Customers!$A:$N,14,0),""))</f>
        <v/>
      </c>
      <c r="D157" s="81" t="str">
        <f t="shared" ca="1" si="12"/>
        <v/>
      </c>
      <c r="E157" s="82"/>
      <c r="F157" s="83" t="str">
        <f t="shared" si="13"/>
        <v/>
      </c>
      <c r="G157" s="23"/>
      <c r="H157" s="84"/>
      <c r="I157" s="85" t="str">
        <f>IF(A157="","Pending",IF(H157="","⚠️ Enter Code",IF(IFERROR(VLOOKUP(G157,DB_Agents!$B:$I,8,0),"")=H157,IF(AND(A157&lt;&gt;"",E157&lt;&gt;""),"Saved","Pending"),"🔒 BLOCKED — Wrong Code")))</f>
        <v>Pending</v>
      </c>
      <c r="J157" s="86" t="str">
        <f t="shared" ca="1" si="14"/>
        <v>—</v>
      </c>
      <c r="K157" s="87"/>
    </row>
    <row r="158" spans="1:11" x14ac:dyDescent="0.25">
      <c r="A158" s="88"/>
      <c r="B158" s="25" t="str">
        <f>IF(A158="","",IFERROR(VLOOKUP(A158,DB_Customers!$A:$D,4,0),"❌ Account Not Found"))</f>
        <v/>
      </c>
      <c r="C158" s="89" t="str">
        <f>IF(A158="","",IFERROR(VLOOKUP(A158,DB_Customers!$A:$N,14,0),""))</f>
        <v/>
      </c>
      <c r="D158" s="90" t="str">
        <f t="shared" ca="1" si="12"/>
        <v/>
      </c>
      <c r="E158" s="82"/>
      <c r="F158" s="91" t="str">
        <f t="shared" si="13"/>
        <v/>
      </c>
      <c r="G158" s="27"/>
      <c r="H158" s="84"/>
      <c r="I158" s="92" t="str">
        <f>IF(A158="","Pending",IF(H158="","⚠️ Enter Code",IF(IFERROR(VLOOKUP(G158,DB_Agents!$B:$I,8,0),"")=H158,IF(AND(A158&lt;&gt;"",E158&lt;&gt;""),"Saved","Pending"),"🔒 BLOCKED — Wrong Code")))</f>
        <v>Pending</v>
      </c>
      <c r="J158" s="93" t="str">
        <f t="shared" ca="1" si="14"/>
        <v>—</v>
      </c>
      <c r="K158" s="94"/>
    </row>
    <row r="159" spans="1:11" x14ac:dyDescent="0.25">
      <c r="A159" s="79"/>
      <c r="B159" s="21" t="str">
        <f>IF(A159="","",IFERROR(VLOOKUP(A159,DB_Customers!$A:$D,4,0),"❌ Account Not Found"))</f>
        <v/>
      </c>
      <c r="C159" s="80" t="str">
        <f>IF(A159="","",IFERROR(VLOOKUP(A159,DB_Customers!$A:$N,14,0),""))</f>
        <v/>
      </c>
      <c r="D159" s="81" t="str">
        <f t="shared" ca="1" si="12"/>
        <v/>
      </c>
      <c r="E159" s="82"/>
      <c r="F159" s="83" t="str">
        <f t="shared" si="13"/>
        <v/>
      </c>
      <c r="G159" s="23"/>
      <c r="H159" s="84"/>
      <c r="I159" s="85" t="str">
        <f>IF(A159="","Pending",IF(H159="","⚠️ Enter Code",IF(IFERROR(VLOOKUP(G159,DB_Agents!$B:$I,8,0),"")=H159,IF(AND(A159&lt;&gt;"",E159&lt;&gt;""),"Saved","Pending"),"🔒 BLOCKED — Wrong Code")))</f>
        <v>Pending</v>
      </c>
      <c r="J159" s="86" t="str">
        <f t="shared" ca="1" si="14"/>
        <v>—</v>
      </c>
      <c r="K159" s="87"/>
    </row>
    <row r="160" spans="1:11" x14ac:dyDescent="0.25">
      <c r="A160" s="88"/>
      <c r="B160" s="25" t="str">
        <f>IF(A160="","",IFERROR(VLOOKUP(A160,DB_Customers!$A:$D,4,0),"❌ Account Not Found"))</f>
        <v/>
      </c>
      <c r="C160" s="89" t="str">
        <f>IF(A160="","",IFERROR(VLOOKUP(A160,DB_Customers!$A:$N,14,0),""))</f>
        <v/>
      </c>
      <c r="D160" s="90" t="str">
        <f t="shared" ca="1" si="12"/>
        <v/>
      </c>
      <c r="E160" s="82"/>
      <c r="F160" s="91" t="str">
        <f t="shared" si="13"/>
        <v/>
      </c>
      <c r="G160" s="27"/>
      <c r="H160" s="84"/>
      <c r="I160" s="92" t="str">
        <f>IF(A160="","Pending",IF(H160="","⚠️ Enter Code",IF(IFERROR(VLOOKUP(G160,DB_Agents!$B:$I,8,0),"")=H160,IF(AND(A160&lt;&gt;"",E160&lt;&gt;""),"Saved","Pending"),"🔒 BLOCKED — Wrong Code")))</f>
        <v>Pending</v>
      </c>
      <c r="J160" s="93" t="str">
        <f t="shared" ca="1" si="14"/>
        <v>—</v>
      </c>
      <c r="K160" s="94"/>
    </row>
    <row r="161" spans="1:11" x14ac:dyDescent="0.25">
      <c r="A161" s="79"/>
      <c r="B161" s="21" t="str">
        <f>IF(A161="","",IFERROR(VLOOKUP(A161,DB_Customers!$A:$D,4,0),"❌ Account Not Found"))</f>
        <v/>
      </c>
      <c r="C161" s="80" t="str">
        <f>IF(A161="","",IFERROR(VLOOKUP(A161,DB_Customers!$A:$N,14,0),""))</f>
        <v/>
      </c>
      <c r="D161" s="81" t="str">
        <f t="shared" ca="1" si="12"/>
        <v/>
      </c>
      <c r="E161" s="82"/>
      <c r="F161" s="83" t="str">
        <f t="shared" si="13"/>
        <v/>
      </c>
      <c r="G161" s="23"/>
      <c r="H161" s="84"/>
      <c r="I161" s="85" t="str">
        <f>IF(A161="","Pending",IF(H161="","⚠️ Enter Code",IF(IFERROR(VLOOKUP(G161,DB_Agents!$B:$I,8,0),"")=H161,IF(AND(A161&lt;&gt;"",E161&lt;&gt;""),"Saved","Pending"),"🔒 BLOCKED — Wrong Code")))</f>
        <v>Pending</v>
      </c>
      <c r="J161" s="86" t="str">
        <f t="shared" ca="1" si="14"/>
        <v>—</v>
      </c>
      <c r="K161" s="87"/>
    </row>
    <row r="162" spans="1:11" x14ac:dyDescent="0.25">
      <c r="A162" s="88"/>
      <c r="B162" s="25" t="str">
        <f>IF(A162="","",IFERROR(VLOOKUP(A162,DB_Customers!$A:$D,4,0),"❌ Account Not Found"))</f>
        <v/>
      </c>
      <c r="C162" s="89" t="str">
        <f>IF(A162="","",IFERROR(VLOOKUP(A162,DB_Customers!$A:$N,14,0),""))</f>
        <v/>
      </c>
      <c r="D162" s="90" t="str">
        <f t="shared" ca="1" si="12"/>
        <v/>
      </c>
      <c r="E162" s="82"/>
      <c r="F162" s="91" t="str">
        <f t="shared" si="13"/>
        <v/>
      </c>
      <c r="G162" s="27"/>
      <c r="H162" s="84"/>
      <c r="I162" s="92" t="str">
        <f>IF(A162="","Pending",IF(H162="","⚠️ Enter Code",IF(IFERROR(VLOOKUP(G162,DB_Agents!$B:$I,8,0),"")=H162,IF(AND(A162&lt;&gt;"",E162&lt;&gt;""),"Saved","Pending"),"🔒 BLOCKED — Wrong Code")))</f>
        <v>Pending</v>
      </c>
      <c r="J162" s="93" t="str">
        <f t="shared" ca="1" si="14"/>
        <v>—</v>
      </c>
      <c r="K162" s="94"/>
    </row>
    <row r="163" spans="1:11" x14ac:dyDescent="0.25">
      <c r="A163" s="79"/>
      <c r="B163" s="21" t="str">
        <f>IF(A163="","",IFERROR(VLOOKUP(A163,DB_Customers!$A:$D,4,0),"❌ Account Not Found"))</f>
        <v/>
      </c>
      <c r="C163" s="80" t="str">
        <f>IF(A163="","",IFERROR(VLOOKUP(A163,DB_Customers!$A:$N,14,0),""))</f>
        <v/>
      </c>
      <c r="D163" s="81" t="str">
        <f t="shared" ca="1" si="12"/>
        <v/>
      </c>
      <c r="E163" s="82"/>
      <c r="F163" s="83" t="str">
        <f t="shared" si="13"/>
        <v/>
      </c>
      <c r="G163" s="23"/>
      <c r="H163" s="84"/>
      <c r="I163" s="85" t="str">
        <f>IF(A163="","Pending",IF(H163="","⚠️ Enter Code",IF(IFERROR(VLOOKUP(G163,DB_Agents!$B:$I,8,0),"")=H163,IF(AND(A163&lt;&gt;"",E163&lt;&gt;""),"Saved","Pending"),"🔒 BLOCKED — Wrong Code")))</f>
        <v>Pending</v>
      </c>
      <c r="J163" s="86" t="str">
        <f t="shared" ca="1" si="14"/>
        <v>—</v>
      </c>
      <c r="K163" s="87"/>
    </row>
    <row r="164" spans="1:11" x14ac:dyDescent="0.25">
      <c r="A164" s="88"/>
      <c r="B164" s="25" t="str">
        <f>IF(A164="","",IFERROR(VLOOKUP(A164,DB_Customers!$A:$D,4,0),"❌ Account Not Found"))</f>
        <v/>
      </c>
      <c r="C164" s="89" t="str">
        <f>IF(A164="","",IFERROR(VLOOKUP(A164,DB_Customers!$A:$N,14,0),""))</f>
        <v/>
      </c>
      <c r="D164" s="90" t="str">
        <f t="shared" ca="1" si="12"/>
        <v/>
      </c>
      <c r="E164" s="82"/>
      <c r="F164" s="91" t="str">
        <f t="shared" si="13"/>
        <v/>
      </c>
      <c r="G164" s="27"/>
      <c r="H164" s="84"/>
      <c r="I164" s="92" t="str">
        <f>IF(A164="","Pending",IF(H164="","⚠️ Enter Code",IF(IFERROR(VLOOKUP(G164,DB_Agents!$B:$I,8,0),"")=H164,IF(AND(A164&lt;&gt;"",E164&lt;&gt;""),"Saved","Pending"),"🔒 BLOCKED — Wrong Code")))</f>
        <v>Pending</v>
      </c>
      <c r="J164" s="93" t="str">
        <f t="shared" ca="1" si="14"/>
        <v>—</v>
      </c>
      <c r="K164" s="94"/>
    </row>
    <row r="165" spans="1:11" x14ac:dyDescent="0.25">
      <c r="A165" s="79"/>
      <c r="B165" s="21" t="str">
        <f>IF(A165="","",IFERROR(VLOOKUP(A165,DB_Customers!$A:$D,4,0),"❌ Account Not Found"))</f>
        <v/>
      </c>
      <c r="C165" s="80" t="str">
        <f>IF(A165="","",IFERROR(VLOOKUP(A165,DB_Customers!$A:$N,14,0),""))</f>
        <v/>
      </c>
      <c r="D165" s="81" t="str">
        <f t="shared" ca="1" si="12"/>
        <v/>
      </c>
      <c r="E165" s="82"/>
      <c r="F165" s="83" t="str">
        <f t="shared" si="13"/>
        <v/>
      </c>
      <c r="G165" s="23"/>
      <c r="H165" s="84"/>
      <c r="I165" s="85" t="str">
        <f>IF(A165="","Pending",IF(H165="","⚠️ Enter Code",IF(IFERROR(VLOOKUP(G165,DB_Agents!$B:$I,8,0),"")=H165,IF(AND(A165&lt;&gt;"",E165&lt;&gt;""),"Saved","Pending"),"🔒 BLOCKED — Wrong Code")))</f>
        <v>Pending</v>
      </c>
      <c r="J165" s="86" t="str">
        <f t="shared" ca="1" si="14"/>
        <v>—</v>
      </c>
      <c r="K165" s="87"/>
    </row>
    <row r="166" spans="1:11" x14ac:dyDescent="0.25">
      <c r="A166" s="88"/>
      <c r="B166" s="25" t="str">
        <f>IF(A166="","",IFERROR(VLOOKUP(A166,DB_Customers!$A:$D,4,0),"❌ Account Not Found"))</f>
        <v/>
      </c>
      <c r="C166" s="89" t="str">
        <f>IF(A166="","",IFERROR(VLOOKUP(A166,DB_Customers!$A:$N,14,0),""))</f>
        <v/>
      </c>
      <c r="D166" s="90" t="str">
        <f t="shared" ca="1" si="12"/>
        <v/>
      </c>
      <c r="E166" s="82"/>
      <c r="F166" s="91" t="str">
        <f t="shared" si="13"/>
        <v/>
      </c>
      <c r="G166" s="27"/>
      <c r="H166" s="84"/>
      <c r="I166" s="92" t="str">
        <f>IF(A166="","Pending",IF(H166="","⚠️ Enter Code",IF(IFERROR(VLOOKUP(G166,DB_Agents!$B:$I,8,0),"")=H166,IF(AND(A166&lt;&gt;"",E166&lt;&gt;""),"Saved","Pending"),"🔒 BLOCKED — Wrong Code")))</f>
        <v>Pending</v>
      </c>
      <c r="J166" s="93" t="str">
        <f t="shared" ca="1" si="14"/>
        <v>—</v>
      </c>
      <c r="K166" s="94"/>
    </row>
    <row r="167" spans="1:11" x14ac:dyDescent="0.25">
      <c r="A167" s="79"/>
      <c r="B167" s="21" t="str">
        <f>IF(A167="","",IFERROR(VLOOKUP(A167,DB_Customers!$A:$D,4,0),"❌ Account Not Found"))</f>
        <v/>
      </c>
      <c r="C167" s="80" t="str">
        <f>IF(A167="","",IFERROR(VLOOKUP(A167,DB_Customers!$A:$N,14,0),""))</f>
        <v/>
      </c>
      <c r="D167" s="81" t="str">
        <f t="shared" ca="1" si="12"/>
        <v/>
      </c>
      <c r="E167" s="82"/>
      <c r="F167" s="83" t="str">
        <f t="shared" si="13"/>
        <v/>
      </c>
      <c r="G167" s="23"/>
      <c r="H167" s="84"/>
      <c r="I167" s="85" t="str">
        <f>IF(A167="","Pending",IF(H167="","⚠️ Enter Code",IF(IFERROR(VLOOKUP(G167,DB_Agents!$B:$I,8,0),"")=H167,IF(AND(A167&lt;&gt;"",E167&lt;&gt;""),"Saved","Pending"),"🔒 BLOCKED — Wrong Code")))</f>
        <v>Pending</v>
      </c>
      <c r="J167" s="86" t="str">
        <f t="shared" ca="1" si="14"/>
        <v>—</v>
      </c>
      <c r="K167" s="87"/>
    </row>
    <row r="168" spans="1:11" x14ac:dyDescent="0.25">
      <c r="A168" s="88"/>
      <c r="B168" s="25" t="str">
        <f>IF(A168="","",IFERROR(VLOOKUP(A168,DB_Customers!$A:$D,4,0),"❌ Account Not Found"))</f>
        <v/>
      </c>
      <c r="C168" s="89" t="str">
        <f>IF(A168="","",IFERROR(VLOOKUP(A168,DB_Customers!$A:$N,14,0),""))</f>
        <v/>
      </c>
      <c r="D168" s="90" t="str">
        <f t="shared" ca="1" si="12"/>
        <v/>
      </c>
      <c r="E168" s="82"/>
      <c r="F168" s="91" t="str">
        <f t="shared" si="13"/>
        <v/>
      </c>
      <c r="G168" s="27"/>
      <c r="H168" s="84"/>
      <c r="I168" s="92" t="str">
        <f>IF(A168="","Pending",IF(H168="","⚠️ Enter Code",IF(IFERROR(VLOOKUP(G168,DB_Agents!$B:$I,8,0),"")=H168,IF(AND(A168&lt;&gt;"",E168&lt;&gt;""),"Saved","Pending"),"🔒 BLOCKED — Wrong Code")))</f>
        <v>Pending</v>
      </c>
      <c r="J168" s="93" t="str">
        <f t="shared" ca="1" si="14"/>
        <v>—</v>
      </c>
      <c r="K168" s="94"/>
    </row>
    <row r="169" spans="1:11" x14ac:dyDescent="0.25">
      <c r="A169" s="79"/>
      <c r="B169" s="21" t="str">
        <f>IF(A169="","",IFERROR(VLOOKUP(A169,DB_Customers!$A:$D,4,0),"❌ Account Not Found"))</f>
        <v/>
      </c>
      <c r="C169" s="80" t="str">
        <f>IF(A169="","",IFERROR(VLOOKUP(A169,DB_Customers!$A:$N,14,0),""))</f>
        <v/>
      </c>
      <c r="D169" s="81" t="str">
        <f t="shared" ref="D169:D200" ca="1" si="15">IF(A169="","",TODAY())</f>
        <v/>
      </c>
      <c r="E169" s="82"/>
      <c r="F169" s="83" t="str">
        <f t="shared" ref="F169:F200" si="16">IF(OR(A169="",E169=""),"",IF(C169="","",C169+E169))</f>
        <v/>
      </c>
      <c r="G169" s="23"/>
      <c r="H169" s="84"/>
      <c r="I169" s="85" t="str">
        <f>IF(A169="","Pending",IF(H169="","⚠️ Enter Code",IF(IFERROR(VLOOKUP(G169,DB_Agents!$B:$I,8,0),"")=H169,IF(AND(A169&lt;&gt;"",E169&lt;&gt;""),"Saved","Pending"),"🔒 BLOCKED — Wrong Code")))</f>
        <v>Pending</v>
      </c>
      <c r="J169" s="86" t="str">
        <f t="shared" ref="J169:J200" ca="1" si="17">IF(I169="Saved",TEXT(TODAY(),"YYYY-MM-DD")&amp;" Auto","—")</f>
        <v>—</v>
      </c>
      <c r="K169" s="87"/>
    </row>
    <row r="170" spans="1:11" x14ac:dyDescent="0.25">
      <c r="A170" s="88"/>
      <c r="B170" s="25" t="str">
        <f>IF(A170="","",IFERROR(VLOOKUP(A170,DB_Customers!$A:$D,4,0),"❌ Account Not Found"))</f>
        <v/>
      </c>
      <c r="C170" s="89" t="str">
        <f>IF(A170="","",IFERROR(VLOOKUP(A170,DB_Customers!$A:$N,14,0),""))</f>
        <v/>
      </c>
      <c r="D170" s="90" t="str">
        <f t="shared" ca="1" si="15"/>
        <v/>
      </c>
      <c r="E170" s="82"/>
      <c r="F170" s="91" t="str">
        <f t="shared" si="16"/>
        <v/>
      </c>
      <c r="G170" s="27"/>
      <c r="H170" s="84"/>
      <c r="I170" s="92" t="str">
        <f>IF(A170="","Pending",IF(H170="","⚠️ Enter Code",IF(IFERROR(VLOOKUP(G170,DB_Agents!$B:$I,8,0),"")=H170,IF(AND(A170&lt;&gt;"",E170&lt;&gt;""),"Saved","Pending"),"🔒 BLOCKED — Wrong Code")))</f>
        <v>Pending</v>
      </c>
      <c r="J170" s="93" t="str">
        <f t="shared" ca="1" si="17"/>
        <v>—</v>
      </c>
      <c r="K170" s="94"/>
    </row>
    <row r="171" spans="1:11" x14ac:dyDescent="0.25">
      <c r="A171" s="79"/>
      <c r="B171" s="21" t="str">
        <f>IF(A171="","",IFERROR(VLOOKUP(A171,DB_Customers!$A:$D,4,0),"❌ Account Not Found"))</f>
        <v/>
      </c>
      <c r="C171" s="80" t="str">
        <f>IF(A171="","",IFERROR(VLOOKUP(A171,DB_Customers!$A:$N,14,0),""))</f>
        <v/>
      </c>
      <c r="D171" s="81" t="str">
        <f t="shared" ca="1" si="15"/>
        <v/>
      </c>
      <c r="E171" s="82"/>
      <c r="F171" s="83" t="str">
        <f t="shared" si="16"/>
        <v/>
      </c>
      <c r="G171" s="23"/>
      <c r="H171" s="84"/>
      <c r="I171" s="85" t="str">
        <f>IF(A171="","Pending",IF(H171="","⚠️ Enter Code",IF(IFERROR(VLOOKUP(G171,DB_Agents!$B:$I,8,0),"")=H171,IF(AND(A171&lt;&gt;"",E171&lt;&gt;""),"Saved","Pending"),"🔒 BLOCKED — Wrong Code")))</f>
        <v>Pending</v>
      </c>
      <c r="J171" s="86" t="str">
        <f t="shared" ca="1" si="17"/>
        <v>—</v>
      </c>
      <c r="K171" s="87"/>
    </row>
    <row r="172" spans="1:11" x14ac:dyDescent="0.25">
      <c r="A172" s="88"/>
      <c r="B172" s="25" t="str">
        <f>IF(A172="","",IFERROR(VLOOKUP(A172,DB_Customers!$A:$D,4,0),"❌ Account Not Found"))</f>
        <v/>
      </c>
      <c r="C172" s="89" t="str">
        <f>IF(A172="","",IFERROR(VLOOKUP(A172,DB_Customers!$A:$N,14,0),""))</f>
        <v/>
      </c>
      <c r="D172" s="90" t="str">
        <f t="shared" ca="1" si="15"/>
        <v/>
      </c>
      <c r="E172" s="82"/>
      <c r="F172" s="91" t="str">
        <f t="shared" si="16"/>
        <v/>
      </c>
      <c r="G172" s="27"/>
      <c r="H172" s="84"/>
      <c r="I172" s="92" t="str">
        <f>IF(A172="","Pending",IF(H172="","⚠️ Enter Code",IF(IFERROR(VLOOKUP(G172,DB_Agents!$B:$I,8,0),"")=H172,IF(AND(A172&lt;&gt;"",E172&lt;&gt;""),"Saved","Pending"),"🔒 BLOCKED — Wrong Code")))</f>
        <v>Pending</v>
      </c>
      <c r="J172" s="93" t="str">
        <f t="shared" ca="1" si="17"/>
        <v>—</v>
      </c>
      <c r="K172" s="94"/>
    </row>
    <row r="173" spans="1:11" x14ac:dyDescent="0.25">
      <c r="A173" s="79"/>
      <c r="B173" s="21" t="str">
        <f>IF(A173="","",IFERROR(VLOOKUP(A173,DB_Customers!$A:$D,4,0),"❌ Account Not Found"))</f>
        <v/>
      </c>
      <c r="C173" s="80" t="str">
        <f>IF(A173="","",IFERROR(VLOOKUP(A173,DB_Customers!$A:$N,14,0),""))</f>
        <v/>
      </c>
      <c r="D173" s="81" t="str">
        <f t="shared" ca="1" si="15"/>
        <v/>
      </c>
      <c r="E173" s="82"/>
      <c r="F173" s="83" t="str">
        <f t="shared" si="16"/>
        <v/>
      </c>
      <c r="G173" s="23"/>
      <c r="H173" s="84"/>
      <c r="I173" s="85" t="str">
        <f>IF(A173="","Pending",IF(H173="","⚠️ Enter Code",IF(IFERROR(VLOOKUP(G173,DB_Agents!$B:$I,8,0),"")=H173,IF(AND(A173&lt;&gt;"",E173&lt;&gt;""),"Saved","Pending"),"🔒 BLOCKED — Wrong Code")))</f>
        <v>Pending</v>
      </c>
      <c r="J173" s="86" t="str">
        <f t="shared" ca="1" si="17"/>
        <v>—</v>
      </c>
      <c r="K173" s="87"/>
    </row>
    <row r="174" spans="1:11" x14ac:dyDescent="0.25">
      <c r="A174" s="88"/>
      <c r="B174" s="25" t="str">
        <f>IF(A174="","",IFERROR(VLOOKUP(A174,DB_Customers!$A:$D,4,0),"❌ Account Not Found"))</f>
        <v/>
      </c>
      <c r="C174" s="89" t="str">
        <f>IF(A174="","",IFERROR(VLOOKUP(A174,DB_Customers!$A:$N,14,0),""))</f>
        <v/>
      </c>
      <c r="D174" s="90" t="str">
        <f t="shared" ca="1" si="15"/>
        <v/>
      </c>
      <c r="E174" s="82"/>
      <c r="F174" s="91" t="str">
        <f t="shared" si="16"/>
        <v/>
      </c>
      <c r="G174" s="27"/>
      <c r="H174" s="84"/>
      <c r="I174" s="92" t="str">
        <f>IF(A174="","Pending",IF(H174="","⚠️ Enter Code",IF(IFERROR(VLOOKUP(G174,DB_Agents!$B:$I,8,0),"")=H174,IF(AND(A174&lt;&gt;"",E174&lt;&gt;""),"Saved","Pending"),"🔒 BLOCKED — Wrong Code")))</f>
        <v>Pending</v>
      </c>
      <c r="J174" s="93" t="str">
        <f t="shared" ca="1" si="17"/>
        <v>—</v>
      </c>
      <c r="K174" s="94"/>
    </row>
    <row r="175" spans="1:11" x14ac:dyDescent="0.25">
      <c r="A175" s="79"/>
      <c r="B175" s="21" t="str">
        <f>IF(A175="","",IFERROR(VLOOKUP(A175,DB_Customers!$A:$D,4,0),"❌ Account Not Found"))</f>
        <v/>
      </c>
      <c r="C175" s="80" t="str">
        <f>IF(A175="","",IFERROR(VLOOKUP(A175,DB_Customers!$A:$N,14,0),""))</f>
        <v/>
      </c>
      <c r="D175" s="81" t="str">
        <f t="shared" ca="1" si="15"/>
        <v/>
      </c>
      <c r="E175" s="82"/>
      <c r="F175" s="83" t="str">
        <f t="shared" si="16"/>
        <v/>
      </c>
      <c r="G175" s="23"/>
      <c r="H175" s="84"/>
      <c r="I175" s="85" t="str">
        <f>IF(A175="","Pending",IF(H175="","⚠️ Enter Code",IF(IFERROR(VLOOKUP(G175,DB_Agents!$B:$I,8,0),"")=H175,IF(AND(A175&lt;&gt;"",E175&lt;&gt;""),"Saved","Pending"),"🔒 BLOCKED — Wrong Code")))</f>
        <v>Pending</v>
      </c>
      <c r="J175" s="86" t="str">
        <f t="shared" ca="1" si="17"/>
        <v>—</v>
      </c>
      <c r="K175" s="87"/>
    </row>
    <row r="176" spans="1:11" x14ac:dyDescent="0.25">
      <c r="A176" s="88"/>
      <c r="B176" s="25" t="str">
        <f>IF(A176="","",IFERROR(VLOOKUP(A176,DB_Customers!$A:$D,4,0),"❌ Account Not Found"))</f>
        <v/>
      </c>
      <c r="C176" s="89" t="str">
        <f>IF(A176="","",IFERROR(VLOOKUP(A176,DB_Customers!$A:$N,14,0),""))</f>
        <v/>
      </c>
      <c r="D176" s="90" t="str">
        <f t="shared" ca="1" si="15"/>
        <v/>
      </c>
      <c r="E176" s="82"/>
      <c r="F176" s="91" t="str">
        <f t="shared" si="16"/>
        <v/>
      </c>
      <c r="G176" s="27"/>
      <c r="H176" s="84"/>
      <c r="I176" s="92" t="str">
        <f>IF(A176="","Pending",IF(H176="","⚠️ Enter Code",IF(IFERROR(VLOOKUP(G176,DB_Agents!$B:$I,8,0),"")=H176,IF(AND(A176&lt;&gt;"",E176&lt;&gt;""),"Saved","Pending"),"🔒 BLOCKED — Wrong Code")))</f>
        <v>Pending</v>
      </c>
      <c r="J176" s="93" t="str">
        <f t="shared" ca="1" si="17"/>
        <v>—</v>
      </c>
      <c r="K176" s="94"/>
    </row>
    <row r="177" spans="1:11" x14ac:dyDescent="0.25">
      <c r="A177" s="79"/>
      <c r="B177" s="21" t="str">
        <f>IF(A177="","",IFERROR(VLOOKUP(A177,DB_Customers!$A:$D,4,0),"❌ Account Not Found"))</f>
        <v/>
      </c>
      <c r="C177" s="80" t="str">
        <f>IF(A177="","",IFERROR(VLOOKUP(A177,DB_Customers!$A:$N,14,0),""))</f>
        <v/>
      </c>
      <c r="D177" s="81" t="str">
        <f t="shared" ca="1" si="15"/>
        <v/>
      </c>
      <c r="E177" s="82"/>
      <c r="F177" s="83" t="str">
        <f t="shared" si="16"/>
        <v/>
      </c>
      <c r="G177" s="23"/>
      <c r="H177" s="84"/>
      <c r="I177" s="85" t="str">
        <f>IF(A177="","Pending",IF(H177="","⚠️ Enter Code",IF(IFERROR(VLOOKUP(G177,DB_Agents!$B:$I,8,0),"")=H177,IF(AND(A177&lt;&gt;"",E177&lt;&gt;""),"Saved","Pending"),"🔒 BLOCKED — Wrong Code")))</f>
        <v>Pending</v>
      </c>
      <c r="J177" s="86" t="str">
        <f t="shared" ca="1" si="17"/>
        <v>—</v>
      </c>
      <c r="K177" s="87"/>
    </row>
    <row r="178" spans="1:11" x14ac:dyDescent="0.25">
      <c r="A178" s="88"/>
      <c r="B178" s="25" t="str">
        <f>IF(A178="","",IFERROR(VLOOKUP(A178,DB_Customers!$A:$D,4,0),"❌ Account Not Found"))</f>
        <v/>
      </c>
      <c r="C178" s="89" t="str">
        <f>IF(A178="","",IFERROR(VLOOKUP(A178,DB_Customers!$A:$N,14,0),""))</f>
        <v/>
      </c>
      <c r="D178" s="90" t="str">
        <f t="shared" ca="1" si="15"/>
        <v/>
      </c>
      <c r="E178" s="82"/>
      <c r="F178" s="91" t="str">
        <f t="shared" si="16"/>
        <v/>
      </c>
      <c r="G178" s="27"/>
      <c r="H178" s="84"/>
      <c r="I178" s="92" t="str">
        <f>IF(A178="","Pending",IF(H178="","⚠️ Enter Code",IF(IFERROR(VLOOKUP(G178,DB_Agents!$B:$I,8,0),"")=H178,IF(AND(A178&lt;&gt;"",E178&lt;&gt;""),"Saved","Pending"),"🔒 BLOCKED — Wrong Code")))</f>
        <v>Pending</v>
      </c>
      <c r="J178" s="93" t="str">
        <f t="shared" ca="1" si="17"/>
        <v>—</v>
      </c>
      <c r="K178" s="94"/>
    </row>
    <row r="179" spans="1:11" x14ac:dyDescent="0.25">
      <c r="A179" s="79"/>
      <c r="B179" s="21" t="str">
        <f>IF(A179="","",IFERROR(VLOOKUP(A179,DB_Customers!$A:$D,4,0),"❌ Account Not Found"))</f>
        <v/>
      </c>
      <c r="C179" s="80" t="str">
        <f>IF(A179="","",IFERROR(VLOOKUP(A179,DB_Customers!$A:$N,14,0),""))</f>
        <v/>
      </c>
      <c r="D179" s="81" t="str">
        <f t="shared" ca="1" si="15"/>
        <v/>
      </c>
      <c r="E179" s="82"/>
      <c r="F179" s="83" t="str">
        <f t="shared" si="16"/>
        <v/>
      </c>
      <c r="G179" s="23"/>
      <c r="H179" s="84"/>
      <c r="I179" s="85" t="str">
        <f>IF(A179="","Pending",IF(H179="","⚠️ Enter Code",IF(IFERROR(VLOOKUP(G179,DB_Agents!$B:$I,8,0),"")=H179,IF(AND(A179&lt;&gt;"",E179&lt;&gt;""),"Saved","Pending"),"🔒 BLOCKED — Wrong Code")))</f>
        <v>Pending</v>
      </c>
      <c r="J179" s="86" t="str">
        <f t="shared" ca="1" si="17"/>
        <v>—</v>
      </c>
      <c r="K179" s="87"/>
    </row>
    <row r="180" spans="1:11" x14ac:dyDescent="0.25">
      <c r="A180" s="88"/>
      <c r="B180" s="25" t="str">
        <f>IF(A180="","",IFERROR(VLOOKUP(A180,DB_Customers!$A:$D,4,0),"❌ Account Not Found"))</f>
        <v/>
      </c>
      <c r="C180" s="89" t="str">
        <f>IF(A180="","",IFERROR(VLOOKUP(A180,DB_Customers!$A:$N,14,0),""))</f>
        <v/>
      </c>
      <c r="D180" s="90" t="str">
        <f t="shared" ca="1" si="15"/>
        <v/>
      </c>
      <c r="E180" s="82"/>
      <c r="F180" s="91" t="str">
        <f t="shared" si="16"/>
        <v/>
      </c>
      <c r="G180" s="27"/>
      <c r="H180" s="84"/>
      <c r="I180" s="92" t="str">
        <f>IF(A180="","Pending",IF(H180="","⚠️ Enter Code",IF(IFERROR(VLOOKUP(G180,DB_Agents!$B:$I,8,0),"")=H180,IF(AND(A180&lt;&gt;"",E180&lt;&gt;""),"Saved","Pending"),"🔒 BLOCKED — Wrong Code")))</f>
        <v>Pending</v>
      </c>
      <c r="J180" s="93" t="str">
        <f t="shared" ca="1" si="17"/>
        <v>—</v>
      </c>
      <c r="K180" s="94"/>
    </row>
    <row r="181" spans="1:11" x14ac:dyDescent="0.25">
      <c r="A181" s="79"/>
      <c r="B181" s="21" t="str">
        <f>IF(A181="","",IFERROR(VLOOKUP(A181,DB_Customers!$A:$D,4,0),"❌ Account Not Found"))</f>
        <v/>
      </c>
      <c r="C181" s="80" t="str">
        <f>IF(A181="","",IFERROR(VLOOKUP(A181,DB_Customers!$A:$N,14,0),""))</f>
        <v/>
      </c>
      <c r="D181" s="81" t="str">
        <f t="shared" ca="1" si="15"/>
        <v/>
      </c>
      <c r="E181" s="82"/>
      <c r="F181" s="83" t="str">
        <f t="shared" si="16"/>
        <v/>
      </c>
      <c r="G181" s="23"/>
      <c r="H181" s="84"/>
      <c r="I181" s="85" t="str">
        <f>IF(A181="","Pending",IF(H181="","⚠️ Enter Code",IF(IFERROR(VLOOKUP(G181,DB_Agents!$B:$I,8,0),"")=H181,IF(AND(A181&lt;&gt;"",E181&lt;&gt;""),"Saved","Pending"),"🔒 BLOCKED — Wrong Code")))</f>
        <v>Pending</v>
      </c>
      <c r="J181" s="86" t="str">
        <f t="shared" ca="1" si="17"/>
        <v>—</v>
      </c>
      <c r="K181" s="87"/>
    </row>
    <row r="182" spans="1:11" x14ac:dyDescent="0.25">
      <c r="A182" s="88"/>
      <c r="B182" s="25" t="str">
        <f>IF(A182="","",IFERROR(VLOOKUP(A182,DB_Customers!$A:$D,4,0),"❌ Account Not Found"))</f>
        <v/>
      </c>
      <c r="C182" s="89" t="str">
        <f>IF(A182="","",IFERROR(VLOOKUP(A182,DB_Customers!$A:$N,14,0),""))</f>
        <v/>
      </c>
      <c r="D182" s="90" t="str">
        <f t="shared" ca="1" si="15"/>
        <v/>
      </c>
      <c r="E182" s="82"/>
      <c r="F182" s="91" t="str">
        <f t="shared" si="16"/>
        <v/>
      </c>
      <c r="G182" s="27"/>
      <c r="H182" s="84"/>
      <c r="I182" s="92" t="str">
        <f>IF(A182="","Pending",IF(H182="","⚠️ Enter Code",IF(IFERROR(VLOOKUP(G182,DB_Agents!$B:$I,8,0),"")=H182,IF(AND(A182&lt;&gt;"",E182&lt;&gt;""),"Saved","Pending"),"🔒 BLOCKED — Wrong Code")))</f>
        <v>Pending</v>
      </c>
      <c r="J182" s="93" t="str">
        <f t="shared" ca="1" si="17"/>
        <v>—</v>
      </c>
      <c r="K182" s="94"/>
    </row>
    <row r="183" spans="1:11" x14ac:dyDescent="0.25">
      <c r="A183" s="79"/>
      <c r="B183" s="21" t="str">
        <f>IF(A183="","",IFERROR(VLOOKUP(A183,DB_Customers!$A:$D,4,0),"❌ Account Not Found"))</f>
        <v/>
      </c>
      <c r="C183" s="80" t="str">
        <f>IF(A183="","",IFERROR(VLOOKUP(A183,DB_Customers!$A:$N,14,0),""))</f>
        <v/>
      </c>
      <c r="D183" s="81" t="str">
        <f t="shared" ca="1" si="15"/>
        <v/>
      </c>
      <c r="E183" s="82"/>
      <c r="F183" s="83" t="str">
        <f t="shared" si="16"/>
        <v/>
      </c>
      <c r="G183" s="23"/>
      <c r="H183" s="84"/>
      <c r="I183" s="85" t="str">
        <f>IF(A183="","Pending",IF(H183="","⚠️ Enter Code",IF(IFERROR(VLOOKUP(G183,DB_Agents!$B:$I,8,0),"")=H183,IF(AND(A183&lt;&gt;"",E183&lt;&gt;""),"Saved","Pending"),"🔒 BLOCKED — Wrong Code")))</f>
        <v>Pending</v>
      </c>
      <c r="J183" s="86" t="str">
        <f t="shared" ca="1" si="17"/>
        <v>—</v>
      </c>
      <c r="K183" s="87"/>
    </row>
    <row r="184" spans="1:11" x14ac:dyDescent="0.25">
      <c r="A184" s="88"/>
      <c r="B184" s="25" t="str">
        <f>IF(A184="","",IFERROR(VLOOKUP(A184,DB_Customers!$A:$D,4,0),"❌ Account Not Found"))</f>
        <v/>
      </c>
      <c r="C184" s="89" t="str">
        <f>IF(A184="","",IFERROR(VLOOKUP(A184,DB_Customers!$A:$N,14,0),""))</f>
        <v/>
      </c>
      <c r="D184" s="90" t="str">
        <f t="shared" ca="1" si="15"/>
        <v/>
      </c>
      <c r="E184" s="82"/>
      <c r="F184" s="91" t="str">
        <f t="shared" si="16"/>
        <v/>
      </c>
      <c r="G184" s="27"/>
      <c r="H184" s="84"/>
      <c r="I184" s="92" t="str">
        <f>IF(A184="","Pending",IF(H184="","⚠️ Enter Code",IF(IFERROR(VLOOKUP(G184,DB_Agents!$B:$I,8,0),"")=H184,IF(AND(A184&lt;&gt;"",E184&lt;&gt;""),"Saved","Pending"),"🔒 BLOCKED — Wrong Code")))</f>
        <v>Pending</v>
      </c>
      <c r="J184" s="93" t="str">
        <f t="shared" ca="1" si="17"/>
        <v>—</v>
      </c>
      <c r="K184" s="94"/>
    </row>
    <row r="185" spans="1:11" x14ac:dyDescent="0.25">
      <c r="A185" s="79"/>
      <c r="B185" s="21" t="str">
        <f>IF(A185="","",IFERROR(VLOOKUP(A185,DB_Customers!$A:$D,4,0),"❌ Account Not Found"))</f>
        <v/>
      </c>
      <c r="C185" s="80" t="str">
        <f>IF(A185="","",IFERROR(VLOOKUP(A185,DB_Customers!$A:$N,14,0),""))</f>
        <v/>
      </c>
      <c r="D185" s="81" t="str">
        <f t="shared" ca="1" si="15"/>
        <v/>
      </c>
      <c r="E185" s="82"/>
      <c r="F185" s="83" t="str">
        <f t="shared" si="16"/>
        <v/>
      </c>
      <c r="G185" s="23"/>
      <c r="H185" s="84"/>
      <c r="I185" s="85" t="str">
        <f>IF(A185="","Pending",IF(H185="","⚠️ Enter Code",IF(IFERROR(VLOOKUP(G185,DB_Agents!$B:$I,8,0),"")=H185,IF(AND(A185&lt;&gt;"",E185&lt;&gt;""),"Saved","Pending"),"🔒 BLOCKED — Wrong Code")))</f>
        <v>Pending</v>
      </c>
      <c r="J185" s="86" t="str">
        <f t="shared" ca="1" si="17"/>
        <v>—</v>
      </c>
      <c r="K185" s="87"/>
    </row>
    <row r="186" spans="1:11" x14ac:dyDescent="0.25">
      <c r="A186" s="88"/>
      <c r="B186" s="25" t="str">
        <f>IF(A186="","",IFERROR(VLOOKUP(A186,DB_Customers!$A:$D,4,0),"❌ Account Not Found"))</f>
        <v/>
      </c>
      <c r="C186" s="89" t="str">
        <f>IF(A186="","",IFERROR(VLOOKUP(A186,DB_Customers!$A:$N,14,0),""))</f>
        <v/>
      </c>
      <c r="D186" s="90" t="str">
        <f t="shared" ca="1" si="15"/>
        <v/>
      </c>
      <c r="E186" s="82"/>
      <c r="F186" s="91" t="str">
        <f t="shared" si="16"/>
        <v/>
      </c>
      <c r="G186" s="27"/>
      <c r="H186" s="84"/>
      <c r="I186" s="92" t="str">
        <f>IF(A186="","Pending",IF(H186="","⚠️ Enter Code",IF(IFERROR(VLOOKUP(G186,DB_Agents!$B:$I,8,0),"")=H186,IF(AND(A186&lt;&gt;"",E186&lt;&gt;""),"Saved","Pending"),"🔒 BLOCKED — Wrong Code")))</f>
        <v>Pending</v>
      </c>
      <c r="J186" s="93" t="str">
        <f t="shared" ca="1" si="17"/>
        <v>—</v>
      </c>
      <c r="K186" s="94"/>
    </row>
    <row r="187" spans="1:11" x14ac:dyDescent="0.25">
      <c r="A187" s="79"/>
      <c r="B187" s="21" t="str">
        <f>IF(A187="","",IFERROR(VLOOKUP(A187,DB_Customers!$A:$D,4,0),"❌ Account Not Found"))</f>
        <v/>
      </c>
      <c r="C187" s="80" t="str">
        <f>IF(A187="","",IFERROR(VLOOKUP(A187,DB_Customers!$A:$N,14,0),""))</f>
        <v/>
      </c>
      <c r="D187" s="81" t="str">
        <f t="shared" ca="1" si="15"/>
        <v/>
      </c>
      <c r="E187" s="82"/>
      <c r="F187" s="83" t="str">
        <f t="shared" si="16"/>
        <v/>
      </c>
      <c r="G187" s="23"/>
      <c r="H187" s="84"/>
      <c r="I187" s="85" t="str">
        <f>IF(A187="","Pending",IF(H187="","⚠️ Enter Code",IF(IFERROR(VLOOKUP(G187,DB_Agents!$B:$I,8,0),"")=H187,IF(AND(A187&lt;&gt;"",E187&lt;&gt;""),"Saved","Pending"),"🔒 BLOCKED — Wrong Code")))</f>
        <v>Pending</v>
      </c>
      <c r="J187" s="86" t="str">
        <f t="shared" ca="1" si="17"/>
        <v>—</v>
      </c>
      <c r="K187" s="87"/>
    </row>
    <row r="188" spans="1:11" x14ac:dyDescent="0.25">
      <c r="A188" s="88"/>
      <c r="B188" s="25" t="str">
        <f>IF(A188="","",IFERROR(VLOOKUP(A188,DB_Customers!$A:$D,4,0),"❌ Account Not Found"))</f>
        <v/>
      </c>
      <c r="C188" s="89" t="str">
        <f>IF(A188="","",IFERROR(VLOOKUP(A188,DB_Customers!$A:$N,14,0),""))</f>
        <v/>
      </c>
      <c r="D188" s="90" t="str">
        <f t="shared" ca="1" si="15"/>
        <v/>
      </c>
      <c r="E188" s="82"/>
      <c r="F188" s="91" t="str">
        <f t="shared" si="16"/>
        <v/>
      </c>
      <c r="G188" s="27"/>
      <c r="H188" s="84"/>
      <c r="I188" s="92" t="str">
        <f>IF(A188="","Pending",IF(H188="","⚠️ Enter Code",IF(IFERROR(VLOOKUP(G188,DB_Agents!$B:$I,8,0),"")=H188,IF(AND(A188&lt;&gt;"",E188&lt;&gt;""),"Saved","Pending"),"🔒 BLOCKED — Wrong Code")))</f>
        <v>Pending</v>
      </c>
      <c r="J188" s="93" t="str">
        <f t="shared" ca="1" si="17"/>
        <v>—</v>
      </c>
      <c r="K188" s="94"/>
    </row>
    <row r="189" spans="1:11" x14ac:dyDescent="0.25">
      <c r="A189" s="79"/>
      <c r="B189" s="21" t="str">
        <f>IF(A189="","",IFERROR(VLOOKUP(A189,DB_Customers!$A:$D,4,0),"❌ Account Not Found"))</f>
        <v/>
      </c>
      <c r="C189" s="80" t="str">
        <f>IF(A189="","",IFERROR(VLOOKUP(A189,DB_Customers!$A:$N,14,0),""))</f>
        <v/>
      </c>
      <c r="D189" s="81" t="str">
        <f t="shared" ca="1" si="15"/>
        <v/>
      </c>
      <c r="E189" s="82"/>
      <c r="F189" s="83" t="str">
        <f t="shared" si="16"/>
        <v/>
      </c>
      <c r="G189" s="23"/>
      <c r="H189" s="84"/>
      <c r="I189" s="85" t="str">
        <f>IF(A189="","Pending",IF(H189="","⚠️ Enter Code",IF(IFERROR(VLOOKUP(G189,DB_Agents!$B:$I,8,0),"")=H189,IF(AND(A189&lt;&gt;"",E189&lt;&gt;""),"Saved","Pending"),"🔒 BLOCKED — Wrong Code")))</f>
        <v>Pending</v>
      </c>
      <c r="J189" s="86" t="str">
        <f t="shared" ca="1" si="17"/>
        <v>—</v>
      </c>
      <c r="K189" s="87"/>
    </row>
    <row r="190" spans="1:11" x14ac:dyDescent="0.25">
      <c r="A190" s="88"/>
      <c r="B190" s="25" t="str">
        <f>IF(A190="","",IFERROR(VLOOKUP(A190,DB_Customers!$A:$D,4,0),"❌ Account Not Found"))</f>
        <v/>
      </c>
      <c r="C190" s="89" t="str">
        <f>IF(A190="","",IFERROR(VLOOKUP(A190,DB_Customers!$A:$N,14,0),""))</f>
        <v/>
      </c>
      <c r="D190" s="90" t="str">
        <f t="shared" ca="1" si="15"/>
        <v/>
      </c>
      <c r="E190" s="82"/>
      <c r="F190" s="91" t="str">
        <f t="shared" si="16"/>
        <v/>
      </c>
      <c r="G190" s="27"/>
      <c r="H190" s="84"/>
      <c r="I190" s="92" t="str">
        <f>IF(A190="","Pending",IF(H190="","⚠️ Enter Code",IF(IFERROR(VLOOKUP(G190,DB_Agents!$B:$I,8,0),"")=H190,IF(AND(A190&lt;&gt;"",E190&lt;&gt;""),"Saved","Pending"),"🔒 BLOCKED — Wrong Code")))</f>
        <v>Pending</v>
      </c>
      <c r="J190" s="93" t="str">
        <f t="shared" ca="1" si="17"/>
        <v>—</v>
      </c>
      <c r="K190" s="94"/>
    </row>
    <row r="191" spans="1:11" x14ac:dyDescent="0.25">
      <c r="A191" s="79"/>
      <c r="B191" s="21" t="str">
        <f>IF(A191="","",IFERROR(VLOOKUP(A191,DB_Customers!$A:$D,4,0),"❌ Account Not Found"))</f>
        <v/>
      </c>
      <c r="C191" s="80" t="str">
        <f>IF(A191="","",IFERROR(VLOOKUP(A191,DB_Customers!$A:$N,14,0),""))</f>
        <v/>
      </c>
      <c r="D191" s="81" t="str">
        <f t="shared" ca="1" si="15"/>
        <v/>
      </c>
      <c r="E191" s="82"/>
      <c r="F191" s="83" t="str">
        <f t="shared" si="16"/>
        <v/>
      </c>
      <c r="G191" s="23"/>
      <c r="H191" s="84"/>
      <c r="I191" s="85" t="str">
        <f>IF(A191="","Pending",IF(H191="","⚠️ Enter Code",IF(IFERROR(VLOOKUP(G191,DB_Agents!$B:$I,8,0),"")=H191,IF(AND(A191&lt;&gt;"",E191&lt;&gt;""),"Saved","Pending"),"🔒 BLOCKED — Wrong Code")))</f>
        <v>Pending</v>
      </c>
      <c r="J191" s="86" t="str">
        <f t="shared" ca="1" si="17"/>
        <v>—</v>
      </c>
      <c r="K191" s="87"/>
    </row>
    <row r="192" spans="1:11" x14ac:dyDescent="0.25">
      <c r="A192" s="88"/>
      <c r="B192" s="25" t="str">
        <f>IF(A192="","",IFERROR(VLOOKUP(A192,DB_Customers!$A:$D,4,0),"❌ Account Not Found"))</f>
        <v/>
      </c>
      <c r="C192" s="89" t="str">
        <f>IF(A192="","",IFERROR(VLOOKUP(A192,DB_Customers!$A:$N,14,0),""))</f>
        <v/>
      </c>
      <c r="D192" s="90" t="str">
        <f t="shared" ca="1" si="15"/>
        <v/>
      </c>
      <c r="E192" s="82"/>
      <c r="F192" s="91" t="str">
        <f t="shared" si="16"/>
        <v/>
      </c>
      <c r="G192" s="27"/>
      <c r="H192" s="84"/>
      <c r="I192" s="92" t="str">
        <f>IF(A192="","Pending",IF(H192="","⚠️ Enter Code",IF(IFERROR(VLOOKUP(G192,DB_Agents!$B:$I,8,0),"")=H192,IF(AND(A192&lt;&gt;"",E192&lt;&gt;""),"Saved","Pending"),"🔒 BLOCKED — Wrong Code")))</f>
        <v>Pending</v>
      </c>
      <c r="J192" s="93" t="str">
        <f t="shared" ca="1" si="17"/>
        <v>—</v>
      </c>
      <c r="K192" s="94"/>
    </row>
    <row r="193" spans="1:11" x14ac:dyDescent="0.25">
      <c r="A193" s="79"/>
      <c r="B193" s="21" t="str">
        <f>IF(A193="","",IFERROR(VLOOKUP(A193,DB_Customers!$A:$D,4,0),"❌ Account Not Found"))</f>
        <v/>
      </c>
      <c r="C193" s="80" t="str">
        <f>IF(A193="","",IFERROR(VLOOKUP(A193,DB_Customers!$A:$N,14,0),""))</f>
        <v/>
      </c>
      <c r="D193" s="81" t="str">
        <f t="shared" ca="1" si="15"/>
        <v/>
      </c>
      <c r="E193" s="82"/>
      <c r="F193" s="83" t="str">
        <f t="shared" si="16"/>
        <v/>
      </c>
      <c r="G193" s="23"/>
      <c r="H193" s="84"/>
      <c r="I193" s="85" t="str">
        <f>IF(A193="","Pending",IF(H193="","⚠️ Enter Code",IF(IFERROR(VLOOKUP(G193,DB_Agents!$B:$I,8,0),"")=H193,IF(AND(A193&lt;&gt;"",E193&lt;&gt;""),"Saved","Pending"),"🔒 BLOCKED — Wrong Code")))</f>
        <v>Pending</v>
      </c>
      <c r="J193" s="86" t="str">
        <f t="shared" ca="1" si="17"/>
        <v>—</v>
      </c>
      <c r="K193" s="87"/>
    </row>
    <row r="194" spans="1:11" x14ac:dyDescent="0.25">
      <c r="A194" s="88"/>
      <c r="B194" s="25" t="str">
        <f>IF(A194="","",IFERROR(VLOOKUP(A194,DB_Customers!$A:$D,4,0),"❌ Account Not Found"))</f>
        <v/>
      </c>
      <c r="C194" s="89" t="str">
        <f>IF(A194="","",IFERROR(VLOOKUP(A194,DB_Customers!$A:$N,14,0),""))</f>
        <v/>
      </c>
      <c r="D194" s="90" t="str">
        <f t="shared" ca="1" si="15"/>
        <v/>
      </c>
      <c r="E194" s="82"/>
      <c r="F194" s="91" t="str">
        <f t="shared" si="16"/>
        <v/>
      </c>
      <c r="G194" s="27"/>
      <c r="H194" s="84"/>
      <c r="I194" s="92" t="str">
        <f>IF(A194="","Pending",IF(H194="","⚠️ Enter Code",IF(IFERROR(VLOOKUP(G194,DB_Agents!$B:$I,8,0),"")=H194,IF(AND(A194&lt;&gt;"",E194&lt;&gt;""),"Saved","Pending"),"🔒 BLOCKED — Wrong Code")))</f>
        <v>Pending</v>
      </c>
      <c r="J194" s="93" t="str">
        <f t="shared" ca="1" si="17"/>
        <v>—</v>
      </c>
      <c r="K194" s="94"/>
    </row>
    <row r="195" spans="1:11" x14ac:dyDescent="0.25">
      <c r="A195" s="79"/>
      <c r="B195" s="21" t="str">
        <f>IF(A195="","",IFERROR(VLOOKUP(A195,DB_Customers!$A:$D,4,0),"❌ Account Not Found"))</f>
        <v/>
      </c>
      <c r="C195" s="80" t="str">
        <f>IF(A195="","",IFERROR(VLOOKUP(A195,DB_Customers!$A:$N,14,0),""))</f>
        <v/>
      </c>
      <c r="D195" s="81" t="str">
        <f t="shared" ca="1" si="15"/>
        <v/>
      </c>
      <c r="E195" s="82"/>
      <c r="F195" s="83" t="str">
        <f t="shared" si="16"/>
        <v/>
      </c>
      <c r="G195" s="23"/>
      <c r="H195" s="84"/>
      <c r="I195" s="85" t="str">
        <f>IF(A195="","Pending",IF(H195="","⚠️ Enter Code",IF(IFERROR(VLOOKUP(G195,DB_Agents!$B:$I,8,0),"")=H195,IF(AND(A195&lt;&gt;"",E195&lt;&gt;""),"Saved","Pending"),"🔒 BLOCKED — Wrong Code")))</f>
        <v>Pending</v>
      </c>
      <c r="J195" s="86" t="str">
        <f t="shared" ca="1" si="17"/>
        <v>—</v>
      </c>
      <c r="K195" s="87"/>
    </row>
    <row r="196" spans="1:11" x14ac:dyDescent="0.25">
      <c r="A196" s="88"/>
      <c r="B196" s="25" t="str">
        <f>IF(A196="","",IFERROR(VLOOKUP(A196,DB_Customers!$A:$D,4,0),"❌ Account Not Found"))</f>
        <v/>
      </c>
      <c r="C196" s="89" t="str">
        <f>IF(A196="","",IFERROR(VLOOKUP(A196,DB_Customers!$A:$N,14,0),""))</f>
        <v/>
      </c>
      <c r="D196" s="90" t="str">
        <f t="shared" ca="1" si="15"/>
        <v/>
      </c>
      <c r="E196" s="82"/>
      <c r="F196" s="91" t="str">
        <f t="shared" si="16"/>
        <v/>
      </c>
      <c r="G196" s="27"/>
      <c r="H196" s="84"/>
      <c r="I196" s="92" t="str">
        <f>IF(A196="","Pending",IF(H196="","⚠️ Enter Code",IF(IFERROR(VLOOKUP(G196,DB_Agents!$B:$I,8,0),"")=H196,IF(AND(A196&lt;&gt;"",E196&lt;&gt;""),"Saved","Pending"),"🔒 BLOCKED — Wrong Code")))</f>
        <v>Pending</v>
      </c>
      <c r="J196" s="93" t="str">
        <f t="shared" ca="1" si="17"/>
        <v>—</v>
      </c>
      <c r="K196" s="94"/>
    </row>
    <row r="197" spans="1:11" x14ac:dyDescent="0.25">
      <c r="A197" s="79"/>
      <c r="B197" s="21" t="str">
        <f>IF(A197="","",IFERROR(VLOOKUP(A197,DB_Customers!$A:$D,4,0),"❌ Account Not Found"))</f>
        <v/>
      </c>
      <c r="C197" s="80" t="str">
        <f>IF(A197="","",IFERROR(VLOOKUP(A197,DB_Customers!$A:$N,14,0),""))</f>
        <v/>
      </c>
      <c r="D197" s="81" t="str">
        <f t="shared" ca="1" si="15"/>
        <v/>
      </c>
      <c r="E197" s="82"/>
      <c r="F197" s="83" t="str">
        <f t="shared" si="16"/>
        <v/>
      </c>
      <c r="G197" s="23"/>
      <c r="H197" s="84"/>
      <c r="I197" s="85" t="str">
        <f>IF(A197="","Pending",IF(H197="","⚠️ Enter Code",IF(IFERROR(VLOOKUP(G197,DB_Agents!$B:$I,8,0),"")=H197,IF(AND(A197&lt;&gt;"",E197&lt;&gt;""),"Saved","Pending"),"🔒 BLOCKED — Wrong Code")))</f>
        <v>Pending</v>
      </c>
      <c r="J197" s="86" t="str">
        <f t="shared" ca="1" si="17"/>
        <v>—</v>
      </c>
      <c r="K197" s="87"/>
    </row>
    <row r="198" spans="1:11" x14ac:dyDescent="0.25">
      <c r="A198" s="88"/>
      <c r="B198" s="25" t="str">
        <f>IF(A198="","",IFERROR(VLOOKUP(A198,DB_Customers!$A:$D,4,0),"❌ Account Not Found"))</f>
        <v/>
      </c>
      <c r="C198" s="89" t="str">
        <f>IF(A198="","",IFERROR(VLOOKUP(A198,DB_Customers!$A:$N,14,0),""))</f>
        <v/>
      </c>
      <c r="D198" s="90" t="str">
        <f t="shared" ca="1" si="15"/>
        <v/>
      </c>
      <c r="E198" s="82"/>
      <c r="F198" s="91" t="str">
        <f t="shared" si="16"/>
        <v/>
      </c>
      <c r="G198" s="27"/>
      <c r="H198" s="84"/>
      <c r="I198" s="92" t="str">
        <f>IF(A198="","Pending",IF(H198="","⚠️ Enter Code",IF(IFERROR(VLOOKUP(G198,DB_Agents!$B:$I,8,0),"")=H198,IF(AND(A198&lt;&gt;"",E198&lt;&gt;""),"Saved","Pending"),"🔒 BLOCKED — Wrong Code")))</f>
        <v>Pending</v>
      </c>
      <c r="J198" s="93" t="str">
        <f t="shared" ca="1" si="17"/>
        <v>—</v>
      </c>
      <c r="K198" s="94"/>
    </row>
    <row r="199" spans="1:11" x14ac:dyDescent="0.25">
      <c r="A199" s="79"/>
      <c r="B199" s="21" t="str">
        <f>IF(A199="","",IFERROR(VLOOKUP(A199,DB_Customers!$A:$D,4,0),"❌ Account Not Found"))</f>
        <v/>
      </c>
      <c r="C199" s="80" t="str">
        <f>IF(A199="","",IFERROR(VLOOKUP(A199,DB_Customers!$A:$N,14,0),""))</f>
        <v/>
      </c>
      <c r="D199" s="81" t="str">
        <f t="shared" ca="1" si="15"/>
        <v/>
      </c>
      <c r="E199" s="82"/>
      <c r="F199" s="83" t="str">
        <f t="shared" si="16"/>
        <v/>
      </c>
      <c r="G199" s="23"/>
      <c r="H199" s="84"/>
      <c r="I199" s="85" t="str">
        <f>IF(A199="","Pending",IF(H199="","⚠️ Enter Code",IF(IFERROR(VLOOKUP(G199,DB_Agents!$B:$I,8,0),"")=H199,IF(AND(A199&lt;&gt;"",E199&lt;&gt;""),"Saved","Pending"),"🔒 BLOCKED — Wrong Code")))</f>
        <v>Pending</v>
      </c>
      <c r="J199" s="86" t="str">
        <f t="shared" ca="1" si="17"/>
        <v>—</v>
      </c>
      <c r="K199" s="87"/>
    </row>
    <row r="200" spans="1:11" x14ac:dyDescent="0.25">
      <c r="A200" s="88"/>
      <c r="B200" s="25" t="str">
        <f>IF(A200="","",IFERROR(VLOOKUP(A200,DB_Customers!$A:$D,4,0),"❌ Account Not Found"))</f>
        <v/>
      </c>
      <c r="C200" s="89" t="str">
        <f>IF(A200="","",IFERROR(VLOOKUP(A200,DB_Customers!$A:$N,14,0),""))</f>
        <v/>
      </c>
      <c r="D200" s="90" t="str">
        <f t="shared" ca="1" si="15"/>
        <v/>
      </c>
      <c r="E200" s="82"/>
      <c r="F200" s="91" t="str">
        <f t="shared" si="16"/>
        <v/>
      </c>
      <c r="G200" s="27"/>
      <c r="H200" s="84"/>
      <c r="I200" s="92" t="str">
        <f>IF(A200="","Pending",IF(H200="","⚠️ Enter Code",IF(IFERROR(VLOOKUP(G200,DB_Agents!$B:$I,8,0),"")=H200,IF(AND(A200&lt;&gt;"",E200&lt;&gt;""),"Saved","Pending"),"🔒 BLOCKED — Wrong Code")))</f>
        <v>Pending</v>
      </c>
      <c r="J200" s="93" t="str">
        <f t="shared" ca="1" si="17"/>
        <v>—</v>
      </c>
      <c r="K200" s="94"/>
    </row>
    <row r="201" spans="1:11" x14ac:dyDescent="0.25">
      <c r="A201" s="79"/>
      <c r="B201" s="21" t="str">
        <f>IF(A201="","",IFERROR(VLOOKUP(A201,DB_Customers!$A:$D,4,0),"❌ Account Not Found"))</f>
        <v/>
      </c>
      <c r="C201" s="80" t="str">
        <f>IF(A201="","",IFERROR(VLOOKUP(A201,DB_Customers!$A:$N,14,0),""))</f>
        <v/>
      </c>
      <c r="D201" s="81" t="str">
        <f t="shared" ref="D201:D208" ca="1" si="18">IF(A201="","",TODAY())</f>
        <v/>
      </c>
      <c r="E201" s="82"/>
      <c r="F201" s="83" t="str">
        <f t="shared" ref="F201:F232" si="19">IF(OR(A201="",E201=""),"",IF(C201="","",C201+E201))</f>
        <v/>
      </c>
      <c r="G201" s="23"/>
      <c r="H201" s="84"/>
      <c r="I201" s="85" t="str">
        <f>IF(A201="","Pending",IF(H201="","⚠️ Enter Code",IF(IFERROR(VLOOKUP(G201,DB_Agents!$B:$I,8,0),"")=H201,IF(AND(A201&lt;&gt;"",E201&lt;&gt;""),"Saved","Pending"),"🔒 BLOCKED — Wrong Code")))</f>
        <v>Pending</v>
      </c>
      <c r="J201" s="86" t="str">
        <f t="shared" ref="J201:J232" ca="1" si="20">IF(I201="Saved",TEXT(TODAY(),"YYYY-MM-DD")&amp;" Auto","—")</f>
        <v>—</v>
      </c>
      <c r="K201" s="87"/>
    </row>
    <row r="202" spans="1:11" x14ac:dyDescent="0.25">
      <c r="A202" s="88"/>
      <c r="B202" s="25" t="str">
        <f>IF(A202="","",IFERROR(VLOOKUP(A202,DB_Customers!$A:$D,4,0),"❌ Account Not Found"))</f>
        <v/>
      </c>
      <c r="C202" s="89" t="str">
        <f>IF(A202="","",IFERROR(VLOOKUP(A202,DB_Customers!$A:$N,14,0),""))</f>
        <v/>
      </c>
      <c r="D202" s="90" t="str">
        <f t="shared" ca="1" si="18"/>
        <v/>
      </c>
      <c r="E202" s="82"/>
      <c r="F202" s="91" t="str">
        <f t="shared" si="19"/>
        <v/>
      </c>
      <c r="G202" s="27"/>
      <c r="H202" s="84"/>
      <c r="I202" s="92" t="str">
        <f>IF(A202="","Pending",IF(H202="","⚠️ Enter Code",IF(IFERROR(VLOOKUP(G202,DB_Agents!$B:$I,8,0),"")=H202,IF(AND(A202&lt;&gt;"",E202&lt;&gt;""),"Saved","Pending"),"🔒 BLOCKED — Wrong Code")))</f>
        <v>Pending</v>
      </c>
      <c r="J202" s="93" t="str">
        <f t="shared" ca="1" si="20"/>
        <v>—</v>
      </c>
      <c r="K202" s="94"/>
    </row>
    <row r="203" spans="1:11" x14ac:dyDescent="0.25">
      <c r="A203" s="79"/>
      <c r="B203" s="21" t="str">
        <f>IF(A203="","",IFERROR(VLOOKUP(A203,DB_Customers!$A:$D,4,0),"❌ Account Not Found"))</f>
        <v/>
      </c>
      <c r="C203" s="80" t="str">
        <f>IF(A203="","",IFERROR(VLOOKUP(A203,DB_Customers!$A:$N,14,0),""))</f>
        <v/>
      </c>
      <c r="D203" s="81" t="str">
        <f t="shared" ca="1" si="18"/>
        <v/>
      </c>
      <c r="E203" s="82"/>
      <c r="F203" s="83" t="str">
        <f t="shared" si="19"/>
        <v/>
      </c>
      <c r="G203" s="23"/>
      <c r="H203" s="84"/>
      <c r="I203" s="85" t="str">
        <f>IF(A203="","Pending",IF(H203="","⚠️ Enter Code",IF(IFERROR(VLOOKUP(G203,DB_Agents!$B:$I,8,0),"")=H203,IF(AND(A203&lt;&gt;"",E203&lt;&gt;""),"Saved","Pending"),"🔒 BLOCKED — Wrong Code")))</f>
        <v>Pending</v>
      </c>
      <c r="J203" s="86" t="str">
        <f t="shared" ca="1" si="20"/>
        <v>—</v>
      </c>
      <c r="K203" s="87"/>
    </row>
    <row r="204" spans="1:11" x14ac:dyDescent="0.25">
      <c r="A204" s="88"/>
      <c r="B204" s="25" t="str">
        <f>IF(A204="","",IFERROR(VLOOKUP(A204,DB_Customers!$A:$D,4,0),"❌ Account Not Found"))</f>
        <v/>
      </c>
      <c r="C204" s="89" t="str">
        <f>IF(A204="","",IFERROR(VLOOKUP(A204,DB_Customers!$A:$N,14,0),""))</f>
        <v/>
      </c>
      <c r="D204" s="90" t="str">
        <f t="shared" ca="1" si="18"/>
        <v/>
      </c>
      <c r="E204" s="82"/>
      <c r="F204" s="91" t="str">
        <f t="shared" si="19"/>
        <v/>
      </c>
      <c r="G204" s="27"/>
      <c r="H204" s="84"/>
      <c r="I204" s="92" t="str">
        <f>IF(A204="","Pending",IF(H204="","⚠️ Enter Code",IF(IFERROR(VLOOKUP(G204,DB_Agents!$B:$I,8,0),"")=H204,IF(AND(A204&lt;&gt;"",E204&lt;&gt;""),"Saved","Pending"),"🔒 BLOCKED — Wrong Code")))</f>
        <v>Pending</v>
      </c>
      <c r="J204" s="93" t="str">
        <f t="shared" ca="1" si="20"/>
        <v>—</v>
      </c>
      <c r="K204" s="94"/>
    </row>
    <row r="205" spans="1:11" x14ac:dyDescent="0.25">
      <c r="A205" s="79"/>
      <c r="B205" s="21" t="str">
        <f>IF(A205="","",IFERROR(VLOOKUP(A205,DB_Customers!$A:$D,4,0),"❌ Account Not Found"))</f>
        <v/>
      </c>
      <c r="C205" s="80" t="str">
        <f>IF(A205="","",IFERROR(VLOOKUP(A205,DB_Customers!$A:$N,14,0),""))</f>
        <v/>
      </c>
      <c r="D205" s="81" t="str">
        <f t="shared" ca="1" si="18"/>
        <v/>
      </c>
      <c r="E205" s="82"/>
      <c r="F205" s="83" t="str">
        <f t="shared" si="19"/>
        <v/>
      </c>
      <c r="G205" s="23"/>
      <c r="H205" s="84"/>
      <c r="I205" s="85" t="str">
        <f>IF(A205="","Pending",IF(H205="","⚠️ Enter Code",IF(IFERROR(VLOOKUP(G205,DB_Agents!$B:$I,8,0),"")=H205,IF(AND(A205&lt;&gt;"",E205&lt;&gt;""),"Saved","Pending"),"🔒 BLOCKED — Wrong Code")))</f>
        <v>Pending</v>
      </c>
      <c r="J205" s="86" t="str">
        <f t="shared" ca="1" si="20"/>
        <v>—</v>
      </c>
      <c r="K205" s="87"/>
    </row>
    <row r="206" spans="1:11" x14ac:dyDescent="0.25">
      <c r="A206" s="88"/>
      <c r="B206" s="25" t="str">
        <f>IF(A206="","",IFERROR(VLOOKUP(A206,DB_Customers!$A:$D,4,0),"❌ Account Not Found"))</f>
        <v/>
      </c>
      <c r="C206" s="89" t="str">
        <f>IF(A206="","",IFERROR(VLOOKUP(A206,DB_Customers!$A:$N,14,0),""))</f>
        <v/>
      </c>
      <c r="D206" s="90" t="str">
        <f t="shared" ca="1" si="18"/>
        <v/>
      </c>
      <c r="E206" s="82"/>
      <c r="F206" s="91" t="str">
        <f t="shared" si="19"/>
        <v/>
      </c>
      <c r="G206" s="27"/>
      <c r="H206" s="84"/>
      <c r="I206" s="92" t="str">
        <f>IF(A206="","Pending",IF(H206="","⚠️ Enter Code",IF(IFERROR(VLOOKUP(G206,DB_Agents!$B:$I,8,0),"")=H206,IF(AND(A206&lt;&gt;"",E206&lt;&gt;""),"Saved","Pending"),"🔒 BLOCKED — Wrong Code")))</f>
        <v>Pending</v>
      </c>
      <c r="J206" s="93" t="str">
        <f t="shared" ca="1" si="20"/>
        <v>—</v>
      </c>
      <c r="K206" s="94"/>
    </row>
    <row r="207" spans="1:11" x14ac:dyDescent="0.25">
      <c r="A207" s="79"/>
      <c r="B207" s="21" t="str">
        <f>IF(A207="","",IFERROR(VLOOKUP(A207,DB_Customers!$A:$D,4,0),"❌ Account Not Found"))</f>
        <v/>
      </c>
      <c r="C207" s="80" t="str">
        <f>IF(A207="","",IFERROR(VLOOKUP(A207,DB_Customers!$A:$N,14,0),""))</f>
        <v/>
      </c>
      <c r="D207" s="81" t="str">
        <f t="shared" ca="1" si="18"/>
        <v/>
      </c>
      <c r="E207" s="82"/>
      <c r="F207" s="83" t="str">
        <f t="shared" si="19"/>
        <v/>
      </c>
      <c r="G207" s="23"/>
      <c r="H207" s="84"/>
      <c r="I207" s="85" t="str">
        <f>IF(A207="","Pending",IF(H207="","⚠️ Enter Code",IF(IFERROR(VLOOKUP(G207,DB_Agents!$B:$I,8,0),"")=H207,IF(AND(A207&lt;&gt;"",E207&lt;&gt;""),"Saved","Pending"),"🔒 BLOCKED — Wrong Code")))</f>
        <v>Pending</v>
      </c>
      <c r="J207" s="86" t="str">
        <f t="shared" ca="1" si="20"/>
        <v>—</v>
      </c>
      <c r="K207" s="87"/>
    </row>
    <row r="208" spans="1:11" x14ac:dyDescent="0.25">
      <c r="A208" s="88"/>
      <c r="B208" s="25" t="str">
        <f>IF(A208="","",IFERROR(VLOOKUP(A208,DB_Customers!$A:$D,4,0),"❌ Account Not Found"))</f>
        <v/>
      </c>
      <c r="C208" s="89" t="str">
        <f>IF(A208="","",IFERROR(VLOOKUP(A208,DB_Customers!$A:$N,14,0),""))</f>
        <v/>
      </c>
      <c r="D208" s="90" t="str">
        <f t="shared" ca="1" si="18"/>
        <v/>
      </c>
      <c r="E208" s="82"/>
      <c r="F208" s="91" t="str">
        <f t="shared" si="19"/>
        <v/>
      </c>
      <c r="G208" s="27"/>
      <c r="H208" s="84"/>
      <c r="I208" s="92" t="str">
        <f>IF(A208="","Pending",IF(H208="","⚠️ Enter Code",IF(IFERROR(VLOOKUP(G208,DB_Agents!$B:$I,8,0),"")=H208,IF(AND(A208&lt;&gt;"",E208&lt;&gt;""),"Saved","Pending"),"🔒 BLOCKED — Wrong Code")))</f>
        <v>Pending</v>
      </c>
      <c r="J208" s="93" t="str">
        <f t="shared" ca="1" si="20"/>
        <v>—</v>
      </c>
      <c r="K208" s="94"/>
    </row>
  </sheetData>
  <mergeCells count="12">
    <mergeCell ref="A7:L7"/>
    <mergeCell ref="A4:C4"/>
    <mergeCell ref="D4:F4"/>
    <mergeCell ref="G4:I4"/>
    <mergeCell ref="J4:L4"/>
    <mergeCell ref="A5:L5"/>
    <mergeCell ref="A1:L1"/>
    <mergeCell ref="A2:L2"/>
    <mergeCell ref="A3:C3"/>
    <mergeCell ref="D3:F3"/>
    <mergeCell ref="G3:I3"/>
    <mergeCell ref="J3:L3"/>
  </mergeCells>
  <conditionalFormatting sqref="H9:H208">
    <cfRule type="cellIs" dxfId="52" priority="2" operator="equal">
      <formula>"Saved"</formula>
    </cfRule>
    <cfRule type="cellIs" dxfId="51" priority="3" operator="equal">
      <formula>"Pending"</formula>
    </cfRule>
  </conditionalFormatting>
  <conditionalFormatting sqref="A9:J208">
    <cfRule type="expression" dxfId="50" priority="4">
      <formula>$H9="Saved"</formula>
    </cfRule>
  </conditionalFormatting>
  <dataValidations count="2">
    <dataValidation type="decimal" operator="greaterThan" showErrorMessage="1" error="Must be &gt; 0" sqref="E9:E208" xr:uid="{00000000-0002-0000-1400-000000000000}">
      <formula1>0</formula1>
      <formula2>0</formula2>
    </dataValidation>
    <dataValidation type="list" sqref="G9:G208" xr:uid="{00000000-0002-0000-14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tabColor rgb="FFC0392B"/>
  </sheetPr>
  <dimension ref="A1:M208"/>
  <sheetViews>
    <sheetView zoomScaleNormal="100" workbookViewId="0">
      <pane ySplit="8" topLeftCell="A9" activePane="bottomLeft" state="frozen"/>
      <selection pane="bottomLeft"/>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5" customWidth="1"/>
    <col min="8" max="8" width="12" customWidth="1"/>
    <col min="9" max="9" width="14" customWidth="1"/>
    <col min="10" max="10" width="22" customWidth="1"/>
    <col min="11" max="11" width="20" customWidth="1"/>
  </cols>
  <sheetData>
    <row r="1" spans="1:13" ht="31.5" customHeight="1" x14ac:dyDescent="0.25">
      <c r="A1" s="210" t="s">
        <v>217</v>
      </c>
      <c r="B1" s="210"/>
      <c r="C1" s="210"/>
      <c r="D1" s="210"/>
      <c r="E1" s="210"/>
      <c r="F1" s="210"/>
      <c r="G1" s="210"/>
      <c r="H1" s="210"/>
      <c r="I1" s="210"/>
      <c r="J1" s="210"/>
      <c r="K1" s="210"/>
      <c r="L1" s="210"/>
      <c r="M1" s="210"/>
    </row>
    <row r="2" spans="1:13" ht="19.5" customHeight="1" x14ac:dyDescent="0.25">
      <c r="A2" s="211" t="s">
        <v>218</v>
      </c>
      <c r="B2" s="211"/>
      <c r="C2" s="211"/>
      <c r="D2" s="211"/>
      <c r="E2" s="211"/>
      <c r="F2" s="211"/>
      <c r="G2" s="211"/>
      <c r="H2" s="211"/>
      <c r="I2" s="211"/>
      <c r="J2" s="211"/>
      <c r="K2" s="211"/>
      <c r="L2" s="211"/>
      <c r="M2" s="211"/>
    </row>
    <row r="3" spans="1:13" ht="18" customHeight="1" x14ac:dyDescent="0.25">
      <c r="A3" s="178" t="s">
        <v>180</v>
      </c>
      <c r="B3" s="178"/>
      <c r="C3" s="178"/>
      <c r="D3" s="177" t="s">
        <v>181</v>
      </c>
      <c r="E3" s="177"/>
      <c r="F3" s="177"/>
      <c r="G3" s="19" t="s">
        <v>182</v>
      </c>
      <c r="K3" s="48" t="s">
        <v>169</v>
      </c>
    </row>
    <row r="4" spans="1:13" ht="27.75" customHeight="1" x14ac:dyDescent="0.25">
      <c r="A4" s="212">
        <f ca="1">SUMIFS(DB_Withdrawals!$G:$G,DB_Withdrawals!$J:$J,"Agent 06",DB_Withdrawals!$F:$F,TODAY())</f>
        <v>0</v>
      </c>
      <c r="B4" s="212"/>
      <c r="C4" s="212"/>
      <c r="D4" s="213">
        <f ca="1">COUNTIFS(DB_Withdrawals!$J:$J,"Agent 06",DB_Withdrawals!$K:$K,"Successful",DB_Withdrawals!$F:$F,TODAY())</f>
        <v>0</v>
      </c>
      <c r="E4" s="213"/>
      <c r="F4" s="213"/>
      <c r="G4" s="95">
        <f ca="1">COUNTIFS(DB_Withdrawals!$J:$J,"Agent 06",DB_Withdrawals!$K:$K,"Unsuccessful",DB_Withdrawals!$F:$F,TODAY())</f>
        <v>0</v>
      </c>
      <c r="K4" s="77" t="str">
        <f ca="1">TEXT(TODAY(),"DD MMM YYYY")</f>
        <v>19 Apr 2026</v>
      </c>
    </row>
    <row r="5" spans="1:13" ht="19.5" customHeight="1" x14ac:dyDescent="0.25">
      <c r="A5" s="214" t="s">
        <v>183</v>
      </c>
      <c r="B5" s="214"/>
      <c r="C5" s="214"/>
      <c r="D5" s="214"/>
      <c r="E5" s="214"/>
      <c r="F5" s="214"/>
      <c r="G5" s="214"/>
      <c r="H5" s="214"/>
      <c r="I5" s="214"/>
      <c r="J5" s="214"/>
      <c r="K5" s="214"/>
      <c r="L5" s="214"/>
      <c r="M5" s="214"/>
    </row>
    <row r="6" spans="1:13" ht="7.5" customHeight="1" x14ac:dyDescent="0.25"/>
    <row r="7" spans="1:13" ht="19.5" customHeight="1" x14ac:dyDescent="0.25">
      <c r="A7" s="215" t="s">
        <v>184</v>
      </c>
      <c r="B7" s="215"/>
      <c r="C7" s="215"/>
      <c r="D7" s="215"/>
      <c r="E7" s="215"/>
      <c r="F7" s="215"/>
      <c r="G7" s="215"/>
      <c r="H7" s="215"/>
      <c r="I7" s="215"/>
      <c r="J7" s="215"/>
      <c r="K7" s="215"/>
      <c r="L7" s="215"/>
      <c r="M7" s="215"/>
    </row>
    <row r="8" spans="1:13" ht="19.5" customHeight="1" x14ac:dyDescent="0.25">
      <c r="A8" s="96" t="s">
        <v>171</v>
      </c>
      <c r="B8" s="96" t="s">
        <v>118</v>
      </c>
      <c r="C8" s="96" t="s">
        <v>185</v>
      </c>
      <c r="D8" s="96" t="s">
        <v>111</v>
      </c>
      <c r="E8" s="96" t="s">
        <v>186</v>
      </c>
      <c r="F8" s="96" t="s">
        <v>187</v>
      </c>
      <c r="G8" s="96" t="s">
        <v>174</v>
      </c>
      <c r="H8" s="96" t="s">
        <v>32</v>
      </c>
      <c r="I8" s="78" t="s">
        <v>175</v>
      </c>
      <c r="J8" s="96" t="s">
        <v>155</v>
      </c>
      <c r="K8" s="96" t="s">
        <v>176</v>
      </c>
      <c r="L8" s="96" t="s">
        <v>177</v>
      </c>
    </row>
    <row r="9" spans="1:13" x14ac:dyDescent="0.25">
      <c r="A9" s="79"/>
      <c r="B9" s="21" t="str">
        <f>IF(A9="","",IFERROR(VLOOKUP(A9,DB_Customers!$A:$D,4,0),"❌ Account Not Found"))</f>
        <v/>
      </c>
      <c r="C9" s="80" t="str">
        <f>IF(A9="","",IFERROR(VLOOKUP(A9,DB_Customers!$A:$N,14,0),""))</f>
        <v/>
      </c>
      <c r="D9" s="81" t="str">
        <f t="shared" ref="D9:D40" ca="1" si="0">IF(A9="","",TODAY())</f>
        <v/>
      </c>
      <c r="E9" s="97"/>
      <c r="F9" s="21"/>
      <c r="G9" s="98" t="str">
        <f t="shared" ref="G9:G40" si="1">IF(OR(A9="",E9=""),"",IF(C9="","",C9-E9))</f>
        <v/>
      </c>
      <c r="H9" s="23" t="s">
        <v>46</v>
      </c>
      <c r="I9" s="84"/>
      <c r="J9" s="85" t="str">
        <f>IF(AND(A9&lt;&gt;"",E9&lt;&gt;""),IF(I9="","⚠️ Enter Code",IF(IFERROR(VLOOKUP(H9,DB_Agents!$B:$I,8,0),"")=I9,IF(C9&gt;=E9,"Successful","Unsuccessful"),"🔒 BLOCKED — Wrong Code")),"—")</f>
        <v>—</v>
      </c>
      <c r="K9" s="86" t="str">
        <f t="shared" ref="K9:K40" ca="1" si="2">IF(J9="Successful",TEXT(TODAY(),"YYYY-MM-DD")&amp;" Auto","—")</f>
        <v>—</v>
      </c>
      <c r="L9" s="87"/>
    </row>
    <row r="10" spans="1:13" x14ac:dyDescent="0.25">
      <c r="A10" s="88"/>
      <c r="B10" s="25" t="str">
        <f>IF(A10="","",IFERROR(VLOOKUP(A10,DB_Customers!$A:$D,4,0),"❌ Account Not Found"))</f>
        <v/>
      </c>
      <c r="C10" s="89" t="str">
        <f>IF(A10="","",IFERROR(VLOOKUP(A10,DB_Customers!$A:$N,14,0),""))</f>
        <v/>
      </c>
      <c r="D10" s="90" t="str">
        <f t="shared" ca="1" si="0"/>
        <v/>
      </c>
      <c r="E10" s="97"/>
      <c r="F10" s="25"/>
      <c r="G10" s="99" t="str">
        <f t="shared" si="1"/>
        <v/>
      </c>
      <c r="H10" s="27" t="s">
        <v>46</v>
      </c>
      <c r="I10" s="84"/>
      <c r="J10" s="92" t="str">
        <f>IF(AND(A10&lt;&gt;"",E10&lt;&gt;""),IF(I10="","⚠️ Enter Code",IF(IFERROR(VLOOKUP(H10,DB_Agents!$B:$I,8,0),"")=I10,IF(C10&gt;=E10,"Successful","Unsuccessful"),"🔒 BLOCKED — Wrong Code")),"—")</f>
        <v>—</v>
      </c>
      <c r="K10" s="93" t="str">
        <f t="shared" ca="1" si="2"/>
        <v>—</v>
      </c>
      <c r="L10" s="94"/>
    </row>
    <row r="11" spans="1:13" x14ac:dyDescent="0.25">
      <c r="A11" s="79"/>
      <c r="B11" s="21" t="str">
        <f>IF(A11="","",IFERROR(VLOOKUP(A11,DB_Customers!$A:$D,4,0),"❌ Account Not Found"))</f>
        <v/>
      </c>
      <c r="C11" s="80" t="str">
        <f>IF(A11="","",IFERROR(VLOOKUP(A11,DB_Customers!$A:$N,14,0),""))</f>
        <v/>
      </c>
      <c r="D11" s="81" t="str">
        <f t="shared" ca="1" si="0"/>
        <v/>
      </c>
      <c r="E11" s="97"/>
      <c r="F11" s="21"/>
      <c r="G11" s="98" t="str">
        <f t="shared" si="1"/>
        <v/>
      </c>
      <c r="H11" s="23" t="s">
        <v>46</v>
      </c>
      <c r="I11" s="84"/>
      <c r="J11" s="85" t="str">
        <f>IF(AND(A11&lt;&gt;"",E11&lt;&gt;""),IF(I11="","⚠️ Enter Code",IF(IFERROR(VLOOKUP(H11,DB_Agents!$B:$I,8,0),"")=I11,IF(C11&gt;=E11,"Successful","Unsuccessful"),"🔒 BLOCKED — Wrong Code")),"—")</f>
        <v>—</v>
      </c>
      <c r="K11" s="86" t="str">
        <f t="shared" ca="1" si="2"/>
        <v>—</v>
      </c>
      <c r="L11" s="87"/>
    </row>
    <row r="12" spans="1:13" x14ac:dyDescent="0.25">
      <c r="A12" s="88"/>
      <c r="B12" s="25" t="str">
        <f>IF(A12="","",IFERROR(VLOOKUP(A12,DB_Customers!$A:$D,4,0),"❌ Account Not Found"))</f>
        <v/>
      </c>
      <c r="C12" s="89" t="str">
        <f>IF(A12="","",IFERROR(VLOOKUP(A12,DB_Customers!$A:$N,14,0),""))</f>
        <v/>
      </c>
      <c r="D12" s="90" t="str">
        <f t="shared" ca="1" si="0"/>
        <v/>
      </c>
      <c r="E12" s="97"/>
      <c r="F12" s="25"/>
      <c r="G12" s="99" t="str">
        <f t="shared" si="1"/>
        <v/>
      </c>
      <c r="H12" s="27" t="s">
        <v>46</v>
      </c>
      <c r="I12" s="84"/>
      <c r="J12" s="92" t="str">
        <f>IF(AND(A12&lt;&gt;"",E12&lt;&gt;""),IF(I12="","⚠️ Enter Code",IF(IFERROR(VLOOKUP(H12,DB_Agents!$B:$I,8,0),"")=I12,IF(C12&gt;=E12,"Successful","Unsuccessful"),"🔒 BLOCKED — Wrong Code")),"—")</f>
        <v>—</v>
      </c>
      <c r="K12" s="93" t="str">
        <f t="shared" ca="1" si="2"/>
        <v>—</v>
      </c>
      <c r="L12" s="94"/>
    </row>
    <row r="13" spans="1:13" x14ac:dyDescent="0.25">
      <c r="A13" s="79"/>
      <c r="B13" s="21" t="str">
        <f>IF(A13="","",IFERROR(VLOOKUP(A13,DB_Customers!$A:$D,4,0),"❌ Account Not Found"))</f>
        <v/>
      </c>
      <c r="C13" s="80" t="str">
        <f>IF(A13="","",IFERROR(VLOOKUP(A13,DB_Customers!$A:$N,14,0),""))</f>
        <v/>
      </c>
      <c r="D13" s="81" t="str">
        <f t="shared" ca="1" si="0"/>
        <v/>
      </c>
      <c r="E13" s="97"/>
      <c r="F13" s="21"/>
      <c r="G13" s="98" t="str">
        <f t="shared" si="1"/>
        <v/>
      </c>
      <c r="H13" s="23" t="s">
        <v>46</v>
      </c>
      <c r="I13" s="84"/>
      <c r="J13" s="85" t="str">
        <f>IF(AND(A13&lt;&gt;"",E13&lt;&gt;""),IF(I13="","⚠️ Enter Code",IF(IFERROR(VLOOKUP(H13,DB_Agents!$B:$I,8,0),"")=I13,IF(C13&gt;=E13,"Successful","Unsuccessful"),"🔒 BLOCKED — Wrong Code")),"—")</f>
        <v>—</v>
      </c>
      <c r="K13" s="86" t="str">
        <f t="shared" ca="1" si="2"/>
        <v>—</v>
      </c>
      <c r="L13" s="87"/>
    </row>
    <row r="14" spans="1:13" x14ac:dyDescent="0.25">
      <c r="A14" s="88"/>
      <c r="B14" s="25" t="str">
        <f>IF(A14="","",IFERROR(VLOOKUP(A14,DB_Customers!$A:$D,4,0),"❌ Account Not Found"))</f>
        <v/>
      </c>
      <c r="C14" s="89" t="str">
        <f>IF(A14="","",IFERROR(VLOOKUP(A14,DB_Customers!$A:$N,14,0),""))</f>
        <v/>
      </c>
      <c r="D14" s="90" t="str">
        <f t="shared" ca="1" si="0"/>
        <v/>
      </c>
      <c r="E14" s="97"/>
      <c r="F14" s="25"/>
      <c r="G14" s="99" t="str">
        <f t="shared" si="1"/>
        <v/>
      </c>
      <c r="H14" s="27"/>
      <c r="I14" s="84"/>
      <c r="J14" s="92" t="str">
        <f>IF(AND(A14&lt;&gt;"",E14&lt;&gt;""),IF(I14="","⚠️ Enter Code",IF(IFERROR(VLOOKUP(H14,DB_Agents!$B:$I,8,0),"")=I14,IF(C14&gt;=E14,"Successful","Unsuccessful"),"🔒 BLOCKED — Wrong Code")),"—")</f>
        <v>—</v>
      </c>
      <c r="K14" s="93" t="str">
        <f t="shared" ca="1" si="2"/>
        <v>—</v>
      </c>
      <c r="L14" s="94"/>
    </row>
    <row r="15" spans="1:13" x14ac:dyDescent="0.25">
      <c r="A15" s="79"/>
      <c r="B15" s="21" t="str">
        <f>IF(A15="","",IFERROR(VLOOKUP(A15,DB_Customers!$A:$D,4,0),"❌ Account Not Found"))</f>
        <v/>
      </c>
      <c r="C15" s="80" t="str">
        <f>IF(A15="","",IFERROR(VLOOKUP(A15,DB_Customers!$A:$N,14,0),""))</f>
        <v/>
      </c>
      <c r="D15" s="81" t="str">
        <f t="shared" ca="1" si="0"/>
        <v/>
      </c>
      <c r="E15" s="97"/>
      <c r="F15" s="21"/>
      <c r="G15" s="98" t="str">
        <f t="shared" si="1"/>
        <v/>
      </c>
      <c r="H15" s="23"/>
      <c r="I15" s="84"/>
      <c r="J15" s="85" t="str">
        <f>IF(AND(A15&lt;&gt;"",E15&lt;&gt;""),IF(I15="","⚠️ Enter Code",IF(IFERROR(VLOOKUP(H15,DB_Agents!$B:$I,8,0),"")=I15,IF(C15&gt;=E15,"Successful","Unsuccessful"),"🔒 BLOCKED — Wrong Code")),"—")</f>
        <v>—</v>
      </c>
      <c r="K15" s="86" t="str">
        <f t="shared" ca="1" si="2"/>
        <v>—</v>
      </c>
      <c r="L15" s="87"/>
    </row>
    <row r="16" spans="1:13" x14ac:dyDescent="0.25">
      <c r="A16" s="88"/>
      <c r="B16" s="25" t="str">
        <f>IF(A16="","",IFERROR(VLOOKUP(A16,DB_Customers!$A:$D,4,0),"❌ Account Not Found"))</f>
        <v/>
      </c>
      <c r="C16" s="89" t="str">
        <f>IF(A16="","",IFERROR(VLOOKUP(A16,DB_Customers!$A:$N,14,0),""))</f>
        <v/>
      </c>
      <c r="D16" s="90" t="str">
        <f t="shared" ca="1" si="0"/>
        <v/>
      </c>
      <c r="E16" s="97"/>
      <c r="F16" s="25"/>
      <c r="G16" s="99" t="str">
        <f t="shared" si="1"/>
        <v/>
      </c>
      <c r="H16" s="27"/>
      <c r="I16" s="84"/>
      <c r="J16" s="92" t="str">
        <f>IF(AND(A16&lt;&gt;"",E16&lt;&gt;""),IF(I16="","⚠️ Enter Code",IF(IFERROR(VLOOKUP(H16,DB_Agents!$B:$I,8,0),"")=I16,IF(C16&gt;=E16,"Successful","Unsuccessful"),"🔒 BLOCKED — Wrong Code")),"—")</f>
        <v>—</v>
      </c>
      <c r="K16" s="93" t="str">
        <f t="shared" ca="1" si="2"/>
        <v>—</v>
      </c>
      <c r="L16" s="94"/>
    </row>
    <row r="17" spans="1:12" x14ac:dyDescent="0.25">
      <c r="A17" s="79"/>
      <c r="B17" s="21" t="str">
        <f>IF(A17="","",IFERROR(VLOOKUP(A17,DB_Customers!$A:$D,4,0),"❌ Account Not Found"))</f>
        <v/>
      </c>
      <c r="C17" s="80" t="str">
        <f>IF(A17="","",IFERROR(VLOOKUP(A17,DB_Customers!$A:$N,14,0),""))</f>
        <v/>
      </c>
      <c r="D17" s="81" t="str">
        <f t="shared" ca="1" si="0"/>
        <v/>
      </c>
      <c r="E17" s="97"/>
      <c r="F17" s="21"/>
      <c r="G17" s="98" t="str">
        <f t="shared" si="1"/>
        <v/>
      </c>
      <c r="H17" s="23"/>
      <c r="I17" s="84"/>
      <c r="J17" s="85" t="str">
        <f>IF(AND(A17&lt;&gt;"",E17&lt;&gt;""),IF(I17="","⚠️ Enter Code",IF(IFERROR(VLOOKUP(H17,DB_Agents!$B:$I,8,0),"")=I17,IF(C17&gt;=E17,"Successful","Unsuccessful"),"🔒 BLOCKED — Wrong Code")),"—")</f>
        <v>—</v>
      </c>
      <c r="K17" s="86" t="str">
        <f t="shared" ca="1" si="2"/>
        <v>—</v>
      </c>
      <c r="L17" s="87"/>
    </row>
    <row r="18" spans="1:12" x14ac:dyDescent="0.25">
      <c r="A18" s="88"/>
      <c r="B18" s="25" t="str">
        <f>IF(A18="","",IFERROR(VLOOKUP(A18,DB_Customers!$A:$D,4,0),"❌ Account Not Found"))</f>
        <v/>
      </c>
      <c r="C18" s="89" t="str">
        <f>IF(A18="","",IFERROR(VLOOKUP(A18,DB_Customers!$A:$N,14,0),""))</f>
        <v/>
      </c>
      <c r="D18" s="90" t="str">
        <f t="shared" ca="1" si="0"/>
        <v/>
      </c>
      <c r="E18" s="97"/>
      <c r="F18" s="25"/>
      <c r="G18" s="99" t="str">
        <f t="shared" si="1"/>
        <v/>
      </c>
      <c r="H18" s="27"/>
      <c r="I18" s="84"/>
      <c r="J18" s="92" t="str">
        <f>IF(AND(A18&lt;&gt;"",E18&lt;&gt;""),IF(I18="","⚠️ Enter Code",IF(IFERROR(VLOOKUP(H18,DB_Agents!$B:$I,8,0),"")=I18,IF(C18&gt;=E18,"Successful","Unsuccessful"),"🔒 BLOCKED — Wrong Code")),"—")</f>
        <v>—</v>
      </c>
      <c r="K18" s="93" t="str">
        <f t="shared" ca="1" si="2"/>
        <v>—</v>
      </c>
      <c r="L18" s="94"/>
    </row>
    <row r="19" spans="1:12" x14ac:dyDescent="0.25">
      <c r="A19" s="79"/>
      <c r="B19" s="21" t="str">
        <f>IF(A19="","",IFERROR(VLOOKUP(A19,DB_Customers!$A:$D,4,0),"❌ Account Not Found"))</f>
        <v/>
      </c>
      <c r="C19" s="80" t="str">
        <f>IF(A19="","",IFERROR(VLOOKUP(A19,DB_Customers!$A:$N,14,0),""))</f>
        <v/>
      </c>
      <c r="D19" s="81" t="str">
        <f t="shared" ca="1" si="0"/>
        <v/>
      </c>
      <c r="E19" s="97"/>
      <c r="F19" s="21"/>
      <c r="G19" s="98" t="str">
        <f t="shared" si="1"/>
        <v/>
      </c>
      <c r="H19" s="23"/>
      <c r="I19" s="84"/>
      <c r="J19" s="85" t="str">
        <f>IF(AND(A19&lt;&gt;"",E19&lt;&gt;""),IF(I19="","⚠️ Enter Code",IF(IFERROR(VLOOKUP(H19,DB_Agents!$B:$I,8,0),"")=I19,IF(C19&gt;=E19,"Successful","Unsuccessful"),"🔒 BLOCKED — Wrong Code")),"—")</f>
        <v>—</v>
      </c>
      <c r="K19" s="86" t="str">
        <f t="shared" ca="1" si="2"/>
        <v>—</v>
      </c>
      <c r="L19" s="87"/>
    </row>
    <row r="20" spans="1:12" x14ac:dyDescent="0.25">
      <c r="A20" s="88"/>
      <c r="B20" s="25" t="str">
        <f>IF(A20="","",IFERROR(VLOOKUP(A20,DB_Customers!$A:$D,4,0),"❌ Account Not Found"))</f>
        <v/>
      </c>
      <c r="C20" s="89" t="str">
        <f>IF(A20="","",IFERROR(VLOOKUP(A20,DB_Customers!$A:$N,14,0),""))</f>
        <v/>
      </c>
      <c r="D20" s="90" t="str">
        <f t="shared" ca="1" si="0"/>
        <v/>
      </c>
      <c r="E20" s="97"/>
      <c r="F20" s="25"/>
      <c r="G20" s="99" t="str">
        <f t="shared" si="1"/>
        <v/>
      </c>
      <c r="H20" s="27"/>
      <c r="I20" s="84"/>
      <c r="J20" s="92" t="str">
        <f>IF(AND(A20&lt;&gt;"",E20&lt;&gt;""),IF(I20="","⚠️ Enter Code",IF(IFERROR(VLOOKUP(H20,DB_Agents!$B:$I,8,0),"")=I20,IF(C20&gt;=E20,"Successful","Unsuccessful"),"🔒 BLOCKED — Wrong Code")),"—")</f>
        <v>—</v>
      </c>
      <c r="K20" s="93" t="str">
        <f t="shared" ca="1" si="2"/>
        <v>—</v>
      </c>
      <c r="L20" s="94"/>
    </row>
    <row r="21" spans="1:12" x14ac:dyDescent="0.25">
      <c r="A21" s="79"/>
      <c r="B21" s="21" t="str">
        <f>IF(A21="","",IFERROR(VLOOKUP(A21,DB_Customers!$A:$D,4,0),"❌ Account Not Found"))</f>
        <v/>
      </c>
      <c r="C21" s="80" t="str">
        <f>IF(A21="","",IFERROR(VLOOKUP(A21,DB_Customers!$A:$N,14,0),""))</f>
        <v/>
      </c>
      <c r="D21" s="81" t="str">
        <f t="shared" ca="1" si="0"/>
        <v/>
      </c>
      <c r="E21" s="97"/>
      <c r="F21" s="21"/>
      <c r="G21" s="98" t="str">
        <f t="shared" si="1"/>
        <v/>
      </c>
      <c r="H21" s="23"/>
      <c r="I21" s="84"/>
      <c r="J21" s="85" t="str">
        <f>IF(AND(A21&lt;&gt;"",E21&lt;&gt;""),IF(I21="","⚠️ Enter Code",IF(IFERROR(VLOOKUP(H21,DB_Agents!$B:$I,8,0),"")=I21,IF(C21&gt;=E21,"Successful","Unsuccessful"),"🔒 BLOCKED — Wrong Code")),"—")</f>
        <v>—</v>
      </c>
      <c r="K21" s="86" t="str">
        <f t="shared" ca="1" si="2"/>
        <v>—</v>
      </c>
      <c r="L21" s="87"/>
    </row>
    <row r="22" spans="1:12" x14ac:dyDescent="0.25">
      <c r="A22" s="88"/>
      <c r="B22" s="25" t="str">
        <f>IF(A22="","",IFERROR(VLOOKUP(A22,DB_Customers!$A:$D,4,0),"❌ Account Not Found"))</f>
        <v/>
      </c>
      <c r="C22" s="89" t="str">
        <f>IF(A22="","",IFERROR(VLOOKUP(A22,DB_Customers!$A:$N,14,0),""))</f>
        <v/>
      </c>
      <c r="D22" s="90" t="str">
        <f t="shared" ca="1" si="0"/>
        <v/>
      </c>
      <c r="E22" s="97"/>
      <c r="F22" s="25"/>
      <c r="G22" s="99" t="str">
        <f t="shared" si="1"/>
        <v/>
      </c>
      <c r="H22" s="27"/>
      <c r="I22" s="84"/>
      <c r="J22" s="92" t="str">
        <f>IF(AND(A22&lt;&gt;"",E22&lt;&gt;""),IF(I22="","⚠️ Enter Code",IF(IFERROR(VLOOKUP(H22,DB_Agents!$B:$I,8,0),"")=I22,IF(C22&gt;=E22,"Successful","Unsuccessful"),"🔒 BLOCKED — Wrong Code")),"—")</f>
        <v>—</v>
      </c>
      <c r="K22" s="93" t="str">
        <f t="shared" ca="1" si="2"/>
        <v>—</v>
      </c>
      <c r="L22" s="94"/>
    </row>
    <row r="23" spans="1:12" x14ac:dyDescent="0.25">
      <c r="A23" s="79"/>
      <c r="B23" s="21" t="str">
        <f>IF(A23="","",IFERROR(VLOOKUP(A23,DB_Customers!$A:$D,4,0),"❌ Account Not Found"))</f>
        <v/>
      </c>
      <c r="C23" s="80" t="str">
        <f>IF(A23="","",IFERROR(VLOOKUP(A23,DB_Customers!$A:$N,14,0),""))</f>
        <v/>
      </c>
      <c r="D23" s="81" t="str">
        <f t="shared" ca="1" si="0"/>
        <v/>
      </c>
      <c r="E23" s="97"/>
      <c r="F23" s="21"/>
      <c r="G23" s="98" t="str">
        <f t="shared" si="1"/>
        <v/>
      </c>
      <c r="H23" s="23"/>
      <c r="I23" s="84"/>
      <c r="J23" s="85" t="str">
        <f>IF(AND(A23&lt;&gt;"",E23&lt;&gt;""),IF(I23="","⚠️ Enter Code",IF(IFERROR(VLOOKUP(H23,DB_Agents!$B:$I,8,0),"")=I23,IF(C23&gt;=E23,"Successful","Unsuccessful"),"🔒 BLOCKED — Wrong Code")),"—")</f>
        <v>—</v>
      </c>
      <c r="K23" s="86" t="str">
        <f t="shared" ca="1" si="2"/>
        <v>—</v>
      </c>
      <c r="L23" s="87"/>
    </row>
    <row r="24" spans="1:12" x14ac:dyDescent="0.25">
      <c r="A24" s="88"/>
      <c r="B24" s="25" t="str">
        <f>IF(A24="","",IFERROR(VLOOKUP(A24,DB_Customers!$A:$D,4,0),"❌ Account Not Found"))</f>
        <v/>
      </c>
      <c r="C24" s="89" t="str">
        <f>IF(A24="","",IFERROR(VLOOKUP(A24,DB_Customers!$A:$N,14,0),""))</f>
        <v/>
      </c>
      <c r="D24" s="90" t="str">
        <f t="shared" ca="1" si="0"/>
        <v/>
      </c>
      <c r="E24" s="97"/>
      <c r="F24" s="25"/>
      <c r="G24" s="99" t="str">
        <f t="shared" si="1"/>
        <v/>
      </c>
      <c r="H24" s="27"/>
      <c r="I24" s="84"/>
      <c r="J24" s="92" t="str">
        <f>IF(AND(A24&lt;&gt;"",E24&lt;&gt;""),IF(I24="","⚠️ Enter Code",IF(IFERROR(VLOOKUP(H24,DB_Agents!$B:$I,8,0),"")=I24,IF(C24&gt;=E24,"Successful","Unsuccessful"),"🔒 BLOCKED — Wrong Code")),"—")</f>
        <v>—</v>
      </c>
      <c r="K24" s="93" t="str">
        <f t="shared" ca="1" si="2"/>
        <v>—</v>
      </c>
      <c r="L24" s="94"/>
    </row>
    <row r="25" spans="1:12" x14ac:dyDescent="0.25">
      <c r="A25" s="79"/>
      <c r="B25" s="21" t="str">
        <f>IF(A25="","",IFERROR(VLOOKUP(A25,DB_Customers!$A:$D,4,0),"❌ Account Not Found"))</f>
        <v/>
      </c>
      <c r="C25" s="80" t="str">
        <f>IF(A25="","",IFERROR(VLOOKUP(A25,DB_Customers!$A:$N,14,0),""))</f>
        <v/>
      </c>
      <c r="D25" s="81" t="str">
        <f t="shared" ca="1" si="0"/>
        <v/>
      </c>
      <c r="E25" s="97"/>
      <c r="F25" s="21"/>
      <c r="G25" s="98" t="str">
        <f t="shared" si="1"/>
        <v/>
      </c>
      <c r="H25" s="23"/>
      <c r="I25" s="84"/>
      <c r="J25" s="85" t="str">
        <f>IF(AND(A25&lt;&gt;"",E25&lt;&gt;""),IF(I25="","⚠️ Enter Code",IF(IFERROR(VLOOKUP(H25,DB_Agents!$B:$I,8,0),"")=I25,IF(C25&gt;=E25,"Successful","Unsuccessful"),"🔒 BLOCKED — Wrong Code")),"—")</f>
        <v>—</v>
      </c>
      <c r="K25" s="86" t="str">
        <f t="shared" ca="1" si="2"/>
        <v>—</v>
      </c>
      <c r="L25" s="87"/>
    </row>
    <row r="26" spans="1:12" x14ac:dyDescent="0.25">
      <c r="A26" s="88"/>
      <c r="B26" s="25" t="str">
        <f>IF(A26="","",IFERROR(VLOOKUP(A26,DB_Customers!$A:$D,4,0),"❌ Account Not Found"))</f>
        <v/>
      </c>
      <c r="C26" s="89" t="str">
        <f>IF(A26="","",IFERROR(VLOOKUP(A26,DB_Customers!$A:$N,14,0),""))</f>
        <v/>
      </c>
      <c r="D26" s="90" t="str">
        <f t="shared" ca="1" si="0"/>
        <v/>
      </c>
      <c r="E26" s="97"/>
      <c r="F26" s="25"/>
      <c r="G26" s="99" t="str">
        <f t="shared" si="1"/>
        <v/>
      </c>
      <c r="H26" s="27"/>
      <c r="I26" s="84"/>
      <c r="J26" s="92" t="str">
        <f>IF(AND(A26&lt;&gt;"",E26&lt;&gt;""),IF(I26="","⚠️ Enter Code",IF(IFERROR(VLOOKUP(H26,DB_Agents!$B:$I,8,0),"")=I26,IF(C26&gt;=E26,"Successful","Unsuccessful"),"🔒 BLOCKED — Wrong Code")),"—")</f>
        <v>—</v>
      </c>
      <c r="K26" s="93" t="str">
        <f t="shared" ca="1" si="2"/>
        <v>—</v>
      </c>
      <c r="L26" s="94"/>
    </row>
    <row r="27" spans="1:12" x14ac:dyDescent="0.25">
      <c r="A27" s="79"/>
      <c r="B27" s="21" t="str">
        <f>IF(A27="","",IFERROR(VLOOKUP(A27,DB_Customers!$A:$D,4,0),"❌ Account Not Found"))</f>
        <v/>
      </c>
      <c r="C27" s="80" t="str">
        <f>IF(A27="","",IFERROR(VLOOKUP(A27,DB_Customers!$A:$N,14,0),""))</f>
        <v/>
      </c>
      <c r="D27" s="81" t="str">
        <f t="shared" ca="1" si="0"/>
        <v/>
      </c>
      <c r="E27" s="97"/>
      <c r="F27" s="21"/>
      <c r="G27" s="98" t="str">
        <f t="shared" si="1"/>
        <v/>
      </c>
      <c r="H27" s="23"/>
      <c r="I27" s="84"/>
      <c r="J27" s="85" t="str">
        <f>IF(AND(A27&lt;&gt;"",E27&lt;&gt;""),IF(I27="","⚠️ Enter Code",IF(IFERROR(VLOOKUP(H27,DB_Agents!$B:$I,8,0),"")=I27,IF(C27&gt;=E27,"Successful","Unsuccessful"),"🔒 BLOCKED — Wrong Code")),"—")</f>
        <v>—</v>
      </c>
      <c r="K27" s="86" t="str">
        <f t="shared" ca="1" si="2"/>
        <v>—</v>
      </c>
      <c r="L27" s="87"/>
    </row>
    <row r="28" spans="1:12" x14ac:dyDescent="0.25">
      <c r="A28" s="88"/>
      <c r="B28" s="25" t="str">
        <f>IF(A28="","",IFERROR(VLOOKUP(A28,DB_Customers!$A:$D,4,0),"❌ Account Not Found"))</f>
        <v/>
      </c>
      <c r="C28" s="89" t="str">
        <f>IF(A28="","",IFERROR(VLOOKUP(A28,DB_Customers!$A:$N,14,0),""))</f>
        <v/>
      </c>
      <c r="D28" s="90" t="str">
        <f t="shared" ca="1" si="0"/>
        <v/>
      </c>
      <c r="E28" s="97"/>
      <c r="F28" s="25"/>
      <c r="G28" s="99" t="str">
        <f t="shared" si="1"/>
        <v/>
      </c>
      <c r="H28" s="27"/>
      <c r="I28" s="84"/>
      <c r="J28" s="92" t="str">
        <f>IF(AND(A28&lt;&gt;"",E28&lt;&gt;""),IF(I28="","⚠️ Enter Code",IF(IFERROR(VLOOKUP(H28,DB_Agents!$B:$I,8,0),"")=I28,IF(C28&gt;=E28,"Successful","Unsuccessful"),"🔒 BLOCKED — Wrong Code")),"—")</f>
        <v>—</v>
      </c>
      <c r="K28" s="93" t="str">
        <f t="shared" ca="1" si="2"/>
        <v>—</v>
      </c>
      <c r="L28" s="94"/>
    </row>
    <row r="29" spans="1:12" x14ac:dyDescent="0.25">
      <c r="A29" s="79"/>
      <c r="B29" s="21" t="str">
        <f>IF(A29="","",IFERROR(VLOOKUP(A29,DB_Customers!$A:$D,4,0),"❌ Account Not Found"))</f>
        <v/>
      </c>
      <c r="C29" s="80" t="str">
        <f>IF(A29="","",IFERROR(VLOOKUP(A29,DB_Customers!$A:$N,14,0),""))</f>
        <v/>
      </c>
      <c r="D29" s="81" t="str">
        <f t="shared" ca="1" si="0"/>
        <v/>
      </c>
      <c r="E29" s="97"/>
      <c r="F29" s="21"/>
      <c r="G29" s="98" t="str">
        <f t="shared" si="1"/>
        <v/>
      </c>
      <c r="H29" s="23"/>
      <c r="I29" s="84"/>
      <c r="J29" s="85" t="str">
        <f>IF(AND(A29&lt;&gt;"",E29&lt;&gt;""),IF(I29="","⚠️ Enter Code",IF(IFERROR(VLOOKUP(H29,DB_Agents!$B:$I,8,0),"")=I29,IF(C29&gt;=E29,"Successful","Unsuccessful"),"🔒 BLOCKED — Wrong Code")),"—")</f>
        <v>—</v>
      </c>
      <c r="K29" s="86" t="str">
        <f t="shared" ca="1" si="2"/>
        <v>—</v>
      </c>
      <c r="L29" s="87"/>
    </row>
    <row r="30" spans="1:12" x14ac:dyDescent="0.25">
      <c r="A30" s="88"/>
      <c r="B30" s="25" t="str">
        <f>IF(A30="","",IFERROR(VLOOKUP(A30,DB_Customers!$A:$D,4,0),"❌ Account Not Found"))</f>
        <v/>
      </c>
      <c r="C30" s="89" t="str">
        <f>IF(A30="","",IFERROR(VLOOKUP(A30,DB_Customers!$A:$N,14,0),""))</f>
        <v/>
      </c>
      <c r="D30" s="90" t="str">
        <f t="shared" ca="1" si="0"/>
        <v/>
      </c>
      <c r="E30" s="97"/>
      <c r="F30" s="25"/>
      <c r="G30" s="99" t="str">
        <f t="shared" si="1"/>
        <v/>
      </c>
      <c r="H30" s="27"/>
      <c r="I30" s="84"/>
      <c r="J30" s="92" t="str">
        <f>IF(AND(A30&lt;&gt;"",E30&lt;&gt;""),IF(I30="","⚠️ Enter Code",IF(IFERROR(VLOOKUP(H30,DB_Agents!$B:$I,8,0),"")=I30,IF(C30&gt;=E30,"Successful","Unsuccessful"),"🔒 BLOCKED — Wrong Code")),"—")</f>
        <v>—</v>
      </c>
      <c r="K30" s="93" t="str">
        <f t="shared" ca="1" si="2"/>
        <v>—</v>
      </c>
      <c r="L30" s="94"/>
    </row>
    <row r="31" spans="1:12" x14ac:dyDescent="0.25">
      <c r="A31" s="79"/>
      <c r="B31" s="21" t="str">
        <f>IF(A31="","",IFERROR(VLOOKUP(A31,DB_Customers!$A:$D,4,0),"❌ Account Not Found"))</f>
        <v/>
      </c>
      <c r="C31" s="80" t="str">
        <f>IF(A31="","",IFERROR(VLOOKUP(A31,DB_Customers!$A:$N,14,0),""))</f>
        <v/>
      </c>
      <c r="D31" s="81" t="str">
        <f t="shared" ca="1" si="0"/>
        <v/>
      </c>
      <c r="E31" s="97"/>
      <c r="F31" s="21"/>
      <c r="G31" s="98" t="str">
        <f t="shared" si="1"/>
        <v/>
      </c>
      <c r="H31" s="23"/>
      <c r="I31" s="84"/>
      <c r="J31" s="85" t="str">
        <f>IF(AND(A31&lt;&gt;"",E31&lt;&gt;""),IF(I31="","⚠️ Enter Code",IF(IFERROR(VLOOKUP(H31,DB_Agents!$B:$I,8,0),"")=I31,IF(C31&gt;=E31,"Successful","Unsuccessful"),"🔒 BLOCKED — Wrong Code")),"—")</f>
        <v>—</v>
      </c>
      <c r="K31" s="86" t="str">
        <f t="shared" ca="1" si="2"/>
        <v>—</v>
      </c>
      <c r="L31" s="87"/>
    </row>
    <row r="32" spans="1:12" x14ac:dyDescent="0.25">
      <c r="A32" s="88"/>
      <c r="B32" s="25" t="str">
        <f>IF(A32="","",IFERROR(VLOOKUP(A32,DB_Customers!$A:$D,4,0),"❌ Account Not Found"))</f>
        <v/>
      </c>
      <c r="C32" s="89" t="str">
        <f>IF(A32="","",IFERROR(VLOOKUP(A32,DB_Customers!$A:$N,14,0),""))</f>
        <v/>
      </c>
      <c r="D32" s="90" t="str">
        <f t="shared" ca="1" si="0"/>
        <v/>
      </c>
      <c r="E32" s="97"/>
      <c r="F32" s="25"/>
      <c r="G32" s="99" t="str">
        <f t="shared" si="1"/>
        <v/>
      </c>
      <c r="H32" s="27"/>
      <c r="I32" s="84"/>
      <c r="J32" s="92" t="str">
        <f>IF(AND(A32&lt;&gt;"",E32&lt;&gt;""),IF(I32="","⚠️ Enter Code",IF(IFERROR(VLOOKUP(H32,DB_Agents!$B:$I,8,0),"")=I32,IF(C32&gt;=E32,"Successful","Unsuccessful"),"🔒 BLOCKED — Wrong Code")),"—")</f>
        <v>—</v>
      </c>
      <c r="K32" s="93" t="str">
        <f t="shared" ca="1" si="2"/>
        <v>—</v>
      </c>
      <c r="L32" s="94"/>
    </row>
    <row r="33" spans="1:12" x14ac:dyDescent="0.25">
      <c r="A33" s="79"/>
      <c r="B33" s="21" t="str">
        <f>IF(A33="","",IFERROR(VLOOKUP(A33,DB_Customers!$A:$D,4,0),"❌ Account Not Found"))</f>
        <v/>
      </c>
      <c r="C33" s="80" t="str">
        <f>IF(A33="","",IFERROR(VLOOKUP(A33,DB_Customers!$A:$N,14,0),""))</f>
        <v/>
      </c>
      <c r="D33" s="81" t="str">
        <f t="shared" ca="1" si="0"/>
        <v/>
      </c>
      <c r="E33" s="97"/>
      <c r="F33" s="21"/>
      <c r="G33" s="98" t="str">
        <f t="shared" si="1"/>
        <v/>
      </c>
      <c r="H33" s="23"/>
      <c r="I33" s="84"/>
      <c r="J33" s="85" t="str">
        <f>IF(AND(A33&lt;&gt;"",E33&lt;&gt;""),IF(I33="","⚠️ Enter Code",IF(IFERROR(VLOOKUP(H33,DB_Agents!$B:$I,8,0),"")=I33,IF(C33&gt;=E33,"Successful","Unsuccessful"),"🔒 BLOCKED — Wrong Code")),"—")</f>
        <v>—</v>
      </c>
      <c r="K33" s="86" t="str">
        <f t="shared" ca="1" si="2"/>
        <v>—</v>
      </c>
      <c r="L33" s="87"/>
    </row>
    <row r="34" spans="1:12" x14ac:dyDescent="0.25">
      <c r="A34" s="88"/>
      <c r="B34" s="25" t="str">
        <f>IF(A34="","",IFERROR(VLOOKUP(A34,DB_Customers!$A:$D,4,0),"❌ Account Not Found"))</f>
        <v/>
      </c>
      <c r="C34" s="89" t="str">
        <f>IF(A34="","",IFERROR(VLOOKUP(A34,DB_Customers!$A:$N,14,0),""))</f>
        <v/>
      </c>
      <c r="D34" s="90" t="str">
        <f t="shared" ca="1" si="0"/>
        <v/>
      </c>
      <c r="E34" s="97"/>
      <c r="F34" s="25"/>
      <c r="G34" s="99" t="str">
        <f t="shared" si="1"/>
        <v/>
      </c>
      <c r="H34" s="27"/>
      <c r="I34" s="84"/>
      <c r="J34" s="92" t="str">
        <f>IF(AND(A34&lt;&gt;"",E34&lt;&gt;""),IF(I34="","⚠️ Enter Code",IF(IFERROR(VLOOKUP(H34,DB_Agents!$B:$I,8,0),"")=I34,IF(C34&gt;=E34,"Successful","Unsuccessful"),"🔒 BLOCKED — Wrong Code")),"—")</f>
        <v>—</v>
      </c>
      <c r="K34" s="93" t="str">
        <f t="shared" ca="1" si="2"/>
        <v>—</v>
      </c>
      <c r="L34" s="94"/>
    </row>
    <row r="35" spans="1:12" x14ac:dyDescent="0.25">
      <c r="A35" s="79"/>
      <c r="B35" s="21" t="str">
        <f>IF(A35="","",IFERROR(VLOOKUP(A35,DB_Customers!$A:$D,4,0),"❌ Account Not Found"))</f>
        <v/>
      </c>
      <c r="C35" s="80" t="str">
        <f>IF(A35="","",IFERROR(VLOOKUP(A35,DB_Customers!$A:$N,14,0),""))</f>
        <v/>
      </c>
      <c r="D35" s="81" t="str">
        <f t="shared" ca="1" si="0"/>
        <v/>
      </c>
      <c r="E35" s="97"/>
      <c r="F35" s="21"/>
      <c r="G35" s="98" t="str">
        <f t="shared" si="1"/>
        <v/>
      </c>
      <c r="H35" s="23"/>
      <c r="I35" s="84"/>
      <c r="J35" s="85" t="str">
        <f>IF(AND(A35&lt;&gt;"",E35&lt;&gt;""),IF(I35="","⚠️ Enter Code",IF(IFERROR(VLOOKUP(H35,DB_Agents!$B:$I,8,0),"")=I35,IF(C35&gt;=E35,"Successful","Unsuccessful"),"🔒 BLOCKED — Wrong Code")),"—")</f>
        <v>—</v>
      </c>
      <c r="K35" s="86" t="str">
        <f t="shared" ca="1" si="2"/>
        <v>—</v>
      </c>
      <c r="L35" s="87"/>
    </row>
    <row r="36" spans="1:12" x14ac:dyDescent="0.25">
      <c r="A36" s="88"/>
      <c r="B36" s="25" t="str">
        <f>IF(A36="","",IFERROR(VLOOKUP(A36,DB_Customers!$A:$D,4,0),"❌ Account Not Found"))</f>
        <v/>
      </c>
      <c r="C36" s="89" t="str">
        <f>IF(A36="","",IFERROR(VLOOKUP(A36,DB_Customers!$A:$N,14,0),""))</f>
        <v/>
      </c>
      <c r="D36" s="90" t="str">
        <f t="shared" ca="1" si="0"/>
        <v/>
      </c>
      <c r="E36" s="97"/>
      <c r="F36" s="25"/>
      <c r="G36" s="99" t="str">
        <f t="shared" si="1"/>
        <v/>
      </c>
      <c r="H36" s="27"/>
      <c r="I36" s="84"/>
      <c r="J36" s="92" t="str">
        <f>IF(AND(A36&lt;&gt;"",E36&lt;&gt;""),IF(I36="","⚠️ Enter Code",IF(IFERROR(VLOOKUP(H36,DB_Agents!$B:$I,8,0),"")=I36,IF(C36&gt;=E36,"Successful","Unsuccessful"),"🔒 BLOCKED — Wrong Code")),"—")</f>
        <v>—</v>
      </c>
      <c r="K36" s="93" t="str">
        <f t="shared" ca="1" si="2"/>
        <v>—</v>
      </c>
      <c r="L36" s="94"/>
    </row>
    <row r="37" spans="1:12" x14ac:dyDescent="0.25">
      <c r="A37" s="79"/>
      <c r="B37" s="21" t="str">
        <f>IF(A37="","",IFERROR(VLOOKUP(A37,DB_Customers!$A:$D,4,0),"❌ Account Not Found"))</f>
        <v/>
      </c>
      <c r="C37" s="80" t="str">
        <f>IF(A37="","",IFERROR(VLOOKUP(A37,DB_Customers!$A:$N,14,0),""))</f>
        <v/>
      </c>
      <c r="D37" s="81" t="str">
        <f t="shared" ca="1" si="0"/>
        <v/>
      </c>
      <c r="E37" s="97"/>
      <c r="F37" s="21"/>
      <c r="G37" s="98" t="str">
        <f t="shared" si="1"/>
        <v/>
      </c>
      <c r="H37" s="23"/>
      <c r="I37" s="84"/>
      <c r="J37" s="85" t="str">
        <f>IF(AND(A37&lt;&gt;"",E37&lt;&gt;""),IF(I37="","⚠️ Enter Code",IF(IFERROR(VLOOKUP(H37,DB_Agents!$B:$I,8,0),"")=I37,IF(C37&gt;=E37,"Successful","Unsuccessful"),"🔒 BLOCKED — Wrong Code")),"—")</f>
        <v>—</v>
      </c>
      <c r="K37" s="86" t="str">
        <f t="shared" ca="1" si="2"/>
        <v>—</v>
      </c>
      <c r="L37" s="87"/>
    </row>
    <row r="38" spans="1:12" x14ac:dyDescent="0.25">
      <c r="A38" s="88"/>
      <c r="B38" s="25" t="str">
        <f>IF(A38="","",IFERROR(VLOOKUP(A38,DB_Customers!$A:$D,4,0),"❌ Account Not Found"))</f>
        <v/>
      </c>
      <c r="C38" s="89" t="str">
        <f>IF(A38="","",IFERROR(VLOOKUP(A38,DB_Customers!$A:$N,14,0),""))</f>
        <v/>
      </c>
      <c r="D38" s="90" t="str">
        <f t="shared" ca="1" si="0"/>
        <v/>
      </c>
      <c r="E38" s="97"/>
      <c r="F38" s="25"/>
      <c r="G38" s="99" t="str">
        <f t="shared" si="1"/>
        <v/>
      </c>
      <c r="H38" s="27"/>
      <c r="I38" s="84"/>
      <c r="J38" s="92" t="str">
        <f>IF(AND(A38&lt;&gt;"",E38&lt;&gt;""),IF(I38="","⚠️ Enter Code",IF(IFERROR(VLOOKUP(H38,DB_Agents!$B:$I,8,0),"")=I38,IF(C38&gt;=E38,"Successful","Unsuccessful"),"🔒 BLOCKED — Wrong Code")),"—")</f>
        <v>—</v>
      </c>
      <c r="K38" s="93" t="str">
        <f t="shared" ca="1" si="2"/>
        <v>—</v>
      </c>
      <c r="L38" s="94"/>
    </row>
    <row r="39" spans="1:12" x14ac:dyDescent="0.25">
      <c r="A39" s="79"/>
      <c r="B39" s="21" t="str">
        <f>IF(A39="","",IFERROR(VLOOKUP(A39,DB_Customers!$A:$D,4,0),"❌ Account Not Found"))</f>
        <v/>
      </c>
      <c r="C39" s="80" t="str">
        <f>IF(A39="","",IFERROR(VLOOKUP(A39,DB_Customers!$A:$N,14,0),""))</f>
        <v/>
      </c>
      <c r="D39" s="81" t="str">
        <f t="shared" ca="1" si="0"/>
        <v/>
      </c>
      <c r="E39" s="97"/>
      <c r="F39" s="21"/>
      <c r="G39" s="98" t="str">
        <f t="shared" si="1"/>
        <v/>
      </c>
      <c r="H39" s="23"/>
      <c r="I39" s="84"/>
      <c r="J39" s="85" t="str">
        <f>IF(AND(A39&lt;&gt;"",E39&lt;&gt;""),IF(I39="","⚠️ Enter Code",IF(IFERROR(VLOOKUP(H39,DB_Agents!$B:$I,8,0),"")=I39,IF(C39&gt;=E39,"Successful","Unsuccessful"),"🔒 BLOCKED — Wrong Code")),"—")</f>
        <v>—</v>
      </c>
      <c r="K39" s="86" t="str">
        <f t="shared" ca="1" si="2"/>
        <v>—</v>
      </c>
      <c r="L39" s="87"/>
    </row>
    <row r="40" spans="1:12" x14ac:dyDescent="0.25">
      <c r="A40" s="88"/>
      <c r="B40" s="25" t="str">
        <f>IF(A40="","",IFERROR(VLOOKUP(A40,DB_Customers!$A:$D,4,0),"❌ Account Not Found"))</f>
        <v/>
      </c>
      <c r="C40" s="89" t="str">
        <f>IF(A40="","",IFERROR(VLOOKUP(A40,DB_Customers!$A:$N,14,0),""))</f>
        <v/>
      </c>
      <c r="D40" s="90" t="str">
        <f t="shared" ca="1" si="0"/>
        <v/>
      </c>
      <c r="E40" s="97"/>
      <c r="F40" s="25"/>
      <c r="G40" s="99" t="str">
        <f t="shared" si="1"/>
        <v/>
      </c>
      <c r="H40" s="27"/>
      <c r="I40" s="84"/>
      <c r="J40" s="92" t="str">
        <f>IF(AND(A40&lt;&gt;"",E40&lt;&gt;""),IF(I40="","⚠️ Enter Code",IF(IFERROR(VLOOKUP(H40,DB_Agents!$B:$I,8,0),"")=I40,IF(C40&gt;=E40,"Successful","Unsuccessful"),"🔒 BLOCKED — Wrong Code")),"—")</f>
        <v>—</v>
      </c>
      <c r="K40" s="93" t="str">
        <f t="shared" ca="1" si="2"/>
        <v>—</v>
      </c>
      <c r="L40" s="94"/>
    </row>
    <row r="41" spans="1:12" x14ac:dyDescent="0.25">
      <c r="A41" s="79"/>
      <c r="B41" s="21" t="str">
        <f>IF(A41="","",IFERROR(VLOOKUP(A41,DB_Customers!$A:$D,4,0),"❌ Account Not Found"))</f>
        <v/>
      </c>
      <c r="C41" s="80" t="str">
        <f>IF(A41="","",IFERROR(VLOOKUP(A41,DB_Customers!$A:$N,14,0),""))</f>
        <v/>
      </c>
      <c r="D41" s="81" t="str">
        <f t="shared" ref="D41:D72" ca="1" si="3">IF(A41="","",TODAY())</f>
        <v/>
      </c>
      <c r="E41" s="97"/>
      <c r="F41" s="21"/>
      <c r="G41" s="98" t="str">
        <f t="shared" ref="G41:G72" si="4">IF(OR(A41="",E41=""),"",IF(C41="","",C41-E41))</f>
        <v/>
      </c>
      <c r="H41" s="23"/>
      <c r="I41" s="84"/>
      <c r="J41" s="85" t="str">
        <f>IF(AND(A41&lt;&gt;"",E41&lt;&gt;""),IF(I41="","⚠️ Enter Code",IF(IFERROR(VLOOKUP(H41,DB_Agents!$B:$I,8,0),"")=I41,IF(C41&gt;=E41,"Successful","Unsuccessful"),"🔒 BLOCKED — Wrong Code")),"—")</f>
        <v>—</v>
      </c>
      <c r="K41" s="86" t="str">
        <f t="shared" ref="K41:K72" ca="1" si="5">IF(J41="Successful",TEXT(TODAY(),"YYYY-MM-DD")&amp;" Auto","—")</f>
        <v>—</v>
      </c>
      <c r="L41" s="87"/>
    </row>
    <row r="42" spans="1:12" x14ac:dyDescent="0.25">
      <c r="A42" s="88"/>
      <c r="B42" s="25" t="str">
        <f>IF(A42="","",IFERROR(VLOOKUP(A42,DB_Customers!$A:$D,4,0),"❌ Account Not Found"))</f>
        <v/>
      </c>
      <c r="C42" s="89" t="str">
        <f>IF(A42="","",IFERROR(VLOOKUP(A42,DB_Customers!$A:$N,14,0),""))</f>
        <v/>
      </c>
      <c r="D42" s="90" t="str">
        <f t="shared" ca="1" si="3"/>
        <v/>
      </c>
      <c r="E42" s="97"/>
      <c r="F42" s="25"/>
      <c r="G42" s="99" t="str">
        <f t="shared" si="4"/>
        <v/>
      </c>
      <c r="H42" s="27"/>
      <c r="I42" s="84"/>
      <c r="J42" s="92" t="str">
        <f>IF(AND(A42&lt;&gt;"",E42&lt;&gt;""),IF(I42="","⚠️ Enter Code",IF(IFERROR(VLOOKUP(H42,DB_Agents!$B:$I,8,0),"")=I42,IF(C42&gt;=E42,"Successful","Unsuccessful"),"🔒 BLOCKED — Wrong Code")),"—")</f>
        <v>—</v>
      </c>
      <c r="K42" s="93" t="str">
        <f t="shared" ca="1" si="5"/>
        <v>—</v>
      </c>
      <c r="L42" s="94"/>
    </row>
    <row r="43" spans="1:12" x14ac:dyDescent="0.25">
      <c r="A43" s="79"/>
      <c r="B43" s="21" t="str">
        <f>IF(A43="","",IFERROR(VLOOKUP(A43,DB_Customers!$A:$D,4,0),"❌ Account Not Found"))</f>
        <v/>
      </c>
      <c r="C43" s="80" t="str">
        <f>IF(A43="","",IFERROR(VLOOKUP(A43,DB_Customers!$A:$N,14,0),""))</f>
        <v/>
      </c>
      <c r="D43" s="81" t="str">
        <f t="shared" ca="1" si="3"/>
        <v/>
      </c>
      <c r="E43" s="97"/>
      <c r="F43" s="21"/>
      <c r="G43" s="98" t="str">
        <f t="shared" si="4"/>
        <v/>
      </c>
      <c r="H43" s="23"/>
      <c r="I43" s="84"/>
      <c r="J43" s="85" t="str">
        <f>IF(AND(A43&lt;&gt;"",E43&lt;&gt;""),IF(I43="","⚠️ Enter Code",IF(IFERROR(VLOOKUP(H43,DB_Agents!$B:$I,8,0),"")=I43,IF(C43&gt;=E43,"Successful","Unsuccessful"),"🔒 BLOCKED — Wrong Code")),"—")</f>
        <v>—</v>
      </c>
      <c r="K43" s="86" t="str">
        <f t="shared" ca="1" si="5"/>
        <v>—</v>
      </c>
      <c r="L43" s="87"/>
    </row>
    <row r="44" spans="1:12" x14ac:dyDescent="0.25">
      <c r="A44" s="88"/>
      <c r="B44" s="25" t="str">
        <f>IF(A44="","",IFERROR(VLOOKUP(A44,DB_Customers!$A:$D,4,0),"❌ Account Not Found"))</f>
        <v/>
      </c>
      <c r="C44" s="89" t="str">
        <f>IF(A44="","",IFERROR(VLOOKUP(A44,DB_Customers!$A:$N,14,0),""))</f>
        <v/>
      </c>
      <c r="D44" s="90" t="str">
        <f t="shared" ca="1" si="3"/>
        <v/>
      </c>
      <c r="E44" s="97"/>
      <c r="F44" s="25"/>
      <c r="G44" s="99" t="str">
        <f t="shared" si="4"/>
        <v/>
      </c>
      <c r="H44" s="27"/>
      <c r="I44" s="84"/>
      <c r="J44" s="92" t="str">
        <f>IF(AND(A44&lt;&gt;"",E44&lt;&gt;""),IF(I44="","⚠️ Enter Code",IF(IFERROR(VLOOKUP(H44,DB_Agents!$B:$I,8,0),"")=I44,IF(C44&gt;=E44,"Successful","Unsuccessful"),"🔒 BLOCKED — Wrong Code")),"—")</f>
        <v>—</v>
      </c>
      <c r="K44" s="93" t="str">
        <f t="shared" ca="1" si="5"/>
        <v>—</v>
      </c>
      <c r="L44" s="94"/>
    </row>
    <row r="45" spans="1:12" x14ac:dyDescent="0.25">
      <c r="A45" s="79"/>
      <c r="B45" s="21" t="str">
        <f>IF(A45="","",IFERROR(VLOOKUP(A45,DB_Customers!$A:$D,4,0),"❌ Account Not Found"))</f>
        <v/>
      </c>
      <c r="C45" s="80" t="str">
        <f>IF(A45="","",IFERROR(VLOOKUP(A45,DB_Customers!$A:$N,14,0),""))</f>
        <v/>
      </c>
      <c r="D45" s="81" t="str">
        <f t="shared" ca="1" si="3"/>
        <v/>
      </c>
      <c r="E45" s="97"/>
      <c r="F45" s="21"/>
      <c r="G45" s="98" t="str">
        <f t="shared" si="4"/>
        <v/>
      </c>
      <c r="H45" s="23"/>
      <c r="I45" s="84"/>
      <c r="J45" s="85" t="str">
        <f>IF(AND(A45&lt;&gt;"",E45&lt;&gt;""),IF(I45="","⚠️ Enter Code",IF(IFERROR(VLOOKUP(H45,DB_Agents!$B:$I,8,0),"")=I45,IF(C45&gt;=E45,"Successful","Unsuccessful"),"🔒 BLOCKED — Wrong Code")),"—")</f>
        <v>—</v>
      </c>
      <c r="K45" s="86" t="str">
        <f t="shared" ca="1" si="5"/>
        <v>—</v>
      </c>
      <c r="L45" s="87"/>
    </row>
    <row r="46" spans="1:12" x14ac:dyDescent="0.25">
      <c r="A46" s="88"/>
      <c r="B46" s="25" t="str">
        <f>IF(A46="","",IFERROR(VLOOKUP(A46,DB_Customers!$A:$D,4,0),"❌ Account Not Found"))</f>
        <v/>
      </c>
      <c r="C46" s="89" t="str">
        <f>IF(A46="","",IFERROR(VLOOKUP(A46,DB_Customers!$A:$N,14,0),""))</f>
        <v/>
      </c>
      <c r="D46" s="90" t="str">
        <f t="shared" ca="1" si="3"/>
        <v/>
      </c>
      <c r="E46" s="97"/>
      <c r="F46" s="25"/>
      <c r="G46" s="99" t="str">
        <f t="shared" si="4"/>
        <v/>
      </c>
      <c r="H46" s="27"/>
      <c r="I46" s="84"/>
      <c r="J46" s="92" t="str">
        <f>IF(AND(A46&lt;&gt;"",E46&lt;&gt;""),IF(I46="","⚠️ Enter Code",IF(IFERROR(VLOOKUP(H46,DB_Agents!$B:$I,8,0),"")=I46,IF(C46&gt;=E46,"Successful","Unsuccessful"),"🔒 BLOCKED — Wrong Code")),"—")</f>
        <v>—</v>
      </c>
      <c r="K46" s="93" t="str">
        <f t="shared" ca="1" si="5"/>
        <v>—</v>
      </c>
      <c r="L46" s="94"/>
    </row>
    <row r="47" spans="1:12" x14ac:dyDescent="0.25">
      <c r="A47" s="79"/>
      <c r="B47" s="21" t="str">
        <f>IF(A47="","",IFERROR(VLOOKUP(A47,DB_Customers!$A:$D,4,0),"❌ Account Not Found"))</f>
        <v/>
      </c>
      <c r="C47" s="80" t="str">
        <f>IF(A47="","",IFERROR(VLOOKUP(A47,DB_Customers!$A:$N,14,0),""))</f>
        <v/>
      </c>
      <c r="D47" s="81" t="str">
        <f t="shared" ca="1" si="3"/>
        <v/>
      </c>
      <c r="E47" s="97"/>
      <c r="F47" s="21"/>
      <c r="G47" s="98" t="str">
        <f t="shared" si="4"/>
        <v/>
      </c>
      <c r="H47" s="23"/>
      <c r="I47" s="84"/>
      <c r="J47" s="85" t="str">
        <f>IF(AND(A47&lt;&gt;"",E47&lt;&gt;""),IF(I47="","⚠️ Enter Code",IF(IFERROR(VLOOKUP(H47,DB_Agents!$B:$I,8,0),"")=I47,IF(C47&gt;=E47,"Successful","Unsuccessful"),"🔒 BLOCKED — Wrong Code")),"—")</f>
        <v>—</v>
      </c>
      <c r="K47" s="86" t="str">
        <f t="shared" ca="1" si="5"/>
        <v>—</v>
      </c>
      <c r="L47" s="87"/>
    </row>
    <row r="48" spans="1:12" x14ac:dyDescent="0.25">
      <c r="A48" s="88"/>
      <c r="B48" s="25" t="str">
        <f>IF(A48="","",IFERROR(VLOOKUP(A48,DB_Customers!$A:$D,4,0),"❌ Account Not Found"))</f>
        <v/>
      </c>
      <c r="C48" s="89" t="str">
        <f>IF(A48="","",IFERROR(VLOOKUP(A48,DB_Customers!$A:$N,14,0),""))</f>
        <v/>
      </c>
      <c r="D48" s="90" t="str">
        <f t="shared" ca="1" si="3"/>
        <v/>
      </c>
      <c r="E48" s="97"/>
      <c r="F48" s="25"/>
      <c r="G48" s="99" t="str">
        <f t="shared" si="4"/>
        <v/>
      </c>
      <c r="H48" s="27"/>
      <c r="I48" s="84"/>
      <c r="J48" s="92" t="str">
        <f>IF(AND(A48&lt;&gt;"",E48&lt;&gt;""),IF(I48="","⚠️ Enter Code",IF(IFERROR(VLOOKUP(H48,DB_Agents!$B:$I,8,0),"")=I48,IF(C48&gt;=E48,"Successful","Unsuccessful"),"🔒 BLOCKED — Wrong Code")),"—")</f>
        <v>—</v>
      </c>
      <c r="K48" s="93" t="str">
        <f t="shared" ca="1" si="5"/>
        <v>—</v>
      </c>
      <c r="L48" s="94"/>
    </row>
    <row r="49" spans="1:12" x14ac:dyDescent="0.25">
      <c r="A49" s="79"/>
      <c r="B49" s="21" t="str">
        <f>IF(A49="","",IFERROR(VLOOKUP(A49,DB_Customers!$A:$D,4,0),"❌ Account Not Found"))</f>
        <v/>
      </c>
      <c r="C49" s="80" t="str">
        <f>IF(A49="","",IFERROR(VLOOKUP(A49,DB_Customers!$A:$N,14,0),""))</f>
        <v/>
      </c>
      <c r="D49" s="81" t="str">
        <f t="shared" ca="1" si="3"/>
        <v/>
      </c>
      <c r="E49" s="97"/>
      <c r="F49" s="21"/>
      <c r="G49" s="98" t="str">
        <f t="shared" si="4"/>
        <v/>
      </c>
      <c r="H49" s="23"/>
      <c r="I49" s="84"/>
      <c r="J49" s="85" t="str">
        <f>IF(AND(A49&lt;&gt;"",E49&lt;&gt;""),IF(I49="","⚠️ Enter Code",IF(IFERROR(VLOOKUP(H49,DB_Agents!$B:$I,8,0),"")=I49,IF(C49&gt;=E49,"Successful","Unsuccessful"),"🔒 BLOCKED — Wrong Code")),"—")</f>
        <v>—</v>
      </c>
      <c r="K49" s="86" t="str">
        <f t="shared" ca="1" si="5"/>
        <v>—</v>
      </c>
      <c r="L49" s="87"/>
    </row>
    <row r="50" spans="1:12" x14ac:dyDescent="0.25">
      <c r="A50" s="88"/>
      <c r="B50" s="25" t="str">
        <f>IF(A50="","",IFERROR(VLOOKUP(A50,DB_Customers!$A:$D,4,0),"❌ Account Not Found"))</f>
        <v/>
      </c>
      <c r="C50" s="89" t="str">
        <f>IF(A50="","",IFERROR(VLOOKUP(A50,DB_Customers!$A:$N,14,0),""))</f>
        <v/>
      </c>
      <c r="D50" s="90" t="str">
        <f t="shared" ca="1" si="3"/>
        <v/>
      </c>
      <c r="E50" s="97"/>
      <c r="F50" s="25"/>
      <c r="G50" s="99" t="str">
        <f t="shared" si="4"/>
        <v/>
      </c>
      <c r="H50" s="27"/>
      <c r="I50" s="84"/>
      <c r="J50" s="92" t="str">
        <f>IF(AND(A50&lt;&gt;"",E50&lt;&gt;""),IF(I50="","⚠️ Enter Code",IF(IFERROR(VLOOKUP(H50,DB_Agents!$B:$I,8,0),"")=I50,IF(C50&gt;=E50,"Successful","Unsuccessful"),"🔒 BLOCKED — Wrong Code")),"—")</f>
        <v>—</v>
      </c>
      <c r="K50" s="93" t="str">
        <f t="shared" ca="1" si="5"/>
        <v>—</v>
      </c>
      <c r="L50" s="94"/>
    </row>
    <row r="51" spans="1:12" x14ac:dyDescent="0.25">
      <c r="A51" s="79"/>
      <c r="B51" s="21" t="str">
        <f>IF(A51="","",IFERROR(VLOOKUP(A51,DB_Customers!$A:$D,4,0),"❌ Account Not Found"))</f>
        <v/>
      </c>
      <c r="C51" s="80" t="str">
        <f>IF(A51="","",IFERROR(VLOOKUP(A51,DB_Customers!$A:$N,14,0),""))</f>
        <v/>
      </c>
      <c r="D51" s="81" t="str">
        <f t="shared" ca="1" si="3"/>
        <v/>
      </c>
      <c r="E51" s="97"/>
      <c r="F51" s="21"/>
      <c r="G51" s="98" t="str">
        <f t="shared" si="4"/>
        <v/>
      </c>
      <c r="H51" s="23"/>
      <c r="I51" s="84"/>
      <c r="J51" s="85" t="str">
        <f>IF(AND(A51&lt;&gt;"",E51&lt;&gt;""),IF(I51="","⚠️ Enter Code",IF(IFERROR(VLOOKUP(H51,DB_Agents!$B:$I,8,0),"")=I51,IF(C51&gt;=E51,"Successful","Unsuccessful"),"🔒 BLOCKED — Wrong Code")),"—")</f>
        <v>—</v>
      </c>
      <c r="K51" s="86" t="str">
        <f t="shared" ca="1" si="5"/>
        <v>—</v>
      </c>
      <c r="L51" s="87"/>
    </row>
    <row r="52" spans="1:12" x14ac:dyDescent="0.25">
      <c r="A52" s="88"/>
      <c r="B52" s="25" t="str">
        <f>IF(A52="","",IFERROR(VLOOKUP(A52,DB_Customers!$A:$D,4,0),"❌ Account Not Found"))</f>
        <v/>
      </c>
      <c r="C52" s="89" t="str">
        <f>IF(A52="","",IFERROR(VLOOKUP(A52,DB_Customers!$A:$N,14,0),""))</f>
        <v/>
      </c>
      <c r="D52" s="90" t="str">
        <f t="shared" ca="1" si="3"/>
        <v/>
      </c>
      <c r="E52" s="97"/>
      <c r="F52" s="25"/>
      <c r="G52" s="99" t="str">
        <f t="shared" si="4"/>
        <v/>
      </c>
      <c r="H52" s="27"/>
      <c r="I52" s="84"/>
      <c r="J52" s="92" t="str">
        <f>IF(AND(A52&lt;&gt;"",E52&lt;&gt;""),IF(I52="","⚠️ Enter Code",IF(IFERROR(VLOOKUP(H52,DB_Agents!$B:$I,8,0),"")=I52,IF(C52&gt;=E52,"Successful","Unsuccessful"),"🔒 BLOCKED — Wrong Code")),"—")</f>
        <v>—</v>
      </c>
      <c r="K52" s="93" t="str">
        <f t="shared" ca="1" si="5"/>
        <v>—</v>
      </c>
      <c r="L52" s="94"/>
    </row>
    <row r="53" spans="1:12" x14ac:dyDescent="0.25">
      <c r="A53" s="79"/>
      <c r="B53" s="21" t="str">
        <f>IF(A53="","",IFERROR(VLOOKUP(A53,DB_Customers!$A:$D,4,0),"❌ Account Not Found"))</f>
        <v/>
      </c>
      <c r="C53" s="80" t="str">
        <f>IF(A53="","",IFERROR(VLOOKUP(A53,DB_Customers!$A:$N,14,0),""))</f>
        <v/>
      </c>
      <c r="D53" s="81" t="str">
        <f t="shared" ca="1" si="3"/>
        <v/>
      </c>
      <c r="E53" s="97"/>
      <c r="F53" s="21"/>
      <c r="G53" s="98" t="str">
        <f t="shared" si="4"/>
        <v/>
      </c>
      <c r="H53" s="23"/>
      <c r="I53" s="84"/>
      <c r="J53" s="85" t="str">
        <f>IF(AND(A53&lt;&gt;"",E53&lt;&gt;""),IF(I53="","⚠️ Enter Code",IF(IFERROR(VLOOKUP(H53,DB_Agents!$B:$I,8,0),"")=I53,IF(C53&gt;=E53,"Successful","Unsuccessful"),"🔒 BLOCKED — Wrong Code")),"—")</f>
        <v>—</v>
      </c>
      <c r="K53" s="86" t="str">
        <f t="shared" ca="1" si="5"/>
        <v>—</v>
      </c>
      <c r="L53" s="87"/>
    </row>
    <row r="54" spans="1:12" x14ac:dyDescent="0.25">
      <c r="A54" s="88"/>
      <c r="B54" s="25" t="str">
        <f>IF(A54="","",IFERROR(VLOOKUP(A54,DB_Customers!$A:$D,4,0),"❌ Account Not Found"))</f>
        <v/>
      </c>
      <c r="C54" s="89" t="str">
        <f>IF(A54="","",IFERROR(VLOOKUP(A54,DB_Customers!$A:$N,14,0),""))</f>
        <v/>
      </c>
      <c r="D54" s="90" t="str">
        <f t="shared" ca="1" si="3"/>
        <v/>
      </c>
      <c r="E54" s="97"/>
      <c r="F54" s="25"/>
      <c r="G54" s="99" t="str">
        <f t="shared" si="4"/>
        <v/>
      </c>
      <c r="H54" s="27"/>
      <c r="I54" s="84"/>
      <c r="J54" s="92" t="str">
        <f>IF(AND(A54&lt;&gt;"",E54&lt;&gt;""),IF(I54="","⚠️ Enter Code",IF(IFERROR(VLOOKUP(H54,DB_Agents!$B:$I,8,0),"")=I54,IF(C54&gt;=E54,"Successful","Unsuccessful"),"🔒 BLOCKED — Wrong Code")),"—")</f>
        <v>—</v>
      </c>
      <c r="K54" s="93" t="str">
        <f t="shared" ca="1" si="5"/>
        <v>—</v>
      </c>
      <c r="L54" s="94"/>
    </row>
    <row r="55" spans="1:12" x14ac:dyDescent="0.25">
      <c r="A55" s="79"/>
      <c r="B55" s="21" t="str">
        <f>IF(A55="","",IFERROR(VLOOKUP(A55,DB_Customers!$A:$D,4,0),"❌ Account Not Found"))</f>
        <v/>
      </c>
      <c r="C55" s="80" t="str">
        <f>IF(A55="","",IFERROR(VLOOKUP(A55,DB_Customers!$A:$N,14,0),""))</f>
        <v/>
      </c>
      <c r="D55" s="81" t="str">
        <f t="shared" ca="1" si="3"/>
        <v/>
      </c>
      <c r="E55" s="97"/>
      <c r="F55" s="21"/>
      <c r="G55" s="98" t="str">
        <f t="shared" si="4"/>
        <v/>
      </c>
      <c r="H55" s="23"/>
      <c r="I55" s="84"/>
      <c r="J55" s="85" t="str">
        <f>IF(AND(A55&lt;&gt;"",E55&lt;&gt;""),IF(I55="","⚠️ Enter Code",IF(IFERROR(VLOOKUP(H55,DB_Agents!$B:$I,8,0),"")=I55,IF(C55&gt;=E55,"Successful","Unsuccessful"),"🔒 BLOCKED — Wrong Code")),"—")</f>
        <v>—</v>
      </c>
      <c r="K55" s="86" t="str">
        <f t="shared" ca="1" si="5"/>
        <v>—</v>
      </c>
      <c r="L55" s="87"/>
    </row>
    <row r="56" spans="1:12" x14ac:dyDescent="0.25">
      <c r="A56" s="88"/>
      <c r="B56" s="25" t="str">
        <f>IF(A56="","",IFERROR(VLOOKUP(A56,DB_Customers!$A:$D,4,0),"❌ Account Not Found"))</f>
        <v/>
      </c>
      <c r="C56" s="89" t="str">
        <f>IF(A56="","",IFERROR(VLOOKUP(A56,DB_Customers!$A:$N,14,0),""))</f>
        <v/>
      </c>
      <c r="D56" s="90" t="str">
        <f t="shared" ca="1" si="3"/>
        <v/>
      </c>
      <c r="E56" s="97"/>
      <c r="F56" s="25"/>
      <c r="G56" s="99" t="str">
        <f t="shared" si="4"/>
        <v/>
      </c>
      <c r="H56" s="27"/>
      <c r="I56" s="84"/>
      <c r="J56" s="92" t="str">
        <f>IF(AND(A56&lt;&gt;"",E56&lt;&gt;""),IF(I56="","⚠️ Enter Code",IF(IFERROR(VLOOKUP(H56,DB_Agents!$B:$I,8,0),"")=I56,IF(C56&gt;=E56,"Successful","Unsuccessful"),"🔒 BLOCKED — Wrong Code")),"—")</f>
        <v>—</v>
      </c>
      <c r="K56" s="93" t="str">
        <f t="shared" ca="1" si="5"/>
        <v>—</v>
      </c>
      <c r="L56" s="94"/>
    </row>
    <row r="57" spans="1:12" x14ac:dyDescent="0.25">
      <c r="A57" s="79"/>
      <c r="B57" s="21" t="str">
        <f>IF(A57="","",IFERROR(VLOOKUP(A57,DB_Customers!$A:$D,4,0),"❌ Account Not Found"))</f>
        <v/>
      </c>
      <c r="C57" s="80" t="str">
        <f>IF(A57="","",IFERROR(VLOOKUP(A57,DB_Customers!$A:$N,14,0),""))</f>
        <v/>
      </c>
      <c r="D57" s="81" t="str">
        <f t="shared" ca="1" si="3"/>
        <v/>
      </c>
      <c r="E57" s="97"/>
      <c r="F57" s="21"/>
      <c r="G57" s="98" t="str">
        <f t="shared" si="4"/>
        <v/>
      </c>
      <c r="H57" s="23"/>
      <c r="I57" s="84"/>
      <c r="J57" s="85" t="str">
        <f>IF(AND(A57&lt;&gt;"",E57&lt;&gt;""),IF(I57="","⚠️ Enter Code",IF(IFERROR(VLOOKUP(H57,DB_Agents!$B:$I,8,0),"")=I57,IF(C57&gt;=E57,"Successful","Unsuccessful"),"🔒 BLOCKED — Wrong Code")),"—")</f>
        <v>—</v>
      </c>
      <c r="K57" s="86" t="str">
        <f t="shared" ca="1" si="5"/>
        <v>—</v>
      </c>
      <c r="L57" s="87"/>
    </row>
    <row r="58" spans="1:12" x14ac:dyDescent="0.25">
      <c r="A58" s="88"/>
      <c r="B58" s="25" t="str">
        <f>IF(A58="","",IFERROR(VLOOKUP(A58,DB_Customers!$A:$D,4,0),"❌ Account Not Found"))</f>
        <v/>
      </c>
      <c r="C58" s="89" t="str">
        <f>IF(A58="","",IFERROR(VLOOKUP(A58,DB_Customers!$A:$N,14,0),""))</f>
        <v/>
      </c>
      <c r="D58" s="90" t="str">
        <f t="shared" ca="1" si="3"/>
        <v/>
      </c>
      <c r="E58" s="97"/>
      <c r="F58" s="25"/>
      <c r="G58" s="99" t="str">
        <f t="shared" si="4"/>
        <v/>
      </c>
      <c r="H58" s="27"/>
      <c r="I58" s="84"/>
      <c r="J58" s="92" t="str">
        <f>IF(AND(A58&lt;&gt;"",E58&lt;&gt;""),IF(I58="","⚠️ Enter Code",IF(IFERROR(VLOOKUP(H58,DB_Agents!$B:$I,8,0),"")=I58,IF(C58&gt;=E58,"Successful","Unsuccessful"),"🔒 BLOCKED — Wrong Code")),"—")</f>
        <v>—</v>
      </c>
      <c r="K58" s="93" t="str">
        <f t="shared" ca="1" si="5"/>
        <v>—</v>
      </c>
      <c r="L58" s="94"/>
    </row>
    <row r="59" spans="1:12" x14ac:dyDescent="0.25">
      <c r="A59" s="79"/>
      <c r="B59" s="21" t="str">
        <f>IF(A59="","",IFERROR(VLOOKUP(A59,DB_Customers!$A:$D,4,0),"❌ Account Not Found"))</f>
        <v/>
      </c>
      <c r="C59" s="80" t="str">
        <f>IF(A59="","",IFERROR(VLOOKUP(A59,DB_Customers!$A:$N,14,0),""))</f>
        <v/>
      </c>
      <c r="D59" s="81" t="str">
        <f t="shared" ca="1" si="3"/>
        <v/>
      </c>
      <c r="E59" s="97"/>
      <c r="F59" s="21"/>
      <c r="G59" s="98" t="str">
        <f t="shared" si="4"/>
        <v/>
      </c>
      <c r="H59" s="23"/>
      <c r="I59" s="84"/>
      <c r="J59" s="85" t="str">
        <f>IF(AND(A59&lt;&gt;"",E59&lt;&gt;""),IF(I59="","⚠️ Enter Code",IF(IFERROR(VLOOKUP(H59,DB_Agents!$B:$I,8,0),"")=I59,IF(C59&gt;=E59,"Successful","Unsuccessful"),"🔒 BLOCKED — Wrong Code")),"—")</f>
        <v>—</v>
      </c>
      <c r="K59" s="86" t="str">
        <f t="shared" ca="1" si="5"/>
        <v>—</v>
      </c>
      <c r="L59" s="87"/>
    </row>
    <row r="60" spans="1:12" x14ac:dyDescent="0.25">
      <c r="A60" s="88"/>
      <c r="B60" s="25" t="str">
        <f>IF(A60="","",IFERROR(VLOOKUP(A60,DB_Customers!$A:$D,4,0),"❌ Account Not Found"))</f>
        <v/>
      </c>
      <c r="C60" s="89" t="str">
        <f>IF(A60="","",IFERROR(VLOOKUP(A60,DB_Customers!$A:$N,14,0),""))</f>
        <v/>
      </c>
      <c r="D60" s="90" t="str">
        <f t="shared" ca="1" si="3"/>
        <v/>
      </c>
      <c r="E60" s="97"/>
      <c r="F60" s="25"/>
      <c r="G60" s="99" t="str">
        <f t="shared" si="4"/>
        <v/>
      </c>
      <c r="H60" s="27"/>
      <c r="I60" s="84"/>
      <c r="J60" s="92" t="str">
        <f>IF(AND(A60&lt;&gt;"",E60&lt;&gt;""),IF(I60="","⚠️ Enter Code",IF(IFERROR(VLOOKUP(H60,DB_Agents!$B:$I,8,0),"")=I60,IF(C60&gt;=E60,"Successful","Unsuccessful"),"🔒 BLOCKED — Wrong Code")),"—")</f>
        <v>—</v>
      </c>
      <c r="K60" s="93" t="str">
        <f t="shared" ca="1" si="5"/>
        <v>—</v>
      </c>
      <c r="L60" s="94"/>
    </row>
    <row r="61" spans="1:12" x14ac:dyDescent="0.25">
      <c r="A61" s="79"/>
      <c r="B61" s="21" t="str">
        <f>IF(A61="","",IFERROR(VLOOKUP(A61,DB_Customers!$A:$D,4,0),"❌ Account Not Found"))</f>
        <v/>
      </c>
      <c r="C61" s="80" t="str">
        <f>IF(A61="","",IFERROR(VLOOKUP(A61,DB_Customers!$A:$N,14,0),""))</f>
        <v/>
      </c>
      <c r="D61" s="81" t="str">
        <f t="shared" ca="1" si="3"/>
        <v/>
      </c>
      <c r="E61" s="97"/>
      <c r="F61" s="21"/>
      <c r="G61" s="98" t="str">
        <f t="shared" si="4"/>
        <v/>
      </c>
      <c r="H61" s="23"/>
      <c r="I61" s="84"/>
      <c r="J61" s="85" t="str">
        <f>IF(AND(A61&lt;&gt;"",E61&lt;&gt;""),IF(I61="","⚠️ Enter Code",IF(IFERROR(VLOOKUP(H61,DB_Agents!$B:$I,8,0),"")=I61,IF(C61&gt;=E61,"Successful","Unsuccessful"),"🔒 BLOCKED — Wrong Code")),"—")</f>
        <v>—</v>
      </c>
      <c r="K61" s="86" t="str">
        <f t="shared" ca="1" si="5"/>
        <v>—</v>
      </c>
      <c r="L61" s="87"/>
    </row>
    <row r="62" spans="1:12" x14ac:dyDescent="0.25">
      <c r="A62" s="88"/>
      <c r="B62" s="25" t="str">
        <f>IF(A62="","",IFERROR(VLOOKUP(A62,DB_Customers!$A:$D,4,0),"❌ Account Not Found"))</f>
        <v/>
      </c>
      <c r="C62" s="89" t="str">
        <f>IF(A62="","",IFERROR(VLOOKUP(A62,DB_Customers!$A:$N,14,0),""))</f>
        <v/>
      </c>
      <c r="D62" s="90" t="str">
        <f t="shared" ca="1" si="3"/>
        <v/>
      </c>
      <c r="E62" s="97"/>
      <c r="F62" s="25"/>
      <c r="G62" s="99" t="str">
        <f t="shared" si="4"/>
        <v/>
      </c>
      <c r="H62" s="27"/>
      <c r="I62" s="84"/>
      <c r="J62" s="92" t="str">
        <f>IF(AND(A62&lt;&gt;"",E62&lt;&gt;""),IF(I62="","⚠️ Enter Code",IF(IFERROR(VLOOKUP(H62,DB_Agents!$B:$I,8,0),"")=I62,IF(C62&gt;=E62,"Successful","Unsuccessful"),"🔒 BLOCKED — Wrong Code")),"—")</f>
        <v>—</v>
      </c>
      <c r="K62" s="93" t="str">
        <f t="shared" ca="1" si="5"/>
        <v>—</v>
      </c>
      <c r="L62" s="94"/>
    </row>
    <row r="63" spans="1:12" x14ac:dyDescent="0.25">
      <c r="A63" s="79"/>
      <c r="B63" s="21" t="str">
        <f>IF(A63="","",IFERROR(VLOOKUP(A63,DB_Customers!$A:$D,4,0),"❌ Account Not Found"))</f>
        <v/>
      </c>
      <c r="C63" s="80" t="str">
        <f>IF(A63="","",IFERROR(VLOOKUP(A63,DB_Customers!$A:$N,14,0),""))</f>
        <v/>
      </c>
      <c r="D63" s="81" t="str">
        <f t="shared" ca="1" si="3"/>
        <v/>
      </c>
      <c r="E63" s="97"/>
      <c r="F63" s="21"/>
      <c r="G63" s="98" t="str">
        <f t="shared" si="4"/>
        <v/>
      </c>
      <c r="H63" s="23"/>
      <c r="I63" s="84"/>
      <c r="J63" s="85" t="str">
        <f>IF(AND(A63&lt;&gt;"",E63&lt;&gt;""),IF(I63="","⚠️ Enter Code",IF(IFERROR(VLOOKUP(H63,DB_Agents!$B:$I,8,0),"")=I63,IF(C63&gt;=E63,"Successful","Unsuccessful"),"🔒 BLOCKED — Wrong Code")),"—")</f>
        <v>—</v>
      </c>
      <c r="K63" s="86" t="str">
        <f t="shared" ca="1" si="5"/>
        <v>—</v>
      </c>
      <c r="L63" s="87"/>
    </row>
    <row r="64" spans="1:12" x14ac:dyDescent="0.25">
      <c r="A64" s="88"/>
      <c r="B64" s="25" t="str">
        <f>IF(A64="","",IFERROR(VLOOKUP(A64,DB_Customers!$A:$D,4,0),"❌ Account Not Found"))</f>
        <v/>
      </c>
      <c r="C64" s="89" t="str">
        <f>IF(A64="","",IFERROR(VLOOKUP(A64,DB_Customers!$A:$N,14,0),""))</f>
        <v/>
      </c>
      <c r="D64" s="90" t="str">
        <f t="shared" ca="1" si="3"/>
        <v/>
      </c>
      <c r="E64" s="97"/>
      <c r="F64" s="25"/>
      <c r="G64" s="99" t="str">
        <f t="shared" si="4"/>
        <v/>
      </c>
      <c r="H64" s="27"/>
      <c r="I64" s="84"/>
      <c r="J64" s="92" t="str">
        <f>IF(AND(A64&lt;&gt;"",E64&lt;&gt;""),IF(I64="","⚠️ Enter Code",IF(IFERROR(VLOOKUP(H64,DB_Agents!$B:$I,8,0),"")=I64,IF(C64&gt;=E64,"Successful","Unsuccessful"),"🔒 BLOCKED — Wrong Code")),"—")</f>
        <v>—</v>
      </c>
      <c r="K64" s="93" t="str">
        <f t="shared" ca="1" si="5"/>
        <v>—</v>
      </c>
      <c r="L64" s="94"/>
    </row>
    <row r="65" spans="1:12" x14ac:dyDescent="0.25">
      <c r="A65" s="79"/>
      <c r="B65" s="21" t="str">
        <f>IF(A65="","",IFERROR(VLOOKUP(A65,DB_Customers!$A:$D,4,0),"❌ Account Not Found"))</f>
        <v/>
      </c>
      <c r="C65" s="80" t="str">
        <f>IF(A65="","",IFERROR(VLOOKUP(A65,DB_Customers!$A:$N,14,0),""))</f>
        <v/>
      </c>
      <c r="D65" s="81" t="str">
        <f t="shared" ca="1" si="3"/>
        <v/>
      </c>
      <c r="E65" s="97"/>
      <c r="F65" s="21"/>
      <c r="G65" s="98" t="str">
        <f t="shared" si="4"/>
        <v/>
      </c>
      <c r="H65" s="23"/>
      <c r="I65" s="84"/>
      <c r="J65" s="85" t="str">
        <f>IF(AND(A65&lt;&gt;"",E65&lt;&gt;""),IF(I65="","⚠️ Enter Code",IF(IFERROR(VLOOKUP(H65,DB_Agents!$B:$I,8,0),"")=I65,IF(C65&gt;=E65,"Successful","Unsuccessful"),"🔒 BLOCKED — Wrong Code")),"—")</f>
        <v>—</v>
      </c>
      <c r="K65" s="86" t="str">
        <f t="shared" ca="1" si="5"/>
        <v>—</v>
      </c>
      <c r="L65" s="87"/>
    </row>
    <row r="66" spans="1:12" x14ac:dyDescent="0.25">
      <c r="A66" s="88"/>
      <c r="B66" s="25" t="str">
        <f>IF(A66="","",IFERROR(VLOOKUP(A66,DB_Customers!$A:$D,4,0),"❌ Account Not Found"))</f>
        <v/>
      </c>
      <c r="C66" s="89" t="str">
        <f>IF(A66="","",IFERROR(VLOOKUP(A66,DB_Customers!$A:$N,14,0),""))</f>
        <v/>
      </c>
      <c r="D66" s="90" t="str">
        <f t="shared" ca="1" si="3"/>
        <v/>
      </c>
      <c r="E66" s="97"/>
      <c r="F66" s="25"/>
      <c r="G66" s="99" t="str">
        <f t="shared" si="4"/>
        <v/>
      </c>
      <c r="H66" s="27"/>
      <c r="I66" s="84"/>
      <c r="J66" s="92" t="str">
        <f>IF(AND(A66&lt;&gt;"",E66&lt;&gt;""),IF(I66="","⚠️ Enter Code",IF(IFERROR(VLOOKUP(H66,DB_Agents!$B:$I,8,0),"")=I66,IF(C66&gt;=E66,"Successful","Unsuccessful"),"🔒 BLOCKED — Wrong Code")),"—")</f>
        <v>—</v>
      </c>
      <c r="K66" s="93" t="str">
        <f t="shared" ca="1" si="5"/>
        <v>—</v>
      </c>
      <c r="L66" s="94"/>
    </row>
    <row r="67" spans="1:12" x14ac:dyDescent="0.25">
      <c r="A67" s="79"/>
      <c r="B67" s="21" t="str">
        <f>IF(A67="","",IFERROR(VLOOKUP(A67,DB_Customers!$A:$D,4,0),"❌ Account Not Found"))</f>
        <v/>
      </c>
      <c r="C67" s="80" t="str">
        <f>IF(A67="","",IFERROR(VLOOKUP(A67,DB_Customers!$A:$N,14,0),""))</f>
        <v/>
      </c>
      <c r="D67" s="81" t="str">
        <f t="shared" ca="1" si="3"/>
        <v/>
      </c>
      <c r="E67" s="97"/>
      <c r="F67" s="21"/>
      <c r="G67" s="98" t="str">
        <f t="shared" si="4"/>
        <v/>
      </c>
      <c r="H67" s="23"/>
      <c r="I67" s="84"/>
      <c r="J67" s="85" t="str">
        <f>IF(AND(A67&lt;&gt;"",E67&lt;&gt;""),IF(I67="","⚠️ Enter Code",IF(IFERROR(VLOOKUP(H67,DB_Agents!$B:$I,8,0),"")=I67,IF(C67&gt;=E67,"Successful","Unsuccessful"),"🔒 BLOCKED — Wrong Code")),"—")</f>
        <v>—</v>
      </c>
      <c r="K67" s="86" t="str">
        <f t="shared" ca="1" si="5"/>
        <v>—</v>
      </c>
      <c r="L67" s="87"/>
    </row>
    <row r="68" spans="1:12" x14ac:dyDescent="0.25">
      <c r="A68" s="88"/>
      <c r="B68" s="25" t="str">
        <f>IF(A68="","",IFERROR(VLOOKUP(A68,DB_Customers!$A:$D,4,0),"❌ Account Not Found"))</f>
        <v/>
      </c>
      <c r="C68" s="89" t="str">
        <f>IF(A68="","",IFERROR(VLOOKUP(A68,DB_Customers!$A:$N,14,0),""))</f>
        <v/>
      </c>
      <c r="D68" s="90" t="str">
        <f t="shared" ca="1" si="3"/>
        <v/>
      </c>
      <c r="E68" s="97"/>
      <c r="F68" s="25"/>
      <c r="G68" s="99" t="str">
        <f t="shared" si="4"/>
        <v/>
      </c>
      <c r="H68" s="27"/>
      <c r="I68" s="84"/>
      <c r="J68" s="92" t="str">
        <f>IF(AND(A68&lt;&gt;"",E68&lt;&gt;""),IF(I68="","⚠️ Enter Code",IF(IFERROR(VLOOKUP(H68,DB_Agents!$B:$I,8,0),"")=I68,IF(C68&gt;=E68,"Successful","Unsuccessful"),"🔒 BLOCKED — Wrong Code")),"—")</f>
        <v>—</v>
      </c>
      <c r="K68" s="93" t="str">
        <f t="shared" ca="1" si="5"/>
        <v>—</v>
      </c>
      <c r="L68" s="94"/>
    </row>
    <row r="69" spans="1:12" x14ac:dyDescent="0.25">
      <c r="A69" s="79"/>
      <c r="B69" s="21" t="str">
        <f>IF(A69="","",IFERROR(VLOOKUP(A69,DB_Customers!$A:$D,4,0),"❌ Account Not Found"))</f>
        <v/>
      </c>
      <c r="C69" s="80" t="str">
        <f>IF(A69="","",IFERROR(VLOOKUP(A69,DB_Customers!$A:$N,14,0),""))</f>
        <v/>
      </c>
      <c r="D69" s="81" t="str">
        <f t="shared" ca="1" si="3"/>
        <v/>
      </c>
      <c r="E69" s="97"/>
      <c r="F69" s="21"/>
      <c r="G69" s="98" t="str">
        <f t="shared" si="4"/>
        <v/>
      </c>
      <c r="H69" s="23"/>
      <c r="I69" s="84"/>
      <c r="J69" s="85" t="str">
        <f>IF(AND(A69&lt;&gt;"",E69&lt;&gt;""),IF(I69="","⚠️ Enter Code",IF(IFERROR(VLOOKUP(H69,DB_Agents!$B:$I,8,0),"")=I69,IF(C69&gt;=E69,"Successful","Unsuccessful"),"🔒 BLOCKED — Wrong Code")),"—")</f>
        <v>—</v>
      </c>
      <c r="K69" s="86" t="str">
        <f t="shared" ca="1" si="5"/>
        <v>—</v>
      </c>
      <c r="L69" s="87"/>
    </row>
    <row r="70" spans="1:12" x14ac:dyDescent="0.25">
      <c r="A70" s="88"/>
      <c r="B70" s="25" t="str">
        <f>IF(A70="","",IFERROR(VLOOKUP(A70,DB_Customers!$A:$D,4,0),"❌ Account Not Found"))</f>
        <v/>
      </c>
      <c r="C70" s="89" t="str">
        <f>IF(A70="","",IFERROR(VLOOKUP(A70,DB_Customers!$A:$N,14,0),""))</f>
        <v/>
      </c>
      <c r="D70" s="90" t="str">
        <f t="shared" ca="1" si="3"/>
        <v/>
      </c>
      <c r="E70" s="97"/>
      <c r="F70" s="25"/>
      <c r="G70" s="99" t="str">
        <f t="shared" si="4"/>
        <v/>
      </c>
      <c r="H70" s="27"/>
      <c r="I70" s="84"/>
      <c r="J70" s="92" t="str">
        <f>IF(AND(A70&lt;&gt;"",E70&lt;&gt;""),IF(I70="","⚠️ Enter Code",IF(IFERROR(VLOOKUP(H70,DB_Agents!$B:$I,8,0),"")=I70,IF(C70&gt;=E70,"Successful","Unsuccessful"),"🔒 BLOCKED — Wrong Code")),"—")</f>
        <v>—</v>
      </c>
      <c r="K70" s="93" t="str">
        <f t="shared" ca="1" si="5"/>
        <v>—</v>
      </c>
      <c r="L70" s="94"/>
    </row>
    <row r="71" spans="1:12" x14ac:dyDescent="0.25">
      <c r="A71" s="79"/>
      <c r="B71" s="21" t="str">
        <f>IF(A71="","",IFERROR(VLOOKUP(A71,DB_Customers!$A:$D,4,0),"❌ Account Not Found"))</f>
        <v/>
      </c>
      <c r="C71" s="80" t="str">
        <f>IF(A71="","",IFERROR(VLOOKUP(A71,DB_Customers!$A:$N,14,0),""))</f>
        <v/>
      </c>
      <c r="D71" s="81" t="str">
        <f t="shared" ca="1" si="3"/>
        <v/>
      </c>
      <c r="E71" s="97"/>
      <c r="F71" s="21"/>
      <c r="G71" s="98" t="str">
        <f t="shared" si="4"/>
        <v/>
      </c>
      <c r="H71" s="23"/>
      <c r="I71" s="84"/>
      <c r="J71" s="85" t="str">
        <f>IF(AND(A71&lt;&gt;"",E71&lt;&gt;""),IF(I71="","⚠️ Enter Code",IF(IFERROR(VLOOKUP(H71,DB_Agents!$B:$I,8,0),"")=I71,IF(C71&gt;=E71,"Successful","Unsuccessful"),"🔒 BLOCKED — Wrong Code")),"—")</f>
        <v>—</v>
      </c>
      <c r="K71" s="86" t="str">
        <f t="shared" ca="1" si="5"/>
        <v>—</v>
      </c>
      <c r="L71" s="87"/>
    </row>
    <row r="72" spans="1:12" x14ac:dyDescent="0.25">
      <c r="A72" s="88"/>
      <c r="B72" s="25" t="str">
        <f>IF(A72="","",IFERROR(VLOOKUP(A72,DB_Customers!$A:$D,4,0),"❌ Account Not Found"))</f>
        <v/>
      </c>
      <c r="C72" s="89" t="str">
        <f>IF(A72="","",IFERROR(VLOOKUP(A72,DB_Customers!$A:$N,14,0),""))</f>
        <v/>
      </c>
      <c r="D72" s="90" t="str">
        <f t="shared" ca="1" si="3"/>
        <v/>
      </c>
      <c r="E72" s="97"/>
      <c r="F72" s="25"/>
      <c r="G72" s="99" t="str">
        <f t="shared" si="4"/>
        <v/>
      </c>
      <c r="H72" s="27"/>
      <c r="I72" s="84"/>
      <c r="J72" s="92" t="str">
        <f>IF(AND(A72&lt;&gt;"",E72&lt;&gt;""),IF(I72="","⚠️ Enter Code",IF(IFERROR(VLOOKUP(H72,DB_Agents!$B:$I,8,0),"")=I72,IF(C72&gt;=E72,"Successful","Unsuccessful"),"🔒 BLOCKED — Wrong Code")),"—")</f>
        <v>—</v>
      </c>
      <c r="K72" s="93" t="str">
        <f t="shared" ca="1" si="5"/>
        <v>—</v>
      </c>
      <c r="L72" s="94"/>
    </row>
    <row r="73" spans="1:12" x14ac:dyDescent="0.25">
      <c r="A73" s="79"/>
      <c r="B73" s="21" t="str">
        <f>IF(A73="","",IFERROR(VLOOKUP(A73,DB_Customers!$A:$D,4,0),"❌ Account Not Found"))</f>
        <v/>
      </c>
      <c r="C73" s="80" t="str">
        <f>IF(A73="","",IFERROR(VLOOKUP(A73,DB_Customers!$A:$N,14,0),""))</f>
        <v/>
      </c>
      <c r="D73" s="81" t="str">
        <f t="shared" ref="D73:D104" ca="1" si="6">IF(A73="","",TODAY())</f>
        <v/>
      </c>
      <c r="E73" s="97"/>
      <c r="F73" s="21"/>
      <c r="G73" s="98" t="str">
        <f t="shared" ref="G73:G104" si="7">IF(OR(A73="",E73=""),"",IF(C73="","",C73-E73))</f>
        <v/>
      </c>
      <c r="H73" s="23"/>
      <c r="I73" s="84"/>
      <c r="J73" s="85" t="str">
        <f>IF(AND(A73&lt;&gt;"",E73&lt;&gt;""),IF(I73="","⚠️ Enter Code",IF(IFERROR(VLOOKUP(H73,DB_Agents!$B:$I,8,0),"")=I73,IF(C73&gt;=E73,"Successful","Unsuccessful"),"🔒 BLOCKED — Wrong Code")),"—")</f>
        <v>—</v>
      </c>
      <c r="K73" s="86" t="str">
        <f t="shared" ref="K73:K104" ca="1" si="8">IF(J73="Successful",TEXT(TODAY(),"YYYY-MM-DD")&amp;" Auto","—")</f>
        <v>—</v>
      </c>
      <c r="L73" s="87"/>
    </row>
    <row r="74" spans="1:12" x14ac:dyDescent="0.25">
      <c r="A74" s="88"/>
      <c r="B74" s="25" t="str">
        <f>IF(A74="","",IFERROR(VLOOKUP(A74,DB_Customers!$A:$D,4,0),"❌ Account Not Found"))</f>
        <v/>
      </c>
      <c r="C74" s="89" t="str">
        <f>IF(A74="","",IFERROR(VLOOKUP(A74,DB_Customers!$A:$N,14,0),""))</f>
        <v/>
      </c>
      <c r="D74" s="90" t="str">
        <f t="shared" ca="1" si="6"/>
        <v/>
      </c>
      <c r="E74" s="97"/>
      <c r="F74" s="25"/>
      <c r="G74" s="99" t="str">
        <f t="shared" si="7"/>
        <v/>
      </c>
      <c r="H74" s="27"/>
      <c r="I74" s="84"/>
      <c r="J74" s="92" t="str">
        <f>IF(AND(A74&lt;&gt;"",E74&lt;&gt;""),IF(I74="","⚠️ Enter Code",IF(IFERROR(VLOOKUP(H74,DB_Agents!$B:$I,8,0),"")=I74,IF(C74&gt;=E74,"Successful","Unsuccessful"),"🔒 BLOCKED — Wrong Code")),"—")</f>
        <v>—</v>
      </c>
      <c r="K74" s="93" t="str">
        <f t="shared" ca="1" si="8"/>
        <v>—</v>
      </c>
      <c r="L74" s="94"/>
    </row>
    <row r="75" spans="1:12" x14ac:dyDescent="0.25">
      <c r="A75" s="79"/>
      <c r="B75" s="21" t="str">
        <f>IF(A75="","",IFERROR(VLOOKUP(A75,DB_Customers!$A:$D,4,0),"❌ Account Not Found"))</f>
        <v/>
      </c>
      <c r="C75" s="80" t="str">
        <f>IF(A75="","",IFERROR(VLOOKUP(A75,DB_Customers!$A:$N,14,0),""))</f>
        <v/>
      </c>
      <c r="D75" s="81" t="str">
        <f t="shared" ca="1" si="6"/>
        <v/>
      </c>
      <c r="E75" s="97"/>
      <c r="F75" s="21"/>
      <c r="G75" s="98" t="str">
        <f t="shared" si="7"/>
        <v/>
      </c>
      <c r="H75" s="23"/>
      <c r="I75" s="84"/>
      <c r="J75" s="85" t="str">
        <f>IF(AND(A75&lt;&gt;"",E75&lt;&gt;""),IF(I75="","⚠️ Enter Code",IF(IFERROR(VLOOKUP(H75,DB_Agents!$B:$I,8,0),"")=I75,IF(C75&gt;=E75,"Successful","Unsuccessful"),"🔒 BLOCKED — Wrong Code")),"—")</f>
        <v>—</v>
      </c>
      <c r="K75" s="86" t="str">
        <f t="shared" ca="1" si="8"/>
        <v>—</v>
      </c>
      <c r="L75" s="87"/>
    </row>
    <row r="76" spans="1:12" x14ac:dyDescent="0.25">
      <c r="A76" s="88"/>
      <c r="B76" s="25" t="str">
        <f>IF(A76="","",IFERROR(VLOOKUP(A76,DB_Customers!$A:$D,4,0),"❌ Account Not Found"))</f>
        <v/>
      </c>
      <c r="C76" s="89" t="str">
        <f>IF(A76="","",IFERROR(VLOOKUP(A76,DB_Customers!$A:$N,14,0),""))</f>
        <v/>
      </c>
      <c r="D76" s="90" t="str">
        <f t="shared" ca="1" si="6"/>
        <v/>
      </c>
      <c r="E76" s="97"/>
      <c r="F76" s="25"/>
      <c r="G76" s="99" t="str">
        <f t="shared" si="7"/>
        <v/>
      </c>
      <c r="H76" s="27"/>
      <c r="I76" s="84"/>
      <c r="J76" s="92" t="str">
        <f>IF(AND(A76&lt;&gt;"",E76&lt;&gt;""),IF(I76="","⚠️ Enter Code",IF(IFERROR(VLOOKUP(H76,DB_Agents!$B:$I,8,0),"")=I76,IF(C76&gt;=E76,"Successful","Unsuccessful"),"🔒 BLOCKED — Wrong Code")),"—")</f>
        <v>—</v>
      </c>
      <c r="K76" s="93" t="str">
        <f t="shared" ca="1" si="8"/>
        <v>—</v>
      </c>
      <c r="L76" s="94"/>
    </row>
    <row r="77" spans="1:12" x14ac:dyDescent="0.25">
      <c r="A77" s="79"/>
      <c r="B77" s="21" t="str">
        <f>IF(A77="","",IFERROR(VLOOKUP(A77,DB_Customers!$A:$D,4,0),"❌ Account Not Found"))</f>
        <v/>
      </c>
      <c r="C77" s="80" t="str">
        <f>IF(A77="","",IFERROR(VLOOKUP(A77,DB_Customers!$A:$N,14,0),""))</f>
        <v/>
      </c>
      <c r="D77" s="81" t="str">
        <f t="shared" ca="1" si="6"/>
        <v/>
      </c>
      <c r="E77" s="97"/>
      <c r="F77" s="21"/>
      <c r="G77" s="98" t="str">
        <f t="shared" si="7"/>
        <v/>
      </c>
      <c r="H77" s="23"/>
      <c r="I77" s="84"/>
      <c r="J77" s="85" t="str">
        <f>IF(AND(A77&lt;&gt;"",E77&lt;&gt;""),IF(I77="","⚠️ Enter Code",IF(IFERROR(VLOOKUP(H77,DB_Agents!$B:$I,8,0),"")=I77,IF(C77&gt;=E77,"Successful","Unsuccessful"),"🔒 BLOCKED — Wrong Code")),"—")</f>
        <v>—</v>
      </c>
      <c r="K77" s="86" t="str">
        <f t="shared" ca="1" si="8"/>
        <v>—</v>
      </c>
      <c r="L77" s="87"/>
    </row>
    <row r="78" spans="1:12" x14ac:dyDescent="0.25">
      <c r="A78" s="88"/>
      <c r="B78" s="25" t="str">
        <f>IF(A78="","",IFERROR(VLOOKUP(A78,DB_Customers!$A:$D,4,0),"❌ Account Not Found"))</f>
        <v/>
      </c>
      <c r="C78" s="89" t="str">
        <f>IF(A78="","",IFERROR(VLOOKUP(A78,DB_Customers!$A:$N,14,0),""))</f>
        <v/>
      </c>
      <c r="D78" s="90" t="str">
        <f t="shared" ca="1" si="6"/>
        <v/>
      </c>
      <c r="E78" s="97"/>
      <c r="F78" s="25"/>
      <c r="G78" s="99" t="str">
        <f t="shared" si="7"/>
        <v/>
      </c>
      <c r="H78" s="27"/>
      <c r="I78" s="84"/>
      <c r="J78" s="92" t="str">
        <f>IF(AND(A78&lt;&gt;"",E78&lt;&gt;""),IF(I78="","⚠️ Enter Code",IF(IFERROR(VLOOKUP(H78,DB_Agents!$B:$I,8,0),"")=I78,IF(C78&gt;=E78,"Successful","Unsuccessful"),"🔒 BLOCKED — Wrong Code")),"—")</f>
        <v>—</v>
      </c>
      <c r="K78" s="93" t="str">
        <f t="shared" ca="1" si="8"/>
        <v>—</v>
      </c>
      <c r="L78" s="94"/>
    </row>
    <row r="79" spans="1:12" x14ac:dyDescent="0.25">
      <c r="A79" s="79"/>
      <c r="B79" s="21" t="str">
        <f>IF(A79="","",IFERROR(VLOOKUP(A79,DB_Customers!$A:$D,4,0),"❌ Account Not Found"))</f>
        <v/>
      </c>
      <c r="C79" s="80" t="str">
        <f>IF(A79="","",IFERROR(VLOOKUP(A79,DB_Customers!$A:$N,14,0),""))</f>
        <v/>
      </c>
      <c r="D79" s="81" t="str">
        <f t="shared" ca="1" si="6"/>
        <v/>
      </c>
      <c r="E79" s="97"/>
      <c r="F79" s="21"/>
      <c r="G79" s="98" t="str">
        <f t="shared" si="7"/>
        <v/>
      </c>
      <c r="H79" s="23"/>
      <c r="I79" s="84"/>
      <c r="J79" s="85" t="str">
        <f>IF(AND(A79&lt;&gt;"",E79&lt;&gt;""),IF(I79="","⚠️ Enter Code",IF(IFERROR(VLOOKUP(H79,DB_Agents!$B:$I,8,0),"")=I79,IF(C79&gt;=E79,"Successful","Unsuccessful"),"🔒 BLOCKED — Wrong Code")),"—")</f>
        <v>—</v>
      </c>
      <c r="K79" s="86" t="str">
        <f t="shared" ca="1" si="8"/>
        <v>—</v>
      </c>
      <c r="L79" s="87"/>
    </row>
    <row r="80" spans="1:12" x14ac:dyDescent="0.25">
      <c r="A80" s="88"/>
      <c r="B80" s="25" t="str">
        <f>IF(A80="","",IFERROR(VLOOKUP(A80,DB_Customers!$A:$D,4,0),"❌ Account Not Found"))</f>
        <v/>
      </c>
      <c r="C80" s="89" t="str">
        <f>IF(A80="","",IFERROR(VLOOKUP(A80,DB_Customers!$A:$N,14,0),""))</f>
        <v/>
      </c>
      <c r="D80" s="90" t="str">
        <f t="shared" ca="1" si="6"/>
        <v/>
      </c>
      <c r="E80" s="97"/>
      <c r="F80" s="25"/>
      <c r="G80" s="99" t="str">
        <f t="shared" si="7"/>
        <v/>
      </c>
      <c r="H80" s="27"/>
      <c r="I80" s="84"/>
      <c r="J80" s="92" t="str">
        <f>IF(AND(A80&lt;&gt;"",E80&lt;&gt;""),IF(I80="","⚠️ Enter Code",IF(IFERROR(VLOOKUP(H80,DB_Agents!$B:$I,8,0),"")=I80,IF(C80&gt;=E80,"Successful","Unsuccessful"),"🔒 BLOCKED — Wrong Code")),"—")</f>
        <v>—</v>
      </c>
      <c r="K80" s="93" t="str">
        <f t="shared" ca="1" si="8"/>
        <v>—</v>
      </c>
      <c r="L80" s="94"/>
    </row>
    <row r="81" spans="1:12" x14ac:dyDescent="0.25">
      <c r="A81" s="79"/>
      <c r="B81" s="21" t="str">
        <f>IF(A81="","",IFERROR(VLOOKUP(A81,DB_Customers!$A:$D,4,0),"❌ Account Not Found"))</f>
        <v/>
      </c>
      <c r="C81" s="80" t="str">
        <f>IF(A81="","",IFERROR(VLOOKUP(A81,DB_Customers!$A:$N,14,0),""))</f>
        <v/>
      </c>
      <c r="D81" s="81" t="str">
        <f t="shared" ca="1" si="6"/>
        <v/>
      </c>
      <c r="E81" s="97"/>
      <c r="F81" s="21"/>
      <c r="G81" s="98" t="str">
        <f t="shared" si="7"/>
        <v/>
      </c>
      <c r="H81" s="23"/>
      <c r="I81" s="84"/>
      <c r="J81" s="85" t="str">
        <f>IF(AND(A81&lt;&gt;"",E81&lt;&gt;""),IF(I81="","⚠️ Enter Code",IF(IFERROR(VLOOKUP(H81,DB_Agents!$B:$I,8,0),"")=I81,IF(C81&gt;=E81,"Successful","Unsuccessful"),"🔒 BLOCKED — Wrong Code")),"—")</f>
        <v>—</v>
      </c>
      <c r="K81" s="86" t="str">
        <f t="shared" ca="1" si="8"/>
        <v>—</v>
      </c>
      <c r="L81" s="87"/>
    </row>
    <row r="82" spans="1:12" x14ac:dyDescent="0.25">
      <c r="A82" s="88"/>
      <c r="B82" s="25" t="str">
        <f>IF(A82="","",IFERROR(VLOOKUP(A82,DB_Customers!$A:$D,4,0),"❌ Account Not Found"))</f>
        <v/>
      </c>
      <c r="C82" s="89" t="str">
        <f>IF(A82="","",IFERROR(VLOOKUP(A82,DB_Customers!$A:$N,14,0),""))</f>
        <v/>
      </c>
      <c r="D82" s="90" t="str">
        <f t="shared" ca="1" si="6"/>
        <v/>
      </c>
      <c r="E82" s="97"/>
      <c r="F82" s="25"/>
      <c r="G82" s="99" t="str">
        <f t="shared" si="7"/>
        <v/>
      </c>
      <c r="H82" s="27"/>
      <c r="I82" s="84"/>
      <c r="J82" s="92" t="str">
        <f>IF(AND(A82&lt;&gt;"",E82&lt;&gt;""),IF(I82="","⚠️ Enter Code",IF(IFERROR(VLOOKUP(H82,DB_Agents!$B:$I,8,0),"")=I82,IF(C82&gt;=E82,"Successful","Unsuccessful"),"🔒 BLOCKED — Wrong Code")),"—")</f>
        <v>—</v>
      </c>
      <c r="K82" s="93" t="str">
        <f t="shared" ca="1" si="8"/>
        <v>—</v>
      </c>
      <c r="L82" s="94"/>
    </row>
    <row r="83" spans="1:12" x14ac:dyDescent="0.25">
      <c r="A83" s="79"/>
      <c r="B83" s="21" t="str">
        <f>IF(A83="","",IFERROR(VLOOKUP(A83,DB_Customers!$A:$D,4,0),"❌ Account Not Found"))</f>
        <v/>
      </c>
      <c r="C83" s="80" t="str">
        <f>IF(A83="","",IFERROR(VLOOKUP(A83,DB_Customers!$A:$N,14,0),""))</f>
        <v/>
      </c>
      <c r="D83" s="81" t="str">
        <f t="shared" ca="1" si="6"/>
        <v/>
      </c>
      <c r="E83" s="97"/>
      <c r="F83" s="21"/>
      <c r="G83" s="98" t="str">
        <f t="shared" si="7"/>
        <v/>
      </c>
      <c r="H83" s="23"/>
      <c r="I83" s="84"/>
      <c r="J83" s="85" t="str">
        <f>IF(AND(A83&lt;&gt;"",E83&lt;&gt;""),IF(I83="","⚠️ Enter Code",IF(IFERROR(VLOOKUP(H83,DB_Agents!$B:$I,8,0),"")=I83,IF(C83&gt;=E83,"Successful","Unsuccessful"),"🔒 BLOCKED — Wrong Code")),"—")</f>
        <v>—</v>
      </c>
      <c r="K83" s="86" t="str">
        <f t="shared" ca="1" si="8"/>
        <v>—</v>
      </c>
      <c r="L83" s="87"/>
    </row>
    <row r="84" spans="1:12" x14ac:dyDescent="0.25">
      <c r="A84" s="88"/>
      <c r="B84" s="25" t="str">
        <f>IF(A84="","",IFERROR(VLOOKUP(A84,DB_Customers!$A:$D,4,0),"❌ Account Not Found"))</f>
        <v/>
      </c>
      <c r="C84" s="89" t="str">
        <f>IF(A84="","",IFERROR(VLOOKUP(A84,DB_Customers!$A:$N,14,0),""))</f>
        <v/>
      </c>
      <c r="D84" s="90" t="str">
        <f t="shared" ca="1" si="6"/>
        <v/>
      </c>
      <c r="E84" s="97"/>
      <c r="F84" s="25"/>
      <c r="G84" s="99" t="str">
        <f t="shared" si="7"/>
        <v/>
      </c>
      <c r="H84" s="27"/>
      <c r="I84" s="84"/>
      <c r="J84" s="92" t="str">
        <f>IF(AND(A84&lt;&gt;"",E84&lt;&gt;""),IF(I84="","⚠️ Enter Code",IF(IFERROR(VLOOKUP(H84,DB_Agents!$B:$I,8,0),"")=I84,IF(C84&gt;=E84,"Successful","Unsuccessful"),"🔒 BLOCKED — Wrong Code")),"—")</f>
        <v>—</v>
      </c>
      <c r="K84" s="93" t="str">
        <f t="shared" ca="1" si="8"/>
        <v>—</v>
      </c>
      <c r="L84" s="94"/>
    </row>
    <row r="85" spans="1:12" x14ac:dyDescent="0.25">
      <c r="A85" s="79"/>
      <c r="B85" s="21" t="str">
        <f>IF(A85="","",IFERROR(VLOOKUP(A85,DB_Customers!$A:$D,4,0),"❌ Account Not Found"))</f>
        <v/>
      </c>
      <c r="C85" s="80" t="str">
        <f>IF(A85="","",IFERROR(VLOOKUP(A85,DB_Customers!$A:$N,14,0),""))</f>
        <v/>
      </c>
      <c r="D85" s="81" t="str">
        <f t="shared" ca="1" si="6"/>
        <v/>
      </c>
      <c r="E85" s="97"/>
      <c r="F85" s="21"/>
      <c r="G85" s="98" t="str">
        <f t="shared" si="7"/>
        <v/>
      </c>
      <c r="H85" s="23"/>
      <c r="I85" s="84"/>
      <c r="J85" s="85" t="str">
        <f>IF(AND(A85&lt;&gt;"",E85&lt;&gt;""),IF(I85="","⚠️ Enter Code",IF(IFERROR(VLOOKUP(H85,DB_Agents!$B:$I,8,0),"")=I85,IF(C85&gt;=E85,"Successful","Unsuccessful"),"🔒 BLOCKED — Wrong Code")),"—")</f>
        <v>—</v>
      </c>
      <c r="K85" s="86" t="str">
        <f t="shared" ca="1" si="8"/>
        <v>—</v>
      </c>
      <c r="L85" s="87"/>
    </row>
    <row r="86" spans="1:12" x14ac:dyDescent="0.25">
      <c r="A86" s="88"/>
      <c r="B86" s="25" t="str">
        <f>IF(A86="","",IFERROR(VLOOKUP(A86,DB_Customers!$A:$D,4,0),"❌ Account Not Found"))</f>
        <v/>
      </c>
      <c r="C86" s="89" t="str">
        <f>IF(A86="","",IFERROR(VLOOKUP(A86,DB_Customers!$A:$N,14,0),""))</f>
        <v/>
      </c>
      <c r="D86" s="90" t="str">
        <f t="shared" ca="1" si="6"/>
        <v/>
      </c>
      <c r="E86" s="97"/>
      <c r="F86" s="25"/>
      <c r="G86" s="99" t="str">
        <f t="shared" si="7"/>
        <v/>
      </c>
      <c r="H86" s="27"/>
      <c r="I86" s="84"/>
      <c r="J86" s="92" t="str">
        <f>IF(AND(A86&lt;&gt;"",E86&lt;&gt;""),IF(I86="","⚠️ Enter Code",IF(IFERROR(VLOOKUP(H86,DB_Agents!$B:$I,8,0),"")=I86,IF(C86&gt;=E86,"Successful","Unsuccessful"),"🔒 BLOCKED — Wrong Code")),"—")</f>
        <v>—</v>
      </c>
      <c r="K86" s="93" t="str">
        <f t="shared" ca="1" si="8"/>
        <v>—</v>
      </c>
      <c r="L86" s="94"/>
    </row>
    <row r="87" spans="1:12" x14ac:dyDescent="0.25">
      <c r="A87" s="79"/>
      <c r="B87" s="21" t="str">
        <f>IF(A87="","",IFERROR(VLOOKUP(A87,DB_Customers!$A:$D,4,0),"❌ Account Not Found"))</f>
        <v/>
      </c>
      <c r="C87" s="80" t="str">
        <f>IF(A87="","",IFERROR(VLOOKUP(A87,DB_Customers!$A:$N,14,0),""))</f>
        <v/>
      </c>
      <c r="D87" s="81" t="str">
        <f t="shared" ca="1" si="6"/>
        <v/>
      </c>
      <c r="E87" s="97"/>
      <c r="F87" s="21"/>
      <c r="G87" s="98" t="str">
        <f t="shared" si="7"/>
        <v/>
      </c>
      <c r="H87" s="23"/>
      <c r="I87" s="84"/>
      <c r="J87" s="85" t="str">
        <f>IF(AND(A87&lt;&gt;"",E87&lt;&gt;""),IF(I87="","⚠️ Enter Code",IF(IFERROR(VLOOKUP(H87,DB_Agents!$B:$I,8,0),"")=I87,IF(C87&gt;=E87,"Successful","Unsuccessful"),"🔒 BLOCKED — Wrong Code")),"—")</f>
        <v>—</v>
      </c>
      <c r="K87" s="86" t="str">
        <f t="shared" ca="1" si="8"/>
        <v>—</v>
      </c>
      <c r="L87" s="87"/>
    </row>
    <row r="88" spans="1:12" x14ac:dyDescent="0.25">
      <c r="A88" s="88"/>
      <c r="B88" s="25" t="str">
        <f>IF(A88="","",IFERROR(VLOOKUP(A88,DB_Customers!$A:$D,4,0),"❌ Account Not Found"))</f>
        <v/>
      </c>
      <c r="C88" s="89" t="str">
        <f>IF(A88="","",IFERROR(VLOOKUP(A88,DB_Customers!$A:$N,14,0),""))</f>
        <v/>
      </c>
      <c r="D88" s="90" t="str">
        <f t="shared" ca="1" si="6"/>
        <v/>
      </c>
      <c r="E88" s="97"/>
      <c r="F88" s="25"/>
      <c r="G88" s="99" t="str">
        <f t="shared" si="7"/>
        <v/>
      </c>
      <c r="H88" s="27"/>
      <c r="I88" s="84"/>
      <c r="J88" s="92" t="str">
        <f>IF(AND(A88&lt;&gt;"",E88&lt;&gt;""),IF(I88="","⚠️ Enter Code",IF(IFERROR(VLOOKUP(H88,DB_Agents!$B:$I,8,0),"")=I88,IF(C88&gt;=E88,"Successful","Unsuccessful"),"🔒 BLOCKED — Wrong Code")),"—")</f>
        <v>—</v>
      </c>
      <c r="K88" s="93" t="str">
        <f t="shared" ca="1" si="8"/>
        <v>—</v>
      </c>
      <c r="L88" s="94"/>
    </row>
    <row r="89" spans="1:12" x14ac:dyDescent="0.25">
      <c r="A89" s="79"/>
      <c r="B89" s="21" t="str">
        <f>IF(A89="","",IFERROR(VLOOKUP(A89,DB_Customers!$A:$D,4,0),"❌ Account Not Found"))</f>
        <v/>
      </c>
      <c r="C89" s="80" t="str">
        <f>IF(A89="","",IFERROR(VLOOKUP(A89,DB_Customers!$A:$N,14,0),""))</f>
        <v/>
      </c>
      <c r="D89" s="81" t="str">
        <f t="shared" ca="1" si="6"/>
        <v/>
      </c>
      <c r="E89" s="97"/>
      <c r="F89" s="21"/>
      <c r="G89" s="98" t="str">
        <f t="shared" si="7"/>
        <v/>
      </c>
      <c r="H89" s="23"/>
      <c r="I89" s="84"/>
      <c r="J89" s="85" t="str">
        <f>IF(AND(A89&lt;&gt;"",E89&lt;&gt;""),IF(I89="","⚠️ Enter Code",IF(IFERROR(VLOOKUP(H89,DB_Agents!$B:$I,8,0),"")=I89,IF(C89&gt;=E89,"Successful","Unsuccessful"),"🔒 BLOCKED — Wrong Code")),"—")</f>
        <v>—</v>
      </c>
      <c r="K89" s="86" t="str">
        <f t="shared" ca="1" si="8"/>
        <v>—</v>
      </c>
      <c r="L89" s="87"/>
    </row>
    <row r="90" spans="1:12" x14ac:dyDescent="0.25">
      <c r="A90" s="88"/>
      <c r="B90" s="25" t="str">
        <f>IF(A90="","",IFERROR(VLOOKUP(A90,DB_Customers!$A:$D,4,0),"❌ Account Not Found"))</f>
        <v/>
      </c>
      <c r="C90" s="89" t="str">
        <f>IF(A90="","",IFERROR(VLOOKUP(A90,DB_Customers!$A:$N,14,0),""))</f>
        <v/>
      </c>
      <c r="D90" s="90" t="str">
        <f t="shared" ca="1" si="6"/>
        <v/>
      </c>
      <c r="E90" s="97"/>
      <c r="F90" s="25"/>
      <c r="G90" s="99" t="str">
        <f t="shared" si="7"/>
        <v/>
      </c>
      <c r="H90" s="27"/>
      <c r="I90" s="84"/>
      <c r="J90" s="92" t="str">
        <f>IF(AND(A90&lt;&gt;"",E90&lt;&gt;""),IF(I90="","⚠️ Enter Code",IF(IFERROR(VLOOKUP(H90,DB_Agents!$B:$I,8,0),"")=I90,IF(C90&gt;=E90,"Successful","Unsuccessful"),"🔒 BLOCKED — Wrong Code")),"—")</f>
        <v>—</v>
      </c>
      <c r="K90" s="93" t="str">
        <f t="shared" ca="1" si="8"/>
        <v>—</v>
      </c>
      <c r="L90" s="94"/>
    </row>
    <row r="91" spans="1:12" x14ac:dyDescent="0.25">
      <c r="A91" s="79"/>
      <c r="B91" s="21" t="str">
        <f>IF(A91="","",IFERROR(VLOOKUP(A91,DB_Customers!$A:$D,4,0),"❌ Account Not Found"))</f>
        <v/>
      </c>
      <c r="C91" s="80" t="str">
        <f>IF(A91="","",IFERROR(VLOOKUP(A91,DB_Customers!$A:$N,14,0),""))</f>
        <v/>
      </c>
      <c r="D91" s="81" t="str">
        <f t="shared" ca="1" si="6"/>
        <v/>
      </c>
      <c r="E91" s="97"/>
      <c r="F91" s="21"/>
      <c r="G91" s="98" t="str">
        <f t="shared" si="7"/>
        <v/>
      </c>
      <c r="H91" s="23"/>
      <c r="I91" s="84"/>
      <c r="J91" s="85" t="str">
        <f>IF(AND(A91&lt;&gt;"",E91&lt;&gt;""),IF(I91="","⚠️ Enter Code",IF(IFERROR(VLOOKUP(H91,DB_Agents!$B:$I,8,0),"")=I91,IF(C91&gt;=E91,"Successful","Unsuccessful"),"🔒 BLOCKED — Wrong Code")),"—")</f>
        <v>—</v>
      </c>
      <c r="K91" s="86" t="str">
        <f t="shared" ca="1" si="8"/>
        <v>—</v>
      </c>
      <c r="L91" s="87"/>
    </row>
    <row r="92" spans="1:12" x14ac:dyDescent="0.25">
      <c r="A92" s="88"/>
      <c r="B92" s="25" t="str">
        <f>IF(A92="","",IFERROR(VLOOKUP(A92,DB_Customers!$A:$D,4,0),"❌ Account Not Found"))</f>
        <v/>
      </c>
      <c r="C92" s="89" t="str">
        <f>IF(A92="","",IFERROR(VLOOKUP(A92,DB_Customers!$A:$N,14,0),""))</f>
        <v/>
      </c>
      <c r="D92" s="90" t="str">
        <f t="shared" ca="1" si="6"/>
        <v/>
      </c>
      <c r="E92" s="97"/>
      <c r="F92" s="25"/>
      <c r="G92" s="99" t="str">
        <f t="shared" si="7"/>
        <v/>
      </c>
      <c r="H92" s="27"/>
      <c r="I92" s="84"/>
      <c r="J92" s="92" t="str">
        <f>IF(AND(A92&lt;&gt;"",E92&lt;&gt;""),IF(I92="","⚠️ Enter Code",IF(IFERROR(VLOOKUP(H92,DB_Agents!$B:$I,8,0),"")=I92,IF(C92&gt;=E92,"Successful","Unsuccessful"),"🔒 BLOCKED — Wrong Code")),"—")</f>
        <v>—</v>
      </c>
      <c r="K92" s="93" t="str">
        <f t="shared" ca="1" si="8"/>
        <v>—</v>
      </c>
      <c r="L92" s="94"/>
    </row>
    <row r="93" spans="1:12" x14ac:dyDescent="0.25">
      <c r="A93" s="79"/>
      <c r="B93" s="21" t="str">
        <f>IF(A93="","",IFERROR(VLOOKUP(A93,DB_Customers!$A:$D,4,0),"❌ Account Not Found"))</f>
        <v/>
      </c>
      <c r="C93" s="80" t="str">
        <f>IF(A93="","",IFERROR(VLOOKUP(A93,DB_Customers!$A:$N,14,0),""))</f>
        <v/>
      </c>
      <c r="D93" s="81" t="str">
        <f t="shared" ca="1" si="6"/>
        <v/>
      </c>
      <c r="E93" s="97"/>
      <c r="F93" s="21"/>
      <c r="G93" s="98" t="str">
        <f t="shared" si="7"/>
        <v/>
      </c>
      <c r="H93" s="23"/>
      <c r="I93" s="84"/>
      <c r="J93" s="85" t="str">
        <f>IF(AND(A93&lt;&gt;"",E93&lt;&gt;""),IF(I93="","⚠️ Enter Code",IF(IFERROR(VLOOKUP(H93,DB_Agents!$B:$I,8,0),"")=I93,IF(C93&gt;=E93,"Successful","Unsuccessful"),"🔒 BLOCKED — Wrong Code")),"—")</f>
        <v>—</v>
      </c>
      <c r="K93" s="86" t="str">
        <f t="shared" ca="1" si="8"/>
        <v>—</v>
      </c>
      <c r="L93" s="87"/>
    </row>
    <row r="94" spans="1:12" x14ac:dyDescent="0.25">
      <c r="A94" s="88"/>
      <c r="B94" s="25" t="str">
        <f>IF(A94="","",IFERROR(VLOOKUP(A94,DB_Customers!$A:$D,4,0),"❌ Account Not Found"))</f>
        <v/>
      </c>
      <c r="C94" s="89" t="str">
        <f>IF(A94="","",IFERROR(VLOOKUP(A94,DB_Customers!$A:$N,14,0),""))</f>
        <v/>
      </c>
      <c r="D94" s="90" t="str">
        <f t="shared" ca="1" si="6"/>
        <v/>
      </c>
      <c r="E94" s="97"/>
      <c r="F94" s="25"/>
      <c r="G94" s="99" t="str">
        <f t="shared" si="7"/>
        <v/>
      </c>
      <c r="H94" s="27"/>
      <c r="I94" s="84"/>
      <c r="J94" s="92" t="str">
        <f>IF(AND(A94&lt;&gt;"",E94&lt;&gt;""),IF(I94="","⚠️ Enter Code",IF(IFERROR(VLOOKUP(H94,DB_Agents!$B:$I,8,0),"")=I94,IF(C94&gt;=E94,"Successful","Unsuccessful"),"🔒 BLOCKED — Wrong Code")),"—")</f>
        <v>—</v>
      </c>
      <c r="K94" s="93" t="str">
        <f t="shared" ca="1" si="8"/>
        <v>—</v>
      </c>
      <c r="L94" s="94"/>
    </row>
    <row r="95" spans="1:12" x14ac:dyDescent="0.25">
      <c r="A95" s="79"/>
      <c r="B95" s="21" t="str">
        <f>IF(A95="","",IFERROR(VLOOKUP(A95,DB_Customers!$A:$D,4,0),"❌ Account Not Found"))</f>
        <v/>
      </c>
      <c r="C95" s="80" t="str">
        <f>IF(A95="","",IFERROR(VLOOKUP(A95,DB_Customers!$A:$N,14,0),""))</f>
        <v/>
      </c>
      <c r="D95" s="81" t="str">
        <f t="shared" ca="1" si="6"/>
        <v/>
      </c>
      <c r="E95" s="97"/>
      <c r="F95" s="21"/>
      <c r="G95" s="98" t="str">
        <f t="shared" si="7"/>
        <v/>
      </c>
      <c r="H95" s="23"/>
      <c r="I95" s="84"/>
      <c r="J95" s="85" t="str">
        <f>IF(AND(A95&lt;&gt;"",E95&lt;&gt;""),IF(I95="","⚠️ Enter Code",IF(IFERROR(VLOOKUP(H95,DB_Agents!$B:$I,8,0),"")=I95,IF(C95&gt;=E95,"Successful","Unsuccessful"),"🔒 BLOCKED — Wrong Code")),"—")</f>
        <v>—</v>
      </c>
      <c r="K95" s="86" t="str">
        <f t="shared" ca="1" si="8"/>
        <v>—</v>
      </c>
      <c r="L95" s="87"/>
    </row>
    <row r="96" spans="1:12" x14ac:dyDescent="0.25">
      <c r="A96" s="88"/>
      <c r="B96" s="25" t="str">
        <f>IF(A96="","",IFERROR(VLOOKUP(A96,DB_Customers!$A:$D,4,0),"❌ Account Not Found"))</f>
        <v/>
      </c>
      <c r="C96" s="89" t="str">
        <f>IF(A96="","",IFERROR(VLOOKUP(A96,DB_Customers!$A:$N,14,0),""))</f>
        <v/>
      </c>
      <c r="D96" s="90" t="str">
        <f t="shared" ca="1" si="6"/>
        <v/>
      </c>
      <c r="E96" s="97"/>
      <c r="F96" s="25"/>
      <c r="G96" s="99" t="str">
        <f t="shared" si="7"/>
        <v/>
      </c>
      <c r="H96" s="27"/>
      <c r="I96" s="84"/>
      <c r="J96" s="92" t="str">
        <f>IF(AND(A96&lt;&gt;"",E96&lt;&gt;""),IF(I96="","⚠️ Enter Code",IF(IFERROR(VLOOKUP(H96,DB_Agents!$B:$I,8,0),"")=I96,IF(C96&gt;=E96,"Successful","Unsuccessful"),"🔒 BLOCKED — Wrong Code")),"—")</f>
        <v>—</v>
      </c>
      <c r="K96" s="93" t="str">
        <f t="shared" ca="1" si="8"/>
        <v>—</v>
      </c>
      <c r="L96" s="94"/>
    </row>
    <row r="97" spans="1:12" x14ac:dyDescent="0.25">
      <c r="A97" s="79"/>
      <c r="B97" s="21" t="str">
        <f>IF(A97="","",IFERROR(VLOOKUP(A97,DB_Customers!$A:$D,4,0),"❌ Account Not Found"))</f>
        <v/>
      </c>
      <c r="C97" s="80" t="str">
        <f>IF(A97="","",IFERROR(VLOOKUP(A97,DB_Customers!$A:$N,14,0),""))</f>
        <v/>
      </c>
      <c r="D97" s="81" t="str">
        <f t="shared" ca="1" si="6"/>
        <v/>
      </c>
      <c r="E97" s="97"/>
      <c r="F97" s="21"/>
      <c r="G97" s="98" t="str">
        <f t="shared" si="7"/>
        <v/>
      </c>
      <c r="H97" s="23"/>
      <c r="I97" s="84"/>
      <c r="J97" s="85" t="str">
        <f>IF(AND(A97&lt;&gt;"",E97&lt;&gt;""),IF(I97="","⚠️ Enter Code",IF(IFERROR(VLOOKUP(H97,DB_Agents!$B:$I,8,0),"")=I97,IF(C97&gt;=E97,"Successful","Unsuccessful"),"🔒 BLOCKED — Wrong Code")),"—")</f>
        <v>—</v>
      </c>
      <c r="K97" s="86" t="str">
        <f t="shared" ca="1" si="8"/>
        <v>—</v>
      </c>
      <c r="L97" s="87"/>
    </row>
    <row r="98" spans="1:12" x14ac:dyDescent="0.25">
      <c r="A98" s="88"/>
      <c r="B98" s="25" t="str">
        <f>IF(A98="","",IFERROR(VLOOKUP(A98,DB_Customers!$A:$D,4,0),"❌ Account Not Found"))</f>
        <v/>
      </c>
      <c r="C98" s="89" t="str">
        <f>IF(A98="","",IFERROR(VLOOKUP(A98,DB_Customers!$A:$N,14,0),""))</f>
        <v/>
      </c>
      <c r="D98" s="90" t="str">
        <f t="shared" ca="1" si="6"/>
        <v/>
      </c>
      <c r="E98" s="97"/>
      <c r="F98" s="25"/>
      <c r="G98" s="99" t="str">
        <f t="shared" si="7"/>
        <v/>
      </c>
      <c r="H98" s="27"/>
      <c r="I98" s="84"/>
      <c r="J98" s="92" t="str">
        <f>IF(AND(A98&lt;&gt;"",E98&lt;&gt;""),IF(I98="","⚠️ Enter Code",IF(IFERROR(VLOOKUP(H98,DB_Agents!$B:$I,8,0),"")=I98,IF(C98&gt;=E98,"Successful","Unsuccessful"),"🔒 BLOCKED — Wrong Code")),"—")</f>
        <v>—</v>
      </c>
      <c r="K98" s="93" t="str">
        <f t="shared" ca="1" si="8"/>
        <v>—</v>
      </c>
      <c r="L98" s="94"/>
    </row>
    <row r="99" spans="1:12" x14ac:dyDescent="0.25">
      <c r="A99" s="79"/>
      <c r="B99" s="21" t="str">
        <f>IF(A99="","",IFERROR(VLOOKUP(A99,DB_Customers!$A:$D,4,0),"❌ Account Not Found"))</f>
        <v/>
      </c>
      <c r="C99" s="80" t="str">
        <f>IF(A99="","",IFERROR(VLOOKUP(A99,DB_Customers!$A:$N,14,0),""))</f>
        <v/>
      </c>
      <c r="D99" s="81" t="str">
        <f t="shared" ca="1" si="6"/>
        <v/>
      </c>
      <c r="E99" s="97"/>
      <c r="F99" s="21"/>
      <c r="G99" s="98" t="str">
        <f t="shared" si="7"/>
        <v/>
      </c>
      <c r="H99" s="23"/>
      <c r="I99" s="84"/>
      <c r="J99" s="85" t="str">
        <f>IF(AND(A99&lt;&gt;"",E99&lt;&gt;""),IF(I99="","⚠️ Enter Code",IF(IFERROR(VLOOKUP(H99,DB_Agents!$B:$I,8,0),"")=I99,IF(C99&gt;=E99,"Successful","Unsuccessful"),"🔒 BLOCKED — Wrong Code")),"—")</f>
        <v>—</v>
      </c>
      <c r="K99" s="86" t="str">
        <f t="shared" ca="1" si="8"/>
        <v>—</v>
      </c>
      <c r="L99" s="87"/>
    </row>
    <row r="100" spans="1:12" x14ac:dyDescent="0.25">
      <c r="A100" s="88"/>
      <c r="B100" s="25" t="str">
        <f>IF(A100="","",IFERROR(VLOOKUP(A100,DB_Customers!$A:$D,4,0),"❌ Account Not Found"))</f>
        <v/>
      </c>
      <c r="C100" s="89" t="str">
        <f>IF(A100="","",IFERROR(VLOOKUP(A100,DB_Customers!$A:$N,14,0),""))</f>
        <v/>
      </c>
      <c r="D100" s="90" t="str">
        <f t="shared" ca="1" si="6"/>
        <v/>
      </c>
      <c r="E100" s="97"/>
      <c r="F100" s="25"/>
      <c r="G100" s="99" t="str">
        <f t="shared" si="7"/>
        <v/>
      </c>
      <c r="H100" s="27"/>
      <c r="I100" s="84"/>
      <c r="J100" s="92" t="str">
        <f>IF(AND(A100&lt;&gt;"",E100&lt;&gt;""),IF(I100="","⚠️ Enter Code",IF(IFERROR(VLOOKUP(H100,DB_Agents!$B:$I,8,0),"")=I100,IF(C100&gt;=E100,"Successful","Unsuccessful"),"🔒 BLOCKED — Wrong Code")),"—")</f>
        <v>—</v>
      </c>
      <c r="K100" s="93" t="str">
        <f t="shared" ca="1" si="8"/>
        <v>—</v>
      </c>
      <c r="L100" s="94"/>
    </row>
    <row r="101" spans="1:12" x14ac:dyDescent="0.25">
      <c r="A101" s="79"/>
      <c r="B101" s="21" t="str">
        <f>IF(A101="","",IFERROR(VLOOKUP(A101,DB_Customers!$A:$D,4,0),"❌ Account Not Found"))</f>
        <v/>
      </c>
      <c r="C101" s="80" t="str">
        <f>IF(A101="","",IFERROR(VLOOKUP(A101,DB_Customers!$A:$N,14,0),""))</f>
        <v/>
      </c>
      <c r="D101" s="81" t="str">
        <f t="shared" ca="1" si="6"/>
        <v/>
      </c>
      <c r="E101" s="97"/>
      <c r="F101" s="21"/>
      <c r="G101" s="98" t="str">
        <f t="shared" si="7"/>
        <v/>
      </c>
      <c r="H101" s="23"/>
      <c r="I101" s="84"/>
      <c r="J101" s="85" t="str">
        <f>IF(AND(A101&lt;&gt;"",E101&lt;&gt;""),IF(I101="","⚠️ Enter Code",IF(IFERROR(VLOOKUP(H101,DB_Agents!$B:$I,8,0),"")=I101,IF(C101&gt;=E101,"Successful","Unsuccessful"),"🔒 BLOCKED — Wrong Code")),"—")</f>
        <v>—</v>
      </c>
      <c r="K101" s="86" t="str">
        <f t="shared" ca="1" si="8"/>
        <v>—</v>
      </c>
      <c r="L101" s="87"/>
    </row>
    <row r="102" spans="1:12" x14ac:dyDescent="0.25">
      <c r="A102" s="88"/>
      <c r="B102" s="25" t="str">
        <f>IF(A102="","",IFERROR(VLOOKUP(A102,DB_Customers!$A:$D,4,0),"❌ Account Not Found"))</f>
        <v/>
      </c>
      <c r="C102" s="89" t="str">
        <f>IF(A102="","",IFERROR(VLOOKUP(A102,DB_Customers!$A:$N,14,0),""))</f>
        <v/>
      </c>
      <c r="D102" s="90" t="str">
        <f t="shared" ca="1" si="6"/>
        <v/>
      </c>
      <c r="E102" s="97"/>
      <c r="F102" s="25"/>
      <c r="G102" s="99" t="str">
        <f t="shared" si="7"/>
        <v/>
      </c>
      <c r="H102" s="27"/>
      <c r="I102" s="84"/>
      <c r="J102" s="92" t="str">
        <f>IF(AND(A102&lt;&gt;"",E102&lt;&gt;""),IF(I102="","⚠️ Enter Code",IF(IFERROR(VLOOKUP(H102,DB_Agents!$B:$I,8,0),"")=I102,IF(C102&gt;=E102,"Successful","Unsuccessful"),"🔒 BLOCKED — Wrong Code")),"—")</f>
        <v>—</v>
      </c>
      <c r="K102" s="93" t="str">
        <f t="shared" ca="1" si="8"/>
        <v>—</v>
      </c>
      <c r="L102" s="94"/>
    </row>
    <row r="103" spans="1:12" x14ac:dyDescent="0.25">
      <c r="A103" s="79"/>
      <c r="B103" s="21" t="str">
        <f>IF(A103="","",IFERROR(VLOOKUP(A103,DB_Customers!$A:$D,4,0),"❌ Account Not Found"))</f>
        <v/>
      </c>
      <c r="C103" s="80" t="str">
        <f>IF(A103="","",IFERROR(VLOOKUP(A103,DB_Customers!$A:$N,14,0),""))</f>
        <v/>
      </c>
      <c r="D103" s="81" t="str">
        <f t="shared" ca="1" si="6"/>
        <v/>
      </c>
      <c r="E103" s="97"/>
      <c r="F103" s="21"/>
      <c r="G103" s="98" t="str">
        <f t="shared" si="7"/>
        <v/>
      </c>
      <c r="H103" s="23"/>
      <c r="I103" s="84"/>
      <c r="J103" s="85" t="str">
        <f>IF(AND(A103&lt;&gt;"",E103&lt;&gt;""),IF(I103="","⚠️ Enter Code",IF(IFERROR(VLOOKUP(H103,DB_Agents!$B:$I,8,0),"")=I103,IF(C103&gt;=E103,"Successful","Unsuccessful"),"🔒 BLOCKED — Wrong Code")),"—")</f>
        <v>—</v>
      </c>
      <c r="K103" s="86" t="str">
        <f t="shared" ca="1" si="8"/>
        <v>—</v>
      </c>
      <c r="L103" s="87"/>
    </row>
    <row r="104" spans="1:12" x14ac:dyDescent="0.25">
      <c r="A104" s="88"/>
      <c r="B104" s="25" t="str">
        <f>IF(A104="","",IFERROR(VLOOKUP(A104,DB_Customers!$A:$D,4,0),"❌ Account Not Found"))</f>
        <v/>
      </c>
      <c r="C104" s="89" t="str">
        <f>IF(A104="","",IFERROR(VLOOKUP(A104,DB_Customers!$A:$N,14,0),""))</f>
        <v/>
      </c>
      <c r="D104" s="90" t="str">
        <f t="shared" ca="1" si="6"/>
        <v/>
      </c>
      <c r="E104" s="97"/>
      <c r="F104" s="25"/>
      <c r="G104" s="99" t="str">
        <f t="shared" si="7"/>
        <v/>
      </c>
      <c r="H104" s="27"/>
      <c r="I104" s="84"/>
      <c r="J104" s="92" t="str">
        <f>IF(AND(A104&lt;&gt;"",E104&lt;&gt;""),IF(I104="","⚠️ Enter Code",IF(IFERROR(VLOOKUP(H104,DB_Agents!$B:$I,8,0),"")=I104,IF(C104&gt;=E104,"Successful","Unsuccessful"),"🔒 BLOCKED — Wrong Code")),"—")</f>
        <v>—</v>
      </c>
      <c r="K104" s="93" t="str">
        <f t="shared" ca="1" si="8"/>
        <v>—</v>
      </c>
      <c r="L104" s="94"/>
    </row>
    <row r="105" spans="1:12" x14ac:dyDescent="0.25">
      <c r="A105" s="79"/>
      <c r="B105" s="21" t="str">
        <f>IF(A105="","",IFERROR(VLOOKUP(A105,DB_Customers!$A:$D,4,0),"❌ Account Not Found"))</f>
        <v/>
      </c>
      <c r="C105" s="80" t="str">
        <f>IF(A105="","",IFERROR(VLOOKUP(A105,DB_Customers!$A:$N,14,0),""))</f>
        <v/>
      </c>
      <c r="D105" s="81" t="str">
        <f t="shared" ref="D105:D136" ca="1" si="9">IF(A105="","",TODAY())</f>
        <v/>
      </c>
      <c r="E105" s="97"/>
      <c r="F105" s="21"/>
      <c r="G105" s="98" t="str">
        <f t="shared" ref="G105:G136" si="10">IF(OR(A105="",E105=""),"",IF(C105="","",C105-E105))</f>
        <v/>
      </c>
      <c r="H105" s="23"/>
      <c r="I105" s="84"/>
      <c r="J105" s="85" t="str">
        <f>IF(AND(A105&lt;&gt;"",E105&lt;&gt;""),IF(I105="","⚠️ Enter Code",IF(IFERROR(VLOOKUP(H105,DB_Agents!$B:$I,8,0),"")=I105,IF(C105&gt;=E105,"Successful","Unsuccessful"),"🔒 BLOCKED — Wrong Code")),"—")</f>
        <v>—</v>
      </c>
      <c r="K105" s="86" t="str">
        <f t="shared" ref="K105:K136" ca="1" si="11">IF(J105="Successful",TEXT(TODAY(),"YYYY-MM-DD")&amp;" Auto","—")</f>
        <v>—</v>
      </c>
      <c r="L105" s="87"/>
    </row>
    <row r="106" spans="1:12" x14ac:dyDescent="0.25">
      <c r="A106" s="88"/>
      <c r="B106" s="25" t="str">
        <f>IF(A106="","",IFERROR(VLOOKUP(A106,DB_Customers!$A:$D,4,0),"❌ Account Not Found"))</f>
        <v/>
      </c>
      <c r="C106" s="89" t="str">
        <f>IF(A106="","",IFERROR(VLOOKUP(A106,DB_Customers!$A:$N,14,0),""))</f>
        <v/>
      </c>
      <c r="D106" s="90" t="str">
        <f t="shared" ca="1" si="9"/>
        <v/>
      </c>
      <c r="E106" s="97"/>
      <c r="F106" s="25"/>
      <c r="G106" s="99" t="str">
        <f t="shared" si="10"/>
        <v/>
      </c>
      <c r="H106" s="27"/>
      <c r="I106" s="84"/>
      <c r="J106" s="92" t="str">
        <f>IF(AND(A106&lt;&gt;"",E106&lt;&gt;""),IF(I106="","⚠️ Enter Code",IF(IFERROR(VLOOKUP(H106,DB_Agents!$B:$I,8,0),"")=I106,IF(C106&gt;=E106,"Successful","Unsuccessful"),"🔒 BLOCKED — Wrong Code")),"—")</f>
        <v>—</v>
      </c>
      <c r="K106" s="93" t="str">
        <f t="shared" ca="1" si="11"/>
        <v>—</v>
      </c>
      <c r="L106" s="94"/>
    </row>
    <row r="107" spans="1:12" x14ac:dyDescent="0.25">
      <c r="A107" s="79"/>
      <c r="B107" s="21" t="str">
        <f>IF(A107="","",IFERROR(VLOOKUP(A107,DB_Customers!$A:$D,4,0),"❌ Account Not Found"))</f>
        <v/>
      </c>
      <c r="C107" s="80" t="str">
        <f>IF(A107="","",IFERROR(VLOOKUP(A107,DB_Customers!$A:$N,14,0),""))</f>
        <v/>
      </c>
      <c r="D107" s="81" t="str">
        <f t="shared" ca="1" si="9"/>
        <v/>
      </c>
      <c r="E107" s="97"/>
      <c r="F107" s="21"/>
      <c r="G107" s="98" t="str">
        <f t="shared" si="10"/>
        <v/>
      </c>
      <c r="H107" s="23"/>
      <c r="I107" s="84"/>
      <c r="J107" s="85" t="str">
        <f>IF(AND(A107&lt;&gt;"",E107&lt;&gt;""),IF(I107="","⚠️ Enter Code",IF(IFERROR(VLOOKUP(H107,DB_Agents!$B:$I,8,0),"")=I107,IF(C107&gt;=E107,"Successful","Unsuccessful"),"🔒 BLOCKED — Wrong Code")),"—")</f>
        <v>—</v>
      </c>
      <c r="K107" s="86" t="str">
        <f t="shared" ca="1" si="11"/>
        <v>—</v>
      </c>
      <c r="L107" s="87"/>
    </row>
    <row r="108" spans="1:12" x14ac:dyDescent="0.25">
      <c r="A108" s="88"/>
      <c r="B108" s="25" t="str">
        <f>IF(A108="","",IFERROR(VLOOKUP(A108,DB_Customers!$A:$D,4,0),"❌ Account Not Found"))</f>
        <v/>
      </c>
      <c r="C108" s="89" t="str">
        <f>IF(A108="","",IFERROR(VLOOKUP(A108,DB_Customers!$A:$N,14,0),""))</f>
        <v/>
      </c>
      <c r="D108" s="90" t="str">
        <f t="shared" ca="1" si="9"/>
        <v/>
      </c>
      <c r="E108" s="97"/>
      <c r="F108" s="25"/>
      <c r="G108" s="99" t="str">
        <f t="shared" si="10"/>
        <v/>
      </c>
      <c r="H108" s="27"/>
      <c r="I108" s="84"/>
      <c r="J108" s="92" t="str">
        <f>IF(AND(A108&lt;&gt;"",E108&lt;&gt;""),IF(I108="","⚠️ Enter Code",IF(IFERROR(VLOOKUP(H108,DB_Agents!$B:$I,8,0),"")=I108,IF(C108&gt;=E108,"Successful","Unsuccessful"),"🔒 BLOCKED — Wrong Code")),"—")</f>
        <v>—</v>
      </c>
      <c r="K108" s="93" t="str">
        <f t="shared" ca="1" si="11"/>
        <v>—</v>
      </c>
      <c r="L108" s="94"/>
    </row>
    <row r="109" spans="1:12" x14ac:dyDescent="0.25">
      <c r="A109" s="79"/>
      <c r="B109" s="21" t="str">
        <f>IF(A109="","",IFERROR(VLOOKUP(A109,DB_Customers!$A:$D,4,0),"❌ Account Not Found"))</f>
        <v/>
      </c>
      <c r="C109" s="80" t="str">
        <f>IF(A109="","",IFERROR(VLOOKUP(A109,DB_Customers!$A:$N,14,0),""))</f>
        <v/>
      </c>
      <c r="D109" s="81" t="str">
        <f t="shared" ca="1" si="9"/>
        <v/>
      </c>
      <c r="E109" s="97"/>
      <c r="F109" s="21"/>
      <c r="G109" s="98" t="str">
        <f t="shared" si="10"/>
        <v/>
      </c>
      <c r="H109" s="23"/>
      <c r="I109" s="84"/>
      <c r="J109" s="85" t="str">
        <f>IF(AND(A109&lt;&gt;"",E109&lt;&gt;""),IF(I109="","⚠️ Enter Code",IF(IFERROR(VLOOKUP(H109,DB_Agents!$B:$I,8,0),"")=I109,IF(C109&gt;=E109,"Successful","Unsuccessful"),"🔒 BLOCKED — Wrong Code")),"—")</f>
        <v>—</v>
      </c>
      <c r="K109" s="86" t="str">
        <f t="shared" ca="1" si="11"/>
        <v>—</v>
      </c>
      <c r="L109" s="87"/>
    </row>
    <row r="110" spans="1:12" x14ac:dyDescent="0.25">
      <c r="A110" s="88"/>
      <c r="B110" s="25" t="str">
        <f>IF(A110="","",IFERROR(VLOOKUP(A110,DB_Customers!$A:$D,4,0),"❌ Account Not Found"))</f>
        <v/>
      </c>
      <c r="C110" s="89" t="str">
        <f>IF(A110="","",IFERROR(VLOOKUP(A110,DB_Customers!$A:$N,14,0),""))</f>
        <v/>
      </c>
      <c r="D110" s="90" t="str">
        <f t="shared" ca="1" si="9"/>
        <v/>
      </c>
      <c r="E110" s="97"/>
      <c r="F110" s="25"/>
      <c r="G110" s="99" t="str">
        <f t="shared" si="10"/>
        <v/>
      </c>
      <c r="H110" s="27"/>
      <c r="I110" s="84"/>
      <c r="J110" s="92" t="str">
        <f>IF(AND(A110&lt;&gt;"",E110&lt;&gt;""),IF(I110="","⚠️ Enter Code",IF(IFERROR(VLOOKUP(H110,DB_Agents!$B:$I,8,0),"")=I110,IF(C110&gt;=E110,"Successful","Unsuccessful"),"🔒 BLOCKED — Wrong Code")),"—")</f>
        <v>—</v>
      </c>
      <c r="K110" s="93" t="str">
        <f t="shared" ca="1" si="11"/>
        <v>—</v>
      </c>
      <c r="L110" s="94"/>
    </row>
    <row r="111" spans="1:12" x14ac:dyDescent="0.25">
      <c r="A111" s="79"/>
      <c r="B111" s="21" t="str">
        <f>IF(A111="","",IFERROR(VLOOKUP(A111,DB_Customers!$A:$D,4,0),"❌ Account Not Found"))</f>
        <v/>
      </c>
      <c r="C111" s="80" t="str">
        <f>IF(A111="","",IFERROR(VLOOKUP(A111,DB_Customers!$A:$N,14,0),""))</f>
        <v/>
      </c>
      <c r="D111" s="81" t="str">
        <f t="shared" ca="1" si="9"/>
        <v/>
      </c>
      <c r="E111" s="97"/>
      <c r="F111" s="21"/>
      <c r="G111" s="98" t="str">
        <f t="shared" si="10"/>
        <v/>
      </c>
      <c r="H111" s="23"/>
      <c r="I111" s="84"/>
      <c r="J111" s="85" t="str">
        <f>IF(AND(A111&lt;&gt;"",E111&lt;&gt;""),IF(I111="","⚠️ Enter Code",IF(IFERROR(VLOOKUP(H111,DB_Agents!$B:$I,8,0),"")=I111,IF(C111&gt;=E111,"Successful","Unsuccessful"),"🔒 BLOCKED — Wrong Code")),"—")</f>
        <v>—</v>
      </c>
      <c r="K111" s="86" t="str">
        <f t="shared" ca="1" si="11"/>
        <v>—</v>
      </c>
      <c r="L111" s="87"/>
    </row>
    <row r="112" spans="1:12" x14ac:dyDescent="0.25">
      <c r="A112" s="88"/>
      <c r="B112" s="25" t="str">
        <f>IF(A112="","",IFERROR(VLOOKUP(A112,DB_Customers!$A:$D,4,0),"❌ Account Not Found"))</f>
        <v/>
      </c>
      <c r="C112" s="89" t="str">
        <f>IF(A112="","",IFERROR(VLOOKUP(A112,DB_Customers!$A:$N,14,0),""))</f>
        <v/>
      </c>
      <c r="D112" s="90" t="str">
        <f t="shared" ca="1" si="9"/>
        <v/>
      </c>
      <c r="E112" s="97"/>
      <c r="F112" s="25"/>
      <c r="G112" s="99" t="str">
        <f t="shared" si="10"/>
        <v/>
      </c>
      <c r="H112" s="27"/>
      <c r="I112" s="84"/>
      <c r="J112" s="92" t="str">
        <f>IF(AND(A112&lt;&gt;"",E112&lt;&gt;""),IF(I112="","⚠️ Enter Code",IF(IFERROR(VLOOKUP(H112,DB_Agents!$B:$I,8,0),"")=I112,IF(C112&gt;=E112,"Successful","Unsuccessful"),"🔒 BLOCKED — Wrong Code")),"—")</f>
        <v>—</v>
      </c>
      <c r="K112" s="93" t="str">
        <f t="shared" ca="1" si="11"/>
        <v>—</v>
      </c>
      <c r="L112" s="94"/>
    </row>
    <row r="113" spans="1:12" x14ac:dyDescent="0.25">
      <c r="A113" s="79"/>
      <c r="B113" s="21" t="str">
        <f>IF(A113="","",IFERROR(VLOOKUP(A113,DB_Customers!$A:$D,4,0),"❌ Account Not Found"))</f>
        <v/>
      </c>
      <c r="C113" s="80" t="str">
        <f>IF(A113="","",IFERROR(VLOOKUP(A113,DB_Customers!$A:$N,14,0),""))</f>
        <v/>
      </c>
      <c r="D113" s="81" t="str">
        <f t="shared" ca="1" si="9"/>
        <v/>
      </c>
      <c r="E113" s="97"/>
      <c r="F113" s="21"/>
      <c r="G113" s="98" t="str">
        <f t="shared" si="10"/>
        <v/>
      </c>
      <c r="H113" s="23"/>
      <c r="I113" s="84"/>
      <c r="J113" s="85" t="str">
        <f>IF(AND(A113&lt;&gt;"",E113&lt;&gt;""),IF(I113="","⚠️ Enter Code",IF(IFERROR(VLOOKUP(H113,DB_Agents!$B:$I,8,0),"")=I113,IF(C113&gt;=E113,"Successful","Unsuccessful"),"🔒 BLOCKED — Wrong Code")),"—")</f>
        <v>—</v>
      </c>
      <c r="K113" s="86" t="str">
        <f t="shared" ca="1" si="11"/>
        <v>—</v>
      </c>
      <c r="L113" s="87"/>
    </row>
    <row r="114" spans="1:12" x14ac:dyDescent="0.25">
      <c r="A114" s="88"/>
      <c r="B114" s="25" t="str">
        <f>IF(A114="","",IFERROR(VLOOKUP(A114,DB_Customers!$A:$D,4,0),"❌ Account Not Found"))</f>
        <v/>
      </c>
      <c r="C114" s="89" t="str">
        <f>IF(A114="","",IFERROR(VLOOKUP(A114,DB_Customers!$A:$N,14,0),""))</f>
        <v/>
      </c>
      <c r="D114" s="90" t="str">
        <f t="shared" ca="1" si="9"/>
        <v/>
      </c>
      <c r="E114" s="97"/>
      <c r="F114" s="25"/>
      <c r="G114" s="99" t="str">
        <f t="shared" si="10"/>
        <v/>
      </c>
      <c r="H114" s="27"/>
      <c r="I114" s="84"/>
      <c r="J114" s="92" t="str">
        <f>IF(AND(A114&lt;&gt;"",E114&lt;&gt;""),IF(I114="","⚠️ Enter Code",IF(IFERROR(VLOOKUP(H114,DB_Agents!$B:$I,8,0),"")=I114,IF(C114&gt;=E114,"Successful","Unsuccessful"),"🔒 BLOCKED — Wrong Code")),"—")</f>
        <v>—</v>
      </c>
      <c r="K114" s="93" t="str">
        <f t="shared" ca="1" si="11"/>
        <v>—</v>
      </c>
      <c r="L114" s="94"/>
    </row>
    <row r="115" spans="1:12" x14ac:dyDescent="0.25">
      <c r="A115" s="79"/>
      <c r="B115" s="21" t="str">
        <f>IF(A115="","",IFERROR(VLOOKUP(A115,DB_Customers!$A:$D,4,0),"❌ Account Not Found"))</f>
        <v/>
      </c>
      <c r="C115" s="80" t="str">
        <f>IF(A115="","",IFERROR(VLOOKUP(A115,DB_Customers!$A:$N,14,0),""))</f>
        <v/>
      </c>
      <c r="D115" s="81" t="str">
        <f t="shared" ca="1" si="9"/>
        <v/>
      </c>
      <c r="E115" s="97"/>
      <c r="F115" s="21"/>
      <c r="G115" s="98" t="str">
        <f t="shared" si="10"/>
        <v/>
      </c>
      <c r="H115" s="23"/>
      <c r="I115" s="84"/>
      <c r="J115" s="85" t="str">
        <f>IF(AND(A115&lt;&gt;"",E115&lt;&gt;""),IF(I115="","⚠️ Enter Code",IF(IFERROR(VLOOKUP(H115,DB_Agents!$B:$I,8,0),"")=I115,IF(C115&gt;=E115,"Successful","Unsuccessful"),"🔒 BLOCKED — Wrong Code")),"—")</f>
        <v>—</v>
      </c>
      <c r="K115" s="86" t="str">
        <f t="shared" ca="1" si="11"/>
        <v>—</v>
      </c>
      <c r="L115" s="87"/>
    </row>
    <row r="116" spans="1:12" x14ac:dyDescent="0.25">
      <c r="A116" s="88"/>
      <c r="B116" s="25" t="str">
        <f>IF(A116="","",IFERROR(VLOOKUP(A116,DB_Customers!$A:$D,4,0),"❌ Account Not Found"))</f>
        <v/>
      </c>
      <c r="C116" s="89" t="str">
        <f>IF(A116="","",IFERROR(VLOOKUP(A116,DB_Customers!$A:$N,14,0),""))</f>
        <v/>
      </c>
      <c r="D116" s="90" t="str">
        <f t="shared" ca="1" si="9"/>
        <v/>
      </c>
      <c r="E116" s="97"/>
      <c r="F116" s="25"/>
      <c r="G116" s="99" t="str">
        <f t="shared" si="10"/>
        <v/>
      </c>
      <c r="H116" s="27"/>
      <c r="I116" s="84"/>
      <c r="J116" s="92" t="str">
        <f>IF(AND(A116&lt;&gt;"",E116&lt;&gt;""),IF(I116="","⚠️ Enter Code",IF(IFERROR(VLOOKUP(H116,DB_Agents!$B:$I,8,0),"")=I116,IF(C116&gt;=E116,"Successful","Unsuccessful"),"🔒 BLOCKED — Wrong Code")),"—")</f>
        <v>—</v>
      </c>
      <c r="K116" s="93" t="str">
        <f t="shared" ca="1" si="11"/>
        <v>—</v>
      </c>
      <c r="L116" s="94"/>
    </row>
    <row r="117" spans="1:12" x14ac:dyDescent="0.25">
      <c r="A117" s="79"/>
      <c r="B117" s="21" t="str">
        <f>IF(A117="","",IFERROR(VLOOKUP(A117,DB_Customers!$A:$D,4,0),"❌ Account Not Found"))</f>
        <v/>
      </c>
      <c r="C117" s="80" t="str">
        <f>IF(A117="","",IFERROR(VLOOKUP(A117,DB_Customers!$A:$N,14,0),""))</f>
        <v/>
      </c>
      <c r="D117" s="81" t="str">
        <f t="shared" ca="1" si="9"/>
        <v/>
      </c>
      <c r="E117" s="97"/>
      <c r="F117" s="21"/>
      <c r="G117" s="98" t="str">
        <f t="shared" si="10"/>
        <v/>
      </c>
      <c r="H117" s="23"/>
      <c r="I117" s="84"/>
      <c r="J117" s="85" t="str">
        <f>IF(AND(A117&lt;&gt;"",E117&lt;&gt;""),IF(I117="","⚠️ Enter Code",IF(IFERROR(VLOOKUP(H117,DB_Agents!$B:$I,8,0),"")=I117,IF(C117&gt;=E117,"Successful","Unsuccessful"),"🔒 BLOCKED — Wrong Code")),"—")</f>
        <v>—</v>
      </c>
      <c r="K117" s="86" t="str">
        <f t="shared" ca="1" si="11"/>
        <v>—</v>
      </c>
      <c r="L117" s="87"/>
    </row>
    <row r="118" spans="1:12" x14ac:dyDescent="0.25">
      <c r="A118" s="88"/>
      <c r="B118" s="25" t="str">
        <f>IF(A118="","",IFERROR(VLOOKUP(A118,DB_Customers!$A:$D,4,0),"❌ Account Not Found"))</f>
        <v/>
      </c>
      <c r="C118" s="89" t="str">
        <f>IF(A118="","",IFERROR(VLOOKUP(A118,DB_Customers!$A:$N,14,0),""))</f>
        <v/>
      </c>
      <c r="D118" s="90" t="str">
        <f t="shared" ca="1" si="9"/>
        <v/>
      </c>
      <c r="E118" s="97"/>
      <c r="F118" s="25"/>
      <c r="G118" s="99" t="str">
        <f t="shared" si="10"/>
        <v/>
      </c>
      <c r="H118" s="27"/>
      <c r="I118" s="84"/>
      <c r="J118" s="92" t="str">
        <f>IF(AND(A118&lt;&gt;"",E118&lt;&gt;""),IF(I118="","⚠️ Enter Code",IF(IFERROR(VLOOKUP(H118,DB_Agents!$B:$I,8,0),"")=I118,IF(C118&gt;=E118,"Successful","Unsuccessful"),"🔒 BLOCKED — Wrong Code")),"—")</f>
        <v>—</v>
      </c>
      <c r="K118" s="93" t="str">
        <f t="shared" ca="1" si="11"/>
        <v>—</v>
      </c>
      <c r="L118" s="94"/>
    </row>
    <row r="119" spans="1:12" x14ac:dyDescent="0.25">
      <c r="A119" s="79"/>
      <c r="B119" s="21" t="str">
        <f>IF(A119="","",IFERROR(VLOOKUP(A119,DB_Customers!$A:$D,4,0),"❌ Account Not Found"))</f>
        <v/>
      </c>
      <c r="C119" s="80" t="str">
        <f>IF(A119="","",IFERROR(VLOOKUP(A119,DB_Customers!$A:$N,14,0),""))</f>
        <v/>
      </c>
      <c r="D119" s="81" t="str">
        <f t="shared" ca="1" si="9"/>
        <v/>
      </c>
      <c r="E119" s="97"/>
      <c r="F119" s="21"/>
      <c r="G119" s="98" t="str">
        <f t="shared" si="10"/>
        <v/>
      </c>
      <c r="H119" s="23"/>
      <c r="I119" s="84"/>
      <c r="J119" s="85" t="str">
        <f>IF(AND(A119&lt;&gt;"",E119&lt;&gt;""),IF(I119="","⚠️ Enter Code",IF(IFERROR(VLOOKUP(H119,DB_Agents!$B:$I,8,0),"")=I119,IF(C119&gt;=E119,"Successful","Unsuccessful"),"🔒 BLOCKED — Wrong Code")),"—")</f>
        <v>—</v>
      </c>
      <c r="K119" s="86" t="str">
        <f t="shared" ca="1" si="11"/>
        <v>—</v>
      </c>
      <c r="L119" s="87"/>
    </row>
    <row r="120" spans="1:12" x14ac:dyDescent="0.25">
      <c r="A120" s="88"/>
      <c r="B120" s="25" t="str">
        <f>IF(A120="","",IFERROR(VLOOKUP(A120,DB_Customers!$A:$D,4,0),"❌ Account Not Found"))</f>
        <v/>
      </c>
      <c r="C120" s="89" t="str">
        <f>IF(A120="","",IFERROR(VLOOKUP(A120,DB_Customers!$A:$N,14,0),""))</f>
        <v/>
      </c>
      <c r="D120" s="90" t="str">
        <f t="shared" ca="1" si="9"/>
        <v/>
      </c>
      <c r="E120" s="97"/>
      <c r="F120" s="25"/>
      <c r="G120" s="99" t="str">
        <f t="shared" si="10"/>
        <v/>
      </c>
      <c r="H120" s="27"/>
      <c r="I120" s="84"/>
      <c r="J120" s="92" t="str">
        <f>IF(AND(A120&lt;&gt;"",E120&lt;&gt;""),IF(I120="","⚠️ Enter Code",IF(IFERROR(VLOOKUP(H120,DB_Agents!$B:$I,8,0),"")=I120,IF(C120&gt;=E120,"Successful","Unsuccessful"),"🔒 BLOCKED — Wrong Code")),"—")</f>
        <v>—</v>
      </c>
      <c r="K120" s="93" t="str">
        <f t="shared" ca="1" si="11"/>
        <v>—</v>
      </c>
      <c r="L120" s="94"/>
    </row>
    <row r="121" spans="1:12" x14ac:dyDescent="0.25">
      <c r="A121" s="79"/>
      <c r="B121" s="21" t="str">
        <f>IF(A121="","",IFERROR(VLOOKUP(A121,DB_Customers!$A:$D,4,0),"❌ Account Not Found"))</f>
        <v/>
      </c>
      <c r="C121" s="80" t="str">
        <f>IF(A121="","",IFERROR(VLOOKUP(A121,DB_Customers!$A:$N,14,0),""))</f>
        <v/>
      </c>
      <c r="D121" s="81" t="str">
        <f t="shared" ca="1" si="9"/>
        <v/>
      </c>
      <c r="E121" s="97"/>
      <c r="F121" s="21"/>
      <c r="G121" s="98" t="str">
        <f t="shared" si="10"/>
        <v/>
      </c>
      <c r="H121" s="23"/>
      <c r="I121" s="84"/>
      <c r="J121" s="85" t="str">
        <f>IF(AND(A121&lt;&gt;"",E121&lt;&gt;""),IF(I121="","⚠️ Enter Code",IF(IFERROR(VLOOKUP(H121,DB_Agents!$B:$I,8,0),"")=I121,IF(C121&gt;=E121,"Successful","Unsuccessful"),"🔒 BLOCKED — Wrong Code")),"—")</f>
        <v>—</v>
      </c>
      <c r="K121" s="86" t="str">
        <f t="shared" ca="1" si="11"/>
        <v>—</v>
      </c>
      <c r="L121" s="87"/>
    </row>
    <row r="122" spans="1:12" x14ac:dyDescent="0.25">
      <c r="A122" s="88"/>
      <c r="B122" s="25" t="str">
        <f>IF(A122="","",IFERROR(VLOOKUP(A122,DB_Customers!$A:$D,4,0),"❌ Account Not Found"))</f>
        <v/>
      </c>
      <c r="C122" s="89" t="str">
        <f>IF(A122="","",IFERROR(VLOOKUP(A122,DB_Customers!$A:$N,14,0),""))</f>
        <v/>
      </c>
      <c r="D122" s="90" t="str">
        <f t="shared" ca="1" si="9"/>
        <v/>
      </c>
      <c r="E122" s="97"/>
      <c r="F122" s="25"/>
      <c r="G122" s="99" t="str">
        <f t="shared" si="10"/>
        <v/>
      </c>
      <c r="H122" s="27"/>
      <c r="I122" s="84"/>
      <c r="J122" s="92" t="str">
        <f>IF(AND(A122&lt;&gt;"",E122&lt;&gt;""),IF(I122="","⚠️ Enter Code",IF(IFERROR(VLOOKUP(H122,DB_Agents!$B:$I,8,0),"")=I122,IF(C122&gt;=E122,"Successful","Unsuccessful"),"🔒 BLOCKED — Wrong Code")),"—")</f>
        <v>—</v>
      </c>
      <c r="K122" s="93" t="str">
        <f t="shared" ca="1" si="11"/>
        <v>—</v>
      </c>
      <c r="L122" s="94"/>
    </row>
    <row r="123" spans="1:12" x14ac:dyDescent="0.25">
      <c r="A123" s="79"/>
      <c r="B123" s="21" t="str">
        <f>IF(A123="","",IFERROR(VLOOKUP(A123,DB_Customers!$A:$D,4,0),"❌ Account Not Found"))</f>
        <v/>
      </c>
      <c r="C123" s="80" t="str">
        <f>IF(A123="","",IFERROR(VLOOKUP(A123,DB_Customers!$A:$N,14,0),""))</f>
        <v/>
      </c>
      <c r="D123" s="81" t="str">
        <f t="shared" ca="1" si="9"/>
        <v/>
      </c>
      <c r="E123" s="97"/>
      <c r="F123" s="21"/>
      <c r="G123" s="98" t="str">
        <f t="shared" si="10"/>
        <v/>
      </c>
      <c r="H123" s="23"/>
      <c r="I123" s="84"/>
      <c r="J123" s="85" t="str">
        <f>IF(AND(A123&lt;&gt;"",E123&lt;&gt;""),IF(I123="","⚠️ Enter Code",IF(IFERROR(VLOOKUP(H123,DB_Agents!$B:$I,8,0),"")=I123,IF(C123&gt;=E123,"Successful","Unsuccessful"),"🔒 BLOCKED — Wrong Code")),"—")</f>
        <v>—</v>
      </c>
      <c r="K123" s="86" t="str">
        <f t="shared" ca="1" si="11"/>
        <v>—</v>
      </c>
      <c r="L123" s="87"/>
    </row>
    <row r="124" spans="1:12" x14ac:dyDescent="0.25">
      <c r="A124" s="88"/>
      <c r="B124" s="25" t="str">
        <f>IF(A124="","",IFERROR(VLOOKUP(A124,DB_Customers!$A:$D,4,0),"❌ Account Not Found"))</f>
        <v/>
      </c>
      <c r="C124" s="89" t="str">
        <f>IF(A124="","",IFERROR(VLOOKUP(A124,DB_Customers!$A:$N,14,0),""))</f>
        <v/>
      </c>
      <c r="D124" s="90" t="str">
        <f t="shared" ca="1" si="9"/>
        <v/>
      </c>
      <c r="E124" s="97"/>
      <c r="F124" s="25"/>
      <c r="G124" s="99" t="str">
        <f t="shared" si="10"/>
        <v/>
      </c>
      <c r="H124" s="27"/>
      <c r="I124" s="84"/>
      <c r="J124" s="92" t="str">
        <f>IF(AND(A124&lt;&gt;"",E124&lt;&gt;""),IF(I124="","⚠️ Enter Code",IF(IFERROR(VLOOKUP(H124,DB_Agents!$B:$I,8,0),"")=I124,IF(C124&gt;=E124,"Successful","Unsuccessful"),"🔒 BLOCKED — Wrong Code")),"—")</f>
        <v>—</v>
      </c>
      <c r="K124" s="93" t="str">
        <f t="shared" ca="1" si="11"/>
        <v>—</v>
      </c>
      <c r="L124" s="94"/>
    </row>
    <row r="125" spans="1:12" x14ac:dyDescent="0.25">
      <c r="A125" s="79"/>
      <c r="B125" s="21" t="str">
        <f>IF(A125="","",IFERROR(VLOOKUP(A125,DB_Customers!$A:$D,4,0),"❌ Account Not Found"))</f>
        <v/>
      </c>
      <c r="C125" s="80" t="str">
        <f>IF(A125="","",IFERROR(VLOOKUP(A125,DB_Customers!$A:$N,14,0),""))</f>
        <v/>
      </c>
      <c r="D125" s="81" t="str">
        <f t="shared" ca="1" si="9"/>
        <v/>
      </c>
      <c r="E125" s="97"/>
      <c r="F125" s="21"/>
      <c r="G125" s="98" t="str">
        <f t="shared" si="10"/>
        <v/>
      </c>
      <c r="H125" s="23"/>
      <c r="I125" s="84"/>
      <c r="J125" s="85" t="str">
        <f>IF(AND(A125&lt;&gt;"",E125&lt;&gt;""),IF(I125="","⚠️ Enter Code",IF(IFERROR(VLOOKUP(H125,DB_Agents!$B:$I,8,0),"")=I125,IF(C125&gt;=E125,"Successful","Unsuccessful"),"🔒 BLOCKED — Wrong Code")),"—")</f>
        <v>—</v>
      </c>
      <c r="K125" s="86" t="str">
        <f t="shared" ca="1" si="11"/>
        <v>—</v>
      </c>
      <c r="L125" s="87"/>
    </row>
    <row r="126" spans="1:12" x14ac:dyDescent="0.25">
      <c r="A126" s="88"/>
      <c r="B126" s="25" t="str">
        <f>IF(A126="","",IFERROR(VLOOKUP(A126,DB_Customers!$A:$D,4,0),"❌ Account Not Found"))</f>
        <v/>
      </c>
      <c r="C126" s="89" t="str">
        <f>IF(A126="","",IFERROR(VLOOKUP(A126,DB_Customers!$A:$N,14,0),""))</f>
        <v/>
      </c>
      <c r="D126" s="90" t="str">
        <f t="shared" ca="1" si="9"/>
        <v/>
      </c>
      <c r="E126" s="97"/>
      <c r="F126" s="25"/>
      <c r="G126" s="99" t="str">
        <f t="shared" si="10"/>
        <v/>
      </c>
      <c r="H126" s="27"/>
      <c r="I126" s="84"/>
      <c r="J126" s="92" t="str">
        <f>IF(AND(A126&lt;&gt;"",E126&lt;&gt;""),IF(I126="","⚠️ Enter Code",IF(IFERROR(VLOOKUP(H126,DB_Agents!$B:$I,8,0),"")=I126,IF(C126&gt;=E126,"Successful","Unsuccessful"),"🔒 BLOCKED — Wrong Code")),"—")</f>
        <v>—</v>
      </c>
      <c r="K126" s="93" t="str">
        <f t="shared" ca="1" si="11"/>
        <v>—</v>
      </c>
      <c r="L126" s="94"/>
    </row>
    <row r="127" spans="1:12" x14ac:dyDescent="0.25">
      <c r="A127" s="79"/>
      <c r="B127" s="21" t="str">
        <f>IF(A127="","",IFERROR(VLOOKUP(A127,DB_Customers!$A:$D,4,0),"❌ Account Not Found"))</f>
        <v/>
      </c>
      <c r="C127" s="80" t="str">
        <f>IF(A127="","",IFERROR(VLOOKUP(A127,DB_Customers!$A:$N,14,0),""))</f>
        <v/>
      </c>
      <c r="D127" s="81" t="str">
        <f t="shared" ca="1" si="9"/>
        <v/>
      </c>
      <c r="E127" s="97"/>
      <c r="F127" s="21"/>
      <c r="G127" s="98" t="str">
        <f t="shared" si="10"/>
        <v/>
      </c>
      <c r="H127" s="23"/>
      <c r="I127" s="84"/>
      <c r="J127" s="85" t="str">
        <f>IF(AND(A127&lt;&gt;"",E127&lt;&gt;""),IF(I127="","⚠️ Enter Code",IF(IFERROR(VLOOKUP(H127,DB_Agents!$B:$I,8,0),"")=I127,IF(C127&gt;=E127,"Successful","Unsuccessful"),"🔒 BLOCKED — Wrong Code")),"—")</f>
        <v>—</v>
      </c>
      <c r="K127" s="86" t="str">
        <f t="shared" ca="1" si="11"/>
        <v>—</v>
      </c>
      <c r="L127" s="87"/>
    </row>
    <row r="128" spans="1:12" x14ac:dyDescent="0.25">
      <c r="A128" s="88"/>
      <c r="B128" s="25" t="str">
        <f>IF(A128="","",IFERROR(VLOOKUP(A128,DB_Customers!$A:$D,4,0),"❌ Account Not Found"))</f>
        <v/>
      </c>
      <c r="C128" s="89" t="str">
        <f>IF(A128="","",IFERROR(VLOOKUP(A128,DB_Customers!$A:$N,14,0),""))</f>
        <v/>
      </c>
      <c r="D128" s="90" t="str">
        <f t="shared" ca="1" si="9"/>
        <v/>
      </c>
      <c r="E128" s="97"/>
      <c r="F128" s="25"/>
      <c r="G128" s="99" t="str">
        <f t="shared" si="10"/>
        <v/>
      </c>
      <c r="H128" s="27"/>
      <c r="I128" s="84"/>
      <c r="J128" s="92" t="str">
        <f>IF(AND(A128&lt;&gt;"",E128&lt;&gt;""),IF(I128="","⚠️ Enter Code",IF(IFERROR(VLOOKUP(H128,DB_Agents!$B:$I,8,0),"")=I128,IF(C128&gt;=E128,"Successful","Unsuccessful"),"🔒 BLOCKED — Wrong Code")),"—")</f>
        <v>—</v>
      </c>
      <c r="K128" s="93" t="str">
        <f t="shared" ca="1" si="11"/>
        <v>—</v>
      </c>
      <c r="L128" s="94"/>
    </row>
    <row r="129" spans="1:12" x14ac:dyDescent="0.25">
      <c r="A129" s="79"/>
      <c r="B129" s="21" t="str">
        <f>IF(A129="","",IFERROR(VLOOKUP(A129,DB_Customers!$A:$D,4,0),"❌ Account Not Found"))</f>
        <v/>
      </c>
      <c r="C129" s="80" t="str">
        <f>IF(A129="","",IFERROR(VLOOKUP(A129,DB_Customers!$A:$N,14,0),""))</f>
        <v/>
      </c>
      <c r="D129" s="81" t="str">
        <f t="shared" ca="1" si="9"/>
        <v/>
      </c>
      <c r="E129" s="97"/>
      <c r="F129" s="21"/>
      <c r="G129" s="98" t="str">
        <f t="shared" si="10"/>
        <v/>
      </c>
      <c r="H129" s="23"/>
      <c r="I129" s="84"/>
      <c r="J129" s="85" t="str">
        <f>IF(AND(A129&lt;&gt;"",E129&lt;&gt;""),IF(I129="","⚠️ Enter Code",IF(IFERROR(VLOOKUP(H129,DB_Agents!$B:$I,8,0),"")=I129,IF(C129&gt;=E129,"Successful","Unsuccessful"),"🔒 BLOCKED — Wrong Code")),"—")</f>
        <v>—</v>
      </c>
      <c r="K129" s="86" t="str">
        <f t="shared" ca="1" si="11"/>
        <v>—</v>
      </c>
      <c r="L129" s="87"/>
    </row>
    <row r="130" spans="1:12" x14ac:dyDescent="0.25">
      <c r="A130" s="88"/>
      <c r="B130" s="25" t="str">
        <f>IF(A130="","",IFERROR(VLOOKUP(A130,DB_Customers!$A:$D,4,0),"❌ Account Not Found"))</f>
        <v/>
      </c>
      <c r="C130" s="89" t="str">
        <f>IF(A130="","",IFERROR(VLOOKUP(A130,DB_Customers!$A:$N,14,0),""))</f>
        <v/>
      </c>
      <c r="D130" s="90" t="str">
        <f t="shared" ca="1" si="9"/>
        <v/>
      </c>
      <c r="E130" s="97"/>
      <c r="F130" s="25"/>
      <c r="G130" s="99" t="str">
        <f t="shared" si="10"/>
        <v/>
      </c>
      <c r="H130" s="27"/>
      <c r="I130" s="84"/>
      <c r="J130" s="92" t="str">
        <f>IF(AND(A130&lt;&gt;"",E130&lt;&gt;""),IF(I130="","⚠️ Enter Code",IF(IFERROR(VLOOKUP(H130,DB_Agents!$B:$I,8,0),"")=I130,IF(C130&gt;=E130,"Successful","Unsuccessful"),"🔒 BLOCKED — Wrong Code")),"—")</f>
        <v>—</v>
      </c>
      <c r="K130" s="93" t="str">
        <f t="shared" ca="1" si="11"/>
        <v>—</v>
      </c>
      <c r="L130" s="94"/>
    </row>
    <row r="131" spans="1:12" x14ac:dyDescent="0.25">
      <c r="A131" s="79"/>
      <c r="B131" s="21" t="str">
        <f>IF(A131="","",IFERROR(VLOOKUP(A131,DB_Customers!$A:$D,4,0),"❌ Account Not Found"))</f>
        <v/>
      </c>
      <c r="C131" s="80" t="str">
        <f>IF(A131="","",IFERROR(VLOOKUP(A131,DB_Customers!$A:$N,14,0),""))</f>
        <v/>
      </c>
      <c r="D131" s="81" t="str">
        <f t="shared" ca="1" si="9"/>
        <v/>
      </c>
      <c r="E131" s="97"/>
      <c r="F131" s="21"/>
      <c r="G131" s="98" t="str">
        <f t="shared" si="10"/>
        <v/>
      </c>
      <c r="H131" s="23"/>
      <c r="I131" s="84"/>
      <c r="J131" s="85" t="str">
        <f>IF(AND(A131&lt;&gt;"",E131&lt;&gt;""),IF(I131="","⚠️ Enter Code",IF(IFERROR(VLOOKUP(H131,DB_Agents!$B:$I,8,0),"")=I131,IF(C131&gt;=E131,"Successful","Unsuccessful"),"🔒 BLOCKED — Wrong Code")),"—")</f>
        <v>—</v>
      </c>
      <c r="K131" s="86" t="str">
        <f t="shared" ca="1" si="11"/>
        <v>—</v>
      </c>
      <c r="L131" s="87"/>
    </row>
    <row r="132" spans="1:12" x14ac:dyDescent="0.25">
      <c r="A132" s="88"/>
      <c r="B132" s="25" t="str">
        <f>IF(A132="","",IFERROR(VLOOKUP(A132,DB_Customers!$A:$D,4,0),"❌ Account Not Found"))</f>
        <v/>
      </c>
      <c r="C132" s="89" t="str">
        <f>IF(A132="","",IFERROR(VLOOKUP(A132,DB_Customers!$A:$N,14,0),""))</f>
        <v/>
      </c>
      <c r="D132" s="90" t="str">
        <f t="shared" ca="1" si="9"/>
        <v/>
      </c>
      <c r="E132" s="97"/>
      <c r="F132" s="25"/>
      <c r="G132" s="99" t="str">
        <f t="shared" si="10"/>
        <v/>
      </c>
      <c r="H132" s="27"/>
      <c r="I132" s="84"/>
      <c r="J132" s="92" t="str">
        <f>IF(AND(A132&lt;&gt;"",E132&lt;&gt;""),IF(I132="","⚠️ Enter Code",IF(IFERROR(VLOOKUP(H132,DB_Agents!$B:$I,8,0),"")=I132,IF(C132&gt;=E132,"Successful","Unsuccessful"),"🔒 BLOCKED — Wrong Code")),"—")</f>
        <v>—</v>
      </c>
      <c r="K132" s="93" t="str">
        <f t="shared" ca="1" si="11"/>
        <v>—</v>
      </c>
      <c r="L132" s="94"/>
    </row>
    <row r="133" spans="1:12" x14ac:dyDescent="0.25">
      <c r="A133" s="79"/>
      <c r="B133" s="21" t="str">
        <f>IF(A133="","",IFERROR(VLOOKUP(A133,DB_Customers!$A:$D,4,0),"❌ Account Not Found"))</f>
        <v/>
      </c>
      <c r="C133" s="80" t="str">
        <f>IF(A133="","",IFERROR(VLOOKUP(A133,DB_Customers!$A:$N,14,0),""))</f>
        <v/>
      </c>
      <c r="D133" s="81" t="str">
        <f t="shared" ca="1" si="9"/>
        <v/>
      </c>
      <c r="E133" s="97"/>
      <c r="F133" s="21"/>
      <c r="G133" s="98" t="str">
        <f t="shared" si="10"/>
        <v/>
      </c>
      <c r="H133" s="23"/>
      <c r="I133" s="84"/>
      <c r="J133" s="85" t="str">
        <f>IF(AND(A133&lt;&gt;"",E133&lt;&gt;""),IF(I133="","⚠️ Enter Code",IF(IFERROR(VLOOKUP(H133,DB_Agents!$B:$I,8,0),"")=I133,IF(C133&gt;=E133,"Successful","Unsuccessful"),"🔒 BLOCKED — Wrong Code")),"—")</f>
        <v>—</v>
      </c>
      <c r="K133" s="86" t="str">
        <f t="shared" ca="1" si="11"/>
        <v>—</v>
      </c>
      <c r="L133" s="87"/>
    </row>
    <row r="134" spans="1:12" x14ac:dyDescent="0.25">
      <c r="A134" s="88"/>
      <c r="B134" s="25" t="str">
        <f>IF(A134="","",IFERROR(VLOOKUP(A134,DB_Customers!$A:$D,4,0),"❌ Account Not Found"))</f>
        <v/>
      </c>
      <c r="C134" s="89" t="str">
        <f>IF(A134="","",IFERROR(VLOOKUP(A134,DB_Customers!$A:$N,14,0),""))</f>
        <v/>
      </c>
      <c r="D134" s="90" t="str">
        <f t="shared" ca="1" si="9"/>
        <v/>
      </c>
      <c r="E134" s="97"/>
      <c r="F134" s="25"/>
      <c r="G134" s="99" t="str">
        <f t="shared" si="10"/>
        <v/>
      </c>
      <c r="H134" s="27"/>
      <c r="I134" s="84"/>
      <c r="J134" s="92" t="str">
        <f>IF(AND(A134&lt;&gt;"",E134&lt;&gt;""),IF(I134="","⚠️ Enter Code",IF(IFERROR(VLOOKUP(H134,DB_Agents!$B:$I,8,0),"")=I134,IF(C134&gt;=E134,"Successful","Unsuccessful"),"🔒 BLOCKED — Wrong Code")),"—")</f>
        <v>—</v>
      </c>
      <c r="K134" s="93" t="str">
        <f t="shared" ca="1" si="11"/>
        <v>—</v>
      </c>
      <c r="L134" s="94"/>
    </row>
    <row r="135" spans="1:12" x14ac:dyDescent="0.25">
      <c r="A135" s="79"/>
      <c r="B135" s="21" t="str">
        <f>IF(A135="","",IFERROR(VLOOKUP(A135,DB_Customers!$A:$D,4,0),"❌ Account Not Found"))</f>
        <v/>
      </c>
      <c r="C135" s="80" t="str">
        <f>IF(A135="","",IFERROR(VLOOKUP(A135,DB_Customers!$A:$N,14,0),""))</f>
        <v/>
      </c>
      <c r="D135" s="81" t="str">
        <f t="shared" ca="1" si="9"/>
        <v/>
      </c>
      <c r="E135" s="97"/>
      <c r="F135" s="21"/>
      <c r="G135" s="98" t="str">
        <f t="shared" si="10"/>
        <v/>
      </c>
      <c r="H135" s="23"/>
      <c r="I135" s="84"/>
      <c r="J135" s="85" t="str">
        <f>IF(AND(A135&lt;&gt;"",E135&lt;&gt;""),IF(I135="","⚠️ Enter Code",IF(IFERROR(VLOOKUP(H135,DB_Agents!$B:$I,8,0),"")=I135,IF(C135&gt;=E135,"Successful","Unsuccessful"),"🔒 BLOCKED — Wrong Code")),"—")</f>
        <v>—</v>
      </c>
      <c r="K135" s="86" t="str">
        <f t="shared" ca="1" si="11"/>
        <v>—</v>
      </c>
      <c r="L135" s="87"/>
    </row>
    <row r="136" spans="1:12" x14ac:dyDescent="0.25">
      <c r="A136" s="88"/>
      <c r="B136" s="25" t="str">
        <f>IF(A136="","",IFERROR(VLOOKUP(A136,DB_Customers!$A:$D,4,0),"❌ Account Not Found"))</f>
        <v/>
      </c>
      <c r="C136" s="89" t="str">
        <f>IF(A136="","",IFERROR(VLOOKUP(A136,DB_Customers!$A:$N,14,0),""))</f>
        <v/>
      </c>
      <c r="D136" s="90" t="str">
        <f t="shared" ca="1" si="9"/>
        <v/>
      </c>
      <c r="E136" s="97"/>
      <c r="F136" s="25"/>
      <c r="G136" s="99" t="str">
        <f t="shared" si="10"/>
        <v/>
      </c>
      <c r="H136" s="27"/>
      <c r="I136" s="84"/>
      <c r="J136" s="92" t="str">
        <f>IF(AND(A136&lt;&gt;"",E136&lt;&gt;""),IF(I136="","⚠️ Enter Code",IF(IFERROR(VLOOKUP(H136,DB_Agents!$B:$I,8,0),"")=I136,IF(C136&gt;=E136,"Successful","Unsuccessful"),"🔒 BLOCKED — Wrong Code")),"—")</f>
        <v>—</v>
      </c>
      <c r="K136" s="93" t="str">
        <f t="shared" ca="1" si="11"/>
        <v>—</v>
      </c>
      <c r="L136" s="94"/>
    </row>
    <row r="137" spans="1:12" x14ac:dyDescent="0.25">
      <c r="A137" s="79"/>
      <c r="B137" s="21" t="str">
        <f>IF(A137="","",IFERROR(VLOOKUP(A137,DB_Customers!$A:$D,4,0),"❌ Account Not Found"))</f>
        <v/>
      </c>
      <c r="C137" s="80" t="str">
        <f>IF(A137="","",IFERROR(VLOOKUP(A137,DB_Customers!$A:$N,14,0),""))</f>
        <v/>
      </c>
      <c r="D137" s="81" t="str">
        <f t="shared" ref="D137:D168" ca="1" si="12">IF(A137="","",TODAY())</f>
        <v/>
      </c>
      <c r="E137" s="97"/>
      <c r="F137" s="21"/>
      <c r="G137" s="98" t="str">
        <f t="shared" ref="G137:G168" si="13">IF(OR(A137="",E137=""),"",IF(C137="","",C137-E137))</f>
        <v/>
      </c>
      <c r="H137" s="23"/>
      <c r="I137" s="84"/>
      <c r="J137" s="85" t="str">
        <f>IF(AND(A137&lt;&gt;"",E137&lt;&gt;""),IF(I137="","⚠️ Enter Code",IF(IFERROR(VLOOKUP(H137,DB_Agents!$B:$I,8,0),"")=I137,IF(C137&gt;=E137,"Successful","Unsuccessful"),"🔒 BLOCKED — Wrong Code")),"—")</f>
        <v>—</v>
      </c>
      <c r="K137" s="86" t="str">
        <f t="shared" ref="K137:K168" ca="1" si="14">IF(J137="Successful",TEXT(TODAY(),"YYYY-MM-DD")&amp;" Auto","—")</f>
        <v>—</v>
      </c>
      <c r="L137" s="87"/>
    </row>
    <row r="138" spans="1:12" x14ac:dyDescent="0.25">
      <c r="A138" s="88"/>
      <c r="B138" s="25" t="str">
        <f>IF(A138="","",IFERROR(VLOOKUP(A138,DB_Customers!$A:$D,4,0),"❌ Account Not Found"))</f>
        <v/>
      </c>
      <c r="C138" s="89" t="str">
        <f>IF(A138="","",IFERROR(VLOOKUP(A138,DB_Customers!$A:$N,14,0),""))</f>
        <v/>
      </c>
      <c r="D138" s="90" t="str">
        <f t="shared" ca="1" si="12"/>
        <v/>
      </c>
      <c r="E138" s="97"/>
      <c r="F138" s="25"/>
      <c r="G138" s="99" t="str">
        <f t="shared" si="13"/>
        <v/>
      </c>
      <c r="H138" s="27"/>
      <c r="I138" s="84"/>
      <c r="J138" s="92" t="str">
        <f>IF(AND(A138&lt;&gt;"",E138&lt;&gt;""),IF(I138="","⚠️ Enter Code",IF(IFERROR(VLOOKUP(H138,DB_Agents!$B:$I,8,0),"")=I138,IF(C138&gt;=E138,"Successful","Unsuccessful"),"🔒 BLOCKED — Wrong Code")),"—")</f>
        <v>—</v>
      </c>
      <c r="K138" s="93" t="str">
        <f t="shared" ca="1" si="14"/>
        <v>—</v>
      </c>
      <c r="L138" s="94"/>
    </row>
    <row r="139" spans="1:12" x14ac:dyDescent="0.25">
      <c r="A139" s="79"/>
      <c r="B139" s="21" t="str">
        <f>IF(A139="","",IFERROR(VLOOKUP(A139,DB_Customers!$A:$D,4,0),"❌ Account Not Found"))</f>
        <v/>
      </c>
      <c r="C139" s="80" t="str">
        <f>IF(A139="","",IFERROR(VLOOKUP(A139,DB_Customers!$A:$N,14,0),""))</f>
        <v/>
      </c>
      <c r="D139" s="81" t="str">
        <f t="shared" ca="1" si="12"/>
        <v/>
      </c>
      <c r="E139" s="97"/>
      <c r="F139" s="21"/>
      <c r="G139" s="98" t="str">
        <f t="shared" si="13"/>
        <v/>
      </c>
      <c r="H139" s="23"/>
      <c r="I139" s="84"/>
      <c r="J139" s="85" t="str">
        <f>IF(AND(A139&lt;&gt;"",E139&lt;&gt;""),IF(I139="","⚠️ Enter Code",IF(IFERROR(VLOOKUP(H139,DB_Agents!$B:$I,8,0),"")=I139,IF(C139&gt;=E139,"Successful","Unsuccessful"),"🔒 BLOCKED — Wrong Code")),"—")</f>
        <v>—</v>
      </c>
      <c r="K139" s="86" t="str">
        <f t="shared" ca="1" si="14"/>
        <v>—</v>
      </c>
      <c r="L139" s="87"/>
    </row>
    <row r="140" spans="1:12" x14ac:dyDescent="0.25">
      <c r="A140" s="88"/>
      <c r="B140" s="25" t="str">
        <f>IF(A140="","",IFERROR(VLOOKUP(A140,DB_Customers!$A:$D,4,0),"❌ Account Not Found"))</f>
        <v/>
      </c>
      <c r="C140" s="89" t="str">
        <f>IF(A140="","",IFERROR(VLOOKUP(A140,DB_Customers!$A:$N,14,0),""))</f>
        <v/>
      </c>
      <c r="D140" s="90" t="str">
        <f t="shared" ca="1" si="12"/>
        <v/>
      </c>
      <c r="E140" s="97"/>
      <c r="F140" s="25"/>
      <c r="G140" s="99" t="str">
        <f t="shared" si="13"/>
        <v/>
      </c>
      <c r="H140" s="27"/>
      <c r="I140" s="84"/>
      <c r="J140" s="92" t="str">
        <f>IF(AND(A140&lt;&gt;"",E140&lt;&gt;""),IF(I140="","⚠️ Enter Code",IF(IFERROR(VLOOKUP(H140,DB_Agents!$B:$I,8,0),"")=I140,IF(C140&gt;=E140,"Successful","Unsuccessful"),"🔒 BLOCKED — Wrong Code")),"—")</f>
        <v>—</v>
      </c>
      <c r="K140" s="93" t="str">
        <f t="shared" ca="1" si="14"/>
        <v>—</v>
      </c>
      <c r="L140" s="94"/>
    </row>
    <row r="141" spans="1:12" x14ac:dyDescent="0.25">
      <c r="A141" s="79"/>
      <c r="B141" s="21" t="str">
        <f>IF(A141="","",IFERROR(VLOOKUP(A141,DB_Customers!$A:$D,4,0),"❌ Account Not Found"))</f>
        <v/>
      </c>
      <c r="C141" s="80" t="str">
        <f>IF(A141="","",IFERROR(VLOOKUP(A141,DB_Customers!$A:$N,14,0),""))</f>
        <v/>
      </c>
      <c r="D141" s="81" t="str">
        <f t="shared" ca="1" si="12"/>
        <v/>
      </c>
      <c r="E141" s="97"/>
      <c r="F141" s="21"/>
      <c r="G141" s="98" t="str">
        <f t="shared" si="13"/>
        <v/>
      </c>
      <c r="H141" s="23"/>
      <c r="I141" s="84"/>
      <c r="J141" s="85" t="str">
        <f>IF(AND(A141&lt;&gt;"",E141&lt;&gt;""),IF(I141="","⚠️ Enter Code",IF(IFERROR(VLOOKUP(H141,DB_Agents!$B:$I,8,0),"")=I141,IF(C141&gt;=E141,"Successful","Unsuccessful"),"🔒 BLOCKED — Wrong Code")),"—")</f>
        <v>—</v>
      </c>
      <c r="K141" s="86" t="str">
        <f t="shared" ca="1" si="14"/>
        <v>—</v>
      </c>
      <c r="L141" s="87"/>
    </row>
    <row r="142" spans="1:12" x14ac:dyDescent="0.25">
      <c r="A142" s="88"/>
      <c r="B142" s="25" t="str">
        <f>IF(A142="","",IFERROR(VLOOKUP(A142,DB_Customers!$A:$D,4,0),"❌ Account Not Found"))</f>
        <v/>
      </c>
      <c r="C142" s="89" t="str">
        <f>IF(A142="","",IFERROR(VLOOKUP(A142,DB_Customers!$A:$N,14,0),""))</f>
        <v/>
      </c>
      <c r="D142" s="90" t="str">
        <f t="shared" ca="1" si="12"/>
        <v/>
      </c>
      <c r="E142" s="97"/>
      <c r="F142" s="25"/>
      <c r="G142" s="99" t="str">
        <f t="shared" si="13"/>
        <v/>
      </c>
      <c r="H142" s="27"/>
      <c r="I142" s="84"/>
      <c r="J142" s="92" t="str">
        <f>IF(AND(A142&lt;&gt;"",E142&lt;&gt;""),IF(I142="","⚠️ Enter Code",IF(IFERROR(VLOOKUP(H142,DB_Agents!$B:$I,8,0),"")=I142,IF(C142&gt;=E142,"Successful","Unsuccessful"),"🔒 BLOCKED — Wrong Code")),"—")</f>
        <v>—</v>
      </c>
      <c r="K142" s="93" t="str">
        <f t="shared" ca="1" si="14"/>
        <v>—</v>
      </c>
      <c r="L142" s="94"/>
    </row>
    <row r="143" spans="1:12" x14ac:dyDescent="0.25">
      <c r="A143" s="79"/>
      <c r="B143" s="21" t="str">
        <f>IF(A143="","",IFERROR(VLOOKUP(A143,DB_Customers!$A:$D,4,0),"❌ Account Not Found"))</f>
        <v/>
      </c>
      <c r="C143" s="80" t="str">
        <f>IF(A143="","",IFERROR(VLOOKUP(A143,DB_Customers!$A:$N,14,0),""))</f>
        <v/>
      </c>
      <c r="D143" s="81" t="str">
        <f t="shared" ca="1" si="12"/>
        <v/>
      </c>
      <c r="E143" s="97"/>
      <c r="F143" s="21"/>
      <c r="G143" s="98" t="str">
        <f t="shared" si="13"/>
        <v/>
      </c>
      <c r="H143" s="23"/>
      <c r="I143" s="84"/>
      <c r="J143" s="85" t="str">
        <f>IF(AND(A143&lt;&gt;"",E143&lt;&gt;""),IF(I143="","⚠️ Enter Code",IF(IFERROR(VLOOKUP(H143,DB_Agents!$B:$I,8,0),"")=I143,IF(C143&gt;=E143,"Successful","Unsuccessful"),"🔒 BLOCKED — Wrong Code")),"—")</f>
        <v>—</v>
      </c>
      <c r="K143" s="86" t="str">
        <f t="shared" ca="1" si="14"/>
        <v>—</v>
      </c>
      <c r="L143" s="87"/>
    </row>
    <row r="144" spans="1:12" x14ac:dyDescent="0.25">
      <c r="A144" s="88"/>
      <c r="B144" s="25" t="str">
        <f>IF(A144="","",IFERROR(VLOOKUP(A144,DB_Customers!$A:$D,4,0),"❌ Account Not Found"))</f>
        <v/>
      </c>
      <c r="C144" s="89" t="str">
        <f>IF(A144="","",IFERROR(VLOOKUP(A144,DB_Customers!$A:$N,14,0),""))</f>
        <v/>
      </c>
      <c r="D144" s="90" t="str">
        <f t="shared" ca="1" si="12"/>
        <v/>
      </c>
      <c r="E144" s="97"/>
      <c r="F144" s="25"/>
      <c r="G144" s="99" t="str">
        <f t="shared" si="13"/>
        <v/>
      </c>
      <c r="H144" s="27"/>
      <c r="I144" s="84"/>
      <c r="J144" s="92" t="str">
        <f>IF(AND(A144&lt;&gt;"",E144&lt;&gt;""),IF(I144="","⚠️ Enter Code",IF(IFERROR(VLOOKUP(H144,DB_Agents!$B:$I,8,0),"")=I144,IF(C144&gt;=E144,"Successful","Unsuccessful"),"🔒 BLOCKED — Wrong Code")),"—")</f>
        <v>—</v>
      </c>
      <c r="K144" s="93" t="str">
        <f t="shared" ca="1" si="14"/>
        <v>—</v>
      </c>
      <c r="L144" s="94"/>
    </row>
    <row r="145" spans="1:12" x14ac:dyDescent="0.25">
      <c r="A145" s="79"/>
      <c r="B145" s="21" t="str">
        <f>IF(A145="","",IFERROR(VLOOKUP(A145,DB_Customers!$A:$D,4,0),"❌ Account Not Found"))</f>
        <v/>
      </c>
      <c r="C145" s="80" t="str">
        <f>IF(A145="","",IFERROR(VLOOKUP(A145,DB_Customers!$A:$N,14,0),""))</f>
        <v/>
      </c>
      <c r="D145" s="81" t="str">
        <f t="shared" ca="1" si="12"/>
        <v/>
      </c>
      <c r="E145" s="97"/>
      <c r="F145" s="21"/>
      <c r="G145" s="98" t="str">
        <f t="shared" si="13"/>
        <v/>
      </c>
      <c r="H145" s="23"/>
      <c r="I145" s="84"/>
      <c r="J145" s="85" t="str">
        <f>IF(AND(A145&lt;&gt;"",E145&lt;&gt;""),IF(I145="","⚠️ Enter Code",IF(IFERROR(VLOOKUP(H145,DB_Agents!$B:$I,8,0),"")=I145,IF(C145&gt;=E145,"Successful","Unsuccessful"),"🔒 BLOCKED — Wrong Code")),"—")</f>
        <v>—</v>
      </c>
      <c r="K145" s="86" t="str">
        <f t="shared" ca="1" si="14"/>
        <v>—</v>
      </c>
      <c r="L145" s="87"/>
    </row>
    <row r="146" spans="1:12" x14ac:dyDescent="0.25">
      <c r="A146" s="88"/>
      <c r="B146" s="25" t="str">
        <f>IF(A146="","",IFERROR(VLOOKUP(A146,DB_Customers!$A:$D,4,0),"❌ Account Not Found"))</f>
        <v/>
      </c>
      <c r="C146" s="89" t="str">
        <f>IF(A146="","",IFERROR(VLOOKUP(A146,DB_Customers!$A:$N,14,0),""))</f>
        <v/>
      </c>
      <c r="D146" s="90" t="str">
        <f t="shared" ca="1" si="12"/>
        <v/>
      </c>
      <c r="E146" s="97"/>
      <c r="F146" s="25"/>
      <c r="G146" s="99" t="str">
        <f t="shared" si="13"/>
        <v/>
      </c>
      <c r="H146" s="27"/>
      <c r="I146" s="84"/>
      <c r="J146" s="92" t="str">
        <f>IF(AND(A146&lt;&gt;"",E146&lt;&gt;""),IF(I146="","⚠️ Enter Code",IF(IFERROR(VLOOKUP(H146,DB_Agents!$B:$I,8,0),"")=I146,IF(C146&gt;=E146,"Successful","Unsuccessful"),"🔒 BLOCKED — Wrong Code")),"—")</f>
        <v>—</v>
      </c>
      <c r="K146" s="93" t="str">
        <f t="shared" ca="1" si="14"/>
        <v>—</v>
      </c>
      <c r="L146" s="94"/>
    </row>
    <row r="147" spans="1:12" x14ac:dyDescent="0.25">
      <c r="A147" s="79"/>
      <c r="B147" s="21" t="str">
        <f>IF(A147="","",IFERROR(VLOOKUP(A147,DB_Customers!$A:$D,4,0),"❌ Account Not Found"))</f>
        <v/>
      </c>
      <c r="C147" s="80" t="str">
        <f>IF(A147="","",IFERROR(VLOOKUP(A147,DB_Customers!$A:$N,14,0),""))</f>
        <v/>
      </c>
      <c r="D147" s="81" t="str">
        <f t="shared" ca="1" si="12"/>
        <v/>
      </c>
      <c r="E147" s="97"/>
      <c r="F147" s="21"/>
      <c r="G147" s="98" t="str">
        <f t="shared" si="13"/>
        <v/>
      </c>
      <c r="H147" s="23"/>
      <c r="I147" s="84"/>
      <c r="J147" s="85" t="str">
        <f>IF(AND(A147&lt;&gt;"",E147&lt;&gt;""),IF(I147="","⚠️ Enter Code",IF(IFERROR(VLOOKUP(H147,DB_Agents!$B:$I,8,0),"")=I147,IF(C147&gt;=E147,"Successful","Unsuccessful"),"🔒 BLOCKED — Wrong Code")),"—")</f>
        <v>—</v>
      </c>
      <c r="K147" s="86" t="str">
        <f t="shared" ca="1" si="14"/>
        <v>—</v>
      </c>
      <c r="L147" s="87"/>
    </row>
    <row r="148" spans="1:12" x14ac:dyDescent="0.25">
      <c r="A148" s="88"/>
      <c r="B148" s="25" t="str">
        <f>IF(A148="","",IFERROR(VLOOKUP(A148,DB_Customers!$A:$D,4,0),"❌ Account Not Found"))</f>
        <v/>
      </c>
      <c r="C148" s="89" t="str">
        <f>IF(A148="","",IFERROR(VLOOKUP(A148,DB_Customers!$A:$N,14,0),""))</f>
        <v/>
      </c>
      <c r="D148" s="90" t="str">
        <f t="shared" ca="1" si="12"/>
        <v/>
      </c>
      <c r="E148" s="97"/>
      <c r="F148" s="25"/>
      <c r="G148" s="99" t="str">
        <f t="shared" si="13"/>
        <v/>
      </c>
      <c r="H148" s="27"/>
      <c r="I148" s="84"/>
      <c r="J148" s="92" t="str">
        <f>IF(AND(A148&lt;&gt;"",E148&lt;&gt;""),IF(I148="","⚠️ Enter Code",IF(IFERROR(VLOOKUP(H148,DB_Agents!$B:$I,8,0),"")=I148,IF(C148&gt;=E148,"Successful","Unsuccessful"),"🔒 BLOCKED — Wrong Code")),"—")</f>
        <v>—</v>
      </c>
      <c r="K148" s="93" t="str">
        <f t="shared" ca="1" si="14"/>
        <v>—</v>
      </c>
      <c r="L148" s="94"/>
    </row>
    <row r="149" spans="1:12" x14ac:dyDescent="0.25">
      <c r="A149" s="79"/>
      <c r="B149" s="21" t="str">
        <f>IF(A149="","",IFERROR(VLOOKUP(A149,DB_Customers!$A:$D,4,0),"❌ Account Not Found"))</f>
        <v/>
      </c>
      <c r="C149" s="80" t="str">
        <f>IF(A149="","",IFERROR(VLOOKUP(A149,DB_Customers!$A:$N,14,0),""))</f>
        <v/>
      </c>
      <c r="D149" s="81" t="str">
        <f t="shared" ca="1" si="12"/>
        <v/>
      </c>
      <c r="E149" s="97"/>
      <c r="F149" s="21"/>
      <c r="G149" s="98" t="str">
        <f t="shared" si="13"/>
        <v/>
      </c>
      <c r="H149" s="23"/>
      <c r="I149" s="84"/>
      <c r="J149" s="85" t="str">
        <f>IF(AND(A149&lt;&gt;"",E149&lt;&gt;""),IF(I149="","⚠️ Enter Code",IF(IFERROR(VLOOKUP(H149,DB_Agents!$B:$I,8,0),"")=I149,IF(C149&gt;=E149,"Successful","Unsuccessful"),"🔒 BLOCKED — Wrong Code")),"—")</f>
        <v>—</v>
      </c>
      <c r="K149" s="86" t="str">
        <f t="shared" ca="1" si="14"/>
        <v>—</v>
      </c>
      <c r="L149" s="87"/>
    </row>
    <row r="150" spans="1:12" x14ac:dyDescent="0.25">
      <c r="A150" s="88"/>
      <c r="B150" s="25" t="str">
        <f>IF(A150="","",IFERROR(VLOOKUP(A150,DB_Customers!$A:$D,4,0),"❌ Account Not Found"))</f>
        <v/>
      </c>
      <c r="C150" s="89" t="str">
        <f>IF(A150="","",IFERROR(VLOOKUP(A150,DB_Customers!$A:$N,14,0),""))</f>
        <v/>
      </c>
      <c r="D150" s="90" t="str">
        <f t="shared" ca="1" si="12"/>
        <v/>
      </c>
      <c r="E150" s="97"/>
      <c r="F150" s="25"/>
      <c r="G150" s="99" t="str">
        <f t="shared" si="13"/>
        <v/>
      </c>
      <c r="H150" s="27"/>
      <c r="I150" s="84"/>
      <c r="J150" s="92" t="str">
        <f>IF(AND(A150&lt;&gt;"",E150&lt;&gt;""),IF(I150="","⚠️ Enter Code",IF(IFERROR(VLOOKUP(H150,DB_Agents!$B:$I,8,0),"")=I150,IF(C150&gt;=E150,"Successful","Unsuccessful"),"🔒 BLOCKED — Wrong Code")),"—")</f>
        <v>—</v>
      </c>
      <c r="K150" s="93" t="str">
        <f t="shared" ca="1" si="14"/>
        <v>—</v>
      </c>
      <c r="L150" s="94"/>
    </row>
    <row r="151" spans="1:12" x14ac:dyDescent="0.25">
      <c r="A151" s="79"/>
      <c r="B151" s="21" t="str">
        <f>IF(A151="","",IFERROR(VLOOKUP(A151,DB_Customers!$A:$D,4,0),"❌ Account Not Found"))</f>
        <v/>
      </c>
      <c r="C151" s="80" t="str">
        <f>IF(A151="","",IFERROR(VLOOKUP(A151,DB_Customers!$A:$N,14,0),""))</f>
        <v/>
      </c>
      <c r="D151" s="81" t="str">
        <f t="shared" ca="1" si="12"/>
        <v/>
      </c>
      <c r="E151" s="97"/>
      <c r="F151" s="21"/>
      <c r="G151" s="98" t="str">
        <f t="shared" si="13"/>
        <v/>
      </c>
      <c r="H151" s="23"/>
      <c r="I151" s="84"/>
      <c r="J151" s="85" t="str">
        <f>IF(AND(A151&lt;&gt;"",E151&lt;&gt;""),IF(I151="","⚠️ Enter Code",IF(IFERROR(VLOOKUP(H151,DB_Agents!$B:$I,8,0),"")=I151,IF(C151&gt;=E151,"Successful","Unsuccessful"),"🔒 BLOCKED — Wrong Code")),"—")</f>
        <v>—</v>
      </c>
      <c r="K151" s="86" t="str">
        <f t="shared" ca="1" si="14"/>
        <v>—</v>
      </c>
      <c r="L151" s="87"/>
    </row>
    <row r="152" spans="1:12" x14ac:dyDescent="0.25">
      <c r="A152" s="88"/>
      <c r="B152" s="25" t="str">
        <f>IF(A152="","",IFERROR(VLOOKUP(A152,DB_Customers!$A:$D,4,0),"❌ Account Not Found"))</f>
        <v/>
      </c>
      <c r="C152" s="89" t="str">
        <f>IF(A152="","",IFERROR(VLOOKUP(A152,DB_Customers!$A:$N,14,0),""))</f>
        <v/>
      </c>
      <c r="D152" s="90" t="str">
        <f t="shared" ca="1" si="12"/>
        <v/>
      </c>
      <c r="E152" s="97"/>
      <c r="F152" s="25"/>
      <c r="G152" s="99" t="str">
        <f t="shared" si="13"/>
        <v/>
      </c>
      <c r="H152" s="27"/>
      <c r="I152" s="84"/>
      <c r="J152" s="92" t="str">
        <f>IF(AND(A152&lt;&gt;"",E152&lt;&gt;""),IF(I152="","⚠️ Enter Code",IF(IFERROR(VLOOKUP(H152,DB_Agents!$B:$I,8,0),"")=I152,IF(C152&gt;=E152,"Successful","Unsuccessful"),"🔒 BLOCKED — Wrong Code")),"—")</f>
        <v>—</v>
      </c>
      <c r="K152" s="93" t="str">
        <f t="shared" ca="1" si="14"/>
        <v>—</v>
      </c>
      <c r="L152" s="94"/>
    </row>
    <row r="153" spans="1:12" x14ac:dyDescent="0.25">
      <c r="A153" s="79"/>
      <c r="B153" s="21" t="str">
        <f>IF(A153="","",IFERROR(VLOOKUP(A153,DB_Customers!$A:$D,4,0),"❌ Account Not Found"))</f>
        <v/>
      </c>
      <c r="C153" s="80" t="str">
        <f>IF(A153="","",IFERROR(VLOOKUP(A153,DB_Customers!$A:$N,14,0),""))</f>
        <v/>
      </c>
      <c r="D153" s="81" t="str">
        <f t="shared" ca="1" si="12"/>
        <v/>
      </c>
      <c r="E153" s="97"/>
      <c r="F153" s="21"/>
      <c r="G153" s="98" t="str">
        <f t="shared" si="13"/>
        <v/>
      </c>
      <c r="H153" s="23"/>
      <c r="I153" s="84"/>
      <c r="J153" s="85" t="str">
        <f>IF(AND(A153&lt;&gt;"",E153&lt;&gt;""),IF(I153="","⚠️ Enter Code",IF(IFERROR(VLOOKUP(H153,DB_Agents!$B:$I,8,0),"")=I153,IF(C153&gt;=E153,"Successful","Unsuccessful"),"🔒 BLOCKED — Wrong Code")),"—")</f>
        <v>—</v>
      </c>
      <c r="K153" s="86" t="str">
        <f t="shared" ca="1" si="14"/>
        <v>—</v>
      </c>
      <c r="L153" s="87"/>
    </row>
    <row r="154" spans="1:12" x14ac:dyDescent="0.25">
      <c r="A154" s="88"/>
      <c r="B154" s="25" t="str">
        <f>IF(A154="","",IFERROR(VLOOKUP(A154,DB_Customers!$A:$D,4,0),"❌ Account Not Found"))</f>
        <v/>
      </c>
      <c r="C154" s="89" t="str">
        <f>IF(A154="","",IFERROR(VLOOKUP(A154,DB_Customers!$A:$N,14,0),""))</f>
        <v/>
      </c>
      <c r="D154" s="90" t="str">
        <f t="shared" ca="1" si="12"/>
        <v/>
      </c>
      <c r="E154" s="97"/>
      <c r="F154" s="25"/>
      <c r="G154" s="99" t="str">
        <f t="shared" si="13"/>
        <v/>
      </c>
      <c r="H154" s="27"/>
      <c r="I154" s="84"/>
      <c r="J154" s="92" t="str">
        <f>IF(AND(A154&lt;&gt;"",E154&lt;&gt;""),IF(I154="","⚠️ Enter Code",IF(IFERROR(VLOOKUP(H154,DB_Agents!$B:$I,8,0),"")=I154,IF(C154&gt;=E154,"Successful","Unsuccessful"),"🔒 BLOCKED — Wrong Code")),"—")</f>
        <v>—</v>
      </c>
      <c r="K154" s="93" t="str">
        <f t="shared" ca="1" si="14"/>
        <v>—</v>
      </c>
      <c r="L154" s="94"/>
    </row>
    <row r="155" spans="1:12" x14ac:dyDescent="0.25">
      <c r="A155" s="79"/>
      <c r="B155" s="21" t="str">
        <f>IF(A155="","",IFERROR(VLOOKUP(A155,DB_Customers!$A:$D,4,0),"❌ Account Not Found"))</f>
        <v/>
      </c>
      <c r="C155" s="80" t="str">
        <f>IF(A155="","",IFERROR(VLOOKUP(A155,DB_Customers!$A:$N,14,0),""))</f>
        <v/>
      </c>
      <c r="D155" s="81" t="str">
        <f t="shared" ca="1" si="12"/>
        <v/>
      </c>
      <c r="E155" s="97"/>
      <c r="F155" s="21"/>
      <c r="G155" s="98" t="str">
        <f t="shared" si="13"/>
        <v/>
      </c>
      <c r="H155" s="23"/>
      <c r="I155" s="84"/>
      <c r="J155" s="85" t="str">
        <f>IF(AND(A155&lt;&gt;"",E155&lt;&gt;""),IF(I155="","⚠️ Enter Code",IF(IFERROR(VLOOKUP(H155,DB_Agents!$B:$I,8,0),"")=I155,IF(C155&gt;=E155,"Successful","Unsuccessful"),"🔒 BLOCKED — Wrong Code")),"—")</f>
        <v>—</v>
      </c>
      <c r="K155" s="86" t="str">
        <f t="shared" ca="1" si="14"/>
        <v>—</v>
      </c>
      <c r="L155" s="87"/>
    </row>
    <row r="156" spans="1:12" x14ac:dyDescent="0.25">
      <c r="A156" s="88"/>
      <c r="B156" s="25" t="str">
        <f>IF(A156="","",IFERROR(VLOOKUP(A156,DB_Customers!$A:$D,4,0),"❌ Account Not Found"))</f>
        <v/>
      </c>
      <c r="C156" s="89" t="str">
        <f>IF(A156="","",IFERROR(VLOOKUP(A156,DB_Customers!$A:$N,14,0),""))</f>
        <v/>
      </c>
      <c r="D156" s="90" t="str">
        <f t="shared" ca="1" si="12"/>
        <v/>
      </c>
      <c r="E156" s="97"/>
      <c r="F156" s="25"/>
      <c r="G156" s="99" t="str">
        <f t="shared" si="13"/>
        <v/>
      </c>
      <c r="H156" s="27"/>
      <c r="I156" s="84"/>
      <c r="J156" s="92" t="str">
        <f>IF(AND(A156&lt;&gt;"",E156&lt;&gt;""),IF(I156="","⚠️ Enter Code",IF(IFERROR(VLOOKUP(H156,DB_Agents!$B:$I,8,0),"")=I156,IF(C156&gt;=E156,"Successful","Unsuccessful"),"🔒 BLOCKED — Wrong Code")),"—")</f>
        <v>—</v>
      </c>
      <c r="K156" s="93" t="str">
        <f t="shared" ca="1" si="14"/>
        <v>—</v>
      </c>
      <c r="L156" s="94"/>
    </row>
    <row r="157" spans="1:12" x14ac:dyDescent="0.25">
      <c r="A157" s="79"/>
      <c r="B157" s="21" t="str">
        <f>IF(A157="","",IFERROR(VLOOKUP(A157,DB_Customers!$A:$D,4,0),"❌ Account Not Found"))</f>
        <v/>
      </c>
      <c r="C157" s="80" t="str">
        <f>IF(A157="","",IFERROR(VLOOKUP(A157,DB_Customers!$A:$N,14,0),""))</f>
        <v/>
      </c>
      <c r="D157" s="81" t="str">
        <f t="shared" ca="1" si="12"/>
        <v/>
      </c>
      <c r="E157" s="97"/>
      <c r="F157" s="21"/>
      <c r="G157" s="98" t="str">
        <f t="shared" si="13"/>
        <v/>
      </c>
      <c r="H157" s="23"/>
      <c r="I157" s="84"/>
      <c r="J157" s="85" t="str">
        <f>IF(AND(A157&lt;&gt;"",E157&lt;&gt;""),IF(I157="","⚠️ Enter Code",IF(IFERROR(VLOOKUP(H157,DB_Agents!$B:$I,8,0),"")=I157,IF(C157&gt;=E157,"Successful","Unsuccessful"),"🔒 BLOCKED — Wrong Code")),"—")</f>
        <v>—</v>
      </c>
      <c r="K157" s="86" t="str">
        <f t="shared" ca="1" si="14"/>
        <v>—</v>
      </c>
      <c r="L157" s="87"/>
    </row>
    <row r="158" spans="1:12" x14ac:dyDescent="0.25">
      <c r="A158" s="88"/>
      <c r="B158" s="25" t="str">
        <f>IF(A158="","",IFERROR(VLOOKUP(A158,DB_Customers!$A:$D,4,0),"❌ Account Not Found"))</f>
        <v/>
      </c>
      <c r="C158" s="89" t="str">
        <f>IF(A158="","",IFERROR(VLOOKUP(A158,DB_Customers!$A:$N,14,0),""))</f>
        <v/>
      </c>
      <c r="D158" s="90" t="str">
        <f t="shared" ca="1" si="12"/>
        <v/>
      </c>
      <c r="E158" s="97"/>
      <c r="F158" s="25"/>
      <c r="G158" s="99" t="str">
        <f t="shared" si="13"/>
        <v/>
      </c>
      <c r="H158" s="27"/>
      <c r="I158" s="84"/>
      <c r="J158" s="92" t="str">
        <f>IF(AND(A158&lt;&gt;"",E158&lt;&gt;""),IF(I158="","⚠️ Enter Code",IF(IFERROR(VLOOKUP(H158,DB_Agents!$B:$I,8,0),"")=I158,IF(C158&gt;=E158,"Successful","Unsuccessful"),"🔒 BLOCKED — Wrong Code")),"—")</f>
        <v>—</v>
      </c>
      <c r="K158" s="93" t="str">
        <f t="shared" ca="1" si="14"/>
        <v>—</v>
      </c>
      <c r="L158" s="94"/>
    </row>
    <row r="159" spans="1:12" x14ac:dyDescent="0.25">
      <c r="A159" s="79"/>
      <c r="B159" s="21" t="str">
        <f>IF(A159="","",IFERROR(VLOOKUP(A159,DB_Customers!$A:$D,4,0),"❌ Account Not Found"))</f>
        <v/>
      </c>
      <c r="C159" s="80" t="str">
        <f>IF(A159="","",IFERROR(VLOOKUP(A159,DB_Customers!$A:$N,14,0),""))</f>
        <v/>
      </c>
      <c r="D159" s="81" t="str">
        <f t="shared" ca="1" si="12"/>
        <v/>
      </c>
      <c r="E159" s="97"/>
      <c r="F159" s="21"/>
      <c r="G159" s="98" t="str">
        <f t="shared" si="13"/>
        <v/>
      </c>
      <c r="H159" s="23"/>
      <c r="I159" s="84"/>
      <c r="J159" s="85" t="str">
        <f>IF(AND(A159&lt;&gt;"",E159&lt;&gt;""),IF(I159="","⚠️ Enter Code",IF(IFERROR(VLOOKUP(H159,DB_Agents!$B:$I,8,0),"")=I159,IF(C159&gt;=E159,"Successful","Unsuccessful"),"🔒 BLOCKED — Wrong Code")),"—")</f>
        <v>—</v>
      </c>
      <c r="K159" s="86" t="str">
        <f t="shared" ca="1" si="14"/>
        <v>—</v>
      </c>
      <c r="L159" s="87"/>
    </row>
    <row r="160" spans="1:12" x14ac:dyDescent="0.25">
      <c r="A160" s="88"/>
      <c r="B160" s="25" t="str">
        <f>IF(A160="","",IFERROR(VLOOKUP(A160,DB_Customers!$A:$D,4,0),"❌ Account Not Found"))</f>
        <v/>
      </c>
      <c r="C160" s="89" t="str">
        <f>IF(A160="","",IFERROR(VLOOKUP(A160,DB_Customers!$A:$N,14,0),""))</f>
        <v/>
      </c>
      <c r="D160" s="90" t="str">
        <f t="shared" ca="1" si="12"/>
        <v/>
      </c>
      <c r="E160" s="97"/>
      <c r="F160" s="25"/>
      <c r="G160" s="99" t="str">
        <f t="shared" si="13"/>
        <v/>
      </c>
      <c r="H160" s="27"/>
      <c r="I160" s="84"/>
      <c r="J160" s="92" t="str">
        <f>IF(AND(A160&lt;&gt;"",E160&lt;&gt;""),IF(I160="","⚠️ Enter Code",IF(IFERROR(VLOOKUP(H160,DB_Agents!$B:$I,8,0),"")=I160,IF(C160&gt;=E160,"Successful","Unsuccessful"),"🔒 BLOCKED — Wrong Code")),"—")</f>
        <v>—</v>
      </c>
      <c r="K160" s="93" t="str">
        <f t="shared" ca="1" si="14"/>
        <v>—</v>
      </c>
      <c r="L160" s="94"/>
    </row>
    <row r="161" spans="1:12" x14ac:dyDescent="0.25">
      <c r="A161" s="79"/>
      <c r="B161" s="21" t="str">
        <f>IF(A161="","",IFERROR(VLOOKUP(A161,DB_Customers!$A:$D,4,0),"❌ Account Not Found"))</f>
        <v/>
      </c>
      <c r="C161" s="80" t="str">
        <f>IF(A161="","",IFERROR(VLOOKUP(A161,DB_Customers!$A:$N,14,0),""))</f>
        <v/>
      </c>
      <c r="D161" s="81" t="str">
        <f t="shared" ca="1" si="12"/>
        <v/>
      </c>
      <c r="E161" s="97"/>
      <c r="F161" s="21"/>
      <c r="G161" s="98" t="str">
        <f t="shared" si="13"/>
        <v/>
      </c>
      <c r="H161" s="23"/>
      <c r="I161" s="84"/>
      <c r="J161" s="85" t="str">
        <f>IF(AND(A161&lt;&gt;"",E161&lt;&gt;""),IF(I161="","⚠️ Enter Code",IF(IFERROR(VLOOKUP(H161,DB_Agents!$B:$I,8,0),"")=I161,IF(C161&gt;=E161,"Successful","Unsuccessful"),"🔒 BLOCKED — Wrong Code")),"—")</f>
        <v>—</v>
      </c>
      <c r="K161" s="86" t="str">
        <f t="shared" ca="1" si="14"/>
        <v>—</v>
      </c>
      <c r="L161" s="87"/>
    </row>
    <row r="162" spans="1:12" x14ac:dyDescent="0.25">
      <c r="A162" s="88"/>
      <c r="B162" s="25" t="str">
        <f>IF(A162="","",IFERROR(VLOOKUP(A162,DB_Customers!$A:$D,4,0),"❌ Account Not Found"))</f>
        <v/>
      </c>
      <c r="C162" s="89" t="str">
        <f>IF(A162="","",IFERROR(VLOOKUP(A162,DB_Customers!$A:$N,14,0),""))</f>
        <v/>
      </c>
      <c r="D162" s="90" t="str">
        <f t="shared" ca="1" si="12"/>
        <v/>
      </c>
      <c r="E162" s="97"/>
      <c r="F162" s="25"/>
      <c r="G162" s="99" t="str">
        <f t="shared" si="13"/>
        <v/>
      </c>
      <c r="H162" s="27"/>
      <c r="I162" s="84"/>
      <c r="J162" s="92" t="str">
        <f>IF(AND(A162&lt;&gt;"",E162&lt;&gt;""),IF(I162="","⚠️ Enter Code",IF(IFERROR(VLOOKUP(H162,DB_Agents!$B:$I,8,0),"")=I162,IF(C162&gt;=E162,"Successful","Unsuccessful"),"🔒 BLOCKED — Wrong Code")),"—")</f>
        <v>—</v>
      </c>
      <c r="K162" s="93" t="str">
        <f t="shared" ca="1" si="14"/>
        <v>—</v>
      </c>
      <c r="L162" s="94"/>
    </row>
    <row r="163" spans="1:12" x14ac:dyDescent="0.25">
      <c r="A163" s="79"/>
      <c r="B163" s="21" t="str">
        <f>IF(A163="","",IFERROR(VLOOKUP(A163,DB_Customers!$A:$D,4,0),"❌ Account Not Found"))</f>
        <v/>
      </c>
      <c r="C163" s="80" t="str">
        <f>IF(A163="","",IFERROR(VLOOKUP(A163,DB_Customers!$A:$N,14,0),""))</f>
        <v/>
      </c>
      <c r="D163" s="81" t="str">
        <f t="shared" ca="1" si="12"/>
        <v/>
      </c>
      <c r="E163" s="97"/>
      <c r="F163" s="21"/>
      <c r="G163" s="98" t="str">
        <f t="shared" si="13"/>
        <v/>
      </c>
      <c r="H163" s="23"/>
      <c r="I163" s="84"/>
      <c r="J163" s="85" t="str">
        <f>IF(AND(A163&lt;&gt;"",E163&lt;&gt;""),IF(I163="","⚠️ Enter Code",IF(IFERROR(VLOOKUP(H163,DB_Agents!$B:$I,8,0),"")=I163,IF(C163&gt;=E163,"Successful","Unsuccessful"),"🔒 BLOCKED — Wrong Code")),"—")</f>
        <v>—</v>
      </c>
      <c r="K163" s="86" t="str">
        <f t="shared" ca="1" si="14"/>
        <v>—</v>
      </c>
      <c r="L163" s="87"/>
    </row>
    <row r="164" spans="1:12" x14ac:dyDescent="0.25">
      <c r="A164" s="88"/>
      <c r="B164" s="25" t="str">
        <f>IF(A164="","",IFERROR(VLOOKUP(A164,DB_Customers!$A:$D,4,0),"❌ Account Not Found"))</f>
        <v/>
      </c>
      <c r="C164" s="89" t="str">
        <f>IF(A164="","",IFERROR(VLOOKUP(A164,DB_Customers!$A:$N,14,0),""))</f>
        <v/>
      </c>
      <c r="D164" s="90" t="str">
        <f t="shared" ca="1" si="12"/>
        <v/>
      </c>
      <c r="E164" s="97"/>
      <c r="F164" s="25"/>
      <c r="G164" s="99" t="str">
        <f t="shared" si="13"/>
        <v/>
      </c>
      <c r="H164" s="27"/>
      <c r="I164" s="84"/>
      <c r="J164" s="92" t="str">
        <f>IF(AND(A164&lt;&gt;"",E164&lt;&gt;""),IF(I164="","⚠️ Enter Code",IF(IFERROR(VLOOKUP(H164,DB_Agents!$B:$I,8,0),"")=I164,IF(C164&gt;=E164,"Successful","Unsuccessful"),"🔒 BLOCKED — Wrong Code")),"—")</f>
        <v>—</v>
      </c>
      <c r="K164" s="93" t="str">
        <f t="shared" ca="1" si="14"/>
        <v>—</v>
      </c>
      <c r="L164" s="94"/>
    </row>
    <row r="165" spans="1:12" x14ac:dyDescent="0.25">
      <c r="A165" s="79"/>
      <c r="B165" s="21" t="str">
        <f>IF(A165="","",IFERROR(VLOOKUP(A165,DB_Customers!$A:$D,4,0),"❌ Account Not Found"))</f>
        <v/>
      </c>
      <c r="C165" s="80" t="str">
        <f>IF(A165="","",IFERROR(VLOOKUP(A165,DB_Customers!$A:$N,14,0),""))</f>
        <v/>
      </c>
      <c r="D165" s="81" t="str">
        <f t="shared" ca="1" si="12"/>
        <v/>
      </c>
      <c r="E165" s="97"/>
      <c r="F165" s="21"/>
      <c r="G165" s="98" t="str">
        <f t="shared" si="13"/>
        <v/>
      </c>
      <c r="H165" s="23"/>
      <c r="I165" s="84"/>
      <c r="J165" s="85" t="str">
        <f>IF(AND(A165&lt;&gt;"",E165&lt;&gt;""),IF(I165="","⚠️ Enter Code",IF(IFERROR(VLOOKUP(H165,DB_Agents!$B:$I,8,0),"")=I165,IF(C165&gt;=E165,"Successful","Unsuccessful"),"🔒 BLOCKED — Wrong Code")),"—")</f>
        <v>—</v>
      </c>
      <c r="K165" s="86" t="str">
        <f t="shared" ca="1" si="14"/>
        <v>—</v>
      </c>
      <c r="L165" s="87"/>
    </row>
    <row r="166" spans="1:12" x14ac:dyDescent="0.25">
      <c r="A166" s="88"/>
      <c r="B166" s="25" t="str">
        <f>IF(A166="","",IFERROR(VLOOKUP(A166,DB_Customers!$A:$D,4,0),"❌ Account Not Found"))</f>
        <v/>
      </c>
      <c r="C166" s="89" t="str">
        <f>IF(A166="","",IFERROR(VLOOKUP(A166,DB_Customers!$A:$N,14,0),""))</f>
        <v/>
      </c>
      <c r="D166" s="90" t="str">
        <f t="shared" ca="1" si="12"/>
        <v/>
      </c>
      <c r="E166" s="97"/>
      <c r="F166" s="25"/>
      <c r="G166" s="99" t="str">
        <f t="shared" si="13"/>
        <v/>
      </c>
      <c r="H166" s="27"/>
      <c r="I166" s="84"/>
      <c r="J166" s="92" t="str">
        <f>IF(AND(A166&lt;&gt;"",E166&lt;&gt;""),IF(I166="","⚠️ Enter Code",IF(IFERROR(VLOOKUP(H166,DB_Agents!$B:$I,8,0),"")=I166,IF(C166&gt;=E166,"Successful","Unsuccessful"),"🔒 BLOCKED — Wrong Code")),"—")</f>
        <v>—</v>
      </c>
      <c r="K166" s="93" t="str">
        <f t="shared" ca="1" si="14"/>
        <v>—</v>
      </c>
      <c r="L166" s="94"/>
    </row>
    <row r="167" spans="1:12" x14ac:dyDescent="0.25">
      <c r="A167" s="79"/>
      <c r="B167" s="21" t="str">
        <f>IF(A167="","",IFERROR(VLOOKUP(A167,DB_Customers!$A:$D,4,0),"❌ Account Not Found"))</f>
        <v/>
      </c>
      <c r="C167" s="80" t="str">
        <f>IF(A167="","",IFERROR(VLOOKUP(A167,DB_Customers!$A:$N,14,0),""))</f>
        <v/>
      </c>
      <c r="D167" s="81" t="str">
        <f t="shared" ca="1" si="12"/>
        <v/>
      </c>
      <c r="E167" s="97"/>
      <c r="F167" s="21"/>
      <c r="G167" s="98" t="str">
        <f t="shared" si="13"/>
        <v/>
      </c>
      <c r="H167" s="23"/>
      <c r="I167" s="84"/>
      <c r="J167" s="85" t="str">
        <f>IF(AND(A167&lt;&gt;"",E167&lt;&gt;""),IF(I167="","⚠️ Enter Code",IF(IFERROR(VLOOKUP(H167,DB_Agents!$B:$I,8,0),"")=I167,IF(C167&gt;=E167,"Successful","Unsuccessful"),"🔒 BLOCKED — Wrong Code")),"—")</f>
        <v>—</v>
      </c>
      <c r="K167" s="86" t="str">
        <f t="shared" ca="1" si="14"/>
        <v>—</v>
      </c>
      <c r="L167" s="87"/>
    </row>
    <row r="168" spans="1:12" x14ac:dyDescent="0.25">
      <c r="A168" s="88"/>
      <c r="B168" s="25" t="str">
        <f>IF(A168="","",IFERROR(VLOOKUP(A168,DB_Customers!$A:$D,4,0),"❌ Account Not Found"))</f>
        <v/>
      </c>
      <c r="C168" s="89" t="str">
        <f>IF(A168="","",IFERROR(VLOOKUP(A168,DB_Customers!$A:$N,14,0),""))</f>
        <v/>
      </c>
      <c r="D168" s="90" t="str">
        <f t="shared" ca="1" si="12"/>
        <v/>
      </c>
      <c r="E168" s="97"/>
      <c r="F168" s="25"/>
      <c r="G168" s="99" t="str">
        <f t="shared" si="13"/>
        <v/>
      </c>
      <c r="H168" s="27"/>
      <c r="I168" s="84"/>
      <c r="J168" s="92" t="str">
        <f>IF(AND(A168&lt;&gt;"",E168&lt;&gt;""),IF(I168="","⚠️ Enter Code",IF(IFERROR(VLOOKUP(H168,DB_Agents!$B:$I,8,0),"")=I168,IF(C168&gt;=E168,"Successful","Unsuccessful"),"🔒 BLOCKED — Wrong Code")),"—")</f>
        <v>—</v>
      </c>
      <c r="K168" s="93" t="str">
        <f t="shared" ca="1" si="14"/>
        <v>—</v>
      </c>
      <c r="L168" s="94"/>
    </row>
    <row r="169" spans="1:12" x14ac:dyDescent="0.25">
      <c r="A169" s="79"/>
      <c r="B169" s="21" t="str">
        <f>IF(A169="","",IFERROR(VLOOKUP(A169,DB_Customers!$A:$D,4,0),"❌ Account Not Found"))</f>
        <v/>
      </c>
      <c r="C169" s="80" t="str">
        <f>IF(A169="","",IFERROR(VLOOKUP(A169,DB_Customers!$A:$N,14,0),""))</f>
        <v/>
      </c>
      <c r="D169" s="81" t="str">
        <f t="shared" ref="D169:D200" ca="1" si="15">IF(A169="","",TODAY())</f>
        <v/>
      </c>
      <c r="E169" s="97"/>
      <c r="F169" s="21"/>
      <c r="G169" s="98" t="str">
        <f t="shared" ref="G169:G200" si="16">IF(OR(A169="",E169=""),"",IF(C169="","",C169-E169))</f>
        <v/>
      </c>
      <c r="H169" s="23"/>
      <c r="I169" s="84"/>
      <c r="J169" s="85" t="str">
        <f>IF(AND(A169&lt;&gt;"",E169&lt;&gt;""),IF(I169="","⚠️ Enter Code",IF(IFERROR(VLOOKUP(H169,DB_Agents!$B:$I,8,0),"")=I169,IF(C169&gt;=E169,"Successful","Unsuccessful"),"🔒 BLOCKED — Wrong Code")),"—")</f>
        <v>—</v>
      </c>
      <c r="K169" s="86" t="str">
        <f t="shared" ref="K169:K200" ca="1" si="17">IF(J169="Successful",TEXT(TODAY(),"YYYY-MM-DD")&amp;" Auto","—")</f>
        <v>—</v>
      </c>
      <c r="L169" s="87"/>
    </row>
    <row r="170" spans="1:12" x14ac:dyDescent="0.25">
      <c r="A170" s="88"/>
      <c r="B170" s="25" t="str">
        <f>IF(A170="","",IFERROR(VLOOKUP(A170,DB_Customers!$A:$D,4,0),"❌ Account Not Found"))</f>
        <v/>
      </c>
      <c r="C170" s="89" t="str">
        <f>IF(A170="","",IFERROR(VLOOKUP(A170,DB_Customers!$A:$N,14,0),""))</f>
        <v/>
      </c>
      <c r="D170" s="90" t="str">
        <f t="shared" ca="1" si="15"/>
        <v/>
      </c>
      <c r="E170" s="97"/>
      <c r="F170" s="25"/>
      <c r="G170" s="99" t="str">
        <f t="shared" si="16"/>
        <v/>
      </c>
      <c r="H170" s="27"/>
      <c r="I170" s="84"/>
      <c r="J170" s="92" t="str">
        <f>IF(AND(A170&lt;&gt;"",E170&lt;&gt;""),IF(I170="","⚠️ Enter Code",IF(IFERROR(VLOOKUP(H170,DB_Agents!$B:$I,8,0),"")=I170,IF(C170&gt;=E170,"Successful","Unsuccessful"),"🔒 BLOCKED — Wrong Code")),"—")</f>
        <v>—</v>
      </c>
      <c r="K170" s="93" t="str">
        <f t="shared" ca="1" si="17"/>
        <v>—</v>
      </c>
      <c r="L170" s="94"/>
    </row>
    <row r="171" spans="1:12" x14ac:dyDescent="0.25">
      <c r="A171" s="79"/>
      <c r="B171" s="21" t="str">
        <f>IF(A171="","",IFERROR(VLOOKUP(A171,DB_Customers!$A:$D,4,0),"❌ Account Not Found"))</f>
        <v/>
      </c>
      <c r="C171" s="80" t="str">
        <f>IF(A171="","",IFERROR(VLOOKUP(A171,DB_Customers!$A:$N,14,0),""))</f>
        <v/>
      </c>
      <c r="D171" s="81" t="str">
        <f t="shared" ca="1" si="15"/>
        <v/>
      </c>
      <c r="E171" s="97"/>
      <c r="F171" s="21"/>
      <c r="G171" s="98" t="str">
        <f t="shared" si="16"/>
        <v/>
      </c>
      <c r="H171" s="23"/>
      <c r="I171" s="84"/>
      <c r="J171" s="85" t="str">
        <f>IF(AND(A171&lt;&gt;"",E171&lt;&gt;""),IF(I171="","⚠️ Enter Code",IF(IFERROR(VLOOKUP(H171,DB_Agents!$B:$I,8,0),"")=I171,IF(C171&gt;=E171,"Successful","Unsuccessful"),"🔒 BLOCKED — Wrong Code")),"—")</f>
        <v>—</v>
      </c>
      <c r="K171" s="86" t="str">
        <f t="shared" ca="1" si="17"/>
        <v>—</v>
      </c>
      <c r="L171" s="87"/>
    </row>
    <row r="172" spans="1:12" x14ac:dyDescent="0.25">
      <c r="A172" s="88"/>
      <c r="B172" s="25" t="str">
        <f>IF(A172="","",IFERROR(VLOOKUP(A172,DB_Customers!$A:$D,4,0),"❌ Account Not Found"))</f>
        <v/>
      </c>
      <c r="C172" s="89" t="str">
        <f>IF(A172="","",IFERROR(VLOOKUP(A172,DB_Customers!$A:$N,14,0),""))</f>
        <v/>
      </c>
      <c r="D172" s="90" t="str">
        <f t="shared" ca="1" si="15"/>
        <v/>
      </c>
      <c r="E172" s="97"/>
      <c r="F172" s="25"/>
      <c r="G172" s="99" t="str">
        <f t="shared" si="16"/>
        <v/>
      </c>
      <c r="H172" s="27"/>
      <c r="I172" s="84"/>
      <c r="J172" s="92" t="str">
        <f>IF(AND(A172&lt;&gt;"",E172&lt;&gt;""),IF(I172="","⚠️ Enter Code",IF(IFERROR(VLOOKUP(H172,DB_Agents!$B:$I,8,0),"")=I172,IF(C172&gt;=E172,"Successful","Unsuccessful"),"🔒 BLOCKED — Wrong Code")),"—")</f>
        <v>—</v>
      </c>
      <c r="K172" s="93" t="str">
        <f t="shared" ca="1" si="17"/>
        <v>—</v>
      </c>
      <c r="L172" s="94"/>
    </row>
    <row r="173" spans="1:12" x14ac:dyDescent="0.25">
      <c r="A173" s="79"/>
      <c r="B173" s="21" t="str">
        <f>IF(A173="","",IFERROR(VLOOKUP(A173,DB_Customers!$A:$D,4,0),"❌ Account Not Found"))</f>
        <v/>
      </c>
      <c r="C173" s="80" t="str">
        <f>IF(A173="","",IFERROR(VLOOKUP(A173,DB_Customers!$A:$N,14,0),""))</f>
        <v/>
      </c>
      <c r="D173" s="81" t="str">
        <f t="shared" ca="1" si="15"/>
        <v/>
      </c>
      <c r="E173" s="97"/>
      <c r="F173" s="21"/>
      <c r="G173" s="98" t="str">
        <f t="shared" si="16"/>
        <v/>
      </c>
      <c r="H173" s="23"/>
      <c r="I173" s="84"/>
      <c r="J173" s="85" t="str">
        <f>IF(AND(A173&lt;&gt;"",E173&lt;&gt;""),IF(I173="","⚠️ Enter Code",IF(IFERROR(VLOOKUP(H173,DB_Agents!$B:$I,8,0),"")=I173,IF(C173&gt;=E173,"Successful","Unsuccessful"),"🔒 BLOCKED — Wrong Code")),"—")</f>
        <v>—</v>
      </c>
      <c r="K173" s="86" t="str">
        <f t="shared" ca="1" si="17"/>
        <v>—</v>
      </c>
      <c r="L173" s="87"/>
    </row>
    <row r="174" spans="1:12" x14ac:dyDescent="0.25">
      <c r="A174" s="88"/>
      <c r="B174" s="25" t="str">
        <f>IF(A174="","",IFERROR(VLOOKUP(A174,DB_Customers!$A:$D,4,0),"❌ Account Not Found"))</f>
        <v/>
      </c>
      <c r="C174" s="89" t="str">
        <f>IF(A174="","",IFERROR(VLOOKUP(A174,DB_Customers!$A:$N,14,0),""))</f>
        <v/>
      </c>
      <c r="D174" s="90" t="str">
        <f t="shared" ca="1" si="15"/>
        <v/>
      </c>
      <c r="E174" s="97"/>
      <c r="F174" s="25"/>
      <c r="G174" s="99" t="str">
        <f t="shared" si="16"/>
        <v/>
      </c>
      <c r="H174" s="27"/>
      <c r="I174" s="84"/>
      <c r="J174" s="92" t="str">
        <f>IF(AND(A174&lt;&gt;"",E174&lt;&gt;""),IF(I174="","⚠️ Enter Code",IF(IFERROR(VLOOKUP(H174,DB_Agents!$B:$I,8,0),"")=I174,IF(C174&gt;=E174,"Successful","Unsuccessful"),"🔒 BLOCKED — Wrong Code")),"—")</f>
        <v>—</v>
      </c>
      <c r="K174" s="93" t="str">
        <f t="shared" ca="1" si="17"/>
        <v>—</v>
      </c>
      <c r="L174" s="94"/>
    </row>
    <row r="175" spans="1:12" x14ac:dyDescent="0.25">
      <c r="A175" s="79"/>
      <c r="B175" s="21" t="str">
        <f>IF(A175="","",IFERROR(VLOOKUP(A175,DB_Customers!$A:$D,4,0),"❌ Account Not Found"))</f>
        <v/>
      </c>
      <c r="C175" s="80" t="str">
        <f>IF(A175="","",IFERROR(VLOOKUP(A175,DB_Customers!$A:$N,14,0),""))</f>
        <v/>
      </c>
      <c r="D175" s="81" t="str">
        <f t="shared" ca="1" si="15"/>
        <v/>
      </c>
      <c r="E175" s="97"/>
      <c r="F175" s="21"/>
      <c r="G175" s="98" t="str">
        <f t="shared" si="16"/>
        <v/>
      </c>
      <c r="H175" s="23"/>
      <c r="I175" s="84"/>
      <c r="J175" s="85" t="str">
        <f>IF(AND(A175&lt;&gt;"",E175&lt;&gt;""),IF(I175="","⚠️ Enter Code",IF(IFERROR(VLOOKUP(H175,DB_Agents!$B:$I,8,0),"")=I175,IF(C175&gt;=E175,"Successful","Unsuccessful"),"🔒 BLOCKED — Wrong Code")),"—")</f>
        <v>—</v>
      </c>
      <c r="K175" s="86" t="str">
        <f t="shared" ca="1" si="17"/>
        <v>—</v>
      </c>
      <c r="L175" s="87"/>
    </row>
    <row r="176" spans="1:12" x14ac:dyDescent="0.25">
      <c r="A176" s="88"/>
      <c r="B176" s="25" t="str">
        <f>IF(A176="","",IFERROR(VLOOKUP(A176,DB_Customers!$A:$D,4,0),"❌ Account Not Found"))</f>
        <v/>
      </c>
      <c r="C176" s="89" t="str">
        <f>IF(A176="","",IFERROR(VLOOKUP(A176,DB_Customers!$A:$N,14,0),""))</f>
        <v/>
      </c>
      <c r="D176" s="90" t="str">
        <f t="shared" ca="1" si="15"/>
        <v/>
      </c>
      <c r="E176" s="97"/>
      <c r="F176" s="25"/>
      <c r="G176" s="99" t="str">
        <f t="shared" si="16"/>
        <v/>
      </c>
      <c r="H176" s="27"/>
      <c r="I176" s="84"/>
      <c r="J176" s="92" t="str">
        <f>IF(AND(A176&lt;&gt;"",E176&lt;&gt;""),IF(I176="","⚠️ Enter Code",IF(IFERROR(VLOOKUP(H176,DB_Agents!$B:$I,8,0),"")=I176,IF(C176&gt;=E176,"Successful","Unsuccessful"),"🔒 BLOCKED — Wrong Code")),"—")</f>
        <v>—</v>
      </c>
      <c r="K176" s="93" t="str">
        <f t="shared" ca="1" si="17"/>
        <v>—</v>
      </c>
      <c r="L176" s="94"/>
    </row>
    <row r="177" spans="1:12" x14ac:dyDescent="0.25">
      <c r="A177" s="79"/>
      <c r="B177" s="21" t="str">
        <f>IF(A177="","",IFERROR(VLOOKUP(A177,DB_Customers!$A:$D,4,0),"❌ Account Not Found"))</f>
        <v/>
      </c>
      <c r="C177" s="80" t="str">
        <f>IF(A177="","",IFERROR(VLOOKUP(A177,DB_Customers!$A:$N,14,0),""))</f>
        <v/>
      </c>
      <c r="D177" s="81" t="str">
        <f t="shared" ca="1" si="15"/>
        <v/>
      </c>
      <c r="E177" s="97"/>
      <c r="F177" s="21"/>
      <c r="G177" s="98" t="str">
        <f t="shared" si="16"/>
        <v/>
      </c>
      <c r="H177" s="23"/>
      <c r="I177" s="84"/>
      <c r="J177" s="85" t="str">
        <f>IF(AND(A177&lt;&gt;"",E177&lt;&gt;""),IF(I177="","⚠️ Enter Code",IF(IFERROR(VLOOKUP(H177,DB_Agents!$B:$I,8,0),"")=I177,IF(C177&gt;=E177,"Successful","Unsuccessful"),"🔒 BLOCKED — Wrong Code")),"—")</f>
        <v>—</v>
      </c>
      <c r="K177" s="86" t="str">
        <f t="shared" ca="1" si="17"/>
        <v>—</v>
      </c>
      <c r="L177" s="87"/>
    </row>
    <row r="178" spans="1:12" x14ac:dyDescent="0.25">
      <c r="A178" s="88"/>
      <c r="B178" s="25" t="str">
        <f>IF(A178="","",IFERROR(VLOOKUP(A178,DB_Customers!$A:$D,4,0),"❌ Account Not Found"))</f>
        <v/>
      </c>
      <c r="C178" s="89" t="str">
        <f>IF(A178="","",IFERROR(VLOOKUP(A178,DB_Customers!$A:$N,14,0),""))</f>
        <v/>
      </c>
      <c r="D178" s="90" t="str">
        <f t="shared" ca="1" si="15"/>
        <v/>
      </c>
      <c r="E178" s="97"/>
      <c r="F178" s="25"/>
      <c r="G178" s="99" t="str">
        <f t="shared" si="16"/>
        <v/>
      </c>
      <c r="H178" s="27"/>
      <c r="I178" s="84"/>
      <c r="J178" s="92" t="str">
        <f>IF(AND(A178&lt;&gt;"",E178&lt;&gt;""),IF(I178="","⚠️ Enter Code",IF(IFERROR(VLOOKUP(H178,DB_Agents!$B:$I,8,0),"")=I178,IF(C178&gt;=E178,"Successful","Unsuccessful"),"🔒 BLOCKED — Wrong Code")),"—")</f>
        <v>—</v>
      </c>
      <c r="K178" s="93" t="str">
        <f t="shared" ca="1" si="17"/>
        <v>—</v>
      </c>
      <c r="L178" s="94"/>
    </row>
    <row r="179" spans="1:12" x14ac:dyDescent="0.25">
      <c r="A179" s="79"/>
      <c r="B179" s="21" t="str">
        <f>IF(A179="","",IFERROR(VLOOKUP(A179,DB_Customers!$A:$D,4,0),"❌ Account Not Found"))</f>
        <v/>
      </c>
      <c r="C179" s="80" t="str">
        <f>IF(A179="","",IFERROR(VLOOKUP(A179,DB_Customers!$A:$N,14,0),""))</f>
        <v/>
      </c>
      <c r="D179" s="81" t="str">
        <f t="shared" ca="1" si="15"/>
        <v/>
      </c>
      <c r="E179" s="97"/>
      <c r="F179" s="21"/>
      <c r="G179" s="98" t="str">
        <f t="shared" si="16"/>
        <v/>
      </c>
      <c r="H179" s="23"/>
      <c r="I179" s="84"/>
      <c r="J179" s="85" t="str">
        <f>IF(AND(A179&lt;&gt;"",E179&lt;&gt;""),IF(I179="","⚠️ Enter Code",IF(IFERROR(VLOOKUP(H179,DB_Agents!$B:$I,8,0),"")=I179,IF(C179&gt;=E179,"Successful","Unsuccessful"),"🔒 BLOCKED — Wrong Code")),"—")</f>
        <v>—</v>
      </c>
      <c r="K179" s="86" t="str">
        <f t="shared" ca="1" si="17"/>
        <v>—</v>
      </c>
      <c r="L179" s="87"/>
    </row>
    <row r="180" spans="1:12" x14ac:dyDescent="0.25">
      <c r="A180" s="88"/>
      <c r="B180" s="25" t="str">
        <f>IF(A180="","",IFERROR(VLOOKUP(A180,DB_Customers!$A:$D,4,0),"❌ Account Not Found"))</f>
        <v/>
      </c>
      <c r="C180" s="89" t="str">
        <f>IF(A180="","",IFERROR(VLOOKUP(A180,DB_Customers!$A:$N,14,0),""))</f>
        <v/>
      </c>
      <c r="D180" s="90" t="str">
        <f t="shared" ca="1" si="15"/>
        <v/>
      </c>
      <c r="E180" s="97"/>
      <c r="F180" s="25"/>
      <c r="G180" s="99" t="str">
        <f t="shared" si="16"/>
        <v/>
      </c>
      <c r="H180" s="27"/>
      <c r="I180" s="84"/>
      <c r="J180" s="92" t="str">
        <f>IF(AND(A180&lt;&gt;"",E180&lt;&gt;""),IF(I180="","⚠️ Enter Code",IF(IFERROR(VLOOKUP(H180,DB_Agents!$B:$I,8,0),"")=I180,IF(C180&gt;=E180,"Successful","Unsuccessful"),"🔒 BLOCKED — Wrong Code")),"—")</f>
        <v>—</v>
      </c>
      <c r="K180" s="93" t="str">
        <f t="shared" ca="1" si="17"/>
        <v>—</v>
      </c>
      <c r="L180" s="94"/>
    </row>
    <row r="181" spans="1:12" x14ac:dyDescent="0.25">
      <c r="A181" s="79"/>
      <c r="B181" s="21" t="str">
        <f>IF(A181="","",IFERROR(VLOOKUP(A181,DB_Customers!$A:$D,4,0),"❌ Account Not Found"))</f>
        <v/>
      </c>
      <c r="C181" s="80" t="str">
        <f>IF(A181="","",IFERROR(VLOOKUP(A181,DB_Customers!$A:$N,14,0),""))</f>
        <v/>
      </c>
      <c r="D181" s="81" t="str">
        <f t="shared" ca="1" si="15"/>
        <v/>
      </c>
      <c r="E181" s="97"/>
      <c r="F181" s="21"/>
      <c r="G181" s="98" t="str">
        <f t="shared" si="16"/>
        <v/>
      </c>
      <c r="H181" s="23"/>
      <c r="I181" s="84"/>
      <c r="J181" s="85" t="str">
        <f>IF(AND(A181&lt;&gt;"",E181&lt;&gt;""),IF(I181="","⚠️ Enter Code",IF(IFERROR(VLOOKUP(H181,DB_Agents!$B:$I,8,0),"")=I181,IF(C181&gt;=E181,"Successful","Unsuccessful"),"🔒 BLOCKED — Wrong Code")),"—")</f>
        <v>—</v>
      </c>
      <c r="K181" s="86" t="str">
        <f t="shared" ca="1" si="17"/>
        <v>—</v>
      </c>
      <c r="L181" s="87"/>
    </row>
    <row r="182" spans="1:12" x14ac:dyDescent="0.25">
      <c r="A182" s="88"/>
      <c r="B182" s="25" t="str">
        <f>IF(A182="","",IFERROR(VLOOKUP(A182,DB_Customers!$A:$D,4,0),"❌ Account Not Found"))</f>
        <v/>
      </c>
      <c r="C182" s="89" t="str">
        <f>IF(A182="","",IFERROR(VLOOKUP(A182,DB_Customers!$A:$N,14,0),""))</f>
        <v/>
      </c>
      <c r="D182" s="90" t="str">
        <f t="shared" ca="1" si="15"/>
        <v/>
      </c>
      <c r="E182" s="97"/>
      <c r="F182" s="25"/>
      <c r="G182" s="99" t="str">
        <f t="shared" si="16"/>
        <v/>
      </c>
      <c r="H182" s="27"/>
      <c r="I182" s="84"/>
      <c r="J182" s="92" t="str">
        <f>IF(AND(A182&lt;&gt;"",E182&lt;&gt;""),IF(I182="","⚠️ Enter Code",IF(IFERROR(VLOOKUP(H182,DB_Agents!$B:$I,8,0),"")=I182,IF(C182&gt;=E182,"Successful","Unsuccessful"),"🔒 BLOCKED — Wrong Code")),"—")</f>
        <v>—</v>
      </c>
      <c r="K182" s="93" t="str">
        <f t="shared" ca="1" si="17"/>
        <v>—</v>
      </c>
      <c r="L182" s="94"/>
    </row>
    <row r="183" spans="1:12" x14ac:dyDescent="0.25">
      <c r="A183" s="79"/>
      <c r="B183" s="21" t="str">
        <f>IF(A183="","",IFERROR(VLOOKUP(A183,DB_Customers!$A:$D,4,0),"❌ Account Not Found"))</f>
        <v/>
      </c>
      <c r="C183" s="80" t="str">
        <f>IF(A183="","",IFERROR(VLOOKUP(A183,DB_Customers!$A:$N,14,0),""))</f>
        <v/>
      </c>
      <c r="D183" s="81" t="str">
        <f t="shared" ca="1" si="15"/>
        <v/>
      </c>
      <c r="E183" s="97"/>
      <c r="F183" s="21"/>
      <c r="G183" s="98" t="str">
        <f t="shared" si="16"/>
        <v/>
      </c>
      <c r="H183" s="23"/>
      <c r="I183" s="84"/>
      <c r="J183" s="85" t="str">
        <f>IF(AND(A183&lt;&gt;"",E183&lt;&gt;""),IF(I183="","⚠️ Enter Code",IF(IFERROR(VLOOKUP(H183,DB_Agents!$B:$I,8,0),"")=I183,IF(C183&gt;=E183,"Successful","Unsuccessful"),"🔒 BLOCKED — Wrong Code")),"—")</f>
        <v>—</v>
      </c>
      <c r="K183" s="86" t="str">
        <f t="shared" ca="1" si="17"/>
        <v>—</v>
      </c>
      <c r="L183" s="87"/>
    </row>
    <row r="184" spans="1:12" x14ac:dyDescent="0.25">
      <c r="A184" s="88"/>
      <c r="B184" s="25" t="str">
        <f>IF(A184="","",IFERROR(VLOOKUP(A184,DB_Customers!$A:$D,4,0),"❌ Account Not Found"))</f>
        <v/>
      </c>
      <c r="C184" s="89" t="str">
        <f>IF(A184="","",IFERROR(VLOOKUP(A184,DB_Customers!$A:$N,14,0),""))</f>
        <v/>
      </c>
      <c r="D184" s="90" t="str">
        <f t="shared" ca="1" si="15"/>
        <v/>
      </c>
      <c r="E184" s="97"/>
      <c r="F184" s="25"/>
      <c r="G184" s="99" t="str">
        <f t="shared" si="16"/>
        <v/>
      </c>
      <c r="H184" s="27"/>
      <c r="I184" s="84"/>
      <c r="J184" s="92" t="str">
        <f>IF(AND(A184&lt;&gt;"",E184&lt;&gt;""),IF(I184="","⚠️ Enter Code",IF(IFERROR(VLOOKUP(H184,DB_Agents!$B:$I,8,0),"")=I184,IF(C184&gt;=E184,"Successful","Unsuccessful"),"🔒 BLOCKED — Wrong Code")),"—")</f>
        <v>—</v>
      </c>
      <c r="K184" s="93" t="str">
        <f t="shared" ca="1" si="17"/>
        <v>—</v>
      </c>
      <c r="L184" s="94"/>
    </row>
    <row r="185" spans="1:12" x14ac:dyDescent="0.25">
      <c r="A185" s="79"/>
      <c r="B185" s="21" t="str">
        <f>IF(A185="","",IFERROR(VLOOKUP(A185,DB_Customers!$A:$D,4,0),"❌ Account Not Found"))</f>
        <v/>
      </c>
      <c r="C185" s="80" t="str">
        <f>IF(A185="","",IFERROR(VLOOKUP(A185,DB_Customers!$A:$N,14,0),""))</f>
        <v/>
      </c>
      <c r="D185" s="81" t="str">
        <f t="shared" ca="1" si="15"/>
        <v/>
      </c>
      <c r="E185" s="97"/>
      <c r="F185" s="21"/>
      <c r="G185" s="98" t="str">
        <f t="shared" si="16"/>
        <v/>
      </c>
      <c r="H185" s="23"/>
      <c r="I185" s="84"/>
      <c r="J185" s="85" t="str">
        <f>IF(AND(A185&lt;&gt;"",E185&lt;&gt;""),IF(I185="","⚠️ Enter Code",IF(IFERROR(VLOOKUP(H185,DB_Agents!$B:$I,8,0),"")=I185,IF(C185&gt;=E185,"Successful","Unsuccessful"),"🔒 BLOCKED — Wrong Code")),"—")</f>
        <v>—</v>
      </c>
      <c r="K185" s="86" t="str">
        <f t="shared" ca="1" si="17"/>
        <v>—</v>
      </c>
      <c r="L185" s="87"/>
    </row>
    <row r="186" spans="1:12" x14ac:dyDescent="0.25">
      <c r="A186" s="88"/>
      <c r="B186" s="25" t="str">
        <f>IF(A186="","",IFERROR(VLOOKUP(A186,DB_Customers!$A:$D,4,0),"❌ Account Not Found"))</f>
        <v/>
      </c>
      <c r="C186" s="89" t="str">
        <f>IF(A186="","",IFERROR(VLOOKUP(A186,DB_Customers!$A:$N,14,0),""))</f>
        <v/>
      </c>
      <c r="D186" s="90" t="str">
        <f t="shared" ca="1" si="15"/>
        <v/>
      </c>
      <c r="E186" s="97"/>
      <c r="F186" s="25"/>
      <c r="G186" s="99" t="str">
        <f t="shared" si="16"/>
        <v/>
      </c>
      <c r="H186" s="27"/>
      <c r="I186" s="84"/>
      <c r="J186" s="92" t="str">
        <f>IF(AND(A186&lt;&gt;"",E186&lt;&gt;""),IF(I186="","⚠️ Enter Code",IF(IFERROR(VLOOKUP(H186,DB_Agents!$B:$I,8,0),"")=I186,IF(C186&gt;=E186,"Successful","Unsuccessful"),"🔒 BLOCKED — Wrong Code")),"—")</f>
        <v>—</v>
      </c>
      <c r="K186" s="93" t="str">
        <f t="shared" ca="1" si="17"/>
        <v>—</v>
      </c>
      <c r="L186" s="94"/>
    </row>
    <row r="187" spans="1:12" x14ac:dyDescent="0.25">
      <c r="A187" s="79"/>
      <c r="B187" s="21" t="str">
        <f>IF(A187="","",IFERROR(VLOOKUP(A187,DB_Customers!$A:$D,4,0),"❌ Account Not Found"))</f>
        <v/>
      </c>
      <c r="C187" s="80" t="str">
        <f>IF(A187="","",IFERROR(VLOOKUP(A187,DB_Customers!$A:$N,14,0),""))</f>
        <v/>
      </c>
      <c r="D187" s="81" t="str">
        <f t="shared" ca="1" si="15"/>
        <v/>
      </c>
      <c r="E187" s="97"/>
      <c r="F187" s="21"/>
      <c r="G187" s="98" t="str">
        <f t="shared" si="16"/>
        <v/>
      </c>
      <c r="H187" s="23"/>
      <c r="I187" s="84"/>
      <c r="J187" s="85" t="str">
        <f>IF(AND(A187&lt;&gt;"",E187&lt;&gt;""),IF(I187="","⚠️ Enter Code",IF(IFERROR(VLOOKUP(H187,DB_Agents!$B:$I,8,0),"")=I187,IF(C187&gt;=E187,"Successful","Unsuccessful"),"🔒 BLOCKED — Wrong Code")),"—")</f>
        <v>—</v>
      </c>
      <c r="K187" s="86" t="str">
        <f t="shared" ca="1" si="17"/>
        <v>—</v>
      </c>
      <c r="L187" s="87"/>
    </row>
    <row r="188" spans="1:12" x14ac:dyDescent="0.25">
      <c r="A188" s="88"/>
      <c r="B188" s="25" t="str">
        <f>IF(A188="","",IFERROR(VLOOKUP(A188,DB_Customers!$A:$D,4,0),"❌ Account Not Found"))</f>
        <v/>
      </c>
      <c r="C188" s="89" t="str">
        <f>IF(A188="","",IFERROR(VLOOKUP(A188,DB_Customers!$A:$N,14,0),""))</f>
        <v/>
      </c>
      <c r="D188" s="90" t="str">
        <f t="shared" ca="1" si="15"/>
        <v/>
      </c>
      <c r="E188" s="97"/>
      <c r="F188" s="25"/>
      <c r="G188" s="99" t="str">
        <f t="shared" si="16"/>
        <v/>
      </c>
      <c r="H188" s="27"/>
      <c r="I188" s="84"/>
      <c r="J188" s="92" t="str">
        <f>IF(AND(A188&lt;&gt;"",E188&lt;&gt;""),IF(I188="","⚠️ Enter Code",IF(IFERROR(VLOOKUP(H188,DB_Agents!$B:$I,8,0),"")=I188,IF(C188&gt;=E188,"Successful","Unsuccessful"),"🔒 BLOCKED — Wrong Code")),"—")</f>
        <v>—</v>
      </c>
      <c r="K188" s="93" t="str">
        <f t="shared" ca="1" si="17"/>
        <v>—</v>
      </c>
      <c r="L188" s="94"/>
    </row>
    <row r="189" spans="1:12" x14ac:dyDescent="0.25">
      <c r="A189" s="79"/>
      <c r="B189" s="21" t="str">
        <f>IF(A189="","",IFERROR(VLOOKUP(A189,DB_Customers!$A:$D,4,0),"❌ Account Not Found"))</f>
        <v/>
      </c>
      <c r="C189" s="80" t="str">
        <f>IF(A189="","",IFERROR(VLOOKUP(A189,DB_Customers!$A:$N,14,0),""))</f>
        <v/>
      </c>
      <c r="D189" s="81" t="str">
        <f t="shared" ca="1" si="15"/>
        <v/>
      </c>
      <c r="E189" s="97"/>
      <c r="F189" s="21"/>
      <c r="G189" s="98" t="str">
        <f t="shared" si="16"/>
        <v/>
      </c>
      <c r="H189" s="23"/>
      <c r="I189" s="84"/>
      <c r="J189" s="85" t="str">
        <f>IF(AND(A189&lt;&gt;"",E189&lt;&gt;""),IF(I189="","⚠️ Enter Code",IF(IFERROR(VLOOKUP(H189,DB_Agents!$B:$I,8,0),"")=I189,IF(C189&gt;=E189,"Successful","Unsuccessful"),"🔒 BLOCKED — Wrong Code")),"—")</f>
        <v>—</v>
      </c>
      <c r="K189" s="86" t="str">
        <f t="shared" ca="1" si="17"/>
        <v>—</v>
      </c>
      <c r="L189" s="87"/>
    </row>
    <row r="190" spans="1:12" x14ac:dyDescent="0.25">
      <c r="A190" s="88"/>
      <c r="B190" s="25" t="str">
        <f>IF(A190="","",IFERROR(VLOOKUP(A190,DB_Customers!$A:$D,4,0),"❌ Account Not Found"))</f>
        <v/>
      </c>
      <c r="C190" s="89" t="str">
        <f>IF(A190="","",IFERROR(VLOOKUP(A190,DB_Customers!$A:$N,14,0),""))</f>
        <v/>
      </c>
      <c r="D190" s="90" t="str">
        <f t="shared" ca="1" si="15"/>
        <v/>
      </c>
      <c r="E190" s="97"/>
      <c r="F190" s="25"/>
      <c r="G190" s="99" t="str">
        <f t="shared" si="16"/>
        <v/>
      </c>
      <c r="H190" s="27"/>
      <c r="I190" s="84"/>
      <c r="J190" s="92" t="str">
        <f>IF(AND(A190&lt;&gt;"",E190&lt;&gt;""),IF(I190="","⚠️ Enter Code",IF(IFERROR(VLOOKUP(H190,DB_Agents!$B:$I,8,0),"")=I190,IF(C190&gt;=E190,"Successful","Unsuccessful"),"🔒 BLOCKED — Wrong Code")),"—")</f>
        <v>—</v>
      </c>
      <c r="K190" s="93" t="str">
        <f t="shared" ca="1" si="17"/>
        <v>—</v>
      </c>
      <c r="L190" s="94"/>
    </row>
    <row r="191" spans="1:12" x14ac:dyDescent="0.25">
      <c r="A191" s="79"/>
      <c r="B191" s="21" t="str">
        <f>IF(A191="","",IFERROR(VLOOKUP(A191,DB_Customers!$A:$D,4,0),"❌ Account Not Found"))</f>
        <v/>
      </c>
      <c r="C191" s="80" t="str">
        <f>IF(A191="","",IFERROR(VLOOKUP(A191,DB_Customers!$A:$N,14,0),""))</f>
        <v/>
      </c>
      <c r="D191" s="81" t="str">
        <f t="shared" ca="1" si="15"/>
        <v/>
      </c>
      <c r="E191" s="97"/>
      <c r="F191" s="21"/>
      <c r="G191" s="98" t="str">
        <f t="shared" si="16"/>
        <v/>
      </c>
      <c r="H191" s="23"/>
      <c r="I191" s="84"/>
      <c r="J191" s="85" t="str">
        <f>IF(AND(A191&lt;&gt;"",E191&lt;&gt;""),IF(I191="","⚠️ Enter Code",IF(IFERROR(VLOOKUP(H191,DB_Agents!$B:$I,8,0),"")=I191,IF(C191&gt;=E191,"Successful","Unsuccessful"),"🔒 BLOCKED — Wrong Code")),"—")</f>
        <v>—</v>
      </c>
      <c r="K191" s="86" t="str">
        <f t="shared" ca="1" si="17"/>
        <v>—</v>
      </c>
      <c r="L191" s="87"/>
    </row>
    <row r="192" spans="1:12" x14ac:dyDescent="0.25">
      <c r="A192" s="88"/>
      <c r="B192" s="25" t="str">
        <f>IF(A192="","",IFERROR(VLOOKUP(A192,DB_Customers!$A:$D,4,0),"❌ Account Not Found"))</f>
        <v/>
      </c>
      <c r="C192" s="89" t="str">
        <f>IF(A192="","",IFERROR(VLOOKUP(A192,DB_Customers!$A:$N,14,0),""))</f>
        <v/>
      </c>
      <c r="D192" s="90" t="str">
        <f t="shared" ca="1" si="15"/>
        <v/>
      </c>
      <c r="E192" s="97"/>
      <c r="F192" s="25"/>
      <c r="G192" s="99" t="str">
        <f t="shared" si="16"/>
        <v/>
      </c>
      <c r="H192" s="27"/>
      <c r="I192" s="84"/>
      <c r="J192" s="92" t="str">
        <f>IF(AND(A192&lt;&gt;"",E192&lt;&gt;""),IF(I192="","⚠️ Enter Code",IF(IFERROR(VLOOKUP(H192,DB_Agents!$B:$I,8,0),"")=I192,IF(C192&gt;=E192,"Successful","Unsuccessful"),"🔒 BLOCKED — Wrong Code")),"—")</f>
        <v>—</v>
      </c>
      <c r="K192" s="93" t="str">
        <f t="shared" ca="1" si="17"/>
        <v>—</v>
      </c>
      <c r="L192" s="94"/>
    </row>
    <row r="193" spans="1:12" x14ac:dyDescent="0.25">
      <c r="A193" s="79"/>
      <c r="B193" s="21" t="str">
        <f>IF(A193="","",IFERROR(VLOOKUP(A193,DB_Customers!$A:$D,4,0),"❌ Account Not Found"))</f>
        <v/>
      </c>
      <c r="C193" s="80" t="str">
        <f>IF(A193="","",IFERROR(VLOOKUP(A193,DB_Customers!$A:$N,14,0),""))</f>
        <v/>
      </c>
      <c r="D193" s="81" t="str">
        <f t="shared" ca="1" si="15"/>
        <v/>
      </c>
      <c r="E193" s="97"/>
      <c r="F193" s="21"/>
      <c r="G193" s="98" t="str">
        <f t="shared" si="16"/>
        <v/>
      </c>
      <c r="H193" s="23"/>
      <c r="I193" s="84"/>
      <c r="J193" s="85" t="str">
        <f>IF(AND(A193&lt;&gt;"",E193&lt;&gt;""),IF(I193="","⚠️ Enter Code",IF(IFERROR(VLOOKUP(H193,DB_Agents!$B:$I,8,0),"")=I193,IF(C193&gt;=E193,"Successful","Unsuccessful"),"🔒 BLOCKED — Wrong Code")),"—")</f>
        <v>—</v>
      </c>
      <c r="K193" s="86" t="str">
        <f t="shared" ca="1" si="17"/>
        <v>—</v>
      </c>
      <c r="L193" s="87"/>
    </row>
    <row r="194" spans="1:12" x14ac:dyDescent="0.25">
      <c r="A194" s="88"/>
      <c r="B194" s="25" t="str">
        <f>IF(A194="","",IFERROR(VLOOKUP(A194,DB_Customers!$A:$D,4,0),"❌ Account Not Found"))</f>
        <v/>
      </c>
      <c r="C194" s="89" t="str">
        <f>IF(A194="","",IFERROR(VLOOKUP(A194,DB_Customers!$A:$N,14,0),""))</f>
        <v/>
      </c>
      <c r="D194" s="90" t="str">
        <f t="shared" ca="1" si="15"/>
        <v/>
      </c>
      <c r="E194" s="97"/>
      <c r="F194" s="25"/>
      <c r="G194" s="99" t="str">
        <f t="shared" si="16"/>
        <v/>
      </c>
      <c r="H194" s="27"/>
      <c r="I194" s="84"/>
      <c r="J194" s="92" t="str">
        <f>IF(AND(A194&lt;&gt;"",E194&lt;&gt;""),IF(I194="","⚠️ Enter Code",IF(IFERROR(VLOOKUP(H194,DB_Agents!$B:$I,8,0),"")=I194,IF(C194&gt;=E194,"Successful","Unsuccessful"),"🔒 BLOCKED — Wrong Code")),"—")</f>
        <v>—</v>
      </c>
      <c r="K194" s="93" t="str">
        <f t="shared" ca="1" si="17"/>
        <v>—</v>
      </c>
      <c r="L194" s="94"/>
    </row>
    <row r="195" spans="1:12" x14ac:dyDescent="0.25">
      <c r="A195" s="79"/>
      <c r="B195" s="21" t="str">
        <f>IF(A195="","",IFERROR(VLOOKUP(A195,DB_Customers!$A:$D,4,0),"❌ Account Not Found"))</f>
        <v/>
      </c>
      <c r="C195" s="80" t="str">
        <f>IF(A195="","",IFERROR(VLOOKUP(A195,DB_Customers!$A:$N,14,0),""))</f>
        <v/>
      </c>
      <c r="D195" s="81" t="str">
        <f t="shared" ca="1" si="15"/>
        <v/>
      </c>
      <c r="E195" s="97"/>
      <c r="F195" s="21"/>
      <c r="G195" s="98" t="str">
        <f t="shared" si="16"/>
        <v/>
      </c>
      <c r="H195" s="23"/>
      <c r="I195" s="84"/>
      <c r="J195" s="85" t="str">
        <f>IF(AND(A195&lt;&gt;"",E195&lt;&gt;""),IF(I195="","⚠️ Enter Code",IF(IFERROR(VLOOKUP(H195,DB_Agents!$B:$I,8,0),"")=I195,IF(C195&gt;=E195,"Successful","Unsuccessful"),"🔒 BLOCKED — Wrong Code")),"—")</f>
        <v>—</v>
      </c>
      <c r="K195" s="86" t="str">
        <f t="shared" ca="1" si="17"/>
        <v>—</v>
      </c>
      <c r="L195" s="87"/>
    </row>
    <row r="196" spans="1:12" x14ac:dyDescent="0.25">
      <c r="A196" s="88"/>
      <c r="B196" s="25" t="str">
        <f>IF(A196="","",IFERROR(VLOOKUP(A196,DB_Customers!$A:$D,4,0),"❌ Account Not Found"))</f>
        <v/>
      </c>
      <c r="C196" s="89" t="str">
        <f>IF(A196="","",IFERROR(VLOOKUP(A196,DB_Customers!$A:$N,14,0),""))</f>
        <v/>
      </c>
      <c r="D196" s="90" t="str">
        <f t="shared" ca="1" si="15"/>
        <v/>
      </c>
      <c r="E196" s="97"/>
      <c r="F196" s="25"/>
      <c r="G196" s="99" t="str">
        <f t="shared" si="16"/>
        <v/>
      </c>
      <c r="H196" s="27"/>
      <c r="I196" s="84"/>
      <c r="J196" s="92" t="str">
        <f>IF(AND(A196&lt;&gt;"",E196&lt;&gt;""),IF(I196="","⚠️ Enter Code",IF(IFERROR(VLOOKUP(H196,DB_Agents!$B:$I,8,0),"")=I196,IF(C196&gt;=E196,"Successful","Unsuccessful"),"🔒 BLOCKED — Wrong Code")),"—")</f>
        <v>—</v>
      </c>
      <c r="K196" s="93" t="str">
        <f t="shared" ca="1" si="17"/>
        <v>—</v>
      </c>
      <c r="L196" s="94"/>
    </row>
    <row r="197" spans="1:12" x14ac:dyDescent="0.25">
      <c r="A197" s="79"/>
      <c r="B197" s="21" t="str">
        <f>IF(A197="","",IFERROR(VLOOKUP(A197,DB_Customers!$A:$D,4,0),"❌ Account Not Found"))</f>
        <v/>
      </c>
      <c r="C197" s="80" t="str">
        <f>IF(A197="","",IFERROR(VLOOKUP(A197,DB_Customers!$A:$N,14,0),""))</f>
        <v/>
      </c>
      <c r="D197" s="81" t="str">
        <f t="shared" ca="1" si="15"/>
        <v/>
      </c>
      <c r="E197" s="97"/>
      <c r="F197" s="21"/>
      <c r="G197" s="98" t="str">
        <f t="shared" si="16"/>
        <v/>
      </c>
      <c r="H197" s="23"/>
      <c r="I197" s="84"/>
      <c r="J197" s="85" t="str">
        <f>IF(AND(A197&lt;&gt;"",E197&lt;&gt;""),IF(I197="","⚠️ Enter Code",IF(IFERROR(VLOOKUP(H197,DB_Agents!$B:$I,8,0),"")=I197,IF(C197&gt;=E197,"Successful","Unsuccessful"),"🔒 BLOCKED — Wrong Code")),"—")</f>
        <v>—</v>
      </c>
      <c r="K197" s="86" t="str">
        <f t="shared" ca="1" si="17"/>
        <v>—</v>
      </c>
      <c r="L197" s="87"/>
    </row>
    <row r="198" spans="1:12" x14ac:dyDescent="0.25">
      <c r="A198" s="88"/>
      <c r="B198" s="25" t="str">
        <f>IF(A198="","",IFERROR(VLOOKUP(A198,DB_Customers!$A:$D,4,0),"❌ Account Not Found"))</f>
        <v/>
      </c>
      <c r="C198" s="89" t="str">
        <f>IF(A198="","",IFERROR(VLOOKUP(A198,DB_Customers!$A:$N,14,0),""))</f>
        <v/>
      </c>
      <c r="D198" s="90" t="str">
        <f t="shared" ca="1" si="15"/>
        <v/>
      </c>
      <c r="E198" s="97"/>
      <c r="F198" s="25"/>
      <c r="G198" s="99" t="str">
        <f t="shared" si="16"/>
        <v/>
      </c>
      <c r="H198" s="27"/>
      <c r="I198" s="84"/>
      <c r="J198" s="92" t="str">
        <f>IF(AND(A198&lt;&gt;"",E198&lt;&gt;""),IF(I198="","⚠️ Enter Code",IF(IFERROR(VLOOKUP(H198,DB_Agents!$B:$I,8,0),"")=I198,IF(C198&gt;=E198,"Successful","Unsuccessful"),"🔒 BLOCKED — Wrong Code")),"—")</f>
        <v>—</v>
      </c>
      <c r="K198" s="93" t="str">
        <f t="shared" ca="1" si="17"/>
        <v>—</v>
      </c>
      <c r="L198" s="94"/>
    </row>
    <row r="199" spans="1:12" x14ac:dyDescent="0.25">
      <c r="A199" s="79"/>
      <c r="B199" s="21" t="str">
        <f>IF(A199="","",IFERROR(VLOOKUP(A199,DB_Customers!$A:$D,4,0),"❌ Account Not Found"))</f>
        <v/>
      </c>
      <c r="C199" s="80" t="str">
        <f>IF(A199="","",IFERROR(VLOOKUP(A199,DB_Customers!$A:$N,14,0),""))</f>
        <v/>
      </c>
      <c r="D199" s="81" t="str">
        <f t="shared" ca="1" si="15"/>
        <v/>
      </c>
      <c r="E199" s="97"/>
      <c r="F199" s="21"/>
      <c r="G199" s="98" t="str">
        <f t="shared" si="16"/>
        <v/>
      </c>
      <c r="H199" s="23"/>
      <c r="I199" s="84"/>
      <c r="J199" s="85" t="str">
        <f>IF(AND(A199&lt;&gt;"",E199&lt;&gt;""),IF(I199="","⚠️ Enter Code",IF(IFERROR(VLOOKUP(H199,DB_Agents!$B:$I,8,0),"")=I199,IF(C199&gt;=E199,"Successful","Unsuccessful"),"🔒 BLOCKED — Wrong Code")),"—")</f>
        <v>—</v>
      </c>
      <c r="K199" s="86" t="str">
        <f t="shared" ca="1" si="17"/>
        <v>—</v>
      </c>
      <c r="L199" s="87"/>
    </row>
    <row r="200" spans="1:12" x14ac:dyDescent="0.25">
      <c r="A200" s="88"/>
      <c r="B200" s="25" t="str">
        <f>IF(A200="","",IFERROR(VLOOKUP(A200,DB_Customers!$A:$D,4,0),"❌ Account Not Found"))</f>
        <v/>
      </c>
      <c r="C200" s="89" t="str">
        <f>IF(A200="","",IFERROR(VLOOKUP(A200,DB_Customers!$A:$N,14,0),""))</f>
        <v/>
      </c>
      <c r="D200" s="90" t="str">
        <f t="shared" ca="1" si="15"/>
        <v/>
      </c>
      <c r="E200" s="97"/>
      <c r="F200" s="25"/>
      <c r="G200" s="99" t="str">
        <f t="shared" si="16"/>
        <v/>
      </c>
      <c r="H200" s="27"/>
      <c r="I200" s="84"/>
      <c r="J200" s="92" t="str">
        <f>IF(AND(A200&lt;&gt;"",E200&lt;&gt;""),IF(I200="","⚠️ Enter Code",IF(IFERROR(VLOOKUP(H200,DB_Agents!$B:$I,8,0),"")=I200,IF(C200&gt;=E200,"Successful","Unsuccessful"),"🔒 BLOCKED — Wrong Code")),"—")</f>
        <v>—</v>
      </c>
      <c r="K200" s="93" t="str">
        <f t="shared" ca="1" si="17"/>
        <v>—</v>
      </c>
      <c r="L200" s="94"/>
    </row>
    <row r="201" spans="1:12" x14ac:dyDescent="0.25">
      <c r="A201" s="79"/>
      <c r="B201" s="21" t="str">
        <f>IF(A201="","",IFERROR(VLOOKUP(A201,DB_Customers!$A:$D,4,0),"❌ Account Not Found"))</f>
        <v/>
      </c>
      <c r="C201" s="80" t="str">
        <f>IF(A201="","",IFERROR(VLOOKUP(A201,DB_Customers!$A:$N,14,0),""))</f>
        <v/>
      </c>
      <c r="D201" s="81" t="str">
        <f t="shared" ref="D201:D208" ca="1" si="18">IF(A201="","",TODAY())</f>
        <v/>
      </c>
      <c r="E201" s="97"/>
      <c r="F201" s="21"/>
      <c r="G201" s="98" t="str">
        <f t="shared" ref="G201:G208" si="19">IF(OR(A201="",E201=""),"",IF(C201="","",C201-E201))</f>
        <v/>
      </c>
      <c r="H201" s="23"/>
      <c r="I201" s="84"/>
      <c r="J201" s="85" t="str">
        <f>IF(AND(A201&lt;&gt;"",E201&lt;&gt;""),IF(I201="","⚠️ Enter Code",IF(IFERROR(VLOOKUP(H201,DB_Agents!$B:$I,8,0),"")=I201,IF(C201&gt;=E201,"Successful","Unsuccessful"),"🔒 BLOCKED — Wrong Code")),"—")</f>
        <v>—</v>
      </c>
      <c r="K201" s="86" t="str">
        <f t="shared" ref="K201:K232" ca="1" si="20">IF(J201="Successful",TEXT(TODAY(),"YYYY-MM-DD")&amp;" Auto","—")</f>
        <v>—</v>
      </c>
      <c r="L201" s="87"/>
    </row>
    <row r="202" spans="1:12" x14ac:dyDescent="0.25">
      <c r="A202" s="88"/>
      <c r="B202" s="25" t="str">
        <f>IF(A202="","",IFERROR(VLOOKUP(A202,DB_Customers!$A:$D,4,0),"❌ Account Not Found"))</f>
        <v/>
      </c>
      <c r="C202" s="89" t="str">
        <f>IF(A202="","",IFERROR(VLOOKUP(A202,DB_Customers!$A:$N,14,0),""))</f>
        <v/>
      </c>
      <c r="D202" s="90" t="str">
        <f t="shared" ca="1" si="18"/>
        <v/>
      </c>
      <c r="E202" s="97"/>
      <c r="F202" s="25"/>
      <c r="G202" s="99" t="str">
        <f t="shared" si="19"/>
        <v/>
      </c>
      <c r="H202" s="27"/>
      <c r="I202" s="84"/>
      <c r="J202" s="92" t="str">
        <f>IF(AND(A202&lt;&gt;"",E202&lt;&gt;""),IF(I202="","⚠️ Enter Code",IF(IFERROR(VLOOKUP(H202,DB_Agents!$B:$I,8,0),"")=I202,IF(C202&gt;=E202,"Successful","Unsuccessful"),"🔒 BLOCKED — Wrong Code")),"—")</f>
        <v>—</v>
      </c>
      <c r="K202" s="93" t="str">
        <f t="shared" ca="1" si="20"/>
        <v>—</v>
      </c>
      <c r="L202" s="94"/>
    </row>
    <row r="203" spans="1:12" x14ac:dyDescent="0.25">
      <c r="A203" s="79"/>
      <c r="B203" s="21" t="str">
        <f>IF(A203="","",IFERROR(VLOOKUP(A203,DB_Customers!$A:$D,4,0),"❌ Account Not Found"))</f>
        <v/>
      </c>
      <c r="C203" s="80" t="str">
        <f>IF(A203="","",IFERROR(VLOOKUP(A203,DB_Customers!$A:$N,14,0),""))</f>
        <v/>
      </c>
      <c r="D203" s="81" t="str">
        <f t="shared" ca="1" si="18"/>
        <v/>
      </c>
      <c r="E203" s="97"/>
      <c r="F203" s="21"/>
      <c r="G203" s="98" t="str">
        <f t="shared" si="19"/>
        <v/>
      </c>
      <c r="H203" s="23"/>
      <c r="I203" s="84"/>
      <c r="J203" s="85" t="str">
        <f>IF(AND(A203&lt;&gt;"",E203&lt;&gt;""),IF(I203="","⚠️ Enter Code",IF(IFERROR(VLOOKUP(H203,DB_Agents!$B:$I,8,0),"")=I203,IF(C203&gt;=E203,"Successful","Unsuccessful"),"🔒 BLOCKED — Wrong Code")),"—")</f>
        <v>—</v>
      </c>
      <c r="K203" s="86" t="str">
        <f t="shared" ca="1" si="20"/>
        <v>—</v>
      </c>
      <c r="L203" s="87"/>
    </row>
    <row r="204" spans="1:12" x14ac:dyDescent="0.25">
      <c r="A204" s="88"/>
      <c r="B204" s="25" t="str">
        <f>IF(A204="","",IFERROR(VLOOKUP(A204,DB_Customers!$A:$D,4,0),"❌ Account Not Found"))</f>
        <v/>
      </c>
      <c r="C204" s="89" t="str">
        <f>IF(A204="","",IFERROR(VLOOKUP(A204,DB_Customers!$A:$N,14,0),""))</f>
        <v/>
      </c>
      <c r="D204" s="90" t="str">
        <f t="shared" ca="1" si="18"/>
        <v/>
      </c>
      <c r="E204" s="97"/>
      <c r="F204" s="25"/>
      <c r="G204" s="99" t="str">
        <f t="shared" si="19"/>
        <v/>
      </c>
      <c r="H204" s="27"/>
      <c r="I204" s="84"/>
      <c r="J204" s="92" t="str">
        <f>IF(AND(A204&lt;&gt;"",E204&lt;&gt;""),IF(I204="","⚠️ Enter Code",IF(IFERROR(VLOOKUP(H204,DB_Agents!$B:$I,8,0),"")=I204,IF(C204&gt;=E204,"Successful","Unsuccessful"),"🔒 BLOCKED — Wrong Code")),"—")</f>
        <v>—</v>
      </c>
      <c r="K204" s="93" t="str">
        <f t="shared" ca="1" si="20"/>
        <v>—</v>
      </c>
      <c r="L204" s="94"/>
    </row>
    <row r="205" spans="1:12" x14ac:dyDescent="0.25">
      <c r="A205" s="79"/>
      <c r="B205" s="21" t="str">
        <f>IF(A205="","",IFERROR(VLOOKUP(A205,DB_Customers!$A:$D,4,0),"❌ Account Not Found"))</f>
        <v/>
      </c>
      <c r="C205" s="80" t="str">
        <f>IF(A205="","",IFERROR(VLOOKUP(A205,DB_Customers!$A:$N,14,0),""))</f>
        <v/>
      </c>
      <c r="D205" s="81" t="str">
        <f t="shared" ca="1" si="18"/>
        <v/>
      </c>
      <c r="E205" s="97"/>
      <c r="F205" s="21"/>
      <c r="G205" s="98" t="str">
        <f t="shared" si="19"/>
        <v/>
      </c>
      <c r="H205" s="23"/>
      <c r="I205" s="84"/>
      <c r="J205" s="85" t="str">
        <f>IF(AND(A205&lt;&gt;"",E205&lt;&gt;""),IF(I205="","⚠️ Enter Code",IF(IFERROR(VLOOKUP(H205,DB_Agents!$B:$I,8,0),"")=I205,IF(C205&gt;=E205,"Successful","Unsuccessful"),"🔒 BLOCKED — Wrong Code")),"—")</f>
        <v>—</v>
      </c>
      <c r="K205" s="86" t="str">
        <f t="shared" ca="1" si="20"/>
        <v>—</v>
      </c>
      <c r="L205" s="87"/>
    </row>
    <row r="206" spans="1:12" x14ac:dyDescent="0.25">
      <c r="A206" s="88"/>
      <c r="B206" s="25" t="str">
        <f>IF(A206="","",IFERROR(VLOOKUP(A206,DB_Customers!$A:$D,4,0),"❌ Account Not Found"))</f>
        <v/>
      </c>
      <c r="C206" s="89" t="str">
        <f>IF(A206="","",IFERROR(VLOOKUP(A206,DB_Customers!$A:$N,14,0),""))</f>
        <v/>
      </c>
      <c r="D206" s="90" t="str">
        <f t="shared" ca="1" si="18"/>
        <v/>
      </c>
      <c r="E206" s="97"/>
      <c r="F206" s="25"/>
      <c r="G206" s="99" t="str">
        <f t="shared" si="19"/>
        <v/>
      </c>
      <c r="H206" s="27"/>
      <c r="I206" s="84"/>
      <c r="J206" s="92" t="str">
        <f>IF(AND(A206&lt;&gt;"",E206&lt;&gt;""),IF(I206="","⚠️ Enter Code",IF(IFERROR(VLOOKUP(H206,DB_Agents!$B:$I,8,0),"")=I206,IF(C206&gt;=E206,"Successful","Unsuccessful"),"🔒 BLOCKED — Wrong Code")),"—")</f>
        <v>—</v>
      </c>
      <c r="K206" s="93" t="str">
        <f t="shared" ca="1" si="20"/>
        <v>—</v>
      </c>
      <c r="L206" s="94"/>
    </row>
    <row r="207" spans="1:12" x14ac:dyDescent="0.25">
      <c r="A207" s="79"/>
      <c r="B207" s="21" t="str">
        <f>IF(A207="","",IFERROR(VLOOKUP(A207,DB_Customers!$A:$D,4,0),"❌ Account Not Found"))</f>
        <v/>
      </c>
      <c r="C207" s="80" t="str">
        <f>IF(A207="","",IFERROR(VLOOKUP(A207,DB_Customers!$A:$N,14,0),""))</f>
        <v/>
      </c>
      <c r="D207" s="81" t="str">
        <f t="shared" ca="1" si="18"/>
        <v/>
      </c>
      <c r="E207" s="97"/>
      <c r="F207" s="21"/>
      <c r="G207" s="98" t="str">
        <f t="shared" si="19"/>
        <v/>
      </c>
      <c r="H207" s="23"/>
      <c r="I207" s="84"/>
      <c r="J207" s="85" t="str">
        <f>IF(AND(A207&lt;&gt;"",E207&lt;&gt;""),IF(I207="","⚠️ Enter Code",IF(IFERROR(VLOOKUP(H207,DB_Agents!$B:$I,8,0),"")=I207,IF(C207&gt;=E207,"Successful","Unsuccessful"),"🔒 BLOCKED — Wrong Code")),"—")</f>
        <v>—</v>
      </c>
      <c r="K207" s="86" t="str">
        <f t="shared" ca="1" si="20"/>
        <v>—</v>
      </c>
      <c r="L207" s="87"/>
    </row>
    <row r="208" spans="1:12" x14ac:dyDescent="0.25">
      <c r="A208" s="88"/>
      <c r="B208" s="25" t="str">
        <f>IF(A208="","",IFERROR(VLOOKUP(A208,DB_Customers!$A:$D,4,0),"❌ Account Not Found"))</f>
        <v/>
      </c>
      <c r="C208" s="89" t="str">
        <f>IF(A208="","",IFERROR(VLOOKUP(A208,DB_Customers!$A:$N,14,0),""))</f>
        <v/>
      </c>
      <c r="D208" s="90" t="str">
        <f t="shared" ca="1" si="18"/>
        <v/>
      </c>
      <c r="E208" s="97"/>
      <c r="F208" s="25"/>
      <c r="G208" s="99" t="str">
        <f t="shared" si="19"/>
        <v/>
      </c>
      <c r="H208" s="27"/>
      <c r="I208" s="84"/>
      <c r="J208" s="92" t="str">
        <f>IF(AND(A208&lt;&gt;"",E208&lt;&gt;""),IF(I208="","⚠️ Enter Code",IF(IFERROR(VLOOKUP(H208,DB_Agents!$B:$I,8,0),"")=I208,IF(C208&gt;=E208,"Successful","Unsuccessful"),"🔒 BLOCKED — Wrong Code")),"—")</f>
        <v>—</v>
      </c>
      <c r="K208" s="93" t="str">
        <f t="shared" ca="1" si="20"/>
        <v>—</v>
      </c>
      <c r="L208" s="94"/>
    </row>
  </sheetData>
  <mergeCells count="8">
    <mergeCell ref="A5:M5"/>
    <mergeCell ref="A7:M7"/>
    <mergeCell ref="A1:M1"/>
    <mergeCell ref="A2:M2"/>
    <mergeCell ref="A3:C3"/>
    <mergeCell ref="D3:F3"/>
    <mergeCell ref="A4:C4"/>
    <mergeCell ref="D4:F4"/>
  </mergeCells>
  <conditionalFormatting sqref="I9:I208">
    <cfRule type="cellIs" dxfId="49" priority="2" operator="equal">
      <formula>"Successful"</formula>
    </cfRule>
    <cfRule type="cellIs" dxfId="48" priority="3" operator="equal">
      <formula>"Unsuccessful"</formula>
    </cfRule>
  </conditionalFormatting>
  <conditionalFormatting sqref="A9:K208">
    <cfRule type="expression" dxfId="47" priority="4">
      <formula>$I9="Unsuccessful"</formula>
    </cfRule>
  </conditionalFormatting>
  <conditionalFormatting sqref="G9:G208">
    <cfRule type="cellIs" dxfId="46" priority="5" operator="lessThan">
      <formula>0</formula>
    </cfRule>
  </conditionalFormatting>
  <dataValidations count="1">
    <dataValidation type="list" sqref="H9:H208" xr:uid="{00000000-0002-0000-1500-000000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tabColor rgb="FFE67E22"/>
  </sheetPr>
  <dimension ref="A1:N213"/>
  <sheetViews>
    <sheetView zoomScaleNormal="100" workbookViewId="0">
      <pane ySplit="13" topLeftCell="A14" activePane="bottomLeft" state="frozen"/>
      <selection pane="bottomLeft"/>
    </sheetView>
  </sheetViews>
  <sheetFormatPr defaultColWidth="8.7109375" defaultRowHeight="15" x14ac:dyDescent="0.25"/>
  <cols>
    <col min="1" max="1" width="22" customWidth="1"/>
    <col min="2" max="2" width="16" customWidth="1"/>
    <col min="3" max="3" width="22" customWidth="1"/>
    <col min="4" max="4" width="13" customWidth="1"/>
    <col min="5" max="5" width="14" customWidth="1"/>
    <col min="6" max="6" width="22" customWidth="1"/>
    <col min="7" max="7" width="9" customWidth="1"/>
    <col min="8" max="8" width="8" customWidth="1"/>
    <col min="9" max="9" width="16" customWidth="1"/>
    <col min="10" max="10" width="15" customWidth="1"/>
    <col min="11" max="11" width="14" customWidth="1"/>
    <col min="12" max="12" width="12" customWidth="1"/>
    <col min="13" max="13" width="14" customWidth="1"/>
  </cols>
  <sheetData>
    <row r="1" spans="1:14" ht="31.5" customHeight="1" x14ac:dyDescent="0.25">
      <c r="A1" s="216" t="s">
        <v>219</v>
      </c>
      <c r="B1" s="216"/>
      <c r="C1" s="216"/>
      <c r="D1" s="216"/>
      <c r="E1" s="216"/>
      <c r="F1" s="216"/>
      <c r="G1" s="216"/>
      <c r="H1" s="216"/>
      <c r="I1" s="216"/>
      <c r="J1" s="216"/>
      <c r="K1" s="216"/>
      <c r="L1" s="216"/>
      <c r="M1" s="216"/>
      <c r="N1" s="216"/>
    </row>
    <row r="2" spans="1:14" ht="19.5" customHeight="1" x14ac:dyDescent="0.25">
      <c r="A2" s="217" t="s">
        <v>189</v>
      </c>
      <c r="B2" s="217"/>
      <c r="C2" s="217"/>
      <c r="D2" s="217"/>
      <c r="E2" s="217"/>
      <c r="F2" s="217"/>
      <c r="G2" s="217"/>
      <c r="H2" s="217"/>
      <c r="I2" s="217"/>
      <c r="J2" s="217"/>
      <c r="K2" s="217"/>
      <c r="L2" s="217"/>
      <c r="M2" s="217"/>
      <c r="N2" s="217"/>
    </row>
    <row r="4" spans="1:14" ht="21.75" customHeight="1" x14ac:dyDescent="0.25">
      <c r="A4" s="218" t="s">
        <v>190</v>
      </c>
      <c r="B4" s="218"/>
      <c r="C4" s="218"/>
      <c r="D4" s="218"/>
    </row>
    <row r="5" spans="1:14" ht="19.5" customHeight="1" x14ac:dyDescent="0.25">
      <c r="A5" s="101" t="s">
        <v>191</v>
      </c>
      <c r="B5" s="219"/>
      <c r="C5" s="219"/>
      <c r="D5" s="219"/>
    </row>
    <row r="6" spans="1:14" ht="19.5" customHeight="1" x14ac:dyDescent="0.25">
      <c r="A6" s="101" t="s">
        <v>192</v>
      </c>
      <c r="B6" s="219"/>
      <c r="C6" s="219"/>
      <c r="D6" s="219"/>
    </row>
    <row r="7" spans="1:14" ht="19.5" customHeight="1" x14ac:dyDescent="0.25">
      <c r="A7" s="102" t="s">
        <v>193</v>
      </c>
      <c r="B7" s="220">
        <v>2.5</v>
      </c>
      <c r="C7" s="220"/>
      <c r="D7" s="220"/>
    </row>
    <row r="8" spans="1:14" ht="19.5" customHeight="1" x14ac:dyDescent="0.25">
      <c r="A8" s="102" t="s">
        <v>194</v>
      </c>
      <c r="B8" s="221" t="str">
        <f>IF(B5="","",B5*B7/100*B6)</f>
        <v/>
      </c>
      <c r="C8" s="221"/>
      <c r="D8" s="221"/>
    </row>
    <row r="9" spans="1:14" ht="19.5" customHeight="1" x14ac:dyDescent="0.25">
      <c r="A9" s="102"/>
      <c r="B9" s="222" t="str">
        <f>IF(B5="","",B5+(B5*B7/100*B6))</f>
        <v/>
      </c>
      <c r="C9" s="222"/>
      <c r="D9" s="222"/>
    </row>
    <row r="10" spans="1:14" ht="19.5" customHeight="1" x14ac:dyDescent="0.25">
      <c r="A10" s="102"/>
      <c r="B10" s="222" t="str">
        <f>IFERROR(B9/B6,"")</f>
        <v/>
      </c>
      <c r="C10" s="222"/>
      <c r="D10" s="222"/>
    </row>
    <row r="11" spans="1:14" ht="7.5" customHeight="1" x14ac:dyDescent="0.25"/>
    <row r="12" spans="1:14" ht="21.75" customHeight="1" x14ac:dyDescent="0.25">
      <c r="A12" s="223"/>
      <c r="B12" s="223"/>
      <c r="C12" s="223"/>
      <c r="D12" s="223"/>
      <c r="E12" s="223"/>
      <c r="F12" s="223"/>
      <c r="G12" s="223"/>
      <c r="H12" s="223"/>
      <c r="I12" s="223"/>
      <c r="J12" s="223"/>
      <c r="K12" s="223"/>
      <c r="L12" s="223"/>
      <c r="M12" s="223"/>
      <c r="N12" s="223"/>
    </row>
    <row r="13" spans="1:14" ht="19.5" customHeight="1" x14ac:dyDescent="0.25">
      <c r="A13" s="103"/>
      <c r="B13" s="103"/>
      <c r="C13" s="103"/>
      <c r="D13" s="103"/>
      <c r="E13" s="103"/>
      <c r="F13" s="103"/>
      <c r="G13" s="103"/>
      <c r="H13" s="103"/>
      <c r="I13" s="103"/>
      <c r="J13" s="103"/>
      <c r="K13" s="103"/>
      <c r="L13" s="103" t="s">
        <v>32</v>
      </c>
      <c r="M13" s="78"/>
      <c r="N13" s="103"/>
    </row>
    <row r="14" spans="1:14" x14ac:dyDescent="0.25">
      <c r="A14" s="92" t="str">
        <f t="shared" ref="A14:A45" si="0">IF(B14="","",IF(C14="❌ Account Not Found","INVALID","LN"&amp;TEXT(D14,"YYYYMMDD")&amp;TEXT(ROW()-13,"0000")))</f>
        <v/>
      </c>
      <c r="B14" s="88"/>
      <c r="C14" s="25" t="str">
        <f>IF(B14="","",IFERROR(VLOOKUP(B14,DB_Customers!$A:$D,4,0),"❌ Account Not Found"))</f>
        <v/>
      </c>
      <c r="D14" s="90" t="str">
        <f t="shared" ref="D14:D45" ca="1" si="1">IF(B14="","",TODAY())</f>
        <v/>
      </c>
      <c r="E14" s="104"/>
      <c r="F14" s="25"/>
      <c r="G14" s="105"/>
      <c r="H14" s="106"/>
      <c r="I14" s="107" t="str">
        <f t="shared" ref="I14:I45" si="2">IF(E14="","",E14+(E14*H14/100*G14))</f>
        <v/>
      </c>
      <c r="J14" s="108" t="str">
        <f t="shared" ref="J14:J45" si="3">IFERROR(I14/G14,"")</f>
        <v/>
      </c>
      <c r="K14" s="109" t="str">
        <f>IF(B14="","Pending",IF(M14="","⚠️ Enter Code",IF(IFERROR(VLOOKUP(L14,DB_Agents!$B:$I,8,0),"")=M14,"Pending","🔒 BLOCKED — Wrong Code")))</f>
        <v>Pending</v>
      </c>
      <c r="L14" s="27" t="s">
        <v>46</v>
      </c>
      <c r="M14" s="84"/>
      <c r="N14" s="94"/>
    </row>
    <row r="15" spans="1:14" x14ac:dyDescent="0.25">
      <c r="A15" s="85" t="str">
        <f t="shared" si="0"/>
        <v/>
      </c>
      <c r="B15" s="79"/>
      <c r="C15" s="21" t="str">
        <f>IF(B15="","",IFERROR(VLOOKUP(B15,DB_Customers!$A:$D,4,0),"❌ Account Not Found"))</f>
        <v/>
      </c>
      <c r="D15" s="81" t="str">
        <f t="shared" ca="1" si="1"/>
        <v/>
      </c>
      <c r="E15" s="104"/>
      <c r="F15" s="21"/>
      <c r="G15" s="110"/>
      <c r="H15" s="111"/>
      <c r="I15" s="107" t="str">
        <f t="shared" si="2"/>
        <v/>
      </c>
      <c r="J15" s="112" t="str">
        <f t="shared" si="3"/>
        <v/>
      </c>
      <c r="K15" s="113" t="str">
        <f>IF(B15="","Pending",IF(M15="","⚠️ Enter Code",IF(IFERROR(VLOOKUP(L15,DB_Agents!$B:$I,8,0),"")=M15,"Pending","🔒 BLOCKED — Wrong Code")))</f>
        <v>Pending</v>
      </c>
      <c r="L15" s="23" t="s">
        <v>46</v>
      </c>
      <c r="M15" s="84"/>
      <c r="N15" s="87"/>
    </row>
    <row r="16" spans="1:14" x14ac:dyDescent="0.25">
      <c r="A16" s="92" t="str">
        <f t="shared" si="0"/>
        <v/>
      </c>
      <c r="B16" s="88"/>
      <c r="C16" s="25" t="str">
        <f>IF(B16="","",IFERROR(VLOOKUP(B16,DB_Customers!$A:$D,4,0),"❌ Account Not Found"))</f>
        <v/>
      </c>
      <c r="D16" s="90" t="str">
        <f t="shared" ca="1" si="1"/>
        <v/>
      </c>
      <c r="E16" s="104"/>
      <c r="F16" s="25"/>
      <c r="G16" s="105"/>
      <c r="H16" s="106"/>
      <c r="I16" s="107" t="str">
        <f t="shared" si="2"/>
        <v/>
      </c>
      <c r="J16" s="108" t="str">
        <f t="shared" si="3"/>
        <v/>
      </c>
      <c r="K16" s="109" t="str">
        <f>IF(B16="","Pending",IF(M16="","⚠️ Enter Code",IF(IFERROR(VLOOKUP(L16,DB_Agents!$B:$I,8,0),"")=M16,"Pending","🔒 BLOCKED — Wrong Code")))</f>
        <v>Pending</v>
      </c>
      <c r="L16" s="27" t="s">
        <v>46</v>
      </c>
      <c r="M16" s="84"/>
      <c r="N16" s="94"/>
    </row>
    <row r="17" spans="1:14" x14ac:dyDescent="0.25">
      <c r="A17" s="85" t="str">
        <f t="shared" si="0"/>
        <v/>
      </c>
      <c r="B17" s="79"/>
      <c r="C17" s="21" t="str">
        <f>IF(B17="","",IFERROR(VLOOKUP(B17,DB_Customers!$A:$D,4,0),"❌ Account Not Found"))</f>
        <v/>
      </c>
      <c r="D17" s="81" t="str">
        <f t="shared" ca="1" si="1"/>
        <v/>
      </c>
      <c r="E17" s="104"/>
      <c r="F17" s="21"/>
      <c r="G17" s="110"/>
      <c r="H17" s="111"/>
      <c r="I17" s="107" t="str">
        <f t="shared" si="2"/>
        <v/>
      </c>
      <c r="J17" s="112" t="str">
        <f t="shared" si="3"/>
        <v/>
      </c>
      <c r="K17" s="113" t="str">
        <f>IF(B17="","Pending",IF(M17="","⚠️ Enter Code",IF(IFERROR(VLOOKUP(L17,DB_Agents!$B:$I,8,0),"")=M17,"Pending","🔒 BLOCKED — Wrong Code")))</f>
        <v>Pending</v>
      </c>
      <c r="L17" s="23" t="s">
        <v>46</v>
      </c>
      <c r="M17" s="84"/>
      <c r="N17" s="87"/>
    </row>
    <row r="18" spans="1:14" x14ac:dyDescent="0.25">
      <c r="A18" s="92" t="str">
        <f t="shared" si="0"/>
        <v/>
      </c>
      <c r="B18" s="88"/>
      <c r="C18" s="25" t="str">
        <f>IF(B18="","",IFERROR(VLOOKUP(B18,DB_Customers!$A:$D,4,0),"❌ Account Not Found"))</f>
        <v/>
      </c>
      <c r="D18" s="90" t="str">
        <f t="shared" ca="1" si="1"/>
        <v/>
      </c>
      <c r="E18" s="104"/>
      <c r="F18" s="25"/>
      <c r="G18" s="105"/>
      <c r="H18" s="106"/>
      <c r="I18" s="107" t="str">
        <f t="shared" si="2"/>
        <v/>
      </c>
      <c r="J18" s="108" t="str">
        <f t="shared" si="3"/>
        <v/>
      </c>
      <c r="K18" s="109" t="str">
        <f>IF(B18="","Pending",IF(M18="","⚠️ Enter Code",IF(IFERROR(VLOOKUP(L18,DB_Agents!$B:$I,8,0),"")=M18,"Pending","🔒 BLOCKED — Wrong Code")))</f>
        <v>Pending</v>
      </c>
      <c r="L18" s="27" t="s">
        <v>46</v>
      </c>
      <c r="M18" s="84"/>
      <c r="N18" s="94"/>
    </row>
    <row r="19" spans="1:14" x14ac:dyDescent="0.25">
      <c r="A19" s="85" t="str">
        <f t="shared" si="0"/>
        <v/>
      </c>
      <c r="B19" s="79"/>
      <c r="C19" s="21" t="str">
        <f>IF(B19="","",IFERROR(VLOOKUP(B19,DB_Customers!$A:$D,4,0),"❌ Account Not Found"))</f>
        <v/>
      </c>
      <c r="D19" s="81" t="str">
        <f t="shared" ca="1" si="1"/>
        <v/>
      </c>
      <c r="E19" s="104"/>
      <c r="F19" s="21"/>
      <c r="G19" s="110"/>
      <c r="H19" s="111"/>
      <c r="I19" s="107" t="str">
        <f t="shared" si="2"/>
        <v/>
      </c>
      <c r="J19" s="112" t="str">
        <f t="shared" si="3"/>
        <v/>
      </c>
      <c r="K19" s="113" t="str">
        <f>IF(B19="","Pending",IF(M19="","⚠️ Enter Code",IF(IFERROR(VLOOKUP(L19,DB_Agents!$B:$I,8,0),"")=M19,"Pending","🔒 BLOCKED — Wrong Code")))</f>
        <v>Pending</v>
      </c>
      <c r="L19" s="23"/>
      <c r="M19" s="84"/>
      <c r="N19" s="87"/>
    </row>
    <row r="20" spans="1:14" x14ac:dyDescent="0.25">
      <c r="A20" s="92" t="str">
        <f t="shared" si="0"/>
        <v/>
      </c>
      <c r="B20" s="88"/>
      <c r="C20" s="25" t="str">
        <f>IF(B20="","",IFERROR(VLOOKUP(B20,DB_Customers!$A:$D,4,0),"❌ Account Not Found"))</f>
        <v/>
      </c>
      <c r="D20" s="90" t="str">
        <f t="shared" ca="1" si="1"/>
        <v/>
      </c>
      <c r="E20" s="104"/>
      <c r="F20" s="25"/>
      <c r="G20" s="105"/>
      <c r="H20" s="106"/>
      <c r="I20" s="107" t="str">
        <f t="shared" si="2"/>
        <v/>
      </c>
      <c r="J20" s="108" t="str">
        <f t="shared" si="3"/>
        <v/>
      </c>
      <c r="K20" s="109" t="str">
        <f>IF(B20="","Pending",IF(M20="","⚠️ Enter Code",IF(IFERROR(VLOOKUP(L20,DB_Agents!$B:$I,8,0),"")=M20,"Pending","🔒 BLOCKED — Wrong Code")))</f>
        <v>Pending</v>
      </c>
      <c r="L20" s="27"/>
      <c r="M20" s="84"/>
      <c r="N20" s="94"/>
    </row>
    <row r="21" spans="1:14" x14ac:dyDescent="0.25">
      <c r="A21" s="85" t="str">
        <f t="shared" si="0"/>
        <v/>
      </c>
      <c r="B21" s="79"/>
      <c r="C21" s="21" t="str">
        <f>IF(B21="","",IFERROR(VLOOKUP(B21,DB_Customers!$A:$D,4,0),"❌ Account Not Found"))</f>
        <v/>
      </c>
      <c r="D21" s="81" t="str">
        <f t="shared" ca="1" si="1"/>
        <v/>
      </c>
      <c r="E21" s="104"/>
      <c r="F21" s="21"/>
      <c r="G21" s="110"/>
      <c r="H21" s="111"/>
      <c r="I21" s="107" t="str">
        <f t="shared" si="2"/>
        <v/>
      </c>
      <c r="J21" s="112" t="str">
        <f t="shared" si="3"/>
        <v/>
      </c>
      <c r="K21" s="113" t="str">
        <f>IF(B21="","Pending",IF(M21="","⚠️ Enter Code",IF(IFERROR(VLOOKUP(L21,DB_Agents!$B:$I,8,0),"")=M21,"Pending","🔒 BLOCKED — Wrong Code")))</f>
        <v>Pending</v>
      </c>
      <c r="L21" s="23"/>
      <c r="M21" s="84"/>
      <c r="N21" s="87"/>
    </row>
    <row r="22" spans="1:14" x14ac:dyDescent="0.25">
      <c r="A22" s="92" t="str">
        <f t="shared" si="0"/>
        <v/>
      </c>
      <c r="B22" s="88"/>
      <c r="C22" s="25" t="str">
        <f>IF(B22="","",IFERROR(VLOOKUP(B22,DB_Customers!$A:$D,4,0),"❌ Account Not Found"))</f>
        <v/>
      </c>
      <c r="D22" s="90" t="str">
        <f t="shared" ca="1" si="1"/>
        <v/>
      </c>
      <c r="E22" s="104"/>
      <c r="F22" s="25"/>
      <c r="G22" s="105"/>
      <c r="H22" s="106"/>
      <c r="I22" s="107" t="str">
        <f t="shared" si="2"/>
        <v/>
      </c>
      <c r="J22" s="108" t="str">
        <f t="shared" si="3"/>
        <v/>
      </c>
      <c r="K22" s="109" t="str">
        <f>IF(B22="","Pending",IF(M22="","⚠️ Enter Code",IF(IFERROR(VLOOKUP(L22,DB_Agents!$B:$I,8,0),"")=M22,"Pending","🔒 BLOCKED — Wrong Code")))</f>
        <v>Pending</v>
      </c>
      <c r="L22" s="27"/>
      <c r="M22" s="84"/>
      <c r="N22" s="94"/>
    </row>
    <row r="23" spans="1:14" x14ac:dyDescent="0.25">
      <c r="A23" s="85" t="str">
        <f t="shared" si="0"/>
        <v/>
      </c>
      <c r="B23" s="79"/>
      <c r="C23" s="21" t="str">
        <f>IF(B23="","",IFERROR(VLOOKUP(B23,DB_Customers!$A:$D,4,0),"❌ Account Not Found"))</f>
        <v/>
      </c>
      <c r="D23" s="81" t="str">
        <f t="shared" ca="1" si="1"/>
        <v/>
      </c>
      <c r="E23" s="104"/>
      <c r="F23" s="21"/>
      <c r="G23" s="110"/>
      <c r="H23" s="111"/>
      <c r="I23" s="107" t="str">
        <f t="shared" si="2"/>
        <v/>
      </c>
      <c r="J23" s="112" t="str">
        <f t="shared" si="3"/>
        <v/>
      </c>
      <c r="K23" s="113" t="str">
        <f>IF(B23="","Pending",IF(M23="","⚠️ Enter Code",IF(IFERROR(VLOOKUP(L23,DB_Agents!$B:$I,8,0),"")=M23,"Pending","🔒 BLOCKED — Wrong Code")))</f>
        <v>Pending</v>
      </c>
      <c r="L23" s="23"/>
      <c r="M23" s="84"/>
      <c r="N23" s="87"/>
    </row>
    <row r="24" spans="1:14" x14ac:dyDescent="0.25">
      <c r="A24" s="92" t="str">
        <f t="shared" si="0"/>
        <v/>
      </c>
      <c r="B24" s="88"/>
      <c r="C24" s="25" t="str">
        <f>IF(B24="","",IFERROR(VLOOKUP(B24,DB_Customers!$A:$D,4,0),"❌ Account Not Found"))</f>
        <v/>
      </c>
      <c r="D24" s="90" t="str">
        <f t="shared" ca="1" si="1"/>
        <v/>
      </c>
      <c r="E24" s="104"/>
      <c r="F24" s="25"/>
      <c r="G24" s="105"/>
      <c r="H24" s="106"/>
      <c r="I24" s="107" t="str">
        <f t="shared" si="2"/>
        <v/>
      </c>
      <c r="J24" s="108" t="str">
        <f t="shared" si="3"/>
        <v/>
      </c>
      <c r="K24" s="109" t="str">
        <f>IF(B24="","Pending",IF(M24="","⚠️ Enter Code",IF(IFERROR(VLOOKUP(L24,DB_Agents!$B:$I,8,0),"")=M24,"Pending","🔒 BLOCKED — Wrong Code")))</f>
        <v>Pending</v>
      </c>
      <c r="L24" s="27"/>
      <c r="M24" s="84"/>
      <c r="N24" s="94"/>
    </row>
    <row r="25" spans="1:14" x14ac:dyDescent="0.25">
      <c r="A25" s="85" t="str">
        <f t="shared" si="0"/>
        <v/>
      </c>
      <c r="B25" s="79"/>
      <c r="C25" s="21" t="str">
        <f>IF(B25="","",IFERROR(VLOOKUP(B25,DB_Customers!$A:$D,4,0),"❌ Account Not Found"))</f>
        <v/>
      </c>
      <c r="D25" s="81" t="str">
        <f t="shared" ca="1" si="1"/>
        <v/>
      </c>
      <c r="E25" s="104"/>
      <c r="F25" s="21"/>
      <c r="G25" s="110"/>
      <c r="H25" s="111"/>
      <c r="I25" s="107" t="str">
        <f t="shared" si="2"/>
        <v/>
      </c>
      <c r="J25" s="112" t="str">
        <f t="shared" si="3"/>
        <v/>
      </c>
      <c r="K25" s="113" t="str">
        <f>IF(B25="","Pending",IF(M25="","⚠️ Enter Code",IF(IFERROR(VLOOKUP(L25,DB_Agents!$B:$I,8,0),"")=M25,"Pending","🔒 BLOCKED — Wrong Code")))</f>
        <v>Pending</v>
      </c>
      <c r="L25" s="23"/>
      <c r="M25" s="84"/>
      <c r="N25" s="87"/>
    </row>
    <row r="26" spans="1:14" x14ac:dyDescent="0.25">
      <c r="A26" s="92" t="str">
        <f t="shared" si="0"/>
        <v/>
      </c>
      <c r="B26" s="88"/>
      <c r="C26" s="25" t="str">
        <f>IF(B26="","",IFERROR(VLOOKUP(B26,DB_Customers!$A:$D,4,0),"❌ Account Not Found"))</f>
        <v/>
      </c>
      <c r="D26" s="90" t="str">
        <f t="shared" ca="1" si="1"/>
        <v/>
      </c>
      <c r="E26" s="104"/>
      <c r="F26" s="25"/>
      <c r="G26" s="105"/>
      <c r="H26" s="106"/>
      <c r="I26" s="107" t="str">
        <f t="shared" si="2"/>
        <v/>
      </c>
      <c r="J26" s="108" t="str">
        <f t="shared" si="3"/>
        <v/>
      </c>
      <c r="K26" s="109" t="str">
        <f>IF(B26="","Pending",IF(M26="","⚠️ Enter Code",IF(IFERROR(VLOOKUP(L26,DB_Agents!$B:$I,8,0),"")=M26,"Pending","🔒 BLOCKED — Wrong Code")))</f>
        <v>Pending</v>
      </c>
      <c r="L26" s="27"/>
      <c r="M26" s="84"/>
      <c r="N26" s="94"/>
    </row>
    <row r="27" spans="1:14" x14ac:dyDescent="0.25">
      <c r="A27" s="85" t="str">
        <f t="shared" si="0"/>
        <v/>
      </c>
      <c r="B27" s="79"/>
      <c r="C27" s="21" t="str">
        <f>IF(B27="","",IFERROR(VLOOKUP(B27,DB_Customers!$A:$D,4,0),"❌ Account Not Found"))</f>
        <v/>
      </c>
      <c r="D27" s="81" t="str">
        <f t="shared" ca="1" si="1"/>
        <v/>
      </c>
      <c r="E27" s="104"/>
      <c r="F27" s="21"/>
      <c r="G27" s="110"/>
      <c r="H27" s="111"/>
      <c r="I27" s="107" t="str">
        <f t="shared" si="2"/>
        <v/>
      </c>
      <c r="J27" s="112" t="str">
        <f t="shared" si="3"/>
        <v/>
      </c>
      <c r="K27" s="113" t="str">
        <f>IF(B27="","Pending",IF(M27="","⚠️ Enter Code",IF(IFERROR(VLOOKUP(L27,DB_Agents!$B:$I,8,0),"")=M27,"Pending","🔒 BLOCKED — Wrong Code")))</f>
        <v>Pending</v>
      </c>
      <c r="L27" s="23"/>
      <c r="M27" s="84"/>
      <c r="N27" s="87"/>
    </row>
    <row r="28" spans="1:14" x14ac:dyDescent="0.25">
      <c r="A28" s="92" t="str">
        <f t="shared" si="0"/>
        <v/>
      </c>
      <c r="B28" s="88"/>
      <c r="C28" s="25" t="str">
        <f>IF(B28="","",IFERROR(VLOOKUP(B28,DB_Customers!$A:$D,4,0),"❌ Account Not Found"))</f>
        <v/>
      </c>
      <c r="D28" s="90" t="str">
        <f t="shared" ca="1" si="1"/>
        <v/>
      </c>
      <c r="E28" s="104"/>
      <c r="F28" s="25"/>
      <c r="G28" s="105"/>
      <c r="H28" s="106"/>
      <c r="I28" s="107" t="str">
        <f t="shared" si="2"/>
        <v/>
      </c>
      <c r="J28" s="108" t="str">
        <f t="shared" si="3"/>
        <v/>
      </c>
      <c r="K28" s="109" t="str">
        <f>IF(B28="","Pending",IF(M28="","⚠️ Enter Code",IF(IFERROR(VLOOKUP(L28,DB_Agents!$B:$I,8,0),"")=M28,"Pending","🔒 BLOCKED — Wrong Code")))</f>
        <v>Pending</v>
      </c>
      <c r="L28" s="27"/>
      <c r="M28" s="84"/>
      <c r="N28" s="94"/>
    </row>
    <row r="29" spans="1:14" x14ac:dyDescent="0.25">
      <c r="A29" s="85" t="str">
        <f t="shared" si="0"/>
        <v/>
      </c>
      <c r="B29" s="79"/>
      <c r="C29" s="21" t="str">
        <f>IF(B29="","",IFERROR(VLOOKUP(B29,DB_Customers!$A:$D,4,0),"❌ Account Not Found"))</f>
        <v/>
      </c>
      <c r="D29" s="81" t="str">
        <f t="shared" ca="1" si="1"/>
        <v/>
      </c>
      <c r="E29" s="104"/>
      <c r="F29" s="21"/>
      <c r="G29" s="110"/>
      <c r="H29" s="111"/>
      <c r="I29" s="107" t="str">
        <f t="shared" si="2"/>
        <v/>
      </c>
      <c r="J29" s="112" t="str">
        <f t="shared" si="3"/>
        <v/>
      </c>
      <c r="K29" s="113" t="str">
        <f>IF(B29="","Pending",IF(M29="","⚠️ Enter Code",IF(IFERROR(VLOOKUP(L29,DB_Agents!$B:$I,8,0),"")=M29,"Pending","🔒 BLOCKED — Wrong Code")))</f>
        <v>Pending</v>
      </c>
      <c r="L29" s="23"/>
      <c r="M29" s="84"/>
      <c r="N29" s="87"/>
    </row>
    <row r="30" spans="1:14" x14ac:dyDescent="0.25">
      <c r="A30" s="92" t="str">
        <f t="shared" si="0"/>
        <v/>
      </c>
      <c r="B30" s="88"/>
      <c r="C30" s="25" t="str">
        <f>IF(B30="","",IFERROR(VLOOKUP(B30,DB_Customers!$A:$D,4,0),"❌ Account Not Found"))</f>
        <v/>
      </c>
      <c r="D30" s="90" t="str">
        <f t="shared" ca="1" si="1"/>
        <v/>
      </c>
      <c r="E30" s="104"/>
      <c r="F30" s="25"/>
      <c r="G30" s="105"/>
      <c r="H30" s="106"/>
      <c r="I30" s="107" t="str">
        <f t="shared" si="2"/>
        <v/>
      </c>
      <c r="J30" s="108" t="str">
        <f t="shared" si="3"/>
        <v/>
      </c>
      <c r="K30" s="109" t="str">
        <f>IF(B30="","Pending",IF(M30="","⚠️ Enter Code",IF(IFERROR(VLOOKUP(L30,DB_Agents!$B:$I,8,0),"")=M30,"Pending","🔒 BLOCKED — Wrong Code")))</f>
        <v>Pending</v>
      </c>
      <c r="L30" s="27"/>
      <c r="M30" s="84"/>
      <c r="N30" s="94"/>
    </row>
    <row r="31" spans="1:14" x14ac:dyDescent="0.25">
      <c r="A31" s="85" t="str">
        <f t="shared" si="0"/>
        <v/>
      </c>
      <c r="B31" s="79"/>
      <c r="C31" s="21" t="str">
        <f>IF(B31="","",IFERROR(VLOOKUP(B31,DB_Customers!$A:$D,4,0),"❌ Account Not Found"))</f>
        <v/>
      </c>
      <c r="D31" s="81" t="str">
        <f t="shared" ca="1" si="1"/>
        <v/>
      </c>
      <c r="E31" s="104"/>
      <c r="F31" s="21"/>
      <c r="G31" s="110"/>
      <c r="H31" s="111"/>
      <c r="I31" s="107" t="str">
        <f t="shared" si="2"/>
        <v/>
      </c>
      <c r="J31" s="112" t="str">
        <f t="shared" si="3"/>
        <v/>
      </c>
      <c r="K31" s="113" t="str">
        <f>IF(B31="","Pending",IF(M31="","⚠️ Enter Code",IF(IFERROR(VLOOKUP(L31,DB_Agents!$B:$I,8,0),"")=M31,"Pending","🔒 BLOCKED — Wrong Code")))</f>
        <v>Pending</v>
      </c>
      <c r="L31" s="23"/>
      <c r="M31" s="84"/>
      <c r="N31" s="87"/>
    </row>
    <row r="32" spans="1:14" x14ac:dyDescent="0.25">
      <c r="A32" s="92" t="str">
        <f t="shared" si="0"/>
        <v/>
      </c>
      <c r="B32" s="88"/>
      <c r="C32" s="25" t="str">
        <f>IF(B32="","",IFERROR(VLOOKUP(B32,DB_Customers!$A:$D,4,0),"❌ Account Not Found"))</f>
        <v/>
      </c>
      <c r="D32" s="90" t="str">
        <f t="shared" ca="1" si="1"/>
        <v/>
      </c>
      <c r="E32" s="104"/>
      <c r="F32" s="25"/>
      <c r="G32" s="105"/>
      <c r="H32" s="106"/>
      <c r="I32" s="107" t="str">
        <f t="shared" si="2"/>
        <v/>
      </c>
      <c r="J32" s="108" t="str">
        <f t="shared" si="3"/>
        <v/>
      </c>
      <c r="K32" s="109" t="str">
        <f>IF(B32="","Pending",IF(M32="","⚠️ Enter Code",IF(IFERROR(VLOOKUP(L32,DB_Agents!$B:$I,8,0),"")=M32,"Pending","🔒 BLOCKED — Wrong Code")))</f>
        <v>Pending</v>
      </c>
      <c r="L32" s="27"/>
      <c r="M32" s="84"/>
      <c r="N32" s="94"/>
    </row>
    <row r="33" spans="1:14" x14ac:dyDescent="0.25">
      <c r="A33" s="85" t="str">
        <f t="shared" si="0"/>
        <v/>
      </c>
      <c r="B33" s="79"/>
      <c r="C33" s="21" t="str">
        <f>IF(B33="","",IFERROR(VLOOKUP(B33,DB_Customers!$A:$D,4,0),"❌ Account Not Found"))</f>
        <v/>
      </c>
      <c r="D33" s="81" t="str">
        <f t="shared" ca="1" si="1"/>
        <v/>
      </c>
      <c r="E33" s="104"/>
      <c r="F33" s="21"/>
      <c r="G33" s="110"/>
      <c r="H33" s="111"/>
      <c r="I33" s="107" t="str">
        <f t="shared" si="2"/>
        <v/>
      </c>
      <c r="J33" s="112" t="str">
        <f t="shared" si="3"/>
        <v/>
      </c>
      <c r="K33" s="113" t="str">
        <f>IF(B33="","Pending",IF(M33="","⚠️ Enter Code",IF(IFERROR(VLOOKUP(L33,DB_Agents!$B:$I,8,0),"")=M33,"Pending","🔒 BLOCKED — Wrong Code")))</f>
        <v>Pending</v>
      </c>
      <c r="L33" s="23"/>
      <c r="M33" s="84"/>
      <c r="N33" s="87"/>
    </row>
    <row r="34" spans="1:14" x14ac:dyDescent="0.25">
      <c r="A34" s="92" t="str">
        <f t="shared" si="0"/>
        <v/>
      </c>
      <c r="B34" s="88"/>
      <c r="C34" s="25" t="str">
        <f>IF(B34="","",IFERROR(VLOOKUP(B34,DB_Customers!$A:$D,4,0),"❌ Account Not Found"))</f>
        <v/>
      </c>
      <c r="D34" s="90" t="str">
        <f t="shared" ca="1" si="1"/>
        <v/>
      </c>
      <c r="E34" s="104"/>
      <c r="F34" s="25"/>
      <c r="G34" s="105"/>
      <c r="H34" s="106"/>
      <c r="I34" s="107" t="str">
        <f t="shared" si="2"/>
        <v/>
      </c>
      <c r="J34" s="108" t="str">
        <f t="shared" si="3"/>
        <v/>
      </c>
      <c r="K34" s="109" t="str">
        <f>IF(B34="","Pending",IF(M34="","⚠️ Enter Code",IF(IFERROR(VLOOKUP(L34,DB_Agents!$B:$I,8,0),"")=M34,"Pending","🔒 BLOCKED — Wrong Code")))</f>
        <v>Pending</v>
      </c>
      <c r="L34" s="27"/>
      <c r="M34" s="84"/>
      <c r="N34" s="94"/>
    </row>
    <row r="35" spans="1:14" x14ac:dyDescent="0.25">
      <c r="A35" s="85" t="str">
        <f t="shared" si="0"/>
        <v/>
      </c>
      <c r="B35" s="79"/>
      <c r="C35" s="21" t="str">
        <f>IF(B35="","",IFERROR(VLOOKUP(B35,DB_Customers!$A:$D,4,0),"❌ Account Not Found"))</f>
        <v/>
      </c>
      <c r="D35" s="81" t="str">
        <f t="shared" ca="1" si="1"/>
        <v/>
      </c>
      <c r="E35" s="104"/>
      <c r="F35" s="21"/>
      <c r="G35" s="110"/>
      <c r="H35" s="111"/>
      <c r="I35" s="107" t="str">
        <f t="shared" si="2"/>
        <v/>
      </c>
      <c r="J35" s="112" t="str">
        <f t="shared" si="3"/>
        <v/>
      </c>
      <c r="K35" s="113" t="str">
        <f>IF(B35="","Pending",IF(M35="","⚠️ Enter Code",IF(IFERROR(VLOOKUP(L35,DB_Agents!$B:$I,8,0),"")=M35,"Pending","🔒 BLOCKED — Wrong Code")))</f>
        <v>Pending</v>
      </c>
      <c r="L35" s="23"/>
      <c r="M35" s="84"/>
      <c r="N35" s="87"/>
    </row>
    <row r="36" spans="1:14" x14ac:dyDescent="0.25">
      <c r="A36" s="92" t="str">
        <f t="shared" si="0"/>
        <v/>
      </c>
      <c r="B36" s="88"/>
      <c r="C36" s="25" t="str">
        <f>IF(B36="","",IFERROR(VLOOKUP(B36,DB_Customers!$A:$D,4,0),"❌ Account Not Found"))</f>
        <v/>
      </c>
      <c r="D36" s="90" t="str">
        <f t="shared" ca="1" si="1"/>
        <v/>
      </c>
      <c r="E36" s="104"/>
      <c r="F36" s="25"/>
      <c r="G36" s="105"/>
      <c r="H36" s="106"/>
      <c r="I36" s="107" t="str">
        <f t="shared" si="2"/>
        <v/>
      </c>
      <c r="J36" s="108" t="str">
        <f t="shared" si="3"/>
        <v/>
      </c>
      <c r="K36" s="109" t="str">
        <f>IF(B36="","Pending",IF(M36="","⚠️ Enter Code",IF(IFERROR(VLOOKUP(L36,DB_Agents!$B:$I,8,0),"")=M36,"Pending","🔒 BLOCKED — Wrong Code")))</f>
        <v>Pending</v>
      </c>
      <c r="L36" s="27"/>
      <c r="M36" s="84"/>
      <c r="N36" s="94"/>
    </row>
    <row r="37" spans="1:14" x14ac:dyDescent="0.25">
      <c r="A37" s="85" t="str">
        <f t="shared" si="0"/>
        <v/>
      </c>
      <c r="B37" s="79"/>
      <c r="C37" s="21" t="str">
        <f>IF(B37="","",IFERROR(VLOOKUP(B37,DB_Customers!$A:$D,4,0),"❌ Account Not Found"))</f>
        <v/>
      </c>
      <c r="D37" s="81" t="str">
        <f t="shared" ca="1" si="1"/>
        <v/>
      </c>
      <c r="E37" s="104"/>
      <c r="F37" s="21"/>
      <c r="G37" s="110"/>
      <c r="H37" s="111"/>
      <c r="I37" s="107" t="str">
        <f t="shared" si="2"/>
        <v/>
      </c>
      <c r="J37" s="112" t="str">
        <f t="shared" si="3"/>
        <v/>
      </c>
      <c r="K37" s="113" t="str">
        <f>IF(B37="","Pending",IF(M37="","⚠️ Enter Code",IF(IFERROR(VLOOKUP(L37,DB_Agents!$B:$I,8,0),"")=M37,"Pending","🔒 BLOCKED — Wrong Code")))</f>
        <v>Pending</v>
      </c>
      <c r="L37" s="23"/>
      <c r="M37" s="84"/>
      <c r="N37" s="87"/>
    </row>
    <row r="38" spans="1:14" x14ac:dyDescent="0.25">
      <c r="A38" s="92" t="str">
        <f t="shared" si="0"/>
        <v/>
      </c>
      <c r="B38" s="88"/>
      <c r="C38" s="25" t="str">
        <f>IF(B38="","",IFERROR(VLOOKUP(B38,DB_Customers!$A:$D,4,0),"❌ Account Not Found"))</f>
        <v/>
      </c>
      <c r="D38" s="90" t="str">
        <f t="shared" ca="1" si="1"/>
        <v/>
      </c>
      <c r="E38" s="104"/>
      <c r="F38" s="25"/>
      <c r="G38" s="105"/>
      <c r="H38" s="106"/>
      <c r="I38" s="107" t="str">
        <f t="shared" si="2"/>
        <v/>
      </c>
      <c r="J38" s="108" t="str">
        <f t="shared" si="3"/>
        <v/>
      </c>
      <c r="K38" s="109" t="str">
        <f>IF(B38="","Pending",IF(M38="","⚠️ Enter Code",IF(IFERROR(VLOOKUP(L38,DB_Agents!$B:$I,8,0),"")=M38,"Pending","🔒 BLOCKED — Wrong Code")))</f>
        <v>Pending</v>
      </c>
      <c r="L38" s="27"/>
      <c r="M38" s="84"/>
      <c r="N38" s="94"/>
    </row>
    <row r="39" spans="1:14" x14ac:dyDescent="0.25">
      <c r="A39" s="85" t="str">
        <f t="shared" si="0"/>
        <v/>
      </c>
      <c r="B39" s="79"/>
      <c r="C39" s="21" t="str">
        <f>IF(B39="","",IFERROR(VLOOKUP(B39,DB_Customers!$A:$D,4,0),"❌ Account Not Found"))</f>
        <v/>
      </c>
      <c r="D39" s="81" t="str">
        <f t="shared" ca="1" si="1"/>
        <v/>
      </c>
      <c r="E39" s="104"/>
      <c r="F39" s="21"/>
      <c r="G39" s="110"/>
      <c r="H39" s="111"/>
      <c r="I39" s="107" t="str">
        <f t="shared" si="2"/>
        <v/>
      </c>
      <c r="J39" s="112" t="str">
        <f t="shared" si="3"/>
        <v/>
      </c>
      <c r="K39" s="113" t="str">
        <f>IF(B39="","Pending",IF(M39="","⚠️ Enter Code",IF(IFERROR(VLOOKUP(L39,DB_Agents!$B:$I,8,0),"")=M39,"Pending","🔒 BLOCKED — Wrong Code")))</f>
        <v>Pending</v>
      </c>
      <c r="L39" s="23"/>
      <c r="M39" s="84"/>
      <c r="N39" s="87"/>
    </row>
    <row r="40" spans="1:14" x14ac:dyDescent="0.25">
      <c r="A40" s="92" t="str">
        <f t="shared" si="0"/>
        <v/>
      </c>
      <c r="B40" s="88"/>
      <c r="C40" s="25" t="str">
        <f>IF(B40="","",IFERROR(VLOOKUP(B40,DB_Customers!$A:$D,4,0),"❌ Account Not Found"))</f>
        <v/>
      </c>
      <c r="D40" s="90" t="str">
        <f t="shared" ca="1" si="1"/>
        <v/>
      </c>
      <c r="E40" s="104"/>
      <c r="F40" s="25"/>
      <c r="G40" s="105"/>
      <c r="H40" s="106"/>
      <c r="I40" s="107" t="str">
        <f t="shared" si="2"/>
        <v/>
      </c>
      <c r="J40" s="108" t="str">
        <f t="shared" si="3"/>
        <v/>
      </c>
      <c r="K40" s="109" t="str">
        <f>IF(B40="","Pending",IF(M40="","⚠️ Enter Code",IF(IFERROR(VLOOKUP(L40,DB_Agents!$B:$I,8,0),"")=M40,"Pending","🔒 BLOCKED — Wrong Code")))</f>
        <v>Pending</v>
      </c>
      <c r="L40" s="27"/>
      <c r="M40" s="84"/>
      <c r="N40" s="94"/>
    </row>
    <row r="41" spans="1:14" x14ac:dyDescent="0.25">
      <c r="A41" s="85" t="str">
        <f t="shared" si="0"/>
        <v/>
      </c>
      <c r="B41" s="79"/>
      <c r="C41" s="21" t="str">
        <f>IF(B41="","",IFERROR(VLOOKUP(B41,DB_Customers!$A:$D,4,0),"❌ Account Not Found"))</f>
        <v/>
      </c>
      <c r="D41" s="81" t="str">
        <f t="shared" ca="1" si="1"/>
        <v/>
      </c>
      <c r="E41" s="104"/>
      <c r="F41" s="21"/>
      <c r="G41" s="110"/>
      <c r="H41" s="111"/>
      <c r="I41" s="107" t="str">
        <f t="shared" si="2"/>
        <v/>
      </c>
      <c r="J41" s="112" t="str">
        <f t="shared" si="3"/>
        <v/>
      </c>
      <c r="K41" s="113" t="str">
        <f>IF(B41="","Pending",IF(M41="","⚠️ Enter Code",IF(IFERROR(VLOOKUP(L41,DB_Agents!$B:$I,8,0),"")=M41,"Pending","🔒 BLOCKED — Wrong Code")))</f>
        <v>Pending</v>
      </c>
      <c r="L41" s="23"/>
      <c r="M41" s="84"/>
      <c r="N41" s="87"/>
    </row>
    <row r="42" spans="1:14" x14ac:dyDescent="0.25">
      <c r="A42" s="92" t="str">
        <f t="shared" si="0"/>
        <v/>
      </c>
      <c r="B42" s="88"/>
      <c r="C42" s="25" t="str">
        <f>IF(B42="","",IFERROR(VLOOKUP(B42,DB_Customers!$A:$D,4,0),"❌ Account Not Found"))</f>
        <v/>
      </c>
      <c r="D42" s="90" t="str">
        <f t="shared" ca="1" si="1"/>
        <v/>
      </c>
      <c r="E42" s="104"/>
      <c r="F42" s="25"/>
      <c r="G42" s="105"/>
      <c r="H42" s="106"/>
      <c r="I42" s="107" t="str">
        <f t="shared" si="2"/>
        <v/>
      </c>
      <c r="J42" s="108" t="str">
        <f t="shared" si="3"/>
        <v/>
      </c>
      <c r="K42" s="109" t="str">
        <f>IF(B42="","Pending",IF(M42="","⚠️ Enter Code",IF(IFERROR(VLOOKUP(L42,DB_Agents!$B:$I,8,0),"")=M42,"Pending","🔒 BLOCKED — Wrong Code")))</f>
        <v>Pending</v>
      </c>
      <c r="L42" s="27"/>
      <c r="M42" s="84"/>
      <c r="N42" s="94"/>
    </row>
    <row r="43" spans="1:14" x14ac:dyDescent="0.25">
      <c r="A43" s="85" t="str">
        <f t="shared" si="0"/>
        <v/>
      </c>
      <c r="B43" s="79"/>
      <c r="C43" s="21" t="str">
        <f>IF(B43="","",IFERROR(VLOOKUP(B43,DB_Customers!$A:$D,4,0),"❌ Account Not Found"))</f>
        <v/>
      </c>
      <c r="D43" s="81" t="str">
        <f t="shared" ca="1" si="1"/>
        <v/>
      </c>
      <c r="E43" s="104"/>
      <c r="F43" s="21"/>
      <c r="G43" s="110"/>
      <c r="H43" s="111"/>
      <c r="I43" s="107" t="str">
        <f t="shared" si="2"/>
        <v/>
      </c>
      <c r="J43" s="112" t="str">
        <f t="shared" si="3"/>
        <v/>
      </c>
      <c r="K43" s="113" t="str">
        <f>IF(B43="","Pending",IF(M43="","⚠️ Enter Code",IF(IFERROR(VLOOKUP(L43,DB_Agents!$B:$I,8,0),"")=M43,"Pending","🔒 BLOCKED — Wrong Code")))</f>
        <v>Pending</v>
      </c>
      <c r="L43" s="23"/>
      <c r="M43" s="84"/>
      <c r="N43" s="87"/>
    </row>
    <row r="44" spans="1:14" x14ac:dyDescent="0.25">
      <c r="A44" s="92" t="str">
        <f t="shared" si="0"/>
        <v/>
      </c>
      <c r="B44" s="88"/>
      <c r="C44" s="25" t="str">
        <f>IF(B44="","",IFERROR(VLOOKUP(B44,DB_Customers!$A:$D,4,0),"❌ Account Not Found"))</f>
        <v/>
      </c>
      <c r="D44" s="90" t="str">
        <f t="shared" ca="1" si="1"/>
        <v/>
      </c>
      <c r="E44" s="104"/>
      <c r="F44" s="25"/>
      <c r="G44" s="105"/>
      <c r="H44" s="106"/>
      <c r="I44" s="107" t="str">
        <f t="shared" si="2"/>
        <v/>
      </c>
      <c r="J44" s="108" t="str">
        <f t="shared" si="3"/>
        <v/>
      </c>
      <c r="K44" s="109" t="str">
        <f>IF(B44="","Pending",IF(M44="","⚠️ Enter Code",IF(IFERROR(VLOOKUP(L44,DB_Agents!$B:$I,8,0),"")=M44,"Pending","🔒 BLOCKED — Wrong Code")))</f>
        <v>Pending</v>
      </c>
      <c r="L44" s="27"/>
      <c r="M44" s="84"/>
      <c r="N44" s="94"/>
    </row>
    <row r="45" spans="1:14" x14ac:dyDescent="0.25">
      <c r="A45" s="85" t="str">
        <f t="shared" si="0"/>
        <v/>
      </c>
      <c r="B45" s="79"/>
      <c r="C45" s="21" t="str">
        <f>IF(B45="","",IFERROR(VLOOKUP(B45,DB_Customers!$A:$D,4,0),"❌ Account Not Found"))</f>
        <v/>
      </c>
      <c r="D45" s="81" t="str">
        <f t="shared" ca="1" si="1"/>
        <v/>
      </c>
      <c r="E45" s="104"/>
      <c r="F45" s="21"/>
      <c r="G45" s="110"/>
      <c r="H45" s="111"/>
      <c r="I45" s="107" t="str">
        <f t="shared" si="2"/>
        <v/>
      </c>
      <c r="J45" s="112" t="str">
        <f t="shared" si="3"/>
        <v/>
      </c>
      <c r="K45" s="113" t="str">
        <f>IF(B45="","Pending",IF(M45="","⚠️ Enter Code",IF(IFERROR(VLOOKUP(L45,DB_Agents!$B:$I,8,0),"")=M45,"Pending","🔒 BLOCKED — Wrong Code")))</f>
        <v>Pending</v>
      </c>
      <c r="L45" s="23"/>
      <c r="M45" s="84"/>
      <c r="N45" s="87"/>
    </row>
    <row r="46" spans="1:14" x14ac:dyDescent="0.25">
      <c r="A46" s="92" t="str">
        <f t="shared" ref="A46:A77" si="4">IF(B46="","",IF(C46="❌ Account Not Found","INVALID","LN"&amp;TEXT(D46,"YYYYMMDD")&amp;TEXT(ROW()-13,"0000")))</f>
        <v/>
      </c>
      <c r="B46" s="88"/>
      <c r="C46" s="25" t="str">
        <f>IF(B46="","",IFERROR(VLOOKUP(B46,DB_Customers!$A:$D,4,0),"❌ Account Not Found"))</f>
        <v/>
      </c>
      <c r="D46" s="90" t="str">
        <f t="shared" ref="D46:D77" ca="1" si="5">IF(B46="","",TODAY())</f>
        <v/>
      </c>
      <c r="E46" s="104"/>
      <c r="F46" s="25"/>
      <c r="G46" s="105"/>
      <c r="H46" s="106"/>
      <c r="I46" s="107" t="str">
        <f t="shared" ref="I46:I77" si="6">IF(E46="","",E46+(E46*H46/100*G46))</f>
        <v/>
      </c>
      <c r="J46" s="108" t="str">
        <f t="shared" ref="J46:J77" si="7">IFERROR(I46/G46,"")</f>
        <v/>
      </c>
      <c r="K46" s="109" t="str">
        <f>IF(B46="","Pending",IF(M46="","⚠️ Enter Code",IF(IFERROR(VLOOKUP(L46,DB_Agents!$B:$I,8,0),"")=M46,"Pending","🔒 BLOCKED — Wrong Code")))</f>
        <v>Pending</v>
      </c>
      <c r="L46" s="27"/>
      <c r="M46" s="84"/>
      <c r="N46" s="94"/>
    </row>
    <row r="47" spans="1:14" x14ac:dyDescent="0.25">
      <c r="A47" s="85" t="str">
        <f t="shared" si="4"/>
        <v/>
      </c>
      <c r="B47" s="79"/>
      <c r="C47" s="21" t="str">
        <f>IF(B47="","",IFERROR(VLOOKUP(B47,DB_Customers!$A:$D,4,0),"❌ Account Not Found"))</f>
        <v/>
      </c>
      <c r="D47" s="81" t="str">
        <f t="shared" ca="1" si="5"/>
        <v/>
      </c>
      <c r="E47" s="104"/>
      <c r="F47" s="21"/>
      <c r="G47" s="110"/>
      <c r="H47" s="111"/>
      <c r="I47" s="107" t="str">
        <f t="shared" si="6"/>
        <v/>
      </c>
      <c r="J47" s="112" t="str">
        <f t="shared" si="7"/>
        <v/>
      </c>
      <c r="K47" s="113" t="str">
        <f>IF(B47="","Pending",IF(M47="","⚠️ Enter Code",IF(IFERROR(VLOOKUP(L47,DB_Agents!$B:$I,8,0),"")=M47,"Pending","🔒 BLOCKED — Wrong Code")))</f>
        <v>Pending</v>
      </c>
      <c r="L47" s="23"/>
      <c r="M47" s="84"/>
      <c r="N47" s="87"/>
    </row>
    <row r="48" spans="1:14" x14ac:dyDescent="0.25">
      <c r="A48" s="92" t="str">
        <f t="shared" si="4"/>
        <v/>
      </c>
      <c r="B48" s="88"/>
      <c r="C48" s="25" t="str">
        <f>IF(B48="","",IFERROR(VLOOKUP(B48,DB_Customers!$A:$D,4,0),"❌ Account Not Found"))</f>
        <v/>
      </c>
      <c r="D48" s="90" t="str">
        <f t="shared" ca="1" si="5"/>
        <v/>
      </c>
      <c r="E48" s="104"/>
      <c r="F48" s="25"/>
      <c r="G48" s="105"/>
      <c r="H48" s="106"/>
      <c r="I48" s="107" t="str">
        <f t="shared" si="6"/>
        <v/>
      </c>
      <c r="J48" s="108" t="str">
        <f t="shared" si="7"/>
        <v/>
      </c>
      <c r="K48" s="109" t="str">
        <f>IF(B48="","Pending",IF(M48="","⚠️ Enter Code",IF(IFERROR(VLOOKUP(L48,DB_Agents!$B:$I,8,0),"")=M48,"Pending","🔒 BLOCKED — Wrong Code")))</f>
        <v>Pending</v>
      </c>
      <c r="L48" s="27"/>
      <c r="M48" s="84"/>
      <c r="N48" s="94"/>
    </row>
    <row r="49" spans="1:14" x14ac:dyDescent="0.25">
      <c r="A49" s="85" t="str">
        <f t="shared" si="4"/>
        <v/>
      </c>
      <c r="B49" s="79"/>
      <c r="C49" s="21" t="str">
        <f>IF(B49="","",IFERROR(VLOOKUP(B49,DB_Customers!$A:$D,4,0),"❌ Account Not Found"))</f>
        <v/>
      </c>
      <c r="D49" s="81" t="str">
        <f t="shared" ca="1" si="5"/>
        <v/>
      </c>
      <c r="E49" s="104"/>
      <c r="F49" s="21"/>
      <c r="G49" s="110"/>
      <c r="H49" s="111"/>
      <c r="I49" s="107" t="str">
        <f t="shared" si="6"/>
        <v/>
      </c>
      <c r="J49" s="112" t="str">
        <f t="shared" si="7"/>
        <v/>
      </c>
      <c r="K49" s="113" t="str">
        <f>IF(B49="","Pending",IF(M49="","⚠️ Enter Code",IF(IFERROR(VLOOKUP(L49,DB_Agents!$B:$I,8,0),"")=M49,"Pending","🔒 BLOCKED — Wrong Code")))</f>
        <v>Pending</v>
      </c>
      <c r="L49" s="23"/>
      <c r="M49" s="84"/>
      <c r="N49" s="87"/>
    </row>
    <row r="50" spans="1:14" x14ac:dyDescent="0.25">
      <c r="A50" s="92" t="str">
        <f t="shared" si="4"/>
        <v/>
      </c>
      <c r="B50" s="88"/>
      <c r="C50" s="25" t="str">
        <f>IF(B50="","",IFERROR(VLOOKUP(B50,DB_Customers!$A:$D,4,0),"❌ Account Not Found"))</f>
        <v/>
      </c>
      <c r="D50" s="90" t="str">
        <f t="shared" ca="1" si="5"/>
        <v/>
      </c>
      <c r="E50" s="104"/>
      <c r="F50" s="25"/>
      <c r="G50" s="105"/>
      <c r="H50" s="106"/>
      <c r="I50" s="107" t="str">
        <f t="shared" si="6"/>
        <v/>
      </c>
      <c r="J50" s="108" t="str">
        <f t="shared" si="7"/>
        <v/>
      </c>
      <c r="K50" s="109" t="str">
        <f>IF(B50="","Pending",IF(M50="","⚠️ Enter Code",IF(IFERROR(VLOOKUP(L50,DB_Agents!$B:$I,8,0),"")=M50,"Pending","🔒 BLOCKED — Wrong Code")))</f>
        <v>Pending</v>
      </c>
      <c r="L50" s="27"/>
      <c r="M50" s="84"/>
      <c r="N50" s="94"/>
    </row>
    <row r="51" spans="1:14" x14ac:dyDescent="0.25">
      <c r="A51" s="85" t="str">
        <f t="shared" si="4"/>
        <v/>
      </c>
      <c r="B51" s="79"/>
      <c r="C51" s="21" t="str">
        <f>IF(B51="","",IFERROR(VLOOKUP(B51,DB_Customers!$A:$D,4,0),"❌ Account Not Found"))</f>
        <v/>
      </c>
      <c r="D51" s="81" t="str">
        <f t="shared" ca="1" si="5"/>
        <v/>
      </c>
      <c r="E51" s="104"/>
      <c r="F51" s="21"/>
      <c r="G51" s="110"/>
      <c r="H51" s="111"/>
      <c r="I51" s="107" t="str">
        <f t="shared" si="6"/>
        <v/>
      </c>
      <c r="J51" s="112" t="str">
        <f t="shared" si="7"/>
        <v/>
      </c>
      <c r="K51" s="113" t="str">
        <f>IF(B51="","Pending",IF(M51="","⚠️ Enter Code",IF(IFERROR(VLOOKUP(L51,DB_Agents!$B:$I,8,0),"")=M51,"Pending","🔒 BLOCKED — Wrong Code")))</f>
        <v>Pending</v>
      </c>
      <c r="L51" s="23"/>
      <c r="M51" s="84"/>
      <c r="N51" s="87"/>
    </row>
    <row r="52" spans="1:14" x14ac:dyDescent="0.25">
      <c r="A52" s="92" t="str">
        <f t="shared" si="4"/>
        <v/>
      </c>
      <c r="B52" s="88"/>
      <c r="C52" s="25" t="str">
        <f>IF(B52="","",IFERROR(VLOOKUP(B52,DB_Customers!$A:$D,4,0),"❌ Account Not Found"))</f>
        <v/>
      </c>
      <c r="D52" s="90" t="str">
        <f t="shared" ca="1" si="5"/>
        <v/>
      </c>
      <c r="E52" s="104"/>
      <c r="F52" s="25"/>
      <c r="G52" s="105"/>
      <c r="H52" s="106"/>
      <c r="I52" s="107" t="str">
        <f t="shared" si="6"/>
        <v/>
      </c>
      <c r="J52" s="108" t="str">
        <f t="shared" si="7"/>
        <v/>
      </c>
      <c r="K52" s="109" t="str">
        <f>IF(B52="","Pending",IF(M52="","⚠️ Enter Code",IF(IFERROR(VLOOKUP(L52,DB_Agents!$B:$I,8,0),"")=M52,"Pending","🔒 BLOCKED — Wrong Code")))</f>
        <v>Pending</v>
      </c>
      <c r="L52" s="27"/>
      <c r="M52" s="84"/>
      <c r="N52" s="94"/>
    </row>
    <row r="53" spans="1:14" x14ac:dyDescent="0.25">
      <c r="A53" s="85" t="str">
        <f t="shared" si="4"/>
        <v/>
      </c>
      <c r="B53" s="79"/>
      <c r="C53" s="21" t="str">
        <f>IF(B53="","",IFERROR(VLOOKUP(B53,DB_Customers!$A:$D,4,0),"❌ Account Not Found"))</f>
        <v/>
      </c>
      <c r="D53" s="81" t="str">
        <f t="shared" ca="1" si="5"/>
        <v/>
      </c>
      <c r="E53" s="104"/>
      <c r="F53" s="21"/>
      <c r="G53" s="110"/>
      <c r="H53" s="111"/>
      <c r="I53" s="107" t="str">
        <f t="shared" si="6"/>
        <v/>
      </c>
      <c r="J53" s="112" t="str">
        <f t="shared" si="7"/>
        <v/>
      </c>
      <c r="K53" s="113" t="str">
        <f>IF(B53="","Pending",IF(M53="","⚠️ Enter Code",IF(IFERROR(VLOOKUP(L53,DB_Agents!$B:$I,8,0),"")=M53,"Pending","🔒 BLOCKED — Wrong Code")))</f>
        <v>Pending</v>
      </c>
      <c r="L53" s="23"/>
      <c r="M53" s="84"/>
      <c r="N53" s="87"/>
    </row>
    <row r="54" spans="1:14" x14ac:dyDescent="0.25">
      <c r="A54" s="92" t="str">
        <f t="shared" si="4"/>
        <v/>
      </c>
      <c r="B54" s="88"/>
      <c r="C54" s="25" t="str">
        <f>IF(B54="","",IFERROR(VLOOKUP(B54,DB_Customers!$A:$D,4,0),"❌ Account Not Found"))</f>
        <v/>
      </c>
      <c r="D54" s="90" t="str">
        <f t="shared" ca="1" si="5"/>
        <v/>
      </c>
      <c r="E54" s="104"/>
      <c r="F54" s="25"/>
      <c r="G54" s="105"/>
      <c r="H54" s="106"/>
      <c r="I54" s="107" t="str">
        <f t="shared" si="6"/>
        <v/>
      </c>
      <c r="J54" s="108" t="str">
        <f t="shared" si="7"/>
        <v/>
      </c>
      <c r="K54" s="109" t="str">
        <f>IF(B54="","Pending",IF(M54="","⚠️ Enter Code",IF(IFERROR(VLOOKUP(L54,DB_Agents!$B:$I,8,0),"")=M54,"Pending","🔒 BLOCKED — Wrong Code")))</f>
        <v>Pending</v>
      </c>
      <c r="L54" s="27"/>
      <c r="M54" s="84"/>
      <c r="N54" s="94"/>
    </row>
    <row r="55" spans="1:14" x14ac:dyDescent="0.25">
      <c r="A55" s="85" t="str">
        <f t="shared" si="4"/>
        <v/>
      </c>
      <c r="B55" s="79"/>
      <c r="C55" s="21" t="str">
        <f>IF(B55="","",IFERROR(VLOOKUP(B55,DB_Customers!$A:$D,4,0),"❌ Account Not Found"))</f>
        <v/>
      </c>
      <c r="D55" s="81" t="str">
        <f t="shared" ca="1" si="5"/>
        <v/>
      </c>
      <c r="E55" s="104"/>
      <c r="F55" s="21"/>
      <c r="G55" s="110"/>
      <c r="H55" s="111"/>
      <c r="I55" s="107" t="str">
        <f t="shared" si="6"/>
        <v/>
      </c>
      <c r="J55" s="112" t="str">
        <f t="shared" si="7"/>
        <v/>
      </c>
      <c r="K55" s="113" t="str">
        <f>IF(B55="","Pending",IF(M55="","⚠️ Enter Code",IF(IFERROR(VLOOKUP(L55,DB_Agents!$B:$I,8,0),"")=M55,"Pending","🔒 BLOCKED — Wrong Code")))</f>
        <v>Pending</v>
      </c>
      <c r="L55" s="23"/>
      <c r="M55" s="84"/>
      <c r="N55" s="87"/>
    </row>
    <row r="56" spans="1:14" x14ac:dyDescent="0.25">
      <c r="A56" s="92" t="str">
        <f t="shared" si="4"/>
        <v/>
      </c>
      <c r="B56" s="88"/>
      <c r="C56" s="25" t="str">
        <f>IF(B56="","",IFERROR(VLOOKUP(B56,DB_Customers!$A:$D,4,0),"❌ Account Not Found"))</f>
        <v/>
      </c>
      <c r="D56" s="90" t="str">
        <f t="shared" ca="1" si="5"/>
        <v/>
      </c>
      <c r="E56" s="104"/>
      <c r="F56" s="25"/>
      <c r="G56" s="105"/>
      <c r="H56" s="106"/>
      <c r="I56" s="107" t="str">
        <f t="shared" si="6"/>
        <v/>
      </c>
      <c r="J56" s="108" t="str">
        <f t="shared" si="7"/>
        <v/>
      </c>
      <c r="K56" s="109" t="str">
        <f>IF(B56="","Pending",IF(M56="","⚠️ Enter Code",IF(IFERROR(VLOOKUP(L56,DB_Agents!$B:$I,8,0),"")=M56,"Pending","🔒 BLOCKED — Wrong Code")))</f>
        <v>Pending</v>
      </c>
      <c r="L56" s="27"/>
      <c r="M56" s="84"/>
      <c r="N56" s="94"/>
    </row>
    <row r="57" spans="1:14" x14ac:dyDescent="0.25">
      <c r="A57" s="85" t="str">
        <f t="shared" si="4"/>
        <v/>
      </c>
      <c r="B57" s="79"/>
      <c r="C57" s="21" t="str">
        <f>IF(B57="","",IFERROR(VLOOKUP(B57,DB_Customers!$A:$D,4,0),"❌ Account Not Found"))</f>
        <v/>
      </c>
      <c r="D57" s="81" t="str">
        <f t="shared" ca="1" si="5"/>
        <v/>
      </c>
      <c r="E57" s="104"/>
      <c r="F57" s="21"/>
      <c r="G57" s="110"/>
      <c r="H57" s="111"/>
      <c r="I57" s="107" t="str">
        <f t="shared" si="6"/>
        <v/>
      </c>
      <c r="J57" s="112" t="str">
        <f t="shared" si="7"/>
        <v/>
      </c>
      <c r="K57" s="113" t="str">
        <f>IF(B57="","Pending",IF(M57="","⚠️ Enter Code",IF(IFERROR(VLOOKUP(L57,DB_Agents!$B:$I,8,0),"")=M57,"Pending","🔒 BLOCKED — Wrong Code")))</f>
        <v>Pending</v>
      </c>
      <c r="L57" s="23"/>
      <c r="M57" s="84"/>
      <c r="N57" s="87"/>
    </row>
    <row r="58" spans="1:14" x14ac:dyDescent="0.25">
      <c r="A58" s="92" t="str">
        <f t="shared" si="4"/>
        <v/>
      </c>
      <c r="B58" s="88"/>
      <c r="C58" s="25" t="str">
        <f>IF(B58="","",IFERROR(VLOOKUP(B58,DB_Customers!$A:$D,4,0),"❌ Account Not Found"))</f>
        <v/>
      </c>
      <c r="D58" s="90" t="str">
        <f t="shared" ca="1" si="5"/>
        <v/>
      </c>
      <c r="E58" s="104"/>
      <c r="F58" s="25"/>
      <c r="G58" s="105"/>
      <c r="H58" s="106"/>
      <c r="I58" s="107" t="str">
        <f t="shared" si="6"/>
        <v/>
      </c>
      <c r="J58" s="108" t="str">
        <f t="shared" si="7"/>
        <v/>
      </c>
      <c r="K58" s="109" t="str">
        <f>IF(B58="","Pending",IF(M58="","⚠️ Enter Code",IF(IFERROR(VLOOKUP(L58,DB_Agents!$B:$I,8,0),"")=M58,"Pending","🔒 BLOCKED — Wrong Code")))</f>
        <v>Pending</v>
      </c>
      <c r="L58" s="27"/>
      <c r="M58" s="84"/>
      <c r="N58" s="94"/>
    </row>
    <row r="59" spans="1:14" x14ac:dyDescent="0.25">
      <c r="A59" s="85" t="str">
        <f t="shared" si="4"/>
        <v/>
      </c>
      <c r="B59" s="79"/>
      <c r="C59" s="21" t="str">
        <f>IF(B59="","",IFERROR(VLOOKUP(B59,DB_Customers!$A:$D,4,0),"❌ Account Not Found"))</f>
        <v/>
      </c>
      <c r="D59" s="81" t="str">
        <f t="shared" ca="1" si="5"/>
        <v/>
      </c>
      <c r="E59" s="104"/>
      <c r="F59" s="21"/>
      <c r="G59" s="110"/>
      <c r="H59" s="111"/>
      <c r="I59" s="107" t="str">
        <f t="shared" si="6"/>
        <v/>
      </c>
      <c r="J59" s="112" t="str">
        <f t="shared" si="7"/>
        <v/>
      </c>
      <c r="K59" s="113" t="str">
        <f>IF(B59="","Pending",IF(M59="","⚠️ Enter Code",IF(IFERROR(VLOOKUP(L59,DB_Agents!$B:$I,8,0),"")=M59,"Pending","🔒 BLOCKED — Wrong Code")))</f>
        <v>Pending</v>
      </c>
      <c r="L59" s="23"/>
      <c r="M59" s="84"/>
      <c r="N59" s="87"/>
    </row>
    <row r="60" spans="1:14" x14ac:dyDescent="0.25">
      <c r="A60" s="92" t="str">
        <f t="shared" si="4"/>
        <v/>
      </c>
      <c r="B60" s="88"/>
      <c r="C60" s="25" t="str">
        <f>IF(B60="","",IFERROR(VLOOKUP(B60,DB_Customers!$A:$D,4,0),"❌ Account Not Found"))</f>
        <v/>
      </c>
      <c r="D60" s="90" t="str">
        <f t="shared" ca="1" si="5"/>
        <v/>
      </c>
      <c r="E60" s="104"/>
      <c r="F60" s="25"/>
      <c r="G60" s="105"/>
      <c r="H60" s="106"/>
      <c r="I60" s="107" t="str">
        <f t="shared" si="6"/>
        <v/>
      </c>
      <c r="J60" s="108" t="str">
        <f t="shared" si="7"/>
        <v/>
      </c>
      <c r="K60" s="109" t="str">
        <f>IF(B60="","Pending",IF(M60="","⚠️ Enter Code",IF(IFERROR(VLOOKUP(L60,DB_Agents!$B:$I,8,0),"")=M60,"Pending","🔒 BLOCKED — Wrong Code")))</f>
        <v>Pending</v>
      </c>
      <c r="L60" s="27"/>
      <c r="M60" s="84"/>
      <c r="N60" s="94"/>
    </row>
    <row r="61" spans="1:14" x14ac:dyDescent="0.25">
      <c r="A61" s="85" t="str">
        <f t="shared" si="4"/>
        <v/>
      </c>
      <c r="B61" s="79"/>
      <c r="C61" s="21" t="str">
        <f>IF(B61="","",IFERROR(VLOOKUP(B61,DB_Customers!$A:$D,4,0),"❌ Account Not Found"))</f>
        <v/>
      </c>
      <c r="D61" s="81" t="str">
        <f t="shared" ca="1" si="5"/>
        <v/>
      </c>
      <c r="E61" s="104"/>
      <c r="F61" s="21"/>
      <c r="G61" s="110"/>
      <c r="H61" s="111"/>
      <c r="I61" s="107" t="str">
        <f t="shared" si="6"/>
        <v/>
      </c>
      <c r="J61" s="112" t="str">
        <f t="shared" si="7"/>
        <v/>
      </c>
      <c r="K61" s="113" t="str">
        <f>IF(B61="","Pending",IF(M61="","⚠️ Enter Code",IF(IFERROR(VLOOKUP(L61,DB_Agents!$B:$I,8,0),"")=M61,"Pending","🔒 BLOCKED — Wrong Code")))</f>
        <v>Pending</v>
      </c>
      <c r="L61" s="23"/>
      <c r="M61" s="84"/>
      <c r="N61" s="87"/>
    </row>
    <row r="62" spans="1:14" x14ac:dyDescent="0.25">
      <c r="A62" s="92" t="str">
        <f t="shared" si="4"/>
        <v/>
      </c>
      <c r="B62" s="88"/>
      <c r="C62" s="25" t="str">
        <f>IF(B62="","",IFERROR(VLOOKUP(B62,DB_Customers!$A:$D,4,0),"❌ Account Not Found"))</f>
        <v/>
      </c>
      <c r="D62" s="90" t="str">
        <f t="shared" ca="1" si="5"/>
        <v/>
      </c>
      <c r="E62" s="104"/>
      <c r="F62" s="25"/>
      <c r="G62" s="105"/>
      <c r="H62" s="106"/>
      <c r="I62" s="107" t="str">
        <f t="shared" si="6"/>
        <v/>
      </c>
      <c r="J62" s="108" t="str">
        <f t="shared" si="7"/>
        <v/>
      </c>
      <c r="K62" s="109" t="str">
        <f>IF(B62="","Pending",IF(M62="","⚠️ Enter Code",IF(IFERROR(VLOOKUP(L62,DB_Agents!$B:$I,8,0),"")=M62,"Pending","🔒 BLOCKED — Wrong Code")))</f>
        <v>Pending</v>
      </c>
      <c r="L62" s="27"/>
      <c r="M62" s="84"/>
      <c r="N62" s="94"/>
    </row>
    <row r="63" spans="1:14" x14ac:dyDescent="0.25">
      <c r="A63" s="85" t="str">
        <f t="shared" si="4"/>
        <v/>
      </c>
      <c r="B63" s="79"/>
      <c r="C63" s="21" t="str">
        <f>IF(B63="","",IFERROR(VLOOKUP(B63,DB_Customers!$A:$D,4,0),"❌ Account Not Found"))</f>
        <v/>
      </c>
      <c r="D63" s="81" t="str">
        <f t="shared" ca="1" si="5"/>
        <v/>
      </c>
      <c r="E63" s="104"/>
      <c r="F63" s="21"/>
      <c r="G63" s="110"/>
      <c r="H63" s="111"/>
      <c r="I63" s="107" t="str">
        <f t="shared" si="6"/>
        <v/>
      </c>
      <c r="J63" s="112" t="str">
        <f t="shared" si="7"/>
        <v/>
      </c>
      <c r="K63" s="113" t="str">
        <f>IF(B63="","Pending",IF(M63="","⚠️ Enter Code",IF(IFERROR(VLOOKUP(L63,DB_Agents!$B:$I,8,0),"")=M63,"Pending","🔒 BLOCKED — Wrong Code")))</f>
        <v>Pending</v>
      </c>
      <c r="L63" s="23"/>
      <c r="M63" s="84"/>
      <c r="N63" s="87"/>
    </row>
    <row r="64" spans="1:14" x14ac:dyDescent="0.25">
      <c r="A64" s="92" t="str">
        <f t="shared" si="4"/>
        <v/>
      </c>
      <c r="B64" s="88"/>
      <c r="C64" s="25" t="str">
        <f>IF(B64="","",IFERROR(VLOOKUP(B64,DB_Customers!$A:$D,4,0),"❌ Account Not Found"))</f>
        <v/>
      </c>
      <c r="D64" s="90" t="str">
        <f t="shared" ca="1" si="5"/>
        <v/>
      </c>
      <c r="E64" s="104"/>
      <c r="F64" s="25"/>
      <c r="G64" s="105"/>
      <c r="H64" s="106"/>
      <c r="I64" s="107" t="str">
        <f t="shared" si="6"/>
        <v/>
      </c>
      <c r="J64" s="108" t="str">
        <f t="shared" si="7"/>
        <v/>
      </c>
      <c r="K64" s="109" t="str">
        <f>IF(B64="","Pending",IF(M64="","⚠️ Enter Code",IF(IFERROR(VLOOKUP(L64,DB_Agents!$B:$I,8,0),"")=M64,"Pending","🔒 BLOCKED — Wrong Code")))</f>
        <v>Pending</v>
      </c>
      <c r="L64" s="27"/>
      <c r="M64" s="84"/>
      <c r="N64" s="94"/>
    </row>
    <row r="65" spans="1:14" x14ac:dyDescent="0.25">
      <c r="A65" s="85" t="str">
        <f t="shared" si="4"/>
        <v/>
      </c>
      <c r="B65" s="79"/>
      <c r="C65" s="21" t="str">
        <f>IF(B65="","",IFERROR(VLOOKUP(B65,DB_Customers!$A:$D,4,0),"❌ Account Not Found"))</f>
        <v/>
      </c>
      <c r="D65" s="81" t="str">
        <f t="shared" ca="1" si="5"/>
        <v/>
      </c>
      <c r="E65" s="104"/>
      <c r="F65" s="21"/>
      <c r="G65" s="110"/>
      <c r="H65" s="111"/>
      <c r="I65" s="107" t="str">
        <f t="shared" si="6"/>
        <v/>
      </c>
      <c r="J65" s="112" t="str">
        <f t="shared" si="7"/>
        <v/>
      </c>
      <c r="K65" s="113" t="str">
        <f>IF(B65="","Pending",IF(M65="","⚠️ Enter Code",IF(IFERROR(VLOOKUP(L65,DB_Agents!$B:$I,8,0),"")=M65,"Pending","🔒 BLOCKED — Wrong Code")))</f>
        <v>Pending</v>
      </c>
      <c r="L65" s="23"/>
      <c r="M65" s="84"/>
      <c r="N65" s="87"/>
    </row>
    <row r="66" spans="1:14" x14ac:dyDescent="0.25">
      <c r="A66" s="92" t="str">
        <f t="shared" si="4"/>
        <v/>
      </c>
      <c r="B66" s="88"/>
      <c r="C66" s="25" t="str">
        <f>IF(B66="","",IFERROR(VLOOKUP(B66,DB_Customers!$A:$D,4,0),"❌ Account Not Found"))</f>
        <v/>
      </c>
      <c r="D66" s="90" t="str">
        <f t="shared" ca="1" si="5"/>
        <v/>
      </c>
      <c r="E66" s="104"/>
      <c r="F66" s="25"/>
      <c r="G66" s="105"/>
      <c r="H66" s="106"/>
      <c r="I66" s="107" t="str">
        <f t="shared" si="6"/>
        <v/>
      </c>
      <c r="J66" s="108" t="str">
        <f t="shared" si="7"/>
        <v/>
      </c>
      <c r="K66" s="109" t="str">
        <f>IF(B66="","Pending",IF(M66="","⚠️ Enter Code",IF(IFERROR(VLOOKUP(L66,DB_Agents!$B:$I,8,0),"")=M66,"Pending","🔒 BLOCKED — Wrong Code")))</f>
        <v>Pending</v>
      </c>
      <c r="L66" s="27"/>
      <c r="M66" s="84"/>
      <c r="N66" s="94"/>
    </row>
    <row r="67" spans="1:14" x14ac:dyDescent="0.25">
      <c r="A67" s="85" t="str">
        <f t="shared" si="4"/>
        <v/>
      </c>
      <c r="B67" s="79"/>
      <c r="C67" s="21" t="str">
        <f>IF(B67="","",IFERROR(VLOOKUP(B67,DB_Customers!$A:$D,4,0),"❌ Account Not Found"))</f>
        <v/>
      </c>
      <c r="D67" s="81" t="str">
        <f t="shared" ca="1" si="5"/>
        <v/>
      </c>
      <c r="E67" s="104"/>
      <c r="F67" s="21"/>
      <c r="G67" s="110"/>
      <c r="H67" s="111"/>
      <c r="I67" s="107" t="str">
        <f t="shared" si="6"/>
        <v/>
      </c>
      <c r="J67" s="112" t="str">
        <f t="shared" si="7"/>
        <v/>
      </c>
      <c r="K67" s="113" t="str">
        <f>IF(B67="","Pending",IF(M67="","⚠️ Enter Code",IF(IFERROR(VLOOKUP(L67,DB_Agents!$B:$I,8,0),"")=M67,"Pending","🔒 BLOCKED — Wrong Code")))</f>
        <v>Pending</v>
      </c>
      <c r="L67" s="23"/>
      <c r="M67" s="84"/>
      <c r="N67" s="87"/>
    </row>
    <row r="68" spans="1:14" x14ac:dyDescent="0.25">
      <c r="A68" s="92" t="str">
        <f t="shared" si="4"/>
        <v/>
      </c>
      <c r="B68" s="88"/>
      <c r="C68" s="25" t="str">
        <f>IF(B68="","",IFERROR(VLOOKUP(B68,DB_Customers!$A:$D,4,0),"❌ Account Not Found"))</f>
        <v/>
      </c>
      <c r="D68" s="90" t="str">
        <f t="shared" ca="1" si="5"/>
        <v/>
      </c>
      <c r="E68" s="104"/>
      <c r="F68" s="25"/>
      <c r="G68" s="105"/>
      <c r="H68" s="106"/>
      <c r="I68" s="107" t="str">
        <f t="shared" si="6"/>
        <v/>
      </c>
      <c r="J68" s="108" t="str">
        <f t="shared" si="7"/>
        <v/>
      </c>
      <c r="K68" s="109" t="str">
        <f>IF(B68="","Pending",IF(M68="","⚠️ Enter Code",IF(IFERROR(VLOOKUP(L68,DB_Agents!$B:$I,8,0),"")=M68,"Pending","🔒 BLOCKED — Wrong Code")))</f>
        <v>Pending</v>
      </c>
      <c r="L68" s="27"/>
      <c r="M68" s="84"/>
      <c r="N68" s="94"/>
    </row>
    <row r="69" spans="1:14" x14ac:dyDescent="0.25">
      <c r="A69" s="85" t="str">
        <f t="shared" si="4"/>
        <v/>
      </c>
      <c r="B69" s="79"/>
      <c r="C69" s="21" t="str">
        <f>IF(B69="","",IFERROR(VLOOKUP(B69,DB_Customers!$A:$D,4,0),"❌ Account Not Found"))</f>
        <v/>
      </c>
      <c r="D69" s="81" t="str">
        <f t="shared" ca="1" si="5"/>
        <v/>
      </c>
      <c r="E69" s="104"/>
      <c r="F69" s="21"/>
      <c r="G69" s="110"/>
      <c r="H69" s="111"/>
      <c r="I69" s="107" t="str">
        <f t="shared" si="6"/>
        <v/>
      </c>
      <c r="J69" s="112" t="str">
        <f t="shared" si="7"/>
        <v/>
      </c>
      <c r="K69" s="113" t="str">
        <f>IF(B69="","Pending",IF(M69="","⚠️ Enter Code",IF(IFERROR(VLOOKUP(L69,DB_Agents!$B:$I,8,0),"")=M69,"Pending","🔒 BLOCKED — Wrong Code")))</f>
        <v>Pending</v>
      </c>
      <c r="L69" s="23"/>
      <c r="M69" s="84"/>
      <c r="N69" s="87"/>
    </row>
    <row r="70" spans="1:14" x14ac:dyDescent="0.25">
      <c r="A70" s="92" t="str">
        <f t="shared" si="4"/>
        <v/>
      </c>
      <c r="B70" s="88"/>
      <c r="C70" s="25" t="str">
        <f>IF(B70="","",IFERROR(VLOOKUP(B70,DB_Customers!$A:$D,4,0),"❌ Account Not Found"))</f>
        <v/>
      </c>
      <c r="D70" s="90" t="str">
        <f t="shared" ca="1" si="5"/>
        <v/>
      </c>
      <c r="E70" s="104"/>
      <c r="F70" s="25"/>
      <c r="G70" s="105"/>
      <c r="H70" s="106"/>
      <c r="I70" s="107" t="str">
        <f t="shared" si="6"/>
        <v/>
      </c>
      <c r="J70" s="108" t="str">
        <f t="shared" si="7"/>
        <v/>
      </c>
      <c r="K70" s="109" t="str">
        <f>IF(B70="","Pending",IF(M70="","⚠️ Enter Code",IF(IFERROR(VLOOKUP(L70,DB_Agents!$B:$I,8,0),"")=M70,"Pending","🔒 BLOCKED — Wrong Code")))</f>
        <v>Pending</v>
      </c>
      <c r="L70" s="27"/>
      <c r="M70" s="84"/>
      <c r="N70" s="94"/>
    </row>
    <row r="71" spans="1:14" x14ac:dyDescent="0.25">
      <c r="A71" s="85" t="str">
        <f t="shared" si="4"/>
        <v/>
      </c>
      <c r="B71" s="79"/>
      <c r="C71" s="21" t="str">
        <f>IF(B71="","",IFERROR(VLOOKUP(B71,DB_Customers!$A:$D,4,0),"❌ Account Not Found"))</f>
        <v/>
      </c>
      <c r="D71" s="81" t="str">
        <f t="shared" ca="1" si="5"/>
        <v/>
      </c>
      <c r="E71" s="104"/>
      <c r="F71" s="21"/>
      <c r="G71" s="110"/>
      <c r="H71" s="111"/>
      <c r="I71" s="107" t="str">
        <f t="shared" si="6"/>
        <v/>
      </c>
      <c r="J71" s="112" t="str">
        <f t="shared" si="7"/>
        <v/>
      </c>
      <c r="K71" s="113" t="str">
        <f>IF(B71="","Pending",IF(M71="","⚠️ Enter Code",IF(IFERROR(VLOOKUP(L71,DB_Agents!$B:$I,8,0),"")=M71,"Pending","🔒 BLOCKED — Wrong Code")))</f>
        <v>Pending</v>
      </c>
      <c r="L71" s="23"/>
      <c r="M71" s="84"/>
      <c r="N71" s="87"/>
    </row>
    <row r="72" spans="1:14" x14ac:dyDescent="0.25">
      <c r="A72" s="92" t="str">
        <f t="shared" si="4"/>
        <v/>
      </c>
      <c r="B72" s="88"/>
      <c r="C72" s="25" t="str">
        <f>IF(B72="","",IFERROR(VLOOKUP(B72,DB_Customers!$A:$D,4,0),"❌ Account Not Found"))</f>
        <v/>
      </c>
      <c r="D72" s="90" t="str">
        <f t="shared" ca="1" si="5"/>
        <v/>
      </c>
      <c r="E72" s="104"/>
      <c r="F72" s="25"/>
      <c r="G72" s="105"/>
      <c r="H72" s="106"/>
      <c r="I72" s="107" t="str">
        <f t="shared" si="6"/>
        <v/>
      </c>
      <c r="J72" s="108" t="str">
        <f t="shared" si="7"/>
        <v/>
      </c>
      <c r="K72" s="109" t="str">
        <f>IF(B72="","Pending",IF(M72="","⚠️ Enter Code",IF(IFERROR(VLOOKUP(L72,DB_Agents!$B:$I,8,0),"")=M72,"Pending","🔒 BLOCKED — Wrong Code")))</f>
        <v>Pending</v>
      </c>
      <c r="L72" s="27"/>
      <c r="M72" s="84"/>
      <c r="N72" s="94"/>
    </row>
    <row r="73" spans="1:14" x14ac:dyDescent="0.25">
      <c r="A73" s="85" t="str">
        <f t="shared" si="4"/>
        <v/>
      </c>
      <c r="B73" s="79"/>
      <c r="C73" s="21" t="str">
        <f>IF(B73="","",IFERROR(VLOOKUP(B73,DB_Customers!$A:$D,4,0),"❌ Account Not Found"))</f>
        <v/>
      </c>
      <c r="D73" s="81" t="str">
        <f t="shared" ca="1" si="5"/>
        <v/>
      </c>
      <c r="E73" s="104"/>
      <c r="F73" s="21"/>
      <c r="G73" s="110"/>
      <c r="H73" s="111"/>
      <c r="I73" s="107" t="str">
        <f t="shared" si="6"/>
        <v/>
      </c>
      <c r="J73" s="112" t="str">
        <f t="shared" si="7"/>
        <v/>
      </c>
      <c r="K73" s="113" t="str">
        <f>IF(B73="","Pending",IF(M73="","⚠️ Enter Code",IF(IFERROR(VLOOKUP(L73,DB_Agents!$B:$I,8,0),"")=M73,"Pending","🔒 BLOCKED — Wrong Code")))</f>
        <v>Pending</v>
      </c>
      <c r="L73" s="23"/>
      <c r="M73" s="84"/>
      <c r="N73" s="87"/>
    </row>
    <row r="74" spans="1:14" x14ac:dyDescent="0.25">
      <c r="A74" s="92" t="str">
        <f t="shared" si="4"/>
        <v/>
      </c>
      <c r="B74" s="88"/>
      <c r="C74" s="25" t="str">
        <f>IF(B74="","",IFERROR(VLOOKUP(B74,DB_Customers!$A:$D,4,0),"❌ Account Not Found"))</f>
        <v/>
      </c>
      <c r="D74" s="90" t="str">
        <f t="shared" ca="1" si="5"/>
        <v/>
      </c>
      <c r="E74" s="104"/>
      <c r="F74" s="25"/>
      <c r="G74" s="105"/>
      <c r="H74" s="106"/>
      <c r="I74" s="107" t="str">
        <f t="shared" si="6"/>
        <v/>
      </c>
      <c r="J74" s="108" t="str">
        <f t="shared" si="7"/>
        <v/>
      </c>
      <c r="K74" s="109" t="str">
        <f>IF(B74="","Pending",IF(M74="","⚠️ Enter Code",IF(IFERROR(VLOOKUP(L74,DB_Agents!$B:$I,8,0),"")=M74,"Pending","🔒 BLOCKED — Wrong Code")))</f>
        <v>Pending</v>
      </c>
      <c r="L74" s="27"/>
      <c r="M74" s="84"/>
      <c r="N74" s="94"/>
    </row>
    <row r="75" spans="1:14" x14ac:dyDescent="0.25">
      <c r="A75" s="85" t="str">
        <f t="shared" si="4"/>
        <v/>
      </c>
      <c r="B75" s="79"/>
      <c r="C75" s="21" t="str">
        <f>IF(B75="","",IFERROR(VLOOKUP(B75,DB_Customers!$A:$D,4,0),"❌ Account Not Found"))</f>
        <v/>
      </c>
      <c r="D75" s="81" t="str">
        <f t="shared" ca="1" si="5"/>
        <v/>
      </c>
      <c r="E75" s="104"/>
      <c r="F75" s="21"/>
      <c r="G75" s="110"/>
      <c r="H75" s="111"/>
      <c r="I75" s="107" t="str">
        <f t="shared" si="6"/>
        <v/>
      </c>
      <c r="J75" s="112" t="str">
        <f t="shared" si="7"/>
        <v/>
      </c>
      <c r="K75" s="113" t="str">
        <f>IF(B75="","Pending",IF(M75="","⚠️ Enter Code",IF(IFERROR(VLOOKUP(L75,DB_Agents!$B:$I,8,0),"")=M75,"Pending","🔒 BLOCKED — Wrong Code")))</f>
        <v>Pending</v>
      </c>
      <c r="L75" s="23"/>
      <c r="M75" s="84"/>
      <c r="N75" s="87"/>
    </row>
    <row r="76" spans="1:14" x14ac:dyDescent="0.25">
      <c r="A76" s="92" t="str">
        <f t="shared" si="4"/>
        <v/>
      </c>
      <c r="B76" s="88"/>
      <c r="C76" s="25" t="str">
        <f>IF(B76="","",IFERROR(VLOOKUP(B76,DB_Customers!$A:$D,4,0),"❌ Account Not Found"))</f>
        <v/>
      </c>
      <c r="D76" s="90" t="str">
        <f t="shared" ca="1" si="5"/>
        <v/>
      </c>
      <c r="E76" s="104"/>
      <c r="F76" s="25"/>
      <c r="G76" s="105"/>
      <c r="H76" s="106"/>
      <c r="I76" s="107" t="str">
        <f t="shared" si="6"/>
        <v/>
      </c>
      <c r="J76" s="108" t="str">
        <f t="shared" si="7"/>
        <v/>
      </c>
      <c r="K76" s="109" t="str">
        <f>IF(B76="","Pending",IF(M76="","⚠️ Enter Code",IF(IFERROR(VLOOKUP(L76,DB_Agents!$B:$I,8,0),"")=M76,"Pending","🔒 BLOCKED — Wrong Code")))</f>
        <v>Pending</v>
      </c>
      <c r="L76" s="27"/>
      <c r="M76" s="84"/>
      <c r="N76" s="94"/>
    </row>
    <row r="77" spans="1:14" x14ac:dyDescent="0.25">
      <c r="A77" s="85" t="str">
        <f t="shared" si="4"/>
        <v/>
      </c>
      <c r="B77" s="79"/>
      <c r="C77" s="21" t="str">
        <f>IF(B77="","",IFERROR(VLOOKUP(B77,DB_Customers!$A:$D,4,0),"❌ Account Not Found"))</f>
        <v/>
      </c>
      <c r="D77" s="81" t="str">
        <f t="shared" ca="1" si="5"/>
        <v/>
      </c>
      <c r="E77" s="104"/>
      <c r="F77" s="21"/>
      <c r="G77" s="110"/>
      <c r="H77" s="111"/>
      <c r="I77" s="107" t="str">
        <f t="shared" si="6"/>
        <v/>
      </c>
      <c r="J77" s="112" t="str">
        <f t="shared" si="7"/>
        <v/>
      </c>
      <c r="K77" s="113" t="str">
        <f>IF(B77="","Pending",IF(M77="","⚠️ Enter Code",IF(IFERROR(VLOOKUP(L77,DB_Agents!$B:$I,8,0),"")=M77,"Pending","🔒 BLOCKED — Wrong Code")))</f>
        <v>Pending</v>
      </c>
      <c r="L77" s="23"/>
      <c r="M77" s="84"/>
      <c r="N77" s="87"/>
    </row>
    <row r="78" spans="1:14" x14ac:dyDescent="0.25">
      <c r="A78" s="92" t="str">
        <f t="shared" ref="A78:A109" si="8">IF(B78="","",IF(C78="❌ Account Not Found","INVALID","LN"&amp;TEXT(D78,"YYYYMMDD")&amp;TEXT(ROW()-13,"0000")))</f>
        <v/>
      </c>
      <c r="B78" s="88"/>
      <c r="C78" s="25" t="str">
        <f>IF(B78="","",IFERROR(VLOOKUP(B78,DB_Customers!$A:$D,4,0),"❌ Account Not Found"))</f>
        <v/>
      </c>
      <c r="D78" s="90" t="str">
        <f t="shared" ref="D78:D113" ca="1" si="9">IF(B78="","",TODAY())</f>
        <v/>
      </c>
      <c r="E78" s="104"/>
      <c r="F78" s="25"/>
      <c r="G78" s="105"/>
      <c r="H78" s="106"/>
      <c r="I78" s="107" t="str">
        <f t="shared" ref="I78:I109" si="10">IF(E78="","",E78+(E78*H78/100*G78))</f>
        <v/>
      </c>
      <c r="J78" s="108" t="str">
        <f t="shared" ref="J78:J109" si="11">IFERROR(I78/G78,"")</f>
        <v/>
      </c>
      <c r="K78" s="109" t="str">
        <f>IF(B78="","Pending",IF(M78="","⚠️ Enter Code",IF(IFERROR(VLOOKUP(L78,DB_Agents!$B:$I,8,0),"")=M78,"Pending","🔒 BLOCKED — Wrong Code")))</f>
        <v>Pending</v>
      </c>
      <c r="L78" s="27"/>
      <c r="M78" s="84"/>
      <c r="N78" s="94"/>
    </row>
    <row r="79" spans="1:14" x14ac:dyDescent="0.25">
      <c r="A79" s="85" t="str">
        <f t="shared" si="8"/>
        <v/>
      </c>
      <c r="B79" s="79"/>
      <c r="C79" s="21" t="str">
        <f>IF(B79="","",IFERROR(VLOOKUP(B79,DB_Customers!$A:$D,4,0),"❌ Account Not Found"))</f>
        <v/>
      </c>
      <c r="D79" s="81" t="str">
        <f t="shared" ca="1" si="9"/>
        <v/>
      </c>
      <c r="E79" s="104"/>
      <c r="F79" s="21"/>
      <c r="G79" s="110"/>
      <c r="H79" s="111"/>
      <c r="I79" s="107" t="str">
        <f t="shared" si="10"/>
        <v/>
      </c>
      <c r="J79" s="112" t="str">
        <f t="shared" si="11"/>
        <v/>
      </c>
      <c r="K79" s="113" t="str">
        <f>IF(B79="","Pending",IF(M79="","⚠️ Enter Code",IF(IFERROR(VLOOKUP(L79,DB_Agents!$B:$I,8,0),"")=M79,"Pending","🔒 BLOCKED — Wrong Code")))</f>
        <v>Pending</v>
      </c>
      <c r="L79" s="23"/>
      <c r="M79" s="84"/>
      <c r="N79" s="87"/>
    </row>
    <row r="80" spans="1:14" x14ac:dyDescent="0.25">
      <c r="A80" s="92" t="str">
        <f t="shared" si="8"/>
        <v/>
      </c>
      <c r="B80" s="88"/>
      <c r="C80" s="25" t="str">
        <f>IF(B80="","",IFERROR(VLOOKUP(B80,DB_Customers!$A:$D,4,0),"❌ Account Not Found"))</f>
        <v/>
      </c>
      <c r="D80" s="90" t="str">
        <f t="shared" ca="1" si="9"/>
        <v/>
      </c>
      <c r="E80" s="104"/>
      <c r="F80" s="25"/>
      <c r="G80" s="105"/>
      <c r="H80" s="106"/>
      <c r="I80" s="107" t="str">
        <f t="shared" si="10"/>
        <v/>
      </c>
      <c r="J80" s="108" t="str">
        <f t="shared" si="11"/>
        <v/>
      </c>
      <c r="K80" s="109" t="str">
        <f>IF(B80="","Pending",IF(M80="","⚠️ Enter Code",IF(IFERROR(VLOOKUP(L80,DB_Agents!$B:$I,8,0),"")=M80,"Pending","🔒 BLOCKED — Wrong Code")))</f>
        <v>Pending</v>
      </c>
      <c r="L80" s="27"/>
      <c r="M80" s="84"/>
      <c r="N80" s="94"/>
    </row>
    <row r="81" spans="1:14" x14ac:dyDescent="0.25">
      <c r="A81" s="85" t="str">
        <f t="shared" si="8"/>
        <v/>
      </c>
      <c r="B81" s="79"/>
      <c r="C81" s="21" t="str">
        <f>IF(B81="","",IFERROR(VLOOKUP(B81,DB_Customers!$A:$D,4,0),"❌ Account Not Found"))</f>
        <v/>
      </c>
      <c r="D81" s="81" t="str">
        <f t="shared" ca="1" si="9"/>
        <v/>
      </c>
      <c r="E81" s="104"/>
      <c r="F81" s="21"/>
      <c r="G81" s="110"/>
      <c r="H81" s="111"/>
      <c r="I81" s="107" t="str">
        <f t="shared" si="10"/>
        <v/>
      </c>
      <c r="J81" s="112" t="str">
        <f t="shared" si="11"/>
        <v/>
      </c>
      <c r="K81" s="113" t="str">
        <f>IF(B81="","Pending",IF(M81="","⚠️ Enter Code",IF(IFERROR(VLOOKUP(L81,DB_Agents!$B:$I,8,0),"")=M81,"Pending","🔒 BLOCKED — Wrong Code")))</f>
        <v>Pending</v>
      </c>
      <c r="L81" s="23"/>
      <c r="M81" s="84"/>
      <c r="N81" s="87"/>
    </row>
    <row r="82" spans="1:14" x14ac:dyDescent="0.25">
      <c r="A82" s="92" t="str">
        <f t="shared" si="8"/>
        <v/>
      </c>
      <c r="B82" s="88"/>
      <c r="C82" s="25" t="str">
        <f>IF(B82="","",IFERROR(VLOOKUP(B82,DB_Customers!$A:$D,4,0),"❌ Account Not Found"))</f>
        <v/>
      </c>
      <c r="D82" s="90" t="str">
        <f t="shared" ca="1" si="9"/>
        <v/>
      </c>
      <c r="E82" s="104"/>
      <c r="F82" s="25"/>
      <c r="G82" s="105"/>
      <c r="H82" s="106"/>
      <c r="I82" s="107" t="str">
        <f t="shared" si="10"/>
        <v/>
      </c>
      <c r="J82" s="108" t="str">
        <f t="shared" si="11"/>
        <v/>
      </c>
      <c r="K82" s="109" t="str">
        <f>IF(B82="","Pending",IF(M82="","⚠️ Enter Code",IF(IFERROR(VLOOKUP(L82,DB_Agents!$B:$I,8,0),"")=M82,"Pending","🔒 BLOCKED — Wrong Code")))</f>
        <v>Pending</v>
      </c>
      <c r="L82" s="27"/>
      <c r="M82" s="84"/>
      <c r="N82" s="94"/>
    </row>
    <row r="83" spans="1:14" x14ac:dyDescent="0.25">
      <c r="A83" s="85" t="str">
        <f t="shared" si="8"/>
        <v/>
      </c>
      <c r="B83" s="79"/>
      <c r="C83" s="21" t="str">
        <f>IF(B83="","",IFERROR(VLOOKUP(B83,DB_Customers!$A:$D,4,0),"❌ Account Not Found"))</f>
        <v/>
      </c>
      <c r="D83" s="81" t="str">
        <f t="shared" ca="1" si="9"/>
        <v/>
      </c>
      <c r="E83" s="104"/>
      <c r="F83" s="21"/>
      <c r="G83" s="110"/>
      <c r="H83" s="111"/>
      <c r="I83" s="107" t="str">
        <f t="shared" si="10"/>
        <v/>
      </c>
      <c r="J83" s="112" t="str">
        <f t="shared" si="11"/>
        <v/>
      </c>
      <c r="K83" s="113" t="str">
        <f>IF(B83="","Pending",IF(M83="","⚠️ Enter Code",IF(IFERROR(VLOOKUP(L83,DB_Agents!$B:$I,8,0),"")=M83,"Pending","🔒 BLOCKED — Wrong Code")))</f>
        <v>Pending</v>
      </c>
      <c r="L83" s="23"/>
      <c r="M83" s="84"/>
      <c r="N83" s="87"/>
    </row>
    <row r="84" spans="1:14" x14ac:dyDescent="0.25">
      <c r="A84" s="92" t="str">
        <f t="shared" si="8"/>
        <v/>
      </c>
      <c r="B84" s="88"/>
      <c r="C84" s="25" t="str">
        <f>IF(B84="","",IFERROR(VLOOKUP(B84,DB_Customers!$A:$D,4,0),"❌ Account Not Found"))</f>
        <v/>
      </c>
      <c r="D84" s="90" t="str">
        <f t="shared" ca="1" si="9"/>
        <v/>
      </c>
      <c r="E84" s="104"/>
      <c r="F84" s="25"/>
      <c r="G84" s="105"/>
      <c r="H84" s="106"/>
      <c r="I84" s="107" t="str">
        <f t="shared" si="10"/>
        <v/>
      </c>
      <c r="J84" s="108" t="str">
        <f t="shared" si="11"/>
        <v/>
      </c>
      <c r="K84" s="109" t="str">
        <f>IF(B84="","Pending",IF(M84="","⚠️ Enter Code",IF(IFERROR(VLOOKUP(L84,DB_Agents!$B:$I,8,0),"")=M84,"Pending","🔒 BLOCKED — Wrong Code")))</f>
        <v>Pending</v>
      </c>
      <c r="L84" s="27"/>
      <c r="M84" s="84"/>
      <c r="N84" s="94"/>
    </row>
    <row r="85" spans="1:14" x14ac:dyDescent="0.25">
      <c r="A85" s="85" t="str">
        <f t="shared" si="8"/>
        <v/>
      </c>
      <c r="B85" s="79"/>
      <c r="C85" s="21" t="str">
        <f>IF(B85="","",IFERROR(VLOOKUP(B85,DB_Customers!$A:$D,4,0),"❌ Account Not Found"))</f>
        <v/>
      </c>
      <c r="D85" s="81" t="str">
        <f t="shared" ca="1" si="9"/>
        <v/>
      </c>
      <c r="E85" s="104"/>
      <c r="F85" s="21"/>
      <c r="G85" s="110"/>
      <c r="H85" s="111"/>
      <c r="I85" s="107" t="str">
        <f t="shared" si="10"/>
        <v/>
      </c>
      <c r="J85" s="112" t="str">
        <f t="shared" si="11"/>
        <v/>
      </c>
      <c r="K85" s="113" t="str">
        <f>IF(B85="","Pending",IF(M85="","⚠️ Enter Code",IF(IFERROR(VLOOKUP(L85,DB_Agents!$B:$I,8,0),"")=M85,"Pending","🔒 BLOCKED — Wrong Code")))</f>
        <v>Pending</v>
      </c>
      <c r="L85" s="23"/>
      <c r="M85" s="84"/>
      <c r="N85" s="87"/>
    </row>
    <row r="86" spans="1:14" x14ac:dyDescent="0.25">
      <c r="A86" s="92" t="str">
        <f t="shared" si="8"/>
        <v/>
      </c>
      <c r="B86" s="88"/>
      <c r="C86" s="25" t="str">
        <f>IF(B86="","",IFERROR(VLOOKUP(B86,DB_Customers!$A:$D,4,0),"❌ Account Not Found"))</f>
        <v/>
      </c>
      <c r="D86" s="90" t="str">
        <f t="shared" ca="1" si="9"/>
        <v/>
      </c>
      <c r="E86" s="104"/>
      <c r="F86" s="25"/>
      <c r="G86" s="105"/>
      <c r="H86" s="106"/>
      <c r="I86" s="107" t="str">
        <f t="shared" si="10"/>
        <v/>
      </c>
      <c r="J86" s="108" t="str">
        <f t="shared" si="11"/>
        <v/>
      </c>
      <c r="K86" s="109" t="str">
        <f>IF(B86="","Pending",IF(M86="","⚠️ Enter Code",IF(IFERROR(VLOOKUP(L86,DB_Agents!$B:$I,8,0),"")=M86,"Pending","🔒 BLOCKED — Wrong Code")))</f>
        <v>Pending</v>
      </c>
      <c r="L86" s="27"/>
      <c r="M86" s="84"/>
      <c r="N86" s="94"/>
    </row>
    <row r="87" spans="1:14" x14ac:dyDescent="0.25">
      <c r="A87" s="85" t="str">
        <f t="shared" si="8"/>
        <v/>
      </c>
      <c r="B87" s="79"/>
      <c r="C87" s="21" t="str">
        <f>IF(B87="","",IFERROR(VLOOKUP(B87,DB_Customers!$A:$D,4,0),"❌ Account Not Found"))</f>
        <v/>
      </c>
      <c r="D87" s="81" t="str">
        <f t="shared" ca="1" si="9"/>
        <v/>
      </c>
      <c r="E87" s="104"/>
      <c r="F87" s="21"/>
      <c r="G87" s="110"/>
      <c r="H87" s="111"/>
      <c r="I87" s="107" t="str">
        <f t="shared" si="10"/>
        <v/>
      </c>
      <c r="J87" s="112" t="str">
        <f t="shared" si="11"/>
        <v/>
      </c>
      <c r="K87" s="113" t="str">
        <f>IF(B87="","Pending",IF(M87="","⚠️ Enter Code",IF(IFERROR(VLOOKUP(L87,DB_Agents!$B:$I,8,0),"")=M87,"Pending","🔒 BLOCKED — Wrong Code")))</f>
        <v>Pending</v>
      </c>
      <c r="L87" s="23"/>
      <c r="M87" s="84"/>
      <c r="N87" s="87"/>
    </row>
    <row r="88" spans="1:14" x14ac:dyDescent="0.25">
      <c r="A88" s="92" t="str">
        <f t="shared" si="8"/>
        <v/>
      </c>
      <c r="B88" s="88"/>
      <c r="C88" s="25" t="str">
        <f>IF(B88="","",IFERROR(VLOOKUP(B88,DB_Customers!$A:$D,4,0),"❌ Account Not Found"))</f>
        <v/>
      </c>
      <c r="D88" s="90" t="str">
        <f t="shared" ca="1" si="9"/>
        <v/>
      </c>
      <c r="E88" s="104"/>
      <c r="F88" s="25"/>
      <c r="G88" s="105"/>
      <c r="H88" s="106"/>
      <c r="I88" s="107" t="str">
        <f t="shared" si="10"/>
        <v/>
      </c>
      <c r="J88" s="108" t="str">
        <f t="shared" si="11"/>
        <v/>
      </c>
      <c r="K88" s="109" t="str">
        <f>IF(B88="","Pending",IF(M88="","⚠️ Enter Code",IF(IFERROR(VLOOKUP(L88,DB_Agents!$B:$I,8,0),"")=M88,"Pending","🔒 BLOCKED — Wrong Code")))</f>
        <v>Pending</v>
      </c>
      <c r="L88" s="27"/>
      <c r="M88" s="84"/>
      <c r="N88" s="94"/>
    </row>
    <row r="89" spans="1:14" x14ac:dyDescent="0.25">
      <c r="A89" s="85" t="str">
        <f t="shared" si="8"/>
        <v/>
      </c>
      <c r="B89" s="79"/>
      <c r="C89" s="21" t="str">
        <f>IF(B89="","",IFERROR(VLOOKUP(B89,DB_Customers!$A:$D,4,0),"❌ Account Not Found"))</f>
        <v/>
      </c>
      <c r="D89" s="81" t="str">
        <f t="shared" ca="1" si="9"/>
        <v/>
      </c>
      <c r="E89" s="104"/>
      <c r="F89" s="21"/>
      <c r="G89" s="110"/>
      <c r="H89" s="111"/>
      <c r="I89" s="107" t="str">
        <f t="shared" si="10"/>
        <v/>
      </c>
      <c r="J89" s="112" t="str">
        <f t="shared" si="11"/>
        <v/>
      </c>
      <c r="K89" s="113" t="str">
        <f>IF(B89="","Pending",IF(M89="","⚠️ Enter Code",IF(IFERROR(VLOOKUP(L89,DB_Agents!$B:$I,8,0),"")=M89,"Pending","🔒 BLOCKED — Wrong Code")))</f>
        <v>Pending</v>
      </c>
      <c r="L89" s="23"/>
      <c r="M89" s="84"/>
      <c r="N89" s="87"/>
    </row>
    <row r="90" spans="1:14" x14ac:dyDescent="0.25">
      <c r="A90" s="92" t="str">
        <f t="shared" si="8"/>
        <v/>
      </c>
      <c r="B90" s="88"/>
      <c r="C90" s="25" t="str">
        <f>IF(B90="","",IFERROR(VLOOKUP(B90,DB_Customers!$A:$D,4,0),"❌ Account Not Found"))</f>
        <v/>
      </c>
      <c r="D90" s="90" t="str">
        <f t="shared" ca="1" si="9"/>
        <v/>
      </c>
      <c r="E90" s="104"/>
      <c r="F90" s="25"/>
      <c r="G90" s="105"/>
      <c r="H90" s="106"/>
      <c r="I90" s="107" t="str">
        <f t="shared" si="10"/>
        <v/>
      </c>
      <c r="J90" s="108" t="str">
        <f t="shared" si="11"/>
        <v/>
      </c>
      <c r="K90" s="109" t="str">
        <f>IF(B90="","Pending",IF(M90="","⚠️ Enter Code",IF(IFERROR(VLOOKUP(L90,DB_Agents!$B:$I,8,0),"")=M90,"Pending","🔒 BLOCKED — Wrong Code")))</f>
        <v>Pending</v>
      </c>
      <c r="L90" s="27"/>
      <c r="M90" s="84"/>
      <c r="N90" s="94"/>
    </row>
    <row r="91" spans="1:14" x14ac:dyDescent="0.25">
      <c r="A91" s="85" t="str">
        <f t="shared" si="8"/>
        <v/>
      </c>
      <c r="B91" s="79"/>
      <c r="C91" s="21" t="str">
        <f>IF(B91="","",IFERROR(VLOOKUP(B91,DB_Customers!$A:$D,4,0),"❌ Account Not Found"))</f>
        <v/>
      </c>
      <c r="D91" s="81" t="str">
        <f t="shared" ca="1" si="9"/>
        <v/>
      </c>
      <c r="E91" s="104"/>
      <c r="F91" s="21"/>
      <c r="G91" s="110"/>
      <c r="H91" s="111"/>
      <c r="I91" s="107" t="str">
        <f t="shared" si="10"/>
        <v/>
      </c>
      <c r="J91" s="112" t="str">
        <f t="shared" si="11"/>
        <v/>
      </c>
      <c r="K91" s="113" t="str">
        <f>IF(B91="","Pending",IF(M91="","⚠️ Enter Code",IF(IFERROR(VLOOKUP(L91,DB_Agents!$B:$I,8,0),"")=M91,"Pending","🔒 BLOCKED — Wrong Code")))</f>
        <v>Pending</v>
      </c>
      <c r="L91" s="23"/>
      <c r="M91" s="84"/>
      <c r="N91" s="87"/>
    </row>
    <row r="92" spans="1:14" x14ac:dyDescent="0.25">
      <c r="A92" s="92" t="str">
        <f t="shared" si="8"/>
        <v/>
      </c>
      <c r="B92" s="88"/>
      <c r="C92" s="25" t="str">
        <f>IF(B92="","",IFERROR(VLOOKUP(B92,DB_Customers!$A:$D,4,0),"❌ Account Not Found"))</f>
        <v/>
      </c>
      <c r="D92" s="90" t="str">
        <f t="shared" ca="1" si="9"/>
        <v/>
      </c>
      <c r="E92" s="104"/>
      <c r="F92" s="25"/>
      <c r="G92" s="105"/>
      <c r="H92" s="106"/>
      <c r="I92" s="107" t="str">
        <f t="shared" si="10"/>
        <v/>
      </c>
      <c r="J92" s="108" t="str">
        <f t="shared" si="11"/>
        <v/>
      </c>
      <c r="K92" s="109" t="str">
        <f>IF(B92="","Pending",IF(M92="","⚠️ Enter Code",IF(IFERROR(VLOOKUP(L92,DB_Agents!$B:$I,8,0),"")=M92,"Pending","🔒 BLOCKED — Wrong Code")))</f>
        <v>Pending</v>
      </c>
      <c r="L92" s="27"/>
      <c r="M92" s="84"/>
      <c r="N92" s="94"/>
    </row>
    <row r="93" spans="1:14" x14ac:dyDescent="0.25">
      <c r="A93" s="85" t="str">
        <f t="shared" si="8"/>
        <v/>
      </c>
      <c r="B93" s="79"/>
      <c r="C93" s="21" t="str">
        <f>IF(B93="","",IFERROR(VLOOKUP(B93,DB_Customers!$A:$D,4,0),"❌ Account Not Found"))</f>
        <v/>
      </c>
      <c r="D93" s="81" t="str">
        <f t="shared" ca="1" si="9"/>
        <v/>
      </c>
      <c r="E93" s="104"/>
      <c r="F93" s="21"/>
      <c r="G93" s="110"/>
      <c r="H93" s="111"/>
      <c r="I93" s="107" t="str">
        <f t="shared" si="10"/>
        <v/>
      </c>
      <c r="J93" s="112" t="str">
        <f t="shared" si="11"/>
        <v/>
      </c>
      <c r="K93" s="113" t="str">
        <f>IF(B93="","Pending",IF(M93="","⚠️ Enter Code",IF(IFERROR(VLOOKUP(L93,DB_Agents!$B:$I,8,0),"")=M93,"Pending","🔒 BLOCKED — Wrong Code")))</f>
        <v>Pending</v>
      </c>
      <c r="L93" s="23"/>
      <c r="M93" s="84"/>
      <c r="N93" s="87"/>
    </row>
    <row r="94" spans="1:14" x14ac:dyDescent="0.25">
      <c r="A94" s="92" t="str">
        <f t="shared" si="8"/>
        <v/>
      </c>
      <c r="B94" s="88"/>
      <c r="C94" s="25" t="str">
        <f>IF(B94="","",IFERROR(VLOOKUP(B94,DB_Customers!$A:$D,4,0),"❌ Account Not Found"))</f>
        <v/>
      </c>
      <c r="D94" s="90" t="str">
        <f t="shared" ca="1" si="9"/>
        <v/>
      </c>
      <c r="E94" s="104"/>
      <c r="F94" s="25"/>
      <c r="G94" s="105"/>
      <c r="H94" s="106"/>
      <c r="I94" s="107" t="str">
        <f t="shared" si="10"/>
        <v/>
      </c>
      <c r="J94" s="108" t="str">
        <f t="shared" si="11"/>
        <v/>
      </c>
      <c r="K94" s="109" t="str">
        <f>IF(B94="","Pending",IF(M94="","⚠️ Enter Code",IF(IFERROR(VLOOKUP(L94,DB_Agents!$B:$I,8,0),"")=M94,"Pending","🔒 BLOCKED — Wrong Code")))</f>
        <v>Pending</v>
      </c>
      <c r="L94" s="27"/>
      <c r="M94" s="84"/>
      <c r="N94" s="94"/>
    </row>
    <row r="95" spans="1:14" x14ac:dyDescent="0.25">
      <c r="A95" s="85" t="str">
        <f t="shared" si="8"/>
        <v/>
      </c>
      <c r="B95" s="79"/>
      <c r="C95" s="21" t="str">
        <f>IF(B95="","",IFERROR(VLOOKUP(B95,DB_Customers!$A:$D,4,0),"❌ Account Not Found"))</f>
        <v/>
      </c>
      <c r="D95" s="81" t="str">
        <f t="shared" ca="1" si="9"/>
        <v/>
      </c>
      <c r="E95" s="104"/>
      <c r="F95" s="21"/>
      <c r="G95" s="110"/>
      <c r="H95" s="111"/>
      <c r="I95" s="107" t="str">
        <f t="shared" si="10"/>
        <v/>
      </c>
      <c r="J95" s="112" t="str">
        <f t="shared" si="11"/>
        <v/>
      </c>
      <c r="K95" s="113" t="str">
        <f>IF(B95="","Pending",IF(M95="","⚠️ Enter Code",IF(IFERROR(VLOOKUP(L95,DB_Agents!$B:$I,8,0),"")=M95,"Pending","🔒 BLOCKED — Wrong Code")))</f>
        <v>Pending</v>
      </c>
      <c r="L95" s="23"/>
      <c r="M95" s="84"/>
      <c r="N95" s="87"/>
    </row>
    <row r="96" spans="1:14" x14ac:dyDescent="0.25">
      <c r="A96" s="92" t="str">
        <f t="shared" si="8"/>
        <v/>
      </c>
      <c r="B96" s="88"/>
      <c r="C96" s="25" t="str">
        <f>IF(B96="","",IFERROR(VLOOKUP(B96,DB_Customers!$A:$D,4,0),"❌ Account Not Found"))</f>
        <v/>
      </c>
      <c r="D96" s="90" t="str">
        <f t="shared" ca="1" si="9"/>
        <v/>
      </c>
      <c r="E96" s="104"/>
      <c r="F96" s="25"/>
      <c r="G96" s="105"/>
      <c r="H96" s="106"/>
      <c r="I96" s="107" t="str">
        <f t="shared" si="10"/>
        <v/>
      </c>
      <c r="J96" s="108" t="str">
        <f t="shared" si="11"/>
        <v/>
      </c>
      <c r="K96" s="109" t="str">
        <f>IF(B96="","Pending",IF(M96="","⚠️ Enter Code",IF(IFERROR(VLOOKUP(L96,DB_Agents!$B:$I,8,0),"")=M96,"Pending","🔒 BLOCKED — Wrong Code")))</f>
        <v>Pending</v>
      </c>
      <c r="L96" s="27"/>
      <c r="M96" s="84"/>
      <c r="N96" s="94"/>
    </row>
    <row r="97" spans="1:14" x14ac:dyDescent="0.25">
      <c r="A97" s="85" t="str">
        <f t="shared" si="8"/>
        <v/>
      </c>
      <c r="B97" s="79"/>
      <c r="C97" s="21" t="str">
        <f>IF(B97="","",IFERROR(VLOOKUP(B97,DB_Customers!$A:$D,4,0),"❌ Account Not Found"))</f>
        <v/>
      </c>
      <c r="D97" s="81" t="str">
        <f t="shared" ca="1" si="9"/>
        <v/>
      </c>
      <c r="E97" s="104"/>
      <c r="F97" s="21"/>
      <c r="G97" s="110"/>
      <c r="H97" s="111"/>
      <c r="I97" s="107" t="str">
        <f t="shared" si="10"/>
        <v/>
      </c>
      <c r="J97" s="112" t="str">
        <f t="shared" si="11"/>
        <v/>
      </c>
      <c r="K97" s="113" t="str">
        <f>IF(B97="","Pending",IF(M97="","⚠️ Enter Code",IF(IFERROR(VLOOKUP(L97,DB_Agents!$B:$I,8,0),"")=M97,"Pending","🔒 BLOCKED — Wrong Code")))</f>
        <v>Pending</v>
      </c>
      <c r="L97" s="23"/>
      <c r="M97" s="84"/>
      <c r="N97" s="87"/>
    </row>
    <row r="98" spans="1:14" x14ac:dyDescent="0.25">
      <c r="A98" s="92" t="str">
        <f t="shared" si="8"/>
        <v/>
      </c>
      <c r="B98" s="88"/>
      <c r="C98" s="25" t="str">
        <f>IF(B98="","",IFERROR(VLOOKUP(B98,DB_Customers!$A:$D,4,0),"❌ Account Not Found"))</f>
        <v/>
      </c>
      <c r="D98" s="90" t="str">
        <f t="shared" ca="1" si="9"/>
        <v/>
      </c>
      <c r="E98" s="104"/>
      <c r="F98" s="25"/>
      <c r="G98" s="105"/>
      <c r="H98" s="106"/>
      <c r="I98" s="107" t="str">
        <f t="shared" si="10"/>
        <v/>
      </c>
      <c r="J98" s="108" t="str">
        <f t="shared" si="11"/>
        <v/>
      </c>
      <c r="K98" s="109" t="str">
        <f>IF(B98="","Pending",IF(M98="","⚠️ Enter Code",IF(IFERROR(VLOOKUP(L98,DB_Agents!$B:$I,8,0),"")=M98,"Pending","🔒 BLOCKED — Wrong Code")))</f>
        <v>Pending</v>
      </c>
      <c r="L98" s="27"/>
      <c r="M98" s="84"/>
      <c r="N98" s="94"/>
    </row>
    <row r="99" spans="1:14" x14ac:dyDescent="0.25">
      <c r="A99" s="85" t="str">
        <f t="shared" si="8"/>
        <v/>
      </c>
      <c r="B99" s="79"/>
      <c r="C99" s="21" t="str">
        <f>IF(B99="","",IFERROR(VLOOKUP(B99,DB_Customers!$A:$D,4,0),"❌ Account Not Found"))</f>
        <v/>
      </c>
      <c r="D99" s="81" t="str">
        <f t="shared" ca="1" si="9"/>
        <v/>
      </c>
      <c r="E99" s="104"/>
      <c r="F99" s="21"/>
      <c r="G99" s="110"/>
      <c r="H99" s="111"/>
      <c r="I99" s="107" t="str">
        <f t="shared" si="10"/>
        <v/>
      </c>
      <c r="J99" s="112" t="str">
        <f t="shared" si="11"/>
        <v/>
      </c>
      <c r="K99" s="113" t="str">
        <f>IF(B99="","Pending",IF(M99="","⚠️ Enter Code",IF(IFERROR(VLOOKUP(L99,DB_Agents!$B:$I,8,0),"")=M99,"Pending","🔒 BLOCKED — Wrong Code")))</f>
        <v>Pending</v>
      </c>
      <c r="L99" s="23"/>
      <c r="M99" s="84"/>
      <c r="N99" s="87"/>
    </row>
    <row r="100" spans="1:14" x14ac:dyDescent="0.25">
      <c r="A100" s="92" t="str">
        <f t="shared" si="8"/>
        <v/>
      </c>
      <c r="B100" s="88"/>
      <c r="C100" s="25" t="str">
        <f>IF(B100="","",IFERROR(VLOOKUP(B100,DB_Customers!$A:$D,4,0),"❌ Account Not Found"))</f>
        <v/>
      </c>
      <c r="D100" s="90" t="str">
        <f t="shared" ca="1" si="9"/>
        <v/>
      </c>
      <c r="E100" s="104"/>
      <c r="F100" s="25"/>
      <c r="G100" s="105"/>
      <c r="H100" s="106"/>
      <c r="I100" s="107" t="str">
        <f t="shared" si="10"/>
        <v/>
      </c>
      <c r="J100" s="108" t="str">
        <f t="shared" si="11"/>
        <v/>
      </c>
      <c r="K100" s="109" t="str">
        <f>IF(B100="","Pending",IF(M100="","⚠️ Enter Code",IF(IFERROR(VLOOKUP(L100,DB_Agents!$B:$I,8,0),"")=M100,"Pending","🔒 BLOCKED — Wrong Code")))</f>
        <v>Pending</v>
      </c>
      <c r="L100" s="27"/>
      <c r="M100" s="84"/>
      <c r="N100" s="94"/>
    </row>
    <row r="101" spans="1:14" x14ac:dyDescent="0.25">
      <c r="A101" s="85" t="str">
        <f t="shared" si="8"/>
        <v/>
      </c>
      <c r="B101" s="79"/>
      <c r="C101" s="21" t="str">
        <f>IF(B101="","",IFERROR(VLOOKUP(B101,DB_Customers!$A:$D,4,0),"❌ Account Not Found"))</f>
        <v/>
      </c>
      <c r="D101" s="81" t="str">
        <f t="shared" ca="1" si="9"/>
        <v/>
      </c>
      <c r="E101" s="104"/>
      <c r="F101" s="21"/>
      <c r="G101" s="110"/>
      <c r="H101" s="111"/>
      <c r="I101" s="107" t="str">
        <f t="shared" si="10"/>
        <v/>
      </c>
      <c r="J101" s="112" t="str">
        <f t="shared" si="11"/>
        <v/>
      </c>
      <c r="K101" s="113" t="str">
        <f>IF(B101="","Pending",IF(M101="","⚠️ Enter Code",IF(IFERROR(VLOOKUP(L101,DB_Agents!$B:$I,8,0),"")=M101,"Pending","🔒 BLOCKED — Wrong Code")))</f>
        <v>Pending</v>
      </c>
      <c r="L101" s="23"/>
      <c r="M101" s="84"/>
      <c r="N101" s="87"/>
    </row>
    <row r="102" spans="1:14" x14ac:dyDescent="0.25">
      <c r="A102" s="92" t="str">
        <f t="shared" si="8"/>
        <v/>
      </c>
      <c r="B102" s="88"/>
      <c r="C102" s="25" t="str">
        <f>IF(B102="","",IFERROR(VLOOKUP(B102,DB_Customers!$A:$D,4,0),"❌ Account Not Found"))</f>
        <v/>
      </c>
      <c r="D102" s="90" t="str">
        <f t="shared" ca="1" si="9"/>
        <v/>
      </c>
      <c r="E102" s="104"/>
      <c r="F102" s="25"/>
      <c r="G102" s="105"/>
      <c r="H102" s="106"/>
      <c r="I102" s="107" t="str">
        <f t="shared" si="10"/>
        <v/>
      </c>
      <c r="J102" s="108" t="str">
        <f t="shared" si="11"/>
        <v/>
      </c>
      <c r="K102" s="109" t="str">
        <f>IF(B102="","Pending",IF(M102="","⚠️ Enter Code",IF(IFERROR(VLOOKUP(L102,DB_Agents!$B:$I,8,0),"")=M102,"Pending","🔒 BLOCKED — Wrong Code")))</f>
        <v>Pending</v>
      </c>
      <c r="L102" s="27"/>
      <c r="M102" s="84"/>
      <c r="N102" s="94"/>
    </row>
    <row r="103" spans="1:14" x14ac:dyDescent="0.25">
      <c r="A103" s="85" t="str">
        <f t="shared" si="8"/>
        <v/>
      </c>
      <c r="B103" s="79"/>
      <c r="C103" s="21" t="str">
        <f>IF(B103="","",IFERROR(VLOOKUP(B103,DB_Customers!$A:$D,4,0),"❌ Account Not Found"))</f>
        <v/>
      </c>
      <c r="D103" s="81" t="str">
        <f t="shared" ca="1" si="9"/>
        <v/>
      </c>
      <c r="E103" s="104"/>
      <c r="F103" s="21"/>
      <c r="G103" s="110"/>
      <c r="H103" s="111"/>
      <c r="I103" s="107" t="str">
        <f t="shared" si="10"/>
        <v/>
      </c>
      <c r="J103" s="112" t="str">
        <f t="shared" si="11"/>
        <v/>
      </c>
      <c r="K103" s="113" t="str">
        <f>IF(B103="","Pending",IF(M103="","⚠️ Enter Code",IF(IFERROR(VLOOKUP(L103,DB_Agents!$B:$I,8,0),"")=M103,"Pending","🔒 BLOCKED — Wrong Code")))</f>
        <v>Pending</v>
      </c>
      <c r="L103" s="23"/>
      <c r="M103" s="84"/>
      <c r="N103" s="87"/>
    </row>
    <row r="104" spans="1:14" x14ac:dyDescent="0.25">
      <c r="A104" s="92" t="str">
        <f t="shared" si="8"/>
        <v/>
      </c>
      <c r="B104" s="88"/>
      <c r="C104" s="25" t="str">
        <f>IF(B104="","",IFERROR(VLOOKUP(B104,DB_Customers!$A:$D,4,0),"❌ Account Not Found"))</f>
        <v/>
      </c>
      <c r="D104" s="90" t="str">
        <f t="shared" ca="1" si="9"/>
        <v/>
      </c>
      <c r="E104" s="104"/>
      <c r="F104" s="25"/>
      <c r="G104" s="105"/>
      <c r="H104" s="106"/>
      <c r="I104" s="107" t="str">
        <f t="shared" si="10"/>
        <v/>
      </c>
      <c r="J104" s="108" t="str">
        <f t="shared" si="11"/>
        <v/>
      </c>
      <c r="K104" s="109" t="str">
        <f>IF(B104="","Pending",IF(M104="","⚠️ Enter Code",IF(IFERROR(VLOOKUP(L104,DB_Agents!$B:$I,8,0),"")=M104,"Pending","🔒 BLOCKED — Wrong Code")))</f>
        <v>Pending</v>
      </c>
      <c r="L104" s="27"/>
      <c r="M104" s="84"/>
      <c r="N104" s="94"/>
    </row>
    <row r="105" spans="1:14" x14ac:dyDescent="0.25">
      <c r="A105" s="85" t="str">
        <f t="shared" si="8"/>
        <v/>
      </c>
      <c r="B105" s="79"/>
      <c r="C105" s="21" t="str">
        <f>IF(B105="","",IFERROR(VLOOKUP(B105,DB_Customers!$A:$D,4,0),"❌ Account Not Found"))</f>
        <v/>
      </c>
      <c r="D105" s="81" t="str">
        <f t="shared" ca="1" si="9"/>
        <v/>
      </c>
      <c r="E105" s="104"/>
      <c r="F105" s="21"/>
      <c r="G105" s="110"/>
      <c r="H105" s="111"/>
      <c r="I105" s="107" t="str">
        <f t="shared" si="10"/>
        <v/>
      </c>
      <c r="J105" s="112" t="str">
        <f t="shared" si="11"/>
        <v/>
      </c>
      <c r="K105" s="113" t="str">
        <f>IF(B105="","Pending",IF(M105="","⚠️ Enter Code",IF(IFERROR(VLOOKUP(L105,DB_Agents!$B:$I,8,0),"")=M105,"Pending","🔒 BLOCKED — Wrong Code")))</f>
        <v>Pending</v>
      </c>
      <c r="L105" s="23"/>
      <c r="M105" s="84"/>
      <c r="N105" s="87"/>
    </row>
    <row r="106" spans="1:14" x14ac:dyDescent="0.25">
      <c r="A106" s="92" t="str">
        <f t="shared" si="8"/>
        <v/>
      </c>
      <c r="B106" s="88"/>
      <c r="C106" s="25" t="str">
        <f>IF(B106="","",IFERROR(VLOOKUP(B106,DB_Customers!$A:$D,4,0),"❌ Account Not Found"))</f>
        <v/>
      </c>
      <c r="D106" s="90" t="str">
        <f t="shared" ca="1" si="9"/>
        <v/>
      </c>
      <c r="E106" s="104"/>
      <c r="F106" s="25"/>
      <c r="G106" s="105"/>
      <c r="H106" s="106"/>
      <c r="I106" s="107" t="str">
        <f t="shared" si="10"/>
        <v/>
      </c>
      <c r="J106" s="108" t="str">
        <f t="shared" si="11"/>
        <v/>
      </c>
      <c r="K106" s="109" t="str">
        <f>IF(B106="","Pending",IF(M106="","⚠️ Enter Code",IF(IFERROR(VLOOKUP(L106,DB_Agents!$B:$I,8,0),"")=M106,"Pending","🔒 BLOCKED — Wrong Code")))</f>
        <v>Pending</v>
      </c>
      <c r="L106" s="27"/>
      <c r="M106" s="84"/>
      <c r="N106" s="94"/>
    </row>
    <row r="107" spans="1:14" x14ac:dyDescent="0.25">
      <c r="A107" s="85" t="str">
        <f t="shared" si="8"/>
        <v/>
      </c>
      <c r="B107" s="79"/>
      <c r="C107" s="21" t="str">
        <f>IF(B107="","",IFERROR(VLOOKUP(B107,DB_Customers!$A:$D,4,0),"❌ Account Not Found"))</f>
        <v/>
      </c>
      <c r="D107" s="81" t="str">
        <f t="shared" ca="1" si="9"/>
        <v/>
      </c>
      <c r="E107" s="104"/>
      <c r="F107" s="21"/>
      <c r="G107" s="110"/>
      <c r="H107" s="111"/>
      <c r="I107" s="107" t="str">
        <f t="shared" si="10"/>
        <v/>
      </c>
      <c r="J107" s="112" t="str">
        <f t="shared" si="11"/>
        <v/>
      </c>
      <c r="K107" s="113" t="str">
        <f>IF(B107="","Pending",IF(M107="","⚠️ Enter Code",IF(IFERROR(VLOOKUP(L107,DB_Agents!$B:$I,8,0),"")=M107,"Pending","🔒 BLOCKED — Wrong Code")))</f>
        <v>Pending</v>
      </c>
      <c r="L107" s="23"/>
      <c r="M107" s="84"/>
      <c r="N107" s="87"/>
    </row>
    <row r="108" spans="1:14" x14ac:dyDescent="0.25">
      <c r="A108" s="92" t="str">
        <f t="shared" si="8"/>
        <v/>
      </c>
      <c r="B108" s="88"/>
      <c r="C108" s="25" t="str">
        <f>IF(B108="","",IFERROR(VLOOKUP(B108,DB_Customers!$A:$D,4,0),"❌ Account Not Found"))</f>
        <v/>
      </c>
      <c r="D108" s="90" t="str">
        <f t="shared" ca="1" si="9"/>
        <v/>
      </c>
      <c r="E108" s="104"/>
      <c r="F108" s="25"/>
      <c r="G108" s="105"/>
      <c r="H108" s="106"/>
      <c r="I108" s="107" t="str">
        <f t="shared" si="10"/>
        <v/>
      </c>
      <c r="J108" s="108" t="str">
        <f t="shared" si="11"/>
        <v/>
      </c>
      <c r="K108" s="109" t="str">
        <f>IF(B108="","Pending",IF(M108="","⚠️ Enter Code",IF(IFERROR(VLOOKUP(L108,DB_Agents!$B:$I,8,0),"")=M108,"Pending","🔒 BLOCKED — Wrong Code")))</f>
        <v>Pending</v>
      </c>
      <c r="L108" s="27"/>
      <c r="M108" s="84"/>
      <c r="N108" s="94"/>
    </row>
    <row r="109" spans="1:14" x14ac:dyDescent="0.25">
      <c r="A109" s="85" t="str">
        <f t="shared" si="8"/>
        <v/>
      </c>
      <c r="B109" s="79"/>
      <c r="C109" s="21" t="str">
        <f>IF(B109="","",IFERROR(VLOOKUP(B109,DB_Customers!$A:$D,4,0),"❌ Account Not Found"))</f>
        <v/>
      </c>
      <c r="D109" s="81" t="str">
        <f t="shared" ca="1" si="9"/>
        <v/>
      </c>
      <c r="E109" s="104"/>
      <c r="F109" s="21"/>
      <c r="G109" s="110"/>
      <c r="H109" s="111"/>
      <c r="I109" s="107" t="str">
        <f t="shared" si="10"/>
        <v/>
      </c>
      <c r="J109" s="112" t="str">
        <f t="shared" si="11"/>
        <v/>
      </c>
      <c r="K109" s="113" t="str">
        <f>IF(B109="","Pending",IF(M109="","⚠️ Enter Code",IF(IFERROR(VLOOKUP(L109,DB_Agents!$B:$I,8,0),"")=M109,"Pending","🔒 BLOCKED — Wrong Code")))</f>
        <v>Pending</v>
      </c>
      <c r="L109" s="23"/>
      <c r="M109" s="84"/>
      <c r="N109" s="87"/>
    </row>
    <row r="110" spans="1:14" x14ac:dyDescent="0.25">
      <c r="A110" s="92" t="str">
        <f t="shared" ref="A110:A141" si="12">IF(B110="","",IF(C110="❌ Account Not Found","INVALID","LN"&amp;TEXT(D110,"YYYYMMDD")&amp;TEXT(ROW()-13,"0000")))</f>
        <v/>
      </c>
      <c r="B110" s="88"/>
      <c r="C110" s="25" t="str">
        <f>IF(B110="","",IFERROR(VLOOKUP(B110,DB_Customers!$A:$D,4,0),"❌ Account Not Found"))</f>
        <v/>
      </c>
      <c r="D110" s="90" t="str">
        <f t="shared" ca="1" si="9"/>
        <v/>
      </c>
      <c r="E110" s="104"/>
      <c r="F110" s="25"/>
      <c r="G110" s="105"/>
      <c r="H110" s="106"/>
      <c r="I110" s="107" t="str">
        <f t="shared" ref="I110:I141" si="13">IF(E110="","",E110+(E110*H110/100*G110))</f>
        <v/>
      </c>
      <c r="J110" s="108" t="str">
        <f t="shared" ref="J110:J141" si="14">IFERROR(I110/G110,"")</f>
        <v/>
      </c>
      <c r="K110" s="109" t="str">
        <f>IF(B110="","Pending",IF(M110="","⚠️ Enter Code",IF(IFERROR(VLOOKUP(L110,DB_Agents!$B:$I,8,0),"")=M110,"Pending","🔒 BLOCKED — Wrong Code")))</f>
        <v>Pending</v>
      </c>
      <c r="L110" s="27"/>
      <c r="M110" s="84"/>
      <c r="N110" s="94"/>
    </row>
    <row r="111" spans="1:14" x14ac:dyDescent="0.25">
      <c r="A111" s="85" t="str">
        <f t="shared" si="12"/>
        <v/>
      </c>
      <c r="B111" s="79"/>
      <c r="C111" s="21" t="str">
        <f>IF(B111="","",IFERROR(VLOOKUP(B111,DB_Customers!$A:$D,4,0),"❌ Account Not Found"))</f>
        <v/>
      </c>
      <c r="D111" s="81" t="str">
        <f t="shared" ca="1" si="9"/>
        <v/>
      </c>
      <c r="E111" s="104"/>
      <c r="F111" s="21"/>
      <c r="G111" s="110"/>
      <c r="H111" s="111"/>
      <c r="I111" s="107" t="str">
        <f t="shared" si="13"/>
        <v/>
      </c>
      <c r="J111" s="112" t="str">
        <f t="shared" si="14"/>
        <v/>
      </c>
      <c r="K111" s="113" t="str">
        <f>IF(B111="","Pending",IF(M111="","⚠️ Enter Code",IF(IFERROR(VLOOKUP(L111,DB_Agents!$B:$I,8,0),"")=M111,"Pending","🔒 BLOCKED — Wrong Code")))</f>
        <v>Pending</v>
      </c>
      <c r="L111" s="23"/>
      <c r="M111" s="84"/>
      <c r="N111" s="87"/>
    </row>
    <row r="112" spans="1:14" x14ac:dyDescent="0.25">
      <c r="A112" s="92" t="str">
        <f t="shared" si="12"/>
        <v/>
      </c>
      <c r="B112" s="88"/>
      <c r="C112" s="25" t="str">
        <f>IF(B112="","",IFERROR(VLOOKUP(B112,DB_Customers!$A:$D,4,0),"❌ Account Not Found"))</f>
        <v/>
      </c>
      <c r="D112" s="90" t="str">
        <f t="shared" ca="1" si="9"/>
        <v/>
      </c>
      <c r="E112" s="104"/>
      <c r="F112" s="25"/>
      <c r="G112" s="105"/>
      <c r="H112" s="106"/>
      <c r="I112" s="107" t="str">
        <f t="shared" si="13"/>
        <v/>
      </c>
      <c r="J112" s="108" t="str">
        <f t="shared" si="14"/>
        <v/>
      </c>
      <c r="K112" s="109" t="str">
        <f>IF(B112="","Pending",IF(M112="","⚠️ Enter Code",IF(IFERROR(VLOOKUP(L112,DB_Agents!$B:$I,8,0),"")=M112,"Pending","🔒 BLOCKED — Wrong Code")))</f>
        <v>Pending</v>
      </c>
      <c r="L112" s="27"/>
      <c r="M112" s="84"/>
      <c r="N112" s="94"/>
    </row>
    <row r="113" spans="1:14" x14ac:dyDescent="0.25">
      <c r="A113" s="85" t="str">
        <f t="shared" si="12"/>
        <v/>
      </c>
      <c r="B113" s="79"/>
      <c r="C113" s="21" t="str">
        <f>IF(B113="","",IFERROR(VLOOKUP(B113,DB_Customers!$A:$D,4,0),"❌ Account Not Found"))</f>
        <v/>
      </c>
      <c r="D113" s="81" t="str">
        <f t="shared" ca="1" si="9"/>
        <v/>
      </c>
      <c r="E113" s="104"/>
      <c r="F113" s="21"/>
      <c r="G113" s="110"/>
      <c r="H113" s="111"/>
      <c r="I113" s="107" t="str">
        <f t="shared" si="13"/>
        <v/>
      </c>
      <c r="J113" s="112" t="str">
        <f t="shared" si="14"/>
        <v/>
      </c>
      <c r="K113" s="113" t="str">
        <f>IF(B113="","Pending",IF(M113="","⚠️ Enter Code",IF(IFERROR(VLOOKUP(L113,DB_Agents!$B:$I,8,0),"")=M113,"Pending","🔒 BLOCKED — Wrong Code")))</f>
        <v>Pending</v>
      </c>
      <c r="L113" s="23"/>
      <c r="M113" s="84"/>
      <c r="N113" s="87"/>
    </row>
    <row r="114" spans="1:14" x14ac:dyDescent="0.25">
      <c r="H114" s="114"/>
      <c r="K114" s="115" t="str">
        <f>IF(B114="","Pending",IF(M114="","⚠️ Enter Code",IF(IFERROR(VLOOKUP(L114,DB_Agents!$B:$I,8,0),"")=M114,"Pending","🔒 BLOCKED — Wrong Code")))</f>
        <v>Pending</v>
      </c>
      <c r="M114" s="84"/>
    </row>
    <row r="115" spans="1:14" x14ac:dyDescent="0.25">
      <c r="H115" s="114"/>
      <c r="K115" s="15" t="str">
        <f>IF(B115="","Pending",IF(M115="","⚠️ Enter Code",IF(IFERROR(VLOOKUP(L115,DB_Agents!$B:$I,8,0),"")=M115,"Pending","🔒 BLOCKED — Wrong Code")))</f>
        <v>Pending</v>
      </c>
      <c r="M115" s="84"/>
    </row>
    <row r="116" spans="1:14" x14ac:dyDescent="0.25">
      <c r="H116" s="114"/>
      <c r="K116" s="115" t="str">
        <f>IF(B116="","Pending",IF(M116="","⚠️ Enter Code",IF(IFERROR(VLOOKUP(L116,DB_Agents!$B:$I,8,0),"")=M116,"Pending","🔒 BLOCKED — Wrong Code")))</f>
        <v>Pending</v>
      </c>
      <c r="M116" s="84"/>
    </row>
    <row r="117" spans="1:14" x14ac:dyDescent="0.25">
      <c r="H117" s="114"/>
      <c r="K117" s="15" t="str">
        <f>IF(B117="","Pending",IF(M117="","⚠️ Enter Code",IF(IFERROR(VLOOKUP(L117,DB_Agents!$B:$I,8,0),"")=M117,"Pending","🔒 BLOCKED — Wrong Code")))</f>
        <v>Pending</v>
      </c>
      <c r="M117" s="84"/>
    </row>
    <row r="118" spans="1:14" x14ac:dyDescent="0.25">
      <c r="H118" s="114"/>
      <c r="K118" s="115" t="str">
        <f>IF(B118="","Pending",IF(M118="","⚠️ Enter Code",IF(IFERROR(VLOOKUP(L118,DB_Agents!$B:$I,8,0),"")=M118,"Pending","🔒 BLOCKED — Wrong Code")))</f>
        <v>Pending</v>
      </c>
      <c r="M118" s="84"/>
    </row>
    <row r="119" spans="1:14" x14ac:dyDescent="0.25">
      <c r="H119" s="114"/>
      <c r="K119" s="15" t="str">
        <f>IF(B119="","Pending",IF(M119="","⚠️ Enter Code",IF(IFERROR(VLOOKUP(L119,DB_Agents!$B:$I,8,0),"")=M119,"Pending","🔒 BLOCKED — Wrong Code")))</f>
        <v>Pending</v>
      </c>
      <c r="M119" s="84"/>
    </row>
    <row r="120" spans="1:14" x14ac:dyDescent="0.25">
      <c r="H120" s="114"/>
      <c r="K120" s="115" t="str">
        <f>IF(B120="","Pending",IF(M120="","⚠️ Enter Code",IF(IFERROR(VLOOKUP(L120,DB_Agents!$B:$I,8,0),"")=M120,"Pending","🔒 BLOCKED — Wrong Code")))</f>
        <v>Pending</v>
      </c>
      <c r="M120" s="84"/>
    </row>
    <row r="121" spans="1:14" x14ac:dyDescent="0.25">
      <c r="H121" s="114"/>
      <c r="K121" s="15" t="str">
        <f>IF(B121="","Pending",IF(M121="","⚠️ Enter Code",IF(IFERROR(VLOOKUP(L121,DB_Agents!$B:$I,8,0),"")=M121,"Pending","🔒 BLOCKED — Wrong Code")))</f>
        <v>Pending</v>
      </c>
      <c r="M121" s="84"/>
    </row>
    <row r="122" spans="1:14" x14ac:dyDescent="0.25">
      <c r="H122" s="114"/>
      <c r="K122" s="115" t="str">
        <f>IF(B122="","Pending",IF(M122="","⚠️ Enter Code",IF(IFERROR(VLOOKUP(L122,DB_Agents!$B:$I,8,0),"")=M122,"Pending","🔒 BLOCKED — Wrong Code")))</f>
        <v>Pending</v>
      </c>
      <c r="M122" s="84"/>
    </row>
    <row r="123" spans="1:14" x14ac:dyDescent="0.25">
      <c r="H123" s="114"/>
      <c r="K123" s="15" t="str">
        <f>IF(B123="","Pending",IF(M123="","⚠️ Enter Code",IF(IFERROR(VLOOKUP(L123,DB_Agents!$B:$I,8,0),"")=M123,"Pending","🔒 BLOCKED — Wrong Code")))</f>
        <v>Pending</v>
      </c>
      <c r="M123" s="84"/>
    </row>
    <row r="124" spans="1:14" x14ac:dyDescent="0.25">
      <c r="H124" s="114"/>
      <c r="K124" s="115" t="str">
        <f>IF(B124="","Pending",IF(M124="","⚠️ Enter Code",IF(IFERROR(VLOOKUP(L124,DB_Agents!$B:$I,8,0),"")=M124,"Pending","🔒 BLOCKED — Wrong Code")))</f>
        <v>Pending</v>
      </c>
      <c r="M124" s="84"/>
    </row>
    <row r="125" spans="1:14" x14ac:dyDescent="0.25">
      <c r="H125" s="114"/>
      <c r="K125" s="15" t="str">
        <f>IF(B125="","Pending",IF(M125="","⚠️ Enter Code",IF(IFERROR(VLOOKUP(L125,DB_Agents!$B:$I,8,0),"")=M125,"Pending","🔒 BLOCKED — Wrong Code")))</f>
        <v>Pending</v>
      </c>
      <c r="M125" s="84"/>
    </row>
    <row r="126" spans="1:14" x14ac:dyDescent="0.25">
      <c r="H126" s="114"/>
      <c r="K126" s="115" t="str">
        <f>IF(B126="","Pending",IF(M126="","⚠️ Enter Code",IF(IFERROR(VLOOKUP(L126,DB_Agents!$B:$I,8,0),"")=M126,"Pending","🔒 BLOCKED — Wrong Code")))</f>
        <v>Pending</v>
      </c>
      <c r="M126" s="84"/>
    </row>
    <row r="127" spans="1:14" x14ac:dyDescent="0.25">
      <c r="H127" s="114"/>
      <c r="K127" s="15" t="str">
        <f>IF(B127="","Pending",IF(M127="","⚠️ Enter Code",IF(IFERROR(VLOOKUP(L127,DB_Agents!$B:$I,8,0),"")=M127,"Pending","🔒 BLOCKED — Wrong Code")))</f>
        <v>Pending</v>
      </c>
      <c r="M127" s="84"/>
    </row>
    <row r="128" spans="1:14" x14ac:dyDescent="0.25">
      <c r="H128" s="114"/>
      <c r="K128" s="115" t="str">
        <f>IF(B128="","Pending",IF(M128="","⚠️ Enter Code",IF(IFERROR(VLOOKUP(L128,DB_Agents!$B:$I,8,0),"")=M128,"Pending","🔒 BLOCKED — Wrong Code")))</f>
        <v>Pending</v>
      </c>
      <c r="M128" s="84"/>
    </row>
    <row r="129" spans="8:13" x14ac:dyDescent="0.25">
      <c r="H129" s="114"/>
      <c r="K129" s="15" t="str">
        <f>IF(B129="","Pending",IF(M129="","⚠️ Enter Code",IF(IFERROR(VLOOKUP(L129,DB_Agents!$B:$I,8,0),"")=M129,"Pending","🔒 BLOCKED — Wrong Code")))</f>
        <v>Pending</v>
      </c>
      <c r="M129" s="84"/>
    </row>
    <row r="130" spans="8:13" x14ac:dyDescent="0.25">
      <c r="H130" s="114"/>
      <c r="K130" s="115" t="str">
        <f>IF(B130="","Pending",IF(M130="","⚠️ Enter Code",IF(IFERROR(VLOOKUP(L130,DB_Agents!$B:$I,8,0),"")=M130,"Pending","🔒 BLOCKED — Wrong Code")))</f>
        <v>Pending</v>
      </c>
      <c r="M130" s="84"/>
    </row>
    <row r="131" spans="8:13" x14ac:dyDescent="0.25">
      <c r="H131" s="114"/>
      <c r="K131" s="15" t="str">
        <f>IF(B131="","Pending",IF(M131="","⚠️ Enter Code",IF(IFERROR(VLOOKUP(L131,DB_Agents!$B:$I,8,0),"")=M131,"Pending","🔒 BLOCKED — Wrong Code")))</f>
        <v>Pending</v>
      </c>
      <c r="M131" s="84"/>
    </row>
    <row r="132" spans="8:13" x14ac:dyDescent="0.25">
      <c r="H132" s="114"/>
      <c r="K132" s="115" t="str">
        <f>IF(B132="","Pending",IF(M132="","⚠️ Enter Code",IF(IFERROR(VLOOKUP(L132,DB_Agents!$B:$I,8,0),"")=M132,"Pending","🔒 BLOCKED — Wrong Code")))</f>
        <v>Pending</v>
      </c>
      <c r="M132" s="84"/>
    </row>
    <row r="133" spans="8:13" x14ac:dyDescent="0.25">
      <c r="H133" s="114"/>
      <c r="K133" s="15" t="str">
        <f>IF(B133="","Pending",IF(M133="","⚠️ Enter Code",IF(IFERROR(VLOOKUP(L133,DB_Agents!$B:$I,8,0),"")=M133,"Pending","🔒 BLOCKED — Wrong Code")))</f>
        <v>Pending</v>
      </c>
      <c r="M133" s="84"/>
    </row>
    <row r="134" spans="8:13" x14ac:dyDescent="0.25">
      <c r="H134" s="114"/>
      <c r="K134" s="115" t="str">
        <f>IF(B134="","Pending",IF(M134="","⚠️ Enter Code",IF(IFERROR(VLOOKUP(L134,DB_Agents!$B:$I,8,0),"")=M134,"Pending","🔒 BLOCKED — Wrong Code")))</f>
        <v>Pending</v>
      </c>
      <c r="M134" s="84"/>
    </row>
    <row r="135" spans="8:13" x14ac:dyDescent="0.25">
      <c r="H135" s="114"/>
      <c r="K135" s="15" t="str">
        <f>IF(B135="","Pending",IF(M135="","⚠️ Enter Code",IF(IFERROR(VLOOKUP(L135,DB_Agents!$B:$I,8,0),"")=M135,"Pending","🔒 BLOCKED — Wrong Code")))</f>
        <v>Pending</v>
      </c>
      <c r="M135" s="84"/>
    </row>
    <row r="136" spans="8:13" x14ac:dyDescent="0.25">
      <c r="H136" s="114"/>
      <c r="K136" s="115" t="str">
        <f>IF(B136="","Pending",IF(M136="","⚠️ Enter Code",IF(IFERROR(VLOOKUP(L136,DB_Agents!$B:$I,8,0),"")=M136,"Pending","🔒 BLOCKED — Wrong Code")))</f>
        <v>Pending</v>
      </c>
      <c r="M136" s="84"/>
    </row>
    <row r="137" spans="8:13" x14ac:dyDescent="0.25">
      <c r="H137" s="114"/>
      <c r="K137" s="15" t="str">
        <f>IF(B137="","Pending",IF(M137="","⚠️ Enter Code",IF(IFERROR(VLOOKUP(L137,DB_Agents!$B:$I,8,0),"")=M137,"Pending","🔒 BLOCKED — Wrong Code")))</f>
        <v>Pending</v>
      </c>
      <c r="M137" s="84"/>
    </row>
    <row r="138" spans="8:13" x14ac:dyDescent="0.25">
      <c r="H138" s="114"/>
      <c r="K138" s="115" t="str">
        <f>IF(B138="","Pending",IF(M138="","⚠️ Enter Code",IF(IFERROR(VLOOKUP(L138,DB_Agents!$B:$I,8,0),"")=M138,"Pending","🔒 BLOCKED — Wrong Code")))</f>
        <v>Pending</v>
      </c>
      <c r="M138" s="84"/>
    </row>
    <row r="139" spans="8:13" x14ac:dyDescent="0.25">
      <c r="H139" s="114"/>
      <c r="K139" s="15" t="str">
        <f>IF(B139="","Pending",IF(M139="","⚠️ Enter Code",IF(IFERROR(VLOOKUP(L139,DB_Agents!$B:$I,8,0),"")=M139,"Pending","🔒 BLOCKED — Wrong Code")))</f>
        <v>Pending</v>
      </c>
      <c r="M139" s="84"/>
    </row>
    <row r="140" spans="8:13" x14ac:dyDescent="0.25">
      <c r="H140" s="114"/>
      <c r="K140" s="115" t="str">
        <f>IF(B140="","Pending",IF(M140="","⚠️ Enter Code",IF(IFERROR(VLOOKUP(L140,DB_Agents!$B:$I,8,0),"")=M140,"Pending","🔒 BLOCKED — Wrong Code")))</f>
        <v>Pending</v>
      </c>
      <c r="M140" s="84"/>
    </row>
    <row r="141" spans="8:13" x14ac:dyDescent="0.25">
      <c r="H141" s="114"/>
      <c r="K141" s="15" t="str">
        <f>IF(B141="","Pending",IF(M141="","⚠️ Enter Code",IF(IFERROR(VLOOKUP(L141,DB_Agents!$B:$I,8,0),"")=M141,"Pending","🔒 BLOCKED — Wrong Code")))</f>
        <v>Pending</v>
      </c>
      <c r="M141" s="84"/>
    </row>
    <row r="142" spans="8:13" x14ac:dyDescent="0.25">
      <c r="H142" s="114"/>
      <c r="K142" s="115" t="str">
        <f>IF(B142="","Pending",IF(M142="","⚠️ Enter Code",IF(IFERROR(VLOOKUP(L142,DB_Agents!$B:$I,8,0),"")=M142,"Pending","🔒 BLOCKED — Wrong Code")))</f>
        <v>Pending</v>
      </c>
      <c r="M142" s="84"/>
    </row>
    <row r="143" spans="8:13" x14ac:dyDescent="0.25">
      <c r="H143" s="114"/>
      <c r="K143" s="15" t="str">
        <f>IF(B143="","Pending",IF(M143="","⚠️ Enter Code",IF(IFERROR(VLOOKUP(L143,DB_Agents!$B:$I,8,0),"")=M143,"Pending","🔒 BLOCKED — Wrong Code")))</f>
        <v>Pending</v>
      </c>
      <c r="M143" s="84"/>
    </row>
    <row r="144" spans="8:13" x14ac:dyDescent="0.25">
      <c r="H144" s="114"/>
      <c r="K144" s="115" t="str">
        <f>IF(B144="","Pending",IF(M144="","⚠️ Enter Code",IF(IFERROR(VLOOKUP(L144,DB_Agents!$B:$I,8,0),"")=M144,"Pending","🔒 BLOCKED — Wrong Code")))</f>
        <v>Pending</v>
      </c>
      <c r="M144" s="84"/>
    </row>
    <row r="145" spans="8:13" x14ac:dyDescent="0.25">
      <c r="H145" s="114"/>
      <c r="K145" s="15" t="str">
        <f>IF(B145="","Pending",IF(M145="","⚠️ Enter Code",IF(IFERROR(VLOOKUP(L145,DB_Agents!$B:$I,8,0),"")=M145,"Pending","🔒 BLOCKED — Wrong Code")))</f>
        <v>Pending</v>
      </c>
      <c r="M145" s="84"/>
    </row>
    <row r="146" spans="8:13" x14ac:dyDescent="0.25">
      <c r="H146" s="114"/>
      <c r="K146" s="115" t="str">
        <f>IF(B146="","Pending",IF(M146="","⚠️ Enter Code",IF(IFERROR(VLOOKUP(L146,DB_Agents!$B:$I,8,0),"")=M146,"Pending","🔒 BLOCKED — Wrong Code")))</f>
        <v>Pending</v>
      </c>
      <c r="M146" s="84"/>
    </row>
    <row r="147" spans="8:13" x14ac:dyDescent="0.25">
      <c r="H147" s="114"/>
      <c r="K147" s="15" t="str">
        <f>IF(B147="","Pending",IF(M147="","⚠️ Enter Code",IF(IFERROR(VLOOKUP(L147,DB_Agents!$B:$I,8,0),"")=M147,"Pending","🔒 BLOCKED — Wrong Code")))</f>
        <v>Pending</v>
      </c>
      <c r="M147" s="84"/>
    </row>
    <row r="148" spans="8:13" x14ac:dyDescent="0.25">
      <c r="H148" s="114"/>
      <c r="K148" s="115" t="str">
        <f>IF(B148="","Pending",IF(M148="","⚠️ Enter Code",IF(IFERROR(VLOOKUP(L148,DB_Agents!$B:$I,8,0),"")=M148,"Pending","🔒 BLOCKED — Wrong Code")))</f>
        <v>Pending</v>
      </c>
      <c r="M148" s="84"/>
    </row>
    <row r="149" spans="8:13" x14ac:dyDescent="0.25">
      <c r="H149" s="114"/>
      <c r="K149" s="15" t="str">
        <f>IF(B149="","Pending",IF(M149="","⚠️ Enter Code",IF(IFERROR(VLOOKUP(L149,DB_Agents!$B:$I,8,0),"")=M149,"Pending","🔒 BLOCKED — Wrong Code")))</f>
        <v>Pending</v>
      </c>
      <c r="M149" s="84"/>
    </row>
    <row r="150" spans="8:13" x14ac:dyDescent="0.25">
      <c r="H150" s="114"/>
      <c r="K150" s="115" t="str">
        <f>IF(B150="","Pending",IF(M150="","⚠️ Enter Code",IF(IFERROR(VLOOKUP(L150,DB_Agents!$B:$I,8,0),"")=M150,"Pending","🔒 BLOCKED — Wrong Code")))</f>
        <v>Pending</v>
      </c>
      <c r="M150" s="84"/>
    </row>
    <row r="151" spans="8:13" x14ac:dyDescent="0.25">
      <c r="H151" s="114"/>
      <c r="K151" s="15" t="str">
        <f>IF(B151="","Pending",IF(M151="","⚠️ Enter Code",IF(IFERROR(VLOOKUP(L151,DB_Agents!$B:$I,8,0),"")=M151,"Pending","🔒 BLOCKED — Wrong Code")))</f>
        <v>Pending</v>
      </c>
      <c r="M151" s="84"/>
    </row>
    <row r="152" spans="8:13" x14ac:dyDescent="0.25">
      <c r="H152" s="114"/>
      <c r="K152" s="115" t="str">
        <f>IF(B152="","Pending",IF(M152="","⚠️ Enter Code",IF(IFERROR(VLOOKUP(L152,DB_Agents!$B:$I,8,0),"")=M152,"Pending","🔒 BLOCKED — Wrong Code")))</f>
        <v>Pending</v>
      </c>
      <c r="M152" s="84"/>
    </row>
    <row r="153" spans="8:13" x14ac:dyDescent="0.25">
      <c r="H153" s="114"/>
      <c r="K153" s="15" t="str">
        <f>IF(B153="","Pending",IF(M153="","⚠️ Enter Code",IF(IFERROR(VLOOKUP(L153,DB_Agents!$B:$I,8,0),"")=M153,"Pending","🔒 BLOCKED — Wrong Code")))</f>
        <v>Pending</v>
      </c>
      <c r="M153" s="84"/>
    </row>
    <row r="154" spans="8:13" x14ac:dyDescent="0.25">
      <c r="H154" s="114"/>
      <c r="K154" s="115" t="str">
        <f>IF(B154="","Pending",IF(M154="","⚠️ Enter Code",IF(IFERROR(VLOOKUP(L154,DB_Agents!$B:$I,8,0),"")=M154,"Pending","🔒 BLOCKED — Wrong Code")))</f>
        <v>Pending</v>
      </c>
      <c r="M154" s="84"/>
    </row>
    <row r="155" spans="8:13" x14ac:dyDescent="0.25">
      <c r="H155" s="114"/>
      <c r="K155" s="15" t="str">
        <f>IF(B155="","Pending",IF(M155="","⚠️ Enter Code",IF(IFERROR(VLOOKUP(L155,DB_Agents!$B:$I,8,0),"")=M155,"Pending","🔒 BLOCKED — Wrong Code")))</f>
        <v>Pending</v>
      </c>
      <c r="M155" s="84"/>
    </row>
    <row r="156" spans="8:13" x14ac:dyDescent="0.25">
      <c r="H156" s="114"/>
      <c r="K156" s="115" t="str">
        <f>IF(B156="","Pending",IF(M156="","⚠️ Enter Code",IF(IFERROR(VLOOKUP(L156,DB_Agents!$B:$I,8,0),"")=M156,"Pending","🔒 BLOCKED — Wrong Code")))</f>
        <v>Pending</v>
      </c>
      <c r="M156" s="84"/>
    </row>
    <row r="157" spans="8:13" x14ac:dyDescent="0.25">
      <c r="H157" s="114"/>
      <c r="K157" s="15" t="str">
        <f>IF(B157="","Pending",IF(M157="","⚠️ Enter Code",IF(IFERROR(VLOOKUP(L157,DB_Agents!$B:$I,8,0),"")=M157,"Pending","🔒 BLOCKED — Wrong Code")))</f>
        <v>Pending</v>
      </c>
      <c r="M157" s="84"/>
    </row>
    <row r="158" spans="8:13" x14ac:dyDescent="0.25">
      <c r="H158" s="114"/>
      <c r="K158" s="115" t="str">
        <f>IF(B158="","Pending",IF(M158="","⚠️ Enter Code",IF(IFERROR(VLOOKUP(L158,DB_Agents!$B:$I,8,0),"")=M158,"Pending","🔒 BLOCKED — Wrong Code")))</f>
        <v>Pending</v>
      </c>
      <c r="M158" s="84"/>
    </row>
    <row r="159" spans="8:13" x14ac:dyDescent="0.25">
      <c r="H159" s="114"/>
      <c r="K159" s="15" t="str">
        <f>IF(B159="","Pending",IF(M159="","⚠️ Enter Code",IF(IFERROR(VLOOKUP(L159,DB_Agents!$B:$I,8,0),"")=M159,"Pending","🔒 BLOCKED — Wrong Code")))</f>
        <v>Pending</v>
      </c>
      <c r="M159" s="84"/>
    </row>
    <row r="160" spans="8:13" x14ac:dyDescent="0.25">
      <c r="H160" s="114"/>
      <c r="K160" s="115" t="str">
        <f>IF(B160="","Pending",IF(M160="","⚠️ Enter Code",IF(IFERROR(VLOOKUP(L160,DB_Agents!$B:$I,8,0),"")=M160,"Pending","🔒 BLOCKED — Wrong Code")))</f>
        <v>Pending</v>
      </c>
      <c r="M160" s="84"/>
    </row>
    <row r="161" spans="8:13" x14ac:dyDescent="0.25">
      <c r="H161" s="114"/>
      <c r="K161" s="15" t="str">
        <f>IF(B161="","Pending",IF(M161="","⚠️ Enter Code",IF(IFERROR(VLOOKUP(L161,DB_Agents!$B:$I,8,0),"")=M161,"Pending","🔒 BLOCKED — Wrong Code")))</f>
        <v>Pending</v>
      </c>
      <c r="M161" s="84"/>
    </row>
    <row r="162" spans="8:13" x14ac:dyDescent="0.25">
      <c r="H162" s="114"/>
      <c r="K162" s="115" t="str">
        <f>IF(B162="","Pending",IF(M162="","⚠️ Enter Code",IF(IFERROR(VLOOKUP(L162,DB_Agents!$B:$I,8,0),"")=M162,"Pending","🔒 BLOCKED — Wrong Code")))</f>
        <v>Pending</v>
      </c>
      <c r="M162" s="84"/>
    </row>
    <row r="163" spans="8:13" x14ac:dyDescent="0.25">
      <c r="H163" s="114"/>
      <c r="K163" s="15" t="str">
        <f>IF(B163="","Pending",IF(M163="","⚠️ Enter Code",IF(IFERROR(VLOOKUP(L163,DB_Agents!$B:$I,8,0),"")=M163,"Pending","🔒 BLOCKED — Wrong Code")))</f>
        <v>Pending</v>
      </c>
      <c r="M163" s="84"/>
    </row>
    <row r="164" spans="8:13" x14ac:dyDescent="0.25">
      <c r="H164" s="114"/>
      <c r="K164" s="115" t="str">
        <f>IF(B164="","Pending",IF(M164="","⚠️ Enter Code",IF(IFERROR(VLOOKUP(L164,DB_Agents!$B:$I,8,0),"")=M164,"Pending","🔒 BLOCKED — Wrong Code")))</f>
        <v>Pending</v>
      </c>
      <c r="M164" s="84"/>
    </row>
    <row r="165" spans="8:13" x14ac:dyDescent="0.25">
      <c r="H165" s="114"/>
      <c r="K165" s="15" t="str">
        <f>IF(B165="","Pending",IF(M165="","⚠️ Enter Code",IF(IFERROR(VLOOKUP(L165,DB_Agents!$B:$I,8,0),"")=M165,"Pending","🔒 BLOCKED — Wrong Code")))</f>
        <v>Pending</v>
      </c>
      <c r="M165" s="84"/>
    </row>
    <row r="166" spans="8:13" x14ac:dyDescent="0.25">
      <c r="H166" s="114"/>
      <c r="K166" s="115" t="str">
        <f>IF(B166="","Pending",IF(M166="","⚠️ Enter Code",IF(IFERROR(VLOOKUP(L166,DB_Agents!$B:$I,8,0),"")=M166,"Pending","🔒 BLOCKED — Wrong Code")))</f>
        <v>Pending</v>
      </c>
      <c r="M166" s="84"/>
    </row>
    <row r="167" spans="8:13" x14ac:dyDescent="0.25">
      <c r="H167" s="114"/>
      <c r="K167" s="15" t="str">
        <f>IF(B167="","Pending",IF(M167="","⚠️ Enter Code",IF(IFERROR(VLOOKUP(L167,DB_Agents!$B:$I,8,0),"")=M167,"Pending","🔒 BLOCKED — Wrong Code")))</f>
        <v>Pending</v>
      </c>
      <c r="M167" s="84"/>
    </row>
    <row r="168" spans="8:13" x14ac:dyDescent="0.25">
      <c r="H168" s="114"/>
      <c r="K168" s="115" t="str">
        <f>IF(B168="","Pending",IF(M168="","⚠️ Enter Code",IF(IFERROR(VLOOKUP(L168,DB_Agents!$B:$I,8,0),"")=M168,"Pending","🔒 BLOCKED — Wrong Code")))</f>
        <v>Pending</v>
      </c>
      <c r="M168" s="84"/>
    </row>
    <row r="169" spans="8:13" x14ac:dyDescent="0.25">
      <c r="H169" s="114"/>
      <c r="K169" s="15" t="str">
        <f>IF(B169="","Pending",IF(M169="","⚠️ Enter Code",IF(IFERROR(VLOOKUP(L169,DB_Agents!$B:$I,8,0),"")=M169,"Pending","🔒 BLOCKED — Wrong Code")))</f>
        <v>Pending</v>
      </c>
      <c r="M169" s="84"/>
    </row>
    <row r="170" spans="8:13" x14ac:dyDescent="0.25">
      <c r="H170" s="114"/>
      <c r="K170" s="115" t="str">
        <f>IF(B170="","Pending",IF(M170="","⚠️ Enter Code",IF(IFERROR(VLOOKUP(L170,DB_Agents!$B:$I,8,0),"")=M170,"Pending","🔒 BLOCKED — Wrong Code")))</f>
        <v>Pending</v>
      </c>
      <c r="M170" s="84"/>
    </row>
    <row r="171" spans="8:13" x14ac:dyDescent="0.25">
      <c r="H171" s="114"/>
      <c r="K171" s="15" t="str">
        <f>IF(B171="","Pending",IF(M171="","⚠️ Enter Code",IF(IFERROR(VLOOKUP(L171,DB_Agents!$B:$I,8,0),"")=M171,"Pending","🔒 BLOCKED — Wrong Code")))</f>
        <v>Pending</v>
      </c>
      <c r="M171" s="84"/>
    </row>
    <row r="172" spans="8:13" x14ac:dyDescent="0.25">
      <c r="H172" s="114"/>
      <c r="K172" s="115" t="str">
        <f>IF(B172="","Pending",IF(M172="","⚠️ Enter Code",IF(IFERROR(VLOOKUP(L172,DB_Agents!$B:$I,8,0),"")=M172,"Pending","🔒 BLOCKED — Wrong Code")))</f>
        <v>Pending</v>
      </c>
      <c r="M172" s="84"/>
    </row>
    <row r="173" spans="8:13" x14ac:dyDescent="0.25">
      <c r="H173" s="114"/>
      <c r="K173" s="15" t="str">
        <f>IF(B173="","Pending",IF(M173="","⚠️ Enter Code",IF(IFERROR(VLOOKUP(L173,DB_Agents!$B:$I,8,0),"")=M173,"Pending","🔒 BLOCKED — Wrong Code")))</f>
        <v>Pending</v>
      </c>
      <c r="M173" s="84"/>
    </row>
    <row r="174" spans="8:13" x14ac:dyDescent="0.25">
      <c r="H174" s="114"/>
      <c r="K174" s="115" t="str">
        <f>IF(B174="","Pending",IF(M174="","⚠️ Enter Code",IF(IFERROR(VLOOKUP(L174,DB_Agents!$B:$I,8,0),"")=M174,"Pending","🔒 BLOCKED — Wrong Code")))</f>
        <v>Pending</v>
      </c>
      <c r="M174" s="84"/>
    </row>
    <row r="175" spans="8:13" x14ac:dyDescent="0.25">
      <c r="H175" s="114"/>
      <c r="K175" s="15" t="str">
        <f>IF(B175="","Pending",IF(M175="","⚠️ Enter Code",IF(IFERROR(VLOOKUP(L175,DB_Agents!$B:$I,8,0),"")=M175,"Pending","🔒 BLOCKED — Wrong Code")))</f>
        <v>Pending</v>
      </c>
      <c r="M175" s="84"/>
    </row>
    <row r="176" spans="8:13" x14ac:dyDescent="0.25">
      <c r="H176" s="114"/>
      <c r="K176" s="115" t="str">
        <f>IF(B176="","Pending",IF(M176="","⚠️ Enter Code",IF(IFERROR(VLOOKUP(L176,DB_Agents!$B:$I,8,0),"")=M176,"Pending","🔒 BLOCKED — Wrong Code")))</f>
        <v>Pending</v>
      </c>
      <c r="M176" s="84"/>
    </row>
    <row r="177" spans="8:13" x14ac:dyDescent="0.25">
      <c r="H177" s="114"/>
      <c r="K177" s="15" t="str">
        <f>IF(B177="","Pending",IF(M177="","⚠️ Enter Code",IF(IFERROR(VLOOKUP(L177,DB_Agents!$B:$I,8,0),"")=M177,"Pending","🔒 BLOCKED — Wrong Code")))</f>
        <v>Pending</v>
      </c>
      <c r="M177" s="84"/>
    </row>
    <row r="178" spans="8:13" x14ac:dyDescent="0.25">
      <c r="H178" s="114"/>
      <c r="K178" s="115" t="str">
        <f>IF(B178="","Pending",IF(M178="","⚠️ Enter Code",IF(IFERROR(VLOOKUP(L178,DB_Agents!$B:$I,8,0),"")=M178,"Pending","🔒 BLOCKED — Wrong Code")))</f>
        <v>Pending</v>
      </c>
      <c r="M178" s="84"/>
    </row>
    <row r="179" spans="8:13" x14ac:dyDescent="0.25">
      <c r="H179" s="114"/>
      <c r="K179" s="15" t="str">
        <f>IF(B179="","Pending",IF(M179="","⚠️ Enter Code",IF(IFERROR(VLOOKUP(L179,DB_Agents!$B:$I,8,0),"")=M179,"Pending","🔒 BLOCKED — Wrong Code")))</f>
        <v>Pending</v>
      </c>
      <c r="M179" s="84"/>
    </row>
    <row r="180" spans="8:13" x14ac:dyDescent="0.25">
      <c r="H180" s="114"/>
      <c r="K180" s="115" t="str">
        <f>IF(B180="","Pending",IF(M180="","⚠️ Enter Code",IF(IFERROR(VLOOKUP(L180,DB_Agents!$B:$I,8,0),"")=M180,"Pending","🔒 BLOCKED — Wrong Code")))</f>
        <v>Pending</v>
      </c>
      <c r="M180" s="84"/>
    </row>
    <row r="181" spans="8:13" x14ac:dyDescent="0.25">
      <c r="H181" s="114"/>
      <c r="K181" s="15" t="str">
        <f>IF(B181="","Pending",IF(M181="","⚠️ Enter Code",IF(IFERROR(VLOOKUP(L181,DB_Agents!$B:$I,8,0),"")=M181,"Pending","🔒 BLOCKED — Wrong Code")))</f>
        <v>Pending</v>
      </c>
      <c r="M181" s="84"/>
    </row>
    <row r="182" spans="8:13" x14ac:dyDescent="0.25">
      <c r="H182" s="114"/>
      <c r="K182" s="115" t="str">
        <f>IF(B182="","Pending",IF(M182="","⚠️ Enter Code",IF(IFERROR(VLOOKUP(L182,DB_Agents!$B:$I,8,0),"")=M182,"Pending","🔒 BLOCKED — Wrong Code")))</f>
        <v>Pending</v>
      </c>
      <c r="M182" s="84"/>
    </row>
    <row r="183" spans="8:13" x14ac:dyDescent="0.25">
      <c r="H183" s="114"/>
      <c r="K183" s="15" t="str">
        <f>IF(B183="","Pending",IF(M183="","⚠️ Enter Code",IF(IFERROR(VLOOKUP(L183,DB_Agents!$B:$I,8,0),"")=M183,"Pending","🔒 BLOCKED — Wrong Code")))</f>
        <v>Pending</v>
      </c>
      <c r="M183" s="84"/>
    </row>
    <row r="184" spans="8:13" x14ac:dyDescent="0.25">
      <c r="H184" s="114"/>
      <c r="K184" s="115" t="str">
        <f>IF(B184="","Pending",IF(M184="","⚠️ Enter Code",IF(IFERROR(VLOOKUP(L184,DB_Agents!$B:$I,8,0),"")=M184,"Pending","🔒 BLOCKED — Wrong Code")))</f>
        <v>Pending</v>
      </c>
      <c r="M184" s="84"/>
    </row>
    <row r="185" spans="8:13" x14ac:dyDescent="0.25">
      <c r="H185" s="114"/>
      <c r="K185" s="15" t="str">
        <f>IF(B185="","Pending",IF(M185="","⚠️ Enter Code",IF(IFERROR(VLOOKUP(L185,DB_Agents!$B:$I,8,0),"")=M185,"Pending","🔒 BLOCKED — Wrong Code")))</f>
        <v>Pending</v>
      </c>
      <c r="M185" s="84"/>
    </row>
    <row r="186" spans="8:13" x14ac:dyDescent="0.25">
      <c r="H186" s="114"/>
      <c r="K186" s="115" t="str">
        <f>IF(B186="","Pending",IF(M186="","⚠️ Enter Code",IF(IFERROR(VLOOKUP(L186,DB_Agents!$B:$I,8,0),"")=M186,"Pending","🔒 BLOCKED — Wrong Code")))</f>
        <v>Pending</v>
      </c>
      <c r="M186" s="84"/>
    </row>
    <row r="187" spans="8:13" x14ac:dyDescent="0.25">
      <c r="H187" s="114"/>
      <c r="K187" s="15" t="str">
        <f>IF(B187="","Pending",IF(M187="","⚠️ Enter Code",IF(IFERROR(VLOOKUP(L187,DB_Agents!$B:$I,8,0),"")=M187,"Pending","🔒 BLOCKED — Wrong Code")))</f>
        <v>Pending</v>
      </c>
      <c r="M187" s="84"/>
    </row>
    <row r="188" spans="8:13" x14ac:dyDescent="0.25">
      <c r="H188" s="114"/>
      <c r="K188" s="115" t="str">
        <f>IF(B188="","Pending",IF(M188="","⚠️ Enter Code",IF(IFERROR(VLOOKUP(L188,DB_Agents!$B:$I,8,0),"")=M188,"Pending","🔒 BLOCKED — Wrong Code")))</f>
        <v>Pending</v>
      </c>
      <c r="M188" s="84"/>
    </row>
    <row r="189" spans="8:13" x14ac:dyDescent="0.25">
      <c r="H189" s="114"/>
      <c r="K189" s="15" t="str">
        <f>IF(B189="","Pending",IF(M189="","⚠️ Enter Code",IF(IFERROR(VLOOKUP(L189,DB_Agents!$B:$I,8,0),"")=M189,"Pending","🔒 BLOCKED — Wrong Code")))</f>
        <v>Pending</v>
      </c>
      <c r="M189" s="84"/>
    </row>
    <row r="190" spans="8:13" x14ac:dyDescent="0.25">
      <c r="H190" s="114"/>
      <c r="K190" s="115" t="str">
        <f>IF(B190="","Pending",IF(M190="","⚠️ Enter Code",IF(IFERROR(VLOOKUP(L190,DB_Agents!$B:$I,8,0),"")=M190,"Pending","🔒 BLOCKED — Wrong Code")))</f>
        <v>Pending</v>
      </c>
      <c r="M190" s="84"/>
    </row>
    <row r="191" spans="8:13" x14ac:dyDescent="0.25">
      <c r="H191" s="114"/>
      <c r="K191" s="15" t="str">
        <f>IF(B191="","Pending",IF(M191="","⚠️ Enter Code",IF(IFERROR(VLOOKUP(L191,DB_Agents!$B:$I,8,0),"")=M191,"Pending","🔒 BLOCKED — Wrong Code")))</f>
        <v>Pending</v>
      </c>
      <c r="M191" s="84"/>
    </row>
    <row r="192" spans="8:13" x14ac:dyDescent="0.25">
      <c r="H192" s="114"/>
      <c r="K192" s="115" t="str">
        <f>IF(B192="","Pending",IF(M192="","⚠️ Enter Code",IF(IFERROR(VLOOKUP(L192,DB_Agents!$B:$I,8,0),"")=M192,"Pending","🔒 BLOCKED — Wrong Code")))</f>
        <v>Pending</v>
      </c>
      <c r="M192" s="84"/>
    </row>
    <row r="193" spans="8:13" x14ac:dyDescent="0.25">
      <c r="H193" s="114"/>
      <c r="K193" s="15" t="str">
        <f>IF(B193="","Pending",IF(M193="","⚠️ Enter Code",IF(IFERROR(VLOOKUP(L193,DB_Agents!$B:$I,8,0),"")=M193,"Pending","🔒 BLOCKED — Wrong Code")))</f>
        <v>Pending</v>
      </c>
      <c r="M193" s="84"/>
    </row>
    <row r="194" spans="8:13" x14ac:dyDescent="0.25">
      <c r="H194" s="114"/>
      <c r="K194" s="115" t="str">
        <f>IF(B194="","Pending",IF(M194="","⚠️ Enter Code",IF(IFERROR(VLOOKUP(L194,DB_Agents!$B:$I,8,0),"")=M194,"Pending","🔒 BLOCKED — Wrong Code")))</f>
        <v>Pending</v>
      </c>
      <c r="M194" s="84"/>
    </row>
    <row r="195" spans="8:13" x14ac:dyDescent="0.25">
      <c r="H195" s="114"/>
      <c r="K195" s="15" t="str">
        <f>IF(B195="","Pending",IF(M195="","⚠️ Enter Code",IF(IFERROR(VLOOKUP(L195,DB_Agents!$B:$I,8,0),"")=M195,"Pending","🔒 BLOCKED — Wrong Code")))</f>
        <v>Pending</v>
      </c>
      <c r="M195" s="84"/>
    </row>
    <row r="196" spans="8:13" x14ac:dyDescent="0.25">
      <c r="H196" s="114"/>
      <c r="K196" s="115" t="str">
        <f>IF(B196="","Pending",IF(M196="","⚠️ Enter Code",IF(IFERROR(VLOOKUP(L196,DB_Agents!$B:$I,8,0),"")=M196,"Pending","🔒 BLOCKED — Wrong Code")))</f>
        <v>Pending</v>
      </c>
      <c r="M196" s="84"/>
    </row>
    <row r="197" spans="8:13" x14ac:dyDescent="0.25">
      <c r="H197" s="114"/>
      <c r="K197" s="15" t="str">
        <f>IF(B197="","Pending",IF(M197="","⚠️ Enter Code",IF(IFERROR(VLOOKUP(L197,DB_Agents!$B:$I,8,0),"")=M197,"Pending","🔒 BLOCKED — Wrong Code")))</f>
        <v>Pending</v>
      </c>
      <c r="M197" s="84"/>
    </row>
    <row r="198" spans="8:13" x14ac:dyDescent="0.25">
      <c r="H198" s="114"/>
      <c r="K198" s="115" t="str">
        <f>IF(B198="","Pending",IF(M198="","⚠️ Enter Code",IF(IFERROR(VLOOKUP(L198,DB_Agents!$B:$I,8,0),"")=M198,"Pending","🔒 BLOCKED — Wrong Code")))</f>
        <v>Pending</v>
      </c>
      <c r="M198" s="84"/>
    </row>
    <row r="199" spans="8:13" x14ac:dyDescent="0.25">
      <c r="H199" s="114"/>
      <c r="K199" s="15" t="str">
        <f>IF(B199="","Pending",IF(M199="","⚠️ Enter Code",IF(IFERROR(VLOOKUP(L199,DB_Agents!$B:$I,8,0),"")=M199,"Pending","🔒 BLOCKED — Wrong Code")))</f>
        <v>Pending</v>
      </c>
      <c r="M199" s="84"/>
    </row>
    <row r="200" spans="8:13" x14ac:dyDescent="0.25">
      <c r="H200" s="114"/>
      <c r="K200" s="115" t="str">
        <f>IF(B200="","Pending",IF(M200="","⚠️ Enter Code",IF(IFERROR(VLOOKUP(L200,DB_Agents!$B:$I,8,0),"")=M200,"Pending","🔒 BLOCKED — Wrong Code")))</f>
        <v>Pending</v>
      </c>
      <c r="M200" s="84"/>
    </row>
    <row r="201" spans="8:13" x14ac:dyDescent="0.25">
      <c r="K201" s="15" t="str">
        <f>IF(B201="","Pending",IF(M201="","⚠️ Enter Code",IF(IFERROR(VLOOKUP(L201,DB_Agents!$B:$I,8,0),"")=M201,"Pending","🔒 BLOCKED — Wrong Code")))</f>
        <v>Pending</v>
      </c>
      <c r="M201" s="84"/>
    </row>
    <row r="202" spans="8:13" x14ac:dyDescent="0.25">
      <c r="K202" s="115" t="str">
        <f>IF(B202="","Pending",IF(M202="","⚠️ Enter Code",IF(IFERROR(VLOOKUP(L202,DB_Agents!$B:$I,8,0),"")=M202,"Pending","🔒 BLOCKED — Wrong Code")))</f>
        <v>Pending</v>
      </c>
      <c r="M202" s="84"/>
    </row>
    <row r="203" spans="8:13" x14ac:dyDescent="0.25">
      <c r="K203" s="15" t="str">
        <f>IF(B203="","Pending",IF(M203="","⚠️ Enter Code",IF(IFERROR(VLOOKUP(L203,DB_Agents!$B:$I,8,0),"")=M203,"Pending","🔒 BLOCKED — Wrong Code")))</f>
        <v>Pending</v>
      </c>
      <c r="M203" s="84"/>
    </row>
    <row r="204" spans="8:13" x14ac:dyDescent="0.25">
      <c r="K204" s="115" t="str">
        <f>IF(B204="","Pending",IF(M204="","⚠️ Enter Code",IF(IFERROR(VLOOKUP(L204,DB_Agents!$B:$I,8,0),"")=M204,"Pending","🔒 BLOCKED — Wrong Code")))</f>
        <v>Pending</v>
      </c>
      <c r="M204" s="84"/>
    </row>
    <row r="205" spans="8:13" x14ac:dyDescent="0.25">
      <c r="K205" s="15" t="str">
        <f>IF(B205="","Pending",IF(M205="","⚠️ Enter Code",IF(IFERROR(VLOOKUP(L205,DB_Agents!$B:$I,8,0),"")=M205,"Pending","🔒 BLOCKED — Wrong Code")))</f>
        <v>Pending</v>
      </c>
      <c r="M205" s="84"/>
    </row>
    <row r="206" spans="8:13" x14ac:dyDescent="0.25">
      <c r="K206" s="115" t="str">
        <f>IF(B206="","Pending",IF(M206="","⚠️ Enter Code",IF(IFERROR(VLOOKUP(L206,DB_Agents!$B:$I,8,0),"")=M206,"Pending","🔒 BLOCKED — Wrong Code")))</f>
        <v>Pending</v>
      </c>
      <c r="M206" s="84"/>
    </row>
    <row r="207" spans="8:13" x14ac:dyDescent="0.25">
      <c r="K207" s="15" t="str">
        <f>IF(B207="","Pending",IF(M207="","⚠️ Enter Code",IF(IFERROR(VLOOKUP(L207,DB_Agents!$B:$I,8,0),"")=M207,"Pending","🔒 BLOCKED — Wrong Code")))</f>
        <v>Pending</v>
      </c>
      <c r="M207" s="84"/>
    </row>
    <row r="208" spans="8:13" x14ac:dyDescent="0.25">
      <c r="K208" s="115" t="str">
        <f>IF(B208="","Pending",IF(M208="","⚠️ Enter Code",IF(IFERROR(VLOOKUP(L208,DB_Agents!$B:$I,8,0),"")=M208,"Pending","🔒 BLOCKED — Wrong Code")))</f>
        <v>Pending</v>
      </c>
      <c r="M208" s="84"/>
    </row>
    <row r="209" spans="11:13" x14ac:dyDescent="0.25">
      <c r="K209" s="15" t="str">
        <f>IF(B209="","Pending",IF(M209="","⚠️ Enter Code",IF(IFERROR(VLOOKUP(L209,DB_Agents!$B:$I,8,0),"")=M209,"Pending","🔒 BLOCKED — Wrong Code")))</f>
        <v>Pending</v>
      </c>
      <c r="M209" s="84"/>
    </row>
    <row r="210" spans="11:13" x14ac:dyDescent="0.25">
      <c r="K210" s="115" t="str">
        <f>IF(B210="","Pending",IF(M210="","⚠️ Enter Code",IF(IFERROR(VLOOKUP(L210,DB_Agents!$B:$I,8,0),"")=M210,"Pending","🔒 BLOCKED — Wrong Code")))</f>
        <v>Pending</v>
      </c>
      <c r="M210" s="84"/>
    </row>
    <row r="211" spans="11:13" x14ac:dyDescent="0.25">
      <c r="K211" s="15" t="str">
        <f>IF(B211="","Pending",IF(M211="","⚠️ Enter Code",IF(IFERROR(VLOOKUP(L211,DB_Agents!$B:$I,8,0),"")=M211,"Pending","🔒 BLOCKED — Wrong Code")))</f>
        <v>Pending</v>
      </c>
      <c r="M211" s="84"/>
    </row>
    <row r="212" spans="11:13" x14ac:dyDescent="0.25">
      <c r="K212" s="115" t="str">
        <f>IF(B212="","Pending",IF(M212="","⚠️ Enter Code",IF(IFERROR(VLOOKUP(L212,DB_Agents!$B:$I,8,0),"")=M212,"Pending","🔒 BLOCKED — Wrong Code")))</f>
        <v>Pending</v>
      </c>
      <c r="M212" s="84"/>
    </row>
    <row r="213" spans="11:13" x14ac:dyDescent="0.25">
      <c r="K213" s="15" t="str">
        <f>IF(B213="","Pending",IF(M213="","⚠️ Enter Code",IF(IFERROR(VLOOKUP(L213,DB_Agents!$B:$I,8,0),"")=M213,"Pending","🔒 BLOCKED — Wrong Code")))</f>
        <v>Pending</v>
      </c>
      <c r="M213" s="84"/>
    </row>
  </sheetData>
  <mergeCells count="10">
    <mergeCell ref="B7:D7"/>
    <mergeCell ref="B8:D8"/>
    <mergeCell ref="B9:D9"/>
    <mergeCell ref="B10:D10"/>
    <mergeCell ref="A12:N12"/>
    <mergeCell ref="A1:N1"/>
    <mergeCell ref="A2:N2"/>
    <mergeCell ref="A4:D4"/>
    <mergeCell ref="B5:D5"/>
    <mergeCell ref="B6:D6"/>
  </mergeCells>
  <conditionalFormatting sqref="K14:K113">
    <cfRule type="cellIs" dxfId="45" priority="2" operator="equal">
      <formula>"Approved"</formula>
    </cfRule>
    <cfRule type="cellIs" dxfId="44" priority="3" operator="equal">
      <formula>"Pending"</formula>
    </cfRule>
    <cfRule type="cellIs" dxfId="43" priority="4" operator="equal">
      <formula>"Rejected"</formula>
    </cfRule>
  </conditionalFormatting>
  <dataValidations count="2">
    <dataValidation type="whole" showErrorMessage="1" error="Enter 1-36 months" sqref="G14:G113" xr:uid="{00000000-0002-0000-1600-000000000000}">
      <formula1>1</formula1>
      <formula2>36</formula2>
    </dataValidation>
    <dataValidation type="list" sqref="L14:L113" xr:uid="{00000000-0002-0000-16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tabColor rgb="FF27AE60"/>
  </sheetPr>
  <dimension ref="A1:L208"/>
  <sheetViews>
    <sheetView zoomScaleNormal="100" workbookViewId="0">
      <pane ySplit="8" topLeftCell="A9" activePane="bottomLeft" state="frozen"/>
      <selection pane="bottomLeft"/>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2" customWidth="1"/>
    <col min="8" max="8" width="14" customWidth="1"/>
    <col min="9" max="10" width="22" customWidth="1"/>
  </cols>
  <sheetData>
    <row r="1" spans="1:12" ht="31.5" customHeight="1" x14ac:dyDescent="0.25">
      <c r="A1" s="14" t="s">
        <v>220</v>
      </c>
      <c r="B1" s="14"/>
      <c r="C1" s="14"/>
      <c r="D1" s="14"/>
      <c r="E1" s="14"/>
      <c r="F1" s="14"/>
      <c r="G1" s="14"/>
      <c r="H1" s="14"/>
      <c r="I1" s="14"/>
      <c r="J1" s="14"/>
      <c r="K1" s="14"/>
      <c r="L1" s="14"/>
    </row>
    <row r="2" spans="1:12" ht="19.5" customHeight="1" x14ac:dyDescent="0.25">
      <c r="A2" s="204" t="s">
        <v>221</v>
      </c>
      <c r="B2" s="204"/>
      <c r="C2" s="204"/>
      <c r="D2" s="204"/>
      <c r="E2" s="204"/>
      <c r="F2" s="204"/>
      <c r="G2" s="204"/>
      <c r="H2" s="204"/>
      <c r="I2" s="204"/>
      <c r="J2" s="204"/>
      <c r="K2" s="204"/>
      <c r="L2" s="204"/>
    </row>
    <row r="3" spans="1:12" ht="18" customHeight="1" x14ac:dyDescent="0.25">
      <c r="A3" s="177" t="s">
        <v>167</v>
      </c>
      <c r="B3" s="177"/>
      <c r="C3" s="177"/>
      <c r="D3" s="180" t="s">
        <v>168</v>
      </c>
      <c r="E3" s="180"/>
      <c r="F3" s="180"/>
      <c r="G3" s="154" t="s">
        <v>169</v>
      </c>
      <c r="H3" s="154"/>
      <c r="I3" s="154"/>
      <c r="J3" s="2"/>
      <c r="K3" s="2"/>
      <c r="L3" s="2"/>
    </row>
    <row r="4" spans="1:12" ht="27.75" customHeight="1" x14ac:dyDescent="0.25">
      <c r="A4" s="205">
        <f ca="1">SUMIFS(DB_Savings!$F:$F,DB_Savings!$G:$G,"Agent 07",DB_Savings!$E:$E,TODAY())</f>
        <v>0</v>
      </c>
      <c r="B4" s="205"/>
      <c r="C4" s="205"/>
      <c r="D4" s="206">
        <f ca="1">COUNTIFS(DB_Savings!$G:$G,"Agent 07",DB_Savings!$E:$E,TODAY())</f>
        <v>0</v>
      </c>
      <c r="E4" s="206"/>
      <c r="F4" s="206"/>
      <c r="G4" s="207" t="str">
        <f ca="1">TEXT(TODAY(),"DDDD, DD MMMM YYYY")</f>
        <v>Sunday, 19 April 2026</v>
      </c>
      <c r="H4" s="207"/>
      <c r="I4" s="207"/>
      <c r="J4" s="2"/>
      <c r="K4" s="2"/>
      <c r="L4" s="2"/>
    </row>
    <row r="5" spans="1:12" ht="21.75" customHeight="1" x14ac:dyDescent="0.25">
      <c r="A5" s="208" t="str">
        <f ca="1">IF(SUMIFS(DB_Savings!$F:$F,DB_Savings!$G:$G,"Agent 07",DB_Savings!$E:$E,TODAY())&gt;=J4,"✅ DAILY TARGET ACHIEVED! Well done Agent 07!","⏳ Collection in progress — Keep going! Remaining: GHC "&amp;TEXT(J4-SUMIFS(DB_Savings!$F:$F,DB_Savings!$G:$G,"Agent 07",DB_Savings!$E:$E,TODAY()),"#,##0.00"))</f>
        <v>✅ DAILY TARGET ACHIEVED! Well done Agent 07!</v>
      </c>
      <c r="B5" s="208"/>
      <c r="C5" s="208"/>
      <c r="D5" s="208"/>
      <c r="E5" s="208"/>
      <c r="F5" s="208"/>
      <c r="G5" s="208"/>
      <c r="H5" s="208"/>
      <c r="I5" s="208"/>
      <c r="J5" s="208"/>
      <c r="K5" s="208"/>
      <c r="L5" s="208"/>
    </row>
    <row r="6" spans="1:12" ht="7.5" customHeight="1" x14ac:dyDescent="0.25"/>
    <row r="7" spans="1:12" ht="19.5" customHeight="1" x14ac:dyDescent="0.25">
      <c r="A7" s="209" t="s">
        <v>170</v>
      </c>
      <c r="B7" s="209"/>
      <c r="C7" s="209"/>
      <c r="D7" s="209"/>
      <c r="E7" s="209"/>
      <c r="F7" s="209"/>
      <c r="G7" s="209"/>
      <c r="H7" s="209"/>
      <c r="I7" s="209"/>
      <c r="J7" s="209"/>
      <c r="K7" s="209"/>
      <c r="L7" s="209"/>
    </row>
    <row r="8" spans="1:12" ht="19.5" customHeight="1" x14ac:dyDescent="0.25">
      <c r="A8" s="20" t="s">
        <v>171</v>
      </c>
      <c r="B8" s="20" t="s">
        <v>118</v>
      </c>
      <c r="C8" s="20" t="s">
        <v>172</v>
      </c>
      <c r="D8" s="20" t="s">
        <v>111</v>
      </c>
      <c r="E8" s="20" t="s">
        <v>173</v>
      </c>
      <c r="F8" s="20" t="s">
        <v>174</v>
      </c>
      <c r="G8" s="20" t="s">
        <v>32</v>
      </c>
      <c r="H8" s="78" t="s">
        <v>175</v>
      </c>
      <c r="I8" s="20" t="s">
        <v>155</v>
      </c>
      <c r="J8" s="20" t="s">
        <v>176</v>
      </c>
      <c r="K8" s="20" t="s">
        <v>177</v>
      </c>
    </row>
    <row r="9" spans="1:12" x14ac:dyDescent="0.25">
      <c r="A9" s="79"/>
      <c r="B9" s="21" t="str">
        <f>IF(A9="","",IFERROR(VLOOKUP(A9,DB_Customers!$A:$D,4,0),"❌ Account Not Found"))</f>
        <v/>
      </c>
      <c r="C9" s="80" t="str">
        <f>IF(A9="","",IFERROR(VLOOKUP(A9,DB_Customers!$A:$N,14,0),""))</f>
        <v/>
      </c>
      <c r="D9" s="81" t="str">
        <f t="shared" ref="D9:D40" ca="1" si="0">IF(A9="","",TODAY())</f>
        <v/>
      </c>
      <c r="E9" s="82"/>
      <c r="F9" s="83" t="str">
        <f t="shared" ref="F9:F40" si="1">IF(OR(A9="",E9=""),"",IF(C9="","",C9+E9))</f>
        <v/>
      </c>
      <c r="G9" s="23" t="s">
        <v>47</v>
      </c>
      <c r="H9" s="84"/>
      <c r="I9" s="85" t="str">
        <f>IF(A9="","Pending",IF(H9="","⚠️ Enter Code",IF(IFERROR(VLOOKUP(G9,DB_Agents!$B:$I,8,0),"")=H9,IF(AND(A9&lt;&gt;"",E9&lt;&gt;""),"Saved","Pending"),"🔒 BLOCKED — Wrong Code")))</f>
        <v>Pending</v>
      </c>
      <c r="J9" s="86" t="str">
        <f t="shared" ref="J9:J40" ca="1" si="2">IF(I9="Saved",TEXT(TODAY(),"YYYY-MM-DD")&amp;" Auto","—")</f>
        <v>—</v>
      </c>
      <c r="K9" s="87"/>
    </row>
    <row r="10" spans="1:12" x14ac:dyDescent="0.25">
      <c r="A10" s="88"/>
      <c r="B10" s="25" t="str">
        <f>IF(A10="","",IFERROR(VLOOKUP(A10,DB_Customers!$A:$D,4,0),"❌ Account Not Found"))</f>
        <v/>
      </c>
      <c r="C10" s="89" t="str">
        <f>IF(A10="","",IFERROR(VLOOKUP(A10,DB_Customers!$A:$N,14,0),""))</f>
        <v/>
      </c>
      <c r="D10" s="90" t="str">
        <f t="shared" ca="1" si="0"/>
        <v/>
      </c>
      <c r="E10" s="82"/>
      <c r="F10" s="91" t="str">
        <f t="shared" si="1"/>
        <v/>
      </c>
      <c r="G10" s="27" t="s">
        <v>47</v>
      </c>
      <c r="H10" s="84"/>
      <c r="I10" s="92" t="str">
        <f>IF(A10="","Pending",IF(H10="","⚠️ Enter Code",IF(IFERROR(VLOOKUP(G10,DB_Agents!$B:$I,8,0),"")=H10,IF(AND(A10&lt;&gt;"",E10&lt;&gt;""),"Saved","Pending"),"🔒 BLOCKED — Wrong Code")))</f>
        <v>Pending</v>
      </c>
      <c r="J10" s="93" t="str">
        <f t="shared" ca="1" si="2"/>
        <v>—</v>
      </c>
      <c r="K10" s="94"/>
    </row>
    <row r="11" spans="1:12" x14ac:dyDescent="0.25">
      <c r="A11" s="79"/>
      <c r="B11" s="21" t="str">
        <f>IF(A11="","",IFERROR(VLOOKUP(A11,DB_Customers!$A:$D,4,0),"❌ Account Not Found"))</f>
        <v/>
      </c>
      <c r="C11" s="80" t="str">
        <f>IF(A11="","",IFERROR(VLOOKUP(A11,DB_Customers!$A:$N,14,0),""))</f>
        <v/>
      </c>
      <c r="D11" s="81" t="str">
        <f t="shared" ca="1" si="0"/>
        <v/>
      </c>
      <c r="E11" s="82"/>
      <c r="F11" s="83" t="str">
        <f t="shared" si="1"/>
        <v/>
      </c>
      <c r="G11" s="23" t="s">
        <v>47</v>
      </c>
      <c r="H11" s="84"/>
      <c r="I11" s="85" t="str">
        <f>IF(A11="","Pending",IF(H11="","⚠️ Enter Code",IF(IFERROR(VLOOKUP(G11,DB_Agents!$B:$I,8,0),"")=H11,IF(AND(A11&lt;&gt;"",E11&lt;&gt;""),"Saved","Pending"),"🔒 BLOCKED — Wrong Code")))</f>
        <v>Pending</v>
      </c>
      <c r="J11" s="86" t="str">
        <f t="shared" ca="1" si="2"/>
        <v>—</v>
      </c>
      <c r="K11" s="87"/>
    </row>
    <row r="12" spans="1:12" x14ac:dyDescent="0.25">
      <c r="A12" s="88"/>
      <c r="B12" s="25" t="str">
        <f>IF(A12="","",IFERROR(VLOOKUP(A12,DB_Customers!$A:$D,4,0),"❌ Account Not Found"))</f>
        <v/>
      </c>
      <c r="C12" s="89" t="str">
        <f>IF(A12="","",IFERROR(VLOOKUP(A12,DB_Customers!$A:$N,14,0),""))</f>
        <v/>
      </c>
      <c r="D12" s="90" t="str">
        <f t="shared" ca="1" si="0"/>
        <v/>
      </c>
      <c r="E12" s="82"/>
      <c r="F12" s="91" t="str">
        <f t="shared" si="1"/>
        <v/>
      </c>
      <c r="G12" s="27" t="s">
        <v>47</v>
      </c>
      <c r="H12" s="84"/>
      <c r="I12" s="92" t="str">
        <f>IF(A12="","Pending",IF(H12="","⚠️ Enter Code",IF(IFERROR(VLOOKUP(G12,DB_Agents!$B:$I,8,0),"")=H12,IF(AND(A12&lt;&gt;"",E12&lt;&gt;""),"Saved","Pending"),"🔒 BLOCKED — Wrong Code")))</f>
        <v>Pending</v>
      </c>
      <c r="J12" s="93" t="str">
        <f t="shared" ca="1" si="2"/>
        <v>—</v>
      </c>
      <c r="K12" s="94"/>
    </row>
    <row r="13" spans="1:12" x14ac:dyDescent="0.25">
      <c r="A13" s="79"/>
      <c r="B13" s="21" t="str">
        <f>IF(A13="","",IFERROR(VLOOKUP(A13,DB_Customers!$A:$D,4,0),"❌ Account Not Found"))</f>
        <v/>
      </c>
      <c r="C13" s="80" t="str">
        <f>IF(A13="","",IFERROR(VLOOKUP(A13,DB_Customers!$A:$N,14,0),""))</f>
        <v/>
      </c>
      <c r="D13" s="81" t="str">
        <f t="shared" ca="1" si="0"/>
        <v/>
      </c>
      <c r="E13" s="82"/>
      <c r="F13" s="83" t="str">
        <f t="shared" si="1"/>
        <v/>
      </c>
      <c r="G13" s="23" t="s">
        <v>47</v>
      </c>
      <c r="H13" s="84"/>
      <c r="I13" s="85" t="str">
        <f>IF(A13="","Pending",IF(H13="","⚠️ Enter Code",IF(IFERROR(VLOOKUP(G13,DB_Agents!$B:$I,8,0),"")=H13,IF(AND(A13&lt;&gt;"",E13&lt;&gt;""),"Saved","Pending"),"🔒 BLOCKED — Wrong Code")))</f>
        <v>Pending</v>
      </c>
      <c r="J13" s="86" t="str">
        <f t="shared" ca="1" si="2"/>
        <v>—</v>
      </c>
      <c r="K13" s="87"/>
    </row>
    <row r="14" spans="1:12" x14ac:dyDescent="0.25">
      <c r="A14" s="88"/>
      <c r="B14" s="25" t="str">
        <f>IF(A14="","",IFERROR(VLOOKUP(A14,DB_Customers!$A:$D,4,0),"❌ Account Not Found"))</f>
        <v/>
      </c>
      <c r="C14" s="89" t="str">
        <f>IF(A14="","",IFERROR(VLOOKUP(A14,DB_Customers!$A:$N,14,0),""))</f>
        <v/>
      </c>
      <c r="D14" s="90" t="str">
        <f t="shared" ca="1" si="0"/>
        <v/>
      </c>
      <c r="E14" s="82"/>
      <c r="F14" s="91" t="str">
        <f t="shared" si="1"/>
        <v/>
      </c>
      <c r="G14" s="27"/>
      <c r="H14" s="84"/>
      <c r="I14" s="92" t="str">
        <f>IF(A14="","Pending",IF(H14="","⚠️ Enter Code",IF(IFERROR(VLOOKUP(G14,DB_Agents!$B:$I,8,0),"")=H14,IF(AND(A14&lt;&gt;"",E14&lt;&gt;""),"Saved","Pending"),"🔒 BLOCKED — Wrong Code")))</f>
        <v>Pending</v>
      </c>
      <c r="J14" s="93" t="str">
        <f t="shared" ca="1" si="2"/>
        <v>—</v>
      </c>
      <c r="K14" s="94"/>
    </row>
    <row r="15" spans="1:12" x14ac:dyDescent="0.25">
      <c r="A15" s="79"/>
      <c r="B15" s="21" t="str">
        <f>IF(A15="","",IFERROR(VLOOKUP(A15,DB_Customers!$A:$D,4,0),"❌ Account Not Found"))</f>
        <v/>
      </c>
      <c r="C15" s="80" t="str">
        <f>IF(A15="","",IFERROR(VLOOKUP(A15,DB_Customers!$A:$N,14,0),""))</f>
        <v/>
      </c>
      <c r="D15" s="81" t="str">
        <f t="shared" ca="1" si="0"/>
        <v/>
      </c>
      <c r="E15" s="82"/>
      <c r="F15" s="83" t="str">
        <f t="shared" si="1"/>
        <v/>
      </c>
      <c r="G15" s="23"/>
      <c r="H15" s="84"/>
      <c r="I15" s="85" t="str">
        <f>IF(A15="","Pending",IF(H15="","⚠️ Enter Code",IF(IFERROR(VLOOKUP(G15,DB_Agents!$B:$I,8,0),"")=H15,IF(AND(A15&lt;&gt;"",E15&lt;&gt;""),"Saved","Pending"),"🔒 BLOCKED — Wrong Code")))</f>
        <v>Pending</v>
      </c>
      <c r="J15" s="86" t="str">
        <f t="shared" ca="1" si="2"/>
        <v>—</v>
      </c>
      <c r="K15" s="87"/>
    </row>
    <row r="16" spans="1:12" x14ac:dyDescent="0.25">
      <c r="A16" s="88"/>
      <c r="B16" s="25" t="str">
        <f>IF(A16="","",IFERROR(VLOOKUP(A16,DB_Customers!$A:$D,4,0),"❌ Account Not Found"))</f>
        <v/>
      </c>
      <c r="C16" s="89" t="str">
        <f>IF(A16="","",IFERROR(VLOOKUP(A16,DB_Customers!$A:$N,14,0),""))</f>
        <v/>
      </c>
      <c r="D16" s="90" t="str">
        <f t="shared" ca="1" si="0"/>
        <v/>
      </c>
      <c r="E16" s="82"/>
      <c r="F16" s="91" t="str">
        <f t="shared" si="1"/>
        <v/>
      </c>
      <c r="G16" s="27"/>
      <c r="H16" s="84"/>
      <c r="I16" s="92" t="str">
        <f>IF(A16="","Pending",IF(H16="","⚠️ Enter Code",IF(IFERROR(VLOOKUP(G16,DB_Agents!$B:$I,8,0),"")=H16,IF(AND(A16&lt;&gt;"",E16&lt;&gt;""),"Saved","Pending"),"🔒 BLOCKED — Wrong Code")))</f>
        <v>Pending</v>
      </c>
      <c r="J16" s="93" t="str">
        <f t="shared" ca="1" si="2"/>
        <v>—</v>
      </c>
      <c r="K16" s="94"/>
    </row>
    <row r="17" spans="1:11" x14ac:dyDescent="0.25">
      <c r="A17" s="79"/>
      <c r="B17" s="21" t="str">
        <f>IF(A17="","",IFERROR(VLOOKUP(A17,DB_Customers!$A:$D,4,0),"❌ Account Not Found"))</f>
        <v/>
      </c>
      <c r="C17" s="80" t="str">
        <f>IF(A17="","",IFERROR(VLOOKUP(A17,DB_Customers!$A:$N,14,0),""))</f>
        <v/>
      </c>
      <c r="D17" s="81" t="str">
        <f t="shared" ca="1" si="0"/>
        <v/>
      </c>
      <c r="E17" s="82"/>
      <c r="F17" s="83" t="str">
        <f t="shared" si="1"/>
        <v/>
      </c>
      <c r="G17" s="23"/>
      <c r="H17" s="84"/>
      <c r="I17" s="85" t="str">
        <f>IF(A17="","Pending",IF(H17="","⚠️ Enter Code",IF(IFERROR(VLOOKUP(G17,DB_Agents!$B:$I,8,0),"")=H17,IF(AND(A17&lt;&gt;"",E17&lt;&gt;""),"Saved","Pending"),"🔒 BLOCKED — Wrong Code")))</f>
        <v>Pending</v>
      </c>
      <c r="J17" s="86" t="str">
        <f t="shared" ca="1" si="2"/>
        <v>—</v>
      </c>
      <c r="K17" s="87"/>
    </row>
    <row r="18" spans="1:11" x14ac:dyDescent="0.25">
      <c r="A18" s="88"/>
      <c r="B18" s="25" t="str">
        <f>IF(A18="","",IFERROR(VLOOKUP(A18,DB_Customers!$A:$D,4,0),"❌ Account Not Found"))</f>
        <v/>
      </c>
      <c r="C18" s="89" t="str">
        <f>IF(A18="","",IFERROR(VLOOKUP(A18,DB_Customers!$A:$N,14,0),""))</f>
        <v/>
      </c>
      <c r="D18" s="90" t="str">
        <f t="shared" ca="1" si="0"/>
        <v/>
      </c>
      <c r="E18" s="82"/>
      <c r="F18" s="91" t="str">
        <f t="shared" si="1"/>
        <v/>
      </c>
      <c r="G18" s="27"/>
      <c r="H18" s="84"/>
      <c r="I18" s="92" t="str">
        <f>IF(A18="","Pending",IF(H18="","⚠️ Enter Code",IF(IFERROR(VLOOKUP(G18,DB_Agents!$B:$I,8,0),"")=H18,IF(AND(A18&lt;&gt;"",E18&lt;&gt;""),"Saved","Pending"),"🔒 BLOCKED — Wrong Code")))</f>
        <v>Pending</v>
      </c>
      <c r="J18" s="93" t="str">
        <f t="shared" ca="1" si="2"/>
        <v>—</v>
      </c>
      <c r="K18" s="94"/>
    </row>
    <row r="19" spans="1:11" x14ac:dyDescent="0.25">
      <c r="A19" s="79"/>
      <c r="B19" s="21" t="str">
        <f>IF(A19="","",IFERROR(VLOOKUP(A19,DB_Customers!$A:$D,4,0),"❌ Account Not Found"))</f>
        <v/>
      </c>
      <c r="C19" s="80" t="str">
        <f>IF(A19="","",IFERROR(VLOOKUP(A19,DB_Customers!$A:$N,14,0),""))</f>
        <v/>
      </c>
      <c r="D19" s="81" t="str">
        <f t="shared" ca="1" si="0"/>
        <v/>
      </c>
      <c r="E19" s="82"/>
      <c r="F19" s="83" t="str">
        <f t="shared" si="1"/>
        <v/>
      </c>
      <c r="G19" s="23"/>
      <c r="H19" s="84"/>
      <c r="I19" s="85" t="str">
        <f>IF(A19="","Pending",IF(H19="","⚠️ Enter Code",IF(IFERROR(VLOOKUP(G19,DB_Agents!$B:$I,8,0),"")=H19,IF(AND(A19&lt;&gt;"",E19&lt;&gt;""),"Saved","Pending"),"🔒 BLOCKED — Wrong Code")))</f>
        <v>Pending</v>
      </c>
      <c r="J19" s="86" t="str">
        <f t="shared" ca="1" si="2"/>
        <v>—</v>
      </c>
      <c r="K19" s="87"/>
    </row>
    <row r="20" spans="1:11" x14ac:dyDescent="0.25">
      <c r="A20" s="88"/>
      <c r="B20" s="25" t="str">
        <f>IF(A20="","",IFERROR(VLOOKUP(A20,DB_Customers!$A:$D,4,0),"❌ Account Not Found"))</f>
        <v/>
      </c>
      <c r="C20" s="89" t="str">
        <f>IF(A20="","",IFERROR(VLOOKUP(A20,DB_Customers!$A:$N,14,0),""))</f>
        <v/>
      </c>
      <c r="D20" s="90" t="str">
        <f t="shared" ca="1" si="0"/>
        <v/>
      </c>
      <c r="E20" s="82"/>
      <c r="F20" s="91" t="str">
        <f t="shared" si="1"/>
        <v/>
      </c>
      <c r="G20" s="27"/>
      <c r="H20" s="84"/>
      <c r="I20" s="92" t="str">
        <f>IF(A20="","Pending",IF(H20="","⚠️ Enter Code",IF(IFERROR(VLOOKUP(G20,DB_Agents!$B:$I,8,0),"")=H20,IF(AND(A20&lt;&gt;"",E20&lt;&gt;""),"Saved","Pending"),"🔒 BLOCKED — Wrong Code")))</f>
        <v>Pending</v>
      </c>
      <c r="J20" s="93" t="str">
        <f t="shared" ca="1" si="2"/>
        <v>—</v>
      </c>
      <c r="K20" s="94"/>
    </row>
    <row r="21" spans="1:11" x14ac:dyDescent="0.25">
      <c r="A21" s="79"/>
      <c r="B21" s="21" t="str">
        <f>IF(A21="","",IFERROR(VLOOKUP(A21,DB_Customers!$A:$D,4,0),"❌ Account Not Found"))</f>
        <v/>
      </c>
      <c r="C21" s="80" t="str">
        <f>IF(A21="","",IFERROR(VLOOKUP(A21,DB_Customers!$A:$N,14,0),""))</f>
        <v/>
      </c>
      <c r="D21" s="81" t="str">
        <f t="shared" ca="1" si="0"/>
        <v/>
      </c>
      <c r="E21" s="82"/>
      <c r="F21" s="83" t="str">
        <f t="shared" si="1"/>
        <v/>
      </c>
      <c r="G21" s="23"/>
      <c r="H21" s="84"/>
      <c r="I21" s="85" t="str">
        <f>IF(A21="","Pending",IF(H21="","⚠️ Enter Code",IF(IFERROR(VLOOKUP(G21,DB_Agents!$B:$I,8,0),"")=H21,IF(AND(A21&lt;&gt;"",E21&lt;&gt;""),"Saved","Pending"),"🔒 BLOCKED — Wrong Code")))</f>
        <v>Pending</v>
      </c>
      <c r="J21" s="86" t="str">
        <f t="shared" ca="1" si="2"/>
        <v>—</v>
      </c>
      <c r="K21" s="87"/>
    </row>
    <row r="22" spans="1:11" x14ac:dyDescent="0.25">
      <c r="A22" s="88"/>
      <c r="B22" s="25" t="str">
        <f>IF(A22="","",IFERROR(VLOOKUP(A22,DB_Customers!$A:$D,4,0),"❌ Account Not Found"))</f>
        <v/>
      </c>
      <c r="C22" s="89" t="str">
        <f>IF(A22="","",IFERROR(VLOOKUP(A22,DB_Customers!$A:$N,14,0),""))</f>
        <v/>
      </c>
      <c r="D22" s="90" t="str">
        <f t="shared" ca="1" si="0"/>
        <v/>
      </c>
      <c r="E22" s="82"/>
      <c r="F22" s="91" t="str">
        <f t="shared" si="1"/>
        <v/>
      </c>
      <c r="G22" s="27"/>
      <c r="H22" s="84"/>
      <c r="I22" s="92" t="str">
        <f>IF(A22="","Pending",IF(H22="","⚠️ Enter Code",IF(IFERROR(VLOOKUP(G22,DB_Agents!$B:$I,8,0),"")=H22,IF(AND(A22&lt;&gt;"",E22&lt;&gt;""),"Saved","Pending"),"🔒 BLOCKED — Wrong Code")))</f>
        <v>Pending</v>
      </c>
      <c r="J22" s="93" t="str">
        <f t="shared" ca="1" si="2"/>
        <v>—</v>
      </c>
      <c r="K22" s="94"/>
    </row>
    <row r="23" spans="1:11" x14ac:dyDescent="0.25">
      <c r="A23" s="79"/>
      <c r="B23" s="21" t="str">
        <f>IF(A23="","",IFERROR(VLOOKUP(A23,DB_Customers!$A:$D,4,0),"❌ Account Not Found"))</f>
        <v/>
      </c>
      <c r="C23" s="80" t="str">
        <f>IF(A23="","",IFERROR(VLOOKUP(A23,DB_Customers!$A:$N,14,0),""))</f>
        <v/>
      </c>
      <c r="D23" s="81" t="str">
        <f t="shared" ca="1" si="0"/>
        <v/>
      </c>
      <c r="E23" s="82"/>
      <c r="F23" s="83" t="str">
        <f t="shared" si="1"/>
        <v/>
      </c>
      <c r="G23" s="23"/>
      <c r="H23" s="84"/>
      <c r="I23" s="85" t="str">
        <f>IF(A23="","Pending",IF(H23="","⚠️ Enter Code",IF(IFERROR(VLOOKUP(G23,DB_Agents!$B:$I,8,0),"")=H23,IF(AND(A23&lt;&gt;"",E23&lt;&gt;""),"Saved","Pending"),"🔒 BLOCKED — Wrong Code")))</f>
        <v>Pending</v>
      </c>
      <c r="J23" s="86" t="str">
        <f t="shared" ca="1" si="2"/>
        <v>—</v>
      </c>
      <c r="K23" s="87"/>
    </row>
    <row r="24" spans="1:11" x14ac:dyDescent="0.25">
      <c r="A24" s="88"/>
      <c r="B24" s="25" t="str">
        <f>IF(A24="","",IFERROR(VLOOKUP(A24,DB_Customers!$A:$D,4,0),"❌ Account Not Found"))</f>
        <v/>
      </c>
      <c r="C24" s="89" t="str">
        <f>IF(A24="","",IFERROR(VLOOKUP(A24,DB_Customers!$A:$N,14,0),""))</f>
        <v/>
      </c>
      <c r="D24" s="90" t="str">
        <f t="shared" ca="1" si="0"/>
        <v/>
      </c>
      <c r="E24" s="82"/>
      <c r="F24" s="91" t="str">
        <f t="shared" si="1"/>
        <v/>
      </c>
      <c r="G24" s="27"/>
      <c r="H24" s="84"/>
      <c r="I24" s="92" t="str">
        <f>IF(A24="","Pending",IF(H24="","⚠️ Enter Code",IF(IFERROR(VLOOKUP(G24,DB_Agents!$B:$I,8,0),"")=H24,IF(AND(A24&lt;&gt;"",E24&lt;&gt;""),"Saved","Pending"),"🔒 BLOCKED — Wrong Code")))</f>
        <v>Pending</v>
      </c>
      <c r="J24" s="93" t="str">
        <f t="shared" ca="1" si="2"/>
        <v>—</v>
      </c>
      <c r="K24" s="94"/>
    </row>
    <row r="25" spans="1:11" x14ac:dyDescent="0.25">
      <c r="A25" s="79"/>
      <c r="B25" s="21" t="str">
        <f>IF(A25="","",IFERROR(VLOOKUP(A25,DB_Customers!$A:$D,4,0),"❌ Account Not Found"))</f>
        <v/>
      </c>
      <c r="C25" s="80" t="str">
        <f>IF(A25="","",IFERROR(VLOOKUP(A25,DB_Customers!$A:$N,14,0),""))</f>
        <v/>
      </c>
      <c r="D25" s="81" t="str">
        <f t="shared" ca="1" si="0"/>
        <v/>
      </c>
      <c r="E25" s="82"/>
      <c r="F25" s="83" t="str">
        <f t="shared" si="1"/>
        <v/>
      </c>
      <c r="G25" s="23"/>
      <c r="H25" s="84"/>
      <c r="I25" s="85" t="str">
        <f>IF(A25="","Pending",IF(H25="","⚠️ Enter Code",IF(IFERROR(VLOOKUP(G25,DB_Agents!$B:$I,8,0),"")=H25,IF(AND(A25&lt;&gt;"",E25&lt;&gt;""),"Saved","Pending"),"🔒 BLOCKED — Wrong Code")))</f>
        <v>Pending</v>
      </c>
      <c r="J25" s="86" t="str">
        <f t="shared" ca="1" si="2"/>
        <v>—</v>
      </c>
      <c r="K25" s="87"/>
    </row>
    <row r="26" spans="1:11" x14ac:dyDescent="0.25">
      <c r="A26" s="88"/>
      <c r="B26" s="25" t="str">
        <f>IF(A26="","",IFERROR(VLOOKUP(A26,DB_Customers!$A:$D,4,0),"❌ Account Not Found"))</f>
        <v/>
      </c>
      <c r="C26" s="89" t="str">
        <f>IF(A26="","",IFERROR(VLOOKUP(A26,DB_Customers!$A:$N,14,0),""))</f>
        <v/>
      </c>
      <c r="D26" s="90" t="str">
        <f t="shared" ca="1" si="0"/>
        <v/>
      </c>
      <c r="E26" s="82"/>
      <c r="F26" s="91" t="str">
        <f t="shared" si="1"/>
        <v/>
      </c>
      <c r="G26" s="27"/>
      <c r="H26" s="84"/>
      <c r="I26" s="92" t="str">
        <f>IF(A26="","Pending",IF(H26="","⚠️ Enter Code",IF(IFERROR(VLOOKUP(G26,DB_Agents!$B:$I,8,0),"")=H26,IF(AND(A26&lt;&gt;"",E26&lt;&gt;""),"Saved","Pending"),"🔒 BLOCKED — Wrong Code")))</f>
        <v>Pending</v>
      </c>
      <c r="J26" s="93" t="str">
        <f t="shared" ca="1" si="2"/>
        <v>—</v>
      </c>
      <c r="K26" s="94"/>
    </row>
    <row r="27" spans="1:11" x14ac:dyDescent="0.25">
      <c r="A27" s="79"/>
      <c r="B27" s="21" t="str">
        <f>IF(A27="","",IFERROR(VLOOKUP(A27,DB_Customers!$A:$D,4,0),"❌ Account Not Found"))</f>
        <v/>
      </c>
      <c r="C27" s="80" t="str">
        <f>IF(A27="","",IFERROR(VLOOKUP(A27,DB_Customers!$A:$N,14,0),""))</f>
        <v/>
      </c>
      <c r="D27" s="81" t="str">
        <f t="shared" ca="1" si="0"/>
        <v/>
      </c>
      <c r="E27" s="82"/>
      <c r="F27" s="83" t="str">
        <f t="shared" si="1"/>
        <v/>
      </c>
      <c r="G27" s="23"/>
      <c r="H27" s="84"/>
      <c r="I27" s="85" t="str">
        <f>IF(A27="","Pending",IF(H27="","⚠️ Enter Code",IF(IFERROR(VLOOKUP(G27,DB_Agents!$B:$I,8,0),"")=H27,IF(AND(A27&lt;&gt;"",E27&lt;&gt;""),"Saved","Pending"),"🔒 BLOCKED — Wrong Code")))</f>
        <v>Pending</v>
      </c>
      <c r="J27" s="86" t="str">
        <f t="shared" ca="1" si="2"/>
        <v>—</v>
      </c>
      <c r="K27" s="87"/>
    </row>
    <row r="28" spans="1:11" x14ac:dyDescent="0.25">
      <c r="A28" s="88"/>
      <c r="B28" s="25" t="str">
        <f>IF(A28="","",IFERROR(VLOOKUP(A28,DB_Customers!$A:$D,4,0),"❌ Account Not Found"))</f>
        <v/>
      </c>
      <c r="C28" s="89" t="str">
        <f>IF(A28="","",IFERROR(VLOOKUP(A28,DB_Customers!$A:$N,14,0),""))</f>
        <v/>
      </c>
      <c r="D28" s="90" t="str">
        <f t="shared" ca="1" si="0"/>
        <v/>
      </c>
      <c r="E28" s="82"/>
      <c r="F28" s="91" t="str">
        <f t="shared" si="1"/>
        <v/>
      </c>
      <c r="G28" s="27"/>
      <c r="H28" s="84"/>
      <c r="I28" s="92" t="str">
        <f>IF(A28="","Pending",IF(H28="","⚠️ Enter Code",IF(IFERROR(VLOOKUP(G28,DB_Agents!$B:$I,8,0),"")=H28,IF(AND(A28&lt;&gt;"",E28&lt;&gt;""),"Saved","Pending"),"🔒 BLOCKED — Wrong Code")))</f>
        <v>Pending</v>
      </c>
      <c r="J28" s="93" t="str">
        <f t="shared" ca="1" si="2"/>
        <v>—</v>
      </c>
      <c r="K28" s="94"/>
    </row>
    <row r="29" spans="1:11" x14ac:dyDescent="0.25">
      <c r="A29" s="79"/>
      <c r="B29" s="21" t="str">
        <f>IF(A29="","",IFERROR(VLOOKUP(A29,DB_Customers!$A:$D,4,0),"❌ Account Not Found"))</f>
        <v/>
      </c>
      <c r="C29" s="80" t="str">
        <f>IF(A29="","",IFERROR(VLOOKUP(A29,DB_Customers!$A:$N,14,0),""))</f>
        <v/>
      </c>
      <c r="D29" s="81" t="str">
        <f t="shared" ca="1" si="0"/>
        <v/>
      </c>
      <c r="E29" s="82"/>
      <c r="F29" s="83" t="str">
        <f t="shared" si="1"/>
        <v/>
      </c>
      <c r="G29" s="23"/>
      <c r="H29" s="84"/>
      <c r="I29" s="85" t="str">
        <f>IF(A29="","Pending",IF(H29="","⚠️ Enter Code",IF(IFERROR(VLOOKUP(G29,DB_Agents!$B:$I,8,0),"")=H29,IF(AND(A29&lt;&gt;"",E29&lt;&gt;""),"Saved","Pending"),"🔒 BLOCKED — Wrong Code")))</f>
        <v>Pending</v>
      </c>
      <c r="J29" s="86" t="str">
        <f t="shared" ca="1" si="2"/>
        <v>—</v>
      </c>
      <c r="K29" s="87"/>
    </row>
    <row r="30" spans="1:11" x14ac:dyDescent="0.25">
      <c r="A30" s="88"/>
      <c r="B30" s="25" t="str">
        <f>IF(A30="","",IFERROR(VLOOKUP(A30,DB_Customers!$A:$D,4,0),"❌ Account Not Found"))</f>
        <v/>
      </c>
      <c r="C30" s="89" t="str">
        <f>IF(A30="","",IFERROR(VLOOKUP(A30,DB_Customers!$A:$N,14,0),""))</f>
        <v/>
      </c>
      <c r="D30" s="90" t="str">
        <f t="shared" ca="1" si="0"/>
        <v/>
      </c>
      <c r="E30" s="82"/>
      <c r="F30" s="91" t="str">
        <f t="shared" si="1"/>
        <v/>
      </c>
      <c r="G30" s="27"/>
      <c r="H30" s="84"/>
      <c r="I30" s="92" t="str">
        <f>IF(A30="","Pending",IF(H30="","⚠️ Enter Code",IF(IFERROR(VLOOKUP(G30,DB_Agents!$B:$I,8,0),"")=H30,IF(AND(A30&lt;&gt;"",E30&lt;&gt;""),"Saved","Pending"),"🔒 BLOCKED — Wrong Code")))</f>
        <v>Pending</v>
      </c>
      <c r="J30" s="93" t="str">
        <f t="shared" ca="1" si="2"/>
        <v>—</v>
      </c>
      <c r="K30" s="94"/>
    </row>
    <row r="31" spans="1:11" x14ac:dyDescent="0.25">
      <c r="A31" s="79"/>
      <c r="B31" s="21" t="str">
        <f>IF(A31="","",IFERROR(VLOOKUP(A31,DB_Customers!$A:$D,4,0),"❌ Account Not Found"))</f>
        <v/>
      </c>
      <c r="C31" s="80" t="str">
        <f>IF(A31="","",IFERROR(VLOOKUP(A31,DB_Customers!$A:$N,14,0),""))</f>
        <v/>
      </c>
      <c r="D31" s="81" t="str">
        <f t="shared" ca="1" si="0"/>
        <v/>
      </c>
      <c r="E31" s="82"/>
      <c r="F31" s="83" t="str">
        <f t="shared" si="1"/>
        <v/>
      </c>
      <c r="G31" s="23"/>
      <c r="H31" s="84"/>
      <c r="I31" s="85" t="str">
        <f>IF(A31="","Pending",IF(H31="","⚠️ Enter Code",IF(IFERROR(VLOOKUP(G31,DB_Agents!$B:$I,8,0),"")=H31,IF(AND(A31&lt;&gt;"",E31&lt;&gt;""),"Saved","Pending"),"🔒 BLOCKED — Wrong Code")))</f>
        <v>Pending</v>
      </c>
      <c r="J31" s="86" t="str">
        <f t="shared" ca="1" si="2"/>
        <v>—</v>
      </c>
      <c r="K31" s="87"/>
    </row>
    <row r="32" spans="1:11" x14ac:dyDescent="0.25">
      <c r="A32" s="88"/>
      <c r="B32" s="25" t="str">
        <f>IF(A32="","",IFERROR(VLOOKUP(A32,DB_Customers!$A:$D,4,0),"❌ Account Not Found"))</f>
        <v/>
      </c>
      <c r="C32" s="89" t="str">
        <f>IF(A32="","",IFERROR(VLOOKUP(A32,DB_Customers!$A:$N,14,0),""))</f>
        <v/>
      </c>
      <c r="D32" s="90" t="str">
        <f t="shared" ca="1" si="0"/>
        <v/>
      </c>
      <c r="E32" s="82"/>
      <c r="F32" s="91" t="str">
        <f t="shared" si="1"/>
        <v/>
      </c>
      <c r="G32" s="27"/>
      <c r="H32" s="84"/>
      <c r="I32" s="92" t="str">
        <f>IF(A32="","Pending",IF(H32="","⚠️ Enter Code",IF(IFERROR(VLOOKUP(G32,DB_Agents!$B:$I,8,0),"")=H32,IF(AND(A32&lt;&gt;"",E32&lt;&gt;""),"Saved","Pending"),"🔒 BLOCKED — Wrong Code")))</f>
        <v>Pending</v>
      </c>
      <c r="J32" s="93" t="str">
        <f t="shared" ca="1" si="2"/>
        <v>—</v>
      </c>
      <c r="K32" s="94"/>
    </row>
    <row r="33" spans="1:11" x14ac:dyDescent="0.25">
      <c r="A33" s="79"/>
      <c r="B33" s="21" t="str">
        <f>IF(A33="","",IFERROR(VLOOKUP(A33,DB_Customers!$A:$D,4,0),"❌ Account Not Found"))</f>
        <v/>
      </c>
      <c r="C33" s="80" t="str">
        <f>IF(A33="","",IFERROR(VLOOKUP(A33,DB_Customers!$A:$N,14,0),""))</f>
        <v/>
      </c>
      <c r="D33" s="81" t="str">
        <f t="shared" ca="1" si="0"/>
        <v/>
      </c>
      <c r="E33" s="82"/>
      <c r="F33" s="83" t="str">
        <f t="shared" si="1"/>
        <v/>
      </c>
      <c r="G33" s="23"/>
      <c r="H33" s="84"/>
      <c r="I33" s="85" t="str">
        <f>IF(A33="","Pending",IF(H33="","⚠️ Enter Code",IF(IFERROR(VLOOKUP(G33,DB_Agents!$B:$I,8,0),"")=H33,IF(AND(A33&lt;&gt;"",E33&lt;&gt;""),"Saved","Pending"),"🔒 BLOCKED — Wrong Code")))</f>
        <v>Pending</v>
      </c>
      <c r="J33" s="86" t="str">
        <f t="shared" ca="1" si="2"/>
        <v>—</v>
      </c>
      <c r="K33" s="87"/>
    </row>
    <row r="34" spans="1:11" x14ac:dyDescent="0.25">
      <c r="A34" s="88"/>
      <c r="B34" s="25" t="str">
        <f>IF(A34="","",IFERROR(VLOOKUP(A34,DB_Customers!$A:$D,4,0),"❌ Account Not Found"))</f>
        <v/>
      </c>
      <c r="C34" s="89" t="str">
        <f>IF(A34="","",IFERROR(VLOOKUP(A34,DB_Customers!$A:$N,14,0),""))</f>
        <v/>
      </c>
      <c r="D34" s="90" t="str">
        <f t="shared" ca="1" si="0"/>
        <v/>
      </c>
      <c r="E34" s="82"/>
      <c r="F34" s="91" t="str">
        <f t="shared" si="1"/>
        <v/>
      </c>
      <c r="G34" s="27"/>
      <c r="H34" s="84"/>
      <c r="I34" s="92" t="str">
        <f>IF(A34="","Pending",IF(H34="","⚠️ Enter Code",IF(IFERROR(VLOOKUP(G34,DB_Agents!$B:$I,8,0),"")=H34,IF(AND(A34&lt;&gt;"",E34&lt;&gt;""),"Saved","Pending"),"🔒 BLOCKED — Wrong Code")))</f>
        <v>Pending</v>
      </c>
      <c r="J34" s="93" t="str">
        <f t="shared" ca="1" si="2"/>
        <v>—</v>
      </c>
      <c r="K34" s="94"/>
    </row>
    <row r="35" spans="1:11" x14ac:dyDescent="0.25">
      <c r="A35" s="79"/>
      <c r="B35" s="21" t="str">
        <f>IF(A35="","",IFERROR(VLOOKUP(A35,DB_Customers!$A:$D,4,0),"❌ Account Not Found"))</f>
        <v/>
      </c>
      <c r="C35" s="80" t="str">
        <f>IF(A35="","",IFERROR(VLOOKUP(A35,DB_Customers!$A:$N,14,0),""))</f>
        <v/>
      </c>
      <c r="D35" s="81" t="str">
        <f t="shared" ca="1" si="0"/>
        <v/>
      </c>
      <c r="E35" s="82"/>
      <c r="F35" s="83" t="str">
        <f t="shared" si="1"/>
        <v/>
      </c>
      <c r="G35" s="23"/>
      <c r="H35" s="84"/>
      <c r="I35" s="85" t="str">
        <f>IF(A35="","Pending",IF(H35="","⚠️ Enter Code",IF(IFERROR(VLOOKUP(G35,DB_Agents!$B:$I,8,0),"")=H35,IF(AND(A35&lt;&gt;"",E35&lt;&gt;""),"Saved","Pending"),"🔒 BLOCKED — Wrong Code")))</f>
        <v>Pending</v>
      </c>
      <c r="J35" s="86" t="str">
        <f t="shared" ca="1" si="2"/>
        <v>—</v>
      </c>
      <c r="K35" s="87"/>
    </row>
    <row r="36" spans="1:11" x14ac:dyDescent="0.25">
      <c r="A36" s="88"/>
      <c r="B36" s="25" t="str">
        <f>IF(A36="","",IFERROR(VLOOKUP(A36,DB_Customers!$A:$D,4,0),"❌ Account Not Found"))</f>
        <v/>
      </c>
      <c r="C36" s="89" t="str">
        <f>IF(A36="","",IFERROR(VLOOKUP(A36,DB_Customers!$A:$N,14,0),""))</f>
        <v/>
      </c>
      <c r="D36" s="90" t="str">
        <f t="shared" ca="1" si="0"/>
        <v/>
      </c>
      <c r="E36" s="82"/>
      <c r="F36" s="91" t="str">
        <f t="shared" si="1"/>
        <v/>
      </c>
      <c r="G36" s="27"/>
      <c r="H36" s="84"/>
      <c r="I36" s="92" t="str">
        <f>IF(A36="","Pending",IF(H36="","⚠️ Enter Code",IF(IFERROR(VLOOKUP(G36,DB_Agents!$B:$I,8,0),"")=H36,IF(AND(A36&lt;&gt;"",E36&lt;&gt;""),"Saved","Pending"),"🔒 BLOCKED — Wrong Code")))</f>
        <v>Pending</v>
      </c>
      <c r="J36" s="93" t="str">
        <f t="shared" ca="1" si="2"/>
        <v>—</v>
      </c>
      <c r="K36" s="94"/>
    </row>
    <row r="37" spans="1:11" x14ac:dyDescent="0.25">
      <c r="A37" s="79"/>
      <c r="B37" s="21" t="str">
        <f>IF(A37="","",IFERROR(VLOOKUP(A37,DB_Customers!$A:$D,4,0),"❌ Account Not Found"))</f>
        <v/>
      </c>
      <c r="C37" s="80" t="str">
        <f>IF(A37="","",IFERROR(VLOOKUP(A37,DB_Customers!$A:$N,14,0),""))</f>
        <v/>
      </c>
      <c r="D37" s="81" t="str">
        <f t="shared" ca="1" si="0"/>
        <v/>
      </c>
      <c r="E37" s="82"/>
      <c r="F37" s="83" t="str">
        <f t="shared" si="1"/>
        <v/>
      </c>
      <c r="G37" s="23"/>
      <c r="H37" s="84"/>
      <c r="I37" s="85" t="str">
        <f>IF(A37="","Pending",IF(H37="","⚠️ Enter Code",IF(IFERROR(VLOOKUP(G37,DB_Agents!$B:$I,8,0),"")=H37,IF(AND(A37&lt;&gt;"",E37&lt;&gt;""),"Saved","Pending"),"🔒 BLOCKED — Wrong Code")))</f>
        <v>Pending</v>
      </c>
      <c r="J37" s="86" t="str">
        <f t="shared" ca="1" si="2"/>
        <v>—</v>
      </c>
      <c r="K37" s="87"/>
    </row>
    <row r="38" spans="1:11" x14ac:dyDescent="0.25">
      <c r="A38" s="88"/>
      <c r="B38" s="25" t="str">
        <f>IF(A38="","",IFERROR(VLOOKUP(A38,DB_Customers!$A:$D,4,0),"❌ Account Not Found"))</f>
        <v/>
      </c>
      <c r="C38" s="89" t="str">
        <f>IF(A38="","",IFERROR(VLOOKUP(A38,DB_Customers!$A:$N,14,0),""))</f>
        <v/>
      </c>
      <c r="D38" s="90" t="str">
        <f t="shared" ca="1" si="0"/>
        <v/>
      </c>
      <c r="E38" s="82"/>
      <c r="F38" s="91" t="str">
        <f t="shared" si="1"/>
        <v/>
      </c>
      <c r="G38" s="27"/>
      <c r="H38" s="84"/>
      <c r="I38" s="92" t="str">
        <f>IF(A38="","Pending",IF(H38="","⚠️ Enter Code",IF(IFERROR(VLOOKUP(G38,DB_Agents!$B:$I,8,0),"")=H38,IF(AND(A38&lt;&gt;"",E38&lt;&gt;""),"Saved","Pending"),"🔒 BLOCKED — Wrong Code")))</f>
        <v>Pending</v>
      </c>
      <c r="J38" s="93" t="str">
        <f t="shared" ca="1" si="2"/>
        <v>—</v>
      </c>
      <c r="K38" s="94"/>
    </row>
    <row r="39" spans="1:11" x14ac:dyDescent="0.25">
      <c r="A39" s="79"/>
      <c r="B39" s="21" t="str">
        <f>IF(A39="","",IFERROR(VLOOKUP(A39,DB_Customers!$A:$D,4,0),"❌ Account Not Found"))</f>
        <v/>
      </c>
      <c r="C39" s="80" t="str">
        <f>IF(A39="","",IFERROR(VLOOKUP(A39,DB_Customers!$A:$N,14,0),""))</f>
        <v/>
      </c>
      <c r="D39" s="81" t="str">
        <f t="shared" ca="1" si="0"/>
        <v/>
      </c>
      <c r="E39" s="82"/>
      <c r="F39" s="83" t="str">
        <f t="shared" si="1"/>
        <v/>
      </c>
      <c r="G39" s="23"/>
      <c r="H39" s="84"/>
      <c r="I39" s="85" t="str">
        <f>IF(A39="","Pending",IF(H39="","⚠️ Enter Code",IF(IFERROR(VLOOKUP(G39,DB_Agents!$B:$I,8,0),"")=H39,IF(AND(A39&lt;&gt;"",E39&lt;&gt;""),"Saved","Pending"),"🔒 BLOCKED — Wrong Code")))</f>
        <v>Pending</v>
      </c>
      <c r="J39" s="86" t="str">
        <f t="shared" ca="1" si="2"/>
        <v>—</v>
      </c>
      <c r="K39" s="87"/>
    </row>
    <row r="40" spans="1:11" x14ac:dyDescent="0.25">
      <c r="A40" s="88"/>
      <c r="B40" s="25" t="str">
        <f>IF(A40="","",IFERROR(VLOOKUP(A40,DB_Customers!$A:$D,4,0),"❌ Account Not Found"))</f>
        <v/>
      </c>
      <c r="C40" s="89" t="str">
        <f>IF(A40="","",IFERROR(VLOOKUP(A40,DB_Customers!$A:$N,14,0),""))</f>
        <v/>
      </c>
      <c r="D40" s="90" t="str">
        <f t="shared" ca="1" si="0"/>
        <v/>
      </c>
      <c r="E40" s="82"/>
      <c r="F40" s="91" t="str">
        <f t="shared" si="1"/>
        <v/>
      </c>
      <c r="G40" s="27"/>
      <c r="H40" s="84"/>
      <c r="I40" s="92" t="str">
        <f>IF(A40="","Pending",IF(H40="","⚠️ Enter Code",IF(IFERROR(VLOOKUP(G40,DB_Agents!$B:$I,8,0),"")=H40,IF(AND(A40&lt;&gt;"",E40&lt;&gt;""),"Saved","Pending"),"🔒 BLOCKED — Wrong Code")))</f>
        <v>Pending</v>
      </c>
      <c r="J40" s="93" t="str">
        <f t="shared" ca="1" si="2"/>
        <v>—</v>
      </c>
      <c r="K40" s="94"/>
    </row>
    <row r="41" spans="1:11" x14ac:dyDescent="0.25">
      <c r="A41" s="79"/>
      <c r="B41" s="21" t="str">
        <f>IF(A41="","",IFERROR(VLOOKUP(A41,DB_Customers!$A:$D,4,0),"❌ Account Not Found"))</f>
        <v/>
      </c>
      <c r="C41" s="80" t="str">
        <f>IF(A41="","",IFERROR(VLOOKUP(A41,DB_Customers!$A:$N,14,0),""))</f>
        <v/>
      </c>
      <c r="D41" s="81" t="str">
        <f t="shared" ref="D41:D72" ca="1" si="3">IF(A41="","",TODAY())</f>
        <v/>
      </c>
      <c r="E41" s="82"/>
      <c r="F41" s="83" t="str">
        <f t="shared" ref="F41:F72" si="4">IF(OR(A41="",E41=""),"",IF(C41="","",C41+E41))</f>
        <v/>
      </c>
      <c r="G41" s="23"/>
      <c r="H41" s="84"/>
      <c r="I41" s="85" t="str">
        <f>IF(A41="","Pending",IF(H41="","⚠️ Enter Code",IF(IFERROR(VLOOKUP(G41,DB_Agents!$B:$I,8,0),"")=H41,IF(AND(A41&lt;&gt;"",E41&lt;&gt;""),"Saved","Pending"),"🔒 BLOCKED — Wrong Code")))</f>
        <v>Pending</v>
      </c>
      <c r="J41" s="86" t="str">
        <f t="shared" ref="J41:J72" ca="1" si="5">IF(I41="Saved",TEXT(TODAY(),"YYYY-MM-DD")&amp;" Auto","—")</f>
        <v>—</v>
      </c>
      <c r="K41" s="87"/>
    </row>
    <row r="42" spans="1:11" x14ac:dyDescent="0.25">
      <c r="A42" s="88"/>
      <c r="B42" s="25" t="str">
        <f>IF(A42="","",IFERROR(VLOOKUP(A42,DB_Customers!$A:$D,4,0),"❌ Account Not Found"))</f>
        <v/>
      </c>
      <c r="C42" s="89" t="str">
        <f>IF(A42="","",IFERROR(VLOOKUP(A42,DB_Customers!$A:$N,14,0),""))</f>
        <v/>
      </c>
      <c r="D42" s="90" t="str">
        <f t="shared" ca="1" si="3"/>
        <v/>
      </c>
      <c r="E42" s="82"/>
      <c r="F42" s="91" t="str">
        <f t="shared" si="4"/>
        <v/>
      </c>
      <c r="G42" s="27"/>
      <c r="H42" s="84"/>
      <c r="I42" s="92" t="str">
        <f>IF(A42="","Pending",IF(H42="","⚠️ Enter Code",IF(IFERROR(VLOOKUP(G42,DB_Agents!$B:$I,8,0),"")=H42,IF(AND(A42&lt;&gt;"",E42&lt;&gt;""),"Saved","Pending"),"🔒 BLOCKED — Wrong Code")))</f>
        <v>Pending</v>
      </c>
      <c r="J42" s="93" t="str">
        <f t="shared" ca="1" si="5"/>
        <v>—</v>
      </c>
      <c r="K42" s="94"/>
    </row>
    <row r="43" spans="1:11" x14ac:dyDescent="0.25">
      <c r="A43" s="79"/>
      <c r="B43" s="21" t="str">
        <f>IF(A43="","",IFERROR(VLOOKUP(A43,DB_Customers!$A:$D,4,0),"❌ Account Not Found"))</f>
        <v/>
      </c>
      <c r="C43" s="80" t="str">
        <f>IF(A43="","",IFERROR(VLOOKUP(A43,DB_Customers!$A:$N,14,0),""))</f>
        <v/>
      </c>
      <c r="D43" s="81" t="str">
        <f t="shared" ca="1" si="3"/>
        <v/>
      </c>
      <c r="E43" s="82"/>
      <c r="F43" s="83" t="str">
        <f t="shared" si="4"/>
        <v/>
      </c>
      <c r="G43" s="23"/>
      <c r="H43" s="84"/>
      <c r="I43" s="85" t="str">
        <f>IF(A43="","Pending",IF(H43="","⚠️ Enter Code",IF(IFERROR(VLOOKUP(G43,DB_Agents!$B:$I,8,0),"")=H43,IF(AND(A43&lt;&gt;"",E43&lt;&gt;""),"Saved","Pending"),"🔒 BLOCKED — Wrong Code")))</f>
        <v>Pending</v>
      </c>
      <c r="J43" s="86" t="str">
        <f t="shared" ca="1" si="5"/>
        <v>—</v>
      </c>
      <c r="K43" s="87"/>
    </row>
    <row r="44" spans="1:11" x14ac:dyDescent="0.25">
      <c r="A44" s="88"/>
      <c r="B44" s="25" t="str">
        <f>IF(A44="","",IFERROR(VLOOKUP(A44,DB_Customers!$A:$D,4,0),"❌ Account Not Found"))</f>
        <v/>
      </c>
      <c r="C44" s="89" t="str">
        <f>IF(A44="","",IFERROR(VLOOKUP(A44,DB_Customers!$A:$N,14,0),""))</f>
        <v/>
      </c>
      <c r="D44" s="90" t="str">
        <f t="shared" ca="1" si="3"/>
        <v/>
      </c>
      <c r="E44" s="82"/>
      <c r="F44" s="91" t="str">
        <f t="shared" si="4"/>
        <v/>
      </c>
      <c r="G44" s="27"/>
      <c r="H44" s="84"/>
      <c r="I44" s="92" t="str">
        <f>IF(A44="","Pending",IF(H44="","⚠️ Enter Code",IF(IFERROR(VLOOKUP(G44,DB_Agents!$B:$I,8,0),"")=H44,IF(AND(A44&lt;&gt;"",E44&lt;&gt;""),"Saved","Pending"),"🔒 BLOCKED — Wrong Code")))</f>
        <v>Pending</v>
      </c>
      <c r="J44" s="93" t="str">
        <f t="shared" ca="1" si="5"/>
        <v>—</v>
      </c>
      <c r="K44" s="94"/>
    </row>
    <row r="45" spans="1:11" x14ac:dyDescent="0.25">
      <c r="A45" s="79"/>
      <c r="B45" s="21" t="str">
        <f>IF(A45="","",IFERROR(VLOOKUP(A45,DB_Customers!$A:$D,4,0),"❌ Account Not Found"))</f>
        <v/>
      </c>
      <c r="C45" s="80" t="str">
        <f>IF(A45="","",IFERROR(VLOOKUP(A45,DB_Customers!$A:$N,14,0),""))</f>
        <v/>
      </c>
      <c r="D45" s="81" t="str">
        <f t="shared" ca="1" si="3"/>
        <v/>
      </c>
      <c r="E45" s="82"/>
      <c r="F45" s="83" t="str">
        <f t="shared" si="4"/>
        <v/>
      </c>
      <c r="G45" s="23"/>
      <c r="H45" s="84"/>
      <c r="I45" s="85" t="str">
        <f>IF(A45="","Pending",IF(H45="","⚠️ Enter Code",IF(IFERROR(VLOOKUP(G45,DB_Agents!$B:$I,8,0),"")=H45,IF(AND(A45&lt;&gt;"",E45&lt;&gt;""),"Saved","Pending"),"🔒 BLOCKED — Wrong Code")))</f>
        <v>Pending</v>
      </c>
      <c r="J45" s="86" t="str">
        <f t="shared" ca="1" si="5"/>
        <v>—</v>
      </c>
      <c r="K45" s="87"/>
    </row>
    <row r="46" spans="1:11" x14ac:dyDescent="0.25">
      <c r="A46" s="88"/>
      <c r="B46" s="25" t="str">
        <f>IF(A46="","",IFERROR(VLOOKUP(A46,DB_Customers!$A:$D,4,0),"❌ Account Not Found"))</f>
        <v/>
      </c>
      <c r="C46" s="89" t="str">
        <f>IF(A46="","",IFERROR(VLOOKUP(A46,DB_Customers!$A:$N,14,0),""))</f>
        <v/>
      </c>
      <c r="D46" s="90" t="str">
        <f t="shared" ca="1" si="3"/>
        <v/>
      </c>
      <c r="E46" s="82"/>
      <c r="F46" s="91" t="str">
        <f t="shared" si="4"/>
        <v/>
      </c>
      <c r="G46" s="27"/>
      <c r="H46" s="84"/>
      <c r="I46" s="92" t="str">
        <f>IF(A46="","Pending",IF(H46="","⚠️ Enter Code",IF(IFERROR(VLOOKUP(G46,DB_Agents!$B:$I,8,0),"")=H46,IF(AND(A46&lt;&gt;"",E46&lt;&gt;""),"Saved","Pending"),"🔒 BLOCKED — Wrong Code")))</f>
        <v>Pending</v>
      </c>
      <c r="J46" s="93" t="str">
        <f t="shared" ca="1" si="5"/>
        <v>—</v>
      </c>
      <c r="K46" s="94"/>
    </row>
    <row r="47" spans="1:11" x14ac:dyDescent="0.25">
      <c r="A47" s="79"/>
      <c r="B47" s="21" t="str">
        <f>IF(A47="","",IFERROR(VLOOKUP(A47,DB_Customers!$A:$D,4,0),"❌ Account Not Found"))</f>
        <v/>
      </c>
      <c r="C47" s="80" t="str">
        <f>IF(A47="","",IFERROR(VLOOKUP(A47,DB_Customers!$A:$N,14,0),""))</f>
        <v/>
      </c>
      <c r="D47" s="81" t="str">
        <f t="shared" ca="1" si="3"/>
        <v/>
      </c>
      <c r="E47" s="82"/>
      <c r="F47" s="83" t="str">
        <f t="shared" si="4"/>
        <v/>
      </c>
      <c r="G47" s="23"/>
      <c r="H47" s="84"/>
      <c r="I47" s="85" t="str">
        <f>IF(A47="","Pending",IF(H47="","⚠️ Enter Code",IF(IFERROR(VLOOKUP(G47,DB_Agents!$B:$I,8,0),"")=H47,IF(AND(A47&lt;&gt;"",E47&lt;&gt;""),"Saved","Pending"),"🔒 BLOCKED — Wrong Code")))</f>
        <v>Pending</v>
      </c>
      <c r="J47" s="86" t="str">
        <f t="shared" ca="1" si="5"/>
        <v>—</v>
      </c>
      <c r="K47" s="87"/>
    </row>
    <row r="48" spans="1:11" x14ac:dyDescent="0.25">
      <c r="A48" s="88"/>
      <c r="B48" s="25" t="str">
        <f>IF(A48="","",IFERROR(VLOOKUP(A48,DB_Customers!$A:$D,4,0),"❌ Account Not Found"))</f>
        <v/>
      </c>
      <c r="C48" s="89" t="str">
        <f>IF(A48="","",IFERROR(VLOOKUP(A48,DB_Customers!$A:$N,14,0),""))</f>
        <v/>
      </c>
      <c r="D48" s="90" t="str">
        <f t="shared" ca="1" si="3"/>
        <v/>
      </c>
      <c r="E48" s="82"/>
      <c r="F48" s="91" t="str">
        <f t="shared" si="4"/>
        <v/>
      </c>
      <c r="G48" s="27"/>
      <c r="H48" s="84"/>
      <c r="I48" s="92" t="str">
        <f>IF(A48="","Pending",IF(H48="","⚠️ Enter Code",IF(IFERROR(VLOOKUP(G48,DB_Agents!$B:$I,8,0),"")=H48,IF(AND(A48&lt;&gt;"",E48&lt;&gt;""),"Saved","Pending"),"🔒 BLOCKED — Wrong Code")))</f>
        <v>Pending</v>
      </c>
      <c r="J48" s="93" t="str">
        <f t="shared" ca="1" si="5"/>
        <v>—</v>
      </c>
      <c r="K48" s="94"/>
    </row>
    <row r="49" spans="1:11" x14ac:dyDescent="0.25">
      <c r="A49" s="79"/>
      <c r="B49" s="21" t="str">
        <f>IF(A49="","",IFERROR(VLOOKUP(A49,DB_Customers!$A:$D,4,0),"❌ Account Not Found"))</f>
        <v/>
      </c>
      <c r="C49" s="80" t="str">
        <f>IF(A49="","",IFERROR(VLOOKUP(A49,DB_Customers!$A:$N,14,0),""))</f>
        <v/>
      </c>
      <c r="D49" s="81" t="str">
        <f t="shared" ca="1" si="3"/>
        <v/>
      </c>
      <c r="E49" s="82"/>
      <c r="F49" s="83" t="str">
        <f t="shared" si="4"/>
        <v/>
      </c>
      <c r="G49" s="23"/>
      <c r="H49" s="84"/>
      <c r="I49" s="85" t="str">
        <f>IF(A49="","Pending",IF(H49="","⚠️ Enter Code",IF(IFERROR(VLOOKUP(G49,DB_Agents!$B:$I,8,0),"")=H49,IF(AND(A49&lt;&gt;"",E49&lt;&gt;""),"Saved","Pending"),"🔒 BLOCKED — Wrong Code")))</f>
        <v>Pending</v>
      </c>
      <c r="J49" s="86" t="str">
        <f t="shared" ca="1" si="5"/>
        <v>—</v>
      </c>
      <c r="K49" s="87"/>
    </row>
    <row r="50" spans="1:11" x14ac:dyDescent="0.25">
      <c r="A50" s="88"/>
      <c r="B50" s="25" t="str">
        <f>IF(A50="","",IFERROR(VLOOKUP(A50,DB_Customers!$A:$D,4,0),"❌ Account Not Found"))</f>
        <v/>
      </c>
      <c r="C50" s="89" t="str">
        <f>IF(A50="","",IFERROR(VLOOKUP(A50,DB_Customers!$A:$N,14,0),""))</f>
        <v/>
      </c>
      <c r="D50" s="90" t="str">
        <f t="shared" ca="1" si="3"/>
        <v/>
      </c>
      <c r="E50" s="82"/>
      <c r="F50" s="91" t="str">
        <f t="shared" si="4"/>
        <v/>
      </c>
      <c r="G50" s="27"/>
      <c r="H50" s="84"/>
      <c r="I50" s="92" t="str">
        <f>IF(A50="","Pending",IF(H50="","⚠️ Enter Code",IF(IFERROR(VLOOKUP(G50,DB_Agents!$B:$I,8,0),"")=H50,IF(AND(A50&lt;&gt;"",E50&lt;&gt;""),"Saved","Pending"),"🔒 BLOCKED — Wrong Code")))</f>
        <v>Pending</v>
      </c>
      <c r="J50" s="93" t="str">
        <f t="shared" ca="1" si="5"/>
        <v>—</v>
      </c>
      <c r="K50" s="94"/>
    </row>
    <row r="51" spans="1:11" x14ac:dyDescent="0.25">
      <c r="A51" s="79"/>
      <c r="B51" s="21" t="str">
        <f>IF(A51="","",IFERROR(VLOOKUP(A51,DB_Customers!$A:$D,4,0),"❌ Account Not Found"))</f>
        <v/>
      </c>
      <c r="C51" s="80" t="str">
        <f>IF(A51="","",IFERROR(VLOOKUP(A51,DB_Customers!$A:$N,14,0),""))</f>
        <v/>
      </c>
      <c r="D51" s="81" t="str">
        <f t="shared" ca="1" si="3"/>
        <v/>
      </c>
      <c r="E51" s="82"/>
      <c r="F51" s="83" t="str">
        <f t="shared" si="4"/>
        <v/>
      </c>
      <c r="G51" s="23"/>
      <c r="H51" s="84"/>
      <c r="I51" s="85" t="str">
        <f>IF(A51="","Pending",IF(H51="","⚠️ Enter Code",IF(IFERROR(VLOOKUP(G51,DB_Agents!$B:$I,8,0),"")=H51,IF(AND(A51&lt;&gt;"",E51&lt;&gt;""),"Saved","Pending"),"🔒 BLOCKED — Wrong Code")))</f>
        <v>Pending</v>
      </c>
      <c r="J51" s="86" t="str">
        <f t="shared" ca="1" si="5"/>
        <v>—</v>
      </c>
      <c r="K51" s="87"/>
    </row>
    <row r="52" spans="1:11" x14ac:dyDescent="0.25">
      <c r="A52" s="88"/>
      <c r="B52" s="25" t="str">
        <f>IF(A52="","",IFERROR(VLOOKUP(A52,DB_Customers!$A:$D,4,0),"❌ Account Not Found"))</f>
        <v/>
      </c>
      <c r="C52" s="89" t="str">
        <f>IF(A52="","",IFERROR(VLOOKUP(A52,DB_Customers!$A:$N,14,0),""))</f>
        <v/>
      </c>
      <c r="D52" s="90" t="str">
        <f t="shared" ca="1" si="3"/>
        <v/>
      </c>
      <c r="E52" s="82"/>
      <c r="F52" s="91" t="str">
        <f t="shared" si="4"/>
        <v/>
      </c>
      <c r="G52" s="27"/>
      <c r="H52" s="84"/>
      <c r="I52" s="92" t="str">
        <f>IF(A52="","Pending",IF(H52="","⚠️ Enter Code",IF(IFERROR(VLOOKUP(G52,DB_Agents!$B:$I,8,0),"")=H52,IF(AND(A52&lt;&gt;"",E52&lt;&gt;""),"Saved","Pending"),"🔒 BLOCKED — Wrong Code")))</f>
        <v>Pending</v>
      </c>
      <c r="J52" s="93" t="str">
        <f t="shared" ca="1" si="5"/>
        <v>—</v>
      </c>
      <c r="K52" s="94"/>
    </row>
    <row r="53" spans="1:11" x14ac:dyDescent="0.25">
      <c r="A53" s="79"/>
      <c r="B53" s="21" t="str">
        <f>IF(A53="","",IFERROR(VLOOKUP(A53,DB_Customers!$A:$D,4,0),"❌ Account Not Found"))</f>
        <v/>
      </c>
      <c r="C53" s="80" t="str">
        <f>IF(A53="","",IFERROR(VLOOKUP(A53,DB_Customers!$A:$N,14,0),""))</f>
        <v/>
      </c>
      <c r="D53" s="81" t="str">
        <f t="shared" ca="1" si="3"/>
        <v/>
      </c>
      <c r="E53" s="82"/>
      <c r="F53" s="83" t="str">
        <f t="shared" si="4"/>
        <v/>
      </c>
      <c r="G53" s="23"/>
      <c r="H53" s="84"/>
      <c r="I53" s="85" t="str">
        <f>IF(A53="","Pending",IF(H53="","⚠️ Enter Code",IF(IFERROR(VLOOKUP(G53,DB_Agents!$B:$I,8,0),"")=H53,IF(AND(A53&lt;&gt;"",E53&lt;&gt;""),"Saved","Pending"),"🔒 BLOCKED — Wrong Code")))</f>
        <v>Pending</v>
      </c>
      <c r="J53" s="86" t="str">
        <f t="shared" ca="1" si="5"/>
        <v>—</v>
      </c>
      <c r="K53" s="87"/>
    </row>
    <row r="54" spans="1:11" x14ac:dyDescent="0.25">
      <c r="A54" s="88"/>
      <c r="B54" s="25" t="str">
        <f>IF(A54="","",IFERROR(VLOOKUP(A54,DB_Customers!$A:$D,4,0),"❌ Account Not Found"))</f>
        <v/>
      </c>
      <c r="C54" s="89" t="str">
        <f>IF(A54="","",IFERROR(VLOOKUP(A54,DB_Customers!$A:$N,14,0),""))</f>
        <v/>
      </c>
      <c r="D54" s="90" t="str">
        <f t="shared" ca="1" si="3"/>
        <v/>
      </c>
      <c r="E54" s="82"/>
      <c r="F54" s="91" t="str">
        <f t="shared" si="4"/>
        <v/>
      </c>
      <c r="G54" s="27"/>
      <c r="H54" s="84"/>
      <c r="I54" s="92" t="str">
        <f>IF(A54="","Pending",IF(H54="","⚠️ Enter Code",IF(IFERROR(VLOOKUP(G54,DB_Agents!$B:$I,8,0),"")=H54,IF(AND(A54&lt;&gt;"",E54&lt;&gt;""),"Saved","Pending"),"🔒 BLOCKED — Wrong Code")))</f>
        <v>Pending</v>
      </c>
      <c r="J54" s="93" t="str">
        <f t="shared" ca="1" si="5"/>
        <v>—</v>
      </c>
      <c r="K54" s="94"/>
    </row>
    <row r="55" spans="1:11" x14ac:dyDescent="0.25">
      <c r="A55" s="79"/>
      <c r="B55" s="21" t="str">
        <f>IF(A55="","",IFERROR(VLOOKUP(A55,DB_Customers!$A:$D,4,0),"❌ Account Not Found"))</f>
        <v/>
      </c>
      <c r="C55" s="80" t="str">
        <f>IF(A55="","",IFERROR(VLOOKUP(A55,DB_Customers!$A:$N,14,0),""))</f>
        <v/>
      </c>
      <c r="D55" s="81" t="str">
        <f t="shared" ca="1" si="3"/>
        <v/>
      </c>
      <c r="E55" s="82"/>
      <c r="F55" s="83" t="str">
        <f t="shared" si="4"/>
        <v/>
      </c>
      <c r="G55" s="23"/>
      <c r="H55" s="84"/>
      <c r="I55" s="85" t="str">
        <f>IF(A55="","Pending",IF(H55="","⚠️ Enter Code",IF(IFERROR(VLOOKUP(G55,DB_Agents!$B:$I,8,0),"")=H55,IF(AND(A55&lt;&gt;"",E55&lt;&gt;""),"Saved","Pending"),"🔒 BLOCKED — Wrong Code")))</f>
        <v>Pending</v>
      </c>
      <c r="J55" s="86" t="str">
        <f t="shared" ca="1" si="5"/>
        <v>—</v>
      </c>
      <c r="K55" s="87"/>
    </row>
    <row r="56" spans="1:11" x14ac:dyDescent="0.25">
      <c r="A56" s="88"/>
      <c r="B56" s="25" t="str">
        <f>IF(A56="","",IFERROR(VLOOKUP(A56,DB_Customers!$A:$D,4,0),"❌ Account Not Found"))</f>
        <v/>
      </c>
      <c r="C56" s="89" t="str">
        <f>IF(A56="","",IFERROR(VLOOKUP(A56,DB_Customers!$A:$N,14,0),""))</f>
        <v/>
      </c>
      <c r="D56" s="90" t="str">
        <f t="shared" ca="1" si="3"/>
        <v/>
      </c>
      <c r="E56" s="82"/>
      <c r="F56" s="91" t="str">
        <f t="shared" si="4"/>
        <v/>
      </c>
      <c r="G56" s="27"/>
      <c r="H56" s="84"/>
      <c r="I56" s="92" t="str">
        <f>IF(A56="","Pending",IF(H56="","⚠️ Enter Code",IF(IFERROR(VLOOKUP(G56,DB_Agents!$B:$I,8,0),"")=H56,IF(AND(A56&lt;&gt;"",E56&lt;&gt;""),"Saved","Pending"),"🔒 BLOCKED — Wrong Code")))</f>
        <v>Pending</v>
      </c>
      <c r="J56" s="93" t="str">
        <f t="shared" ca="1" si="5"/>
        <v>—</v>
      </c>
      <c r="K56" s="94"/>
    </row>
    <row r="57" spans="1:11" x14ac:dyDescent="0.25">
      <c r="A57" s="79"/>
      <c r="B57" s="21" t="str">
        <f>IF(A57="","",IFERROR(VLOOKUP(A57,DB_Customers!$A:$D,4,0),"❌ Account Not Found"))</f>
        <v/>
      </c>
      <c r="C57" s="80" t="str">
        <f>IF(A57="","",IFERROR(VLOOKUP(A57,DB_Customers!$A:$N,14,0),""))</f>
        <v/>
      </c>
      <c r="D57" s="81" t="str">
        <f t="shared" ca="1" si="3"/>
        <v/>
      </c>
      <c r="E57" s="82"/>
      <c r="F57" s="83" t="str">
        <f t="shared" si="4"/>
        <v/>
      </c>
      <c r="G57" s="23"/>
      <c r="H57" s="84"/>
      <c r="I57" s="85" t="str">
        <f>IF(A57="","Pending",IF(H57="","⚠️ Enter Code",IF(IFERROR(VLOOKUP(G57,DB_Agents!$B:$I,8,0),"")=H57,IF(AND(A57&lt;&gt;"",E57&lt;&gt;""),"Saved","Pending"),"🔒 BLOCKED — Wrong Code")))</f>
        <v>Pending</v>
      </c>
      <c r="J57" s="86" t="str">
        <f t="shared" ca="1" si="5"/>
        <v>—</v>
      </c>
      <c r="K57" s="87"/>
    </row>
    <row r="58" spans="1:11" x14ac:dyDescent="0.25">
      <c r="A58" s="88"/>
      <c r="B58" s="25" t="str">
        <f>IF(A58="","",IFERROR(VLOOKUP(A58,DB_Customers!$A:$D,4,0),"❌ Account Not Found"))</f>
        <v/>
      </c>
      <c r="C58" s="89" t="str">
        <f>IF(A58="","",IFERROR(VLOOKUP(A58,DB_Customers!$A:$N,14,0),""))</f>
        <v/>
      </c>
      <c r="D58" s="90" t="str">
        <f t="shared" ca="1" si="3"/>
        <v/>
      </c>
      <c r="E58" s="82"/>
      <c r="F58" s="91" t="str">
        <f t="shared" si="4"/>
        <v/>
      </c>
      <c r="G58" s="27"/>
      <c r="H58" s="84"/>
      <c r="I58" s="92" t="str">
        <f>IF(A58="","Pending",IF(H58="","⚠️ Enter Code",IF(IFERROR(VLOOKUP(G58,DB_Agents!$B:$I,8,0),"")=H58,IF(AND(A58&lt;&gt;"",E58&lt;&gt;""),"Saved","Pending"),"🔒 BLOCKED — Wrong Code")))</f>
        <v>Pending</v>
      </c>
      <c r="J58" s="93" t="str">
        <f t="shared" ca="1" si="5"/>
        <v>—</v>
      </c>
      <c r="K58" s="94"/>
    </row>
    <row r="59" spans="1:11" x14ac:dyDescent="0.25">
      <c r="A59" s="79"/>
      <c r="B59" s="21" t="str">
        <f>IF(A59="","",IFERROR(VLOOKUP(A59,DB_Customers!$A:$D,4,0),"❌ Account Not Found"))</f>
        <v/>
      </c>
      <c r="C59" s="80" t="str">
        <f>IF(A59="","",IFERROR(VLOOKUP(A59,DB_Customers!$A:$N,14,0),""))</f>
        <v/>
      </c>
      <c r="D59" s="81" t="str">
        <f t="shared" ca="1" si="3"/>
        <v/>
      </c>
      <c r="E59" s="82"/>
      <c r="F59" s="83" t="str">
        <f t="shared" si="4"/>
        <v/>
      </c>
      <c r="G59" s="23"/>
      <c r="H59" s="84"/>
      <c r="I59" s="85" t="str">
        <f>IF(A59="","Pending",IF(H59="","⚠️ Enter Code",IF(IFERROR(VLOOKUP(G59,DB_Agents!$B:$I,8,0),"")=H59,IF(AND(A59&lt;&gt;"",E59&lt;&gt;""),"Saved","Pending"),"🔒 BLOCKED — Wrong Code")))</f>
        <v>Pending</v>
      </c>
      <c r="J59" s="86" t="str">
        <f t="shared" ca="1" si="5"/>
        <v>—</v>
      </c>
      <c r="K59" s="87"/>
    </row>
    <row r="60" spans="1:11" x14ac:dyDescent="0.25">
      <c r="A60" s="88"/>
      <c r="B60" s="25" t="str">
        <f>IF(A60="","",IFERROR(VLOOKUP(A60,DB_Customers!$A:$D,4,0),"❌ Account Not Found"))</f>
        <v/>
      </c>
      <c r="C60" s="89" t="str">
        <f>IF(A60="","",IFERROR(VLOOKUP(A60,DB_Customers!$A:$N,14,0),""))</f>
        <v/>
      </c>
      <c r="D60" s="90" t="str">
        <f t="shared" ca="1" si="3"/>
        <v/>
      </c>
      <c r="E60" s="82"/>
      <c r="F60" s="91" t="str">
        <f t="shared" si="4"/>
        <v/>
      </c>
      <c r="G60" s="27"/>
      <c r="H60" s="84"/>
      <c r="I60" s="92" t="str">
        <f>IF(A60="","Pending",IF(H60="","⚠️ Enter Code",IF(IFERROR(VLOOKUP(G60,DB_Agents!$B:$I,8,0),"")=H60,IF(AND(A60&lt;&gt;"",E60&lt;&gt;""),"Saved","Pending"),"🔒 BLOCKED — Wrong Code")))</f>
        <v>Pending</v>
      </c>
      <c r="J60" s="93" t="str">
        <f t="shared" ca="1" si="5"/>
        <v>—</v>
      </c>
      <c r="K60" s="94"/>
    </row>
    <row r="61" spans="1:11" x14ac:dyDescent="0.25">
      <c r="A61" s="79"/>
      <c r="B61" s="21" t="str">
        <f>IF(A61="","",IFERROR(VLOOKUP(A61,DB_Customers!$A:$D,4,0),"❌ Account Not Found"))</f>
        <v/>
      </c>
      <c r="C61" s="80" t="str">
        <f>IF(A61="","",IFERROR(VLOOKUP(A61,DB_Customers!$A:$N,14,0),""))</f>
        <v/>
      </c>
      <c r="D61" s="81" t="str">
        <f t="shared" ca="1" si="3"/>
        <v/>
      </c>
      <c r="E61" s="82"/>
      <c r="F61" s="83" t="str">
        <f t="shared" si="4"/>
        <v/>
      </c>
      <c r="G61" s="23"/>
      <c r="H61" s="84"/>
      <c r="I61" s="85" t="str">
        <f>IF(A61="","Pending",IF(H61="","⚠️ Enter Code",IF(IFERROR(VLOOKUP(G61,DB_Agents!$B:$I,8,0),"")=H61,IF(AND(A61&lt;&gt;"",E61&lt;&gt;""),"Saved","Pending"),"🔒 BLOCKED — Wrong Code")))</f>
        <v>Pending</v>
      </c>
      <c r="J61" s="86" t="str">
        <f t="shared" ca="1" si="5"/>
        <v>—</v>
      </c>
      <c r="K61" s="87"/>
    </row>
    <row r="62" spans="1:11" x14ac:dyDescent="0.25">
      <c r="A62" s="88"/>
      <c r="B62" s="25" t="str">
        <f>IF(A62="","",IFERROR(VLOOKUP(A62,DB_Customers!$A:$D,4,0),"❌ Account Not Found"))</f>
        <v/>
      </c>
      <c r="C62" s="89" t="str">
        <f>IF(A62="","",IFERROR(VLOOKUP(A62,DB_Customers!$A:$N,14,0),""))</f>
        <v/>
      </c>
      <c r="D62" s="90" t="str">
        <f t="shared" ca="1" si="3"/>
        <v/>
      </c>
      <c r="E62" s="82"/>
      <c r="F62" s="91" t="str">
        <f t="shared" si="4"/>
        <v/>
      </c>
      <c r="G62" s="27"/>
      <c r="H62" s="84"/>
      <c r="I62" s="92" t="str">
        <f>IF(A62="","Pending",IF(H62="","⚠️ Enter Code",IF(IFERROR(VLOOKUP(G62,DB_Agents!$B:$I,8,0),"")=H62,IF(AND(A62&lt;&gt;"",E62&lt;&gt;""),"Saved","Pending"),"🔒 BLOCKED — Wrong Code")))</f>
        <v>Pending</v>
      </c>
      <c r="J62" s="93" t="str">
        <f t="shared" ca="1" si="5"/>
        <v>—</v>
      </c>
      <c r="K62" s="94"/>
    </row>
    <row r="63" spans="1:11" x14ac:dyDescent="0.25">
      <c r="A63" s="79"/>
      <c r="B63" s="21" t="str">
        <f>IF(A63="","",IFERROR(VLOOKUP(A63,DB_Customers!$A:$D,4,0),"❌ Account Not Found"))</f>
        <v/>
      </c>
      <c r="C63" s="80" t="str">
        <f>IF(A63="","",IFERROR(VLOOKUP(A63,DB_Customers!$A:$N,14,0),""))</f>
        <v/>
      </c>
      <c r="D63" s="81" t="str">
        <f t="shared" ca="1" si="3"/>
        <v/>
      </c>
      <c r="E63" s="82"/>
      <c r="F63" s="83" t="str">
        <f t="shared" si="4"/>
        <v/>
      </c>
      <c r="G63" s="23"/>
      <c r="H63" s="84"/>
      <c r="I63" s="85" t="str">
        <f>IF(A63="","Pending",IF(H63="","⚠️ Enter Code",IF(IFERROR(VLOOKUP(G63,DB_Agents!$B:$I,8,0),"")=H63,IF(AND(A63&lt;&gt;"",E63&lt;&gt;""),"Saved","Pending"),"🔒 BLOCKED — Wrong Code")))</f>
        <v>Pending</v>
      </c>
      <c r="J63" s="86" t="str">
        <f t="shared" ca="1" si="5"/>
        <v>—</v>
      </c>
      <c r="K63" s="87"/>
    </row>
    <row r="64" spans="1:11" x14ac:dyDescent="0.25">
      <c r="A64" s="88"/>
      <c r="B64" s="25" t="str">
        <f>IF(A64="","",IFERROR(VLOOKUP(A64,DB_Customers!$A:$D,4,0),"❌ Account Not Found"))</f>
        <v/>
      </c>
      <c r="C64" s="89" t="str">
        <f>IF(A64="","",IFERROR(VLOOKUP(A64,DB_Customers!$A:$N,14,0),""))</f>
        <v/>
      </c>
      <c r="D64" s="90" t="str">
        <f t="shared" ca="1" si="3"/>
        <v/>
      </c>
      <c r="E64" s="82"/>
      <c r="F64" s="91" t="str">
        <f t="shared" si="4"/>
        <v/>
      </c>
      <c r="G64" s="27"/>
      <c r="H64" s="84"/>
      <c r="I64" s="92" t="str">
        <f>IF(A64="","Pending",IF(H64="","⚠️ Enter Code",IF(IFERROR(VLOOKUP(G64,DB_Agents!$B:$I,8,0),"")=H64,IF(AND(A64&lt;&gt;"",E64&lt;&gt;""),"Saved","Pending"),"🔒 BLOCKED — Wrong Code")))</f>
        <v>Pending</v>
      </c>
      <c r="J64" s="93" t="str">
        <f t="shared" ca="1" si="5"/>
        <v>—</v>
      </c>
      <c r="K64" s="94"/>
    </row>
    <row r="65" spans="1:11" x14ac:dyDescent="0.25">
      <c r="A65" s="79"/>
      <c r="B65" s="21" t="str">
        <f>IF(A65="","",IFERROR(VLOOKUP(A65,DB_Customers!$A:$D,4,0),"❌ Account Not Found"))</f>
        <v/>
      </c>
      <c r="C65" s="80" t="str">
        <f>IF(A65="","",IFERROR(VLOOKUP(A65,DB_Customers!$A:$N,14,0),""))</f>
        <v/>
      </c>
      <c r="D65" s="81" t="str">
        <f t="shared" ca="1" si="3"/>
        <v/>
      </c>
      <c r="E65" s="82"/>
      <c r="F65" s="83" t="str">
        <f t="shared" si="4"/>
        <v/>
      </c>
      <c r="G65" s="23"/>
      <c r="H65" s="84"/>
      <c r="I65" s="85" t="str">
        <f>IF(A65="","Pending",IF(H65="","⚠️ Enter Code",IF(IFERROR(VLOOKUP(G65,DB_Agents!$B:$I,8,0),"")=H65,IF(AND(A65&lt;&gt;"",E65&lt;&gt;""),"Saved","Pending"),"🔒 BLOCKED — Wrong Code")))</f>
        <v>Pending</v>
      </c>
      <c r="J65" s="86" t="str">
        <f t="shared" ca="1" si="5"/>
        <v>—</v>
      </c>
      <c r="K65" s="87"/>
    </row>
    <row r="66" spans="1:11" x14ac:dyDescent="0.25">
      <c r="A66" s="88"/>
      <c r="B66" s="25" t="str">
        <f>IF(A66="","",IFERROR(VLOOKUP(A66,DB_Customers!$A:$D,4,0),"❌ Account Not Found"))</f>
        <v/>
      </c>
      <c r="C66" s="89" t="str">
        <f>IF(A66="","",IFERROR(VLOOKUP(A66,DB_Customers!$A:$N,14,0),""))</f>
        <v/>
      </c>
      <c r="D66" s="90" t="str">
        <f t="shared" ca="1" si="3"/>
        <v/>
      </c>
      <c r="E66" s="82"/>
      <c r="F66" s="91" t="str">
        <f t="shared" si="4"/>
        <v/>
      </c>
      <c r="G66" s="27"/>
      <c r="H66" s="84"/>
      <c r="I66" s="92" t="str">
        <f>IF(A66="","Pending",IF(H66="","⚠️ Enter Code",IF(IFERROR(VLOOKUP(G66,DB_Agents!$B:$I,8,0),"")=H66,IF(AND(A66&lt;&gt;"",E66&lt;&gt;""),"Saved","Pending"),"🔒 BLOCKED — Wrong Code")))</f>
        <v>Pending</v>
      </c>
      <c r="J66" s="93" t="str">
        <f t="shared" ca="1" si="5"/>
        <v>—</v>
      </c>
      <c r="K66" s="94"/>
    </row>
    <row r="67" spans="1:11" x14ac:dyDescent="0.25">
      <c r="A67" s="79"/>
      <c r="B67" s="21" t="str">
        <f>IF(A67="","",IFERROR(VLOOKUP(A67,DB_Customers!$A:$D,4,0),"❌ Account Not Found"))</f>
        <v/>
      </c>
      <c r="C67" s="80" t="str">
        <f>IF(A67="","",IFERROR(VLOOKUP(A67,DB_Customers!$A:$N,14,0),""))</f>
        <v/>
      </c>
      <c r="D67" s="81" t="str">
        <f t="shared" ca="1" si="3"/>
        <v/>
      </c>
      <c r="E67" s="82"/>
      <c r="F67" s="83" t="str">
        <f t="shared" si="4"/>
        <v/>
      </c>
      <c r="G67" s="23"/>
      <c r="H67" s="84"/>
      <c r="I67" s="85" t="str">
        <f>IF(A67="","Pending",IF(H67="","⚠️ Enter Code",IF(IFERROR(VLOOKUP(G67,DB_Agents!$B:$I,8,0),"")=H67,IF(AND(A67&lt;&gt;"",E67&lt;&gt;""),"Saved","Pending"),"🔒 BLOCKED — Wrong Code")))</f>
        <v>Pending</v>
      </c>
      <c r="J67" s="86" t="str">
        <f t="shared" ca="1" si="5"/>
        <v>—</v>
      </c>
      <c r="K67" s="87"/>
    </row>
    <row r="68" spans="1:11" x14ac:dyDescent="0.25">
      <c r="A68" s="88"/>
      <c r="B68" s="25" t="str">
        <f>IF(A68="","",IFERROR(VLOOKUP(A68,DB_Customers!$A:$D,4,0),"❌ Account Not Found"))</f>
        <v/>
      </c>
      <c r="C68" s="89" t="str">
        <f>IF(A68="","",IFERROR(VLOOKUP(A68,DB_Customers!$A:$N,14,0),""))</f>
        <v/>
      </c>
      <c r="D68" s="90" t="str">
        <f t="shared" ca="1" si="3"/>
        <v/>
      </c>
      <c r="E68" s="82"/>
      <c r="F68" s="91" t="str">
        <f t="shared" si="4"/>
        <v/>
      </c>
      <c r="G68" s="27"/>
      <c r="H68" s="84"/>
      <c r="I68" s="92" t="str">
        <f>IF(A68="","Pending",IF(H68="","⚠️ Enter Code",IF(IFERROR(VLOOKUP(G68,DB_Agents!$B:$I,8,0),"")=H68,IF(AND(A68&lt;&gt;"",E68&lt;&gt;""),"Saved","Pending"),"🔒 BLOCKED — Wrong Code")))</f>
        <v>Pending</v>
      </c>
      <c r="J68" s="93" t="str">
        <f t="shared" ca="1" si="5"/>
        <v>—</v>
      </c>
      <c r="K68" s="94"/>
    </row>
    <row r="69" spans="1:11" x14ac:dyDescent="0.25">
      <c r="A69" s="79"/>
      <c r="B69" s="21" t="str">
        <f>IF(A69="","",IFERROR(VLOOKUP(A69,DB_Customers!$A:$D,4,0),"❌ Account Not Found"))</f>
        <v/>
      </c>
      <c r="C69" s="80" t="str">
        <f>IF(A69="","",IFERROR(VLOOKUP(A69,DB_Customers!$A:$N,14,0),""))</f>
        <v/>
      </c>
      <c r="D69" s="81" t="str">
        <f t="shared" ca="1" si="3"/>
        <v/>
      </c>
      <c r="E69" s="82"/>
      <c r="F69" s="83" t="str">
        <f t="shared" si="4"/>
        <v/>
      </c>
      <c r="G69" s="23"/>
      <c r="H69" s="84"/>
      <c r="I69" s="85" t="str">
        <f>IF(A69="","Pending",IF(H69="","⚠️ Enter Code",IF(IFERROR(VLOOKUP(G69,DB_Agents!$B:$I,8,0),"")=H69,IF(AND(A69&lt;&gt;"",E69&lt;&gt;""),"Saved","Pending"),"🔒 BLOCKED — Wrong Code")))</f>
        <v>Pending</v>
      </c>
      <c r="J69" s="86" t="str">
        <f t="shared" ca="1" si="5"/>
        <v>—</v>
      </c>
      <c r="K69" s="87"/>
    </row>
    <row r="70" spans="1:11" x14ac:dyDescent="0.25">
      <c r="A70" s="88"/>
      <c r="B70" s="25" t="str">
        <f>IF(A70="","",IFERROR(VLOOKUP(A70,DB_Customers!$A:$D,4,0),"❌ Account Not Found"))</f>
        <v/>
      </c>
      <c r="C70" s="89" t="str">
        <f>IF(A70="","",IFERROR(VLOOKUP(A70,DB_Customers!$A:$N,14,0),""))</f>
        <v/>
      </c>
      <c r="D70" s="90" t="str">
        <f t="shared" ca="1" si="3"/>
        <v/>
      </c>
      <c r="E70" s="82"/>
      <c r="F70" s="91" t="str">
        <f t="shared" si="4"/>
        <v/>
      </c>
      <c r="G70" s="27"/>
      <c r="H70" s="84"/>
      <c r="I70" s="92" t="str">
        <f>IF(A70="","Pending",IF(H70="","⚠️ Enter Code",IF(IFERROR(VLOOKUP(G70,DB_Agents!$B:$I,8,0),"")=H70,IF(AND(A70&lt;&gt;"",E70&lt;&gt;""),"Saved","Pending"),"🔒 BLOCKED — Wrong Code")))</f>
        <v>Pending</v>
      </c>
      <c r="J70" s="93" t="str">
        <f t="shared" ca="1" si="5"/>
        <v>—</v>
      </c>
      <c r="K70" s="94"/>
    </row>
    <row r="71" spans="1:11" x14ac:dyDescent="0.25">
      <c r="A71" s="79"/>
      <c r="B71" s="21" t="str">
        <f>IF(A71="","",IFERROR(VLOOKUP(A71,DB_Customers!$A:$D,4,0),"❌ Account Not Found"))</f>
        <v/>
      </c>
      <c r="C71" s="80" t="str">
        <f>IF(A71="","",IFERROR(VLOOKUP(A71,DB_Customers!$A:$N,14,0),""))</f>
        <v/>
      </c>
      <c r="D71" s="81" t="str">
        <f t="shared" ca="1" si="3"/>
        <v/>
      </c>
      <c r="E71" s="82"/>
      <c r="F71" s="83" t="str">
        <f t="shared" si="4"/>
        <v/>
      </c>
      <c r="G71" s="23"/>
      <c r="H71" s="84"/>
      <c r="I71" s="85" t="str">
        <f>IF(A71="","Pending",IF(H71="","⚠️ Enter Code",IF(IFERROR(VLOOKUP(G71,DB_Agents!$B:$I,8,0),"")=H71,IF(AND(A71&lt;&gt;"",E71&lt;&gt;""),"Saved","Pending"),"🔒 BLOCKED — Wrong Code")))</f>
        <v>Pending</v>
      </c>
      <c r="J71" s="86" t="str">
        <f t="shared" ca="1" si="5"/>
        <v>—</v>
      </c>
      <c r="K71" s="87"/>
    </row>
    <row r="72" spans="1:11" x14ac:dyDescent="0.25">
      <c r="A72" s="88"/>
      <c r="B72" s="25" t="str">
        <f>IF(A72="","",IFERROR(VLOOKUP(A72,DB_Customers!$A:$D,4,0),"❌ Account Not Found"))</f>
        <v/>
      </c>
      <c r="C72" s="89" t="str">
        <f>IF(A72="","",IFERROR(VLOOKUP(A72,DB_Customers!$A:$N,14,0),""))</f>
        <v/>
      </c>
      <c r="D72" s="90" t="str">
        <f t="shared" ca="1" si="3"/>
        <v/>
      </c>
      <c r="E72" s="82"/>
      <c r="F72" s="91" t="str">
        <f t="shared" si="4"/>
        <v/>
      </c>
      <c r="G72" s="27"/>
      <c r="H72" s="84"/>
      <c r="I72" s="92" t="str">
        <f>IF(A72="","Pending",IF(H72="","⚠️ Enter Code",IF(IFERROR(VLOOKUP(G72,DB_Agents!$B:$I,8,0),"")=H72,IF(AND(A72&lt;&gt;"",E72&lt;&gt;""),"Saved","Pending"),"🔒 BLOCKED — Wrong Code")))</f>
        <v>Pending</v>
      </c>
      <c r="J72" s="93" t="str">
        <f t="shared" ca="1" si="5"/>
        <v>—</v>
      </c>
      <c r="K72" s="94"/>
    </row>
    <row r="73" spans="1:11" x14ac:dyDescent="0.25">
      <c r="A73" s="79"/>
      <c r="B73" s="21" t="str">
        <f>IF(A73="","",IFERROR(VLOOKUP(A73,DB_Customers!$A:$D,4,0),"❌ Account Not Found"))</f>
        <v/>
      </c>
      <c r="C73" s="80" t="str">
        <f>IF(A73="","",IFERROR(VLOOKUP(A73,DB_Customers!$A:$N,14,0),""))</f>
        <v/>
      </c>
      <c r="D73" s="81" t="str">
        <f t="shared" ref="D73:D104" ca="1" si="6">IF(A73="","",TODAY())</f>
        <v/>
      </c>
      <c r="E73" s="82"/>
      <c r="F73" s="83" t="str">
        <f t="shared" ref="F73:F104" si="7">IF(OR(A73="",E73=""),"",IF(C73="","",C73+E73))</f>
        <v/>
      </c>
      <c r="G73" s="23"/>
      <c r="H73" s="84"/>
      <c r="I73" s="85" t="str">
        <f>IF(A73="","Pending",IF(H73="","⚠️ Enter Code",IF(IFERROR(VLOOKUP(G73,DB_Agents!$B:$I,8,0),"")=H73,IF(AND(A73&lt;&gt;"",E73&lt;&gt;""),"Saved","Pending"),"🔒 BLOCKED — Wrong Code")))</f>
        <v>Pending</v>
      </c>
      <c r="J73" s="86" t="str">
        <f t="shared" ref="J73:J104" ca="1" si="8">IF(I73="Saved",TEXT(TODAY(),"YYYY-MM-DD")&amp;" Auto","—")</f>
        <v>—</v>
      </c>
      <c r="K73" s="87"/>
    </row>
    <row r="74" spans="1:11" x14ac:dyDescent="0.25">
      <c r="A74" s="88"/>
      <c r="B74" s="25" t="str">
        <f>IF(A74="","",IFERROR(VLOOKUP(A74,DB_Customers!$A:$D,4,0),"❌ Account Not Found"))</f>
        <v/>
      </c>
      <c r="C74" s="89" t="str">
        <f>IF(A74="","",IFERROR(VLOOKUP(A74,DB_Customers!$A:$N,14,0),""))</f>
        <v/>
      </c>
      <c r="D74" s="90" t="str">
        <f t="shared" ca="1" si="6"/>
        <v/>
      </c>
      <c r="E74" s="82"/>
      <c r="F74" s="91" t="str">
        <f t="shared" si="7"/>
        <v/>
      </c>
      <c r="G74" s="27"/>
      <c r="H74" s="84"/>
      <c r="I74" s="92" t="str">
        <f>IF(A74="","Pending",IF(H74="","⚠️ Enter Code",IF(IFERROR(VLOOKUP(G74,DB_Agents!$B:$I,8,0),"")=H74,IF(AND(A74&lt;&gt;"",E74&lt;&gt;""),"Saved","Pending"),"🔒 BLOCKED — Wrong Code")))</f>
        <v>Pending</v>
      </c>
      <c r="J74" s="93" t="str">
        <f t="shared" ca="1" si="8"/>
        <v>—</v>
      </c>
      <c r="K74" s="94"/>
    </row>
    <row r="75" spans="1:11" x14ac:dyDescent="0.25">
      <c r="A75" s="79"/>
      <c r="B75" s="21" t="str">
        <f>IF(A75="","",IFERROR(VLOOKUP(A75,DB_Customers!$A:$D,4,0),"❌ Account Not Found"))</f>
        <v/>
      </c>
      <c r="C75" s="80" t="str">
        <f>IF(A75="","",IFERROR(VLOOKUP(A75,DB_Customers!$A:$N,14,0),""))</f>
        <v/>
      </c>
      <c r="D75" s="81" t="str">
        <f t="shared" ca="1" si="6"/>
        <v/>
      </c>
      <c r="E75" s="82"/>
      <c r="F75" s="83" t="str">
        <f t="shared" si="7"/>
        <v/>
      </c>
      <c r="G75" s="23"/>
      <c r="H75" s="84"/>
      <c r="I75" s="85" t="str">
        <f>IF(A75="","Pending",IF(H75="","⚠️ Enter Code",IF(IFERROR(VLOOKUP(G75,DB_Agents!$B:$I,8,0),"")=H75,IF(AND(A75&lt;&gt;"",E75&lt;&gt;""),"Saved","Pending"),"🔒 BLOCKED — Wrong Code")))</f>
        <v>Pending</v>
      </c>
      <c r="J75" s="86" t="str">
        <f t="shared" ca="1" si="8"/>
        <v>—</v>
      </c>
      <c r="K75" s="87"/>
    </row>
    <row r="76" spans="1:11" x14ac:dyDescent="0.25">
      <c r="A76" s="88"/>
      <c r="B76" s="25" t="str">
        <f>IF(A76="","",IFERROR(VLOOKUP(A76,DB_Customers!$A:$D,4,0),"❌ Account Not Found"))</f>
        <v/>
      </c>
      <c r="C76" s="89" t="str">
        <f>IF(A76="","",IFERROR(VLOOKUP(A76,DB_Customers!$A:$N,14,0),""))</f>
        <v/>
      </c>
      <c r="D76" s="90" t="str">
        <f t="shared" ca="1" si="6"/>
        <v/>
      </c>
      <c r="E76" s="82"/>
      <c r="F76" s="91" t="str">
        <f t="shared" si="7"/>
        <v/>
      </c>
      <c r="G76" s="27"/>
      <c r="H76" s="84"/>
      <c r="I76" s="92" t="str">
        <f>IF(A76="","Pending",IF(H76="","⚠️ Enter Code",IF(IFERROR(VLOOKUP(G76,DB_Agents!$B:$I,8,0),"")=H76,IF(AND(A76&lt;&gt;"",E76&lt;&gt;""),"Saved","Pending"),"🔒 BLOCKED — Wrong Code")))</f>
        <v>Pending</v>
      </c>
      <c r="J76" s="93" t="str">
        <f t="shared" ca="1" si="8"/>
        <v>—</v>
      </c>
      <c r="K76" s="94"/>
    </row>
    <row r="77" spans="1:11" x14ac:dyDescent="0.25">
      <c r="A77" s="79"/>
      <c r="B77" s="21" t="str">
        <f>IF(A77="","",IFERROR(VLOOKUP(A77,DB_Customers!$A:$D,4,0),"❌ Account Not Found"))</f>
        <v/>
      </c>
      <c r="C77" s="80" t="str">
        <f>IF(A77="","",IFERROR(VLOOKUP(A77,DB_Customers!$A:$N,14,0),""))</f>
        <v/>
      </c>
      <c r="D77" s="81" t="str">
        <f t="shared" ca="1" si="6"/>
        <v/>
      </c>
      <c r="E77" s="82"/>
      <c r="F77" s="83" t="str">
        <f t="shared" si="7"/>
        <v/>
      </c>
      <c r="G77" s="23"/>
      <c r="H77" s="84"/>
      <c r="I77" s="85" t="str">
        <f>IF(A77="","Pending",IF(H77="","⚠️ Enter Code",IF(IFERROR(VLOOKUP(G77,DB_Agents!$B:$I,8,0),"")=H77,IF(AND(A77&lt;&gt;"",E77&lt;&gt;""),"Saved","Pending"),"🔒 BLOCKED — Wrong Code")))</f>
        <v>Pending</v>
      </c>
      <c r="J77" s="86" t="str">
        <f t="shared" ca="1" si="8"/>
        <v>—</v>
      </c>
      <c r="K77" s="87"/>
    </row>
    <row r="78" spans="1:11" x14ac:dyDescent="0.25">
      <c r="A78" s="88"/>
      <c r="B78" s="25" t="str">
        <f>IF(A78="","",IFERROR(VLOOKUP(A78,DB_Customers!$A:$D,4,0),"❌ Account Not Found"))</f>
        <v/>
      </c>
      <c r="C78" s="89" t="str">
        <f>IF(A78="","",IFERROR(VLOOKUP(A78,DB_Customers!$A:$N,14,0),""))</f>
        <v/>
      </c>
      <c r="D78" s="90" t="str">
        <f t="shared" ca="1" si="6"/>
        <v/>
      </c>
      <c r="E78" s="82"/>
      <c r="F78" s="91" t="str">
        <f t="shared" si="7"/>
        <v/>
      </c>
      <c r="G78" s="27"/>
      <c r="H78" s="84"/>
      <c r="I78" s="92" t="str">
        <f>IF(A78="","Pending",IF(H78="","⚠️ Enter Code",IF(IFERROR(VLOOKUP(G78,DB_Agents!$B:$I,8,0),"")=H78,IF(AND(A78&lt;&gt;"",E78&lt;&gt;""),"Saved","Pending"),"🔒 BLOCKED — Wrong Code")))</f>
        <v>Pending</v>
      </c>
      <c r="J78" s="93" t="str">
        <f t="shared" ca="1" si="8"/>
        <v>—</v>
      </c>
      <c r="K78" s="94"/>
    </row>
    <row r="79" spans="1:11" x14ac:dyDescent="0.25">
      <c r="A79" s="79"/>
      <c r="B79" s="21" t="str">
        <f>IF(A79="","",IFERROR(VLOOKUP(A79,DB_Customers!$A:$D,4,0),"❌ Account Not Found"))</f>
        <v/>
      </c>
      <c r="C79" s="80" t="str">
        <f>IF(A79="","",IFERROR(VLOOKUP(A79,DB_Customers!$A:$N,14,0),""))</f>
        <v/>
      </c>
      <c r="D79" s="81" t="str">
        <f t="shared" ca="1" si="6"/>
        <v/>
      </c>
      <c r="E79" s="82"/>
      <c r="F79" s="83" t="str">
        <f t="shared" si="7"/>
        <v/>
      </c>
      <c r="G79" s="23"/>
      <c r="H79" s="84"/>
      <c r="I79" s="85" t="str">
        <f>IF(A79="","Pending",IF(H79="","⚠️ Enter Code",IF(IFERROR(VLOOKUP(G79,DB_Agents!$B:$I,8,0),"")=H79,IF(AND(A79&lt;&gt;"",E79&lt;&gt;""),"Saved","Pending"),"🔒 BLOCKED — Wrong Code")))</f>
        <v>Pending</v>
      </c>
      <c r="J79" s="86" t="str">
        <f t="shared" ca="1" si="8"/>
        <v>—</v>
      </c>
      <c r="K79" s="87"/>
    </row>
    <row r="80" spans="1:11" x14ac:dyDescent="0.25">
      <c r="A80" s="88"/>
      <c r="B80" s="25" t="str">
        <f>IF(A80="","",IFERROR(VLOOKUP(A80,DB_Customers!$A:$D,4,0),"❌ Account Not Found"))</f>
        <v/>
      </c>
      <c r="C80" s="89" t="str">
        <f>IF(A80="","",IFERROR(VLOOKUP(A80,DB_Customers!$A:$N,14,0),""))</f>
        <v/>
      </c>
      <c r="D80" s="90" t="str">
        <f t="shared" ca="1" si="6"/>
        <v/>
      </c>
      <c r="E80" s="82"/>
      <c r="F80" s="91" t="str">
        <f t="shared" si="7"/>
        <v/>
      </c>
      <c r="G80" s="27"/>
      <c r="H80" s="84"/>
      <c r="I80" s="92" t="str">
        <f>IF(A80="","Pending",IF(H80="","⚠️ Enter Code",IF(IFERROR(VLOOKUP(G80,DB_Agents!$B:$I,8,0),"")=H80,IF(AND(A80&lt;&gt;"",E80&lt;&gt;""),"Saved","Pending"),"🔒 BLOCKED — Wrong Code")))</f>
        <v>Pending</v>
      </c>
      <c r="J80" s="93" t="str">
        <f t="shared" ca="1" si="8"/>
        <v>—</v>
      </c>
      <c r="K80" s="94"/>
    </row>
    <row r="81" spans="1:11" x14ac:dyDescent="0.25">
      <c r="A81" s="79"/>
      <c r="B81" s="21" t="str">
        <f>IF(A81="","",IFERROR(VLOOKUP(A81,DB_Customers!$A:$D,4,0),"❌ Account Not Found"))</f>
        <v/>
      </c>
      <c r="C81" s="80" t="str">
        <f>IF(A81="","",IFERROR(VLOOKUP(A81,DB_Customers!$A:$N,14,0),""))</f>
        <v/>
      </c>
      <c r="D81" s="81" t="str">
        <f t="shared" ca="1" si="6"/>
        <v/>
      </c>
      <c r="E81" s="82"/>
      <c r="F81" s="83" t="str">
        <f t="shared" si="7"/>
        <v/>
      </c>
      <c r="G81" s="23"/>
      <c r="H81" s="84"/>
      <c r="I81" s="85" t="str">
        <f>IF(A81="","Pending",IF(H81="","⚠️ Enter Code",IF(IFERROR(VLOOKUP(G81,DB_Agents!$B:$I,8,0),"")=H81,IF(AND(A81&lt;&gt;"",E81&lt;&gt;""),"Saved","Pending"),"🔒 BLOCKED — Wrong Code")))</f>
        <v>Pending</v>
      </c>
      <c r="J81" s="86" t="str">
        <f t="shared" ca="1" si="8"/>
        <v>—</v>
      </c>
      <c r="K81" s="87"/>
    </row>
    <row r="82" spans="1:11" x14ac:dyDescent="0.25">
      <c r="A82" s="88"/>
      <c r="B82" s="25" t="str">
        <f>IF(A82="","",IFERROR(VLOOKUP(A82,DB_Customers!$A:$D,4,0),"❌ Account Not Found"))</f>
        <v/>
      </c>
      <c r="C82" s="89" t="str">
        <f>IF(A82="","",IFERROR(VLOOKUP(A82,DB_Customers!$A:$N,14,0),""))</f>
        <v/>
      </c>
      <c r="D82" s="90" t="str">
        <f t="shared" ca="1" si="6"/>
        <v/>
      </c>
      <c r="E82" s="82"/>
      <c r="F82" s="91" t="str">
        <f t="shared" si="7"/>
        <v/>
      </c>
      <c r="G82" s="27"/>
      <c r="H82" s="84"/>
      <c r="I82" s="92" t="str">
        <f>IF(A82="","Pending",IF(H82="","⚠️ Enter Code",IF(IFERROR(VLOOKUP(G82,DB_Agents!$B:$I,8,0),"")=H82,IF(AND(A82&lt;&gt;"",E82&lt;&gt;""),"Saved","Pending"),"🔒 BLOCKED — Wrong Code")))</f>
        <v>Pending</v>
      </c>
      <c r="J82" s="93" t="str">
        <f t="shared" ca="1" si="8"/>
        <v>—</v>
      </c>
      <c r="K82" s="94"/>
    </row>
    <row r="83" spans="1:11" x14ac:dyDescent="0.25">
      <c r="A83" s="79"/>
      <c r="B83" s="21" t="str">
        <f>IF(A83="","",IFERROR(VLOOKUP(A83,DB_Customers!$A:$D,4,0),"❌ Account Not Found"))</f>
        <v/>
      </c>
      <c r="C83" s="80" t="str">
        <f>IF(A83="","",IFERROR(VLOOKUP(A83,DB_Customers!$A:$N,14,0),""))</f>
        <v/>
      </c>
      <c r="D83" s="81" t="str">
        <f t="shared" ca="1" si="6"/>
        <v/>
      </c>
      <c r="E83" s="82"/>
      <c r="F83" s="83" t="str">
        <f t="shared" si="7"/>
        <v/>
      </c>
      <c r="G83" s="23"/>
      <c r="H83" s="84"/>
      <c r="I83" s="85" t="str">
        <f>IF(A83="","Pending",IF(H83="","⚠️ Enter Code",IF(IFERROR(VLOOKUP(G83,DB_Agents!$B:$I,8,0),"")=H83,IF(AND(A83&lt;&gt;"",E83&lt;&gt;""),"Saved","Pending"),"🔒 BLOCKED — Wrong Code")))</f>
        <v>Pending</v>
      </c>
      <c r="J83" s="86" t="str">
        <f t="shared" ca="1" si="8"/>
        <v>—</v>
      </c>
      <c r="K83" s="87"/>
    </row>
    <row r="84" spans="1:11" x14ac:dyDescent="0.25">
      <c r="A84" s="88"/>
      <c r="B84" s="25" t="str">
        <f>IF(A84="","",IFERROR(VLOOKUP(A84,DB_Customers!$A:$D,4,0),"❌ Account Not Found"))</f>
        <v/>
      </c>
      <c r="C84" s="89" t="str">
        <f>IF(A84="","",IFERROR(VLOOKUP(A84,DB_Customers!$A:$N,14,0),""))</f>
        <v/>
      </c>
      <c r="D84" s="90" t="str">
        <f t="shared" ca="1" si="6"/>
        <v/>
      </c>
      <c r="E84" s="82"/>
      <c r="F84" s="91" t="str">
        <f t="shared" si="7"/>
        <v/>
      </c>
      <c r="G84" s="27"/>
      <c r="H84" s="84"/>
      <c r="I84" s="92" t="str">
        <f>IF(A84="","Pending",IF(H84="","⚠️ Enter Code",IF(IFERROR(VLOOKUP(G84,DB_Agents!$B:$I,8,0),"")=H84,IF(AND(A84&lt;&gt;"",E84&lt;&gt;""),"Saved","Pending"),"🔒 BLOCKED — Wrong Code")))</f>
        <v>Pending</v>
      </c>
      <c r="J84" s="93" t="str">
        <f t="shared" ca="1" si="8"/>
        <v>—</v>
      </c>
      <c r="K84" s="94"/>
    </row>
    <row r="85" spans="1:11" x14ac:dyDescent="0.25">
      <c r="A85" s="79"/>
      <c r="B85" s="21" t="str">
        <f>IF(A85="","",IFERROR(VLOOKUP(A85,DB_Customers!$A:$D,4,0),"❌ Account Not Found"))</f>
        <v/>
      </c>
      <c r="C85" s="80" t="str">
        <f>IF(A85="","",IFERROR(VLOOKUP(A85,DB_Customers!$A:$N,14,0),""))</f>
        <v/>
      </c>
      <c r="D85" s="81" t="str">
        <f t="shared" ca="1" si="6"/>
        <v/>
      </c>
      <c r="E85" s="82"/>
      <c r="F85" s="83" t="str">
        <f t="shared" si="7"/>
        <v/>
      </c>
      <c r="G85" s="23"/>
      <c r="H85" s="84"/>
      <c r="I85" s="85" t="str">
        <f>IF(A85="","Pending",IF(H85="","⚠️ Enter Code",IF(IFERROR(VLOOKUP(G85,DB_Agents!$B:$I,8,0),"")=H85,IF(AND(A85&lt;&gt;"",E85&lt;&gt;""),"Saved","Pending"),"🔒 BLOCKED — Wrong Code")))</f>
        <v>Pending</v>
      </c>
      <c r="J85" s="86" t="str">
        <f t="shared" ca="1" si="8"/>
        <v>—</v>
      </c>
      <c r="K85" s="87"/>
    </row>
    <row r="86" spans="1:11" x14ac:dyDescent="0.25">
      <c r="A86" s="88"/>
      <c r="B86" s="25" t="str">
        <f>IF(A86="","",IFERROR(VLOOKUP(A86,DB_Customers!$A:$D,4,0),"❌ Account Not Found"))</f>
        <v/>
      </c>
      <c r="C86" s="89" t="str">
        <f>IF(A86="","",IFERROR(VLOOKUP(A86,DB_Customers!$A:$N,14,0),""))</f>
        <v/>
      </c>
      <c r="D86" s="90" t="str">
        <f t="shared" ca="1" si="6"/>
        <v/>
      </c>
      <c r="E86" s="82"/>
      <c r="F86" s="91" t="str">
        <f t="shared" si="7"/>
        <v/>
      </c>
      <c r="G86" s="27"/>
      <c r="H86" s="84"/>
      <c r="I86" s="92" t="str">
        <f>IF(A86="","Pending",IF(H86="","⚠️ Enter Code",IF(IFERROR(VLOOKUP(G86,DB_Agents!$B:$I,8,0),"")=H86,IF(AND(A86&lt;&gt;"",E86&lt;&gt;""),"Saved","Pending"),"🔒 BLOCKED — Wrong Code")))</f>
        <v>Pending</v>
      </c>
      <c r="J86" s="93" t="str">
        <f t="shared" ca="1" si="8"/>
        <v>—</v>
      </c>
      <c r="K86" s="94"/>
    </row>
    <row r="87" spans="1:11" x14ac:dyDescent="0.25">
      <c r="A87" s="79"/>
      <c r="B87" s="21" t="str">
        <f>IF(A87="","",IFERROR(VLOOKUP(A87,DB_Customers!$A:$D,4,0),"❌ Account Not Found"))</f>
        <v/>
      </c>
      <c r="C87" s="80" t="str">
        <f>IF(A87="","",IFERROR(VLOOKUP(A87,DB_Customers!$A:$N,14,0),""))</f>
        <v/>
      </c>
      <c r="D87" s="81" t="str">
        <f t="shared" ca="1" si="6"/>
        <v/>
      </c>
      <c r="E87" s="82"/>
      <c r="F87" s="83" t="str">
        <f t="shared" si="7"/>
        <v/>
      </c>
      <c r="G87" s="23"/>
      <c r="H87" s="84"/>
      <c r="I87" s="85" t="str">
        <f>IF(A87="","Pending",IF(H87="","⚠️ Enter Code",IF(IFERROR(VLOOKUP(G87,DB_Agents!$B:$I,8,0),"")=H87,IF(AND(A87&lt;&gt;"",E87&lt;&gt;""),"Saved","Pending"),"🔒 BLOCKED — Wrong Code")))</f>
        <v>Pending</v>
      </c>
      <c r="J87" s="86" t="str">
        <f t="shared" ca="1" si="8"/>
        <v>—</v>
      </c>
      <c r="K87" s="87"/>
    </row>
    <row r="88" spans="1:11" x14ac:dyDescent="0.25">
      <c r="A88" s="88"/>
      <c r="B88" s="25" t="str">
        <f>IF(A88="","",IFERROR(VLOOKUP(A88,DB_Customers!$A:$D,4,0),"❌ Account Not Found"))</f>
        <v/>
      </c>
      <c r="C88" s="89" t="str">
        <f>IF(A88="","",IFERROR(VLOOKUP(A88,DB_Customers!$A:$N,14,0),""))</f>
        <v/>
      </c>
      <c r="D88" s="90" t="str">
        <f t="shared" ca="1" si="6"/>
        <v/>
      </c>
      <c r="E88" s="82"/>
      <c r="F88" s="91" t="str">
        <f t="shared" si="7"/>
        <v/>
      </c>
      <c r="G88" s="27"/>
      <c r="H88" s="84"/>
      <c r="I88" s="92" t="str">
        <f>IF(A88="","Pending",IF(H88="","⚠️ Enter Code",IF(IFERROR(VLOOKUP(G88,DB_Agents!$B:$I,8,0),"")=H88,IF(AND(A88&lt;&gt;"",E88&lt;&gt;""),"Saved","Pending"),"🔒 BLOCKED — Wrong Code")))</f>
        <v>Pending</v>
      </c>
      <c r="J88" s="93" t="str">
        <f t="shared" ca="1" si="8"/>
        <v>—</v>
      </c>
      <c r="K88" s="94"/>
    </row>
    <row r="89" spans="1:11" x14ac:dyDescent="0.25">
      <c r="A89" s="79"/>
      <c r="B89" s="21" t="str">
        <f>IF(A89="","",IFERROR(VLOOKUP(A89,DB_Customers!$A:$D,4,0),"❌ Account Not Found"))</f>
        <v/>
      </c>
      <c r="C89" s="80" t="str">
        <f>IF(A89="","",IFERROR(VLOOKUP(A89,DB_Customers!$A:$N,14,0),""))</f>
        <v/>
      </c>
      <c r="D89" s="81" t="str">
        <f t="shared" ca="1" si="6"/>
        <v/>
      </c>
      <c r="E89" s="82"/>
      <c r="F89" s="83" t="str">
        <f t="shared" si="7"/>
        <v/>
      </c>
      <c r="G89" s="23"/>
      <c r="H89" s="84"/>
      <c r="I89" s="85" t="str">
        <f>IF(A89="","Pending",IF(H89="","⚠️ Enter Code",IF(IFERROR(VLOOKUP(G89,DB_Agents!$B:$I,8,0),"")=H89,IF(AND(A89&lt;&gt;"",E89&lt;&gt;""),"Saved","Pending"),"🔒 BLOCKED — Wrong Code")))</f>
        <v>Pending</v>
      </c>
      <c r="J89" s="86" t="str">
        <f t="shared" ca="1" si="8"/>
        <v>—</v>
      </c>
      <c r="K89" s="87"/>
    </row>
    <row r="90" spans="1:11" x14ac:dyDescent="0.25">
      <c r="A90" s="88"/>
      <c r="B90" s="25" t="str">
        <f>IF(A90="","",IFERROR(VLOOKUP(A90,DB_Customers!$A:$D,4,0),"❌ Account Not Found"))</f>
        <v/>
      </c>
      <c r="C90" s="89" t="str">
        <f>IF(A90="","",IFERROR(VLOOKUP(A90,DB_Customers!$A:$N,14,0),""))</f>
        <v/>
      </c>
      <c r="D90" s="90" t="str">
        <f t="shared" ca="1" si="6"/>
        <v/>
      </c>
      <c r="E90" s="82"/>
      <c r="F90" s="91" t="str">
        <f t="shared" si="7"/>
        <v/>
      </c>
      <c r="G90" s="27"/>
      <c r="H90" s="84"/>
      <c r="I90" s="92" t="str">
        <f>IF(A90="","Pending",IF(H90="","⚠️ Enter Code",IF(IFERROR(VLOOKUP(G90,DB_Agents!$B:$I,8,0),"")=H90,IF(AND(A90&lt;&gt;"",E90&lt;&gt;""),"Saved","Pending"),"🔒 BLOCKED — Wrong Code")))</f>
        <v>Pending</v>
      </c>
      <c r="J90" s="93" t="str">
        <f t="shared" ca="1" si="8"/>
        <v>—</v>
      </c>
      <c r="K90" s="94"/>
    </row>
    <row r="91" spans="1:11" x14ac:dyDescent="0.25">
      <c r="A91" s="79"/>
      <c r="B91" s="21" t="str">
        <f>IF(A91="","",IFERROR(VLOOKUP(A91,DB_Customers!$A:$D,4,0),"❌ Account Not Found"))</f>
        <v/>
      </c>
      <c r="C91" s="80" t="str">
        <f>IF(A91="","",IFERROR(VLOOKUP(A91,DB_Customers!$A:$N,14,0),""))</f>
        <v/>
      </c>
      <c r="D91" s="81" t="str">
        <f t="shared" ca="1" si="6"/>
        <v/>
      </c>
      <c r="E91" s="82"/>
      <c r="F91" s="83" t="str">
        <f t="shared" si="7"/>
        <v/>
      </c>
      <c r="G91" s="23"/>
      <c r="H91" s="84"/>
      <c r="I91" s="85" t="str">
        <f>IF(A91="","Pending",IF(H91="","⚠️ Enter Code",IF(IFERROR(VLOOKUP(G91,DB_Agents!$B:$I,8,0),"")=H91,IF(AND(A91&lt;&gt;"",E91&lt;&gt;""),"Saved","Pending"),"🔒 BLOCKED — Wrong Code")))</f>
        <v>Pending</v>
      </c>
      <c r="J91" s="86" t="str">
        <f t="shared" ca="1" si="8"/>
        <v>—</v>
      </c>
      <c r="K91" s="87"/>
    </row>
    <row r="92" spans="1:11" x14ac:dyDescent="0.25">
      <c r="A92" s="88"/>
      <c r="B92" s="25" t="str">
        <f>IF(A92="","",IFERROR(VLOOKUP(A92,DB_Customers!$A:$D,4,0),"❌ Account Not Found"))</f>
        <v/>
      </c>
      <c r="C92" s="89" t="str">
        <f>IF(A92="","",IFERROR(VLOOKUP(A92,DB_Customers!$A:$N,14,0),""))</f>
        <v/>
      </c>
      <c r="D92" s="90" t="str">
        <f t="shared" ca="1" si="6"/>
        <v/>
      </c>
      <c r="E92" s="82"/>
      <c r="F92" s="91" t="str">
        <f t="shared" si="7"/>
        <v/>
      </c>
      <c r="G92" s="27"/>
      <c r="H92" s="84"/>
      <c r="I92" s="92" t="str">
        <f>IF(A92="","Pending",IF(H92="","⚠️ Enter Code",IF(IFERROR(VLOOKUP(G92,DB_Agents!$B:$I,8,0),"")=H92,IF(AND(A92&lt;&gt;"",E92&lt;&gt;""),"Saved","Pending"),"🔒 BLOCKED — Wrong Code")))</f>
        <v>Pending</v>
      </c>
      <c r="J92" s="93" t="str">
        <f t="shared" ca="1" si="8"/>
        <v>—</v>
      </c>
      <c r="K92" s="94"/>
    </row>
    <row r="93" spans="1:11" x14ac:dyDescent="0.25">
      <c r="A93" s="79"/>
      <c r="B93" s="21" t="str">
        <f>IF(A93="","",IFERROR(VLOOKUP(A93,DB_Customers!$A:$D,4,0),"❌ Account Not Found"))</f>
        <v/>
      </c>
      <c r="C93" s="80" t="str">
        <f>IF(A93="","",IFERROR(VLOOKUP(A93,DB_Customers!$A:$N,14,0),""))</f>
        <v/>
      </c>
      <c r="D93" s="81" t="str">
        <f t="shared" ca="1" si="6"/>
        <v/>
      </c>
      <c r="E93" s="82"/>
      <c r="F93" s="83" t="str">
        <f t="shared" si="7"/>
        <v/>
      </c>
      <c r="G93" s="23"/>
      <c r="H93" s="84"/>
      <c r="I93" s="85" t="str">
        <f>IF(A93="","Pending",IF(H93="","⚠️ Enter Code",IF(IFERROR(VLOOKUP(G93,DB_Agents!$B:$I,8,0),"")=H93,IF(AND(A93&lt;&gt;"",E93&lt;&gt;""),"Saved","Pending"),"🔒 BLOCKED — Wrong Code")))</f>
        <v>Pending</v>
      </c>
      <c r="J93" s="86" t="str">
        <f t="shared" ca="1" si="8"/>
        <v>—</v>
      </c>
      <c r="K93" s="87"/>
    </row>
    <row r="94" spans="1:11" x14ac:dyDescent="0.25">
      <c r="A94" s="88"/>
      <c r="B94" s="25" t="str">
        <f>IF(A94="","",IFERROR(VLOOKUP(A94,DB_Customers!$A:$D,4,0),"❌ Account Not Found"))</f>
        <v/>
      </c>
      <c r="C94" s="89" t="str">
        <f>IF(A94="","",IFERROR(VLOOKUP(A94,DB_Customers!$A:$N,14,0),""))</f>
        <v/>
      </c>
      <c r="D94" s="90" t="str">
        <f t="shared" ca="1" si="6"/>
        <v/>
      </c>
      <c r="E94" s="82"/>
      <c r="F94" s="91" t="str">
        <f t="shared" si="7"/>
        <v/>
      </c>
      <c r="G94" s="27"/>
      <c r="H94" s="84"/>
      <c r="I94" s="92" t="str">
        <f>IF(A94="","Pending",IF(H94="","⚠️ Enter Code",IF(IFERROR(VLOOKUP(G94,DB_Agents!$B:$I,8,0),"")=H94,IF(AND(A94&lt;&gt;"",E94&lt;&gt;""),"Saved","Pending"),"🔒 BLOCKED — Wrong Code")))</f>
        <v>Pending</v>
      </c>
      <c r="J94" s="93" t="str">
        <f t="shared" ca="1" si="8"/>
        <v>—</v>
      </c>
      <c r="K94" s="94"/>
    </row>
    <row r="95" spans="1:11" x14ac:dyDescent="0.25">
      <c r="A95" s="79"/>
      <c r="B95" s="21" t="str">
        <f>IF(A95="","",IFERROR(VLOOKUP(A95,DB_Customers!$A:$D,4,0),"❌ Account Not Found"))</f>
        <v/>
      </c>
      <c r="C95" s="80" t="str">
        <f>IF(A95="","",IFERROR(VLOOKUP(A95,DB_Customers!$A:$N,14,0),""))</f>
        <v/>
      </c>
      <c r="D95" s="81" t="str">
        <f t="shared" ca="1" si="6"/>
        <v/>
      </c>
      <c r="E95" s="82"/>
      <c r="F95" s="83" t="str">
        <f t="shared" si="7"/>
        <v/>
      </c>
      <c r="G95" s="23"/>
      <c r="H95" s="84"/>
      <c r="I95" s="85" t="str">
        <f>IF(A95="","Pending",IF(H95="","⚠️ Enter Code",IF(IFERROR(VLOOKUP(G95,DB_Agents!$B:$I,8,0),"")=H95,IF(AND(A95&lt;&gt;"",E95&lt;&gt;""),"Saved","Pending"),"🔒 BLOCKED — Wrong Code")))</f>
        <v>Pending</v>
      </c>
      <c r="J95" s="86" t="str">
        <f t="shared" ca="1" si="8"/>
        <v>—</v>
      </c>
      <c r="K95" s="87"/>
    </row>
    <row r="96" spans="1:11" x14ac:dyDescent="0.25">
      <c r="A96" s="88"/>
      <c r="B96" s="25" t="str">
        <f>IF(A96="","",IFERROR(VLOOKUP(A96,DB_Customers!$A:$D,4,0),"❌ Account Not Found"))</f>
        <v/>
      </c>
      <c r="C96" s="89" t="str">
        <f>IF(A96="","",IFERROR(VLOOKUP(A96,DB_Customers!$A:$N,14,0),""))</f>
        <v/>
      </c>
      <c r="D96" s="90" t="str">
        <f t="shared" ca="1" si="6"/>
        <v/>
      </c>
      <c r="E96" s="82"/>
      <c r="F96" s="91" t="str">
        <f t="shared" si="7"/>
        <v/>
      </c>
      <c r="G96" s="27"/>
      <c r="H96" s="84"/>
      <c r="I96" s="92" t="str">
        <f>IF(A96="","Pending",IF(H96="","⚠️ Enter Code",IF(IFERROR(VLOOKUP(G96,DB_Agents!$B:$I,8,0),"")=H96,IF(AND(A96&lt;&gt;"",E96&lt;&gt;""),"Saved","Pending"),"🔒 BLOCKED — Wrong Code")))</f>
        <v>Pending</v>
      </c>
      <c r="J96" s="93" t="str">
        <f t="shared" ca="1" si="8"/>
        <v>—</v>
      </c>
      <c r="K96" s="94"/>
    </row>
    <row r="97" spans="1:11" x14ac:dyDescent="0.25">
      <c r="A97" s="79"/>
      <c r="B97" s="21" t="str">
        <f>IF(A97="","",IFERROR(VLOOKUP(A97,DB_Customers!$A:$D,4,0),"❌ Account Not Found"))</f>
        <v/>
      </c>
      <c r="C97" s="80" t="str">
        <f>IF(A97="","",IFERROR(VLOOKUP(A97,DB_Customers!$A:$N,14,0),""))</f>
        <v/>
      </c>
      <c r="D97" s="81" t="str">
        <f t="shared" ca="1" si="6"/>
        <v/>
      </c>
      <c r="E97" s="82"/>
      <c r="F97" s="83" t="str">
        <f t="shared" si="7"/>
        <v/>
      </c>
      <c r="G97" s="23"/>
      <c r="H97" s="84"/>
      <c r="I97" s="85" t="str">
        <f>IF(A97="","Pending",IF(H97="","⚠️ Enter Code",IF(IFERROR(VLOOKUP(G97,DB_Agents!$B:$I,8,0),"")=H97,IF(AND(A97&lt;&gt;"",E97&lt;&gt;""),"Saved","Pending"),"🔒 BLOCKED — Wrong Code")))</f>
        <v>Pending</v>
      </c>
      <c r="J97" s="86" t="str">
        <f t="shared" ca="1" si="8"/>
        <v>—</v>
      </c>
      <c r="K97" s="87"/>
    </row>
    <row r="98" spans="1:11" x14ac:dyDescent="0.25">
      <c r="A98" s="88"/>
      <c r="B98" s="25" t="str">
        <f>IF(A98="","",IFERROR(VLOOKUP(A98,DB_Customers!$A:$D,4,0),"❌ Account Not Found"))</f>
        <v/>
      </c>
      <c r="C98" s="89" t="str">
        <f>IF(A98="","",IFERROR(VLOOKUP(A98,DB_Customers!$A:$N,14,0),""))</f>
        <v/>
      </c>
      <c r="D98" s="90" t="str">
        <f t="shared" ca="1" si="6"/>
        <v/>
      </c>
      <c r="E98" s="82"/>
      <c r="F98" s="91" t="str">
        <f t="shared" si="7"/>
        <v/>
      </c>
      <c r="G98" s="27"/>
      <c r="H98" s="84"/>
      <c r="I98" s="92" t="str">
        <f>IF(A98="","Pending",IF(H98="","⚠️ Enter Code",IF(IFERROR(VLOOKUP(G98,DB_Agents!$B:$I,8,0),"")=H98,IF(AND(A98&lt;&gt;"",E98&lt;&gt;""),"Saved","Pending"),"🔒 BLOCKED — Wrong Code")))</f>
        <v>Pending</v>
      </c>
      <c r="J98" s="93" t="str">
        <f t="shared" ca="1" si="8"/>
        <v>—</v>
      </c>
      <c r="K98" s="94"/>
    </row>
    <row r="99" spans="1:11" x14ac:dyDescent="0.25">
      <c r="A99" s="79"/>
      <c r="B99" s="21" t="str">
        <f>IF(A99="","",IFERROR(VLOOKUP(A99,DB_Customers!$A:$D,4,0),"❌ Account Not Found"))</f>
        <v/>
      </c>
      <c r="C99" s="80" t="str">
        <f>IF(A99="","",IFERROR(VLOOKUP(A99,DB_Customers!$A:$N,14,0),""))</f>
        <v/>
      </c>
      <c r="D99" s="81" t="str">
        <f t="shared" ca="1" si="6"/>
        <v/>
      </c>
      <c r="E99" s="82"/>
      <c r="F99" s="83" t="str">
        <f t="shared" si="7"/>
        <v/>
      </c>
      <c r="G99" s="23"/>
      <c r="H99" s="84"/>
      <c r="I99" s="85" t="str">
        <f>IF(A99="","Pending",IF(H99="","⚠️ Enter Code",IF(IFERROR(VLOOKUP(G99,DB_Agents!$B:$I,8,0),"")=H99,IF(AND(A99&lt;&gt;"",E99&lt;&gt;""),"Saved","Pending"),"🔒 BLOCKED — Wrong Code")))</f>
        <v>Pending</v>
      </c>
      <c r="J99" s="86" t="str">
        <f t="shared" ca="1" si="8"/>
        <v>—</v>
      </c>
      <c r="K99" s="87"/>
    </row>
    <row r="100" spans="1:11" x14ac:dyDescent="0.25">
      <c r="A100" s="88"/>
      <c r="B100" s="25" t="str">
        <f>IF(A100="","",IFERROR(VLOOKUP(A100,DB_Customers!$A:$D,4,0),"❌ Account Not Found"))</f>
        <v/>
      </c>
      <c r="C100" s="89" t="str">
        <f>IF(A100="","",IFERROR(VLOOKUP(A100,DB_Customers!$A:$N,14,0),""))</f>
        <v/>
      </c>
      <c r="D100" s="90" t="str">
        <f t="shared" ca="1" si="6"/>
        <v/>
      </c>
      <c r="E100" s="82"/>
      <c r="F100" s="91" t="str">
        <f t="shared" si="7"/>
        <v/>
      </c>
      <c r="G100" s="27"/>
      <c r="H100" s="84"/>
      <c r="I100" s="92" t="str">
        <f>IF(A100="","Pending",IF(H100="","⚠️ Enter Code",IF(IFERROR(VLOOKUP(G100,DB_Agents!$B:$I,8,0),"")=H100,IF(AND(A100&lt;&gt;"",E100&lt;&gt;""),"Saved","Pending"),"🔒 BLOCKED — Wrong Code")))</f>
        <v>Pending</v>
      </c>
      <c r="J100" s="93" t="str">
        <f t="shared" ca="1" si="8"/>
        <v>—</v>
      </c>
      <c r="K100" s="94"/>
    </row>
    <row r="101" spans="1:11" x14ac:dyDescent="0.25">
      <c r="A101" s="79"/>
      <c r="B101" s="21" t="str">
        <f>IF(A101="","",IFERROR(VLOOKUP(A101,DB_Customers!$A:$D,4,0),"❌ Account Not Found"))</f>
        <v/>
      </c>
      <c r="C101" s="80" t="str">
        <f>IF(A101="","",IFERROR(VLOOKUP(A101,DB_Customers!$A:$N,14,0),""))</f>
        <v/>
      </c>
      <c r="D101" s="81" t="str">
        <f t="shared" ca="1" si="6"/>
        <v/>
      </c>
      <c r="E101" s="82"/>
      <c r="F101" s="83" t="str">
        <f t="shared" si="7"/>
        <v/>
      </c>
      <c r="G101" s="23"/>
      <c r="H101" s="84"/>
      <c r="I101" s="85" t="str">
        <f>IF(A101="","Pending",IF(H101="","⚠️ Enter Code",IF(IFERROR(VLOOKUP(G101,DB_Agents!$B:$I,8,0),"")=H101,IF(AND(A101&lt;&gt;"",E101&lt;&gt;""),"Saved","Pending"),"🔒 BLOCKED — Wrong Code")))</f>
        <v>Pending</v>
      </c>
      <c r="J101" s="86" t="str">
        <f t="shared" ca="1" si="8"/>
        <v>—</v>
      </c>
      <c r="K101" s="87"/>
    </row>
    <row r="102" spans="1:11" x14ac:dyDescent="0.25">
      <c r="A102" s="88"/>
      <c r="B102" s="25" t="str">
        <f>IF(A102="","",IFERROR(VLOOKUP(A102,DB_Customers!$A:$D,4,0),"❌ Account Not Found"))</f>
        <v/>
      </c>
      <c r="C102" s="89" t="str">
        <f>IF(A102="","",IFERROR(VLOOKUP(A102,DB_Customers!$A:$N,14,0),""))</f>
        <v/>
      </c>
      <c r="D102" s="90" t="str">
        <f t="shared" ca="1" si="6"/>
        <v/>
      </c>
      <c r="E102" s="82"/>
      <c r="F102" s="91" t="str">
        <f t="shared" si="7"/>
        <v/>
      </c>
      <c r="G102" s="27"/>
      <c r="H102" s="84"/>
      <c r="I102" s="92" t="str">
        <f>IF(A102="","Pending",IF(H102="","⚠️ Enter Code",IF(IFERROR(VLOOKUP(G102,DB_Agents!$B:$I,8,0),"")=H102,IF(AND(A102&lt;&gt;"",E102&lt;&gt;""),"Saved","Pending"),"🔒 BLOCKED — Wrong Code")))</f>
        <v>Pending</v>
      </c>
      <c r="J102" s="93" t="str">
        <f t="shared" ca="1" si="8"/>
        <v>—</v>
      </c>
      <c r="K102" s="94"/>
    </row>
    <row r="103" spans="1:11" x14ac:dyDescent="0.25">
      <c r="A103" s="79"/>
      <c r="B103" s="21" t="str">
        <f>IF(A103="","",IFERROR(VLOOKUP(A103,DB_Customers!$A:$D,4,0),"❌ Account Not Found"))</f>
        <v/>
      </c>
      <c r="C103" s="80" t="str">
        <f>IF(A103="","",IFERROR(VLOOKUP(A103,DB_Customers!$A:$N,14,0),""))</f>
        <v/>
      </c>
      <c r="D103" s="81" t="str">
        <f t="shared" ca="1" si="6"/>
        <v/>
      </c>
      <c r="E103" s="82"/>
      <c r="F103" s="83" t="str">
        <f t="shared" si="7"/>
        <v/>
      </c>
      <c r="G103" s="23"/>
      <c r="H103" s="84"/>
      <c r="I103" s="85" t="str">
        <f>IF(A103="","Pending",IF(H103="","⚠️ Enter Code",IF(IFERROR(VLOOKUP(G103,DB_Agents!$B:$I,8,0),"")=H103,IF(AND(A103&lt;&gt;"",E103&lt;&gt;""),"Saved","Pending"),"🔒 BLOCKED — Wrong Code")))</f>
        <v>Pending</v>
      </c>
      <c r="J103" s="86" t="str">
        <f t="shared" ca="1" si="8"/>
        <v>—</v>
      </c>
      <c r="K103" s="87"/>
    </row>
    <row r="104" spans="1:11" x14ac:dyDescent="0.25">
      <c r="A104" s="88"/>
      <c r="B104" s="25" t="str">
        <f>IF(A104="","",IFERROR(VLOOKUP(A104,DB_Customers!$A:$D,4,0),"❌ Account Not Found"))</f>
        <v/>
      </c>
      <c r="C104" s="89" t="str">
        <f>IF(A104="","",IFERROR(VLOOKUP(A104,DB_Customers!$A:$N,14,0),""))</f>
        <v/>
      </c>
      <c r="D104" s="90" t="str">
        <f t="shared" ca="1" si="6"/>
        <v/>
      </c>
      <c r="E104" s="82"/>
      <c r="F104" s="91" t="str">
        <f t="shared" si="7"/>
        <v/>
      </c>
      <c r="G104" s="27"/>
      <c r="H104" s="84"/>
      <c r="I104" s="92" t="str">
        <f>IF(A104="","Pending",IF(H104="","⚠️ Enter Code",IF(IFERROR(VLOOKUP(G104,DB_Agents!$B:$I,8,0),"")=H104,IF(AND(A104&lt;&gt;"",E104&lt;&gt;""),"Saved","Pending"),"🔒 BLOCKED — Wrong Code")))</f>
        <v>Pending</v>
      </c>
      <c r="J104" s="93" t="str">
        <f t="shared" ca="1" si="8"/>
        <v>—</v>
      </c>
      <c r="K104" s="94"/>
    </row>
    <row r="105" spans="1:11" x14ac:dyDescent="0.25">
      <c r="A105" s="79"/>
      <c r="B105" s="21" t="str">
        <f>IF(A105="","",IFERROR(VLOOKUP(A105,DB_Customers!$A:$D,4,0),"❌ Account Not Found"))</f>
        <v/>
      </c>
      <c r="C105" s="80" t="str">
        <f>IF(A105="","",IFERROR(VLOOKUP(A105,DB_Customers!$A:$N,14,0),""))</f>
        <v/>
      </c>
      <c r="D105" s="81" t="str">
        <f t="shared" ref="D105:D136" ca="1" si="9">IF(A105="","",TODAY())</f>
        <v/>
      </c>
      <c r="E105" s="82"/>
      <c r="F105" s="83" t="str">
        <f t="shared" ref="F105:F136" si="10">IF(OR(A105="",E105=""),"",IF(C105="","",C105+E105))</f>
        <v/>
      </c>
      <c r="G105" s="23"/>
      <c r="H105" s="84"/>
      <c r="I105" s="85" t="str">
        <f>IF(A105="","Pending",IF(H105="","⚠️ Enter Code",IF(IFERROR(VLOOKUP(G105,DB_Agents!$B:$I,8,0),"")=H105,IF(AND(A105&lt;&gt;"",E105&lt;&gt;""),"Saved","Pending"),"🔒 BLOCKED — Wrong Code")))</f>
        <v>Pending</v>
      </c>
      <c r="J105" s="86" t="str">
        <f t="shared" ref="J105:J136" ca="1" si="11">IF(I105="Saved",TEXT(TODAY(),"YYYY-MM-DD")&amp;" Auto","—")</f>
        <v>—</v>
      </c>
      <c r="K105" s="87"/>
    </row>
    <row r="106" spans="1:11" x14ac:dyDescent="0.25">
      <c r="A106" s="88"/>
      <c r="B106" s="25" t="str">
        <f>IF(A106="","",IFERROR(VLOOKUP(A106,DB_Customers!$A:$D,4,0),"❌ Account Not Found"))</f>
        <v/>
      </c>
      <c r="C106" s="89" t="str">
        <f>IF(A106="","",IFERROR(VLOOKUP(A106,DB_Customers!$A:$N,14,0),""))</f>
        <v/>
      </c>
      <c r="D106" s="90" t="str">
        <f t="shared" ca="1" si="9"/>
        <v/>
      </c>
      <c r="E106" s="82"/>
      <c r="F106" s="91" t="str">
        <f t="shared" si="10"/>
        <v/>
      </c>
      <c r="G106" s="27"/>
      <c r="H106" s="84"/>
      <c r="I106" s="92" t="str">
        <f>IF(A106="","Pending",IF(H106="","⚠️ Enter Code",IF(IFERROR(VLOOKUP(G106,DB_Agents!$B:$I,8,0),"")=H106,IF(AND(A106&lt;&gt;"",E106&lt;&gt;""),"Saved","Pending"),"🔒 BLOCKED — Wrong Code")))</f>
        <v>Pending</v>
      </c>
      <c r="J106" s="93" t="str">
        <f t="shared" ca="1" si="11"/>
        <v>—</v>
      </c>
      <c r="K106" s="94"/>
    </row>
    <row r="107" spans="1:11" x14ac:dyDescent="0.25">
      <c r="A107" s="79"/>
      <c r="B107" s="21" t="str">
        <f>IF(A107="","",IFERROR(VLOOKUP(A107,DB_Customers!$A:$D,4,0),"❌ Account Not Found"))</f>
        <v/>
      </c>
      <c r="C107" s="80" t="str">
        <f>IF(A107="","",IFERROR(VLOOKUP(A107,DB_Customers!$A:$N,14,0),""))</f>
        <v/>
      </c>
      <c r="D107" s="81" t="str">
        <f t="shared" ca="1" si="9"/>
        <v/>
      </c>
      <c r="E107" s="82"/>
      <c r="F107" s="83" t="str">
        <f t="shared" si="10"/>
        <v/>
      </c>
      <c r="G107" s="23"/>
      <c r="H107" s="84"/>
      <c r="I107" s="85" t="str">
        <f>IF(A107="","Pending",IF(H107="","⚠️ Enter Code",IF(IFERROR(VLOOKUP(G107,DB_Agents!$B:$I,8,0),"")=H107,IF(AND(A107&lt;&gt;"",E107&lt;&gt;""),"Saved","Pending"),"🔒 BLOCKED — Wrong Code")))</f>
        <v>Pending</v>
      </c>
      <c r="J107" s="86" t="str">
        <f t="shared" ca="1" si="11"/>
        <v>—</v>
      </c>
      <c r="K107" s="87"/>
    </row>
    <row r="108" spans="1:11" x14ac:dyDescent="0.25">
      <c r="A108" s="88"/>
      <c r="B108" s="25" t="str">
        <f>IF(A108="","",IFERROR(VLOOKUP(A108,DB_Customers!$A:$D,4,0),"❌ Account Not Found"))</f>
        <v/>
      </c>
      <c r="C108" s="89" t="str">
        <f>IF(A108="","",IFERROR(VLOOKUP(A108,DB_Customers!$A:$N,14,0),""))</f>
        <v/>
      </c>
      <c r="D108" s="90" t="str">
        <f t="shared" ca="1" si="9"/>
        <v/>
      </c>
      <c r="E108" s="82"/>
      <c r="F108" s="91" t="str">
        <f t="shared" si="10"/>
        <v/>
      </c>
      <c r="G108" s="27"/>
      <c r="H108" s="84"/>
      <c r="I108" s="92" t="str">
        <f>IF(A108="","Pending",IF(H108="","⚠️ Enter Code",IF(IFERROR(VLOOKUP(G108,DB_Agents!$B:$I,8,0),"")=H108,IF(AND(A108&lt;&gt;"",E108&lt;&gt;""),"Saved","Pending"),"🔒 BLOCKED — Wrong Code")))</f>
        <v>Pending</v>
      </c>
      <c r="J108" s="93" t="str">
        <f t="shared" ca="1" si="11"/>
        <v>—</v>
      </c>
      <c r="K108" s="94"/>
    </row>
    <row r="109" spans="1:11" x14ac:dyDescent="0.25">
      <c r="A109" s="79"/>
      <c r="B109" s="21" t="str">
        <f>IF(A109="","",IFERROR(VLOOKUP(A109,DB_Customers!$A:$D,4,0),"❌ Account Not Found"))</f>
        <v/>
      </c>
      <c r="C109" s="80" t="str">
        <f>IF(A109="","",IFERROR(VLOOKUP(A109,DB_Customers!$A:$N,14,0),""))</f>
        <v/>
      </c>
      <c r="D109" s="81" t="str">
        <f t="shared" ca="1" si="9"/>
        <v/>
      </c>
      <c r="E109" s="82"/>
      <c r="F109" s="83" t="str">
        <f t="shared" si="10"/>
        <v/>
      </c>
      <c r="G109" s="23"/>
      <c r="H109" s="84"/>
      <c r="I109" s="85" t="str">
        <f>IF(A109="","Pending",IF(H109="","⚠️ Enter Code",IF(IFERROR(VLOOKUP(G109,DB_Agents!$B:$I,8,0),"")=H109,IF(AND(A109&lt;&gt;"",E109&lt;&gt;""),"Saved","Pending"),"🔒 BLOCKED — Wrong Code")))</f>
        <v>Pending</v>
      </c>
      <c r="J109" s="86" t="str">
        <f t="shared" ca="1" si="11"/>
        <v>—</v>
      </c>
      <c r="K109" s="87"/>
    </row>
    <row r="110" spans="1:11" x14ac:dyDescent="0.25">
      <c r="A110" s="88"/>
      <c r="B110" s="25" t="str">
        <f>IF(A110="","",IFERROR(VLOOKUP(A110,DB_Customers!$A:$D,4,0),"❌ Account Not Found"))</f>
        <v/>
      </c>
      <c r="C110" s="89" t="str">
        <f>IF(A110="","",IFERROR(VLOOKUP(A110,DB_Customers!$A:$N,14,0),""))</f>
        <v/>
      </c>
      <c r="D110" s="90" t="str">
        <f t="shared" ca="1" si="9"/>
        <v/>
      </c>
      <c r="E110" s="82"/>
      <c r="F110" s="91" t="str">
        <f t="shared" si="10"/>
        <v/>
      </c>
      <c r="G110" s="27"/>
      <c r="H110" s="84"/>
      <c r="I110" s="92" t="str">
        <f>IF(A110="","Pending",IF(H110="","⚠️ Enter Code",IF(IFERROR(VLOOKUP(G110,DB_Agents!$B:$I,8,0),"")=H110,IF(AND(A110&lt;&gt;"",E110&lt;&gt;""),"Saved","Pending"),"🔒 BLOCKED — Wrong Code")))</f>
        <v>Pending</v>
      </c>
      <c r="J110" s="93" t="str">
        <f t="shared" ca="1" si="11"/>
        <v>—</v>
      </c>
      <c r="K110" s="94"/>
    </row>
    <row r="111" spans="1:11" x14ac:dyDescent="0.25">
      <c r="A111" s="79"/>
      <c r="B111" s="21" t="str">
        <f>IF(A111="","",IFERROR(VLOOKUP(A111,DB_Customers!$A:$D,4,0),"❌ Account Not Found"))</f>
        <v/>
      </c>
      <c r="C111" s="80" t="str">
        <f>IF(A111="","",IFERROR(VLOOKUP(A111,DB_Customers!$A:$N,14,0),""))</f>
        <v/>
      </c>
      <c r="D111" s="81" t="str">
        <f t="shared" ca="1" si="9"/>
        <v/>
      </c>
      <c r="E111" s="82"/>
      <c r="F111" s="83" t="str">
        <f t="shared" si="10"/>
        <v/>
      </c>
      <c r="G111" s="23"/>
      <c r="H111" s="84"/>
      <c r="I111" s="85" t="str">
        <f>IF(A111="","Pending",IF(H111="","⚠️ Enter Code",IF(IFERROR(VLOOKUP(G111,DB_Agents!$B:$I,8,0),"")=H111,IF(AND(A111&lt;&gt;"",E111&lt;&gt;""),"Saved","Pending"),"🔒 BLOCKED — Wrong Code")))</f>
        <v>Pending</v>
      </c>
      <c r="J111" s="86" t="str">
        <f t="shared" ca="1" si="11"/>
        <v>—</v>
      </c>
      <c r="K111" s="87"/>
    </row>
    <row r="112" spans="1:11" x14ac:dyDescent="0.25">
      <c r="A112" s="88"/>
      <c r="B112" s="25" t="str">
        <f>IF(A112="","",IFERROR(VLOOKUP(A112,DB_Customers!$A:$D,4,0),"❌ Account Not Found"))</f>
        <v/>
      </c>
      <c r="C112" s="89" t="str">
        <f>IF(A112="","",IFERROR(VLOOKUP(A112,DB_Customers!$A:$N,14,0),""))</f>
        <v/>
      </c>
      <c r="D112" s="90" t="str">
        <f t="shared" ca="1" si="9"/>
        <v/>
      </c>
      <c r="E112" s="82"/>
      <c r="F112" s="91" t="str">
        <f t="shared" si="10"/>
        <v/>
      </c>
      <c r="G112" s="27"/>
      <c r="H112" s="84"/>
      <c r="I112" s="92" t="str">
        <f>IF(A112="","Pending",IF(H112="","⚠️ Enter Code",IF(IFERROR(VLOOKUP(G112,DB_Agents!$B:$I,8,0),"")=H112,IF(AND(A112&lt;&gt;"",E112&lt;&gt;""),"Saved","Pending"),"🔒 BLOCKED — Wrong Code")))</f>
        <v>Pending</v>
      </c>
      <c r="J112" s="93" t="str">
        <f t="shared" ca="1" si="11"/>
        <v>—</v>
      </c>
      <c r="K112" s="94"/>
    </row>
    <row r="113" spans="1:11" x14ac:dyDescent="0.25">
      <c r="A113" s="79"/>
      <c r="B113" s="21" t="str">
        <f>IF(A113="","",IFERROR(VLOOKUP(A113,DB_Customers!$A:$D,4,0),"❌ Account Not Found"))</f>
        <v/>
      </c>
      <c r="C113" s="80" t="str">
        <f>IF(A113="","",IFERROR(VLOOKUP(A113,DB_Customers!$A:$N,14,0),""))</f>
        <v/>
      </c>
      <c r="D113" s="81" t="str">
        <f t="shared" ca="1" si="9"/>
        <v/>
      </c>
      <c r="E113" s="82"/>
      <c r="F113" s="83" t="str">
        <f t="shared" si="10"/>
        <v/>
      </c>
      <c r="G113" s="23"/>
      <c r="H113" s="84"/>
      <c r="I113" s="85" t="str">
        <f>IF(A113="","Pending",IF(H113="","⚠️ Enter Code",IF(IFERROR(VLOOKUP(G113,DB_Agents!$B:$I,8,0),"")=H113,IF(AND(A113&lt;&gt;"",E113&lt;&gt;""),"Saved","Pending"),"🔒 BLOCKED — Wrong Code")))</f>
        <v>Pending</v>
      </c>
      <c r="J113" s="86" t="str">
        <f t="shared" ca="1" si="11"/>
        <v>—</v>
      </c>
      <c r="K113" s="87"/>
    </row>
    <row r="114" spans="1:11" x14ac:dyDescent="0.25">
      <c r="A114" s="88"/>
      <c r="B114" s="25" t="str">
        <f>IF(A114="","",IFERROR(VLOOKUP(A114,DB_Customers!$A:$D,4,0),"❌ Account Not Found"))</f>
        <v/>
      </c>
      <c r="C114" s="89" t="str">
        <f>IF(A114="","",IFERROR(VLOOKUP(A114,DB_Customers!$A:$N,14,0),""))</f>
        <v/>
      </c>
      <c r="D114" s="90" t="str">
        <f t="shared" ca="1" si="9"/>
        <v/>
      </c>
      <c r="E114" s="82"/>
      <c r="F114" s="91" t="str">
        <f t="shared" si="10"/>
        <v/>
      </c>
      <c r="G114" s="27"/>
      <c r="H114" s="84"/>
      <c r="I114" s="92" t="str">
        <f>IF(A114="","Pending",IF(H114="","⚠️ Enter Code",IF(IFERROR(VLOOKUP(G114,DB_Agents!$B:$I,8,0),"")=H114,IF(AND(A114&lt;&gt;"",E114&lt;&gt;""),"Saved","Pending"),"🔒 BLOCKED — Wrong Code")))</f>
        <v>Pending</v>
      </c>
      <c r="J114" s="93" t="str">
        <f t="shared" ca="1" si="11"/>
        <v>—</v>
      </c>
      <c r="K114" s="94"/>
    </row>
    <row r="115" spans="1:11" x14ac:dyDescent="0.25">
      <c r="A115" s="79"/>
      <c r="B115" s="21" t="str">
        <f>IF(A115="","",IFERROR(VLOOKUP(A115,DB_Customers!$A:$D,4,0),"❌ Account Not Found"))</f>
        <v/>
      </c>
      <c r="C115" s="80" t="str">
        <f>IF(A115="","",IFERROR(VLOOKUP(A115,DB_Customers!$A:$N,14,0),""))</f>
        <v/>
      </c>
      <c r="D115" s="81" t="str">
        <f t="shared" ca="1" si="9"/>
        <v/>
      </c>
      <c r="E115" s="82"/>
      <c r="F115" s="83" t="str">
        <f t="shared" si="10"/>
        <v/>
      </c>
      <c r="G115" s="23"/>
      <c r="H115" s="84"/>
      <c r="I115" s="85" t="str">
        <f>IF(A115="","Pending",IF(H115="","⚠️ Enter Code",IF(IFERROR(VLOOKUP(G115,DB_Agents!$B:$I,8,0),"")=H115,IF(AND(A115&lt;&gt;"",E115&lt;&gt;""),"Saved","Pending"),"🔒 BLOCKED — Wrong Code")))</f>
        <v>Pending</v>
      </c>
      <c r="J115" s="86" t="str">
        <f t="shared" ca="1" si="11"/>
        <v>—</v>
      </c>
      <c r="K115" s="87"/>
    </row>
    <row r="116" spans="1:11" x14ac:dyDescent="0.25">
      <c r="A116" s="88"/>
      <c r="B116" s="25" t="str">
        <f>IF(A116="","",IFERROR(VLOOKUP(A116,DB_Customers!$A:$D,4,0),"❌ Account Not Found"))</f>
        <v/>
      </c>
      <c r="C116" s="89" t="str">
        <f>IF(A116="","",IFERROR(VLOOKUP(A116,DB_Customers!$A:$N,14,0),""))</f>
        <v/>
      </c>
      <c r="D116" s="90" t="str">
        <f t="shared" ca="1" si="9"/>
        <v/>
      </c>
      <c r="E116" s="82"/>
      <c r="F116" s="91" t="str">
        <f t="shared" si="10"/>
        <v/>
      </c>
      <c r="G116" s="27"/>
      <c r="H116" s="84"/>
      <c r="I116" s="92" t="str">
        <f>IF(A116="","Pending",IF(H116="","⚠️ Enter Code",IF(IFERROR(VLOOKUP(G116,DB_Agents!$B:$I,8,0),"")=H116,IF(AND(A116&lt;&gt;"",E116&lt;&gt;""),"Saved","Pending"),"🔒 BLOCKED — Wrong Code")))</f>
        <v>Pending</v>
      </c>
      <c r="J116" s="93" t="str">
        <f t="shared" ca="1" si="11"/>
        <v>—</v>
      </c>
      <c r="K116" s="94"/>
    </row>
    <row r="117" spans="1:11" x14ac:dyDescent="0.25">
      <c r="A117" s="79"/>
      <c r="B117" s="21" t="str">
        <f>IF(A117="","",IFERROR(VLOOKUP(A117,DB_Customers!$A:$D,4,0),"❌ Account Not Found"))</f>
        <v/>
      </c>
      <c r="C117" s="80" t="str">
        <f>IF(A117="","",IFERROR(VLOOKUP(A117,DB_Customers!$A:$N,14,0),""))</f>
        <v/>
      </c>
      <c r="D117" s="81" t="str">
        <f t="shared" ca="1" si="9"/>
        <v/>
      </c>
      <c r="E117" s="82"/>
      <c r="F117" s="83" t="str">
        <f t="shared" si="10"/>
        <v/>
      </c>
      <c r="G117" s="23"/>
      <c r="H117" s="84"/>
      <c r="I117" s="85" t="str">
        <f>IF(A117="","Pending",IF(H117="","⚠️ Enter Code",IF(IFERROR(VLOOKUP(G117,DB_Agents!$B:$I,8,0),"")=H117,IF(AND(A117&lt;&gt;"",E117&lt;&gt;""),"Saved","Pending"),"🔒 BLOCKED — Wrong Code")))</f>
        <v>Pending</v>
      </c>
      <c r="J117" s="86" t="str">
        <f t="shared" ca="1" si="11"/>
        <v>—</v>
      </c>
      <c r="K117" s="87"/>
    </row>
    <row r="118" spans="1:11" x14ac:dyDescent="0.25">
      <c r="A118" s="88"/>
      <c r="B118" s="25" t="str">
        <f>IF(A118="","",IFERROR(VLOOKUP(A118,DB_Customers!$A:$D,4,0),"❌ Account Not Found"))</f>
        <v/>
      </c>
      <c r="C118" s="89" t="str">
        <f>IF(A118="","",IFERROR(VLOOKUP(A118,DB_Customers!$A:$N,14,0),""))</f>
        <v/>
      </c>
      <c r="D118" s="90" t="str">
        <f t="shared" ca="1" si="9"/>
        <v/>
      </c>
      <c r="E118" s="82"/>
      <c r="F118" s="91" t="str">
        <f t="shared" si="10"/>
        <v/>
      </c>
      <c r="G118" s="27"/>
      <c r="H118" s="84"/>
      <c r="I118" s="92" t="str">
        <f>IF(A118="","Pending",IF(H118="","⚠️ Enter Code",IF(IFERROR(VLOOKUP(G118,DB_Agents!$B:$I,8,0),"")=H118,IF(AND(A118&lt;&gt;"",E118&lt;&gt;""),"Saved","Pending"),"🔒 BLOCKED — Wrong Code")))</f>
        <v>Pending</v>
      </c>
      <c r="J118" s="93" t="str">
        <f t="shared" ca="1" si="11"/>
        <v>—</v>
      </c>
      <c r="K118" s="94"/>
    </row>
    <row r="119" spans="1:11" x14ac:dyDescent="0.25">
      <c r="A119" s="79"/>
      <c r="B119" s="21" t="str">
        <f>IF(A119="","",IFERROR(VLOOKUP(A119,DB_Customers!$A:$D,4,0),"❌ Account Not Found"))</f>
        <v/>
      </c>
      <c r="C119" s="80" t="str">
        <f>IF(A119="","",IFERROR(VLOOKUP(A119,DB_Customers!$A:$N,14,0),""))</f>
        <v/>
      </c>
      <c r="D119" s="81" t="str">
        <f t="shared" ca="1" si="9"/>
        <v/>
      </c>
      <c r="E119" s="82"/>
      <c r="F119" s="83" t="str">
        <f t="shared" si="10"/>
        <v/>
      </c>
      <c r="G119" s="23"/>
      <c r="H119" s="84"/>
      <c r="I119" s="85" t="str">
        <f>IF(A119="","Pending",IF(H119="","⚠️ Enter Code",IF(IFERROR(VLOOKUP(G119,DB_Agents!$B:$I,8,0),"")=H119,IF(AND(A119&lt;&gt;"",E119&lt;&gt;""),"Saved","Pending"),"🔒 BLOCKED — Wrong Code")))</f>
        <v>Pending</v>
      </c>
      <c r="J119" s="86" t="str">
        <f t="shared" ca="1" si="11"/>
        <v>—</v>
      </c>
      <c r="K119" s="87"/>
    </row>
    <row r="120" spans="1:11" x14ac:dyDescent="0.25">
      <c r="A120" s="88"/>
      <c r="B120" s="25" t="str">
        <f>IF(A120="","",IFERROR(VLOOKUP(A120,DB_Customers!$A:$D,4,0),"❌ Account Not Found"))</f>
        <v/>
      </c>
      <c r="C120" s="89" t="str">
        <f>IF(A120="","",IFERROR(VLOOKUP(A120,DB_Customers!$A:$N,14,0),""))</f>
        <v/>
      </c>
      <c r="D120" s="90" t="str">
        <f t="shared" ca="1" si="9"/>
        <v/>
      </c>
      <c r="E120" s="82"/>
      <c r="F120" s="91" t="str">
        <f t="shared" si="10"/>
        <v/>
      </c>
      <c r="G120" s="27"/>
      <c r="H120" s="84"/>
      <c r="I120" s="92" t="str">
        <f>IF(A120="","Pending",IF(H120="","⚠️ Enter Code",IF(IFERROR(VLOOKUP(G120,DB_Agents!$B:$I,8,0),"")=H120,IF(AND(A120&lt;&gt;"",E120&lt;&gt;""),"Saved","Pending"),"🔒 BLOCKED — Wrong Code")))</f>
        <v>Pending</v>
      </c>
      <c r="J120" s="93" t="str">
        <f t="shared" ca="1" si="11"/>
        <v>—</v>
      </c>
      <c r="K120" s="94"/>
    </row>
    <row r="121" spans="1:11" x14ac:dyDescent="0.25">
      <c r="A121" s="79"/>
      <c r="B121" s="21" t="str">
        <f>IF(A121="","",IFERROR(VLOOKUP(A121,DB_Customers!$A:$D,4,0),"❌ Account Not Found"))</f>
        <v/>
      </c>
      <c r="C121" s="80" t="str">
        <f>IF(A121="","",IFERROR(VLOOKUP(A121,DB_Customers!$A:$N,14,0),""))</f>
        <v/>
      </c>
      <c r="D121" s="81" t="str">
        <f t="shared" ca="1" si="9"/>
        <v/>
      </c>
      <c r="E121" s="82"/>
      <c r="F121" s="83" t="str">
        <f t="shared" si="10"/>
        <v/>
      </c>
      <c r="G121" s="23"/>
      <c r="H121" s="84"/>
      <c r="I121" s="85" t="str">
        <f>IF(A121="","Pending",IF(H121="","⚠️ Enter Code",IF(IFERROR(VLOOKUP(G121,DB_Agents!$B:$I,8,0),"")=H121,IF(AND(A121&lt;&gt;"",E121&lt;&gt;""),"Saved","Pending"),"🔒 BLOCKED — Wrong Code")))</f>
        <v>Pending</v>
      </c>
      <c r="J121" s="86" t="str">
        <f t="shared" ca="1" si="11"/>
        <v>—</v>
      </c>
      <c r="K121" s="87"/>
    </row>
    <row r="122" spans="1:11" x14ac:dyDescent="0.25">
      <c r="A122" s="88"/>
      <c r="B122" s="25" t="str">
        <f>IF(A122="","",IFERROR(VLOOKUP(A122,DB_Customers!$A:$D,4,0),"❌ Account Not Found"))</f>
        <v/>
      </c>
      <c r="C122" s="89" t="str">
        <f>IF(A122="","",IFERROR(VLOOKUP(A122,DB_Customers!$A:$N,14,0),""))</f>
        <v/>
      </c>
      <c r="D122" s="90" t="str">
        <f t="shared" ca="1" si="9"/>
        <v/>
      </c>
      <c r="E122" s="82"/>
      <c r="F122" s="91" t="str">
        <f t="shared" si="10"/>
        <v/>
      </c>
      <c r="G122" s="27"/>
      <c r="H122" s="84"/>
      <c r="I122" s="92" t="str">
        <f>IF(A122="","Pending",IF(H122="","⚠️ Enter Code",IF(IFERROR(VLOOKUP(G122,DB_Agents!$B:$I,8,0),"")=H122,IF(AND(A122&lt;&gt;"",E122&lt;&gt;""),"Saved","Pending"),"🔒 BLOCKED — Wrong Code")))</f>
        <v>Pending</v>
      </c>
      <c r="J122" s="93" t="str">
        <f t="shared" ca="1" si="11"/>
        <v>—</v>
      </c>
      <c r="K122" s="94"/>
    </row>
    <row r="123" spans="1:11" x14ac:dyDescent="0.25">
      <c r="A123" s="79"/>
      <c r="B123" s="21" t="str">
        <f>IF(A123="","",IFERROR(VLOOKUP(A123,DB_Customers!$A:$D,4,0),"❌ Account Not Found"))</f>
        <v/>
      </c>
      <c r="C123" s="80" t="str">
        <f>IF(A123="","",IFERROR(VLOOKUP(A123,DB_Customers!$A:$N,14,0),""))</f>
        <v/>
      </c>
      <c r="D123" s="81" t="str">
        <f t="shared" ca="1" si="9"/>
        <v/>
      </c>
      <c r="E123" s="82"/>
      <c r="F123" s="83" t="str">
        <f t="shared" si="10"/>
        <v/>
      </c>
      <c r="G123" s="23"/>
      <c r="H123" s="84"/>
      <c r="I123" s="85" t="str">
        <f>IF(A123="","Pending",IF(H123="","⚠️ Enter Code",IF(IFERROR(VLOOKUP(G123,DB_Agents!$B:$I,8,0),"")=H123,IF(AND(A123&lt;&gt;"",E123&lt;&gt;""),"Saved","Pending"),"🔒 BLOCKED — Wrong Code")))</f>
        <v>Pending</v>
      </c>
      <c r="J123" s="86" t="str">
        <f t="shared" ca="1" si="11"/>
        <v>—</v>
      </c>
      <c r="K123" s="87"/>
    </row>
    <row r="124" spans="1:11" x14ac:dyDescent="0.25">
      <c r="A124" s="88"/>
      <c r="B124" s="25" t="str">
        <f>IF(A124="","",IFERROR(VLOOKUP(A124,DB_Customers!$A:$D,4,0),"❌ Account Not Found"))</f>
        <v/>
      </c>
      <c r="C124" s="89" t="str">
        <f>IF(A124="","",IFERROR(VLOOKUP(A124,DB_Customers!$A:$N,14,0),""))</f>
        <v/>
      </c>
      <c r="D124" s="90" t="str">
        <f t="shared" ca="1" si="9"/>
        <v/>
      </c>
      <c r="E124" s="82"/>
      <c r="F124" s="91" t="str">
        <f t="shared" si="10"/>
        <v/>
      </c>
      <c r="G124" s="27"/>
      <c r="H124" s="84"/>
      <c r="I124" s="92" t="str">
        <f>IF(A124="","Pending",IF(H124="","⚠️ Enter Code",IF(IFERROR(VLOOKUP(G124,DB_Agents!$B:$I,8,0),"")=H124,IF(AND(A124&lt;&gt;"",E124&lt;&gt;""),"Saved","Pending"),"🔒 BLOCKED — Wrong Code")))</f>
        <v>Pending</v>
      </c>
      <c r="J124" s="93" t="str">
        <f t="shared" ca="1" si="11"/>
        <v>—</v>
      </c>
      <c r="K124" s="94"/>
    </row>
    <row r="125" spans="1:11" x14ac:dyDescent="0.25">
      <c r="A125" s="79"/>
      <c r="B125" s="21" t="str">
        <f>IF(A125="","",IFERROR(VLOOKUP(A125,DB_Customers!$A:$D,4,0),"❌ Account Not Found"))</f>
        <v/>
      </c>
      <c r="C125" s="80" t="str">
        <f>IF(A125="","",IFERROR(VLOOKUP(A125,DB_Customers!$A:$N,14,0),""))</f>
        <v/>
      </c>
      <c r="D125" s="81" t="str">
        <f t="shared" ca="1" si="9"/>
        <v/>
      </c>
      <c r="E125" s="82"/>
      <c r="F125" s="83" t="str">
        <f t="shared" si="10"/>
        <v/>
      </c>
      <c r="G125" s="23"/>
      <c r="H125" s="84"/>
      <c r="I125" s="85" t="str">
        <f>IF(A125="","Pending",IF(H125="","⚠️ Enter Code",IF(IFERROR(VLOOKUP(G125,DB_Agents!$B:$I,8,0),"")=H125,IF(AND(A125&lt;&gt;"",E125&lt;&gt;""),"Saved","Pending"),"🔒 BLOCKED — Wrong Code")))</f>
        <v>Pending</v>
      </c>
      <c r="J125" s="86" t="str">
        <f t="shared" ca="1" si="11"/>
        <v>—</v>
      </c>
      <c r="K125" s="87"/>
    </row>
    <row r="126" spans="1:11" x14ac:dyDescent="0.25">
      <c r="A126" s="88"/>
      <c r="B126" s="25" t="str">
        <f>IF(A126="","",IFERROR(VLOOKUP(A126,DB_Customers!$A:$D,4,0),"❌ Account Not Found"))</f>
        <v/>
      </c>
      <c r="C126" s="89" t="str">
        <f>IF(A126="","",IFERROR(VLOOKUP(A126,DB_Customers!$A:$N,14,0),""))</f>
        <v/>
      </c>
      <c r="D126" s="90" t="str">
        <f t="shared" ca="1" si="9"/>
        <v/>
      </c>
      <c r="E126" s="82"/>
      <c r="F126" s="91" t="str">
        <f t="shared" si="10"/>
        <v/>
      </c>
      <c r="G126" s="27"/>
      <c r="H126" s="84"/>
      <c r="I126" s="92" t="str">
        <f>IF(A126="","Pending",IF(H126="","⚠️ Enter Code",IF(IFERROR(VLOOKUP(G126,DB_Agents!$B:$I,8,0),"")=H126,IF(AND(A126&lt;&gt;"",E126&lt;&gt;""),"Saved","Pending"),"🔒 BLOCKED — Wrong Code")))</f>
        <v>Pending</v>
      </c>
      <c r="J126" s="93" t="str">
        <f t="shared" ca="1" si="11"/>
        <v>—</v>
      </c>
      <c r="K126" s="94"/>
    </row>
    <row r="127" spans="1:11" x14ac:dyDescent="0.25">
      <c r="A127" s="79"/>
      <c r="B127" s="21" t="str">
        <f>IF(A127="","",IFERROR(VLOOKUP(A127,DB_Customers!$A:$D,4,0),"❌ Account Not Found"))</f>
        <v/>
      </c>
      <c r="C127" s="80" t="str">
        <f>IF(A127="","",IFERROR(VLOOKUP(A127,DB_Customers!$A:$N,14,0),""))</f>
        <v/>
      </c>
      <c r="D127" s="81" t="str">
        <f t="shared" ca="1" si="9"/>
        <v/>
      </c>
      <c r="E127" s="82"/>
      <c r="F127" s="83" t="str">
        <f t="shared" si="10"/>
        <v/>
      </c>
      <c r="G127" s="23"/>
      <c r="H127" s="84"/>
      <c r="I127" s="85" t="str">
        <f>IF(A127="","Pending",IF(H127="","⚠️ Enter Code",IF(IFERROR(VLOOKUP(G127,DB_Agents!$B:$I,8,0),"")=H127,IF(AND(A127&lt;&gt;"",E127&lt;&gt;""),"Saved","Pending"),"🔒 BLOCKED — Wrong Code")))</f>
        <v>Pending</v>
      </c>
      <c r="J127" s="86" t="str">
        <f t="shared" ca="1" si="11"/>
        <v>—</v>
      </c>
      <c r="K127" s="87"/>
    </row>
    <row r="128" spans="1:11" x14ac:dyDescent="0.25">
      <c r="A128" s="88"/>
      <c r="B128" s="25" t="str">
        <f>IF(A128="","",IFERROR(VLOOKUP(A128,DB_Customers!$A:$D,4,0),"❌ Account Not Found"))</f>
        <v/>
      </c>
      <c r="C128" s="89" t="str">
        <f>IF(A128="","",IFERROR(VLOOKUP(A128,DB_Customers!$A:$N,14,0),""))</f>
        <v/>
      </c>
      <c r="D128" s="90" t="str">
        <f t="shared" ca="1" si="9"/>
        <v/>
      </c>
      <c r="E128" s="82"/>
      <c r="F128" s="91" t="str">
        <f t="shared" si="10"/>
        <v/>
      </c>
      <c r="G128" s="27"/>
      <c r="H128" s="84"/>
      <c r="I128" s="92" t="str">
        <f>IF(A128="","Pending",IF(H128="","⚠️ Enter Code",IF(IFERROR(VLOOKUP(G128,DB_Agents!$B:$I,8,0),"")=H128,IF(AND(A128&lt;&gt;"",E128&lt;&gt;""),"Saved","Pending"),"🔒 BLOCKED — Wrong Code")))</f>
        <v>Pending</v>
      </c>
      <c r="J128" s="93" t="str">
        <f t="shared" ca="1" si="11"/>
        <v>—</v>
      </c>
      <c r="K128" s="94"/>
    </row>
    <row r="129" spans="1:11" x14ac:dyDescent="0.25">
      <c r="A129" s="79"/>
      <c r="B129" s="21" t="str">
        <f>IF(A129="","",IFERROR(VLOOKUP(A129,DB_Customers!$A:$D,4,0),"❌ Account Not Found"))</f>
        <v/>
      </c>
      <c r="C129" s="80" t="str">
        <f>IF(A129="","",IFERROR(VLOOKUP(A129,DB_Customers!$A:$N,14,0),""))</f>
        <v/>
      </c>
      <c r="D129" s="81" t="str">
        <f t="shared" ca="1" si="9"/>
        <v/>
      </c>
      <c r="E129" s="82"/>
      <c r="F129" s="83" t="str">
        <f t="shared" si="10"/>
        <v/>
      </c>
      <c r="G129" s="23"/>
      <c r="H129" s="84"/>
      <c r="I129" s="85" t="str">
        <f>IF(A129="","Pending",IF(H129="","⚠️ Enter Code",IF(IFERROR(VLOOKUP(G129,DB_Agents!$B:$I,8,0),"")=H129,IF(AND(A129&lt;&gt;"",E129&lt;&gt;""),"Saved","Pending"),"🔒 BLOCKED — Wrong Code")))</f>
        <v>Pending</v>
      </c>
      <c r="J129" s="86" t="str">
        <f t="shared" ca="1" si="11"/>
        <v>—</v>
      </c>
      <c r="K129" s="87"/>
    </row>
    <row r="130" spans="1:11" x14ac:dyDescent="0.25">
      <c r="A130" s="88"/>
      <c r="B130" s="25" t="str">
        <f>IF(A130="","",IFERROR(VLOOKUP(A130,DB_Customers!$A:$D,4,0),"❌ Account Not Found"))</f>
        <v/>
      </c>
      <c r="C130" s="89" t="str">
        <f>IF(A130="","",IFERROR(VLOOKUP(A130,DB_Customers!$A:$N,14,0),""))</f>
        <v/>
      </c>
      <c r="D130" s="90" t="str">
        <f t="shared" ca="1" si="9"/>
        <v/>
      </c>
      <c r="E130" s="82"/>
      <c r="F130" s="91" t="str">
        <f t="shared" si="10"/>
        <v/>
      </c>
      <c r="G130" s="27"/>
      <c r="H130" s="84"/>
      <c r="I130" s="92" t="str">
        <f>IF(A130="","Pending",IF(H130="","⚠️ Enter Code",IF(IFERROR(VLOOKUP(G130,DB_Agents!$B:$I,8,0),"")=H130,IF(AND(A130&lt;&gt;"",E130&lt;&gt;""),"Saved","Pending"),"🔒 BLOCKED — Wrong Code")))</f>
        <v>Pending</v>
      </c>
      <c r="J130" s="93" t="str">
        <f t="shared" ca="1" si="11"/>
        <v>—</v>
      </c>
      <c r="K130" s="94"/>
    </row>
    <row r="131" spans="1:11" x14ac:dyDescent="0.25">
      <c r="A131" s="79"/>
      <c r="B131" s="21" t="str">
        <f>IF(A131="","",IFERROR(VLOOKUP(A131,DB_Customers!$A:$D,4,0),"❌ Account Not Found"))</f>
        <v/>
      </c>
      <c r="C131" s="80" t="str">
        <f>IF(A131="","",IFERROR(VLOOKUP(A131,DB_Customers!$A:$N,14,0),""))</f>
        <v/>
      </c>
      <c r="D131" s="81" t="str">
        <f t="shared" ca="1" si="9"/>
        <v/>
      </c>
      <c r="E131" s="82"/>
      <c r="F131" s="83" t="str">
        <f t="shared" si="10"/>
        <v/>
      </c>
      <c r="G131" s="23"/>
      <c r="H131" s="84"/>
      <c r="I131" s="85" t="str">
        <f>IF(A131="","Pending",IF(H131="","⚠️ Enter Code",IF(IFERROR(VLOOKUP(G131,DB_Agents!$B:$I,8,0),"")=H131,IF(AND(A131&lt;&gt;"",E131&lt;&gt;""),"Saved","Pending"),"🔒 BLOCKED — Wrong Code")))</f>
        <v>Pending</v>
      </c>
      <c r="J131" s="86" t="str">
        <f t="shared" ca="1" si="11"/>
        <v>—</v>
      </c>
      <c r="K131" s="87"/>
    </row>
    <row r="132" spans="1:11" x14ac:dyDescent="0.25">
      <c r="A132" s="88"/>
      <c r="B132" s="25" t="str">
        <f>IF(A132="","",IFERROR(VLOOKUP(A132,DB_Customers!$A:$D,4,0),"❌ Account Not Found"))</f>
        <v/>
      </c>
      <c r="C132" s="89" t="str">
        <f>IF(A132="","",IFERROR(VLOOKUP(A132,DB_Customers!$A:$N,14,0),""))</f>
        <v/>
      </c>
      <c r="D132" s="90" t="str">
        <f t="shared" ca="1" si="9"/>
        <v/>
      </c>
      <c r="E132" s="82"/>
      <c r="F132" s="91" t="str">
        <f t="shared" si="10"/>
        <v/>
      </c>
      <c r="G132" s="27"/>
      <c r="H132" s="84"/>
      <c r="I132" s="92" t="str">
        <f>IF(A132="","Pending",IF(H132="","⚠️ Enter Code",IF(IFERROR(VLOOKUP(G132,DB_Agents!$B:$I,8,0),"")=H132,IF(AND(A132&lt;&gt;"",E132&lt;&gt;""),"Saved","Pending"),"🔒 BLOCKED — Wrong Code")))</f>
        <v>Pending</v>
      </c>
      <c r="J132" s="93" t="str">
        <f t="shared" ca="1" si="11"/>
        <v>—</v>
      </c>
      <c r="K132" s="94"/>
    </row>
    <row r="133" spans="1:11" x14ac:dyDescent="0.25">
      <c r="A133" s="79"/>
      <c r="B133" s="21" t="str">
        <f>IF(A133="","",IFERROR(VLOOKUP(A133,DB_Customers!$A:$D,4,0),"❌ Account Not Found"))</f>
        <v/>
      </c>
      <c r="C133" s="80" t="str">
        <f>IF(A133="","",IFERROR(VLOOKUP(A133,DB_Customers!$A:$N,14,0),""))</f>
        <v/>
      </c>
      <c r="D133" s="81" t="str">
        <f t="shared" ca="1" si="9"/>
        <v/>
      </c>
      <c r="E133" s="82"/>
      <c r="F133" s="83" t="str">
        <f t="shared" si="10"/>
        <v/>
      </c>
      <c r="G133" s="23"/>
      <c r="H133" s="84"/>
      <c r="I133" s="85" t="str">
        <f>IF(A133="","Pending",IF(H133="","⚠️ Enter Code",IF(IFERROR(VLOOKUP(G133,DB_Agents!$B:$I,8,0),"")=H133,IF(AND(A133&lt;&gt;"",E133&lt;&gt;""),"Saved","Pending"),"🔒 BLOCKED — Wrong Code")))</f>
        <v>Pending</v>
      </c>
      <c r="J133" s="86" t="str">
        <f t="shared" ca="1" si="11"/>
        <v>—</v>
      </c>
      <c r="K133" s="87"/>
    </row>
    <row r="134" spans="1:11" x14ac:dyDescent="0.25">
      <c r="A134" s="88"/>
      <c r="B134" s="25" t="str">
        <f>IF(A134="","",IFERROR(VLOOKUP(A134,DB_Customers!$A:$D,4,0),"❌ Account Not Found"))</f>
        <v/>
      </c>
      <c r="C134" s="89" t="str">
        <f>IF(A134="","",IFERROR(VLOOKUP(A134,DB_Customers!$A:$N,14,0),""))</f>
        <v/>
      </c>
      <c r="D134" s="90" t="str">
        <f t="shared" ca="1" si="9"/>
        <v/>
      </c>
      <c r="E134" s="82"/>
      <c r="F134" s="91" t="str">
        <f t="shared" si="10"/>
        <v/>
      </c>
      <c r="G134" s="27"/>
      <c r="H134" s="84"/>
      <c r="I134" s="92" t="str">
        <f>IF(A134="","Pending",IF(H134="","⚠️ Enter Code",IF(IFERROR(VLOOKUP(G134,DB_Agents!$B:$I,8,0),"")=H134,IF(AND(A134&lt;&gt;"",E134&lt;&gt;""),"Saved","Pending"),"🔒 BLOCKED — Wrong Code")))</f>
        <v>Pending</v>
      </c>
      <c r="J134" s="93" t="str">
        <f t="shared" ca="1" si="11"/>
        <v>—</v>
      </c>
      <c r="K134" s="94"/>
    </row>
    <row r="135" spans="1:11" x14ac:dyDescent="0.25">
      <c r="A135" s="79"/>
      <c r="B135" s="21" t="str">
        <f>IF(A135="","",IFERROR(VLOOKUP(A135,DB_Customers!$A:$D,4,0),"❌ Account Not Found"))</f>
        <v/>
      </c>
      <c r="C135" s="80" t="str">
        <f>IF(A135="","",IFERROR(VLOOKUP(A135,DB_Customers!$A:$N,14,0),""))</f>
        <v/>
      </c>
      <c r="D135" s="81" t="str">
        <f t="shared" ca="1" si="9"/>
        <v/>
      </c>
      <c r="E135" s="82"/>
      <c r="F135" s="83" t="str">
        <f t="shared" si="10"/>
        <v/>
      </c>
      <c r="G135" s="23"/>
      <c r="H135" s="84"/>
      <c r="I135" s="85" t="str">
        <f>IF(A135="","Pending",IF(H135="","⚠️ Enter Code",IF(IFERROR(VLOOKUP(G135,DB_Agents!$B:$I,8,0),"")=H135,IF(AND(A135&lt;&gt;"",E135&lt;&gt;""),"Saved","Pending"),"🔒 BLOCKED — Wrong Code")))</f>
        <v>Pending</v>
      </c>
      <c r="J135" s="86" t="str">
        <f t="shared" ca="1" si="11"/>
        <v>—</v>
      </c>
      <c r="K135" s="87"/>
    </row>
    <row r="136" spans="1:11" x14ac:dyDescent="0.25">
      <c r="A136" s="88"/>
      <c r="B136" s="25" t="str">
        <f>IF(A136="","",IFERROR(VLOOKUP(A136,DB_Customers!$A:$D,4,0),"❌ Account Not Found"))</f>
        <v/>
      </c>
      <c r="C136" s="89" t="str">
        <f>IF(A136="","",IFERROR(VLOOKUP(A136,DB_Customers!$A:$N,14,0),""))</f>
        <v/>
      </c>
      <c r="D136" s="90" t="str">
        <f t="shared" ca="1" si="9"/>
        <v/>
      </c>
      <c r="E136" s="82"/>
      <c r="F136" s="91" t="str">
        <f t="shared" si="10"/>
        <v/>
      </c>
      <c r="G136" s="27"/>
      <c r="H136" s="84"/>
      <c r="I136" s="92" t="str">
        <f>IF(A136="","Pending",IF(H136="","⚠️ Enter Code",IF(IFERROR(VLOOKUP(G136,DB_Agents!$B:$I,8,0),"")=H136,IF(AND(A136&lt;&gt;"",E136&lt;&gt;""),"Saved","Pending"),"🔒 BLOCKED — Wrong Code")))</f>
        <v>Pending</v>
      </c>
      <c r="J136" s="93" t="str">
        <f t="shared" ca="1" si="11"/>
        <v>—</v>
      </c>
      <c r="K136" s="94"/>
    </row>
    <row r="137" spans="1:11" x14ac:dyDescent="0.25">
      <c r="A137" s="79"/>
      <c r="B137" s="21" t="str">
        <f>IF(A137="","",IFERROR(VLOOKUP(A137,DB_Customers!$A:$D,4,0),"❌ Account Not Found"))</f>
        <v/>
      </c>
      <c r="C137" s="80" t="str">
        <f>IF(A137="","",IFERROR(VLOOKUP(A137,DB_Customers!$A:$N,14,0),""))</f>
        <v/>
      </c>
      <c r="D137" s="81" t="str">
        <f t="shared" ref="D137:D168" ca="1" si="12">IF(A137="","",TODAY())</f>
        <v/>
      </c>
      <c r="E137" s="82"/>
      <c r="F137" s="83" t="str">
        <f t="shared" ref="F137:F168" si="13">IF(OR(A137="",E137=""),"",IF(C137="","",C137+E137))</f>
        <v/>
      </c>
      <c r="G137" s="23"/>
      <c r="H137" s="84"/>
      <c r="I137" s="85" t="str">
        <f>IF(A137="","Pending",IF(H137="","⚠️ Enter Code",IF(IFERROR(VLOOKUP(G137,DB_Agents!$B:$I,8,0),"")=H137,IF(AND(A137&lt;&gt;"",E137&lt;&gt;""),"Saved","Pending"),"🔒 BLOCKED — Wrong Code")))</f>
        <v>Pending</v>
      </c>
      <c r="J137" s="86" t="str">
        <f t="shared" ref="J137:J168" ca="1" si="14">IF(I137="Saved",TEXT(TODAY(),"YYYY-MM-DD")&amp;" Auto","—")</f>
        <v>—</v>
      </c>
      <c r="K137" s="87"/>
    </row>
    <row r="138" spans="1:11" x14ac:dyDescent="0.25">
      <c r="A138" s="88"/>
      <c r="B138" s="25" t="str">
        <f>IF(A138="","",IFERROR(VLOOKUP(A138,DB_Customers!$A:$D,4,0),"❌ Account Not Found"))</f>
        <v/>
      </c>
      <c r="C138" s="89" t="str">
        <f>IF(A138="","",IFERROR(VLOOKUP(A138,DB_Customers!$A:$N,14,0),""))</f>
        <v/>
      </c>
      <c r="D138" s="90" t="str">
        <f t="shared" ca="1" si="12"/>
        <v/>
      </c>
      <c r="E138" s="82"/>
      <c r="F138" s="91" t="str">
        <f t="shared" si="13"/>
        <v/>
      </c>
      <c r="G138" s="27"/>
      <c r="H138" s="84"/>
      <c r="I138" s="92" t="str">
        <f>IF(A138="","Pending",IF(H138="","⚠️ Enter Code",IF(IFERROR(VLOOKUP(G138,DB_Agents!$B:$I,8,0),"")=H138,IF(AND(A138&lt;&gt;"",E138&lt;&gt;""),"Saved","Pending"),"🔒 BLOCKED — Wrong Code")))</f>
        <v>Pending</v>
      </c>
      <c r="J138" s="93" t="str">
        <f t="shared" ca="1" si="14"/>
        <v>—</v>
      </c>
      <c r="K138" s="94"/>
    </row>
    <row r="139" spans="1:11" x14ac:dyDescent="0.25">
      <c r="A139" s="79"/>
      <c r="B139" s="21" t="str">
        <f>IF(A139="","",IFERROR(VLOOKUP(A139,DB_Customers!$A:$D,4,0),"❌ Account Not Found"))</f>
        <v/>
      </c>
      <c r="C139" s="80" t="str">
        <f>IF(A139="","",IFERROR(VLOOKUP(A139,DB_Customers!$A:$N,14,0),""))</f>
        <v/>
      </c>
      <c r="D139" s="81" t="str">
        <f t="shared" ca="1" si="12"/>
        <v/>
      </c>
      <c r="E139" s="82"/>
      <c r="F139" s="83" t="str">
        <f t="shared" si="13"/>
        <v/>
      </c>
      <c r="G139" s="23"/>
      <c r="H139" s="84"/>
      <c r="I139" s="85" t="str">
        <f>IF(A139="","Pending",IF(H139="","⚠️ Enter Code",IF(IFERROR(VLOOKUP(G139,DB_Agents!$B:$I,8,0),"")=H139,IF(AND(A139&lt;&gt;"",E139&lt;&gt;""),"Saved","Pending"),"🔒 BLOCKED — Wrong Code")))</f>
        <v>Pending</v>
      </c>
      <c r="J139" s="86" t="str">
        <f t="shared" ca="1" si="14"/>
        <v>—</v>
      </c>
      <c r="K139" s="87"/>
    </row>
    <row r="140" spans="1:11" x14ac:dyDescent="0.25">
      <c r="A140" s="88"/>
      <c r="B140" s="25" t="str">
        <f>IF(A140="","",IFERROR(VLOOKUP(A140,DB_Customers!$A:$D,4,0),"❌ Account Not Found"))</f>
        <v/>
      </c>
      <c r="C140" s="89" t="str">
        <f>IF(A140="","",IFERROR(VLOOKUP(A140,DB_Customers!$A:$N,14,0),""))</f>
        <v/>
      </c>
      <c r="D140" s="90" t="str">
        <f t="shared" ca="1" si="12"/>
        <v/>
      </c>
      <c r="E140" s="82"/>
      <c r="F140" s="91" t="str">
        <f t="shared" si="13"/>
        <v/>
      </c>
      <c r="G140" s="27"/>
      <c r="H140" s="84"/>
      <c r="I140" s="92" t="str">
        <f>IF(A140="","Pending",IF(H140="","⚠️ Enter Code",IF(IFERROR(VLOOKUP(G140,DB_Agents!$B:$I,8,0),"")=H140,IF(AND(A140&lt;&gt;"",E140&lt;&gt;""),"Saved","Pending"),"🔒 BLOCKED — Wrong Code")))</f>
        <v>Pending</v>
      </c>
      <c r="J140" s="93" t="str">
        <f t="shared" ca="1" si="14"/>
        <v>—</v>
      </c>
      <c r="K140" s="94"/>
    </row>
    <row r="141" spans="1:11" x14ac:dyDescent="0.25">
      <c r="A141" s="79"/>
      <c r="B141" s="21" t="str">
        <f>IF(A141="","",IFERROR(VLOOKUP(A141,DB_Customers!$A:$D,4,0),"❌ Account Not Found"))</f>
        <v/>
      </c>
      <c r="C141" s="80" t="str">
        <f>IF(A141="","",IFERROR(VLOOKUP(A141,DB_Customers!$A:$N,14,0),""))</f>
        <v/>
      </c>
      <c r="D141" s="81" t="str">
        <f t="shared" ca="1" si="12"/>
        <v/>
      </c>
      <c r="E141" s="82"/>
      <c r="F141" s="83" t="str">
        <f t="shared" si="13"/>
        <v/>
      </c>
      <c r="G141" s="23"/>
      <c r="H141" s="84"/>
      <c r="I141" s="85" t="str">
        <f>IF(A141="","Pending",IF(H141="","⚠️ Enter Code",IF(IFERROR(VLOOKUP(G141,DB_Agents!$B:$I,8,0),"")=H141,IF(AND(A141&lt;&gt;"",E141&lt;&gt;""),"Saved","Pending"),"🔒 BLOCKED — Wrong Code")))</f>
        <v>Pending</v>
      </c>
      <c r="J141" s="86" t="str">
        <f t="shared" ca="1" si="14"/>
        <v>—</v>
      </c>
      <c r="K141" s="87"/>
    </row>
    <row r="142" spans="1:11" x14ac:dyDescent="0.25">
      <c r="A142" s="88"/>
      <c r="B142" s="25" t="str">
        <f>IF(A142="","",IFERROR(VLOOKUP(A142,DB_Customers!$A:$D,4,0),"❌ Account Not Found"))</f>
        <v/>
      </c>
      <c r="C142" s="89" t="str">
        <f>IF(A142="","",IFERROR(VLOOKUP(A142,DB_Customers!$A:$N,14,0),""))</f>
        <v/>
      </c>
      <c r="D142" s="90" t="str">
        <f t="shared" ca="1" si="12"/>
        <v/>
      </c>
      <c r="E142" s="82"/>
      <c r="F142" s="91" t="str">
        <f t="shared" si="13"/>
        <v/>
      </c>
      <c r="G142" s="27"/>
      <c r="H142" s="84"/>
      <c r="I142" s="92" t="str">
        <f>IF(A142="","Pending",IF(H142="","⚠️ Enter Code",IF(IFERROR(VLOOKUP(G142,DB_Agents!$B:$I,8,0),"")=H142,IF(AND(A142&lt;&gt;"",E142&lt;&gt;""),"Saved","Pending"),"🔒 BLOCKED — Wrong Code")))</f>
        <v>Pending</v>
      </c>
      <c r="J142" s="93" t="str">
        <f t="shared" ca="1" si="14"/>
        <v>—</v>
      </c>
      <c r="K142" s="94"/>
    </row>
    <row r="143" spans="1:11" x14ac:dyDescent="0.25">
      <c r="A143" s="79"/>
      <c r="B143" s="21" t="str">
        <f>IF(A143="","",IFERROR(VLOOKUP(A143,DB_Customers!$A:$D,4,0),"❌ Account Not Found"))</f>
        <v/>
      </c>
      <c r="C143" s="80" t="str">
        <f>IF(A143="","",IFERROR(VLOOKUP(A143,DB_Customers!$A:$N,14,0),""))</f>
        <v/>
      </c>
      <c r="D143" s="81" t="str">
        <f t="shared" ca="1" si="12"/>
        <v/>
      </c>
      <c r="E143" s="82"/>
      <c r="F143" s="83" t="str">
        <f t="shared" si="13"/>
        <v/>
      </c>
      <c r="G143" s="23"/>
      <c r="H143" s="84"/>
      <c r="I143" s="85" t="str">
        <f>IF(A143="","Pending",IF(H143="","⚠️ Enter Code",IF(IFERROR(VLOOKUP(G143,DB_Agents!$B:$I,8,0),"")=H143,IF(AND(A143&lt;&gt;"",E143&lt;&gt;""),"Saved","Pending"),"🔒 BLOCKED — Wrong Code")))</f>
        <v>Pending</v>
      </c>
      <c r="J143" s="86" t="str">
        <f t="shared" ca="1" si="14"/>
        <v>—</v>
      </c>
      <c r="K143" s="87"/>
    </row>
    <row r="144" spans="1:11" x14ac:dyDescent="0.25">
      <c r="A144" s="88"/>
      <c r="B144" s="25" t="str">
        <f>IF(A144="","",IFERROR(VLOOKUP(A144,DB_Customers!$A:$D,4,0),"❌ Account Not Found"))</f>
        <v/>
      </c>
      <c r="C144" s="89" t="str">
        <f>IF(A144="","",IFERROR(VLOOKUP(A144,DB_Customers!$A:$N,14,0),""))</f>
        <v/>
      </c>
      <c r="D144" s="90" t="str">
        <f t="shared" ca="1" si="12"/>
        <v/>
      </c>
      <c r="E144" s="82"/>
      <c r="F144" s="91" t="str">
        <f t="shared" si="13"/>
        <v/>
      </c>
      <c r="G144" s="27"/>
      <c r="H144" s="84"/>
      <c r="I144" s="92" t="str">
        <f>IF(A144="","Pending",IF(H144="","⚠️ Enter Code",IF(IFERROR(VLOOKUP(G144,DB_Agents!$B:$I,8,0),"")=H144,IF(AND(A144&lt;&gt;"",E144&lt;&gt;""),"Saved","Pending"),"🔒 BLOCKED — Wrong Code")))</f>
        <v>Pending</v>
      </c>
      <c r="J144" s="93" t="str">
        <f t="shared" ca="1" si="14"/>
        <v>—</v>
      </c>
      <c r="K144" s="94"/>
    </row>
    <row r="145" spans="1:11" x14ac:dyDescent="0.25">
      <c r="A145" s="79"/>
      <c r="B145" s="21" t="str">
        <f>IF(A145="","",IFERROR(VLOOKUP(A145,DB_Customers!$A:$D,4,0),"❌ Account Not Found"))</f>
        <v/>
      </c>
      <c r="C145" s="80" t="str">
        <f>IF(A145="","",IFERROR(VLOOKUP(A145,DB_Customers!$A:$N,14,0),""))</f>
        <v/>
      </c>
      <c r="D145" s="81" t="str">
        <f t="shared" ca="1" si="12"/>
        <v/>
      </c>
      <c r="E145" s="82"/>
      <c r="F145" s="83" t="str">
        <f t="shared" si="13"/>
        <v/>
      </c>
      <c r="G145" s="23"/>
      <c r="H145" s="84"/>
      <c r="I145" s="85" t="str">
        <f>IF(A145="","Pending",IF(H145="","⚠️ Enter Code",IF(IFERROR(VLOOKUP(G145,DB_Agents!$B:$I,8,0),"")=H145,IF(AND(A145&lt;&gt;"",E145&lt;&gt;""),"Saved","Pending"),"🔒 BLOCKED — Wrong Code")))</f>
        <v>Pending</v>
      </c>
      <c r="J145" s="86" t="str">
        <f t="shared" ca="1" si="14"/>
        <v>—</v>
      </c>
      <c r="K145" s="87"/>
    </row>
    <row r="146" spans="1:11" x14ac:dyDescent="0.25">
      <c r="A146" s="88"/>
      <c r="B146" s="25" t="str">
        <f>IF(A146="","",IFERROR(VLOOKUP(A146,DB_Customers!$A:$D,4,0),"❌ Account Not Found"))</f>
        <v/>
      </c>
      <c r="C146" s="89" t="str">
        <f>IF(A146="","",IFERROR(VLOOKUP(A146,DB_Customers!$A:$N,14,0),""))</f>
        <v/>
      </c>
      <c r="D146" s="90" t="str">
        <f t="shared" ca="1" si="12"/>
        <v/>
      </c>
      <c r="E146" s="82"/>
      <c r="F146" s="91" t="str">
        <f t="shared" si="13"/>
        <v/>
      </c>
      <c r="G146" s="27"/>
      <c r="H146" s="84"/>
      <c r="I146" s="92" t="str">
        <f>IF(A146="","Pending",IF(H146="","⚠️ Enter Code",IF(IFERROR(VLOOKUP(G146,DB_Agents!$B:$I,8,0),"")=H146,IF(AND(A146&lt;&gt;"",E146&lt;&gt;""),"Saved","Pending"),"🔒 BLOCKED — Wrong Code")))</f>
        <v>Pending</v>
      </c>
      <c r="J146" s="93" t="str">
        <f t="shared" ca="1" si="14"/>
        <v>—</v>
      </c>
      <c r="K146" s="94"/>
    </row>
    <row r="147" spans="1:11" x14ac:dyDescent="0.25">
      <c r="A147" s="79"/>
      <c r="B147" s="21" t="str">
        <f>IF(A147="","",IFERROR(VLOOKUP(A147,DB_Customers!$A:$D,4,0),"❌ Account Not Found"))</f>
        <v/>
      </c>
      <c r="C147" s="80" t="str">
        <f>IF(A147="","",IFERROR(VLOOKUP(A147,DB_Customers!$A:$N,14,0),""))</f>
        <v/>
      </c>
      <c r="D147" s="81" t="str">
        <f t="shared" ca="1" si="12"/>
        <v/>
      </c>
      <c r="E147" s="82"/>
      <c r="F147" s="83" t="str">
        <f t="shared" si="13"/>
        <v/>
      </c>
      <c r="G147" s="23"/>
      <c r="H147" s="84"/>
      <c r="I147" s="85" t="str">
        <f>IF(A147="","Pending",IF(H147="","⚠️ Enter Code",IF(IFERROR(VLOOKUP(G147,DB_Agents!$B:$I,8,0),"")=H147,IF(AND(A147&lt;&gt;"",E147&lt;&gt;""),"Saved","Pending"),"🔒 BLOCKED — Wrong Code")))</f>
        <v>Pending</v>
      </c>
      <c r="J147" s="86" t="str">
        <f t="shared" ca="1" si="14"/>
        <v>—</v>
      </c>
      <c r="K147" s="87"/>
    </row>
    <row r="148" spans="1:11" x14ac:dyDescent="0.25">
      <c r="A148" s="88"/>
      <c r="B148" s="25" t="str">
        <f>IF(A148="","",IFERROR(VLOOKUP(A148,DB_Customers!$A:$D,4,0),"❌ Account Not Found"))</f>
        <v/>
      </c>
      <c r="C148" s="89" t="str">
        <f>IF(A148="","",IFERROR(VLOOKUP(A148,DB_Customers!$A:$N,14,0),""))</f>
        <v/>
      </c>
      <c r="D148" s="90" t="str">
        <f t="shared" ca="1" si="12"/>
        <v/>
      </c>
      <c r="E148" s="82"/>
      <c r="F148" s="91" t="str">
        <f t="shared" si="13"/>
        <v/>
      </c>
      <c r="G148" s="27"/>
      <c r="H148" s="84"/>
      <c r="I148" s="92" t="str">
        <f>IF(A148="","Pending",IF(H148="","⚠️ Enter Code",IF(IFERROR(VLOOKUP(G148,DB_Agents!$B:$I,8,0),"")=H148,IF(AND(A148&lt;&gt;"",E148&lt;&gt;""),"Saved","Pending"),"🔒 BLOCKED — Wrong Code")))</f>
        <v>Pending</v>
      </c>
      <c r="J148" s="93" t="str">
        <f t="shared" ca="1" si="14"/>
        <v>—</v>
      </c>
      <c r="K148" s="94"/>
    </row>
    <row r="149" spans="1:11" x14ac:dyDescent="0.25">
      <c r="A149" s="79"/>
      <c r="B149" s="21" t="str">
        <f>IF(A149="","",IFERROR(VLOOKUP(A149,DB_Customers!$A:$D,4,0),"❌ Account Not Found"))</f>
        <v/>
      </c>
      <c r="C149" s="80" t="str">
        <f>IF(A149="","",IFERROR(VLOOKUP(A149,DB_Customers!$A:$N,14,0),""))</f>
        <v/>
      </c>
      <c r="D149" s="81" t="str">
        <f t="shared" ca="1" si="12"/>
        <v/>
      </c>
      <c r="E149" s="82"/>
      <c r="F149" s="83" t="str">
        <f t="shared" si="13"/>
        <v/>
      </c>
      <c r="G149" s="23"/>
      <c r="H149" s="84"/>
      <c r="I149" s="85" t="str">
        <f>IF(A149="","Pending",IF(H149="","⚠️ Enter Code",IF(IFERROR(VLOOKUP(G149,DB_Agents!$B:$I,8,0),"")=H149,IF(AND(A149&lt;&gt;"",E149&lt;&gt;""),"Saved","Pending"),"🔒 BLOCKED — Wrong Code")))</f>
        <v>Pending</v>
      </c>
      <c r="J149" s="86" t="str">
        <f t="shared" ca="1" si="14"/>
        <v>—</v>
      </c>
      <c r="K149" s="87"/>
    </row>
    <row r="150" spans="1:11" x14ac:dyDescent="0.25">
      <c r="A150" s="88"/>
      <c r="B150" s="25" t="str">
        <f>IF(A150="","",IFERROR(VLOOKUP(A150,DB_Customers!$A:$D,4,0),"❌ Account Not Found"))</f>
        <v/>
      </c>
      <c r="C150" s="89" t="str">
        <f>IF(A150="","",IFERROR(VLOOKUP(A150,DB_Customers!$A:$N,14,0),""))</f>
        <v/>
      </c>
      <c r="D150" s="90" t="str">
        <f t="shared" ca="1" si="12"/>
        <v/>
      </c>
      <c r="E150" s="82"/>
      <c r="F150" s="91" t="str">
        <f t="shared" si="13"/>
        <v/>
      </c>
      <c r="G150" s="27"/>
      <c r="H150" s="84"/>
      <c r="I150" s="92" t="str">
        <f>IF(A150="","Pending",IF(H150="","⚠️ Enter Code",IF(IFERROR(VLOOKUP(G150,DB_Agents!$B:$I,8,0),"")=H150,IF(AND(A150&lt;&gt;"",E150&lt;&gt;""),"Saved","Pending"),"🔒 BLOCKED — Wrong Code")))</f>
        <v>Pending</v>
      </c>
      <c r="J150" s="93" t="str">
        <f t="shared" ca="1" si="14"/>
        <v>—</v>
      </c>
      <c r="K150" s="94"/>
    </row>
    <row r="151" spans="1:11" x14ac:dyDescent="0.25">
      <c r="A151" s="79"/>
      <c r="B151" s="21" t="str">
        <f>IF(A151="","",IFERROR(VLOOKUP(A151,DB_Customers!$A:$D,4,0),"❌ Account Not Found"))</f>
        <v/>
      </c>
      <c r="C151" s="80" t="str">
        <f>IF(A151="","",IFERROR(VLOOKUP(A151,DB_Customers!$A:$N,14,0),""))</f>
        <v/>
      </c>
      <c r="D151" s="81" t="str">
        <f t="shared" ca="1" si="12"/>
        <v/>
      </c>
      <c r="E151" s="82"/>
      <c r="F151" s="83" t="str">
        <f t="shared" si="13"/>
        <v/>
      </c>
      <c r="G151" s="23"/>
      <c r="H151" s="84"/>
      <c r="I151" s="85" t="str">
        <f>IF(A151="","Pending",IF(H151="","⚠️ Enter Code",IF(IFERROR(VLOOKUP(G151,DB_Agents!$B:$I,8,0),"")=H151,IF(AND(A151&lt;&gt;"",E151&lt;&gt;""),"Saved","Pending"),"🔒 BLOCKED — Wrong Code")))</f>
        <v>Pending</v>
      </c>
      <c r="J151" s="86" t="str">
        <f t="shared" ca="1" si="14"/>
        <v>—</v>
      </c>
      <c r="K151" s="87"/>
    </row>
    <row r="152" spans="1:11" x14ac:dyDescent="0.25">
      <c r="A152" s="88"/>
      <c r="B152" s="25" t="str">
        <f>IF(A152="","",IFERROR(VLOOKUP(A152,DB_Customers!$A:$D,4,0),"❌ Account Not Found"))</f>
        <v/>
      </c>
      <c r="C152" s="89" t="str">
        <f>IF(A152="","",IFERROR(VLOOKUP(A152,DB_Customers!$A:$N,14,0),""))</f>
        <v/>
      </c>
      <c r="D152" s="90" t="str">
        <f t="shared" ca="1" si="12"/>
        <v/>
      </c>
      <c r="E152" s="82"/>
      <c r="F152" s="91" t="str">
        <f t="shared" si="13"/>
        <v/>
      </c>
      <c r="G152" s="27"/>
      <c r="H152" s="84"/>
      <c r="I152" s="92" t="str">
        <f>IF(A152="","Pending",IF(H152="","⚠️ Enter Code",IF(IFERROR(VLOOKUP(G152,DB_Agents!$B:$I,8,0),"")=H152,IF(AND(A152&lt;&gt;"",E152&lt;&gt;""),"Saved","Pending"),"🔒 BLOCKED — Wrong Code")))</f>
        <v>Pending</v>
      </c>
      <c r="J152" s="93" t="str">
        <f t="shared" ca="1" si="14"/>
        <v>—</v>
      </c>
      <c r="K152" s="94"/>
    </row>
    <row r="153" spans="1:11" x14ac:dyDescent="0.25">
      <c r="A153" s="79"/>
      <c r="B153" s="21" t="str">
        <f>IF(A153="","",IFERROR(VLOOKUP(A153,DB_Customers!$A:$D,4,0),"❌ Account Not Found"))</f>
        <v/>
      </c>
      <c r="C153" s="80" t="str">
        <f>IF(A153="","",IFERROR(VLOOKUP(A153,DB_Customers!$A:$N,14,0),""))</f>
        <v/>
      </c>
      <c r="D153" s="81" t="str">
        <f t="shared" ca="1" si="12"/>
        <v/>
      </c>
      <c r="E153" s="82"/>
      <c r="F153" s="83" t="str">
        <f t="shared" si="13"/>
        <v/>
      </c>
      <c r="G153" s="23"/>
      <c r="H153" s="84"/>
      <c r="I153" s="85" t="str">
        <f>IF(A153="","Pending",IF(H153="","⚠️ Enter Code",IF(IFERROR(VLOOKUP(G153,DB_Agents!$B:$I,8,0),"")=H153,IF(AND(A153&lt;&gt;"",E153&lt;&gt;""),"Saved","Pending"),"🔒 BLOCKED — Wrong Code")))</f>
        <v>Pending</v>
      </c>
      <c r="J153" s="86" t="str">
        <f t="shared" ca="1" si="14"/>
        <v>—</v>
      </c>
      <c r="K153" s="87"/>
    </row>
    <row r="154" spans="1:11" x14ac:dyDescent="0.25">
      <c r="A154" s="88"/>
      <c r="B154" s="25" t="str">
        <f>IF(A154="","",IFERROR(VLOOKUP(A154,DB_Customers!$A:$D,4,0),"❌ Account Not Found"))</f>
        <v/>
      </c>
      <c r="C154" s="89" t="str">
        <f>IF(A154="","",IFERROR(VLOOKUP(A154,DB_Customers!$A:$N,14,0),""))</f>
        <v/>
      </c>
      <c r="D154" s="90" t="str">
        <f t="shared" ca="1" si="12"/>
        <v/>
      </c>
      <c r="E154" s="82"/>
      <c r="F154" s="91" t="str">
        <f t="shared" si="13"/>
        <v/>
      </c>
      <c r="G154" s="27"/>
      <c r="H154" s="84"/>
      <c r="I154" s="92" t="str">
        <f>IF(A154="","Pending",IF(H154="","⚠️ Enter Code",IF(IFERROR(VLOOKUP(G154,DB_Agents!$B:$I,8,0),"")=H154,IF(AND(A154&lt;&gt;"",E154&lt;&gt;""),"Saved","Pending"),"🔒 BLOCKED — Wrong Code")))</f>
        <v>Pending</v>
      </c>
      <c r="J154" s="93" t="str">
        <f t="shared" ca="1" si="14"/>
        <v>—</v>
      </c>
      <c r="K154" s="94"/>
    </row>
    <row r="155" spans="1:11" x14ac:dyDescent="0.25">
      <c r="A155" s="79"/>
      <c r="B155" s="21" t="str">
        <f>IF(A155="","",IFERROR(VLOOKUP(A155,DB_Customers!$A:$D,4,0),"❌ Account Not Found"))</f>
        <v/>
      </c>
      <c r="C155" s="80" t="str">
        <f>IF(A155="","",IFERROR(VLOOKUP(A155,DB_Customers!$A:$N,14,0),""))</f>
        <v/>
      </c>
      <c r="D155" s="81" t="str">
        <f t="shared" ca="1" si="12"/>
        <v/>
      </c>
      <c r="E155" s="82"/>
      <c r="F155" s="83" t="str">
        <f t="shared" si="13"/>
        <v/>
      </c>
      <c r="G155" s="23"/>
      <c r="H155" s="84"/>
      <c r="I155" s="85" t="str">
        <f>IF(A155="","Pending",IF(H155="","⚠️ Enter Code",IF(IFERROR(VLOOKUP(G155,DB_Agents!$B:$I,8,0),"")=H155,IF(AND(A155&lt;&gt;"",E155&lt;&gt;""),"Saved","Pending"),"🔒 BLOCKED — Wrong Code")))</f>
        <v>Pending</v>
      </c>
      <c r="J155" s="86" t="str">
        <f t="shared" ca="1" si="14"/>
        <v>—</v>
      </c>
      <c r="K155" s="87"/>
    </row>
    <row r="156" spans="1:11" x14ac:dyDescent="0.25">
      <c r="A156" s="88"/>
      <c r="B156" s="25" t="str">
        <f>IF(A156="","",IFERROR(VLOOKUP(A156,DB_Customers!$A:$D,4,0),"❌ Account Not Found"))</f>
        <v/>
      </c>
      <c r="C156" s="89" t="str">
        <f>IF(A156="","",IFERROR(VLOOKUP(A156,DB_Customers!$A:$N,14,0),""))</f>
        <v/>
      </c>
      <c r="D156" s="90" t="str">
        <f t="shared" ca="1" si="12"/>
        <v/>
      </c>
      <c r="E156" s="82"/>
      <c r="F156" s="91" t="str">
        <f t="shared" si="13"/>
        <v/>
      </c>
      <c r="G156" s="27"/>
      <c r="H156" s="84"/>
      <c r="I156" s="92" t="str">
        <f>IF(A156="","Pending",IF(H156="","⚠️ Enter Code",IF(IFERROR(VLOOKUP(G156,DB_Agents!$B:$I,8,0),"")=H156,IF(AND(A156&lt;&gt;"",E156&lt;&gt;""),"Saved","Pending"),"🔒 BLOCKED — Wrong Code")))</f>
        <v>Pending</v>
      </c>
      <c r="J156" s="93" t="str">
        <f t="shared" ca="1" si="14"/>
        <v>—</v>
      </c>
      <c r="K156" s="94"/>
    </row>
    <row r="157" spans="1:11" x14ac:dyDescent="0.25">
      <c r="A157" s="79"/>
      <c r="B157" s="21" t="str">
        <f>IF(A157="","",IFERROR(VLOOKUP(A157,DB_Customers!$A:$D,4,0),"❌ Account Not Found"))</f>
        <v/>
      </c>
      <c r="C157" s="80" t="str">
        <f>IF(A157="","",IFERROR(VLOOKUP(A157,DB_Customers!$A:$N,14,0),""))</f>
        <v/>
      </c>
      <c r="D157" s="81" t="str">
        <f t="shared" ca="1" si="12"/>
        <v/>
      </c>
      <c r="E157" s="82"/>
      <c r="F157" s="83" t="str">
        <f t="shared" si="13"/>
        <v/>
      </c>
      <c r="G157" s="23"/>
      <c r="H157" s="84"/>
      <c r="I157" s="85" t="str">
        <f>IF(A157="","Pending",IF(H157="","⚠️ Enter Code",IF(IFERROR(VLOOKUP(G157,DB_Agents!$B:$I,8,0),"")=H157,IF(AND(A157&lt;&gt;"",E157&lt;&gt;""),"Saved","Pending"),"🔒 BLOCKED — Wrong Code")))</f>
        <v>Pending</v>
      </c>
      <c r="J157" s="86" t="str">
        <f t="shared" ca="1" si="14"/>
        <v>—</v>
      </c>
      <c r="K157" s="87"/>
    </row>
    <row r="158" spans="1:11" x14ac:dyDescent="0.25">
      <c r="A158" s="88"/>
      <c r="B158" s="25" t="str">
        <f>IF(A158="","",IFERROR(VLOOKUP(A158,DB_Customers!$A:$D,4,0),"❌ Account Not Found"))</f>
        <v/>
      </c>
      <c r="C158" s="89" t="str">
        <f>IF(A158="","",IFERROR(VLOOKUP(A158,DB_Customers!$A:$N,14,0),""))</f>
        <v/>
      </c>
      <c r="D158" s="90" t="str">
        <f t="shared" ca="1" si="12"/>
        <v/>
      </c>
      <c r="E158" s="82"/>
      <c r="F158" s="91" t="str">
        <f t="shared" si="13"/>
        <v/>
      </c>
      <c r="G158" s="27"/>
      <c r="H158" s="84"/>
      <c r="I158" s="92" t="str">
        <f>IF(A158="","Pending",IF(H158="","⚠️ Enter Code",IF(IFERROR(VLOOKUP(G158,DB_Agents!$B:$I,8,0),"")=H158,IF(AND(A158&lt;&gt;"",E158&lt;&gt;""),"Saved","Pending"),"🔒 BLOCKED — Wrong Code")))</f>
        <v>Pending</v>
      </c>
      <c r="J158" s="93" t="str">
        <f t="shared" ca="1" si="14"/>
        <v>—</v>
      </c>
      <c r="K158" s="94"/>
    </row>
    <row r="159" spans="1:11" x14ac:dyDescent="0.25">
      <c r="A159" s="79"/>
      <c r="B159" s="21" t="str">
        <f>IF(A159="","",IFERROR(VLOOKUP(A159,DB_Customers!$A:$D,4,0),"❌ Account Not Found"))</f>
        <v/>
      </c>
      <c r="C159" s="80" t="str">
        <f>IF(A159="","",IFERROR(VLOOKUP(A159,DB_Customers!$A:$N,14,0),""))</f>
        <v/>
      </c>
      <c r="D159" s="81" t="str">
        <f t="shared" ca="1" si="12"/>
        <v/>
      </c>
      <c r="E159" s="82"/>
      <c r="F159" s="83" t="str">
        <f t="shared" si="13"/>
        <v/>
      </c>
      <c r="G159" s="23"/>
      <c r="H159" s="84"/>
      <c r="I159" s="85" t="str">
        <f>IF(A159="","Pending",IF(H159="","⚠️ Enter Code",IF(IFERROR(VLOOKUP(G159,DB_Agents!$B:$I,8,0),"")=H159,IF(AND(A159&lt;&gt;"",E159&lt;&gt;""),"Saved","Pending"),"🔒 BLOCKED — Wrong Code")))</f>
        <v>Pending</v>
      </c>
      <c r="J159" s="86" t="str">
        <f t="shared" ca="1" si="14"/>
        <v>—</v>
      </c>
      <c r="K159" s="87"/>
    </row>
    <row r="160" spans="1:11" x14ac:dyDescent="0.25">
      <c r="A160" s="88"/>
      <c r="B160" s="25" t="str">
        <f>IF(A160="","",IFERROR(VLOOKUP(A160,DB_Customers!$A:$D,4,0),"❌ Account Not Found"))</f>
        <v/>
      </c>
      <c r="C160" s="89" t="str">
        <f>IF(A160="","",IFERROR(VLOOKUP(A160,DB_Customers!$A:$N,14,0),""))</f>
        <v/>
      </c>
      <c r="D160" s="90" t="str">
        <f t="shared" ca="1" si="12"/>
        <v/>
      </c>
      <c r="E160" s="82"/>
      <c r="F160" s="91" t="str">
        <f t="shared" si="13"/>
        <v/>
      </c>
      <c r="G160" s="27"/>
      <c r="H160" s="84"/>
      <c r="I160" s="92" t="str">
        <f>IF(A160="","Pending",IF(H160="","⚠️ Enter Code",IF(IFERROR(VLOOKUP(G160,DB_Agents!$B:$I,8,0),"")=H160,IF(AND(A160&lt;&gt;"",E160&lt;&gt;""),"Saved","Pending"),"🔒 BLOCKED — Wrong Code")))</f>
        <v>Pending</v>
      </c>
      <c r="J160" s="93" t="str">
        <f t="shared" ca="1" si="14"/>
        <v>—</v>
      </c>
      <c r="K160" s="94"/>
    </row>
    <row r="161" spans="1:11" x14ac:dyDescent="0.25">
      <c r="A161" s="79"/>
      <c r="B161" s="21" t="str">
        <f>IF(A161="","",IFERROR(VLOOKUP(A161,DB_Customers!$A:$D,4,0),"❌ Account Not Found"))</f>
        <v/>
      </c>
      <c r="C161" s="80" t="str">
        <f>IF(A161="","",IFERROR(VLOOKUP(A161,DB_Customers!$A:$N,14,0),""))</f>
        <v/>
      </c>
      <c r="D161" s="81" t="str">
        <f t="shared" ca="1" si="12"/>
        <v/>
      </c>
      <c r="E161" s="82"/>
      <c r="F161" s="83" t="str">
        <f t="shared" si="13"/>
        <v/>
      </c>
      <c r="G161" s="23"/>
      <c r="H161" s="84"/>
      <c r="I161" s="85" t="str">
        <f>IF(A161="","Pending",IF(H161="","⚠️ Enter Code",IF(IFERROR(VLOOKUP(G161,DB_Agents!$B:$I,8,0),"")=H161,IF(AND(A161&lt;&gt;"",E161&lt;&gt;""),"Saved","Pending"),"🔒 BLOCKED — Wrong Code")))</f>
        <v>Pending</v>
      </c>
      <c r="J161" s="86" t="str">
        <f t="shared" ca="1" si="14"/>
        <v>—</v>
      </c>
      <c r="K161" s="87"/>
    </row>
    <row r="162" spans="1:11" x14ac:dyDescent="0.25">
      <c r="A162" s="88"/>
      <c r="B162" s="25" t="str">
        <f>IF(A162="","",IFERROR(VLOOKUP(A162,DB_Customers!$A:$D,4,0),"❌ Account Not Found"))</f>
        <v/>
      </c>
      <c r="C162" s="89" t="str">
        <f>IF(A162="","",IFERROR(VLOOKUP(A162,DB_Customers!$A:$N,14,0),""))</f>
        <v/>
      </c>
      <c r="D162" s="90" t="str">
        <f t="shared" ca="1" si="12"/>
        <v/>
      </c>
      <c r="E162" s="82"/>
      <c r="F162" s="91" t="str">
        <f t="shared" si="13"/>
        <v/>
      </c>
      <c r="G162" s="27"/>
      <c r="H162" s="84"/>
      <c r="I162" s="92" t="str">
        <f>IF(A162="","Pending",IF(H162="","⚠️ Enter Code",IF(IFERROR(VLOOKUP(G162,DB_Agents!$B:$I,8,0),"")=H162,IF(AND(A162&lt;&gt;"",E162&lt;&gt;""),"Saved","Pending"),"🔒 BLOCKED — Wrong Code")))</f>
        <v>Pending</v>
      </c>
      <c r="J162" s="93" t="str">
        <f t="shared" ca="1" si="14"/>
        <v>—</v>
      </c>
      <c r="K162" s="94"/>
    </row>
    <row r="163" spans="1:11" x14ac:dyDescent="0.25">
      <c r="A163" s="79"/>
      <c r="B163" s="21" t="str">
        <f>IF(A163="","",IFERROR(VLOOKUP(A163,DB_Customers!$A:$D,4,0),"❌ Account Not Found"))</f>
        <v/>
      </c>
      <c r="C163" s="80" t="str">
        <f>IF(A163="","",IFERROR(VLOOKUP(A163,DB_Customers!$A:$N,14,0),""))</f>
        <v/>
      </c>
      <c r="D163" s="81" t="str">
        <f t="shared" ca="1" si="12"/>
        <v/>
      </c>
      <c r="E163" s="82"/>
      <c r="F163" s="83" t="str">
        <f t="shared" si="13"/>
        <v/>
      </c>
      <c r="G163" s="23"/>
      <c r="H163" s="84"/>
      <c r="I163" s="85" t="str">
        <f>IF(A163="","Pending",IF(H163="","⚠️ Enter Code",IF(IFERROR(VLOOKUP(G163,DB_Agents!$B:$I,8,0),"")=H163,IF(AND(A163&lt;&gt;"",E163&lt;&gt;""),"Saved","Pending"),"🔒 BLOCKED — Wrong Code")))</f>
        <v>Pending</v>
      </c>
      <c r="J163" s="86" t="str">
        <f t="shared" ca="1" si="14"/>
        <v>—</v>
      </c>
      <c r="K163" s="87"/>
    </row>
    <row r="164" spans="1:11" x14ac:dyDescent="0.25">
      <c r="A164" s="88"/>
      <c r="B164" s="25" t="str">
        <f>IF(A164="","",IFERROR(VLOOKUP(A164,DB_Customers!$A:$D,4,0),"❌ Account Not Found"))</f>
        <v/>
      </c>
      <c r="C164" s="89" t="str">
        <f>IF(A164="","",IFERROR(VLOOKUP(A164,DB_Customers!$A:$N,14,0),""))</f>
        <v/>
      </c>
      <c r="D164" s="90" t="str">
        <f t="shared" ca="1" si="12"/>
        <v/>
      </c>
      <c r="E164" s="82"/>
      <c r="F164" s="91" t="str">
        <f t="shared" si="13"/>
        <v/>
      </c>
      <c r="G164" s="27"/>
      <c r="H164" s="84"/>
      <c r="I164" s="92" t="str">
        <f>IF(A164="","Pending",IF(H164="","⚠️ Enter Code",IF(IFERROR(VLOOKUP(G164,DB_Agents!$B:$I,8,0),"")=H164,IF(AND(A164&lt;&gt;"",E164&lt;&gt;""),"Saved","Pending"),"🔒 BLOCKED — Wrong Code")))</f>
        <v>Pending</v>
      </c>
      <c r="J164" s="93" t="str">
        <f t="shared" ca="1" si="14"/>
        <v>—</v>
      </c>
      <c r="K164" s="94"/>
    </row>
    <row r="165" spans="1:11" x14ac:dyDescent="0.25">
      <c r="A165" s="79"/>
      <c r="B165" s="21" t="str">
        <f>IF(A165="","",IFERROR(VLOOKUP(A165,DB_Customers!$A:$D,4,0),"❌ Account Not Found"))</f>
        <v/>
      </c>
      <c r="C165" s="80" t="str">
        <f>IF(A165="","",IFERROR(VLOOKUP(A165,DB_Customers!$A:$N,14,0),""))</f>
        <v/>
      </c>
      <c r="D165" s="81" t="str">
        <f t="shared" ca="1" si="12"/>
        <v/>
      </c>
      <c r="E165" s="82"/>
      <c r="F165" s="83" t="str">
        <f t="shared" si="13"/>
        <v/>
      </c>
      <c r="G165" s="23"/>
      <c r="H165" s="84"/>
      <c r="I165" s="85" t="str">
        <f>IF(A165="","Pending",IF(H165="","⚠️ Enter Code",IF(IFERROR(VLOOKUP(G165,DB_Agents!$B:$I,8,0),"")=H165,IF(AND(A165&lt;&gt;"",E165&lt;&gt;""),"Saved","Pending"),"🔒 BLOCKED — Wrong Code")))</f>
        <v>Pending</v>
      </c>
      <c r="J165" s="86" t="str">
        <f t="shared" ca="1" si="14"/>
        <v>—</v>
      </c>
      <c r="K165" s="87"/>
    </row>
    <row r="166" spans="1:11" x14ac:dyDescent="0.25">
      <c r="A166" s="88"/>
      <c r="B166" s="25" t="str">
        <f>IF(A166="","",IFERROR(VLOOKUP(A166,DB_Customers!$A:$D,4,0),"❌ Account Not Found"))</f>
        <v/>
      </c>
      <c r="C166" s="89" t="str">
        <f>IF(A166="","",IFERROR(VLOOKUP(A166,DB_Customers!$A:$N,14,0),""))</f>
        <v/>
      </c>
      <c r="D166" s="90" t="str">
        <f t="shared" ca="1" si="12"/>
        <v/>
      </c>
      <c r="E166" s="82"/>
      <c r="F166" s="91" t="str">
        <f t="shared" si="13"/>
        <v/>
      </c>
      <c r="G166" s="27"/>
      <c r="H166" s="84"/>
      <c r="I166" s="92" t="str">
        <f>IF(A166="","Pending",IF(H166="","⚠️ Enter Code",IF(IFERROR(VLOOKUP(G166,DB_Agents!$B:$I,8,0),"")=H166,IF(AND(A166&lt;&gt;"",E166&lt;&gt;""),"Saved","Pending"),"🔒 BLOCKED — Wrong Code")))</f>
        <v>Pending</v>
      </c>
      <c r="J166" s="93" t="str">
        <f t="shared" ca="1" si="14"/>
        <v>—</v>
      </c>
      <c r="K166" s="94"/>
    </row>
    <row r="167" spans="1:11" x14ac:dyDescent="0.25">
      <c r="A167" s="79"/>
      <c r="B167" s="21" t="str">
        <f>IF(A167="","",IFERROR(VLOOKUP(A167,DB_Customers!$A:$D,4,0),"❌ Account Not Found"))</f>
        <v/>
      </c>
      <c r="C167" s="80" t="str">
        <f>IF(A167="","",IFERROR(VLOOKUP(A167,DB_Customers!$A:$N,14,0),""))</f>
        <v/>
      </c>
      <c r="D167" s="81" t="str">
        <f t="shared" ca="1" si="12"/>
        <v/>
      </c>
      <c r="E167" s="82"/>
      <c r="F167" s="83" t="str">
        <f t="shared" si="13"/>
        <v/>
      </c>
      <c r="G167" s="23"/>
      <c r="H167" s="84"/>
      <c r="I167" s="85" t="str">
        <f>IF(A167="","Pending",IF(H167="","⚠️ Enter Code",IF(IFERROR(VLOOKUP(G167,DB_Agents!$B:$I,8,0),"")=H167,IF(AND(A167&lt;&gt;"",E167&lt;&gt;""),"Saved","Pending"),"🔒 BLOCKED — Wrong Code")))</f>
        <v>Pending</v>
      </c>
      <c r="J167" s="86" t="str">
        <f t="shared" ca="1" si="14"/>
        <v>—</v>
      </c>
      <c r="K167" s="87"/>
    </row>
    <row r="168" spans="1:11" x14ac:dyDescent="0.25">
      <c r="A168" s="88"/>
      <c r="B168" s="25" t="str">
        <f>IF(A168="","",IFERROR(VLOOKUP(A168,DB_Customers!$A:$D,4,0),"❌ Account Not Found"))</f>
        <v/>
      </c>
      <c r="C168" s="89" t="str">
        <f>IF(A168="","",IFERROR(VLOOKUP(A168,DB_Customers!$A:$N,14,0),""))</f>
        <v/>
      </c>
      <c r="D168" s="90" t="str">
        <f t="shared" ca="1" si="12"/>
        <v/>
      </c>
      <c r="E168" s="82"/>
      <c r="F168" s="91" t="str">
        <f t="shared" si="13"/>
        <v/>
      </c>
      <c r="G168" s="27"/>
      <c r="H168" s="84"/>
      <c r="I168" s="92" t="str">
        <f>IF(A168="","Pending",IF(H168="","⚠️ Enter Code",IF(IFERROR(VLOOKUP(G168,DB_Agents!$B:$I,8,0),"")=H168,IF(AND(A168&lt;&gt;"",E168&lt;&gt;""),"Saved","Pending"),"🔒 BLOCKED — Wrong Code")))</f>
        <v>Pending</v>
      </c>
      <c r="J168" s="93" t="str">
        <f t="shared" ca="1" si="14"/>
        <v>—</v>
      </c>
      <c r="K168" s="94"/>
    </row>
    <row r="169" spans="1:11" x14ac:dyDescent="0.25">
      <c r="A169" s="79"/>
      <c r="B169" s="21" t="str">
        <f>IF(A169="","",IFERROR(VLOOKUP(A169,DB_Customers!$A:$D,4,0),"❌ Account Not Found"))</f>
        <v/>
      </c>
      <c r="C169" s="80" t="str">
        <f>IF(A169="","",IFERROR(VLOOKUP(A169,DB_Customers!$A:$N,14,0),""))</f>
        <v/>
      </c>
      <c r="D169" s="81" t="str">
        <f t="shared" ref="D169:D200" ca="1" si="15">IF(A169="","",TODAY())</f>
        <v/>
      </c>
      <c r="E169" s="82"/>
      <c r="F169" s="83" t="str">
        <f t="shared" ref="F169:F200" si="16">IF(OR(A169="",E169=""),"",IF(C169="","",C169+E169))</f>
        <v/>
      </c>
      <c r="G169" s="23"/>
      <c r="H169" s="84"/>
      <c r="I169" s="85" t="str">
        <f>IF(A169="","Pending",IF(H169="","⚠️ Enter Code",IF(IFERROR(VLOOKUP(G169,DB_Agents!$B:$I,8,0),"")=H169,IF(AND(A169&lt;&gt;"",E169&lt;&gt;""),"Saved","Pending"),"🔒 BLOCKED — Wrong Code")))</f>
        <v>Pending</v>
      </c>
      <c r="J169" s="86" t="str">
        <f t="shared" ref="J169:J200" ca="1" si="17">IF(I169="Saved",TEXT(TODAY(),"YYYY-MM-DD")&amp;" Auto","—")</f>
        <v>—</v>
      </c>
      <c r="K169" s="87"/>
    </row>
    <row r="170" spans="1:11" x14ac:dyDescent="0.25">
      <c r="A170" s="88"/>
      <c r="B170" s="25" t="str">
        <f>IF(A170="","",IFERROR(VLOOKUP(A170,DB_Customers!$A:$D,4,0),"❌ Account Not Found"))</f>
        <v/>
      </c>
      <c r="C170" s="89" t="str">
        <f>IF(A170="","",IFERROR(VLOOKUP(A170,DB_Customers!$A:$N,14,0),""))</f>
        <v/>
      </c>
      <c r="D170" s="90" t="str">
        <f t="shared" ca="1" si="15"/>
        <v/>
      </c>
      <c r="E170" s="82"/>
      <c r="F170" s="91" t="str">
        <f t="shared" si="16"/>
        <v/>
      </c>
      <c r="G170" s="27"/>
      <c r="H170" s="84"/>
      <c r="I170" s="92" t="str">
        <f>IF(A170="","Pending",IF(H170="","⚠️ Enter Code",IF(IFERROR(VLOOKUP(G170,DB_Agents!$B:$I,8,0),"")=H170,IF(AND(A170&lt;&gt;"",E170&lt;&gt;""),"Saved","Pending"),"🔒 BLOCKED — Wrong Code")))</f>
        <v>Pending</v>
      </c>
      <c r="J170" s="93" t="str">
        <f t="shared" ca="1" si="17"/>
        <v>—</v>
      </c>
      <c r="K170" s="94"/>
    </row>
    <row r="171" spans="1:11" x14ac:dyDescent="0.25">
      <c r="A171" s="79"/>
      <c r="B171" s="21" t="str">
        <f>IF(A171="","",IFERROR(VLOOKUP(A171,DB_Customers!$A:$D,4,0),"❌ Account Not Found"))</f>
        <v/>
      </c>
      <c r="C171" s="80" t="str">
        <f>IF(A171="","",IFERROR(VLOOKUP(A171,DB_Customers!$A:$N,14,0),""))</f>
        <v/>
      </c>
      <c r="D171" s="81" t="str">
        <f t="shared" ca="1" si="15"/>
        <v/>
      </c>
      <c r="E171" s="82"/>
      <c r="F171" s="83" t="str">
        <f t="shared" si="16"/>
        <v/>
      </c>
      <c r="G171" s="23"/>
      <c r="H171" s="84"/>
      <c r="I171" s="85" t="str">
        <f>IF(A171="","Pending",IF(H171="","⚠️ Enter Code",IF(IFERROR(VLOOKUP(G171,DB_Agents!$B:$I,8,0),"")=H171,IF(AND(A171&lt;&gt;"",E171&lt;&gt;""),"Saved","Pending"),"🔒 BLOCKED — Wrong Code")))</f>
        <v>Pending</v>
      </c>
      <c r="J171" s="86" t="str">
        <f t="shared" ca="1" si="17"/>
        <v>—</v>
      </c>
      <c r="K171" s="87"/>
    </row>
    <row r="172" spans="1:11" x14ac:dyDescent="0.25">
      <c r="A172" s="88"/>
      <c r="B172" s="25" t="str">
        <f>IF(A172="","",IFERROR(VLOOKUP(A172,DB_Customers!$A:$D,4,0),"❌ Account Not Found"))</f>
        <v/>
      </c>
      <c r="C172" s="89" t="str">
        <f>IF(A172="","",IFERROR(VLOOKUP(A172,DB_Customers!$A:$N,14,0),""))</f>
        <v/>
      </c>
      <c r="D172" s="90" t="str">
        <f t="shared" ca="1" si="15"/>
        <v/>
      </c>
      <c r="E172" s="82"/>
      <c r="F172" s="91" t="str">
        <f t="shared" si="16"/>
        <v/>
      </c>
      <c r="G172" s="27"/>
      <c r="H172" s="84"/>
      <c r="I172" s="92" t="str">
        <f>IF(A172="","Pending",IF(H172="","⚠️ Enter Code",IF(IFERROR(VLOOKUP(G172,DB_Agents!$B:$I,8,0),"")=H172,IF(AND(A172&lt;&gt;"",E172&lt;&gt;""),"Saved","Pending"),"🔒 BLOCKED — Wrong Code")))</f>
        <v>Pending</v>
      </c>
      <c r="J172" s="93" t="str">
        <f t="shared" ca="1" si="17"/>
        <v>—</v>
      </c>
      <c r="K172" s="94"/>
    </row>
    <row r="173" spans="1:11" x14ac:dyDescent="0.25">
      <c r="A173" s="79"/>
      <c r="B173" s="21" t="str">
        <f>IF(A173="","",IFERROR(VLOOKUP(A173,DB_Customers!$A:$D,4,0),"❌ Account Not Found"))</f>
        <v/>
      </c>
      <c r="C173" s="80" t="str">
        <f>IF(A173="","",IFERROR(VLOOKUP(A173,DB_Customers!$A:$N,14,0),""))</f>
        <v/>
      </c>
      <c r="D173" s="81" t="str">
        <f t="shared" ca="1" si="15"/>
        <v/>
      </c>
      <c r="E173" s="82"/>
      <c r="F173" s="83" t="str">
        <f t="shared" si="16"/>
        <v/>
      </c>
      <c r="G173" s="23"/>
      <c r="H173" s="84"/>
      <c r="I173" s="85" t="str">
        <f>IF(A173="","Pending",IF(H173="","⚠️ Enter Code",IF(IFERROR(VLOOKUP(G173,DB_Agents!$B:$I,8,0),"")=H173,IF(AND(A173&lt;&gt;"",E173&lt;&gt;""),"Saved","Pending"),"🔒 BLOCKED — Wrong Code")))</f>
        <v>Pending</v>
      </c>
      <c r="J173" s="86" t="str">
        <f t="shared" ca="1" si="17"/>
        <v>—</v>
      </c>
      <c r="K173" s="87"/>
    </row>
    <row r="174" spans="1:11" x14ac:dyDescent="0.25">
      <c r="A174" s="88"/>
      <c r="B174" s="25" t="str">
        <f>IF(A174="","",IFERROR(VLOOKUP(A174,DB_Customers!$A:$D,4,0),"❌ Account Not Found"))</f>
        <v/>
      </c>
      <c r="C174" s="89" t="str">
        <f>IF(A174="","",IFERROR(VLOOKUP(A174,DB_Customers!$A:$N,14,0),""))</f>
        <v/>
      </c>
      <c r="D174" s="90" t="str">
        <f t="shared" ca="1" si="15"/>
        <v/>
      </c>
      <c r="E174" s="82"/>
      <c r="F174" s="91" t="str">
        <f t="shared" si="16"/>
        <v/>
      </c>
      <c r="G174" s="27"/>
      <c r="H174" s="84"/>
      <c r="I174" s="92" t="str">
        <f>IF(A174="","Pending",IF(H174="","⚠️ Enter Code",IF(IFERROR(VLOOKUP(G174,DB_Agents!$B:$I,8,0),"")=H174,IF(AND(A174&lt;&gt;"",E174&lt;&gt;""),"Saved","Pending"),"🔒 BLOCKED — Wrong Code")))</f>
        <v>Pending</v>
      </c>
      <c r="J174" s="93" t="str">
        <f t="shared" ca="1" si="17"/>
        <v>—</v>
      </c>
      <c r="K174" s="94"/>
    </row>
    <row r="175" spans="1:11" x14ac:dyDescent="0.25">
      <c r="A175" s="79"/>
      <c r="B175" s="21" t="str">
        <f>IF(A175="","",IFERROR(VLOOKUP(A175,DB_Customers!$A:$D,4,0),"❌ Account Not Found"))</f>
        <v/>
      </c>
      <c r="C175" s="80" t="str">
        <f>IF(A175="","",IFERROR(VLOOKUP(A175,DB_Customers!$A:$N,14,0),""))</f>
        <v/>
      </c>
      <c r="D175" s="81" t="str">
        <f t="shared" ca="1" si="15"/>
        <v/>
      </c>
      <c r="E175" s="82"/>
      <c r="F175" s="83" t="str">
        <f t="shared" si="16"/>
        <v/>
      </c>
      <c r="G175" s="23"/>
      <c r="H175" s="84"/>
      <c r="I175" s="85" t="str">
        <f>IF(A175="","Pending",IF(H175="","⚠️ Enter Code",IF(IFERROR(VLOOKUP(G175,DB_Agents!$B:$I,8,0),"")=H175,IF(AND(A175&lt;&gt;"",E175&lt;&gt;""),"Saved","Pending"),"🔒 BLOCKED — Wrong Code")))</f>
        <v>Pending</v>
      </c>
      <c r="J175" s="86" t="str">
        <f t="shared" ca="1" si="17"/>
        <v>—</v>
      </c>
      <c r="K175" s="87"/>
    </row>
    <row r="176" spans="1:11" x14ac:dyDescent="0.25">
      <c r="A176" s="88"/>
      <c r="B176" s="25" t="str">
        <f>IF(A176="","",IFERROR(VLOOKUP(A176,DB_Customers!$A:$D,4,0),"❌ Account Not Found"))</f>
        <v/>
      </c>
      <c r="C176" s="89" t="str">
        <f>IF(A176="","",IFERROR(VLOOKUP(A176,DB_Customers!$A:$N,14,0),""))</f>
        <v/>
      </c>
      <c r="D176" s="90" t="str">
        <f t="shared" ca="1" si="15"/>
        <v/>
      </c>
      <c r="E176" s="82"/>
      <c r="F176" s="91" t="str">
        <f t="shared" si="16"/>
        <v/>
      </c>
      <c r="G176" s="27"/>
      <c r="H176" s="84"/>
      <c r="I176" s="92" t="str">
        <f>IF(A176="","Pending",IF(H176="","⚠️ Enter Code",IF(IFERROR(VLOOKUP(G176,DB_Agents!$B:$I,8,0),"")=H176,IF(AND(A176&lt;&gt;"",E176&lt;&gt;""),"Saved","Pending"),"🔒 BLOCKED — Wrong Code")))</f>
        <v>Pending</v>
      </c>
      <c r="J176" s="93" t="str">
        <f t="shared" ca="1" si="17"/>
        <v>—</v>
      </c>
      <c r="K176" s="94"/>
    </row>
    <row r="177" spans="1:11" x14ac:dyDescent="0.25">
      <c r="A177" s="79"/>
      <c r="B177" s="21" t="str">
        <f>IF(A177="","",IFERROR(VLOOKUP(A177,DB_Customers!$A:$D,4,0),"❌ Account Not Found"))</f>
        <v/>
      </c>
      <c r="C177" s="80" t="str">
        <f>IF(A177="","",IFERROR(VLOOKUP(A177,DB_Customers!$A:$N,14,0),""))</f>
        <v/>
      </c>
      <c r="D177" s="81" t="str">
        <f t="shared" ca="1" si="15"/>
        <v/>
      </c>
      <c r="E177" s="82"/>
      <c r="F177" s="83" t="str">
        <f t="shared" si="16"/>
        <v/>
      </c>
      <c r="G177" s="23"/>
      <c r="H177" s="84"/>
      <c r="I177" s="85" t="str">
        <f>IF(A177="","Pending",IF(H177="","⚠️ Enter Code",IF(IFERROR(VLOOKUP(G177,DB_Agents!$B:$I,8,0),"")=H177,IF(AND(A177&lt;&gt;"",E177&lt;&gt;""),"Saved","Pending"),"🔒 BLOCKED — Wrong Code")))</f>
        <v>Pending</v>
      </c>
      <c r="J177" s="86" t="str">
        <f t="shared" ca="1" si="17"/>
        <v>—</v>
      </c>
      <c r="K177" s="87"/>
    </row>
    <row r="178" spans="1:11" x14ac:dyDescent="0.25">
      <c r="A178" s="88"/>
      <c r="B178" s="25" t="str">
        <f>IF(A178="","",IFERROR(VLOOKUP(A178,DB_Customers!$A:$D,4,0),"❌ Account Not Found"))</f>
        <v/>
      </c>
      <c r="C178" s="89" t="str">
        <f>IF(A178="","",IFERROR(VLOOKUP(A178,DB_Customers!$A:$N,14,0),""))</f>
        <v/>
      </c>
      <c r="D178" s="90" t="str">
        <f t="shared" ca="1" si="15"/>
        <v/>
      </c>
      <c r="E178" s="82"/>
      <c r="F178" s="91" t="str">
        <f t="shared" si="16"/>
        <v/>
      </c>
      <c r="G178" s="27"/>
      <c r="H178" s="84"/>
      <c r="I178" s="92" t="str">
        <f>IF(A178="","Pending",IF(H178="","⚠️ Enter Code",IF(IFERROR(VLOOKUP(G178,DB_Agents!$B:$I,8,0),"")=H178,IF(AND(A178&lt;&gt;"",E178&lt;&gt;""),"Saved","Pending"),"🔒 BLOCKED — Wrong Code")))</f>
        <v>Pending</v>
      </c>
      <c r="J178" s="93" t="str">
        <f t="shared" ca="1" si="17"/>
        <v>—</v>
      </c>
      <c r="K178" s="94"/>
    </row>
    <row r="179" spans="1:11" x14ac:dyDescent="0.25">
      <c r="A179" s="79"/>
      <c r="B179" s="21" t="str">
        <f>IF(A179="","",IFERROR(VLOOKUP(A179,DB_Customers!$A:$D,4,0),"❌ Account Not Found"))</f>
        <v/>
      </c>
      <c r="C179" s="80" t="str">
        <f>IF(A179="","",IFERROR(VLOOKUP(A179,DB_Customers!$A:$N,14,0),""))</f>
        <v/>
      </c>
      <c r="D179" s="81" t="str">
        <f t="shared" ca="1" si="15"/>
        <v/>
      </c>
      <c r="E179" s="82"/>
      <c r="F179" s="83" t="str">
        <f t="shared" si="16"/>
        <v/>
      </c>
      <c r="G179" s="23"/>
      <c r="H179" s="84"/>
      <c r="I179" s="85" t="str">
        <f>IF(A179="","Pending",IF(H179="","⚠️ Enter Code",IF(IFERROR(VLOOKUP(G179,DB_Agents!$B:$I,8,0),"")=H179,IF(AND(A179&lt;&gt;"",E179&lt;&gt;""),"Saved","Pending"),"🔒 BLOCKED — Wrong Code")))</f>
        <v>Pending</v>
      </c>
      <c r="J179" s="86" t="str">
        <f t="shared" ca="1" si="17"/>
        <v>—</v>
      </c>
      <c r="K179" s="87"/>
    </row>
    <row r="180" spans="1:11" x14ac:dyDescent="0.25">
      <c r="A180" s="88"/>
      <c r="B180" s="25" t="str">
        <f>IF(A180="","",IFERROR(VLOOKUP(A180,DB_Customers!$A:$D,4,0),"❌ Account Not Found"))</f>
        <v/>
      </c>
      <c r="C180" s="89" t="str">
        <f>IF(A180="","",IFERROR(VLOOKUP(A180,DB_Customers!$A:$N,14,0),""))</f>
        <v/>
      </c>
      <c r="D180" s="90" t="str">
        <f t="shared" ca="1" si="15"/>
        <v/>
      </c>
      <c r="E180" s="82"/>
      <c r="F180" s="91" t="str">
        <f t="shared" si="16"/>
        <v/>
      </c>
      <c r="G180" s="27"/>
      <c r="H180" s="84"/>
      <c r="I180" s="92" t="str">
        <f>IF(A180="","Pending",IF(H180="","⚠️ Enter Code",IF(IFERROR(VLOOKUP(G180,DB_Agents!$B:$I,8,0),"")=H180,IF(AND(A180&lt;&gt;"",E180&lt;&gt;""),"Saved","Pending"),"🔒 BLOCKED — Wrong Code")))</f>
        <v>Pending</v>
      </c>
      <c r="J180" s="93" t="str">
        <f t="shared" ca="1" si="17"/>
        <v>—</v>
      </c>
      <c r="K180" s="94"/>
    </row>
    <row r="181" spans="1:11" x14ac:dyDescent="0.25">
      <c r="A181" s="79"/>
      <c r="B181" s="21" t="str">
        <f>IF(A181="","",IFERROR(VLOOKUP(A181,DB_Customers!$A:$D,4,0),"❌ Account Not Found"))</f>
        <v/>
      </c>
      <c r="C181" s="80" t="str">
        <f>IF(A181="","",IFERROR(VLOOKUP(A181,DB_Customers!$A:$N,14,0),""))</f>
        <v/>
      </c>
      <c r="D181" s="81" t="str">
        <f t="shared" ca="1" si="15"/>
        <v/>
      </c>
      <c r="E181" s="82"/>
      <c r="F181" s="83" t="str">
        <f t="shared" si="16"/>
        <v/>
      </c>
      <c r="G181" s="23"/>
      <c r="H181" s="84"/>
      <c r="I181" s="85" t="str">
        <f>IF(A181="","Pending",IF(H181="","⚠️ Enter Code",IF(IFERROR(VLOOKUP(G181,DB_Agents!$B:$I,8,0),"")=H181,IF(AND(A181&lt;&gt;"",E181&lt;&gt;""),"Saved","Pending"),"🔒 BLOCKED — Wrong Code")))</f>
        <v>Pending</v>
      </c>
      <c r="J181" s="86" t="str">
        <f t="shared" ca="1" si="17"/>
        <v>—</v>
      </c>
      <c r="K181" s="87"/>
    </row>
    <row r="182" spans="1:11" x14ac:dyDescent="0.25">
      <c r="A182" s="88"/>
      <c r="B182" s="25" t="str">
        <f>IF(A182="","",IFERROR(VLOOKUP(A182,DB_Customers!$A:$D,4,0),"❌ Account Not Found"))</f>
        <v/>
      </c>
      <c r="C182" s="89" t="str">
        <f>IF(A182="","",IFERROR(VLOOKUP(A182,DB_Customers!$A:$N,14,0),""))</f>
        <v/>
      </c>
      <c r="D182" s="90" t="str">
        <f t="shared" ca="1" si="15"/>
        <v/>
      </c>
      <c r="E182" s="82"/>
      <c r="F182" s="91" t="str">
        <f t="shared" si="16"/>
        <v/>
      </c>
      <c r="G182" s="27"/>
      <c r="H182" s="84"/>
      <c r="I182" s="92" t="str">
        <f>IF(A182="","Pending",IF(H182="","⚠️ Enter Code",IF(IFERROR(VLOOKUP(G182,DB_Agents!$B:$I,8,0),"")=H182,IF(AND(A182&lt;&gt;"",E182&lt;&gt;""),"Saved","Pending"),"🔒 BLOCKED — Wrong Code")))</f>
        <v>Pending</v>
      </c>
      <c r="J182" s="93" t="str">
        <f t="shared" ca="1" si="17"/>
        <v>—</v>
      </c>
      <c r="K182" s="94"/>
    </row>
    <row r="183" spans="1:11" x14ac:dyDescent="0.25">
      <c r="A183" s="79"/>
      <c r="B183" s="21" t="str">
        <f>IF(A183="","",IFERROR(VLOOKUP(A183,DB_Customers!$A:$D,4,0),"❌ Account Not Found"))</f>
        <v/>
      </c>
      <c r="C183" s="80" t="str">
        <f>IF(A183="","",IFERROR(VLOOKUP(A183,DB_Customers!$A:$N,14,0),""))</f>
        <v/>
      </c>
      <c r="D183" s="81" t="str">
        <f t="shared" ca="1" si="15"/>
        <v/>
      </c>
      <c r="E183" s="82"/>
      <c r="F183" s="83" t="str">
        <f t="shared" si="16"/>
        <v/>
      </c>
      <c r="G183" s="23"/>
      <c r="H183" s="84"/>
      <c r="I183" s="85" t="str">
        <f>IF(A183="","Pending",IF(H183="","⚠️ Enter Code",IF(IFERROR(VLOOKUP(G183,DB_Agents!$B:$I,8,0),"")=H183,IF(AND(A183&lt;&gt;"",E183&lt;&gt;""),"Saved","Pending"),"🔒 BLOCKED — Wrong Code")))</f>
        <v>Pending</v>
      </c>
      <c r="J183" s="86" t="str">
        <f t="shared" ca="1" si="17"/>
        <v>—</v>
      </c>
      <c r="K183" s="87"/>
    </row>
    <row r="184" spans="1:11" x14ac:dyDescent="0.25">
      <c r="A184" s="88"/>
      <c r="B184" s="25" t="str">
        <f>IF(A184="","",IFERROR(VLOOKUP(A184,DB_Customers!$A:$D,4,0),"❌ Account Not Found"))</f>
        <v/>
      </c>
      <c r="C184" s="89" t="str">
        <f>IF(A184="","",IFERROR(VLOOKUP(A184,DB_Customers!$A:$N,14,0),""))</f>
        <v/>
      </c>
      <c r="D184" s="90" t="str">
        <f t="shared" ca="1" si="15"/>
        <v/>
      </c>
      <c r="E184" s="82"/>
      <c r="F184" s="91" t="str">
        <f t="shared" si="16"/>
        <v/>
      </c>
      <c r="G184" s="27"/>
      <c r="H184" s="84"/>
      <c r="I184" s="92" t="str">
        <f>IF(A184="","Pending",IF(H184="","⚠️ Enter Code",IF(IFERROR(VLOOKUP(G184,DB_Agents!$B:$I,8,0),"")=H184,IF(AND(A184&lt;&gt;"",E184&lt;&gt;""),"Saved","Pending"),"🔒 BLOCKED — Wrong Code")))</f>
        <v>Pending</v>
      </c>
      <c r="J184" s="93" t="str">
        <f t="shared" ca="1" si="17"/>
        <v>—</v>
      </c>
      <c r="K184" s="94"/>
    </row>
    <row r="185" spans="1:11" x14ac:dyDescent="0.25">
      <c r="A185" s="79"/>
      <c r="B185" s="21" t="str">
        <f>IF(A185="","",IFERROR(VLOOKUP(A185,DB_Customers!$A:$D,4,0),"❌ Account Not Found"))</f>
        <v/>
      </c>
      <c r="C185" s="80" t="str">
        <f>IF(A185="","",IFERROR(VLOOKUP(A185,DB_Customers!$A:$N,14,0),""))</f>
        <v/>
      </c>
      <c r="D185" s="81" t="str">
        <f t="shared" ca="1" si="15"/>
        <v/>
      </c>
      <c r="E185" s="82"/>
      <c r="F185" s="83" t="str">
        <f t="shared" si="16"/>
        <v/>
      </c>
      <c r="G185" s="23"/>
      <c r="H185" s="84"/>
      <c r="I185" s="85" t="str">
        <f>IF(A185="","Pending",IF(H185="","⚠️ Enter Code",IF(IFERROR(VLOOKUP(G185,DB_Agents!$B:$I,8,0),"")=H185,IF(AND(A185&lt;&gt;"",E185&lt;&gt;""),"Saved","Pending"),"🔒 BLOCKED — Wrong Code")))</f>
        <v>Pending</v>
      </c>
      <c r="J185" s="86" t="str">
        <f t="shared" ca="1" si="17"/>
        <v>—</v>
      </c>
      <c r="K185" s="87"/>
    </row>
    <row r="186" spans="1:11" x14ac:dyDescent="0.25">
      <c r="A186" s="88"/>
      <c r="B186" s="25" t="str">
        <f>IF(A186="","",IFERROR(VLOOKUP(A186,DB_Customers!$A:$D,4,0),"❌ Account Not Found"))</f>
        <v/>
      </c>
      <c r="C186" s="89" t="str">
        <f>IF(A186="","",IFERROR(VLOOKUP(A186,DB_Customers!$A:$N,14,0),""))</f>
        <v/>
      </c>
      <c r="D186" s="90" t="str">
        <f t="shared" ca="1" si="15"/>
        <v/>
      </c>
      <c r="E186" s="82"/>
      <c r="F186" s="91" t="str">
        <f t="shared" si="16"/>
        <v/>
      </c>
      <c r="G186" s="27"/>
      <c r="H186" s="84"/>
      <c r="I186" s="92" t="str">
        <f>IF(A186="","Pending",IF(H186="","⚠️ Enter Code",IF(IFERROR(VLOOKUP(G186,DB_Agents!$B:$I,8,0),"")=H186,IF(AND(A186&lt;&gt;"",E186&lt;&gt;""),"Saved","Pending"),"🔒 BLOCKED — Wrong Code")))</f>
        <v>Pending</v>
      </c>
      <c r="J186" s="93" t="str">
        <f t="shared" ca="1" si="17"/>
        <v>—</v>
      </c>
      <c r="K186" s="94"/>
    </row>
    <row r="187" spans="1:11" x14ac:dyDescent="0.25">
      <c r="A187" s="79"/>
      <c r="B187" s="21" t="str">
        <f>IF(A187="","",IFERROR(VLOOKUP(A187,DB_Customers!$A:$D,4,0),"❌ Account Not Found"))</f>
        <v/>
      </c>
      <c r="C187" s="80" t="str">
        <f>IF(A187="","",IFERROR(VLOOKUP(A187,DB_Customers!$A:$N,14,0),""))</f>
        <v/>
      </c>
      <c r="D187" s="81" t="str">
        <f t="shared" ca="1" si="15"/>
        <v/>
      </c>
      <c r="E187" s="82"/>
      <c r="F187" s="83" t="str">
        <f t="shared" si="16"/>
        <v/>
      </c>
      <c r="G187" s="23"/>
      <c r="H187" s="84"/>
      <c r="I187" s="85" t="str">
        <f>IF(A187="","Pending",IF(H187="","⚠️ Enter Code",IF(IFERROR(VLOOKUP(G187,DB_Agents!$B:$I,8,0),"")=H187,IF(AND(A187&lt;&gt;"",E187&lt;&gt;""),"Saved","Pending"),"🔒 BLOCKED — Wrong Code")))</f>
        <v>Pending</v>
      </c>
      <c r="J187" s="86" t="str">
        <f t="shared" ca="1" si="17"/>
        <v>—</v>
      </c>
      <c r="K187" s="87"/>
    </row>
    <row r="188" spans="1:11" x14ac:dyDescent="0.25">
      <c r="A188" s="88"/>
      <c r="B188" s="25" t="str">
        <f>IF(A188="","",IFERROR(VLOOKUP(A188,DB_Customers!$A:$D,4,0),"❌ Account Not Found"))</f>
        <v/>
      </c>
      <c r="C188" s="89" t="str">
        <f>IF(A188="","",IFERROR(VLOOKUP(A188,DB_Customers!$A:$N,14,0),""))</f>
        <v/>
      </c>
      <c r="D188" s="90" t="str">
        <f t="shared" ca="1" si="15"/>
        <v/>
      </c>
      <c r="E188" s="82"/>
      <c r="F188" s="91" t="str">
        <f t="shared" si="16"/>
        <v/>
      </c>
      <c r="G188" s="27"/>
      <c r="H188" s="84"/>
      <c r="I188" s="92" t="str">
        <f>IF(A188="","Pending",IF(H188="","⚠️ Enter Code",IF(IFERROR(VLOOKUP(G188,DB_Agents!$B:$I,8,0),"")=H188,IF(AND(A188&lt;&gt;"",E188&lt;&gt;""),"Saved","Pending"),"🔒 BLOCKED — Wrong Code")))</f>
        <v>Pending</v>
      </c>
      <c r="J188" s="93" t="str">
        <f t="shared" ca="1" si="17"/>
        <v>—</v>
      </c>
      <c r="K188" s="94"/>
    </row>
    <row r="189" spans="1:11" x14ac:dyDescent="0.25">
      <c r="A189" s="79"/>
      <c r="B189" s="21" t="str">
        <f>IF(A189="","",IFERROR(VLOOKUP(A189,DB_Customers!$A:$D,4,0),"❌ Account Not Found"))</f>
        <v/>
      </c>
      <c r="C189" s="80" t="str">
        <f>IF(A189="","",IFERROR(VLOOKUP(A189,DB_Customers!$A:$N,14,0),""))</f>
        <v/>
      </c>
      <c r="D189" s="81" t="str">
        <f t="shared" ca="1" si="15"/>
        <v/>
      </c>
      <c r="E189" s="82"/>
      <c r="F189" s="83" t="str">
        <f t="shared" si="16"/>
        <v/>
      </c>
      <c r="G189" s="23"/>
      <c r="H189" s="84"/>
      <c r="I189" s="85" t="str">
        <f>IF(A189="","Pending",IF(H189="","⚠️ Enter Code",IF(IFERROR(VLOOKUP(G189,DB_Agents!$B:$I,8,0),"")=H189,IF(AND(A189&lt;&gt;"",E189&lt;&gt;""),"Saved","Pending"),"🔒 BLOCKED — Wrong Code")))</f>
        <v>Pending</v>
      </c>
      <c r="J189" s="86" t="str">
        <f t="shared" ca="1" si="17"/>
        <v>—</v>
      </c>
      <c r="K189" s="87"/>
    </row>
    <row r="190" spans="1:11" x14ac:dyDescent="0.25">
      <c r="A190" s="88"/>
      <c r="B190" s="25" t="str">
        <f>IF(A190="","",IFERROR(VLOOKUP(A190,DB_Customers!$A:$D,4,0),"❌ Account Not Found"))</f>
        <v/>
      </c>
      <c r="C190" s="89" t="str">
        <f>IF(A190="","",IFERROR(VLOOKUP(A190,DB_Customers!$A:$N,14,0),""))</f>
        <v/>
      </c>
      <c r="D190" s="90" t="str">
        <f t="shared" ca="1" si="15"/>
        <v/>
      </c>
      <c r="E190" s="82"/>
      <c r="F190" s="91" t="str">
        <f t="shared" si="16"/>
        <v/>
      </c>
      <c r="G190" s="27"/>
      <c r="H190" s="84"/>
      <c r="I190" s="92" t="str">
        <f>IF(A190="","Pending",IF(H190="","⚠️ Enter Code",IF(IFERROR(VLOOKUP(G190,DB_Agents!$B:$I,8,0),"")=H190,IF(AND(A190&lt;&gt;"",E190&lt;&gt;""),"Saved","Pending"),"🔒 BLOCKED — Wrong Code")))</f>
        <v>Pending</v>
      </c>
      <c r="J190" s="93" t="str">
        <f t="shared" ca="1" si="17"/>
        <v>—</v>
      </c>
      <c r="K190" s="94"/>
    </row>
    <row r="191" spans="1:11" x14ac:dyDescent="0.25">
      <c r="A191" s="79"/>
      <c r="B191" s="21" t="str">
        <f>IF(A191="","",IFERROR(VLOOKUP(A191,DB_Customers!$A:$D,4,0),"❌ Account Not Found"))</f>
        <v/>
      </c>
      <c r="C191" s="80" t="str">
        <f>IF(A191="","",IFERROR(VLOOKUP(A191,DB_Customers!$A:$N,14,0),""))</f>
        <v/>
      </c>
      <c r="D191" s="81" t="str">
        <f t="shared" ca="1" si="15"/>
        <v/>
      </c>
      <c r="E191" s="82"/>
      <c r="F191" s="83" t="str">
        <f t="shared" si="16"/>
        <v/>
      </c>
      <c r="G191" s="23"/>
      <c r="H191" s="84"/>
      <c r="I191" s="85" t="str">
        <f>IF(A191="","Pending",IF(H191="","⚠️ Enter Code",IF(IFERROR(VLOOKUP(G191,DB_Agents!$B:$I,8,0),"")=H191,IF(AND(A191&lt;&gt;"",E191&lt;&gt;""),"Saved","Pending"),"🔒 BLOCKED — Wrong Code")))</f>
        <v>Pending</v>
      </c>
      <c r="J191" s="86" t="str">
        <f t="shared" ca="1" si="17"/>
        <v>—</v>
      </c>
      <c r="K191" s="87"/>
    </row>
    <row r="192" spans="1:11" x14ac:dyDescent="0.25">
      <c r="A192" s="88"/>
      <c r="B192" s="25" t="str">
        <f>IF(A192="","",IFERROR(VLOOKUP(A192,DB_Customers!$A:$D,4,0),"❌ Account Not Found"))</f>
        <v/>
      </c>
      <c r="C192" s="89" t="str">
        <f>IF(A192="","",IFERROR(VLOOKUP(A192,DB_Customers!$A:$N,14,0),""))</f>
        <v/>
      </c>
      <c r="D192" s="90" t="str">
        <f t="shared" ca="1" si="15"/>
        <v/>
      </c>
      <c r="E192" s="82"/>
      <c r="F192" s="91" t="str">
        <f t="shared" si="16"/>
        <v/>
      </c>
      <c r="G192" s="27"/>
      <c r="H192" s="84"/>
      <c r="I192" s="92" t="str">
        <f>IF(A192="","Pending",IF(H192="","⚠️ Enter Code",IF(IFERROR(VLOOKUP(G192,DB_Agents!$B:$I,8,0),"")=H192,IF(AND(A192&lt;&gt;"",E192&lt;&gt;""),"Saved","Pending"),"🔒 BLOCKED — Wrong Code")))</f>
        <v>Pending</v>
      </c>
      <c r="J192" s="93" t="str">
        <f t="shared" ca="1" si="17"/>
        <v>—</v>
      </c>
      <c r="K192" s="94"/>
    </row>
    <row r="193" spans="1:11" x14ac:dyDescent="0.25">
      <c r="A193" s="79"/>
      <c r="B193" s="21" t="str">
        <f>IF(A193="","",IFERROR(VLOOKUP(A193,DB_Customers!$A:$D,4,0),"❌ Account Not Found"))</f>
        <v/>
      </c>
      <c r="C193" s="80" t="str">
        <f>IF(A193="","",IFERROR(VLOOKUP(A193,DB_Customers!$A:$N,14,0),""))</f>
        <v/>
      </c>
      <c r="D193" s="81" t="str">
        <f t="shared" ca="1" si="15"/>
        <v/>
      </c>
      <c r="E193" s="82"/>
      <c r="F193" s="83" t="str">
        <f t="shared" si="16"/>
        <v/>
      </c>
      <c r="G193" s="23"/>
      <c r="H193" s="84"/>
      <c r="I193" s="85" t="str">
        <f>IF(A193="","Pending",IF(H193="","⚠️ Enter Code",IF(IFERROR(VLOOKUP(G193,DB_Agents!$B:$I,8,0),"")=H193,IF(AND(A193&lt;&gt;"",E193&lt;&gt;""),"Saved","Pending"),"🔒 BLOCKED — Wrong Code")))</f>
        <v>Pending</v>
      </c>
      <c r="J193" s="86" t="str">
        <f t="shared" ca="1" si="17"/>
        <v>—</v>
      </c>
      <c r="K193" s="87"/>
    </row>
    <row r="194" spans="1:11" x14ac:dyDescent="0.25">
      <c r="A194" s="88"/>
      <c r="B194" s="25" t="str">
        <f>IF(A194="","",IFERROR(VLOOKUP(A194,DB_Customers!$A:$D,4,0),"❌ Account Not Found"))</f>
        <v/>
      </c>
      <c r="C194" s="89" t="str">
        <f>IF(A194="","",IFERROR(VLOOKUP(A194,DB_Customers!$A:$N,14,0),""))</f>
        <v/>
      </c>
      <c r="D194" s="90" t="str">
        <f t="shared" ca="1" si="15"/>
        <v/>
      </c>
      <c r="E194" s="82"/>
      <c r="F194" s="91" t="str">
        <f t="shared" si="16"/>
        <v/>
      </c>
      <c r="G194" s="27"/>
      <c r="H194" s="84"/>
      <c r="I194" s="92" t="str">
        <f>IF(A194="","Pending",IF(H194="","⚠️ Enter Code",IF(IFERROR(VLOOKUP(G194,DB_Agents!$B:$I,8,0),"")=H194,IF(AND(A194&lt;&gt;"",E194&lt;&gt;""),"Saved","Pending"),"🔒 BLOCKED — Wrong Code")))</f>
        <v>Pending</v>
      </c>
      <c r="J194" s="93" t="str">
        <f t="shared" ca="1" si="17"/>
        <v>—</v>
      </c>
      <c r="K194" s="94"/>
    </row>
    <row r="195" spans="1:11" x14ac:dyDescent="0.25">
      <c r="A195" s="79"/>
      <c r="B195" s="21" t="str">
        <f>IF(A195="","",IFERROR(VLOOKUP(A195,DB_Customers!$A:$D,4,0),"❌ Account Not Found"))</f>
        <v/>
      </c>
      <c r="C195" s="80" t="str">
        <f>IF(A195="","",IFERROR(VLOOKUP(A195,DB_Customers!$A:$N,14,0),""))</f>
        <v/>
      </c>
      <c r="D195" s="81" t="str">
        <f t="shared" ca="1" si="15"/>
        <v/>
      </c>
      <c r="E195" s="82"/>
      <c r="F195" s="83" t="str">
        <f t="shared" si="16"/>
        <v/>
      </c>
      <c r="G195" s="23"/>
      <c r="H195" s="84"/>
      <c r="I195" s="85" t="str">
        <f>IF(A195="","Pending",IF(H195="","⚠️ Enter Code",IF(IFERROR(VLOOKUP(G195,DB_Agents!$B:$I,8,0),"")=H195,IF(AND(A195&lt;&gt;"",E195&lt;&gt;""),"Saved","Pending"),"🔒 BLOCKED — Wrong Code")))</f>
        <v>Pending</v>
      </c>
      <c r="J195" s="86" t="str">
        <f t="shared" ca="1" si="17"/>
        <v>—</v>
      </c>
      <c r="K195" s="87"/>
    </row>
    <row r="196" spans="1:11" x14ac:dyDescent="0.25">
      <c r="A196" s="88"/>
      <c r="B196" s="25" t="str">
        <f>IF(A196="","",IFERROR(VLOOKUP(A196,DB_Customers!$A:$D,4,0),"❌ Account Not Found"))</f>
        <v/>
      </c>
      <c r="C196" s="89" t="str">
        <f>IF(A196="","",IFERROR(VLOOKUP(A196,DB_Customers!$A:$N,14,0),""))</f>
        <v/>
      </c>
      <c r="D196" s="90" t="str">
        <f t="shared" ca="1" si="15"/>
        <v/>
      </c>
      <c r="E196" s="82"/>
      <c r="F196" s="91" t="str">
        <f t="shared" si="16"/>
        <v/>
      </c>
      <c r="G196" s="27"/>
      <c r="H196" s="84"/>
      <c r="I196" s="92" t="str">
        <f>IF(A196="","Pending",IF(H196="","⚠️ Enter Code",IF(IFERROR(VLOOKUP(G196,DB_Agents!$B:$I,8,0),"")=H196,IF(AND(A196&lt;&gt;"",E196&lt;&gt;""),"Saved","Pending"),"🔒 BLOCKED — Wrong Code")))</f>
        <v>Pending</v>
      </c>
      <c r="J196" s="93" t="str">
        <f t="shared" ca="1" si="17"/>
        <v>—</v>
      </c>
      <c r="K196" s="94"/>
    </row>
    <row r="197" spans="1:11" x14ac:dyDescent="0.25">
      <c r="A197" s="79"/>
      <c r="B197" s="21" t="str">
        <f>IF(A197="","",IFERROR(VLOOKUP(A197,DB_Customers!$A:$D,4,0),"❌ Account Not Found"))</f>
        <v/>
      </c>
      <c r="C197" s="80" t="str">
        <f>IF(A197="","",IFERROR(VLOOKUP(A197,DB_Customers!$A:$N,14,0),""))</f>
        <v/>
      </c>
      <c r="D197" s="81" t="str">
        <f t="shared" ca="1" si="15"/>
        <v/>
      </c>
      <c r="E197" s="82"/>
      <c r="F197" s="83" t="str">
        <f t="shared" si="16"/>
        <v/>
      </c>
      <c r="G197" s="23"/>
      <c r="H197" s="84"/>
      <c r="I197" s="85" t="str">
        <f>IF(A197="","Pending",IF(H197="","⚠️ Enter Code",IF(IFERROR(VLOOKUP(G197,DB_Agents!$B:$I,8,0),"")=H197,IF(AND(A197&lt;&gt;"",E197&lt;&gt;""),"Saved","Pending"),"🔒 BLOCKED — Wrong Code")))</f>
        <v>Pending</v>
      </c>
      <c r="J197" s="86" t="str">
        <f t="shared" ca="1" si="17"/>
        <v>—</v>
      </c>
      <c r="K197" s="87"/>
    </row>
    <row r="198" spans="1:11" x14ac:dyDescent="0.25">
      <c r="A198" s="88"/>
      <c r="B198" s="25" t="str">
        <f>IF(A198="","",IFERROR(VLOOKUP(A198,DB_Customers!$A:$D,4,0),"❌ Account Not Found"))</f>
        <v/>
      </c>
      <c r="C198" s="89" t="str">
        <f>IF(A198="","",IFERROR(VLOOKUP(A198,DB_Customers!$A:$N,14,0),""))</f>
        <v/>
      </c>
      <c r="D198" s="90" t="str">
        <f t="shared" ca="1" si="15"/>
        <v/>
      </c>
      <c r="E198" s="82"/>
      <c r="F198" s="91" t="str">
        <f t="shared" si="16"/>
        <v/>
      </c>
      <c r="G198" s="27"/>
      <c r="H198" s="84"/>
      <c r="I198" s="92" t="str">
        <f>IF(A198="","Pending",IF(H198="","⚠️ Enter Code",IF(IFERROR(VLOOKUP(G198,DB_Agents!$B:$I,8,0),"")=H198,IF(AND(A198&lt;&gt;"",E198&lt;&gt;""),"Saved","Pending"),"🔒 BLOCKED — Wrong Code")))</f>
        <v>Pending</v>
      </c>
      <c r="J198" s="93" t="str">
        <f t="shared" ca="1" si="17"/>
        <v>—</v>
      </c>
      <c r="K198" s="94"/>
    </row>
    <row r="199" spans="1:11" x14ac:dyDescent="0.25">
      <c r="A199" s="79"/>
      <c r="B199" s="21" t="str">
        <f>IF(A199="","",IFERROR(VLOOKUP(A199,DB_Customers!$A:$D,4,0),"❌ Account Not Found"))</f>
        <v/>
      </c>
      <c r="C199" s="80" t="str">
        <f>IF(A199="","",IFERROR(VLOOKUP(A199,DB_Customers!$A:$N,14,0),""))</f>
        <v/>
      </c>
      <c r="D199" s="81" t="str">
        <f t="shared" ca="1" si="15"/>
        <v/>
      </c>
      <c r="E199" s="82"/>
      <c r="F199" s="83" t="str">
        <f t="shared" si="16"/>
        <v/>
      </c>
      <c r="G199" s="23"/>
      <c r="H199" s="84"/>
      <c r="I199" s="85" t="str">
        <f>IF(A199="","Pending",IF(H199="","⚠️ Enter Code",IF(IFERROR(VLOOKUP(G199,DB_Agents!$B:$I,8,0),"")=H199,IF(AND(A199&lt;&gt;"",E199&lt;&gt;""),"Saved","Pending"),"🔒 BLOCKED — Wrong Code")))</f>
        <v>Pending</v>
      </c>
      <c r="J199" s="86" t="str">
        <f t="shared" ca="1" si="17"/>
        <v>—</v>
      </c>
      <c r="K199" s="87"/>
    </row>
    <row r="200" spans="1:11" x14ac:dyDescent="0.25">
      <c r="A200" s="88"/>
      <c r="B200" s="25" t="str">
        <f>IF(A200="","",IFERROR(VLOOKUP(A200,DB_Customers!$A:$D,4,0),"❌ Account Not Found"))</f>
        <v/>
      </c>
      <c r="C200" s="89" t="str">
        <f>IF(A200="","",IFERROR(VLOOKUP(A200,DB_Customers!$A:$N,14,0),""))</f>
        <v/>
      </c>
      <c r="D200" s="90" t="str">
        <f t="shared" ca="1" si="15"/>
        <v/>
      </c>
      <c r="E200" s="82"/>
      <c r="F200" s="91" t="str">
        <f t="shared" si="16"/>
        <v/>
      </c>
      <c r="G200" s="27"/>
      <c r="H200" s="84"/>
      <c r="I200" s="92" t="str">
        <f>IF(A200="","Pending",IF(H200="","⚠️ Enter Code",IF(IFERROR(VLOOKUP(G200,DB_Agents!$B:$I,8,0),"")=H200,IF(AND(A200&lt;&gt;"",E200&lt;&gt;""),"Saved","Pending"),"🔒 BLOCKED — Wrong Code")))</f>
        <v>Pending</v>
      </c>
      <c r="J200" s="93" t="str">
        <f t="shared" ca="1" si="17"/>
        <v>—</v>
      </c>
      <c r="K200" s="94"/>
    </row>
    <row r="201" spans="1:11" x14ac:dyDescent="0.25">
      <c r="A201" s="79"/>
      <c r="B201" s="21" t="str">
        <f>IF(A201="","",IFERROR(VLOOKUP(A201,DB_Customers!$A:$D,4,0),"❌ Account Not Found"))</f>
        <v/>
      </c>
      <c r="C201" s="80" t="str">
        <f>IF(A201="","",IFERROR(VLOOKUP(A201,DB_Customers!$A:$N,14,0),""))</f>
        <v/>
      </c>
      <c r="D201" s="81" t="str">
        <f t="shared" ref="D201:D208" ca="1" si="18">IF(A201="","",TODAY())</f>
        <v/>
      </c>
      <c r="E201" s="82"/>
      <c r="F201" s="83" t="str">
        <f t="shared" ref="F201:F232" si="19">IF(OR(A201="",E201=""),"",IF(C201="","",C201+E201))</f>
        <v/>
      </c>
      <c r="G201" s="23"/>
      <c r="H201" s="84"/>
      <c r="I201" s="85" t="str">
        <f>IF(A201="","Pending",IF(H201="","⚠️ Enter Code",IF(IFERROR(VLOOKUP(G201,DB_Agents!$B:$I,8,0),"")=H201,IF(AND(A201&lt;&gt;"",E201&lt;&gt;""),"Saved","Pending"),"🔒 BLOCKED — Wrong Code")))</f>
        <v>Pending</v>
      </c>
      <c r="J201" s="86" t="str">
        <f t="shared" ref="J201:J232" ca="1" si="20">IF(I201="Saved",TEXT(TODAY(),"YYYY-MM-DD")&amp;" Auto","—")</f>
        <v>—</v>
      </c>
      <c r="K201" s="87"/>
    </row>
    <row r="202" spans="1:11" x14ac:dyDescent="0.25">
      <c r="A202" s="88"/>
      <c r="B202" s="25" t="str">
        <f>IF(A202="","",IFERROR(VLOOKUP(A202,DB_Customers!$A:$D,4,0),"❌ Account Not Found"))</f>
        <v/>
      </c>
      <c r="C202" s="89" t="str">
        <f>IF(A202="","",IFERROR(VLOOKUP(A202,DB_Customers!$A:$N,14,0),""))</f>
        <v/>
      </c>
      <c r="D202" s="90" t="str">
        <f t="shared" ca="1" si="18"/>
        <v/>
      </c>
      <c r="E202" s="82"/>
      <c r="F202" s="91" t="str">
        <f t="shared" si="19"/>
        <v/>
      </c>
      <c r="G202" s="27"/>
      <c r="H202" s="84"/>
      <c r="I202" s="92" t="str">
        <f>IF(A202="","Pending",IF(H202="","⚠️ Enter Code",IF(IFERROR(VLOOKUP(G202,DB_Agents!$B:$I,8,0),"")=H202,IF(AND(A202&lt;&gt;"",E202&lt;&gt;""),"Saved","Pending"),"🔒 BLOCKED — Wrong Code")))</f>
        <v>Pending</v>
      </c>
      <c r="J202" s="93" t="str">
        <f t="shared" ca="1" si="20"/>
        <v>—</v>
      </c>
      <c r="K202" s="94"/>
    </row>
    <row r="203" spans="1:11" x14ac:dyDescent="0.25">
      <c r="A203" s="79"/>
      <c r="B203" s="21" t="str">
        <f>IF(A203="","",IFERROR(VLOOKUP(A203,DB_Customers!$A:$D,4,0),"❌ Account Not Found"))</f>
        <v/>
      </c>
      <c r="C203" s="80" t="str">
        <f>IF(A203="","",IFERROR(VLOOKUP(A203,DB_Customers!$A:$N,14,0),""))</f>
        <v/>
      </c>
      <c r="D203" s="81" t="str">
        <f t="shared" ca="1" si="18"/>
        <v/>
      </c>
      <c r="E203" s="82"/>
      <c r="F203" s="83" t="str">
        <f t="shared" si="19"/>
        <v/>
      </c>
      <c r="G203" s="23"/>
      <c r="H203" s="84"/>
      <c r="I203" s="85" t="str">
        <f>IF(A203="","Pending",IF(H203="","⚠️ Enter Code",IF(IFERROR(VLOOKUP(G203,DB_Agents!$B:$I,8,0),"")=H203,IF(AND(A203&lt;&gt;"",E203&lt;&gt;""),"Saved","Pending"),"🔒 BLOCKED — Wrong Code")))</f>
        <v>Pending</v>
      </c>
      <c r="J203" s="86" t="str">
        <f t="shared" ca="1" si="20"/>
        <v>—</v>
      </c>
      <c r="K203" s="87"/>
    </row>
    <row r="204" spans="1:11" x14ac:dyDescent="0.25">
      <c r="A204" s="88"/>
      <c r="B204" s="25" t="str">
        <f>IF(A204="","",IFERROR(VLOOKUP(A204,DB_Customers!$A:$D,4,0),"❌ Account Not Found"))</f>
        <v/>
      </c>
      <c r="C204" s="89" t="str">
        <f>IF(A204="","",IFERROR(VLOOKUP(A204,DB_Customers!$A:$N,14,0),""))</f>
        <v/>
      </c>
      <c r="D204" s="90" t="str">
        <f t="shared" ca="1" si="18"/>
        <v/>
      </c>
      <c r="E204" s="82"/>
      <c r="F204" s="91" t="str">
        <f t="shared" si="19"/>
        <v/>
      </c>
      <c r="G204" s="27"/>
      <c r="H204" s="84"/>
      <c r="I204" s="92" t="str">
        <f>IF(A204="","Pending",IF(H204="","⚠️ Enter Code",IF(IFERROR(VLOOKUP(G204,DB_Agents!$B:$I,8,0),"")=H204,IF(AND(A204&lt;&gt;"",E204&lt;&gt;""),"Saved","Pending"),"🔒 BLOCKED — Wrong Code")))</f>
        <v>Pending</v>
      </c>
      <c r="J204" s="93" t="str">
        <f t="shared" ca="1" si="20"/>
        <v>—</v>
      </c>
      <c r="K204" s="94"/>
    </row>
    <row r="205" spans="1:11" x14ac:dyDescent="0.25">
      <c r="A205" s="79"/>
      <c r="B205" s="21" t="str">
        <f>IF(A205="","",IFERROR(VLOOKUP(A205,DB_Customers!$A:$D,4,0),"❌ Account Not Found"))</f>
        <v/>
      </c>
      <c r="C205" s="80" t="str">
        <f>IF(A205="","",IFERROR(VLOOKUP(A205,DB_Customers!$A:$N,14,0),""))</f>
        <v/>
      </c>
      <c r="D205" s="81" t="str">
        <f t="shared" ca="1" si="18"/>
        <v/>
      </c>
      <c r="E205" s="82"/>
      <c r="F205" s="83" t="str">
        <f t="shared" si="19"/>
        <v/>
      </c>
      <c r="G205" s="23"/>
      <c r="H205" s="84"/>
      <c r="I205" s="85" t="str">
        <f>IF(A205="","Pending",IF(H205="","⚠️ Enter Code",IF(IFERROR(VLOOKUP(G205,DB_Agents!$B:$I,8,0),"")=H205,IF(AND(A205&lt;&gt;"",E205&lt;&gt;""),"Saved","Pending"),"🔒 BLOCKED — Wrong Code")))</f>
        <v>Pending</v>
      </c>
      <c r="J205" s="86" t="str">
        <f t="shared" ca="1" si="20"/>
        <v>—</v>
      </c>
      <c r="K205" s="87"/>
    </row>
    <row r="206" spans="1:11" x14ac:dyDescent="0.25">
      <c r="A206" s="88"/>
      <c r="B206" s="25" t="str">
        <f>IF(A206="","",IFERROR(VLOOKUP(A206,DB_Customers!$A:$D,4,0),"❌ Account Not Found"))</f>
        <v/>
      </c>
      <c r="C206" s="89" t="str">
        <f>IF(A206="","",IFERROR(VLOOKUP(A206,DB_Customers!$A:$N,14,0),""))</f>
        <v/>
      </c>
      <c r="D206" s="90" t="str">
        <f t="shared" ca="1" si="18"/>
        <v/>
      </c>
      <c r="E206" s="82"/>
      <c r="F206" s="91" t="str">
        <f t="shared" si="19"/>
        <v/>
      </c>
      <c r="G206" s="27"/>
      <c r="H206" s="84"/>
      <c r="I206" s="92" t="str">
        <f>IF(A206="","Pending",IF(H206="","⚠️ Enter Code",IF(IFERROR(VLOOKUP(G206,DB_Agents!$B:$I,8,0),"")=H206,IF(AND(A206&lt;&gt;"",E206&lt;&gt;""),"Saved","Pending"),"🔒 BLOCKED — Wrong Code")))</f>
        <v>Pending</v>
      </c>
      <c r="J206" s="93" t="str">
        <f t="shared" ca="1" si="20"/>
        <v>—</v>
      </c>
      <c r="K206" s="94"/>
    </row>
    <row r="207" spans="1:11" x14ac:dyDescent="0.25">
      <c r="A207" s="79"/>
      <c r="B207" s="21" t="str">
        <f>IF(A207="","",IFERROR(VLOOKUP(A207,DB_Customers!$A:$D,4,0),"❌ Account Not Found"))</f>
        <v/>
      </c>
      <c r="C207" s="80" t="str">
        <f>IF(A207="","",IFERROR(VLOOKUP(A207,DB_Customers!$A:$N,14,0),""))</f>
        <v/>
      </c>
      <c r="D207" s="81" t="str">
        <f t="shared" ca="1" si="18"/>
        <v/>
      </c>
      <c r="E207" s="82"/>
      <c r="F207" s="83" t="str">
        <f t="shared" si="19"/>
        <v/>
      </c>
      <c r="G207" s="23"/>
      <c r="H207" s="84"/>
      <c r="I207" s="85" t="str">
        <f>IF(A207="","Pending",IF(H207="","⚠️ Enter Code",IF(IFERROR(VLOOKUP(G207,DB_Agents!$B:$I,8,0),"")=H207,IF(AND(A207&lt;&gt;"",E207&lt;&gt;""),"Saved","Pending"),"🔒 BLOCKED — Wrong Code")))</f>
        <v>Pending</v>
      </c>
      <c r="J207" s="86" t="str">
        <f t="shared" ca="1" si="20"/>
        <v>—</v>
      </c>
      <c r="K207" s="87"/>
    </row>
    <row r="208" spans="1:11" x14ac:dyDescent="0.25">
      <c r="A208" s="88"/>
      <c r="B208" s="25" t="str">
        <f>IF(A208="","",IFERROR(VLOOKUP(A208,DB_Customers!$A:$D,4,0),"❌ Account Not Found"))</f>
        <v/>
      </c>
      <c r="C208" s="89" t="str">
        <f>IF(A208="","",IFERROR(VLOOKUP(A208,DB_Customers!$A:$N,14,0),""))</f>
        <v/>
      </c>
      <c r="D208" s="90" t="str">
        <f t="shared" ca="1" si="18"/>
        <v/>
      </c>
      <c r="E208" s="82"/>
      <c r="F208" s="91" t="str">
        <f t="shared" si="19"/>
        <v/>
      </c>
      <c r="G208" s="27"/>
      <c r="H208" s="84"/>
      <c r="I208" s="92" t="str">
        <f>IF(A208="","Pending",IF(H208="","⚠️ Enter Code",IF(IFERROR(VLOOKUP(G208,DB_Agents!$B:$I,8,0),"")=H208,IF(AND(A208&lt;&gt;"",E208&lt;&gt;""),"Saved","Pending"),"🔒 BLOCKED — Wrong Code")))</f>
        <v>Pending</v>
      </c>
      <c r="J208" s="93" t="str">
        <f t="shared" ca="1" si="20"/>
        <v>—</v>
      </c>
      <c r="K208" s="94"/>
    </row>
  </sheetData>
  <mergeCells count="12">
    <mergeCell ref="A7:L7"/>
    <mergeCell ref="A4:C4"/>
    <mergeCell ref="D4:F4"/>
    <mergeCell ref="G4:I4"/>
    <mergeCell ref="J4:L4"/>
    <mergeCell ref="A5:L5"/>
    <mergeCell ref="A1:L1"/>
    <mergeCell ref="A2:L2"/>
    <mergeCell ref="A3:C3"/>
    <mergeCell ref="D3:F3"/>
    <mergeCell ref="G3:I3"/>
    <mergeCell ref="J3:L3"/>
  </mergeCells>
  <conditionalFormatting sqref="H9:H208">
    <cfRule type="cellIs" dxfId="42" priority="2" operator="equal">
      <formula>"Saved"</formula>
    </cfRule>
    <cfRule type="cellIs" dxfId="41" priority="3" operator="equal">
      <formula>"Pending"</formula>
    </cfRule>
  </conditionalFormatting>
  <conditionalFormatting sqref="A9:J208">
    <cfRule type="expression" dxfId="40" priority="4">
      <formula>$H9="Saved"</formula>
    </cfRule>
  </conditionalFormatting>
  <dataValidations count="2">
    <dataValidation type="decimal" operator="greaterThan" showErrorMessage="1" error="Must be &gt; 0" sqref="E9:E208" xr:uid="{00000000-0002-0000-1700-000000000000}">
      <formula1>0</formula1>
      <formula2>0</formula2>
    </dataValidation>
    <dataValidation type="list" sqref="G9:G208" xr:uid="{00000000-0002-0000-17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tabColor rgb="FFC0392B"/>
  </sheetPr>
  <dimension ref="A1:M208"/>
  <sheetViews>
    <sheetView zoomScaleNormal="100" workbookViewId="0">
      <pane ySplit="8" topLeftCell="A9" activePane="bottomLeft" state="frozen"/>
      <selection pane="bottomLeft"/>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5" customWidth="1"/>
    <col min="8" max="8" width="12" customWidth="1"/>
    <col min="9" max="9" width="14" customWidth="1"/>
    <col min="10" max="10" width="22" customWidth="1"/>
    <col min="11" max="11" width="20" customWidth="1"/>
  </cols>
  <sheetData>
    <row r="1" spans="1:13" ht="31.5" customHeight="1" x14ac:dyDescent="0.25">
      <c r="A1" s="210" t="s">
        <v>222</v>
      </c>
      <c r="B1" s="210"/>
      <c r="C1" s="210"/>
      <c r="D1" s="210"/>
      <c r="E1" s="210"/>
      <c r="F1" s="210"/>
      <c r="G1" s="210"/>
      <c r="H1" s="210"/>
      <c r="I1" s="210"/>
      <c r="J1" s="210"/>
      <c r="K1" s="210"/>
      <c r="L1" s="210"/>
      <c r="M1" s="210"/>
    </row>
    <row r="2" spans="1:13" ht="19.5" customHeight="1" x14ac:dyDescent="0.25">
      <c r="A2" s="211" t="s">
        <v>223</v>
      </c>
      <c r="B2" s="211"/>
      <c r="C2" s="211"/>
      <c r="D2" s="211"/>
      <c r="E2" s="211"/>
      <c r="F2" s="211"/>
      <c r="G2" s="211"/>
      <c r="H2" s="211"/>
      <c r="I2" s="211"/>
      <c r="J2" s="211"/>
      <c r="K2" s="211"/>
      <c r="L2" s="211"/>
      <c r="M2" s="211"/>
    </row>
    <row r="3" spans="1:13" ht="18" customHeight="1" x14ac:dyDescent="0.25">
      <c r="A3" s="178" t="s">
        <v>180</v>
      </c>
      <c r="B3" s="178"/>
      <c r="C3" s="178"/>
      <c r="D3" s="177" t="s">
        <v>181</v>
      </c>
      <c r="E3" s="177"/>
      <c r="F3" s="177"/>
      <c r="G3" s="19" t="s">
        <v>182</v>
      </c>
      <c r="K3" s="48" t="s">
        <v>169</v>
      </c>
    </row>
    <row r="4" spans="1:13" ht="27.75" customHeight="1" x14ac:dyDescent="0.25">
      <c r="A4" s="212">
        <f ca="1">SUMIFS(DB_Withdrawals!$G:$G,DB_Withdrawals!$J:$J,"Agent 07",DB_Withdrawals!$F:$F,TODAY())</f>
        <v>0</v>
      </c>
      <c r="B4" s="212"/>
      <c r="C4" s="212"/>
      <c r="D4" s="213">
        <f ca="1">COUNTIFS(DB_Withdrawals!$J:$J,"Agent 07",DB_Withdrawals!$K:$K,"Successful",DB_Withdrawals!$F:$F,TODAY())</f>
        <v>0</v>
      </c>
      <c r="E4" s="213"/>
      <c r="F4" s="213"/>
      <c r="G4" s="95">
        <f ca="1">COUNTIFS(DB_Withdrawals!$J:$J,"Agent 07",DB_Withdrawals!$K:$K,"Unsuccessful",DB_Withdrawals!$F:$F,TODAY())</f>
        <v>0</v>
      </c>
      <c r="K4" s="77" t="str">
        <f ca="1">TEXT(TODAY(),"DD MMM YYYY")</f>
        <v>19 Apr 2026</v>
      </c>
    </row>
    <row r="5" spans="1:13" ht="19.5" customHeight="1" x14ac:dyDescent="0.25">
      <c r="A5" s="214" t="s">
        <v>183</v>
      </c>
      <c r="B5" s="214"/>
      <c r="C5" s="214"/>
      <c r="D5" s="214"/>
      <c r="E5" s="214"/>
      <c r="F5" s="214"/>
      <c r="G5" s="214"/>
      <c r="H5" s="214"/>
      <c r="I5" s="214"/>
      <c r="J5" s="214"/>
      <c r="K5" s="214"/>
      <c r="L5" s="214"/>
      <c r="M5" s="214"/>
    </row>
    <row r="6" spans="1:13" ht="7.5" customHeight="1" x14ac:dyDescent="0.25"/>
    <row r="7" spans="1:13" ht="19.5" customHeight="1" x14ac:dyDescent="0.25">
      <c r="A7" s="215" t="s">
        <v>184</v>
      </c>
      <c r="B7" s="215"/>
      <c r="C7" s="215"/>
      <c r="D7" s="215"/>
      <c r="E7" s="215"/>
      <c r="F7" s="215"/>
      <c r="G7" s="215"/>
      <c r="H7" s="215"/>
      <c r="I7" s="215"/>
      <c r="J7" s="215"/>
      <c r="K7" s="215"/>
      <c r="L7" s="215"/>
      <c r="M7" s="215"/>
    </row>
    <row r="8" spans="1:13" ht="19.5" customHeight="1" x14ac:dyDescent="0.25">
      <c r="A8" s="96" t="s">
        <v>171</v>
      </c>
      <c r="B8" s="96" t="s">
        <v>118</v>
      </c>
      <c r="C8" s="96" t="s">
        <v>185</v>
      </c>
      <c r="D8" s="96" t="s">
        <v>111</v>
      </c>
      <c r="E8" s="96" t="s">
        <v>186</v>
      </c>
      <c r="F8" s="96" t="s">
        <v>187</v>
      </c>
      <c r="G8" s="96" t="s">
        <v>174</v>
      </c>
      <c r="H8" s="96" t="s">
        <v>32</v>
      </c>
      <c r="I8" s="78" t="s">
        <v>175</v>
      </c>
      <c r="J8" s="96" t="s">
        <v>155</v>
      </c>
      <c r="K8" s="96" t="s">
        <v>176</v>
      </c>
      <c r="L8" s="96" t="s">
        <v>177</v>
      </c>
    </row>
    <row r="9" spans="1:13" x14ac:dyDescent="0.25">
      <c r="A9" s="79"/>
      <c r="B9" s="21" t="str">
        <f>IF(A9="","",IFERROR(VLOOKUP(A9,DB_Customers!$A:$D,4,0),"❌ Account Not Found"))</f>
        <v/>
      </c>
      <c r="C9" s="80" t="str">
        <f>IF(A9="","",IFERROR(VLOOKUP(A9,DB_Customers!$A:$N,14,0),""))</f>
        <v/>
      </c>
      <c r="D9" s="81" t="str">
        <f t="shared" ref="D9:D40" ca="1" si="0">IF(A9="","",TODAY())</f>
        <v/>
      </c>
      <c r="E9" s="97"/>
      <c r="F9" s="21"/>
      <c r="G9" s="98" t="str">
        <f t="shared" ref="G9:G40" si="1">IF(OR(A9="",E9=""),"",IF(C9="","",C9-E9))</f>
        <v/>
      </c>
      <c r="H9" s="23" t="s">
        <v>47</v>
      </c>
      <c r="I9" s="84"/>
      <c r="J9" s="85" t="str">
        <f>IF(AND(A9&lt;&gt;"",E9&lt;&gt;""),IF(I9="","⚠️ Enter Code",IF(IFERROR(VLOOKUP(H9,DB_Agents!$B:$I,8,0),"")=I9,IF(C9&gt;=E9,"Successful","Unsuccessful"),"🔒 BLOCKED — Wrong Code")),"—")</f>
        <v>—</v>
      </c>
      <c r="K9" s="86" t="str">
        <f t="shared" ref="K9:K40" ca="1" si="2">IF(J9="Successful",TEXT(TODAY(),"YYYY-MM-DD")&amp;" Auto","—")</f>
        <v>—</v>
      </c>
      <c r="L9" s="87"/>
    </row>
    <row r="10" spans="1:13" x14ac:dyDescent="0.25">
      <c r="A10" s="88"/>
      <c r="B10" s="25" t="str">
        <f>IF(A10="","",IFERROR(VLOOKUP(A10,DB_Customers!$A:$D,4,0),"❌ Account Not Found"))</f>
        <v/>
      </c>
      <c r="C10" s="89" t="str">
        <f>IF(A10="","",IFERROR(VLOOKUP(A10,DB_Customers!$A:$N,14,0),""))</f>
        <v/>
      </c>
      <c r="D10" s="90" t="str">
        <f t="shared" ca="1" si="0"/>
        <v/>
      </c>
      <c r="E10" s="97"/>
      <c r="F10" s="25"/>
      <c r="G10" s="99" t="str">
        <f t="shared" si="1"/>
        <v/>
      </c>
      <c r="H10" s="27" t="s">
        <v>47</v>
      </c>
      <c r="I10" s="84"/>
      <c r="J10" s="92" t="str">
        <f>IF(AND(A10&lt;&gt;"",E10&lt;&gt;""),IF(I10="","⚠️ Enter Code",IF(IFERROR(VLOOKUP(H10,DB_Agents!$B:$I,8,0),"")=I10,IF(C10&gt;=E10,"Successful","Unsuccessful"),"🔒 BLOCKED — Wrong Code")),"—")</f>
        <v>—</v>
      </c>
      <c r="K10" s="93" t="str">
        <f t="shared" ca="1" si="2"/>
        <v>—</v>
      </c>
      <c r="L10" s="94"/>
    </row>
    <row r="11" spans="1:13" x14ac:dyDescent="0.25">
      <c r="A11" s="79"/>
      <c r="B11" s="21" t="str">
        <f>IF(A11="","",IFERROR(VLOOKUP(A11,DB_Customers!$A:$D,4,0),"❌ Account Not Found"))</f>
        <v/>
      </c>
      <c r="C11" s="80" t="str">
        <f>IF(A11="","",IFERROR(VLOOKUP(A11,DB_Customers!$A:$N,14,0),""))</f>
        <v/>
      </c>
      <c r="D11" s="81" t="str">
        <f t="shared" ca="1" si="0"/>
        <v/>
      </c>
      <c r="E11" s="97"/>
      <c r="F11" s="21"/>
      <c r="G11" s="98" t="str">
        <f t="shared" si="1"/>
        <v/>
      </c>
      <c r="H11" s="23" t="s">
        <v>47</v>
      </c>
      <c r="I11" s="84"/>
      <c r="J11" s="85" t="str">
        <f>IF(AND(A11&lt;&gt;"",E11&lt;&gt;""),IF(I11="","⚠️ Enter Code",IF(IFERROR(VLOOKUP(H11,DB_Agents!$B:$I,8,0),"")=I11,IF(C11&gt;=E11,"Successful","Unsuccessful"),"🔒 BLOCKED — Wrong Code")),"—")</f>
        <v>—</v>
      </c>
      <c r="K11" s="86" t="str">
        <f t="shared" ca="1" si="2"/>
        <v>—</v>
      </c>
      <c r="L11" s="87"/>
    </row>
    <row r="12" spans="1:13" x14ac:dyDescent="0.25">
      <c r="A12" s="88"/>
      <c r="B12" s="25" t="str">
        <f>IF(A12="","",IFERROR(VLOOKUP(A12,DB_Customers!$A:$D,4,0),"❌ Account Not Found"))</f>
        <v/>
      </c>
      <c r="C12" s="89" t="str">
        <f>IF(A12="","",IFERROR(VLOOKUP(A12,DB_Customers!$A:$N,14,0),""))</f>
        <v/>
      </c>
      <c r="D12" s="90" t="str">
        <f t="shared" ca="1" si="0"/>
        <v/>
      </c>
      <c r="E12" s="97"/>
      <c r="F12" s="25"/>
      <c r="G12" s="99" t="str">
        <f t="shared" si="1"/>
        <v/>
      </c>
      <c r="H12" s="27" t="s">
        <v>47</v>
      </c>
      <c r="I12" s="84"/>
      <c r="J12" s="92" t="str">
        <f>IF(AND(A12&lt;&gt;"",E12&lt;&gt;""),IF(I12="","⚠️ Enter Code",IF(IFERROR(VLOOKUP(H12,DB_Agents!$B:$I,8,0),"")=I12,IF(C12&gt;=E12,"Successful","Unsuccessful"),"🔒 BLOCKED — Wrong Code")),"—")</f>
        <v>—</v>
      </c>
      <c r="K12" s="93" t="str">
        <f t="shared" ca="1" si="2"/>
        <v>—</v>
      </c>
      <c r="L12" s="94"/>
    </row>
    <row r="13" spans="1:13" x14ac:dyDescent="0.25">
      <c r="A13" s="79"/>
      <c r="B13" s="21" t="str">
        <f>IF(A13="","",IFERROR(VLOOKUP(A13,DB_Customers!$A:$D,4,0),"❌ Account Not Found"))</f>
        <v/>
      </c>
      <c r="C13" s="80" t="str">
        <f>IF(A13="","",IFERROR(VLOOKUP(A13,DB_Customers!$A:$N,14,0),""))</f>
        <v/>
      </c>
      <c r="D13" s="81" t="str">
        <f t="shared" ca="1" si="0"/>
        <v/>
      </c>
      <c r="E13" s="97"/>
      <c r="F13" s="21"/>
      <c r="G13" s="98" t="str">
        <f t="shared" si="1"/>
        <v/>
      </c>
      <c r="H13" s="23" t="s">
        <v>47</v>
      </c>
      <c r="I13" s="84"/>
      <c r="J13" s="85" t="str">
        <f>IF(AND(A13&lt;&gt;"",E13&lt;&gt;""),IF(I13="","⚠️ Enter Code",IF(IFERROR(VLOOKUP(H13,DB_Agents!$B:$I,8,0),"")=I13,IF(C13&gt;=E13,"Successful","Unsuccessful"),"🔒 BLOCKED — Wrong Code")),"—")</f>
        <v>—</v>
      </c>
      <c r="K13" s="86" t="str">
        <f t="shared" ca="1" si="2"/>
        <v>—</v>
      </c>
      <c r="L13" s="87"/>
    </row>
    <row r="14" spans="1:13" x14ac:dyDescent="0.25">
      <c r="A14" s="88"/>
      <c r="B14" s="25" t="str">
        <f>IF(A14="","",IFERROR(VLOOKUP(A14,DB_Customers!$A:$D,4,0),"❌ Account Not Found"))</f>
        <v/>
      </c>
      <c r="C14" s="89" t="str">
        <f>IF(A14="","",IFERROR(VLOOKUP(A14,DB_Customers!$A:$N,14,0),""))</f>
        <v/>
      </c>
      <c r="D14" s="90" t="str">
        <f t="shared" ca="1" si="0"/>
        <v/>
      </c>
      <c r="E14" s="97"/>
      <c r="F14" s="25"/>
      <c r="G14" s="99" t="str">
        <f t="shared" si="1"/>
        <v/>
      </c>
      <c r="H14" s="27"/>
      <c r="I14" s="84"/>
      <c r="J14" s="92" t="str">
        <f>IF(AND(A14&lt;&gt;"",E14&lt;&gt;""),IF(I14="","⚠️ Enter Code",IF(IFERROR(VLOOKUP(H14,DB_Agents!$B:$I,8,0),"")=I14,IF(C14&gt;=E14,"Successful","Unsuccessful"),"🔒 BLOCKED — Wrong Code")),"—")</f>
        <v>—</v>
      </c>
      <c r="K14" s="93" t="str">
        <f t="shared" ca="1" si="2"/>
        <v>—</v>
      </c>
      <c r="L14" s="94"/>
    </row>
    <row r="15" spans="1:13" x14ac:dyDescent="0.25">
      <c r="A15" s="79"/>
      <c r="B15" s="21" t="str">
        <f>IF(A15="","",IFERROR(VLOOKUP(A15,DB_Customers!$A:$D,4,0),"❌ Account Not Found"))</f>
        <v/>
      </c>
      <c r="C15" s="80" t="str">
        <f>IF(A15="","",IFERROR(VLOOKUP(A15,DB_Customers!$A:$N,14,0),""))</f>
        <v/>
      </c>
      <c r="D15" s="81" t="str">
        <f t="shared" ca="1" si="0"/>
        <v/>
      </c>
      <c r="E15" s="97"/>
      <c r="F15" s="21"/>
      <c r="G15" s="98" t="str">
        <f t="shared" si="1"/>
        <v/>
      </c>
      <c r="H15" s="23"/>
      <c r="I15" s="84"/>
      <c r="J15" s="85" t="str">
        <f>IF(AND(A15&lt;&gt;"",E15&lt;&gt;""),IF(I15="","⚠️ Enter Code",IF(IFERROR(VLOOKUP(H15,DB_Agents!$B:$I,8,0),"")=I15,IF(C15&gt;=E15,"Successful","Unsuccessful"),"🔒 BLOCKED — Wrong Code")),"—")</f>
        <v>—</v>
      </c>
      <c r="K15" s="86" t="str">
        <f t="shared" ca="1" si="2"/>
        <v>—</v>
      </c>
      <c r="L15" s="87"/>
    </row>
    <row r="16" spans="1:13" x14ac:dyDescent="0.25">
      <c r="A16" s="88"/>
      <c r="B16" s="25" t="str">
        <f>IF(A16="","",IFERROR(VLOOKUP(A16,DB_Customers!$A:$D,4,0),"❌ Account Not Found"))</f>
        <v/>
      </c>
      <c r="C16" s="89" t="str">
        <f>IF(A16="","",IFERROR(VLOOKUP(A16,DB_Customers!$A:$N,14,0),""))</f>
        <v/>
      </c>
      <c r="D16" s="90" t="str">
        <f t="shared" ca="1" si="0"/>
        <v/>
      </c>
      <c r="E16" s="97"/>
      <c r="F16" s="25"/>
      <c r="G16" s="99" t="str">
        <f t="shared" si="1"/>
        <v/>
      </c>
      <c r="H16" s="27"/>
      <c r="I16" s="84"/>
      <c r="J16" s="92" t="str">
        <f>IF(AND(A16&lt;&gt;"",E16&lt;&gt;""),IF(I16="","⚠️ Enter Code",IF(IFERROR(VLOOKUP(H16,DB_Agents!$B:$I,8,0),"")=I16,IF(C16&gt;=E16,"Successful","Unsuccessful"),"🔒 BLOCKED — Wrong Code")),"—")</f>
        <v>—</v>
      </c>
      <c r="K16" s="93" t="str">
        <f t="shared" ca="1" si="2"/>
        <v>—</v>
      </c>
      <c r="L16" s="94"/>
    </row>
    <row r="17" spans="1:12" x14ac:dyDescent="0.25">
      <c r="A17" s="79"/>
      <c r="B17" s="21" t="str">
        <f>IF(A17="","",IFERROR(VLOOKUP(A17,DB_Customers!$A:$D,4,0),"❌ Account Not Found"))</f>
        <v/>
      </c>
      <c r="C17" s="80" t="str">
        <f>IF(A17="","",IFERROR(VLOOKUP(A17,DB_Customers!$A:$N,14,0),""))</f>
        <v/>
      </c>
      <c r="D17" s="81" t="str">
        <f t="shared" ca="1" si="0"/>
        <v/>
      </c>
      <c r="E17" s="97"/>
      <c r="F17" s="21"/>
      <c r="G17" s="98" t="str">
        <f t="shared" si="1"/>
        <v/>
      </c>
      <c r="H17" s="23"/>
      <c r="I17" s="84"/>
      <c r="J17" s="85" t="str">
        <f>IF(AND(A17&lt;&gt;"",E17&lt;&gt;""),IF(I17="","⚠️ Enter Code",IF(IFERROR(VLOOKUP(H17,DB_Agents!$B:$I,8,0),"")=I17,IF(C17&gt;=E17,"Successful","Unsuccessful"),"🔒 BLOCKED — Wrong Code")),"—")</f>
        <v>—</v>
      </c>
      <c r="K17" s="86" t="str">
        <f t="shared" ca="1" si="2"/>
        <v>—</v>
      </c>
      <c r="L17" s="87"/>
    </row>
    <row r="18" spans="1:12" x14ac:dyDescent="0.25">
      <c r="A18" s="88"/>
      <c r="B18" s="25" t="str">
        <f>IF(A18="","",IFERROR(VLOOKUP(A18,DB_Customers!$A:$D,4,0),"❌ Account Not Found"))</f>
        <v/>
      </c>
      <c r="C18" s="89" t="str">
        <f>IF(A18="","",IFERROR(VLOOKUP(A18,DB_Customers!$A:$N,14,0),""))</f>
        <v/>
      </c>
      <c r="D18" s="90" t="str">
        <f t="shared" ca="1" si="0"/>
        <v/>
      </c>
      <c r="E18" s="97"/>
      <c r="F18" s="25"/>
      <c r="G18" s="99" t="str">
        <f t="shared" si="1"/>
        <v/>
      </c>
      <c r="H18" s="27"/>
      <c r="I18" s="84"/>
      <c r="J18" s="92" t="str">
        <f>IF(AND(A18&lt;&gt;"",E18&lt;&gt;""),IF(I18="","⚠️ Enter Code",IF(IFERROR(VLOOKUP(H18,DB_Agents!$B:$I,8,0),"")=I18,IF(C18&gt;=E18,"Successful","Unsuccessful"),"🔒 BLOCKED — Wrong Code")),"—")</f>
        <v>—</v>
      </c>
      <c r="K18" s="93" t="str">
        <f t="shared" ca="1" si="2"/>
        <v>—</v>
      </c>
      <c r="L18" s="94"/>
    </row>
    <row r="19" spans="1:12" x14ac:dyDescent="0.25">
      <c r="A19" s="79"/>
      <c r="B19" s="21" t="str">
        <f>IF(A19="","",IFERROR(VLOOKUP(A19,DB_Customers!$A:$D,4,0),"❌ Account Not Found"))</f>
        <v/>
      </c>
      <c r="C19" s="80" t="str">
        <f>IF(A19="","",IFERROR(VLOOKUP(A19,DB_Customers!$A:$N,14,0),""))</f>
        <v/>
      </c>
      <c r="D19" s="81" t="str">
        <f t="shared" ca="1" si="0"/>
        <v/>
      </c>
      <c r="E19" s="97"/>
      <c r="F19" s="21"/>
      <c r="G19" s="98" t="str">
        <f t="shared" si="1"/>
        <v/>
      </c>
      <c r="H19" s="23"/>
      <c r="I19" s="84"/>
      <c r="J19" s="85" t="str">
        <f>IF(AND(A19&lt;&gt;"",E19&lt;&gt;""),IF(I19="","⚠️ Enter Code",IF(IFERROR(VLOOKUP(H19,DB_Agents!$B:$I,8,0),"")=I19,IF(C19&gt;=E19,"Successful","Unsuccessful"),"🔒 BLOCKED — Wrong Code")),"—")</f>
        <v>—</v>
      </c>
      <c r="K19" s="86" t="str">
        <f t="shared" ca="1" si="2"/>
        <v>—</v>
      </c>
      <c r="L19" s="87"/>
    </row>
    <row r="20" spans="1:12" x14ac:dyDescent="0.25">
      <c r="A20" s="88"/>
      <c r="B20" s="25" t="str">
        <f>IF(A20="","",IFERROR(VLOOKUP(A20,DB_Customers!$A:$D,4,0),"❌ Account Not Found"))</f>
        <v/>
      </c>
      <c r="C20" s="89" t="str">
        <f>IF(A20="","",IFERROR(VLOOKUP(A20,DB_Customers!$A:$N,14,0),""))</f>
        <v/>
      </c>
      <c r="D20" s="90" t="str">
        <f t="shared" ca="1" si="0"/>
        <v/>
      </c>
      <c r="E20" s="97"/>
      <c r="F20" s="25"/>
      <c r="G20" s="99" t="str">
        <f t="shared" si="1"/>
        <v/>
      </c>
      <c r="H20" s="27"/>
      <c r="I20" s="84"/>
      <c r="J20" s="92" t="str">
        <f>IF(AND(A20&lt;&gt;"",E20&lt;&gt;""),IF(I20="","⚠️ Enter Code",IF(IFERROR(VLOOKUP(H20,DB_Agents!$B:$I,8,0),"")=I20,IF(C20&gt;=E20,"Successful","Unsuccessful"),"🔒 BLOCKED — Wrong Code")),"—")</f>
        <v>—</v>
      </c>
      <c r="K20" s="93" t="str">
        <f t="shared" ca="1" si="2"/>
        <v>—</v>
      </c>
      <c r="L20" s="94"/>
    </row>
    <row r="21" spans="1:12" x14ac:dyDescent="0.25">
      <c r="A21" s="79"/>
      <c r="B21" s="21" t="str">
        <f>IF(A21="","",IFERROR(VLOOKUP(A21,DB_Customers!$A:$D,4,0),"❌ Account Not Found"))</f>
        <v/>
      </c>
      <c r="C21" s="80" t="str">
        <f>IF(A21="","",IFERROR(VLOOKUP(A21,DB_Customers!$A:$N,14,0),""))</f>
        <v/>
      </c>
      <c r="D21" s="81" t="str">
        <f t="shared" ca="1" si="0"/>
        <v/>
      </c>
      <c r="E21" s="97"/>
      <c r="F21" s="21"/>
      <c r="G21" s="98" t="str">
        <f t="shared" si="1"/>
        <v/>
      </c>
      <c r="H21" s="23"/>
      <c r="I21" s="84"/>
      <c r="J21" s="85" t="str">
        <f>IF(AND(A21&lt;&gt;"",E21&lt;&gt;""),IF(I21="","⚠️ Enter Code",IF(IFERROR(VLOOKUP(H21,DB_Agents!$B:$I,8,0),"")=I21,IF(C21&gt;=E21,"Successful","Unsuccessful"),"🔒 BLOCKED — Wrong Code")),"—")</f>
        <v>—</v>
      </c>
      <c r="K21" s="86" t="str">
        <f t="shared" ca="1" si="2"/>
        <v>—</v>
      </c>
      <c r="L21" s="87"/>
    </row>
    <row r="22" spans="1:12" x14ac:dyDescent="0.25">
      <c r="A22" s="88"/>
      <c r="B22" s="25" t="str">
        <f>IF(A22="","",IFERROR(VLOOKUP(A22,DB_Customers!$A:$D,4,0),"❌ Account Not Found"))</f>
        <v/>
      </c>
      <c r="C22" s="89" t="str">
        <f>IF(A22="","",IFERROR(VLOOKUP(A22,DB_Customers!$A:$N,14,0),""))</f>
        <v/>
      </c>
      <c r="D22" s="90" t="str">
        <f t="shared" ca="1" si="0"/>
        <v/>
      </c>
      <c r="E22" s="97"/>
      <c r="F22" s="25"/>
      <c r="G22" s="99" t="str">
        <f t="shared" si="1"/>
        <v/>
      </c>
      <c r="H22" s="27"/>
      <c r="I22" s="84"/>
      <c r="J22" s="92" t="str">
        <f>IF(AND(A22&lt;&gt;"",E22&lt;&gt;""),IF(I22="","⚠️ Enter Code",IF(IFERROR(VLOOKUP(H22,DB_Agents!$B:$I,8,0),"")=I22,IF(C22&gt;=E22,"Successful","Unsuccessful"),"🔒 BLOCKED — Wrong Code")),"—")</f>
        <v>—</v>
      </c>
      <c r="K22" s="93" t="str">
        <f t="shared" ca="1" si="2"/>
        <v>—</v>
      </c>
      <c r="L22" s="94"/>
    </row>
    <row r="23" spans="1:12" x14ac:dyDescent="0.25">
      <c r="A23" s="79"/>
      <c r="B23" s="21" t="str">
        <f>IF(A23="","",IFERROR(VLOOKUP(A23,DB_Customers!$A:$D,4,0),"❌ Account Not Found"))</f>
        <v/>
      </c>
      <c r="C23" s="80" t="str">
        <f>IF(A23="","",IFERROR(VLOOKUP(A23,DB_Customers!$A:$N,14,0),""))</f>
        <v/>
      </c>
      <c r="D23" s="81" t="str">
        <f t="shared" ca="1" si="0"/>
        <v/>
      </c>
      <c r="E23" s="97"/>
      <c r="F23" s="21"/>
      <c r="G23" s="98" t="str">
        <f t="shared" si="1"/>
        <v/>
      </c>
      <c r="H23" s="23"/>
      <c r="I23" s="84"/>
      <c r="J23" s="85" t="str">
        <f>IF(AND(A23&lt;&gt;"",E23&lt;&gt;""),IF(I23="","⚠️ Enter Code",IF(IFERROR(VLOOKUP(H23,DB_Agents!$B:$I,8,0),"")=I23,IF(C23&gt;=E23,"Successful","Unsuccessful"),"🔒 BLOCKED — Wrong Code")),"—")</f>
        <v>—</v>
      </c>
      <c r="K23" s="86" t="str">
        <f t="shared" ca="1" si="2"/>
        <v>—</v>
      </c>
      <c r="L23" s="87"/>
    </row>
    <row r="24" spans="1:12" x14ac:dyDescent="0.25">
      <c r="A24" s="88"/>
      <c r="B24" s="25" t="str">
        <f>IF(A24="","",IFERROR(VLOOKUP(A24,DB_Customers!$A:$D,4,0),"❌ Account Not Found"))</f>
        <v/>
      </c>
      <c r="C24" s="89" t="str">
        <f>IF(A24="","",IFERROR(VLOOKUP(A24,DB_Customers!$A:$N,14,0),""))</f>
        <v/>
      </c>
      <c r="D24" s="90" t="str">
        <f t="shared" ca="1" si="0"/>
        <v/>
      </c>
      <c r="E24" s="97"/>
      <c r="F24" s="25"/>
      <c r="G24" s="99" t="str">
        <f t="shared" si="1"/>
        <v/>
      </c>
      <c r="H24" s="27"/>
      <c r="I24" s="84"/>
      <c r="J24" s="92" t="str">
        <f>IF(AND(A24&lt;&gt;"",E24&lt;&gt;""),IF(I24="","⚠️ Enter Code",IF(IFERROR(VLOOKUP(H24,DB_Agents!$B:$I,8,0),"")=I24,IF(C24&gt;=E24,"Successful","Unsuccessful"),"🔒 BLOCKED — Wrong Code")),"—")</f>
        <v>—</v>
      </c>
      <c r="K24" s="93" t="str">
        <f t="shared" ca="1" si="2"/>
        <v>—</v>
      </c>
      <c r="L24" s="94"/>
    </row>
    <row r="25" spans="1:12" x14ac:dyDescent="0.25">
      <c r="A25" s="79"/>
      <c r="B25" s="21" t="str">
        <f>IF(A25="","",IFERROR(VLOOKUP(A25,DB_Customers!$A:$D,4,0),"❌ Account Not Found"))</f>
        <v/>
      </c>
      <c r="C25" s="80" t="str">
        <f>IF(A25="","",IFERROR(VLOOKUP(A25,DB_Customers!$A:$N,14,0),""))</f>
        <v/>
      </c>
      <c r="D25" s="81" t="str">
        <f t="shared" ca="1" si="0"/>
        <v/>
      </c>
      <c r="E25" s="97"/>
      <c r="F25" s="21"/>
      <c r="G25" s="98" t="str">
        <f t="shared" si="1"/>
        <v/>
      </c>
      <c r="H25" s="23"/>
      <c r="I25" s="84"/>
      <c r="J25" s="85" t="str">
        <f>IF(AND(A25&lt;&gt;"",E25&lt;&gt;""),IF(I25="","⚠️ Enter Code",IF(IFERROR(VLOOKUP(H25,DB_Agents!$B:$I,8,0),"")=I25,IF(C25&gt;=E25,"Successful","Unsuccessful"),"🔒 BLOCKED — Wrong Code")),"—")</f>
        <v>—</v>
      </c>
      <c r="K25" s="86" t="str">
        <f t="shared" ca="1" si="2"/>
        <v>—</v>
      </c>
      <c r="L25" s="87"/>
    </row>
    <row r="26" spans="1:12" x14ac:dyDescent="0.25">
      <c r="A26" s="88"/>
      <c r="B26" s="25" t="str">
        <f>IF(A26="","",IFERROR(VLOOKUP(A26,DB_Customers!$A:$D,4,0),"❌ Account Not Found"))</f>
        <v/>
      </c>
      <c r="C26" s="89" t="str">
        <f>IF(A26="","",IFERROR(VLOOKUP(A26,DB_Customers!$A:$N,14,0),""))</f>
        <v/>
      </c>
      <c r="D26" s="90" t="str">
        <f t="shared" ca="1" si="0"/>
        <v/>
      </c>
      <c r="E26" s="97"/>
      <c r="F26" s="25"/>
      <c r="G26" s="99" t="str">
        <f t="shared" si="1"/>
        <v/>
      </c>
      <c r="H26" s="27"/>
      <c r="I26" s="84"/>
      <c r="J26" s="92" t="str">
        <f>IF(AND(A26&lt;&gt;"",E26&lt;&gt;""),IF(I26="","⚠️ Enter Code",IF(IFERROR(VLOOKUP(H26,DB_Agents!$B:$I,8,0),"")=I26,IF(C26&gt;=E26,"Successful","Unsuccessful"),"🔒 BLOCKED — Wrong Code")),"—")</f>
        <v>—</v>
      </c>
      <c r="K26" s="93" t="str">
        <f t="shared" ca="1" si="2"/>
        <v>—</v>
      </c>
      <c r="L26" s="94"/>
    </row>
    <row r="27" spans="1:12" x14ac:dyDescent="0.25">
      <c r="A27" s="79"/>
      <c r="B27" s="21" t="str">
        <f>IF(A27="","",IFERROR(VLOOKUP(A27,DB_Customers!$A:$D,4,0),"❌ Account Not Found"))</f>
        <v/>
      </c>
      <c r="C27" s="80" t="str">
        <f>IF(A27="","",IFERROR(VLOOKUP(A27,DB_Customers!$A:$N,14,0),""))</f>
        <v/>
      </c>
      <c r="D27" s="81" t="str">
        <f t="shared" ca="1" si="0"/>
        <v/>
      </c>
      <c r="E27" s="97"/>
      <c r="F27" s="21"/>
      <c r="G27" s="98" t="str">
        <f t="shared" si="1"/>
        <v/>
      </c>
      <c r="H27" s="23"/>
      <c r="I27" s="84"/>
      <c r="J27" s="85" t="str">
        <f>IF(AND(A27&lt;&gt;"",E27&lt;&gt;""),IF(I27="","⚠️ Enter Code",IF(IFERROR(VLOOKUP(H27,DB_Agents!$B:$I,8,0),"")=I27,IF(C27&gt;=E27,"Successful","Unsuccessful"),"🔒 BLOCKED — Wrong Code")),"—")</f>
        <v>—</v>
      </c>
      <c r="K27" s="86" t="str">
        <f t="shared" ca="1" si="2"/>
        <v>—</v>
      </c>
      <c r="L27" s="87"/>
    </row>
    <row r="28" spans="1:12" x14ac:dyDescent="0.25">
      <c r="A28" s="88"/>
      <c r="B28" s="25" t="str">
        <f>IF(A28="","",IFERROR(VLOOKUP(A28,DB_Customers!$A:$D,4,0),"❌ Account Not Found"))</f>
        <v/>
      </c>
      <c r="C28" s="89" t="str">
        <f>IF(A28="","",IFERROR(VLOOKUP(A28,DB_Customers!$A:$N,14,0),""))</f>
        <v/>
      </c>
      <c r="D28" s="90" t="str">
        <f t="shared" ca="1" si="0"/>
        <v/>
      </c>
      <c r="E28" s="97"/>
      <c r="F28" s="25"/>
      <c r="G28" s="99" t="str">
        <f t="shared" si="1"/>
        <v/>
      </c>
      <c r="H28" s="27"/>
      <c r="I28" s="84"/>
      <c r="J28" s="92" t="str">
        <f>IF(AND(A28&lt;&gt;"",E28&lt;&gt;""),IF(I28="","⚠️ Enter Code",IF(IFERROR(VLOOKUP(H28,DB_Agents!$B:$I,8,0),"")=I28,IF(C28&gt;=E28,"Successful","Unsuccessful"),"🔒 BLOCKED — Wrong Code")),"—")</f>
        <v>—</v>
      </c>
      <c r="K28" s="93" t="str">
        <f t="shared" ca="1" si="2"/>
        <v>—</v>
      </c>
      <c r="L28" s="94"/>
    </row>
    <row r="29" spans="1:12" x14ac:dyDescent="0.25">
      <c r="A29" s="79"/>
      <c r="B29" s="21" t="str">
        <f>IF(A29="","",IFERROR(VLOOKUP(A29,DB_Customers!$A:$D,4,0),"❌ Account Not Found"))</f>
        <v/>
      </c>
      <c r="C29" s="80" t="str">
        <f>IF(A29="","",IFERROR(VLOOKUP(A29,DB_Customers!$A:$N,14,0),""))</f>
        <v/>
      </c>
      <c r="D29" s="81" t="str">
        <f t="shared" ca="1" si="0"/>
        <v/>
      </c>
      <c r="E29" s="97"/>
      <c r="F29" s="21"/>
      <c r="G29" s="98" t="str">
        <f t="shared" si="1"/>
        <v/>
      </c>
      <c r="H29" s="23"/>
      <c r="I29" s="84"/>
      <c r="J29" s="85" t="str">
        <f>IF(AND(A29&lt;&gt;"",E29&lt;&gt;""),IF(I29="","⚠️ Enter Code",IF(IFERROR(VLOOKUP(H29,DB_Agents!$B:$I,8,0),"")=I29,IF(C29&gt;=E29,"Successful","Unsuccessful"),"🔒 BLOCKED — Wrong Code")),"—")</f>
        <v>—</v>
      </c>
      <c r="K29" s="86" t="str">
        <f t="shared" ca="1" si="2"/>
        <v>—</v>
      </c>
      <c r="L29" s="87"/>
    </row>
    <row r="30" spans="1:12" x14ac:dyDescent="0.25">
      <c r="A30" s="88"/>
      <c r="B30" s="25" t="str">
        <f>IF(A30="","",IFERROR(VLOOKUP(A30,DB_Customers!$A:$D,4,0),"❌ Account Not Found"))</f>
        <v/>
      </c>
      <c r="C30" s="89" t="str">
        <f>IF(A30="","",IFERROR(VLOOKUP(A30,DB_Customers!$A:$N,14,0),""))</f>
        <v/>
      </c>
      <c r="D30" s="90" t="str">
        <f t="shared" ca="1" si="0"/>
        <v/>
      </c>
      <c r="E30" s="97"/>
      <c r="F30" s="25"/>
      <c r="G30" s="99" t="str">
        <f t="shared" si="1"/>
        <v/>
      </c>
      <c r="H30" s="27"/>
      <c r="I30" s="84"/>
      <c r="J30" s="92" t="str">
        <f>IF(AND(A30&lt;&gt;"",E30&lt;&gt;""),IF(I30="","⚠️ Enter Code",IF(IFERROR(VLOOKUP(H30,DB_Agents!$B:$I,8,0),"")=I30,IF(C30&gt;=E30,"Successful","Unsuccessful"),"🔒 BLOCKED — Wrong Code")),"—")</f>
        <v>—</v>
      </c>
      <c r="K30" s="93" t="str">
        <f t="shared" ca="1" si="2"/>
        <v>—</v>
      </c>
      <c r="L30" s="94"/>
    </row>
    <row r="31" spans="1:12" x14ac:dyDescent="0.25">
      <c r="A31" s="79"/>
      <c r="B31" s="21" t="str">
        <f>IF(A31="","",IFERROR(VLOOKUP(A31,DB_Customers!$A:$D,4,0),"❌ Account Not Found"))</f>
        <v/>
      </c>
      <c r="C31" s="80" t="str">
        <f>IF(A31="","",IFERROR(VLOOKUP(A31,DB_Customers!$A:$N,14,0),""))</f>
        <v/>
      </c>
      <c r="D31" s="81" t="str">
        <f t="shared" ca="1" si="0"/>
        <v/>
      </c>
      <c r="E31" s="97"/>
      <c r="F31" s="21"/>
      <c r="G31" s="98" t="str">
        <f t="shared" si="1"/>
        <v/>
      </c>
      <c r="H31" s="23"/>
      <c r="I31" s="84"/>
      <c r="J31" s="85" t="str">
        <f>IF(AND(A31&lt;&gt;"",E31&lt;&gt;""),IF(I31="","⚠️ Enter Code",IF(IFERROR(VLOOKUP(H31,DB_Agents!$B:$I,8,0),"")=I31,IF(C31&gt;=E31,"Successful","Unsuccessful"),"🔒 BLOCKED — Wrong Code")),"—")</f>
        <v>—</v>
      </c>
      <c r="K31" s="86" t="str">
        <f t="shared" ca="1" si="2"/>
        <v>—</v>
      </c>
      <c r="L31" s="87"/>
    </row>
    <row r="32" spans="1:12" x14ac:dyDescent="0.25">
      <c r="A32" s="88"/>
      <c r="B32" s="25" t="str">
        <f>IF(A32="","",IFERROR(VLOOKUP(A32,DB_Customers!$A:$D,4,0),"❌ Account Not Found"))</f>
        <v/>
      </c>
      <c r="C32" s="89" t="str">
        <f>IF(A32="","",IFERROR(VLOOKUP(A32,DB_Customers!$A:$N,14,0),""))</f>
        <v/>
      </c>
      <c r="D32" s="90" t="str">
        <f t="shared" ca="1" si="0"/>
        <v/>
      </c>
      <c r="E32" s="97"/>
      <c r="F32" s="25"/>
      <c r="G32" s="99" t="str">
        <f t="shared" si="1"/>
        <v/>
      </c>
      <c r="H32" s="27"/>
      <c r="I32" s="84"/>
      <c r="J32" s="92" t="str">
        <f>IF(AND(A32&lt;&gt;"",E32&lt;&gt;""),IF(I32="","⚠️ Enter Code",IF(IFERROR(VLOOKUP(H32,DB_Agents!$B:$I,8,0),"")=I32,IF(C32&gt;=E32,"Successful","Unsuccessful"),"🔒 BLOCKED — Wrong Code")),"—")</f>
        <v>—</v>
      </c>
      <c r="K32" s="93" t="str">
        <f t="shared" ca="1" si="2"/>
        <v>—</v>
      </c>
      <c r="L32" s="94"/>
    </row>
    <row r="33" spans="1:12" x14ac:dyDescent="0.25">
      <c r="A33" s="79"/>
      <c r="B33" s="21" t="str">
        <f>IF(A33="","",IFERROR(VLOOKUP(A33,DB_Customers!$A:$D,4,0),"❌ Account Not Found"))</f>
        <v/>
      </c>
      <c r="C33" s="80" t="str">
        <f>IF(A33="","",IFERROR(VLOOKUP(A33,DB_Customers!$A:$N,14,0),""))</f>
        <v/>
      </c>
      <c r="D33" s="81" t="str">
        <f t="shared" ca="1" si="0"/>
        <v/>
      </c>
      <c r="E33" s="97"/>
      <c r="F33" s="21"/>
      <c r="G33" s="98" t="str">
        <f t="shared" si="1"/>
        <v/>
      </c>
      <c r="H33" s="23"/>
      <c r="I33" s="84"/>
      <c r="J33" s="85" t="str">
        <f>IF(AND(A33&lt;&gt;"",E33&lt;&gt;""),IF(I33="","⚠️ Enter Code",IF(IFERROR(VLOOKUP(H33,DB_Agents!$B:$I,8,0),"")=I33,IF(C33&gt;=E33,"Successful","Unsuccessful"),"🔒 BLOCKED — Wrong Code")),"—")</f>
        <v>—</v>
      </c>
      <c r="K33" s="86" t="str">
        <f t="shared" ca="1" si="2"/>
        <v>—</v>
      </c>
      <c r="L33" s="87"/>
    </row>
    <row r="34" spans="1:12" x14ac:dyDescent="0.25">
      <c r="A34" s="88"/>
      <c r="B34" s="25" t="str">
        <f>IF(A34="","",IFERROR(VLOOKUP(A34,DB_Customers!$A:$D,4,0),"❌ Account Not Found"))</f>
        <v/>
      </c>
      <c r="C34" s="89" t="str">
        <f>IF(A34="","",IFERROR(VLOOKUP(A34,DB_Customers!$A:$N,14,0),""))</f>
        <v/>
      </c>
      <c r="D34" s="90" t="str">
        <f t="shared" ca="1" si="0"/>
        <v/>
      </c>
      <c r="E34" s="97"/>
      <c r="F34" s="25"/>
      <c r="G34" s="99" t="str">
        <f t="shared" si="1"/>
        <v/>
      </c>
      <c r="H34" s="27"/>
      <c r="I34" s="84"/>
      <c r="J34" s="92" t="str">
        <f>IF(AND(A34&lt;&gt;"",E34&lt;&gt;""),IF(I34="","⚠️ Enter Code",IF(IFERROR(VLOOKUP(H34,DB_Agents!$B:$I,8,0),"")=I34,IF(C34&gt;=E34,"Successful","Unsuccessful"),"🔒 BLOCKED — Wrong Code")),"—")</f>
        <v>—</v>
      </c>
      <c r="K34" s="93" t="str">
        <f t="shared" ca="1" si="2"/>
        <v>—</v>
      </c>
      <c r="L34" s="94"/>
    </row>
    <row r="35" spans="1:12" x14ac:dyDescent="0.25">
      <c r="A35" s="79"/>
      <c r="B35" s="21" t="str">
        <f>IF(A35="","",IFERROR(VLOOKUP(A35,DB_Customers!$A:$D,4,0),"❌ Account Not Found"))</f>
        <v/>
      </c>
      <c r="C35" s="80" t="str">
        <f>IF(A35="","",IFERROR(VLOOKUP(A35,DB_Customers!$A:$N,14,0),""))</f>
        <v/>
      </c>
      <c r="D35" s="81" t="str">
        <f t="shared" ca="1" si="0"/>
        <v/>
      </c>
      <c r="E35" s="97"/>
      <c r="F35" s="21"/>
      <c r="G35" s="98" t="str">
        <f t="shared" si="1"/>
        <v/>
      </c>
      <c r="H35" s="23"/>
      <c r="I35" s="84"/>
      <c r="J35" s="85" t="str">
        <f>IF(AND(A35&lt;&gt;"",E35&lt;&gt;""),IF(I35="","⚠️ Enter Code",IF(IFERROR(VLOOKUP(H35,DB_Agents!$B:$I,8,0),"")=I35,IF(C35&gt;=E35,"Successful","Unsuccessful"),"🔒 BLOCKED — Wrong Code")),"—")</f>
        <v>—</v>
      </c>
      <c r="K35" s="86" t="str">
        <f t="shared" ca="1" si="2"/>
        <v>—</v>
      </c>
      <c r="L35" s="87"/>
    </row>
    <row r="36" spans="1:12" x14ac:dyDescent="0.25">
      <c r="A36" s="88"/>
      <c r="B36" s="25" t="str">
        <f>IF(A36="","",IFERROR(VLOOKUP(A36,DB_Customers!$A:$D,4,0),"❌ Account Not Found"))</f>
        <v/>
      </c>
      <c r="C36" s="89" t="str">
        <f>IF(A36="","",IFERROR(VLOOKUP(A36,DB_Customers!$A:$N,14,0),""))</f>
        <v/>
      </c>
      <c r="D36" s="90" t="str">
        <f t="shared" ca="1" si="0"/>
        <v/>
      </c>
      <c r="E36" s="97"/>
      <c r="F36" s="25"/>
      <c r="G36" s="99" t="str">
        <f t="shared" si="1"/>
        <v/>
      </c>
      <c r="H36" s="27"/>
      <c r="I36" s="84"/>
      <c r="J36" s="92" t="str">
        <f>IF(AND(A36&lt;&gt;"",E36&lt;&gt;""),IF(I36="","⚠️ Enter Code",IF(IFERROR(VLOOKUP(H36,DB_Agents!$B:$I,8,0),"")=I36,IF(C36&gt;=E36,"Successful","Unsuccessful"),"🔒 BLOCKED — Wrong Code")),"—")</f>
        <v>—</v>
      </c>
      <c r="K36" s="93" t="str">
        <f t="shared" ca="1" si="2"/>
        <v>—</v>
      </c>
      <c r="L36" s="94"/>
    </row>
    <row r="37" spans="1:12" x14ac:dyDescent="0.25">
      <c r="A37" s="79"/>
      <c r="B37" s="21" t="str">
        <f>IF(A37="","",IFERROR(VLOOKUP(A37,DB_Customers!$A:$D,4,0),"❌ Account Not Found"))</f>
        <v/>
      </c>
      <c r="C37" s="80" t="str">
        <f>IF(A37="","",IFERROR(VLOOKUP(A37,DB_Customers!$A:$N,14,0),""))</f>
        <v/>
      </c>
      <c r="D37" s="81" t="str">
        <f t="shared" ca="1" si="0"/>
        <v/>
      </c>
      <c r="E37" s="97"/>
      <c r="F37" s="21"/>
      <c r="G37" s="98" t="str">
        <f t="shared" si="1"/>
        <v/>
      </c>
      <c r="H37" s="23"/>
      <c r="I37" s="84"/>
      <c r="J37" s="85" t="str">
        <f>IF(AND(A37&lt;&gt;"",E37&lt;&gt;""),IF(I37="","⚠️ Enter Code",IF(IFERROR(VLOOKUP(H37,DB_Agents!$B:$I,8,0),"")=I37,IF(C37&gt;=E37,"Successful","Unsuccessful"),"🔒 BLOCKED — Wrong Code")),"—")</f>
        <v>—</v>
      </c>
      <c r="K37" s="86" t="str">
        <f t="shared" ca="1" si="2"/>
        <v>—</v>
      </c>
      <c r="L37" s="87"/>
    </row>
    <row r="38" spans="1:12" x14ac:dyDescent="0.25">
      <c r="A38" s="88"/>
      <c r="B38" s="25" t="str">
        <f>IF(A38="","",IFERROR(VLOOKUP(A38,DB_Customers!$A:$D,4,0),"❌ Account Not Found"))</f>
        <v/>
      </c>
      <c r="C38" s="89" t="str">
        <f>IF(A38="","",IFERROR(VLOOKUP(A38,DB_Customers!$A:$N,14,0),""))</f>
        <v/>
      </c>
      <c r="D38" s="90" t="str">
        <f t="shared" ca="1" si="0"/>
        <v/>
      </c>
      <c r="E38" s="97"/>
      <c r="F38" s="25"/>
      <c r="G38" s="99" t="str">
        <f t="shared" si="1"/>
        <v/>
      </c>
      <c r="H38" s="27"/>
      <c r="I38" s="84"/>
      <c r="J38" s="92" t="str">
        <f>IF(AND(A38&lt;&gt;"",E38&lt;&gt;""),IF(I38="","⚠️ Enter Code",IF(IFERROR(VLOOKUP(H38,DB_Agents!$B:$I,8,0),"")=I38,IF(C38&gt;=E38,"Successful","Unsuccessful"),"🔒 BLOCKED — Wrong Code")),"—")</f>
        <v>—</v>
      </c>
      <c r="K38" s="93" t="str">
        <f t="shared" ca="1" si="2"/>
        <v>—</v>
      </c>
      <c r="L38" s="94"/>
    </row>
    <row r="39" spans="1:12" x14ac:dyDescent="0.25">
      <c r="A39" s="79"/>
      <c r="B39" s="21" t="str">
        <f>IF(A39="","",IFERROR(VLOOKUP(A39,DB_Customers!$A:$D,4,0),"❌ Account Not Found"))</f>
        <v/>
      </c>
      <c r="C39" s="80" t="str">
        <f>IF(A39="","",IFERROR(VLOOKUP(A39,DB_Customers!$A:$N,14,0),""))</f>
        <v/>
      </c>
      <c r="D39" s="81" t="str">
        <f t="shared" ca="1" si="0"/>
        <v/>
      </c>
      <c r="E39" s="97"/>
      <c r="F39" s="21"/>
      <c r="G39" s="98" t="str">
        <f t="shared" si="1"/>
        <v/>
      </c>
      <c r="H39" s="23"/>
      <c r="I39" s="84"/>
      <c r="J39" s="85" t="str">
        <f>IF(AND(A39&lt;&gt;"",E39&lt;&gt;""),IF(I39="","⚠️ Enter Code",IF(IFERROR(VLOOKUP(H39,DB_Agents!$B:$I,8,0),"")=I39,IF(C39&gt;=E39,"Successful","Unsuccessful"),"🔒 BLOCKED — Wrong Code")),"—")</f>
        <v>—</v>
      </c>
      <c r="K39" s="86" t="str">
        <f t="shared" ca="1" si="2"/>
        <v>—</v>
      </c>
      <c r="L39" s="87"/>
    </row>
    <row r="40" spans="1:12" x14ac:dyDescent="0.25">
      <c r="A40" s="88"/>
      <c r="B40" s="25" t="str">
        <f>IF(A40="","",IFERROR(VLOOKUP(A40,DB_Customers!$A:$D,4,0),"❌ Account Not Found"))</f>
        <v/>
      </c>
      <c r="C40" s="89" t="str">
        <f>IF(A40="","",IFERROR(VLOOKUP(A40,DB_Customers!$A:$N,14,0),""))</f>
        <v/>
      </c>
      <c r="D40" s="90" t="str">
        <f t="shared" ca="1" si="0"/>
        <v/>
      </c>
      <c r="E40" s="97"/>
      <c r="F40" s="25"/>
      <c r="G40" s="99" t="str">
        <f t="shared" si="1"/>
        <v/>
      </c>
      <c r="H40" s="27"/>
      <c r="I40" s="84"/>
      <c r="J40" s="92" t="str">
        <f>IF(AND(A40&lt;&gt;"",E40&lt;&gt;""),IF(I40="","⚠️ Enter Code",IF(IFERROR(VLOOKUP(H40,DB_Agents!$B:$I,8,0),"")=I40,IF(C40&gt;=E40,"Successful","Unsuccessful"),"🔒 BLOCKED — Wrong Code")),"—")</f>
        <v>—</v>
      </c>
      <c r="K40" s="93" t="str">
        <f t="shared" ca="1" si="2"/>
        <v>—</v>
      </c>
      <c r="L40" s="94"/>
    </row>
    <row r="41" spans="1:12" x14ac:dyDescent="0.25">
      <c r="A41" s="79"/>
      <c r="B41" s="21" t="str">
        <f>IF(A41="","",IFERROR(VLOOKUP(A41,DB_Customers!$A:$D,4,0),"❌ Account Not Found"))</f>
        <v/>
      </c>
      <c r="C41" s="80" t="str">
        <f>IF(A41="","",IFERROR(VLOOKUP(A41,DB_Customers!$A:$N,14,0),""))</f>
        <v/>
      </c>
      <c r="D41" s="81" t="str">
        <f t="shared" ref="D41:D72" ca="1" si="3">IF(A41="","",TODAY())</f>
        <v/>
      </c>
      <c r="E41" s="97"/>
      <c r="F41" s="21"/>
      <c r="G41" s="98" t="str">
        <f t="shared" ref="G41:G72" si="4">IF(OR(A41="",E41=""),"",IF(C41="","",C41-E41))</f>
        <v/>
      </c>
      <c r="H41" s="23"/>
      <c r="I41" s="84"/>
      <c r="J41" s="85" t="str">
        <f>IF(AND(A41&lt;&gt;"",E41&lt;&gt;""),IF(I41="","⚠️ Enter Code",IF(IFERROR(VLOOKUP(H41,DB_Agents!$B:$I,8,0),"")=I41,IF(C41&gt;=E41,"Successful","Unsuccessful"),"🔒 BLOCKED — Wrong Code")),"—")</f>
        <v>—</v>
      </c>
      <c r="K41" s="86" t="str">
        <f t="shared" ref="K41:K72" ca="1" si="5">IF(J41="Successful",TEXT(TODAY(),"YYYY-MM-DD")&amp;" Auto","—")</f>
        <v>—</v>
      </c>
      <c r="L41" s="87"/>
    </row>
    <row r="42" spans="1:12" x14ac:dyDescent="0.25">
      <c r="A42" s="88"/>
      <c r="B42" s="25" t="str">
        <f>IF(A42="","",IFERROR(VLOOKUP(A42,DB_Customers!$A:$D,4,0),"❌ Account Not Found"))</f>
        <v/>
      </c>
      <c r="C42" s="89" t="str">
        <f>IF(A42="","",IFERROR(VLOOKUP(A42,DB_Customers!$A:$N,14,0),""))</f>
        <v/>
      </c>
      <c r="D42" s="90" t="str">
        <f t="shared" ca="1" si="3"/>
        <v/>
      </c>
      <c r="E42" s="97"/>
      <c r="F42" s="25"/>
      <c r="G42" s="99" t="str">
        <f t="shared" si="4"/>
        <v/>
      </c>
      <c r="H42" s="27"/>
      <c r="I42" s="84"/>
      <c r="J42" s="92" t="str">
        <f>IF(AND(A42&lt;&gt;"",E42&lt;&gt;""),IF(I42="","⚠️ Enter Code",IF(IFERROR(VLOOKUP(H42,DB_Agents!$B:$I,8,0),"")=I42,IF(C42&gt;=E42,"Successful","Unsuccessful"),"🔒 BLOCKED — Wrong Code")),"—")</f>
        <v>—</v>
      </c>
      <c r="K42" s="93" t="str">
        <f t="shared" ca="1" si="5"/>
        <v>—</v>
      </c>
      <c r="L42" s="94"/>
    </row>
    <row r="43" spans="1:12" x14ac:dyDescent="0.25">
      <c r="A43" s="79"/>
      <c r="B43" s="21" t="str">
        <f>IF(A43="","",IFERROR(VLOOKUP(A43,DB_Customers!$A:$D,4,0),"❌ Account Not Found"))</f>
        <v/>
      </c>
      <c r="C43" s="80" t="str">
        <f>IF(A43="","",IFERROR(VLOOKUP(A43,DB_Customers!$A:$N,14,0),""))</f>
        <v/>
      </c>
      <c r="D43" s="81" t="str">
        <f t="shared" ca="1" si="3"/>
        <v/>
      </c>
      <c r="E43" s="97"/>
      <c r="F43" s="21"/>
      <c r="G43" s="98" t="str">
        <f t="shared" si="4"/>
        <v/>
      </c>
      <c r="H43" s="23"/>
      <c r="I43" s="84"/>
      <c r="J43" s="85" t="str">
        <f>IF(AND(A43&lt;&gt;"",E43&lt;&gt;""),IF(I43="","⚠️ Enter Code",IF(IFERROR(VLOOKUP(H43,DB_Agents!$B:$I,8,0),"")=I43,IF(C43&gt;=E43,"Successful","Unsuccessful"),"🔒 BLOCKED — Wrong Code")),"—")</f>
        <v>—</v>
      </c>
      <c r="K43" s="86" t="str">
        <f t="shared" ca="1" si="5"/>
        <v>—</v>
      </c>
      <c r="L43" s="87"/>
    </row>
    <row r="44" spans="1:12" x14ac:dyDescent="0.25">
      <c r="A44" s="88"/>
      <c r="B44" s="25" t="str">
        <f>IF(A44="","",IFERROR(VLOOKUP(A44,DB_Customers!$A:$D,4,0),"❌ Account Not Found"))</f>
        <v/>
      </c>
      <c r="C44" s="89" t="str">
        <f>IF(A44="","",IFERROR(VLOOKUP(A44,DB_Customers!$A:$N,14,0),""))</f>
        <v/>
      </c>
      <c r="D44" s="90" t="str">
        <f t="shared" ca="1" si="3"/>
        <v/>
      </c>
      <c r="E44" s="97"/>
      <c r="F44" s="25"/>
      <c r="G44" s="99" t="str">
        <f t="shared" si="4"/>
        <v/>
      </c>
      <c r="H44" s="27"/>
      <c r="I44" s="84"/>
      <c r="J44" s="92" t="str">
        <f>IF(AND(A44&lt;&gt;"",E44&lt;&gt;""),IF(I44="","⚠️ Enter Code",IF(IFERROR(VLOOKUP(H44,DB_Agents!$B:$I,8,0),"")=I44,IF(C44&gt;=E44,"Successful","Unsuccessful"),"🔒 BLOCKED — Wrong Code")),"—")</f>
        <v>—</v>
      </c>
      <c r="K44" s="93" t="str">
        <f t="shared" ca="1" si="5"/>
        <v>—</v>
      </c>
      <c r="L44" s="94"/>
    </row>
    <row r="45" spans="1:12" x14ac:dyDescent="0.25">
      <c r="A45" s="79"/>
      <c r="B45" s="21" t="str">
        <f>IF(A45="","",IFERROR(VLOOKUP(A45,DB_Customers!$A:$D,4,0),"❌ Account Not Found"))</f>
        <v/>
      </c>
      <c r="C45" s="80" t="str">
        <f>IF(A45="","",IFERROR(VLOOKUP(A45,DB_Customers!$A:$N,14,0),""))</f>
        <v/>
      </c>
      <c r="D45" s="81" t="str">
        <f t="shared" ca="1" si="3"/>
        <v/>
      </c>
      <c r="E45" s="97"/>
      <c r="F45" s="21"/>
      <c r="G45" s="98" t="str">
        <f t="shared" si="4"/>
        <v/>
      </c>
      <c r="H45" s="23"/>
      <c r="I45" s="84"/>
      <c r="J45" s="85" t="str">
        <f>IF(AND(A45&lt;&gt;"",E45&lt;&gt;""),IF(I45="","⚠️ Enter Code",IF(IFERROR(VLOOKUP(H45,DB_Agents!$B:$I,8,0),"")=I45,IF(C45&gt;=E45,"Successful","Unsuccessful"),"🔒 BLOCKED — Wrong Code")),"—")</f>
        <v>—</v>
      </c>
      <c r="K45" s="86" t="str">
        <f t="shared" ca="1" si="5"/>
        <v>—</v>
      </c>
      <c r="L45" s="87"/>
    </row>
    <row r="46" spans="1:12" x14ac:dyDescent="0.25">
      <c r="A46" s="88"/>
      <c r="B46" s="25" t="str">
        <f>IF(A46="","",IFERROR(VLOOKUP(A46,DB_Customers!$A:$D,4,0),"❌ Account Not Found"))</f>
        <v/>
      </c>
      <c r="C46" s="89" t="str">
        <f>IF(A46="","",IFERROR(VLOOKUP(A46,DB_Customers!$A:$N,14,0),""))</f>
        <v/>
      </c>
      <c r="D46" s="90" t="str">
        <f t="shared" ca="1" si="3"/>
        <v/>
      </c>
      <c r="E46" s="97"/>
      <c r="F46" s="25"/>
      <c r="G46" s="99" t="str">
        <f t="shared" si="4"/>
        <v/>
      </c>
      <c r="H46" s="27"/>
      <c r="I46" s="84"/>
      <c r="J46" s="92" t="str">
        <f>IF(AND(A46&lt;&gt;"",E46&lt;&gt;""),IF(I46="","⚠️ Enter Code",IF(IFERROR(VLOOKUP(H46,DB_Agents!$B:$I,8,0),"")=I46,IF(C46&gt;=E46,"Successful","Unsuccessful"),"🔒 BLOCKED — Wrong Code")),"—")</f>
        <v>—</v>
      </c>
      <c r="K46" s="93" t="str">
        <f t="shared" ca="1" si="5"/>
        <v>—</v>
      </c>
      <c r="L46" s="94"/>
    </row>
    <row r="47" spans="1:12" x14ac:dyDescent="0.25">
      <c r="A47" s="79"/>
      <c r="B47" s="21" t="str">
        <f>IF(A47="","",IFERROR(VLOOKUP(A47,DB_Customers!$A:$D,4,0),"❌ Account Not Found"))</f>
        <v/>
      </c>
      <c r="C47" s="80" t="str">
        <f>IF(A47="","",IFERROR(VLOOKUP(A47,DB_Customers!$A:$N,14,0),""))</f>
        <v/>
      </c>
      <c r="D47" s="81" t="str">
        <f t="shared" ca="1" si="3"/>
        <v/>
      </c>
      <c r="E47" s="97"/>
      <c r="F47" s="21"/>
      <c r="G47" s="98" t="str">
        <f t="shared" si="4"/>
        <v/>
      </c>
      <c r="H47" s="23"/>
      <c r="I47" s="84"/>
      <c r="J47" s="85" t="str">
        <f>IF(AND(A47&lt;&gt;"",E47&lt;&gt;""),IF(I47="","⚠️ Enter Code",IF(IFERROR(VLOOKUP(H47,DB_Agents!$B:$I,8,0),"")=I47,IF(C47&gt;=E47,"Successful","Unsuccessful"),"🔒 BLOCKED — Wrong Code")),"—")</f>
        <v>—</v>
      </c>
      <c r="K47" s="86" t="str">
        <f t="shared" ca="1" si="5"/>
        <v>—</v>
      </c>
      <c r="L47" s="87"/>
    </row>
    <row r="48" spans="1:12" x14ac:dyDescent="0.25">
      <c r="A48" s="88"/>
      <c r="B48" s="25" t="str">
        <f>IF(A48="","",IFERROR(VLOOKUP(A48,DB_Customers!$A:$D,4,0),"❌ Account Not Found"))</f>
        <v/>
      </c>
      <c r="C48" s="89" t="str">
        <f>IF(A48="","",IFERROR(VLOOKUP(A48,DB_Customers!$A:$N,14,0),""))</f>
        <v/>
      </c>
      <c r="D48" s="90" t="str">
        <f t="shared" ca="1" si="3"/>
        <v/>
      </c>
      <c r="E48" s="97"/>
      <c r="F48" s="25"/>
      <c r="G48" s="99" t="str">
        <f t="shared" si="4"/>
        <v/>
      </c>
      <c r="H48" s="27"/>
      <c r="I48" s="84"/>
      <c r="J48" s="92" t="str">
        <f>IF(AND(A48&lt;&gt;"",E48&lt;&gt;""),IF(I48="","⚠️ Enter Code",IF(IFERROR(VLOOKUP(H48,DB_Agents!$B:$I,8,0),"")=I48,IF(C48&gt;=E48,"Successful","Unsuccessful"),"🔒 BLOCKED — Wrong Code")),"—")</f>
        <v>—</v>
      </c>
      <c r="K48" s="93" t="str">
        <f t="shared" ca="1" si="5"/>
        <v>—</v>
      </c>
      <c r="L48" s="94"/>
    </row>
    <row r="49" spans="1:12" x14ac:dyDescent="0.25">
      <c r="A49" s="79"/>
      <c r="B49" s="21" t="str">
        <f>IF(A49="","",IFERROR(VLOOKUP(A49,DB_Customers!$A:$D,4,0),"❌ Account Not Found"))</f>
        <v/>
      </c>
      <c r="C49" s="80" t="str">
        <f>IF(A49="","",IFERROR(VLOOKUP(A49,DB_Customers!$A:$N,14,0),""))</f>
        <v/>
      </c>
      <c r="D49" s="81" t="str">
        <f t="shared" ca="1" si="3"/>
        <v/>
      </c>
      <c r="E49" s="97"/>
      <c r="F49" s="21"/>
      <c r="G49" s="98" t="str">
        <f t="shared" si="4"/>
        <v/>
      </c>
      <c r="H49" s="23"/>
      <c r="I49" s="84"/>
      <c r="J49" s="85" t="str">
        <f>IF(AND(A49&lt;&gt;"",E49&lt;&gt;""),IF(I49="","⚠️ Enter Code",IF(IFERROR(VLOOKUP(H49,DB_Agents!$B:$I,8,0),"")=I49,IF(C49&gt;=E49,"Successful","Unsuccessful"),"🔒 BLOCKED — Wrong Code")),"—")</f>
        <v>—</v>
      </c>
      <c r="K49" s="86" t="str">
        <f t="shared" ca="1" si="5"/>
        <v>—</v>
      </c>
      <c r="L49" s="87"/>
    </row>
    <row r="50" spans="1:12" x14ac:dyDescent="0.25">
      <c r="A50" s="88"/>
      <c r="B50" s="25" t="str">
        <f>IF(A50="","",IFERROR(VLOOKUP(A50,DB_Customers!$A:$D,4,0),"❌ Account Not Found"))</f>
        <v/>
      </c>
      <c r="C50" s="89" t="str">
        <f>IF(A50="","",IFERROR(VLOOKUP(A50,DB_Customers!$A:$N,14,0),""))</f>
        <v/>
      </c>
      <c r="D50" s="90" t="str">
        <f t="shared" ca="1" si="3"/>
        <v/>
      </c>
      <c r="E50" s="97"/>
      <c r="F50" s="25"/>
      <c r="G50" s="99" t="str">
        <f t="shared" si="4"/>
        <v/>
      </c>
      <c r="H50" s="27"/>
      <c r="I50" s="84"/>
      <c r="J50" s="92" t="str">
        <f>IF(AND(A50&lt;&gt;"",E50&lt;&gt;""),IF(I50="","⚠️ Enter Code",IF(IFERROR(VLOOKUP(H50,DB_Agents!$B:$I,8,0),"")=I50,IF(C50&gt;=E50,"Successful","Unsuccessful"),"🔒 BLOCKED — Wrong Code")),"—")</f>
        <v>—</v>
      </c>
      <c r="K50" s="93" t="str">
        <f t="shared" ca="1" si="5"/>
        <v>—</v>
      </c>
      <c r="L50" s="94"/>
    </row>
    <row r="51" spans="1:12" x14ac:dyDescent="0.25">
      <c r="A51" s="79"/>
      <c r="B51" s="21" t="str">
        <f>IF(A51="","",IFERROR(VLOOKUP(A51,DB_Customers!$A:$D,4,0),"❌ Account Not Found"))</f>
        <v/>
      </c>
      <c r="C51" s="80" t="str">
        <f>IF(A51="","",IFERROR(VLOOKUP(A51,DB_Customers!$A:$N,14,0),""))</f>
        <v/>
      </c>
      <c r="D51" s="81" t="str">
        <f t="shared" ca="1" si="3"/>
        <v/>
      </c>
      <c r="E51" s="97"/>
      <c r="F51" s="21"/>
      <c r="G51" s="98" t="str">
        <f t="shared" si="4"/>
        <v/>
      </c>
      <c r="H51" s="23"/>
      <c r="I51" s="84"/>
      <c r="J51" s="85" t="str">
        <f>IF(AND(A51&lt;&gt;"",E51&lt;&gt;""),IF(I51="","⚠️ Enter Code",IF(IFERROR(VLOOKUP(H51,DB_Agents!$B:$I,8,0),"")=I51,IF(C51&gt;=E51,"Successful","Unsuccessful"),"🔒 BLOCKED — Wrong Code")),"—")</f>
        <v>—</v>
      </c>
      <c r="K51" s="86" t="str">
        <f t="shared" ca="1" si="5"/>
        <v>—</v>
      </c>
      <c r="L51" s="87"/>
    </row>
    <row r="52" spans="1:12" x14ac:dyDescent="0.25">
      <c r="A52" s="88"/>
      <c r="B52" s="25" t="str">
        <f>IF(A52="","",IFERROR(VLOOKUP(A52,DB_Customers!$A:$D,4,0),"❌ Account Not Found"))</f>
        <v/>
      </c>
      <c r="C52" s="89" t="str">
        <f>IF(A52="","",IFERROR(VLOOKUP(A52,DB_Customers!$A:$N,14,0),""))</f>
        <v/>
      </c>
      <c r="D52" s="90" t="str">
        <f t="shared" ca="1" si="3"/>
        <v/>
      </c>
      <c r="E52" s="97"/>
      <c r="F52" s="25"/>
      <c r="G52" s="99" t="str">
        <f t="shared" si="4"/>
        <v/>
      </c>
      <c r="H52" s="27"/>
      <c r="I52" s="84"/>
      <c r="J52" s="92" t="str">
        <f>IF(AND(A52&lt;&gt;"",E52&lt;&gt;""),IF(I52="","⚠️ Enter Code",IF(IFERROR(VLOOKUP(H52,DB_Agents!$B:$I,8,0),"")=I52,IF(C52&gt;=E52,"Successful","Unsuccessful"),"🔒 BLOCKED — Wrong Code")),"—")</f>
        <v>—</v>
      </c>
      <c r="K52" s="93" t="str">
        <f t="shared" ca="1" si="5"/>
        <v>—</v>
      </c>
      <c r="L52" s="94"/>
    </row>
    <row r="53" spans="1:12" x14ac:dyDescent="0.25">
      <c r="A53" s="79"/>
      <c r="B53" s="21" t="str">
        <f>IF(A53="","",IFERROR(VLOOKUP(A53,DB_Customers!$A:$D,4,0),"❌ Account Not Found"))</f>
        <v/>
      </c>
      <c r="C53" s="80" t="str">
        <f>IF(A53="","",IFERROR(VLOOKUP(A53,DB_Customers!$A:$N,14,0),""))</f>
        <v/>
      </c>
      <c r="D53" s="81" t="str">
        <f t="shared" ca="1" si="3"/>
        <v/>
      </c>
      <c r="E53" s="97"/>
      <c r="F53" s="21"/>
      <c r="G53" s="98" t="str">
        <f t="shared" si="4"/>
        <v/>
      </c>
      <c r="H53" s="23"/>
      <c r="I53" s="84"/>
      <c r="J53" s="85" t="str">
        <f>IF(AND(A53&lt;&gt;"",E53&lt;&gt;""),IF(I53="","⚠️ Enter Code",IF(IFERROR(VLOOKUP(H53,DB_Agents!$B:$I,8,0),"")=I53,IF(C53&gt;=E53,"Successful","Unsuccessful"),"🔒 BLOCKED — Wrong Code")),"—")</f>
        <v>—</v>
      </c>
      <c r="K53" s="86" t="str">
        <f t="shared" ca="1" si="5"/>
        <v>—</v>
      </c>
      <c r="L53" s="87"/>
    </row>
    <row r="54" spans="1:12" x14ac:dyDescent="0.25">
      <c r="A54" s="88"/>
      <c r="B54" s="25" t="str">
        <f>IF(A54="","",IFERROR(VLOOKUP(A54,DB_Customers!$A:$D,4,0),"❌ Account Not Found"))</f>
        <v/>
      </c>
      <c r="C54" s="89" t="str">
        <f>IF(A54="","",IFERROR(VLOOKUP(A54,DB_Customers!$A:$N,14,0),""))</f>
        <v/>
      </c>
      <c r="D54" s="90" t="str">
        <f t="shared" ca="1" si="3"/>
        <v/>
      </c>
      <c r="E54" s="97"/>
      <c r="F54" s="25"/>
      <c r="G54" s="99" t="str">
        <f t="shared" si="4"/>
        <v/>
      </c>
      <c r="H54" s="27"/>
      <c r="I54" s="84"/>
      <c r="J54" s="92" t="str">
        <f>IF(AND(A54&lt;&gt;"",E54&lt;&gt;""),IF(I54="","⚠️ Enter Code",IF(IFERROR(VLOOKUP(H54,DB_Agents!$B:$I,8,0),"")=I54,IF(C54&gt;=E54,"Successful","Unsuccessful"),"🔒 BLOCKED — Wrong Code")),"—")</f>
        <v>—</v>
      </c>
      <c r="K54" s="93" t="str">
        <f t="shared" ca="1" si="5"/>
        <v>—</v>
      </c>
      <c r="L54" s="94"/>
    </row>
    <row r="55" spans="1:12" x14ac:dyDescent="0.25">
      <c r="A55" s="79"/>
      <c r="B55" s="21" t="str">
        <f>IF(A55="","",IFERROR(VLOOKUP(A55,DB_Customers!$A:$D,4,0),"❌ Account Not Found"))</f>
        <v/>
      </c>
      <c r="C55" s="80" t="str">
        <f>IF(A55="","",IFERROR(VLOOKUP(A55,DB_Customers!$A:$N,14,0),""))</f>
        <v/>
      </c>
      <c r="D55" s="81" t="str">
        <f t="shared" ca="1" si="3"/>
        <v/>
      </c>
      <c r="E55" s="97"/>
      <c r="F55" s="21"/>
      <c r="G55" s="98" t="str">
        <f t="shared" si="4"/>
        <v/>
      </c>
      <c r="H55" s="23"/>
      <c r="I55" s="84"/>
      <c r="J55" s="85" t="str">
        <f>IF(AND(A55&lt;&gt;"",E55&lt;&gt;""),IF(I55="","⚠️ Enter Code",IF(IFERROR(VLOOKUP(H55,DB_Agents!$B:$I,8,0),"")=I55,IF(C55&gt;=E55,"Successful","Unsuccessful"),"🔒 BLOCKED — Wrong Code")),"—")</f>
        <v>—</v>
      </c>
      <c r="K55" s="86" t="str">
        <f t="shared" ca="1" si="5"/>
        <v>—</v>
      </c>
      <c r="L55" s="87"/>
    </row>
    <row r="56" spans="1:12" x14ac:dyDescent="0.25">
      <c r="A56" s="88"/>
      <c r="B56" s="25" t="str">
        <f>IF(A56="","",IFERROR(VLOOKUP(A56,DB_Customers!$A:$D,4,0),"❌ Account Not Found"))</f>
        <v/>
      </c>
      <c r="C56" s="89" t="str">
        <f>IF(A56="","",IFERROR(VLOOKUP(A56,DB_Customers!$A:$N,14,0),""))</f>
        <v/>
      </c>
      <c r="D56" s="90" t="str">
        <f t="shared" ca="1" si="3"/>
        <v/>
      </c>
      <c r="E56" s="97"/>
      <c r="F56" s="25"/>
      <c r="G56" s="99" t="str">
        <f t="shared" si="4"/>
        <v/>
      </c>
      <c r="H56" s="27"/>
      <c r="I56" s="84"/>
      <c r="J56" s="92" t="str">
        <f>IF(AND(A56&lt;&gt;"",E56&lt;&gt;""),IF(I56="","⚠️ Enter Code",IF(IFERROR(VLOOKUP(H56,DB_Agents!$B:$I,8,0),"")=I56,IF(C56&gt;=E56,"Successful","Unsuccessful"),"🔒 BLOCKED — Wrong Code")),"—")</f>
        <v>—</v>
      </c>
      <c r="K56" s="93" t="str">
        <f t="shared" ca="1" si="5"/>
        <v>—</v>
      </c>
      <c r="L56" s="94"/>
    </row>
    <row r="57" spans="1:12" x14ac:dyDescent="0.25">
      <c r="A57" s="79"/>
      <c r="B57" s="21" t="str">
        <f>IF(A57="","",IFERROR(VLOOKUP(A57,DB_Customers!$A:$D,4,0),"❌ Account Not Found"))</f>
        <v/>
      </c>
      <c r="C57" s="80" t="str">
        <f>IF(A57="","",IFERROR(VLOOKUP(A57,DB_Customers!$A:$N,14,0),""))</f>
        <v/>
      </c>
      <c r="D57" s="81" t="str">
        <f t="shared" ca="1" si="3"/>
        <v/>
      </c>
      <c r="E57" s="97"/>
      <c r="F57" s="21"/>
      <c r="G57" s="98" t="str">
        <f t="shared" si="4"/>
        <v/>
      </c>
      <c r="H57" s="23"/>
      <c r="I57" s="84"/>
      <c r="J57" s="85" t="str">
        <f>IF(AND(A57&lt;&gt;"",E57&lt;&gt;""),IF(I57="","⚠️ Enter Code",IF(IFERROR(VLOOKUP(H57,DB_Agents!$B:$I,8,0),"")=I57,IF(C57&gt;=E57,"Successful","Unsuccessful"),"🔒 BLOCKED — Wrong Code")),"—")</f>
        <v>—</v>
      </c>
      <c r="K57" s="86" t="str">
        <f t="shared" ca="1" si="5"/>
        <v>—</v>
      </c>
      <c r="L57" s="87"/>
    </row>
    <row r="58" spans="1:12" x14ac:dyDescent="0.25">
      <c r="A58" s="88"/>
      <c r="B58" s="25" t="str">
        <f>IF(A58="","",IFERROR(VLOOKUP(A58,DB_Customers!$A:$D,4,0),"❌ Account Not Found"))</f>
        <v/>
      </c>
      <c r="C58" s="89" t="str">
        <f>IF(A58="","",IFERROR(VLOOKUP(A58,DB_Customers!$A:$N,14,0),""))</f>
        <v/>
      </c>
      <c r="D58" s="90" t="str">
        <f t="shared" ca="1" si="3"/>
        <v/>
      </c>
      <c r="E58" s="97"/>
      <c r="F58" s="25"/>
      <c r="G58" s="99" t="str">
        <f t="shared" si="4"/>
        <v/>
      </c>
      <c r="H58" s="27"/>
      <c r="I58" s="84"/>
      <c r="J58" s="92" t="str">
        <f>IF(AND(A58&lt;&gt;"",E58&lt;&gt;""),IF(I58="","⚠️ Enter Code",IF(IFERROR(VLOOKUP(H58,DB_Agents!$B:$I,8,0),"")=I58,IF(C58&gt;=E58,"Successful","Unsuccessful"),"🔒 BLOCKED — Wrong Code")),"—")</f>
        <v>—</v>
      </c>
      <c r="K58" s="93" t="str">
        <f t="shared" ca="1" si="5"/>
        <v>—</v>
      </c>
      <c r="L58" s="94"/>
    </row>
    <row r="59" spans="1:12" x14ac:dyDescent="0.25">
      <c r="A59" s="79"/>
      <c r="B59" s="21" t="str">
        <f>IF(A59="","",IFERROR(VLOOKUP(A59,DB_Customers!$A:$D,4,0),"❌ Account Not Found"))</f>
        <v/>
      </c>
      <c r="C59" s="80" t="str">
        <f>IF(A59="","",IFERROR(VLOOKUP(A59,DB_Customers!$A:$N,14,0),""))</f>
        <v/>
      </c>
      <c r="D59" s="81" t="str">
        <f t="shared" ca="1" si="3"/>
        <v/>
      </c>
      <c r="E59" s="97"/>
      <c r="F59" s="21"/>
      <c r="G59" s="98" t="str">
        <f t="shared" si="4"/>
        <v/>
      </c>
      <c r="H59" s="23"/>
      <c r="I59" s="84"/>
      <c r="J59" s="85" t="str">
        <f>IF(AND(A59&lt;&gt;"",E59&lt;&gt;""),IF(I59="","⚠️ Enter Code",IF(IFERROR(VLOOKUP(H59,DB_Agents!$B:$I,8,0),"")=I59,IF(C59&gt;=E59,"Successful","Unsuccessful"),"🔒 BLOCKED — Wrong Code")),"—")</f>
        <v>—</v>
      </c>
      <c r="K59" s="86" t="str">
        <f t="shared" ca="1" si="5"/>
        <v>—</v>
      </c>
      <c r="L59" s="87"/>
    </row>
    <row r="60" spans="1:12" x14ac:dyDescent="0.25">
      <c r="A60" s="88"/>
      <c r="B60" s="25" t="str">
        <f>IF(A60="","",IFERROR(VLOOKUP(A60,DB_Customers!$A:$D,4,0),"❌ Account Not Found"))</f>
        <v/>
      </c>
      <c r="C60" s="89" t="str">
        <f>IF(A60="","",IFERROR(VLOOKUP(A60,DB_Customers!$A:$N,14,0),""))</f>
        <v/>
      </c>
      <c r="D60" s="90" t="str">
        <f t="shared" ca="1" si="3"/>
        <v/>
      </c>
      <c r="E60" s="97"/>
      <c r="F60" s="25"/>
      <c r="G60" s="99" t="str">
        <f t="shared" si="4"/>
        <v/>
      </c>
      <c r="H60" s="27"/>
      <c r="I60" s="84"/>
      <c r="J60" s="92" t="str">
        <f>IF(AND(A60&lt;&gt;"",E60&lt;&gt;""),IF(I60="","⚠️ Enter Code",IF(IFERROR(VLOOKUP(H60,DB_Agents!$B:$I,8,0),"")=I60,IF(C60&gt;=E60,"Successful","Unsuccessful"),"🔒 BLOCKED — Wrong Code")),"—")</f>
        <v>—</v>
      </c>
      <c r="K60" s="93" t="str">
        <f t="shared" ca="1" si="5"/>
        <v>—</v>
      </c>
      <c r="L60" s="94"/>
    </row>
    <row r="61" spans="1:12" x14ac:dyDescent="0.25">
      <c r="A61" s="79"/>
      <c r="B61" s="21" t="str">
        <f>IF(A61="","",IFERROR(VLOOKUP(A61,DB_Customers!$A:$D,4,0),"❌ Account Not Found"))</f>
        <v/>
      </c>
      <c r="C61" s="80" t="str">
        <f>IF(A61="","",IFERROR(VLOOKUP(A61,DB_Customers!$A:$N,14,0),""))</f>
        <v/>
      </c>
      <c r="D61" s="81" t="str">
        <f t="shared" ca="1" si="3"/>
        <v/>
      </c>
      <c r="E61" s="97"/>
      <c r="F61" s="21"/>
      <c r="G61" s="98" t="str">
        <f t="shared" si="4"/>
        <v/>
      </c>
      <c r="H61" s="23"/>
      <c r="I61" s="84"/>
      <c r="J61" s="85" t="str">
        <f>IF(AND(A61&lt;&gt;"",E61&lt;&gt;""),IF(I61="","⚠️ Enter Code",IF(IFERROR(VLOOKUP(H61,DB_Agents!$B:$I,8,0),"")=I61,IF(C61&gt;=E61,"Successful","Unsuccessful"),"🔒 BLOCKED — Wrong Code")),"—")</f>
        <v>—</v>
      </c>
      <c r="K61" s="86" t="str">
        <f t="shared" ca="1" si="5"/>
        <v>—</v>
      </c>
      <c r="L61" s="87"/>
    </row>
    <row r="62" spans="1:12" x14ac:dyDescent="0.25">
      <c r="A62" s="88"/>
      <c r="B62" s="25" t="str">
        <f>IF(A62="","",IFERROR(VLOOKUP(A62,DB_Customers!$A:$D,4,0),"❌ Account Not Found"))</f>
        <v/>
      </c>
      <c r="C62" s="89" t="str">
        <f>IF(A62="","",IFERROR(VLOOKUP(A62,DB_Customers!$A:$N,14,0),""))</f>
        <v/>
      </c>
      <c r="D62" s="90" t="str">
        <f t="shared" ca="1" si="3"/>
        <v/>
      </c>
      <c r="E62" s="97"/>
      <c r="F62" s="25"/>
      <c r="G62" s="99" t="str">
        <f t="shared" si="4"/>
        <v/>
      </c>
      <c r="H62" s="27"/>
      <c r="I62" s="84"/>
      <c r="J62" s="92" t="str">
        <f>IF(AND(A62&lt;&gt;"",E62&lt;&gt;""),IF(I62="","⚠️ Enter Code",IF(IFERROR(VLOOKUP(H62,DB_Agents!$B:$I,8,0),"")=I62,IF(C62&gt;=E62,"Successful","Unsuccessful"),"🔒 BLOCKED — Wrong Code")),"—")</f>
        <v>—</v>
      </c>
      <c r="K62" s="93" t="str">
        <f t="shared" ca="1" si="5"/>
        <v>—</v>
      </c>
      <c r="L62" s="94"/>
    </row>
    <row r="63" spans="1:12" x14ac:dyDescent="0.25">
      <c r="A63" s="79"/>
      <c r="B63" s="21" t="str">
        <f>IF(A63="","",IFERROR(VLOOKUP(A63,DB_Customers!$A:$D,4,0),"❌ Account Not Found"))</f>
        <v/>
      </c>
      <c r="C63" s="80" t="str">
        <f>IF(A63="","",IFERROR(VLOOKUP(A63,DB_Customers!$A:$N,14,0),""))</f>
        <v/>
      </c>
      <c r="D63" s="81" t="str">
        <f t="shared" ca="1" si="3"/>
        <v/>
      </c>
      <c r="E63" s="97"/>
      <c r="F63" s="21"/>
      <c r="G63" s="98" t="str">
        <f t="shared" si="4"/>
        <v/>
      </c>
      <c r="H63" s="23"/>
      <c r="I63" s="84"/>
      <c r="J63" s="85" t="str">
        <f>IF(AND(A63&lt;&gt;"",E63&lt;&gt;""),IF(I63="","⚠️ Enter Code",IF(IFERROR(VLOOKUP(H63,DB_Agents!$B:$I,8,0),"")=I63,IF(C63&gt;=E63,"Successful","Unsuccessful"),"🔒 BLOCKED — Wrong Code")),"—")</f>
        <v>—</v>
      </c>
      <c r="K63" s="86" t="str">
        <f t="shared" ca="1" si="5"/>
        <v>—</v>
      </c>
      <c r="L63" s="87"/>
    </row>
    <row r="64" spans="1:12" x14ac:dyDescent="0.25">
      <c r="A64" s="88"/>
      <c r="B64" s="25" t="str">
        <f>IF(A64="","",IFERROR(VLOOKUP(A64,DB_Customers!$A:$D,4,0),"❌ Account Not Found"))</f>
        <v/>
      </c>
      <c r="C64" s="89" t="str">
        <f>IF(A64="","",IFERROR(VLOOKUP(A64,DB_Customers!$A:$N,14,0),""))</f>
        <v/>
      </c>
      <c r="D64" s="90" t="str">
        <f t="shared" ca="1" si="3"/>
        <v/>
      </c>
      <c r="E64" s="97"/>
      <c r="F64" s="25"/>
      <c r="G64" s="99" t="str">
        <f t="shared" si="4"/>
        <v/>
      </c>
      <c r="H64" s="27"/>
      <c r="I64" s="84"/>
      <c r="J64" s="92" t="str">
        <f>IF(AND(A64&lt;&gt;"",E64&lt;&gt;""),IF(I64="","⚠️ Enter Code",IF(IFERROR(VLOOKUP(H64,DB_Agents!$B:$I,8,0),"")=I64,IF(C64&gt;=E64,"Successful","Unsuccessful"),"🔒 BLOCKED — Wrong Code")),"—")</f>
        <v>—</v>
      </c>
      <c r="K64" s="93" t="str">
        <f t="shared" ca="1" si="5"/>
        <v>—</v>
      </c>
      <c r="L64" s="94"/>
    </row>
    <row r="65" spans="1:12" x14ac:dyDescent="0.25">
      <c r="A65" s="79"/>
      <c r="B65" s="21" t="str">
        <f>IF(A65="","",IFERROR(VLOOKUP(A65,DB_Customers!$A:$D,4,0),"❌ Account Not Found"))</f>
        <v/>
      </c>
      <c r="C65" s="80" t="str">
        <f>IF(A65="","",IFERROR(VLOOKUP(A65,DB_Customers!$A:$N,14,0),""))</f>
        <v/>
      </c>
      <c r="D65" s="81" t="str">
        <f t="shared" ca="1" si="3"/>
        <v/>
      </c>
      <c r="E65" s="97"/>
      <c r="F65" s="21"/>
      <c r="G65" s="98" t="str">
        <f t="shared" si="4"/>
        <v/>
      </c>
      <c r="H65" s="23"/>
      <c r="I65" s="84"/>
      <c r="J65" s="85" t="str">
        <f>IF(AND(A65&lt;&gt;"",E65&lt;&gt;""),IF(I65="","⚠️ Enter Code",IF(IFERROR(VLOOKUP(H65,DB_Agents!$B:$I,8,0),"")=I65,IF(C65&gt;=E65,"Successful","Unsuccessful"),"🔒 BLOCKED — Wrong Code")),"—")</f>
        <v>—</v>
      </c>
      <c r="K65" s="86" t="str">
        <f t="shared" ca="1" si="5"/>
        <v>—</v>
      </c>
      <c r="L65" s="87"/>
    </row>
    <row r="66" spans="1:12" x14ac:dyDescent="0.25">
      <c r="A66" s="88"/>
      <c r="B66" s="25" t="str">
        <f>IF(A66="","",IFERROR(VLOOKUP(A66,DB_Customers!$A:$D,4,0),"❌ Account Not Found"))</f>
        <v/>
      </c>
      <c r="C66" s="89" t="str">
        <f>IF(A66="","",IFERROR(VLOOKUP(A66,DB_Customers!$A:$N,14,0),""))</f>
        <v/>
      </c>
      <c r="D66" s="90" t="str">
        <f t="shared" ca="1" si="3"/>
        <v/>
      </c>
      <c r="E66" s="97"/>
      <c r="F66" s="25"/>
      <c r="G66" s="99" t="str">
        <f t="shared" si="4"/>
        <v/>
      </c>
      <c r="H66" s="27"/>
      <c r="I66" s="84"/>
      <c r="J66" s="92" t="str">
        <f>IF(AND(A66&lt;&gt;"",E66&lt;&gt;""),IF(I66="","⚠️ Enter Code",IF(IFERROR(VLOOKUP(H66,DB_Agents!$B:$I,8,0),"")=I66,IF(C66&gt;=E66,"Successful","Unsuccessful"),"🔒 BLOCKED — Wrong Code")),"—")</f>
        <v>—</v>
      </c>
      <c r="K66" s="93" t="str">
        <f t="shared" ca="1" si="5"/>
        <v>—</v>
      </c>
      <c r="L66" s="94"/>
    </row>
    <row r="67" spans="1:12" x14ac:dyDescent="0.25">
      <c r="A67" s="79"/>
      <c r="B67" s="21" t="str">
        <f>IF(A67="","",IFERROR(VLOOKUP(A67,DB_Customers!$A:$D,4,0),"❌ Account Not Found"))</f>
        <v/>
      </c>
      <c r="C67" s="80" t="str">
        <f>IF(A67="","",IFERROR(VLOOKUP(A67,DB_Customers!$A:$N,14,0),""))</f>
        <v/>
      </c>
      <c r="D67" s="81" t="str">
        <f t="shared" ca="1" si="3"/>
        <v/>
      </c>
      <c r="E67" s="97"/>
      <c r="F67" s="21"/>
      <c r="G67" s="98" t="str">
        <f t="shared" si="4"/>
        <v/>
      </c>
      <c r="H67" s="23"/>
      <c r="I67" s="84"/>
      <c r="J67" s="85" t="str">
        <f>IF(AND(A67&lt;&gt;"",E67&lt;&gt;""),IF(I67="","⚠️ Enter Code",IF(IFERROR(VLOOKUP(H67,DB_Agents!$B:$I,8,0),"")=I67,IF(C67&gt;=E67,"Successful","Unsuccessful"),"🔒 BLOCKED — Wrong Code")),"—")</f>
        <v>—</v>
      </c>
      <c r="K67" s="86" t="str">
        <f t="shared" ca="1" si="5"/>
        <v>—</v>
      </c>
      <c r="L67" s="87"/>
    </row>
    <row r="68" spans="1:12" x14ac:dyDescent="0.25">
      <c r="A68" s="88"/>
      <c r="B68" s="25" t="str">
        <f>IF(A68="","",IFERROR(VLOOKUP(A68,DB_Customers!$A:$D,4,0),"❌ Account Not Found"))</f>
        <v/>
      </c>
      <c r="C68" s="89" t="str">
        <f>IF(A68="","",IFERROR(VLOOKUP(A68,DB_Customers!$A:$N,14,0),""))</f>
        <v/>
      </c>
      <c r="D68" s="90" t="str">
        <f t="shared" ca="1" si="3"/>
        <v/>
      </c>
      <c r="E68" s="97"/>
      <c r="F68" s="25"/>
      <c r="G68" s="99" t="str">
        <f t="shared" si="4"/>
        <v/>
      </c>
      <c r="H68" s="27"/>
      <c r="I68" s="84"/>
      <c r="J68" s="92" t="str">
        <f>IF(AND(A68&lt;&gt;"",E68&lt;&gt;""),IF(I68="","⚠️ Enter Code",IF(IFERROR(VLOOKUP(H68,DB_Agents!$B:$I,8,0),"")=I68,IF(C68&gt;=E68,"Successful","Unsuccessful"),"🔒 BLOCKED — Wrong Code")),"—")</f>
        <v>—</v>
      </c>
      <c r="K68" s="93" t="str">
        <f t="shared" ca="1" si="5"/>
        <v>—</v>
      </c>
      <c r="L68" s="94"/>
    </row>
    <row r="69" spans="1:12" x14ac:dyDescent="0.25">
      <c r="A69" s="79"/>
      <c r="B69" s="21" t="str">
        <f>IF(A69="","",IFERROR(VLOOKUP(A69,DB_Customers!$A:$D,4,0),"❌ Account Not Found"))</f>
        <v/>
      </c>
      <c r="C69" s="80" t="str">
        <f>IF(A69="","",IFERROR(VLOOKUP(A69,DB_Customers!$A:$N,14,0),""))</f>
        <v/>
      </c>
      <c r="D69" s="81" t="str">
        <f t="shared" ca="1" si="3"/>
        <v/>
      </c>
      <c r="E69" s="97"/>
      <c r="F69" s="21"/>
      <c r="G69" s="98" t="str">
        <f t="shared" si="4"/>
        <v/>
      </c>
      <c r="H69" s="23"/>
      <c r="I69" s="84"/>
      <c r="J69" s="85" t="str">
        <f>IF(AND(A69&lt;&gt;"",E69&lt;&gt;""),IF(I69="","⚠️ Enter Code",IF(IFERROR(VLOOKUP(H69,DB_Agents!$B:$I,8,0),"")=I69,IF(C69&gt;=E69,"Successful","Unsuccessful"),"🔒 BLOCKED — Wrong Code")),"—")</f>
        <v>—</v>
      </c>
      <c r="K69" s="86" t="str">
        <f t="shared" ca="1" si="5"/>
        <v>—</v>
      </c>
      <c r="L69" s="87"/>
    </row>
    <row r="70" spans="1:12" x14ac:dyDescent="0.25">
      <c r="A70" s="88"/>
      <c r="B70" s="25" t="str">
        <f>IF(A70="","",IFERROR(VLOOKUP(A70,DB_Customers!$A:$D,4,0),"❌ Account Not Found"))</f>
        <v/>
      </c>
      <c r="C70" s="89" t="str">
        <f>IF(A70="","",IFERROR(VLOOKUP(A70,DB_Customers!$A:$N,14,0),""))</f>
        <v/>
      </c>
      <c r="D70" s="90" t="str">
        <f t="shared" ca="1" si="3"/>
        <v/>
      </c>
      <c r="E70" s="97"/>
      <c r="F70" s="25"/>
      <c r="G70" s="99" t="str">
        <f t="shared" si="4"/>
        <v/>
      </c>
      <c r="H70" s="27"/>
      <c r="I70" s="84"/>
      <c r="J70" s="92" t="str">
        <f>IF(AND(A70&lt;&gt;"",E70&lt;&gt;""),IF(I70="","⚠️ Enter Code",IF(IFERROR(VLOOKUP(H70,DB_Agents!$B:$I,8,0),"")=I70,IF(C70&gt;=E70,"Successful","Unsuccessful"),"🔒 BLOCKED — Wrong Code")),"—")</f>
        <v>—</v>
      </c>
      <c r="K70" s="93" t="str">
        <f t="shared" ca="1" si="5"/>
        <v>—</v>
      </c>
      <c r="L70" s="94"/>
    </row>
    <row r="71" spans="1:12" x14ac:dyDescent="0.25">
      <c r="A71" s="79"/>
      <c r="B71" s="21" t="str">
        <f>IF(A71="","",IFERROR(VLOOKUP(A71,DB_Customers!$A:$D,4,0),"❌ Account Not Found"))</f>
        <v/>
      </c>
      <c r="C71" s="80" t="str">
        <f>IF(A71="","",IFERROR(VLOOKUP(A71,DB_Customers!$A:$N,14,0),""))</f>
        <v/>
      </c>
      <c r="D71" s="81" t="str">
        <f t="shared" ca="1" si="3"/>
        <v/>
      </c>
      <c r="E71" s="97"/>
      <c r="F71" s="21"/>
      <c r="G71" s="98" t="str">
        <f t="shared" si="4"/>
        <v/>
      </c>
      <c r="H71" s="23"/>
      <c r="I71" s="84"/>
      <c r="J71" s="85" t="str">
        <f>IF(AND(A71&lt;&gt;"",E71&lt;&gt;""),IF(I71="","⚠️ Enter Code",IF(IFERROR(VLOOKUP(H71,DB_Agents!$B:$I,8,0),"")=I71,IF(C71&gt;=E71,"Successful","Unsuccessful"),"🔒 BLOCKED — Wrong Code")),"—")</f>
        <v>—</v>
      </c>
      <c r="K71" s="86" t="str">
        <f t="shared" ca="1" si="5"/>
        <v>—</v>
      </c>
      <c r="L71" s="87"/>
    </row>
    <row r="72" spans="1:12" x14ac:dyDescent="0.25">
      <c r="A72" s="88"/>
      <c r="B72" s="25" t="str">
        <f>IF(A72="","",IFERROR(VLOOKUP(A72,DB_Customers!$A:$D,4,0),"❌ Account Not Found"))</f>
        <v/>
      </c>
      <c r="C72" s="89" t="str">
        <f>IF(A72="","",IFERROR(VLOOKUP(A72,DB_Customers!$A:$N,14,0),""))</f>
        <v/>
      </c>
      <c r="D72" s="90" t="str">
        <f t="shared" ca="1" si="3"/>
        <v/>
      </c>
      <c r="E72" s="97"/>
      <c r="F72" s="25"/>
      <c r="G72" s="99" t="str">
        <f t="shared" si="4"/>
        <v/>
      </c>
      <c r="H72" s="27"/>
      <c r="I72" s="84"/>
      <c r="J72" s="92" t="str">
        <f>IF(AND(A72&lt;&gt;"",E72&lt;&gt;""),IF(I72="","⚠️ Enter Code",IF(IFERROR(VLOOKUP(H72,DB_Agents!$B:$I,8,0),"")=I72,IF(C72&gt;=E72,"Successful","Unsuccessful"),"🔒 BLOCKED — Wrong Code")),"—")</f>
        <v>—</v>
      </c>
      <c r="K72" s="93" t="str">
        <f t="shared" ca="1" si="5"/>
        <v>—</v>
      </c>
      <c r="L72" s="94"/>
    </row>
    <row r="73" spans="1:12" x14ac:dyDescent="0.25">
      <c r="A73" s="79"/>
      <c r="B73" s="21" t="str">
        <f>IF(A73="","",IFERROR(VLOOKUP(A73,DB_Customers!$A:$D,4,0),"❌ Account Not Found"))</f>
        <v/>
      </c>
      <c r="C73" s="80" t="str">
        <f>IF(A73="","",IFERROR(VLOOKUP(A73,DB_Customers!$A:$N,14,0),""))</f>
        <v/>
      </c>
      <c r="D73" s="81" t="str">
        <f t="shared" ref="D73:D104" ca="1" si="6">IF(A73="","",TODAY())</f>
        <v/>
      </c>
      <c r="E73" s="97"/>
      <c r="F73" s="21"/>
      <c r="G73" s="98" t="str">
        <f t="shared" ref="G73:G104" si="7">IF(OR(A73="",E73=""),"",IF(C73="","",C73-E73))</f>
        <v/>
      </c>
      <c r="H73" s="23"/>
      <c r="I73" s="84"/>
      <c r="J73" s="85" t="str">
        <f>IF(AND(A73&lt;&gt;"",E73&lt;&gt;""),IF(I73="","⚠️ Enter Code",IF(IFERROR(VLOOKUP(H73,DB_Agents!$B:$I,8,0),"")=I73,IF(C73&gt;=E73,"Successful","Unsuccessful"),"🔒 BLOCKED — Wrong Code")),"—")</f>
        <v>—</v>
      </c>
      <c r="K73" s="86" t="str">
        <f t="shared" ref="K73:K104" ca="1" si="8">IF(J73="Successful",TEXT(TODAY(),"YYYY-MM-DD")&amp;" Auto","—")</f>
        <v>—</v>
      </c>
      <c r="L73" s="87"/>
    </row>
    <row r="74" spans="1:12" x14ac:dyDescent="0.25">
      <c r="A74" s="88"/>
      <c r="B74" s="25" t="str">
        <f>IF(A74="","",IFERROR(VLOOKUP(A74,DB_Customers!$A:$D,4,0),"❌ Account Not Found"))</f>
        <v/>
      </c>
      <c r="C74" s="89" t="str">
        <f>IF(A74="","",IFERROR(VLOOKUP(A74,DB_Customers!$A:$N,14,0),""))</f>
        <v/>
      </c>
      <c r="D74" s="90" t="str">
        <f t="shared" ca="1" si="6"/>
        <v/>
      </c>
      <c r="E74" s="97"/>
      <c r="F74" s="25"/>
      <c r="G74" s="99" t="str">
        <f t="shared" si="7"/>
        <v/>
      </c>
      <c r="H74" s="27"/>
      <c r="I74" s="84"/>
      <c r="J74" s="92" t="str">
        <f>IF(AND(A74&lt;&gt;"",E74&lt;&gt;""),IF(I74="","⚠️ Enter Code",IF(IFERROR(VLOOKUP(H74,DB_Agents!$B:$I,8,0),"")=I74,IF(C74&gt;=E74,"Successful","Unsuccessful"),"🔒 BLOCKED — Wrong Code")),"—")</f>
        <v>—</v>
      </c>
      <c r="K74" s="93" t="str">
        <f t="shared" ca="1" si="8"/>
        <v>—</v>
      </c>
      <c r="L74" s="94"/>
    </row>
    <row r="75" spans="1:12" x14ac:dyDescent="0.25">
      <c r="A75" s="79"/>
      <c r="B75" s="21" t="str">
        <f>IF(A75="","",IFERROR(VLOOKUP(A75,DB_Customers!$A:$D,4,0),"❌ Account Not Found"))</f>
        <v/>
      </c>
      <c r="C75" s="80" t="str">
        <f>IF(A75="","",IFERROR(VLOOKUP(A75,DB_Customers!$A:$N,14,0),""))</f>
        <v/>
      </c>
      <c r="D75" s="81" t="str">
        <f t="shared" ca="1" si="6"/>
        <v/>
      </c>
      <c r="E75" s="97"/>
      <c r="F75" s="21"/>
      <c r="G75" s="98" t="str">
        <f t="shared" si="7"/>
        <v/>
      </c>
      <c r="H75" s="23"/>
      <c r="I75" s="84"/>
      <c r="J75" s="85" t="str">
        <f>IF(AND(A75&lt;&gt;"",E75&lt;&gt;""),IF(I75="","⚠️ Enter Code",IF(IFERROR(VLOOKUP(H75,DB_Agents!$B:$I,8,0),"")=I75,IF(C75&gt;=E75,"Successful","Unsuccessful"),"🔒 BLOCKED — Wrong Code")),"—")</f>
        <v>—</v>
      </c>
      <c r="K75" s="86" t="str">
        <f t="shared" ca="1" si="8"/>
        <v>—</v>
      </c>
      <c r="L75" s="87"/>
    </row>
    <row r="76" spans="1:12" x14ac:dyDescent="0.25">
      <c r="A76" s="88"/>
      <c r="B76" s="25" t="str">
        <f>IF(A76="","",IFERROR(VLOOKUP(A76,DB_Customers!$A:$D,4,0),"❌ Account Not Found"))</f>
        <v/>
      </c>
      <c r="C76" s="89" t="str">
        <f>IF(A76="","",IFERROR(VLOOKUP(A76,DB_Customers!$A:$N,14,0),""))</f>
        <v/>
      </c>
      <c r="D76" s="90" t="str">
        <f t="shared" ca="1" si="6"/>
        <v/>
      </c>
      <c r="E76" s="97"/>
      <c r="F76" s="25"/>
      <c r="G76" s="99" t="str">
        <f t="shared" si="7"/>
        <v/>
      </c>
      <c r="H76" s="27"/>
      <c r="I76" s="84"/>
      <c r="J76" s="92" t="str">
        <f>IF(AND(A76&lt;&gt;"",E76&lt;&gt;""),IF(I76="","⚠️ Enter Code",IF(IFERROR(VLOOKUP(H76,DB_Agents!$B:$I,8,0),"")=I76,IF(C76&gt;=E76,"Successful","Unsuccessful"),"🔒 BLOCKED — Wrong Code")),"—")</f>
        <v>—</v>
      </c>
      <c r="K76" s="93" t="str">
        <f t="shared" ca="1" si="8"/>
        <v>—</v>
      </c>
      <c r="L76" s="94"/>
    </row>
    <row r="77" spans="1:12" x14ac:dyDescent="0.25">
      <c r="A77" s="79"/>
      <c r="B77" s="21" t="str">
        <f>IF(A77="","",IFERROR(VLOOKUP(A77,DB_Customers!$A:$D,4,0),"❌ Account Not Found"))</f>
        <v/>
      </c>
      <c r="C77" s="80" t="str">
        <f>IF(A77="","",IFERROR(VLOOKUP(A77,DB_Customers!$A:$N,14,0),""))</f>
        <v/>
      </c>
      <c r="D77" s="81" t="str">
        <f t="shared" ca="1" si="6"/>
        <v/>
      </c>
      <c r="E77" s="97"/>
      <c r="F77" s="21"/>
      <c r="G77" s="98" t="str">
        <f t="shared" si="7"/>
        <v/>
      </c>
      <c r="H77" s="23"/>
      <c r="I77" s="84"/>
      <c r="J77" s="85" t="str">
        <f>IF(AND(A77&lt;&gt;"",E77&lt;&gt;""),IF(I77="","⚠️ Enter Code",IF(IFERROR(VLOOKUP(H77,DB_Agents!$B:$I,8,0),"")=I77,IF(C77&gt;=E77,"Successful","Unsuccessful"),"🔒 BLOCKED — Wrong Code")),"—")</f>
        <v>—</v>
      </c>
      <c r="K77" s="86" t="str">
        <f t="shared" ca="1" si="8"/>
        <v>—</v>
      </c>
      <c r="L77" s="87"/>
    </row>
    <row r="78" spans="1:12" x14ac:dyDescent="0.25">
      <c r="A78" s="88"/>
      <c r="B78" s="25" t="str">
        <f>IF(A78="","",IFERROR(VLOOKUP(A78,DB_Customers!$A:$D,4,0),"❌ Account Not Found"))</f>
        <v/>
      </c>
      <c r="C78" s="89" t="str">
        <f>IF(A78="","",IFERROR(VLOOKUP(A78,DB_Customers!$A:$N,14,0),""))</f>
        <v/>
      </c>
      <c r="D78" s="90" t="str">
        <f t="shared" ca="1" si="6"/>
        <v/>
      </c>
      <c r="E78" s="97"/>
      <c r="F78" s="25"/>
      <c r="G78" s="99" t="str">
        <f t="shared" si="7"/>
        <v/>
      </c>
      <c r="H78" s="27"/>
      <c r="I78" s="84"/>
      <c r="J78" s="92" t="str">
        <f>IF(AND(A78&lt;&gt;"",E78&lt;&gt;""),IF(I78="","⚠️ Enter Code",IF(IFERROR(VLOOKUP(H78,DB_Agents!$B:$I,8,0),"")=I78,IF(C78&gt;=E78,"Successful","Unsuccessful"),"🔒 BLOCKED — Wrong Code")),"—")</f>
        <v>—</v>
      </c>
      <c r="K78" s="93" t="str">
        <f t="shared" ca="1" si="8"/>
        <v>—</v>
      </c>
      <c r="L78" s="94"/>
    </row>
    <row r="79" spans="1:12" x14ac:dyDescent="0.25">
      <c r="A79" s="79"/>
      <c r="B79" s="21" t="str">
        <f>IF(A79="","",IFERROR(VLOOKUP(A79,DB_Customers!$A:$D,4,0),"❌ Account Not Found"))</f>
        <v/>
      </c>
      <c r="C79" s="80" t="str">
        <f>IF(A79="","",IFERROR(VLOOKUP(A79,DB_Customers!$A:$N,14,0),""))</f>
        <v/>
      </c>
      <c r="D79" s="81" t="str">
        <f t="shared" ca="1" si="6"/>
        <v/>
      </c>
      <c r="E79" s="97"/>
      <c r="F79" s="21"/>
      <c r="G79" s="98" t="str">
        <f t="shared" si="7"/>
        <v/>
      </c>
      <c r="H79" s="23"/>
      <c r="I79" s="84"/>
      <c r="J79" s="85" t="str">
        <f>IF(AND(A79&lt;&gt;"",E79&lt;&gt;""),IF(I79="","⚠️ Enter Code",IF(IFERROR(VLOOKUP(H79,DB_Agents!$B:$I,8,0),"")=I79,IF(C79&gt;=E79,"Successful","Unsuccessful"),"🔒 BLOCKED — Wrong Code")),"—")</f>
        <v>—</v>
      </c>
      <c r="K79" s="86" t="str">
        <f t="shared" ca="1" si="8"/>
        <v>—</v>
      </c>
      <c r="L79" s="87"/>
    </row>
    <row r="80" spans="1:12" x14ac:dyDescent="0.25">
      <c r="A80" s="88"/>
      <c r="B80" s="25" t="str">
        <f>IF(A80="","",IFERROR(VLOOKUP(A80,DB_Customers!$A:$D,4,0),"❌ Account Not Found"))</f>
        <v/>
      </c>
      <c r="C80" s="89" t="str">
        <f>IF(A80="","",IFERROR(VLOOKUP(A80,DB_Customers!$A:$N,14,0),""))</f>
        <v/>
      </c>
      <c r="D80" s="90" t="str">
        <f t="shared" ca="1" si="6"/>
        <v/>
      </c>
      <c r="E80" s="97"/>
      <c r="F80" s="25"/>
      <c r="G80" s="99" t="str">
        <f t="shared" si="7"/>
        <v/>
      </c>
      <c r="H80" s="27"/>
      <c r="I80" s="84"/>
      <c r="J80" s="92" t="str">
        <f>IF(AND(A80&lt;&gt;"",E80&lt;&gt;""),IF(I80="","⚠️ Enter Code",IF(IFERROR(VLOOKUP(H80,DB_Agents!$B:$I,8,0),"")=I80,IF(C80&gt;=E80,"Successful","Unsuccessful"),"🔒 BLOCKED — Wrong Code")),"—")</f>
        <v>—</v>
      </c>
      <c r="K80" s="93" t="str">
        <f t="shared" ca="1" si="8"/>
        <v>—</v>
      </c>
      <c r="L80" s="94"/>
    </row>
    <row r="81" spans="1:12" x14ac:dyDescent="0.25">
      <c r="A81" s="79"/>
      <c r="B81" s="21" t="str">
        <f>IF(A81="","",IFERROR(VLOOKUP(A81,DB_Customers!$A:$D,4,0),"❌ Account Not Found"))</f>
        <v/>
      </c>
      <c r="C81" s="80" t="str">
        <f>IF(A81="","",IFERROR(VLOOKUP(A81,DB_Customers!$A:$N,14,0),""))</f>
        <v/>
      </c>
      <c r="D81" s="81" t="str">
        <f t="shared" ca="1" si="6"/>
        <v/>
      </c>
      <c r="E81" s="97"/>
      <c r="F81" s="21"/>
      <c r="G81" s="98" t="str">
        <f t="shared" si="7"/>
        <v/>
      </c>
      <c r="H81" s="23"/>
      <c r="I81" s="84"/>
      <c r="J81" s="85" t="str">
        <f>IF(AND(A81&lt;&gt;"",E81&lt;&gt;""),IF(I81="","⚠️ Enter Code",IF(IFERROR(VLOOKUP(H81,DB_Agents!$B:$I,8,0),"")=I81,IF(C81&gt;=E81,"Successful","Unsuccessful"),"🔒 BLOCKED — Wrong Code")),"—")</f>
        <v>—</v>
      </c>
      <c r="K81" s="86" t="str">
        <f t="shared" ca="1" si="8"/>
        <v>—</v>
      </c>
      <c r="L81" s="87"/>
    </row>
    <row r="82" spans="1:12" x14ac:dyDescent="0.25">
      <c r="A82" s="88"/>
      <c r="B82" s="25" t="str">
        <f>IF(A82="","",IFERROR(VLOOKUP(A82,DB_Customers!$A:$D,4,0),"❌ Account Not Found"))</f>
        <v/>
      </c>
      <c r="C82" s="89" t="str">
        <f>IF(A82="","",IFERROR(VLOOKUP(A82,DB_Customers!$A:$N,14,0),""))</f>
        <v/>
      </c>
      <c r="D82" s="90" t="str">
        <f t="shared" ca="1" si="6"/>
        <v/>
      </c>
      <c r="E82" s="97"/>
      <c r="F82" s="25"/>
      <c r="G82" s="99" t="str">
        <f t="shared" si="7"/>
        <v/>
      </c>
      <c r="H82" s="27"/>
      <c r="I82" s="84"/>
      <c r="J82" s="92" t="str">
        <f>IF(AND(A82&lt;&gt;"",E82&lt;&gt;""),IF(I82="","⚠️ Enter Code",IF(IFERROR(VLOOKUP(H82,DB_Agents!$B:$I,8,0),"")=I82,IF(C82&gt;=E82,"Successful","Unsuccessful"),"🔒 BLOCKED — Wrong Code")),"—")</f>
        <v>—</v>
      </c>
      <c r="K82" s="93" t="str">
        <f t="shared" ca="1" si="8"/>
        <v>—</v>
      </c>
      <c r="L82" s="94"/>
    </row>
    <row r="83" spans="1:12" x14ac:dyDescent="0.25">
      <c r="A83" s="79"/>
      <c r="B83" s="21" t="str">
        <f>IF(A83="","",IFERROR(VLOOKUP(A83,DB_Customers!$A:$D,4,0),"❌ Account Not Found"))</f>
        <v/>
      </c>
      <c r="C83" s="80" t="str">
        <f>IF(A83="","",IFERROR(VLOOKUP(A83,DB_Customers!$A:$N,14,0),""))</f>
        <v/>
      </c>
      <c r="D83" s="81" t="str">
        <f t="shared" ca="1" si="6"/>
        <v/>
      </c>
      <c r="E83" s="97"/>
      <c r="F83" s="21"/>
      <c r="G83" s="98" t="str">
        <f t="shared" si="7"/>
        <v/>
      </c>
      <c r="H83" s="23"/>
      <c r="I83" s="84"/>
      <c r="J83" s="85" t="str">
        <f>IF(AND(A83&lt;&gt;"",E83&lt;&gt;""),IF(I83="","⚠️ Enter Code",IF(IFERROR(VLOOKUP(H83,DB_Agents!$B:$I,8,0),"")=I83,IF(C83&gt;=E83,"Successful","Unsuccessful"),"🔒 BLOCKED — Wrong Code")),"—")</f>
        <v>—</v>
      </c>
      <c r="K83" s="86" t="str">
        <f t="shared" ca="1" si="8"/>
        <v>—</v>
      </c>
      <c r="L83" s="87"/>
    </row>
    <row r="84" spans="1:12" x14ac:dyDescent="0.25">
      <c r="A84" s="88"/>
      <c r="B84" s="25" t="str">
        <f>IF(A84="","",IFERROR(VLOOKUP(A84,DB_Customers!$A:$D,4,0),"❌ Account Not Found"))</f>
        <v/>
      </c>
      <c r="C84" s="89" t="str">
        <f>IF(A84="","",IFERROR(VLOOKUP(A84,DB_Customers!$A:$N,14,0),""))</f>
        <v/>
      </c>
      <c r="D84" s="90" t="str">
        <f t="shared" ca="1" si="6"/>
        <v/>
      </c>
      <c r="E84" s="97"/>
      <c r="F84" s="25"/>
      <c r="G84" s="99" t="str">
        <f t="shared" si="7"/>
        <v/>
      </c>
      <c r="H84" s="27"/>
      <c r="I84" s="84"/>
      <c r="J84" s="92" t="str">
        <f>IF(AND(A84&lt;&gt;"",E84&lt;&gt;""),IF(I84="","⚠️ Enter Code",IF(IFERROR(VLOOKUP(H84,DB_Agents!$B:$I,8,0),"")=I84,IF(C84&gt;=E84,"Successful","Unsuccessful"),"🔒 BLOCKED — Wrong Code")),"—")</f>
        <v>—</v>
      </c>
      <c r="K84" s="93" t="str">
        <f t="shared" ca="1" si="8"/>
        <v>—</v>
      </c>
      <c r="L84" s="94"/>
    </row>
    <row r="85" spans="1:12" x14ac:dyDescent="0.25">
      <c r="A85" s="79"/>
      <c r="B85" s="21" t="str">
        <f>IF(A85="","",IFERROR(VLOOKUP(A85,DB_Customers!$A:$D,4,0),"❌ Account Not Found"))</f>
        <v/>
      </c>
      <c r="C85" s="80" t="str">
        <f>IF(A85="","",IFERROR(VLOOKUP(A85,DB_Customers!$A:$N,14,0),""))</f>
        <v/>
      </c>
      <c r="D85" s="81" t="str">
        <f t="shared" ca="1" si="6"/>
        <v/>
      </c>
      <c r="E85" s="97"/>
      <c r="F85" s="21"/>
      <c r="G85" s="98" t="str">
        <f t="shared" si="7"/>
        <v/>
      </c>
      <c r="H85" s="23"/>
      <c r="I85" s="84"/>
      <c r="J85" s="85" t="str">
        <f>IF(AND(A85&lt;&gt;"",E85&lt;&gt;""),IF(I85="","⚠️ Enter Code",IF(IFERROR(VLOOKUP(H85,DB_Agents!$B:$I,8,0),"")=I85,IF(C85&gt;=E85,"Successful","Unsuccessful"),"🔒 BLOCKED — Wrong Code")),"—")</f>
        <v>—</v>
      </c>
      <c r="K85" s="86" t="str">
        <f t="shared" ca="1" si="8"/>
        <v>—</v>
      </c>
      <c r="L85" s="87"/>
    </row>
    <row r="86" spans="1:12" x14ac:dyDescent="0.25">
      <c r="A86" s="88"/>
      <c r="B86" s="25" t="str">
        <f>IF(A86="","",IFERROR(VLOOKUP(A86,DB_Customers!$A:$D,4,0),"❌ Account Not Found"))</f>
        <v/>
      </c>
      <c r="C86" s="89" t="str">
        <f>IF(A86="","",IFERROR(VLOOKUP(A86,DB_Customers!$A:$N,14,0),""))</f>
        <v/>
      </c>
      <c r="D86" s="90" t="str">
        <f t="shared" ca="1" si="6"/>
        <v/>
      </c>
      <c r="E86" s="97"/>
      <c r="F86" s="25"/>
      <c r="G86" s="99" t="str">
        <f t="shared" si="7"/>
        <v/>
      </c>
      <c r="H86" s="27"/>
      <c r="I86" s="84"/>
      <c r="J86" s="92" t="str">
        <f>IF(AND(A86&lt;&gt;"",E86&lt;&gt;""),IF(I86="","⚠️ Enter Code",IF(IFERROR(VLOOKUP(H86,DB_Agents!$B:$I,8,0),"")=I86,IF(C86&gt;=E86,"Successful","Unsuccessful"),"🔒 BLOCKED — Wrong Code")),"—")</f>
        <v>—</v>
      </c>
      <c r="K86" s="93" t="str">
        <f t="shared" ca="1" si="8"/>
        <v>—</v>
      </c>
      <c r="L86" s="94"/>
    </row>
    <row r="87" spans="1:12" x14ac:dyDescent="0.25">
      <c r="A87" s="79"/>
      <c r="B87" s="21" t="str">
        <f>IF(A87="","",IFERROR(VLOOKUP(A87,DB_Customers!$A:$D,4,0),"❌ Account Not Found"))</f>
        <v/>
      </c>
      <c r="C87" s="80" t="str">
        <f>IF(A87="","",IFERROR(VLOOKUP(A87,DB_Customers!$A:$N,14,0),""))</f>
        <v/>
      </c>
      <c r="D87" s="81" t="str">
        <f t="shared" ca="1" si="6"/>
        <v/>
      </c>
      <c r="E87" s="97"/>
      <c r="F87" s="21"/>
      <c r="G87" s="98" t="str">
        <f t="shared" si="7"/>
        <v/>
      </c>
      <c r="H87" s="23"/>
      <c r="I87" s="84"/>
      <c r="J87" s="85" t="str">
        <f>IF(AND(A87&lt;&gt;"",E87&lt;&gt;""),IF(I87="","⚠️ Enter Code",IF(IFERROR(VLOOKUP(H87,DB_Agents!$B:$I,8,0),"")=I87,IF(C87&gt;=E87,"Successful","Unsuccessful"),"🔒 BLOCKED — Wrong Code")),"—")</f>
        <v>—</v>
      </c>
      <c r="K87" s="86" t="str">
        <f t="shared" ca="1" si="8"/>
        <v>—</v>
      </c>
      <c r="L87" s="87"/>
    </row>
    <row r="88" spans="1:12" x14ac:dyDescent="0.25">
      <c r="A88" s="88"/>
      <c r="B88" s="25" t="str">
        <f>IF(A88="","",IFERROR(VLOOKUP(A88,DB_Customers!$A:$D,4,0),"❌ Account Not Found"))</f>
        <v/>
      </c>
      <c r="C88" s="89" t="str">
        <f>IF(A88="","",IFERROR(VLOOKUP(A88,DB_Customers!$A:$N,14,0),""))</f>
        <v/>
      </c>
      <c r="D88" s="90" t="str">
        <f t="shared" ca="1" si="6"/>
        <v/>
      </c>
      <c r="E88" s="97"/>
      <c r="F88" s="25"/>
      <c r="G88" s="99" t="str">
        <f t="shared" si="7"/>
        <v/>
      </c>
      <c r="H88" s="27"/>
      <c r="I88" s="84"/>
      <c r="J88" s="92" t="str">
        <f>IF(AND(A88&lt;&gt;"",E88&lt;&gt;""),IF(I88="","⚠️ Enter Code",IF(IFERROR(VLOOKUP(H88,DB_Agents!$B:$I,8,0),"")=I88,IF(C88&gt;=E88,"Successful","Unsuccessful"),"🔒 BLOCKED — Wrong Code")),"—")</f>
        <v>—</v>
      </c>
      <c r="K88" s="93" t="str">
        <f t="shared" ca="1" si="8"/>
        <v>—</v>
      </c>
      <c r="L88" s="94"/>
    </row>
    <row r="89" spans="1:12" x14ac:dyDescent="0.25">
      <c r="A89" s="79"/>
      <c r="B89" s="21" t="str">
        <f>IF(A89="","",IFERROR(VLOOKUP(A89,DB_Customers!$A:$D,4,0),"❌ Account Not Found"))</f>
        <v/>
      </c>
      <c r="C89" s="80" t="str">
        <f>IF(A89="","",IFERROR(VLOOKUP(A89,DB_Customers!$A:$N,14,0),""))</f>
        <v/>
      </c>
      <c r="D89" s="81" t="str">
        <f t="shared" ca="1" si="6"/>
        <v/>
      </c>
      <c r="E89" s="97"/>
      <c r="F89" s="21"/>
      <c r="G89" s="98" t="str">
        <f t="shared" si="7"/>
        <v/>
      </c>
      <c r="H89" s="23"/>
      <c r="I89" s="84"/>
      <c r="J89" s="85" t="str">
        <f>IF(AND(A89&lt;&gt;"",E89&lt;&gt;""),IF(I89="","⚠️ Enter Code",IF(IFERROR(VLOOKUP(H89,DB_Agents!$B:$I,8,0),"")=I89,IF(C89&gt;=E89,"Successful","Unsuccessful"),"🔒 BLOCKED — Wrong Code")),"—")</f>
        <v>—</v>
      </c>
      <c r="K89" s="86" t="str">
        <f t="shared" ca="1" si="8"/>
        <v>—</v>
      </c>
      <c r="L89" s="87"/>
    </row>
    <row r="90" spans="1:12" x14ac:dyDescent="0.25">
      <c r="A90" s="88"/>
      <c r="B90" s="25" t="str">
        <f>IF(A90="","",IFERROR(VLOOKUP(A90,DB_Customers!$A:$D,4,0),"❌ Account Not Found"))</f>
        <v/>
      </c>
      <c r="C90" s="89" t="str">
        <f>IF(A90="","",IFERROR(VLOOKUP(A90,DB_Customers!$A:$N,14,0),""))</f>
        <v/>
      </c>
      <c r="D90" s="90" t="str">
        <f t="shared" ca="1" si="6"/>
        <v/>
      </c>
      <c r="E90" s="97"/>
      <c r="F90" s="25"/>
      <c r="G90" s="99" t="str">
        <f t="shared" si="7"/>
        <v/>
      </c>
      <c r="H90" s="27"/>
      <c r="I90" s="84"/>
      <c r="J90" s="92" t="str">
        <f>IF(AND(A90&lt;&gt;"",E90&lt;&gt;""),IF(I90="","⚠️ Enter Code",IF(IFERROR(VLOOKUP(H90,DB_Agents!$B:$I,8,0),"")=I90,IF(C90&gt;=E90,"Successful","Unsuccessful"),"🔒 BLOCKED — Wrong Code")),"—")</f>
        <v>—</v>
      </c>
      <c r="K90" s="93" t="str">
        <f t="shared" ca="1" si="8"/>
        <v>—</v>
      </c>
      <c r="L90" s="94"/>
    </row>
    <row r="91" spans="1:12" x14ac:dyDescent="0.25">
      <c r="A91" s="79"/>
      <c r="B91" s="21" t="str">
        <f>IF(A91="","",IFERROR(VLOOKUP(A91,DB_Customers!$A:$D,4,0),"❌ Account Not Found"))</f>
        <v/>
      </c>
      <c r="C91" s="80" t="str">
        <f>IF(A91="","",IFERROR(VLOOKUP(A91,DB_Customers!$A:$N,14,0),""))</f>
        <v/>
      </c>
      <c r="D91" s="81" t="str">
        <f t="shared" ca="1" si="6"/>
        <v/>
      </c>
      <c r="E91" s="97"/>
      <c r="F91" s="21"/>
      <c r="G91" s="98" t="str">
        <f t="shared" si="7"/>
        <v/>
      </c>
      <c r="H91" s="23"/>
      <c r="I91" s="84"/>
      <c r="J91" s="85" t="str">
        <f>IF(AND(A91&lt;&gt;"",E91&lt;&gt;""),IF(I91="","⚠️ Enter Code",IF(IFERROR(VLOOKUP(H91,DB_Agents!$B:$I,8,0),"")=I91,IF(C91&gt;=E91,"Successful","Unsuccessful"),"🔒 BLOCKED — Wrong Code")),"—")</f>
        <v>—</v>
      </c>
      <c r="K91" s="86" t="str">
        <f t="shared" ca="1" si="8"/>
        <v>—</v>
      </c>
      <c r="L91" s="87"/>
    </row>
    <row r="92" spans="1:12" x14ac:dyDescent="0.25">
      <c r="A92" s="88"/>
      <c r="B92" s="25" t="str">
        <f>IF(A92="","",IFERROR(VLOOKUP(A92,DB_Customers!$A:$D,4,0),"❌ Account Not Found"))</f>
        <v/>
      </c>
      <c r="C92" s="89" t="str">
        <f>IF(A92="","",IFERROR(VLOOKUP(A92,DB_Customers!$A:$N,14,0),""))</f>
        <v/>
      </c>
      <c r="D92" s="90" t="str">
        <f t="shared" ca="1" si="6"/>
        <v/>
      </c>
      <c r="E92" s="97"/>
      <c r="F92" s="25"/>
      <c r="G92" s="99" t="str">
        <f t="shared" si="7"/>
        <v/>
      </c>
      <c r="H92" s="27"/>
      <c r="I92" s="84"/>
      <c r="J92" s="92" t="str">
        <f>IF(AND(A92&lt;&gt;"",E92&lt;&gt;""),IF(I92="","⚠️ Enter Code",IF(IFERROR(VLOOKUP(H92,DB_Agents!$B:$I,8,0),"")=I92,IF(C92&gt;=E92,"Successful","Unsuccessful"),"🔒 BLOCKED — Wrong Code")),"—")</f>
        <v>—</v>
      </c>
      <c r="K92" s="93" t="str">
        <f t="shared" ca="1" si="8"/>
        <v>—</v>
      </c>
      <c r="L92" s="94"/>
    </row>
    <row r="93" spans="1:12" x14ac:dyDescent="0.25">
      <c r="A93" s="79"/>
      <c r="B93" s="21" t="str">
        <f>IF(A93="","",IFERROR(VLOOKUP(A93,DB_Customers!$A:$D,4,0),"❌ Account Not Found"))</f>
        <v/>
      </c>
      <c r="C93" s="80" t="str">
        <f>IF(A93="","",IFERROR(VLOOKUP(A93,DB_Customers!$A:$N,14,0),""))</f>
        <v/>
      </c>
      <c r="D93" s="81" t="str">
        <f t="shared" ca="1" si="6"/>
        <v/>
      </c>
      <c r="E93" s="97"/>
      <c r="F93" s="21"/>
      <c r="G93" s="98" t="str">
        <f t="shared" si="7"/>
        <v/>
      </c>
      <c r="H93" s="23"/>
      <c r="I93" s="84"/>
      <c r="J93" s="85" t="str">
        <f>IF(AND(A93&lt;&gt;"",E93&lt;&gt;""),IF(I93="","⚠️ Enter Code",IF(IFERROR(VLOOKUP(H93,DB_Agents!$B:$I,8,0),"")=I93,IF(C93&gt;=E93,"Successful","Unsuccessful"),"🔒 BLOCKED — Wrong Code")),"—")</f>
        <v>—</v>
      </c>
      <c r="K93" s="86" t="str">
        <f t="shared" ca="1" si="8"/>
        <v>—</v>
      </c>
      <c r="L93" s="87"/>
    </row>
    <row r="94" spans="1:12" x14ac:dyDescent="0.25">
      <c r="A94" s="88"/>
      <c r="B94" s="25" t="str">
        <f>IF(A94="","",IFERROR(VLOOKUP(A94,DB_Customers!$A:$D,4,0),"❌ Account Not Found"))</f>
        <v/>
      </c>
      <c r="C94" s="89" t="str">
        <f>IF(A94="","",IFERROR(VLOOKUP(A94,DB_Customers!$A:$N,14,0),""))</f>
        <v/>
      </c>
      <c r="D94" s="90" t="str">
        <f t="shared" ca="1" si="6"/>
        <v/>
      </c>
      <c r="E94" s="97"/>
      <c r="F94" s="25"/>
      <c r="G94" s="99" t="str">
        <f t="shared" si="7"/>
        <v/>
      </c>
      <c r="H94" s="27"/>
      <c r="I94" s="84"/>
      <c r="J94" s="92" t="str">
        <f>IF(AND(A94&lt;&gt;"",E94&lt;&gt;""),IF(I94="","⚠️ Enter Code",IF(IFERROR(VLOOKUP(H94,DB_Agents!$B:$I,8,0),"")=I94,IF(C94&gt;=E94,"Successful","Unsuccessful"),"🔒 BLOCKED — Wrong Code")),"—")</f>
        <v>—</v>
      </c>
      <c r="K94" s="93" t="str">
        <f t="shared" ca="1" si="8"/>
        <v>—</v>
      </c>
      <c r="L94" s="94"/>
    </row>
    <row r="95" spans="1:12" x14ac:dyDescent="0.25">
      <c r="A95" s="79"/>
      <c r="B95" s="21" t="str">
        <f>IF(A95="","",IFERROR(VLOOKUP(A95,DB_Customers!$A:$D,4,0),"❌ Account Not Found"))</f>
        <v/>
      </c>
      <c r="C95" s="80" t="str">
        <f>IF(A95="","",IFERROR(VLOOKUP(A95,DB_Customers!$A:$N,14,0),""))</f>
        <v/>
      </c>
      <c r="D95" s="81" t="str">
        <f t="shared" ca="1" si="6"/>
        <v/>
      </c>
      <c r="E95" s="97"/>
      <c r="F95" s="21"/>
      <c r="G95" s="98" t="str">
        <f t="shared" si="7"/>
        <v/>
      </c>
      <c r="H95" s="23"/>
      <c r="I95" s="84"/>
      <c r="J95" s="85" t="str">
        <f>IF(AND(A95&lt;&gt;"",E95&lt;&gt;""),IF(I95="","⚠️ Enter Code",IF(IFERROR(VLOOKUP(H95,DB_Agents!$B:$I,8,0),"")=I95,IF(C95&gt;=E95,"Successful","Unsuccessful"),"🔒 BLOCKED — Wrong Code")),"—")</f>
        <v>—</v>
      </c>
      <c r="K95" s="86" t="str">
        <f t="shared" ca="1" si="8"/>
        <v>—</v>
      </c>
      <c r="L95" s="87"/>
    </row>
    <row r="96" spans="1:12" x14ac:dyDescent="0.25">
      <c r="A96" s="88"/>
      <c r="B96" s="25" t="str">
        <f>IF(A96="","",IFERROR(VLOOKUP(A96,DB_Customers!$A:$D,4,0),"❌ Account Not Found"))</f>
        <v/>
      </c>
      <c r="C96" s="89" t="str">
        <f>IF(A96="","",IFERROR(VLOOKUP(A96,DB_Customers!$A:$N,14,0),""))</f>
        <v/>
      </c>
      <c r="D96" s="90" t="str">
        <f t="shared" ca="1" si="6"/>
        <v/>
      </c>
      <c r="E96" s="97"/>
      <c r="F96" s="25"/>
      <c r="G96" s="99" t="str">
        <f t="shared" si="7"/>
        <v/>
      </c>
      <c r="H96" s="27"/>
      <c r="I96" s="84"/>
      <c r="J96" s="92" t="str">
        <f>IF(AND(A96&lt;&gt;"",E96&lt;&gt;""),IF(I96="","⚠️ Enter Code",IF(IFERROR(VLOOKUP(H96,DB_Agents!$B:$I,8,0),"")=I96,IF(C96&gt;=E96,"Successful","Unsuccessful"),"🔒 BLOCKED — Wrong Code")),"—")</f>
        <v>—</v>
      </c>
      <c r="K96" s="93" t="str">
        <f t="shared" ca="1" si="8"/>
        <v>—</v>
      </c>
      <c r="L96" s="94"/>
    </row>
    <row r="97" spans="1:12" x14ac:dyDescent="0.25">
      <c r="A97" s="79"/>
      <c r="B97" s="21" t="str">
        <f>IF(A97="","",IFERROR(VLOOKUP(A97,DB_Customers!$A:$D,4,0),"❌ Account Not Found"))</f>
        <v/>
      </c>
      <c r="C97" s="80" t="str">
        <f>IF(A97="","",IFERROR(VLOOKUP(A97,DB_Customers!$A:$N,14,0),""))</f>
        <v/>
      </c>
      <c r="D97" s="81" t="str">
        <f t="shared" ca="1" si="6"/>
        <v/>
      </c>
      <c r="E97" s="97"/>
      <c r="F97" s="21"/>
      <c r="G97" s="98" t="str">
        <f t="shared" si="7"/>
        <v/>
      </c>
      <c r="H97" s="23"/>
      <c r="I97" s="84"/>
      <c r="J97" s="85" t="str">
        <f>IF(AND(A97&lt;&gt;"",E97&lt;&gt;""),IF(I97="","⚠️ Enter Code",IF(IFERROR(VLOOKUP(H97,DB_Agents!$B:$I,8,0),"")=I97,IF(C97&gt;=E97,"Successful","Unsuccessful"),"🔒 BLOCKED — Wrong Code")),"—")</f>
        <v>—</v>
      </c>
      <c r="K97" s="86" t="str">
        <f t="shared" ca="1" si="8"/>
        <v>—</v>
      </c>
      <c r="L97" s="87"/>
    </row>
    <row r="98" spans="1:12" x14ac:dyDescent="0.25">
      <c r="A98" s="88"/>
      <c r="B98" s="25" t="str">
        <f>IF(A98="","",IFERROR(VLOOKUP(A98,DB_Customers!$A:$D,4,0),"❌ Account Not Found"))</f>
        <v/>
      </c>
      <c r="C98" s="89" t="str">
        <f>IF(A98="","",IFERROR(VLOOKUP(A98,DB_Customers!$A:$N,14,0),""))</f>
        <v/>
      </c>
      <c r="D98" s="90" t="str">
        <f t="shared" ca="1" si="6"/>
        <v/>
      </c>
      <c r="E98" s="97"/>
      <c r="F98" s="25"/>
      <c r="G98" s="99" t="str">
        <f t="shared" si="7"/>
        <v/>
      </c>
      <c r="H98" s="27"/>
      <c r="I98" s="84"/>
      <c r="J98" s="92" t="str">
        <f>IF(AND(A98&lt;&gt;"",E98&lt;&gt;""),IF(I98="","⚠️ Enter Code",IF(IFERROR(VLOOKUP(H98,DB_Agents!$B:$I,8,0),"")=I98,IF(C98&gt;=E98,"Successful","Unsuccessful"),"🔒 BLOCKED — Wrong Code")),"—")</f>
        <v>—</v>
      </c>
      <c r="K98" s="93" t="str">
        <f t="shared" ca="1" si="8"/>
        <v>—</v>
      </c>
      <c r="L98" s="94"/>
    </row>
    <row r="99" spans="1:12" x14ac:dyDescent="0.25">
      <c r="A99" s="79"/>
      <c r="B99" s="21" t="str">
        <f>IF(A99="","",IFERROR(VLOOKUP(A99,DB_Customers!$A:$D,4,0),"❌ Account Not Found"))</f>
        <v/>
      </c>
      <c r="C99" s="80" t="str">
        <f>IF(A99="","",IFERROR(VLOOKUP(A99,DB_Customers!$A:$N,14,0),""))</f>
        <v/>
      </c>
      <c r="D99" s="81" t="str">
        <f t="shared" ca="1" si="6"/>
        <v/>
      </c>
      <c r="E99" s="97"/>
      <c r="F99" s="21"/>
      <c r="G99" s="98" t="str">
        <f t="shared" si="7"/>
        <v/>
      </c>
      <c r="H99" s="23"/>
      <c r="I99" s="84"/>
      <c r="J99" s="85" t="str">
        <f>IF(AND(A99&lt;&gt;"",E99&lt;&gt;""),IF(I99="","⚠️ Enter Code",IF(IFERROR(VLOOKUP(H99,DB_Agents!$B:$I,8,0),"")=I99,IF(C99&gt;=E99,"Successful","Unsuccessful"),"🔒 BLOCKED — Wrong Code")),"—")</f>
        <v>—</v>
      </c>
      <c r="K99" s="86" t="str">
        <f t="shared" ca="1" si="8"/>
        <v>—</v>
      </c>
      <c r="L99" s="87"/>
    </row>
    <row r="100" spans="1:12" x14ac:dyDescent="0.25">
      <c r="A100" s="88"/>
      <c r="B100" s="25" t="str">
        <f>IF(A100="","",IFERROR(VLOOKUP(A100,DB_Customers!$A:$D,4,0),"❌ Account Not Found"))</f>
        <v/>
      </c>
      <c r="C100" s="89" t="str">
        <f>IF(A100="","",IFERROR(VLOOKUP(A100,DB_Customers!$A:$N,14,0),""))</f>
        <v/>
      </c>
      <c r="D100" s="90" t="str">
        <f t="shared" ca="1" si="6"/>
        <v/>
      </c>
      <c r="E100" s="97"/>
      <c r="F100" s="25"/>
      <c r="G100" s="99" t="str">
        <f t="shared" si="7"/>
        <v/>
      </c>
      <c r="H100" s="27"/>
      <c r="I100" s="84"/>
      <c r="J100" s="92" t="str">
        <f>IF(AND(A100&lt;&gt;"",E100&lt;&gt;""),IF(I100="","⚠️ Enter Code",IF(IFERROR(VLOOKUP(H100,DB_Agents!$B:$I,8,0),"")=I100,IF(C100&gt;=E100,"Successful","Unsuccessful"),"🔒 BLOCKED — Wrong Code")),"—")</f>
        <v>—</v>
      </c>
      <c r="K100" s="93" t="str">
        <f t="shared" ca="1" si="8"/>
        <v>—</v>
      </c>
      <c r="L100" s="94"/>
    </row>
    <row r="101" spans="1:12" x14ac:dyDescent="0.25">
      <c r="A101" s="79"/>
      <c r="B101" s="21" t="str">
        <f>IF(A101="","",IFERROR(VLOOKUP(A101,DB_Customers!$A:$D,4,0),"❌ Account Not Found"))</f>
        <v/>
      </c>
      <c r="C101" s="80" t="str">
        <f>IF(A101="","",IFERROR(VLOOKUP(A101,DB_Customers!$A:$N,14,0),""))</f>
        <v/>
      </c>
      <c r="D101" s="81" t="str">
        <f t="shared" ca="1" si="6"/>
        <v/>
      </c>
      <c r="E101" s="97"/>
      <c r="F101" s="21"/>
      <c r="G101" s="98" t="str">
        <f t="shared" si="7"/>
        <v/>
      </c>
      <c r="H101" s="23"/>
      <c r="I101" s="84"/>
      <c r="J101" s="85" t="str">
        <f>IF(AND(A101&lt;&gt;"",E101&lt;&gt;""),IF(I101="","⚠️ Enter Code",IF(IFERROR(VLOOKUP(H101,DB_Agents!$B:$I,8,0),"")=I101,IF(C101&gt;=E101,"Successful","Unsuccessful"),"🔒 BLOCKED — Wrong Code")),"—")</f>
        <v>—</v>
      </c>
      <c r="K101" s="86" t="str">
        <f t="shared" ca="1" si="8"/>
        <v>—</v>
      </c>
      <c r="L101" s="87"/>
    </row>
    <row r="102" spans="1:12" x14ac:dyDescent="0.25">
      <c r="A102" s="88"/>
      <c r="B102" s="25" t="str">
        <f>IF(A102="","",IFERROR(VLOOKUP(A102,DB_Customers!$A:$D,4,0),"❌ Account Not Found"))</f>
        <v/>
      </c>
      <c r="C102" s="89" t="str">
        <f>IF(A102="","",IFERROR(VLOOKUP(A102,DB_Customers!$A:$N,14,0),""))</f>
        <v/>
      </c>
      <c r="D102" s="90" t="str">
        <f t="shared" ca="1" si="6"/>
        <v/>
      </c>
      <c r="E102" s="97"/>
      <c r="F102" s="25"/>
      <c r="G102" s="99" t="str">
        <f t="shared" si="7"/>
        <v/>
      </c>
      <c r="H102" s="27"/>
      <c r="I102" s="84"/>
      <c r="J102" s="92" t="str">
        <f>IF(AND(A102&lt;&gt;"",E102&lt;&gt;""),IF(I102="","⚠️ Enter Code",IF(IFERROR(VLOOKUP(H102,DB_Agents!$B:$I,8,0),"")=I102,IF(C102&gt;=E102,"Successful","Unsuccessful"),"🔒 BLOCKED — Wrong Code")),"—")</f>
        <v>—</v>
      </c>
      <c r="K102" s="93" t="str">
        <f t="shared" ca="1" si="8"/>
        <v>—</v>
      </c>
      <c r="L102" s="94"/>
    </row>
    <row r="103" spans="1:12" x14ac:dyDescent="0.25">
      <c r="A103" s="79"/>
      <c r="B103" s="21" t="str">
        <f>IF(A103="","",IFERROR(VLOOKUP(A103,DB_Customers!$A:$D,4,0),"❌ Account Not Found"))</f>
        <v/>
      </c>
      <c r="C103" s="80" t="str">
        <f>IF(A103="","",IFERROR(VLOOKUP(A103,DB_Customers!$A:$N,14,0),""))</f>
        <v/>
      </c>
      <c r="D103" s="81" t="str">
        <f t="shared" ca="1" si="6"/>
        <v/>
      </c>
      <c r="E103" s="97"/>
      <c r="F103" s="21"/>
      <c r="G103" s="98" t="str">
        <f t="shared" si="7"/>
        <v/>
      </c>
      <c r="H103" s="23"/>
      <c r="I103" s="84"/>
      <c r="J103" s="85" t="str">
        <f>IF(AND(A103&lt;&gt;"",E103&lt;&gt;""),IF(I103="","⚠️ Enter Code",IF(IFERROR(VLOOKUP(H103,DB_Agents!$B:$I,8,0),"")=I103,IF(C103&gt;=E103,"Successful","Unsuccessful"),"🔒 BLOCKED — Wrong Code")),"—")</f>
        <v>—</v>
      </c>
      <c r="K103" s="86" t="str">
        <f t="shared" ca="1" si="8"/>
        <v>—</v>
      </c>
      <c r="L103" s="87"/>
    </row>
    <row r="104" spans="1:12" x14ac:dyDescent="0.25">
      <c r="A104" s="88"/>
      <c r="B104" s="25" t="str">
        <f>IF(A104="","",IFERROR(VLOOKUP(A104,DB_Customers!$A:$D,4,0),"❌ Account Not Found"))</f>
        <v/>
      </c>
      <c r="C104" s="89" t="str">
        <f>IF(A104="","",IFERROR(VLOOKUP(A104,DB_Customers!$A:$N,14,0),""))</f>
        <v/>
      </c>
      <c r="D104" s="90" t="str">
        <f t="shared" ca="1" si="6"/>
        <v/>
      </c>
      <c r="E104" s="97"/>
      <c r="F104" s="25"/>
      <c r="G104" s="99" t="str">
        <f t="shared" si="7"/>
        <v/>
      </c>
      <c r="H104" s="27"/>
      <c r="I104" s="84"/>
      <c r="J104" s="92" t="str">
        <f>IF(AND(A104&lt;&gt;"",E104&lt;&gt;""),IF(I104="","⚠️ Enter Code",IF(IFERROR(VLOOKUP(H104,DB_Agents!$B:$I,8,0),"")=I104,IF(C104&gt;=E104,"Successful","Unsuccessful"),"🔒 BLOCKED — Wrong Code")),"—")</f>
        <v>—</v>
      </c>
      <c r="K104" s="93" t="str">
        <f t="shared" ca="1" si="8"/>
        <v>—</v>
      </c>
      <c r="L104" s="94"/>
    </row>
    <row r="105" spans="1:12" x14ac:dyDescent="0.25">
      <c r="A105" s="79"/>
      <c r="B105" s="21" t="str">
        <f>IF(A105="","",IFERROR(VLOOKUP(A105,DB_Customers!$A:$D,4,0),"❌ Account Not Found"))</f>
        <v/>
      </c>
      <c r="C105" s="80" t="str">
        <f>IF(A105="","",IFERROR(VLOOKUP(A105,DB_Customers!$A:$N,14,0),""))</f>
        <v/>
      </c>
      <c r="D105" s="81" t="str">
        <f t="shared" ref="D105:D136" ca="1" si="9">IF(A105="","",TODAY())</f>
        <v/>
      </c>
      <c r="E105" s="97"/>
      <c r="F105" s="21"/>
      <c r="G105" s="98" t="str">
        <f t="shared" ref="G105:G136" si="10">IF(OR(A105="",E105=""),"",IF(C105="","",C105-E105))</f>
        <v/>
      </c>
      <c r="H105" s="23"/>
      <c r="I105" s="84"/>
      <c r="J105" s="85" t="str">
        <f>IF(AND(A105&lt;&gt;"",E105&lt;&gt;""),IF(I105="","⚠️ Enter Code",IF(IFERROR(VLOOKUP(H105,DB_Agents!$B:$I,8,0),"")=I105,IF(C105&gt;=E105,"Successful","Unsuccessful"),"🔒 BLOCKED — Wrong Code")),"—")</f>
        <v>—</v>
      </c>
      <c r="K105" s="86" t="str">
        <f t="shared" ref="K105:K136" ca="1" si="11">IF(J105="Successful",TEXT(TODAY(),"YYYY-MM-DD")&amp;" Auto","—")</f>
        <v>—</v>
      </c>
      <c r="L105" s="87"/>
    </row>
    <row r="106" spans="1:12" x14ac:dyDescent="0.25">
      <c r="A106" s="88"/>
      <c r="B106" s="25" t="str">
        <f>IF(A106="","",IFERROR(VLOOKUP(A106,DB_Customers!$A:$D,4,0),"❌ Account Not Found"))</f>
        <v/>
      </c>
      <c r="C106" s="89" t="str">
        <f>IF(A106="","",IFERROR(VLOOKUP(A106,DB_Customers!$A:$N,14,0),""))</f>
        <v/>
      </c>
      <c r="D106" s="90" t="str">
        <f t="shared" ca="1" si="9"/>
        <v/>
      </c>
      <c r="E106" s="97"/>
      <c r="F106" s="25"/>
      <c r="G106" s="99" t="str">
        <f t="shared" si="10"/>
        <v/>
      </c>
      <c r="H106" s="27"/>
      <c r="I106" s="84"/>
      <c r="J106" s="92" t="str">
        <f>IF(AND(A106&lt;&gt;"",E106&lt;&gt;""),IF(I106="","⚠️ Enter Code",IF(IFERROR(VLOOKUP(H106,DB_Agents!$B:$I,8,0),"")=I106,IF(C106&gt;=E106,"Successful","Unsuccessful"),"🔒 BLOCKED — Wrong Code")),"—")</f>
        <v>—</v>
      </c>
      <c r="K106" s="93" t="str">
        <f t="shared" ca="1" si="11"/>
        <v>—</v>
      </c>
      <c r="L106" s="94"/>
    </row>
    <row r="107" spans="1:12" x14ac:dyDescent="0.25">
      <c r="A107" s="79"/>
      <c r="B107" s="21" t="str">
        <f>IF(A107="","",IFERROR(VLOOKUP(A107,DB_Customers!$A:$D,4,0),"❌ Account Not Found"))</f>
        <v/>
      </c>
      <c r="C107" s="80" t="str">
        <f>IF(A107="","",IFERROR(VLOOKUP(A107,DB_Customers!$A:$N,14,0),""))</f>
        <v/>
      </c>
      <c r="D107" s="81" t="str">
        <f t="shared" ca="1" si="9"/>
        <v/>
      </c>
      <c r="E107" s="97"/>
      <c r="F107" s="21"/>
      <c r="G107" s="98" t="str">
        <f t="shared" si="10"/>
        <v/>
      </c>
      <c r="H107" s="23"/>
      <c r="I107" s="84"/>
      <c r="J107" s="85" t="str">
        <f>IF(AND(A107&lt;&gt;"",E107&lt;&gt;""),IF(I107="","⚠️ Enter Code",IF(IFERROR(VLOOKUP(H107,DB_Agents!$B:$I,8,0),"")=I107,IF(C107&gt;=E107,"Successful","Unsuccessful"),"🔒 BLOCKED — Wrong Code")),"—")</f>
        <v>—</v>
      </c>
      <c r="K107" s="86" t="str">
        <f t="shared" ca="1" si="11"/>
        <v>—</v>
      </c>
      <c r="L107" s="87"/>
    </row>
    <row r="108" spans="1:12" x14ac:dyDescent="0.25">
      <c r="A108" s="88"/>
      <c r="B108" s="25" t="str">
        <f>IF(A108="","",IFERROR(VLOOKUP(A108,DB_Customers!$A:$D,4,0),"❌ Account Not Found"))</f>
        <v/>
      </c>
      <c r="C108" s="89" t="str">
        <f>IF(A108="","",IFERROR(VLOOKUP(A108,DB_Customers!$A:$N,14,0),""))</f>
        <v/>
      </c>
      <c r="D108" s="90" t="str">
        <f t="shared" ca="1" si="9"/>
        <v/>
      </c>
      <c r="E108" s="97"/>
      <c r="F108" s="25"/>
      <c r="G108" s="99" t="str">
        <f t="shared" si="10"/>
        <v/>
      </c>
      <c r="H108" s="27"/>
      <c r="I108" s="84"/>
      <c r="J108" s="92" t="str">
        <f>IF(AND(A108&lt;&gt;"",E108&lt;&gt;""),IF(I108="","⚠️ Enter Code",IF(IFERROR(VLOOKUP(H108,DB_Agents!$B:$I,8,0),"")=I108,IF(C108&gt;=E108,"Successful","Unsuccessful"),"🔒 BLOCKED — Wrong Code")),"—")</f>
        <v>—</v>
      </c>
      <c r="K108" s="93" t="str">
        <f t="shared" ca="1" si="11"/>
        <v>—</v>
      </c>
      <c r="L108" s="94"/>
    </row>
    <row r="109" spans="1:12" x14ac:dyDescent="0.25">
      <c r="A109" s="79"/>
      <c r="B109" s="21" t="str">
        <f>IF(A109="","",IFERROR(VLOOKUP(A109,DB_Customers!$A:$D,4,0),"❌ Account Not Found"))</f>
        <v/>
      </c>
      <c r="C109" s="80" t="str">
        <f>IF(A109="","",IFERROR(VLOOKUP(A109,DB_Customers!$A:$N,14,0),""))</f>
        <v/>
      </c>
      <c r="D109" s="81" t="str">
        <f t="shared" ca="1" si="9"/>
        <v/>
      </c>
      <c r="E109" s="97"/>
      <c r="F109" s="21"/>
      <c r="G109" s="98" t="str">
        <f t="shared" si="10"/>
        <v/>
      </c>
      <c r="H109" s="23"/>
      <c r="I109" s="84"/>
      <c r="J109" s="85" t="str">
        <f>IF(AND(A109&lt;&gt;"",E109&lt;&gt;""),IF(I109="","⚠️ Enter Code",IF(IFERROR(VLOOKUP(H109,DB_Agents!$B:$I,8,0),"")=I109,IF(C109&gt;=E109,"Successful","Unsuccessful"),"🔒 BLOCKED — Wrong Code")),"—")</f>
        <v>—</v>
      </c>
      <c r="K109" s="86" t="str">
        <f t="shared" ca="1" si="11"/>
        <v>—</v>
      </c>
      <c r="L109" s="87"/>
    </row>
    <row r="110" spans="1:12" x14ac:dyDescent="0.25">
      <c r="A110" s="88"/>
      <c r="B110" s="25" t="str">
        <f>IF(A110="","",IFERROR(VLOOKUP(A110,DB_Customers!$A:$D,4,0),"❌ Account Not Found"))</f>
        <v/>
      </c>
      <c r="C110" s="89" t="str">
        <f>IF(A110="","",IFERROR(VLOOKUP(A110,DB_Customers!$A:$N,14,0),""))</f>
        <v/>
      </c>
      <c r="D110" s="90" t="str">
        <f t="shared" ca="1" si="9"/>
        <v/>
      </c>
      <c r="E110" s="97"/>
      <c r="F110" s="25"/>
      <c r="G110" s="99" t="str">
        <f t="shared" si="10"/>
        <v/>
      </c>
      <c r="H110" s="27"/>
      <c r="I110" s="84"/>
      <c r="J110" s="92" t="str">
        <f>IF(AND(A110&lt;&gt;"",E110&lt;&gt;""),IF(I110="","⚠️ Enter Code",IF(IFERROR(VLOOKUP(H110,DB_Agents!$B:$I,8,0),"")=I110,IF(C110&gt;=E110,"Successful","Unsuccessful"),"🔒 BLOCKED — Wrong Code")),"—")</f>
        <v>—</v>
      </c>
      <c r="K110" s="93" t="str">
        <f t="shared" ca="1" si="11"/>
        <v>—</v>
      </c>
      <c r="L110" s="94"/>
    </row>
    <row r="111" spans="1:12" x14ac:dyDescent="0.25">
      <c r="A111" s="79"/>
      <c r="B111" s="21" t="str">
        <f>IF(A111="","",IFERROR(VLOOKUP(A111,DB_Customers!$A:$D,4,0),"❌ Account Not Found"))</f>
        <v/>
      </c>
      <c r="C111" s="80" t="str">
        <f>IF(A111="","",IFERROR(VLOOKUP(A111,DB_Customers!$A:$N,14,0),""))</f>
        <v/>
      </c>
      <c r="D111" s="81" t="str">
        <f t="shared" ca="1" si="9"/>
        <v/>
      </c>
      <c r="E111" s="97"/>
      <c r="F111" s="21"/>
      <c r="G111" s="98" t="str">
        <f t="shared" si="10"/>
        <v/>
      </c>
      <c r="H111" s="23"/>
      <c r="I111" s="84"/>
      <c r="J111" s="85" t="str">
        <f>IF(AND(A111&lt;&gt;"",E111&lt;&gt;""),IF(I111="","⚠️ Enter Code",IF(IFERROR(VLOOKUP(H111,DB_Agents!$B:$I,8,0),"")=I111,IF(C111&gt;=E111,"Successful","Unsuccessful"),"🔒 BLOCKED — Wrong Code")),"—")</f>
        <v>—</v>
      </c>
      <c r="K111" s="86" t="str">
        <f t="shared" ca="1" si="11"/>
        <v>—</v>
      </c>
      <c r="L111" s="87"/>
    </row>
    <row r="112" spans="1:12" x14ac:dyDescent="0.25">
      <c r="A112" s="88"/>
      <c r="B112" s="25" t="str">
        <f>IF(A112="","",IFERROR(VLOOKUP(A112,DB_Customers!$A:$D,4,0),"❌ Account Not Found"))</f>
        <v/>
      </c>
      <c r="C112" s="89" t="str">
        <f>IF(A112="","",IFERROR(VLOOKUP(A112,DB_Customers!$A:$N,14,0),""))</f>
        <v/>
      </c>
      <c r="D112" s="90" t="str">
        <f t="shared" ca="1" si="9"/>
        <v/>
      </c>
      <c r="E112" s="97"/>
      <c r="F112" s="25"/>
      <c r="G112" s="99" t="str">
        <f t="shared" si="10"/>
        <v/>
      </c>
      <c r="H112" s="27"/>
      <c r="I112" s="84"/>
      <c r="J112" s="92" t="str">
        <f>IF(AND(A112&lt;&gt;"",E112&lt;&gt;""),IF(I112="","⚠️ Enter Code",IF(IFERROR(VLOOKUP(H112,DB_Agents!$B:$I,8,0),"")=I112,IF(C112&gt;=E112,"Successful","Unsuccessful"),"🔒 BLOCKED — Wrong Code")),"—")</f>
        <v>—</v>
      </c>
      <c r="K112" s="93" t="str">
        <f t="shared" ca="1" si="11"/>
        <v>—</v>
      </c>
      <c r="L112" s="94"/>
    </row>
    <row r="113" spans="1:12" x14ac:dyDescent="0.25">
      <c r="A113" s="79"/>
      <c r="B113" s="21" t="str">
        <f>IF(A113="","",IFERROR(VLOOKUP(A113,DB_Customers!$A:$D,4,0),"❌ Account Not Found"))</f>
        <v/>
      </c>
      <c r="C113" s="80" t="str">
        <f>IF(A113="","",IFERROR(VLOOKUP(A113,DB_Customers!$A:$N,14,0),""))</f>
        <v/>
      </c>
      <c r="D113" s="81" t="str">
        <f t="shared" ca="1" si="9"/>
        <v/>
      </c>
      <c r="E113" s="97"/>
      <c r="F113" s="21"/>
      <c r="G113" s="98" t="str">
        <f t="shared" si="10"/>
        <v/>
      </c>
      <c r="H113" s="23"/>
      <c r="I113" s="84"/>
      <c r="J113" s="85" t="str">
        <f>IF(AND(A113&lt;&gt;"",E113&lt;&gt;""),IF(I113="","⚠️ Enter Code",IF(IFERROR(VLOOKUP(H113,DB_Agents!$B:$I,8,0),"")=I113,IF(C113&gt;=E113,"Successful","Unsuccessful"),"🔒 BLOCKED — Wrong Code")),"—")</f>
        <v>—</v>
      </c>
      <c r="K113" s="86" t="str">
        <f t="shared" ca="1" si="11"/>
        <v>—</v>
      </c>
      <c r="L113" s="87"/>
    </row>
    <row r="114" spans="1:12" x14ac:dyDescent="0.25">
      <c r="A114" s="88"/>
      <c r="B114" s="25" t="str">
        <f>IF(A114="","",IFERROR(VLOOKUP(A114,DB_Customers!$A:$D,4,0),"❌ Account Not Found"))</f>
        <v/>
      </c>
      <c r="C114" s="89" t="str">
        <f>IF(A114="","",IFERROR(VLOOKUP(A114,DB_Customers!$A:$N,14,0),""))</f>
        <v/>
      </c>
      <c r="D114" s="90" t="str">
        <f t="shared" ca="1" si="9"/>
        <v/>
      </c>
      <c r="E114" s="97"/>
      <c r="F114" s="25"/>
      <c r="G114" s="99" t="str">
        <f t="shared" si="10"/>
        <v/>
      </c>
      <c r="H114" s="27"/>
      <c r="I114" s="84"/>
      <c r="J114" s="92" t="str">
        <f>IF(AND(A114&lt;&gt;"",E114&lt;&gt;""),IF(I114="","⚠️ Enter Code",IF(IFERROR(VLOOKUP(H114,DB_Agents!$B:$I,8,0),"")=I114,IF(C114&gt;=E114,"Successful","Unsuccessful"),"🔒 BLOCKED — Wrong Code")),"—")</f>
        <v>—</v>
      </c>
      <c r="K114" s="93" t="str">
        <f t="shared" ca="1" si="11"/>
        <v>—</v>
      </c>
      <c r="L114" s="94"/>
    </row>
    <row r="115" spans="1:12" x14ac:dyDescent="0.25">
      <c r="A115" s="79"/>
      <c r="B115" s="21" t="str">
        <f>IF(A115="","",IFERROR(VLOOKUP(A115,DB_Customers!$A:$D,4,0),"❌ Account Not Found"))</f>
        <v/>
      </c>
      <c r="C115" s="80" t="str">
        <f>IF(A115="","",IFERROR(VLOOKUP(A115,DB_Customers!$A:$N,14,0),""))</f>
        <v/>
      </c>
      <c r="D115" s="81" t="str">
        <f t="shared" ca="1" si="9"/>
        <v/>
      </c>
      <c r="E115" s="97"/>
      <c r="F115" s="21"/>
      <c r="G115" s="98" t="str">
        <f t="shared" si="10"/>
        <v/>
      </c>
      <c r="H115" s="23"/>
      <c r="I115" s="84"/>
      <c r="J115" s="85" t="str">
        <f>IF(AND(A115&lt;&gt;"",E115&lt;&gt;""),IF(I115="","⚠️ Enter Code",IF(IFERROR(VLOOKUP(H115,DB_Agents!$B:$I,8,0),"")=I115,IF(C115&gt;=E115,"Successful","Unsuccessful"),"🔒 BLOCKED — Wrong Code")),"—")</f>
        <v>—</v>
      </c>
      <c r="K115" s="86" t="str">
        <f t="shared" ca="1" si="11"/>
        <v>—</v>
      </c>
      <c r="L115" s="87"/>
    </row>
    <row r="116" spans="1:12" x14ac:dyDescent="0.25">
      <c r="A116" s="88"/>
      <c r="B116" s="25" t="str">
        <f>IF(A116="","",IFERROR(VLOOKUP(A116,DB_Customers!$A:$D,4,0),"❌ Account Not Found"))</f>
        <v/>
      </c>
      <c r="C116" s="89" t="str">
        <f>IF(A116="","",IFERROR(VLOOKUP(A116,DB_Customers!$A:$N,14,0),""))</f>
        <v/>
      </c>
      <c r="D116" s="90" t="str">
        <f t="shared" ca="1" si="9"/>
        <v/>
      </c>
      <c r="E116" s="97"/>
      <c r="F116" s="25"/>
      <c r="G116" s="99" t="str">
        <f t="shared" si="10"/>
        <v/>
      </c>
      <c r="H116" s="27"/>
      <c r="I116" s="84"/>
      <c r="J116" s="92" t="str">
        <f>IF(AND(A116&lt;&gt;"",E116&lt;&gt;""),IF(I116="","⚠️ Enter Code",IF(IFERROR(VLOOKUP(H116,DB_Agents!$B:$I,8,0),"")=I116,IF(C116&gt;=E116,"Successful","Unsuccessful"),"🔒 BLOCKED — Wrong Code")),"—")</f>
        <v>—</v>
      </c>
      <c r="K116" s="93" t="str">
        <f t="shared" ca="1" si="11"/>
        <v>—</v>
      </c>
      <c r="L116" s="94"/>
    </row>
    <row r="117" spans="1:12" x14ac:dyDescent="0.25">
      <c r="A117" s="79"/>
      <c r="B117" s="21" t="str">
        <f>IF(A117="","",IFERROR(VLOOKUP(A117,DB_Customers!$A:$D,4,0),"❌ Account Not Found"))</f>
        <v/>
      </c>
      <c r="C117" s="80" t="str">
        <f>IF(A117="","",IFERROR(VLOOKUP(A117,DB_Customers!$A:$N,14,0),""))</f>
        <v/>
      </c>
      <c r="D117" s="81" t="str">
        <f t="shared" ca="1" si="9"/>
        <v/>
      </c>
      <c r="E117" s="97"/>
      <c r="F117" s="21"/>
      <c r="G117" s="98" t="str">
        <f t="shared" si="10"/>
        <v/>
      </c>
      <c r="H117" s="23"/>
      <c r="I117" s="84"/>
      <c r="J117" s="85" t="str">
        <f>IF(AND(A117&lt;&gt;"",E117&lt;&gt;""),IF(I117="","⚠️ Enter Code",IF(IFERROR(VLOOKUP(H117,DB_Agents!$B:$I,8,0),"")=I117,IF(C117&gt;=E117,"Successful","Unsuccessful"),"🔒 BLOCKED — Wrong Code")),"—")</f>
        <v>—</v>
      </c>
      <c r="K117" s="86" t="str">
        <f t="shared" ca="1" si="11"/>
        <v>—</v>
      </c>
      <c r="L117" s="87"/>
    </row>
    <row r="118" spans="1:12" x14ac:dyDescent="0.25">
      <c r="A118" s="88"/>
      <c r="B118" s="25" t="str">
        <f>IF(A118="","",IFERROR(VLOOKUP(A118,DB_Customers!$A:$D,4,0),"❌ Account Not Found"))</f>
        <v/>
      </c>
      <c r="C118" s="89" t="str">
        <f>IF(A118="","",IFERROR(VLOOKUP(A118,DB_Customers!$A:$N,14,0),""))</f>
        <v/>
      </c>
      <c r="D118" s="90" t="str">
        <f t="shared" ca="1" si="9"/>
        <v/>
      </c>
      <c r="E118" s="97"/>
      <c r="F118" s="25"/>
      <c r="G118" s="99" t="str">
        <f t="shared" si="10"/>
        <v/>
      </c>
      <c r="H118" s="27"/>
      <c r="I118" s="84"/>
      <c r="J118" s="92" t="str">
        <f>IF(AND(A118&lt;&gt;"",E118&lt;&gt;""),IF(I118="","⚠️ Enter Code",IF(IFERROR(VLOOKUP(H118,DB_Agents!$B:$I,8,0),"")=I118,IF(C118&gt;=E118,"Successful","Unsuccessful"),"🔒 BLOCKED — Wrong Code")),"—")</f>
        <v>—</v>
      </c>
      <c r="K118" s="93" t="str">
        <f t="shared" ca="1" si="11"/>
        <v>—</v>
      </c>
      <c r="L118" s="94"/>
    </row>
    <row r="119" spans="1:12" x14ac:dyDescent="0.25">
      <c r="A119" s="79"/>
      <c r="B119" s="21" t="str">
        <f>IF(A119="","",IFERROR(VLOOKUP(A119,DB_Customers!$A:$D,4,0),"❌ Account Not Found"))</f>
        <v/>
      </c>
      <c r="C119" s="80" t="str">
        <f>IF(A119="","",IFERROR(VLOOKUP(A119,DB_Customers!$A:$N,14,0),""))</f>
        <v/>
      </c>
      <c r="D119" s="81" t="str">
        <f t="shared" ca="1" si="9"/>
        <v/>
      </c>
      <c r="E119" s="97"/>
      <c r="F119" s="21"/>
      <c r="G119" s="98" t="str">
        <f t="shared" si="10"/>
        <v/>
      </c>
      <c r="H119" s="23"/>
      <c r="I119" s="84"/>
      <c r="J119" s="85" t="str">
        <f>IF(AND(A119&lt;&gt;"",E119&lt;&gt;""),IF(I119="","⚠️ Enter Code",IF(IFERROR(VLOOKUP(H119,DB_Agents!$B:$I,8,0),"")=I119,IF(C119&gt;=E119,"Successful","Unsuccessful"),"🔒 BLOCKED — Wrong Code")),"—")</f>
        <v>—</v>
      </c>
      <c r="K119" s="86" t="str">
        <f t="shared" ca="1" si="11"/>
        <v>—</v>
      </c>
      <c r="L119" s="87"/>
    </row>
    <row r="120" spans="1:12" x14ac:dyDescent="0.25">
      <c r="A120" s="88"/>
      <c r="B120" s="25" t="str">
        <f>IF(A120="","",IFERROR(VLOOKUP(A120,DB_Customers!$A:$D,4,0),"❌ Account Not Found"))</f>
        <v/>
      </c>
      <c r="C120" s="89" t="str">
        <f>IF(A120="","",IFERROR(VLOOKUP(A120,DB_Customers!$A:$N,14,0),""))</f>
        <v/>
      </c>
      <c r="D120" s="90" t="str">
        <f t="shared" ca="1" si="9"/>
        <v/>
      </c>
      <c r="E120" s="97"/>
      <c r="F120" s="25"/>
      <c r="G120" s="99" t="str">
        <f t="shared" si="10"/>
        <v/>
      </c>
      <c r="H120" s="27"/>
      <c r="I120" s="84"/>
      <c r="J120" s="92" t="str">
        <f>IF(AND(A120&lt;&gt;"",E120&lt;&gt;""),IF(I120="","⚠️ Enter Code",IF(IFERROR(VLOOKUP(H120,DB_Agents!$B:$I,8,0),"")=I120,IF(C120&gt;=E120,"Successful","Unsuccessful"),"🔒 BLOCKED — Wrong Code")),"—")</f>
        <v>—</v>
      </c>
      <c r="K120" s="93" t="str">
        <f t="shared" ca="1" si="11"/>
        <v>—</v>
      </c>
      <c r="L120" s="94"/>
    </row>
    <row r="121" spans="1:12" x14ac:dyDescent="0.25">
      <c r="A121" s="79"/>
      <c r="B121" s="21" t="str">
        <f>IF(A121="","",IFERROR(VLOOKUP(A121,DB_Customers!$A:$D,4,0),"❌ Account Not Found"))</f>
        <v/>
      </c>
      <c r="C121" s="80" t="str">
        <f>IF(A121="","",IFERROR(VLOOKUP(A121,DB_Customers!$A:$N,14,0),""))</f>
        <v/>
      </c>
      <c r="D121" s="81" t="str">
        <f t="shared" ca="1" si="9"/>
        <v/>
      </c>
      <c r="E121" s="97"/>
      <c r="F121" s="21"/>
      <c r="G121" s="98" t="str">
        <f t="shared" si="10"/>
        <v/>
      </c>
      <c r="H121" s="23"/>
      <c r="I121" s="84"/>
      <c r="J121" s="85" t="str">
        <f>IF(AND(A121&lt;&gt;"",E121&lt;&gt;""),IF(I121="","⚠️ Enter Code",IF(IFERROR(VLOOKUP(H121,DB_Agents!$B:$I,8,0),"")=I121,IF(C121&gt;=E121,"Successful","Unsuccessful"),"🔒 BLOCKED — Wrong Code")),"—")</f>
        <v>—</v>
      </c>
      <c r="K121" s="86" t="str">
        <f t="shared" ca="1" si="11"/>
        <v>—</v>
      </c>
      <c r="L121" s="87"/>
    </row>
    <row r="122" spans="1:12" x14ac:dyDescent="0.25">
      <c r="A122" s="88"/>
      <c r="B122" s="25" t="str">
        <f>IF(A122="","",IFERROR(VLOOKUP(A122,DB_Customers!$A:$D,4,0),"❌ Account Not Found"))</f>
        <v/>
      </c>
      <c r="C122" s="89" t="str">
        <f>IF(A122="","",IFERROR(VLOOKUP(A122,DB_Customers!$A:$N,14,0),""))</f>
        <v/>
      </c>
      <c r="D122" s="90" t="str">
        <f t="shared" ca="1" si="9"/>
        <v/>
      </c>
      <c r="E122" s="97"/>
      <c r="F122" s="25"/>
      <c r="G122" s="99" t="str">
        <f t="shared" si="10"/>
        <v/>
      </c>
      <c r="H122" s="27"/>
      <c r="I122" s="84"/>
      <c r="J122" s="92" t="str">
        <f>IF(AND(A122&lt;&gt;"",E122&lt;&gt;""),IF(I122="","⚠️ Enter Code",IF(IFERROR(VLOOKUP(H122,DB_Agents!$B:$I,8,0),"")=I122,IF(C122&gt;=E122,"Successful","Unsuccessful"),"🔒 BLOCKED — Wrong Code")),"—")</f>
        <v>—</v>
      </c>
      <c r="K122" s="93" t="str">
        <f t="shared" ca="1" si="11"/>
        <v>—</v>
      </c>
      <c r="L122" s="94"/>
    </row>
    <row r="123" spans="1:12" x14ac:dyDescent="0.25">
      <c r="A123" s="79"/>
      <c r="B123" s="21" t="str">
        <f>IF(A123="","",IFERROR(VLOOKUP(A123,DB_Customers!$A:$D,4,0),"❌ Account Not Found"))</f>
        <v/>
      </c>
      <c r="C123" s="80" t="str">
        <f>IF(A123="","",IFERROR(VLOOKUP(A123,DB_Customers!$A:$N,14,0),""))</f>
        <v/>
      </c>
      <c r="D123" s="81" t="str">
        <f t="shared" ca="1" si="9"/>
        <v/>
      </c>
      <c r="E123" s="97"/>
      <c r="F123" s="21"/>
      <c r="G123" s="98" t="str">
        <f t="shared" si="10"/>
        <v/>
      </c>
      <c r="H123" s="23"/>
      <c r="I123" s="84"/>
      <c r="J123" s="85" t="str">
        <f>IF(AND(A123&lt;&gt;"",E123&lt;&gt;""),IF(I123="","⚠️ Enter Code",IF(IFERROR(VLOOKUP(H123,DB_Agents!$B:$I,8,0),"")=I123,IF(C123&gt;=E123,"Successful","Unsuccessful"),"🔒 BLOCKED — Wrong Code")),"—")</f>
        <v>—</v>
      </c>
      <c r="K123" s="86" t="str">
        <f t="shared" ca="1" si="11"/>
        <v>—</v>
      </c>
      <c r="L123" s="87"/>
    </row>
    <row r="124" spans="1:12" x14ac:dyDescent="0.25">
      <c r="A124" s="88"/>
      <c r="B124" s="25" t="str">
        <f>IF(A124="","",IFERROR(VLOOKUP(A124,DB_Customers!$A:$D,4,0),"❌ Account Not Found"))</f>
        <v/>
      </c>
      <c r="C124" s="89" t="str">
        <f>IF(A124="","",IFERROR(VLOOKUP(A124,DB_Customers!$A:$N,14,0),""))</f>
        <v/>
      </c>
      <c r="D124" s="90" t="str">
        <f t="shared" ca="1" si="9"/>
        <v/>
      </c>
      <c r="E124" s="97"/>
      <c r="F124" s="25"/>
      <c r="G124" s="99" t="str">
        <f t="shared" si="10"/>
        <v/>
      </c>
      <c r="H124" s="27"/>
      <c r="I124" s="84"/>
      <c r="J124" s="92" t="str">
        <f>IF(AND(A124&lt;&gt;"",E124&lt;&gt;""),IF(I124="","⚠️ Enter Code",IF(IFERROR(VLOOKUP(H124,DB_Agents!$B:$I,8,0),"")=I124,IF(C124&gt;=E124,"Successful","Unsuccessful"),"🔒 BLOCKED — Wrong Code")),"—")</f>
        <v>—</v>
      </c>
      <c r="K124" s="93" t="str">
        <f t="shared" ca="1" si="11"/>
        <v>—</v>
      </c>
      <c r="L124" s="94"/>
    </row>
    <row r="125" spans="1:12" x14ac:dyDescent="0.25">
      <c r="A125" s="79"/>
      <c r="B125" s="21" t="str">
        <f>IF(A125="","",IFERROR(VLOOKUP(A125,DB_Customers!$A:$D,4,0),"❌ Account Not Found"))</f>
        <v/>
      </c>
      <c r="C125" s="80" t="str">
        <f>IF(A125="","",IFERROR(VLOOKUP(A125,DB_Customers!$A:$N,14,0),""))</f>
        <v/>
      </c>
      <c r="D125" s="81" t="str">
        <f t="shared" ca="1" si="9"/>
        <v/>
      </c>
      <c r="E125" s="97"/>
      <c r="F125" s="21"/>
      <c r="G125" s="98" t="str">
        <f t="shared" si="10"/>
        <v/>
      </c>
      <c r="H125" s="23"/>
      <c r="I125" s="84"/>
      <c r="J125" s="85" t="str">
        <f>IF(AND(A125&lt;&gt;"",E125&lt;&gt;""),IF(I125="","⚠️ Enter Code",IF(IFERROR(VLOOKUP(H125,DB_Agents!$B:$I,8,0),"")=I125,IF(C125&gt;=E125,"Successful","Unsuccessful"),"🔒 BLOCKED — Wrong Code")),"—")</f>
        <v>—</v>
      </c>
      <c r="K125" s="86" t="str">
        <f t="shared" ca="1" si="11"/>
        <v>—</v>
      </c>
      <c r="L125" s="87"/>
    </row>
    <row r="126" spans="1:12" x14ac:dyDescent="0.25">
      <c r="A126" s="88"/>
      <c r="B126" s="25" t="str">
        <f>IF(A126="","",IFERROR(VLOOKUP(A126,DB_Customers!$A:$D,4,0),"❌ Account Not Found"))</f>
        <v/>
      </c>
      <c r="C126" s="89" t="str">
        <f>IF(A126="","",IFERROR(VLOOKUP(A126,DB_Customers!$A:$N,14,0),""))</f>
        <v/>
      </c>
      <c r="D126" s="90" t="str">
        <f t="shared" ca="1" si="9"/>
        <v/>
      </c>
      <c r="E126" s="97"/>
      <c r="F126" s="25"/>
      <c r="G126" s="99" t="str">
        <f t="shared" si="10"/>
        <v/>
      </c>
      <c r="H126" s="27"/>
      <c r="I126" s="84"/>
      <c r="J126" s="92" t="str">
        <f>IF(AND(A126&lt;&gt;"",E126&lt;&gt;""),IF(I126="","⚠️ Enter Code",IF(IFERROR(VLOOKUP(H126,DB_Agents!$B:$I,8,0),"")=I126,IF(C126&gt;=E126,"Successful","Unsuccessful"),"🔒 BLOCKED — Wrong Code")),"—")</f>
        <v>—</v>
      </c>
      <c r="K126" s="93" t="str">
        <f t="shared" ca="1" si="11"/>
        <v>—</v>
      </c>
      <c r="L126" s="94"/>
    </row>
    <row r="127" spans="1:12" x14ac:dyDescent="0.25">
      <c r="A127" s="79"/>
      <c r="B127" s="21" t="str">
        <f>IF(A127="","",IFERROR(VLOOKUP(A127,DB_Customers!$A:$D,4,0),"❌ Account Not Found"))</f>
        <v/>
      </c>
      <c r="C127" s="80" t="str">
        <f>IF(A127="","",IFERROR(VLOOKUP(A127,DB_Customers!$A:$N,14,0),""))</f>
        <v/>
      </c>
      <c r="D127" s="81" t="str">
        <f t="shared" ca="1" si="9"/>
        <v/>
      </c>
      <c r="E127" s="97"/>
      <c r="F127" s="21"/>
      <c r="G127" s="98" t="str">
        <f t="shared" si="10"/>
        <v/>
      </c>
      <c r="H127" s="23"/>
      <c r="I127" s="84"/>
      <c r="J127" s="85" t="str">
        <f>IF(AND(A127&lt;&gt;"",E127&lt;&gt;""),IF(I127="","⚠️ Enter Code",IF(IFERROR(VLOOKUP(H127,DB_Agents!$B:$I,8,0),"")=I127,IF(C127&gt;=E127,"Successful","Unsuccessful"),"🔒 BLOCKED — Wrong Code")),"—")</f>
        <v>—</v>
      </c>
      <c r="K127" s="86" t="str">
        <f t="shared" ca="1" si="11"/>
        <v>—</v>
      </c>
      <c r="L127" s="87"/>
    </row>
    <row r="128" spans="1:12" x14ac:dyDescent="0.25">
      <c r="A128" s="88"/>
      <c r="B128" s="25" t="str">
        <f>IF(A128="","",IFERROR(VLOOKUP(A128,DB_Customers!$A:$D,4,0),"❌ Account Not Found"))</f>
        <v/>
      </c>
      <c r="C128" s="89" t="str">
        <f>IF(A128="","",IFERROR(VLOOKUP(A128,DB_Customers!$A:$N,14,0),""))</f>
        <v/>
      </c>
      <c r="D128" s="90" t="str">
        <f t="shared" ca="1" si="9"/>
        <v/>
      </c>
      <c r="E128" s="97"/>
      <c r="F128" s="25"/>
      <c r="G128" s="99" t="str">
        <f t="shared" si="10"/>
        <v/>
      </c>
      <c r="H128" s="27"/>
      <c r="I128" s="84"/>
      <c r="J128" s="92" t="str">
        <f>IF(AND(A128&lt;&gt;"",E128&lt;&gt;""),IF(I128="","⚠️ Enter Code",IF(IFERROR(VLOOKUP(H128,DB_Agents!$B:$I,8,0),"")=I128,IF(C128&gt;=E128,"Successful","Unsuccessful"),"🔒 BLOCKED — Wrong Code")),"—")</f>
        <v>—</v>
      </c>
      <c r="K128" s="93" t="str">
        <f t="shared" ca="1" si="11"/>
        <v>—</v>
      </c>
      <c r="L128" s="94"/>
    </row>
    <row r="129" spans="1:12" x14ac:dyDescent="0.25">
      <c r="A129" s="79"/>
      <c r="B129" s="21" t="str">
        <f>IF(A129="","",IFERROR(VLOOKUP(A129,DB_Customers!$A:$D,4,0),"❌ Account Not Found"))</f>
        <v/>
      </c>
      <c r="C129" s="80" t="str">
        <f>IF(A129="","",IFERROR(VLOOKUP(A129,DB_Customers!$A:$N,14,0),""))</f>
        <v/>
      </c>
      <c r="D129" s="81" t="str">
        <f t="shared" ca="1" si="9"/>
        <v/>
      </c>
      <c r="E129" s="97"/>
      <c r="F129" s="21"/>
      <c r="G129" s="98" t="str">
        <f t="shared" si="10"/>
        <v/>
      </c>
      <c r="H129" s="23"/>
      <c r="I129" s="84"/>
      <c r="J129" s="85" t="str">
        <f>IF(AND(A129&lt;&gt;"",E129&lt;&gt;""),IF(I129="","⚠️ Enter Code",IF(IFERROR(VLOOKUP(H129,DB_Agents!$B:$I,8,0),"")=I129,IF(C129&gt;=E129,"Successful","Unsuccessful"),"🔒 BLOCKED — Wrong Code")),"—")</f>
        <v>—</v>
      </c>
      <c r="K129" s="86" t="str">
        <f t="shared" ca="1" si="11"/>
        <v>—</v>
      </c>
      <c r="L129" s="87"/>
    </row>
    <row r="130" spans="1:12" x14ac:dyDescent="0.25">
      <c r="A130" s="88"/>
      <c r="B130" s="25" t="str">
        <f>IF(A130="","",IFERROR(VLOOKUP(A130,DB_Customers!$A:$D,4,0),"❌ Account Not Found"))</f>
        <v/>
      </c>
      <c r="C130" s="89" t="str">
        <f>IF(A130="","",IFERROR(VLOOKUP(A130,DB_Customers!$A:$N,14,0),""))</f>
        <v/>
      </c>
      <c r="D130" s="90" t="str">
        <f t="shared" ca="1" si="9"/>
        <v/>
      </c>
      <c r="E130" s="97"/>
      <c r="F130" s="25"/>
      <c r="G130" s="99" t="str">
        <f t="shared" si="10"/>
        <v/>
      </c>
      <c r="H130" s="27"/>
      <c r="I130" s="84"/>
      <c r="J130" s="92" t="str">
        <f>IF(AND(A130&lt;&gt;"",E130&lt;&gt;""),IF(I130="","⚠️ Enter Code",IF(IFERROR(VLOOKUP(H130,DB_Agents!$B:$I,8,0),"")=I130,IF(C130&gt;=E130,"Successful","Unsuccessful"),"🔒 BLOCKED — Wrong Code")),"—")</f>
        <v>—</v>
      </c>
      <c r="K130" s="93" t="str">
        <f t="shared" ca="1" si="11"/>
        <v>—</v>
      </c>
      <c r="L130" s="94"/>
    </row>
    <row r="131" spans="1:12" x14ac:dyDescent="0.25">
      <c r="A131" s="79"/>
      <c r="B131" s="21" t="str">
        <f>IF(A131="","",IFERROR(VLOOKUP(A131,DB_Customers!$A:$D,4,0),"❌ Account Not Found"))</f>
        <v/>
      </c>
      <c r="C131" s="80" t="str">
        <f>IF(A131="","",IFERROR(VLOOKUP(A131,DB_Customers!$A:$N,14,0),""))</f>
        <v/>
      </c>
      <c r="D131" s="81" t="str">
        <f t="shared" ca="1" si="9"/>
        <v/>
      </c>
      <c r="E131" s="97"/>
      <c r="F131" s="21"/>
      <c r="G131" s="98" t="str">
        <f t="shared" si="10"/>
        <v/>
      </c>
      <c r="H131" s="23"/>
      <c r="I131" s="84"/>
      <c r="J131" s="85" t="str">
        <f>IF(AND(A131&lt;&gt;"",E131&lt;&gt;""),IF(I131="","⚠️ Enter Code",IF(IFERROR(VLOOKUP(H131,DB_Agents!$B:$I,8,0),"")=I131,IF(C131&gt;=E131,"Successful","Unsuccessful"),"🔒 BLOCKED — Wrong Code")),"—")</f>
        <v>—</v>
      </c>
      <c r="K131" s="86" t="str">
        <f t="shared" ca="1" si="11"/>
        <v>—</v>
      </c>
      <c r="L131" s="87"/>
    </row>
    <row r="132" spans="1:12" x14ac:dyDescent="0.25">
      <c r="A132" s="88"/>
      <c r="B132" s="25" t="str">
        <f>IF(A132="","",IFERROR(VLOOKUP(A132,DB_Customers!$A:$D,4,0),"❌ Account Not Found"))</f>
        <v/>
      </c>
      <c r="C132" s="89" t="str">
        <f>IF(A132="","",IFERROR(VLOOKUP(A132,DB_Customers!$A:$N,14,0),""))</f>
        <v/>
      </c>
      <c r="D132" s="90" t="str">
        <f t="shared" ca="1" si="9"/>
        <v/>
      </c>
      <c r="E132" s="97"/>
      <c r="F132" s="25"/>
      <c r="G132" s="99" t="str">
        <f t="shared" si="10"/>
        <v/>
      </c>
      <c r="H132" s="27"/>
      <c r="I132" s="84"/>
      <c r="J132" s="92" t="str">
        <f>IF(AND(A132&lt;&gt;"",E132&lt;&gt;""),IF(I132="","⚠️ Enter Code",IF(IFERROR(VLOOKUP(H132,DB_Agents!$B:$I,8,0),"")=I132,IF(C132&gt;=E132,"Successful","Unsuccessful"),"🔒 BLOCKED — Wrong Code")),"—")</f>
        <v>—</v>
      </c>
      <c r="K132" s="93" t="str">
        <f t="shared" ca="1" si="11"/>
        <v>—</v>
      </c>
      <c r="L132" s="94"/>
    </row>
    <row r="133" spans="1:12" x14ac:dyDescent="0.25">
      <c r="A133" s="79"/>
      <c r="B133" s="21" t="str">
        <f>IF(A133="","",IFERROR(VLOOKUP(A133,DB_Customers!$A:$D,4,0),"❌ Account Not Found"))</f>
        <v/>
      </c>
      <c r="C133" s="80" t="str">
        <f>IF(A133="","",IFERROR(VLOOKUP(A133,DB_Customers!$A:$N,14,0),""))</f>
        <v/>
      </c>
      <c r="D133" s="81" t="str">
        <f t="shared" ca="1" si="9"/>
        <v/>
      </c>
      <c r="E133" s="97"/>
      <c r="F133" s="21"/>
      <c r="G133" s="98" t="str">
        <f t="shared" si="10"/>
        <v/>
      </c>
      <c r="H133" s="23"/>
      <c r="I133" s="84"/>
      <c r="J133" s="85" t="str">
        <f>IF(AND(A133&lt;&gt;"",E133&lt;&gt;""),IF(I133="","⚠️ Enter Code",IF(IFERROR(VLOOKUP(H133,DB_Agents!$B:$I,8,0),"")=I133,IF(C133&gt;=E133,"Successful","Unsuccessful"),"🔒 BLOCKED — Wrong Code")),"—")</f>
        <v>—</v>
      </c>
      <c r="K133" s="86" t="str">
        <f t="shared" ca="1" si="11"/>
        <v>—</v>
      </c>
      <c r="L133" s="87"/>
    </row>
    <row r="134" spans="1:12" x14ac:dyDescent="0.25">
      <c r="A134" s="88"/>
      <c r="B134" s="25" t="str">
        <f>IF(A134="","",IFERROR(VLOOKUP(A134,DB_Customers!$A:$D,4,0),"❌ Account Not Found"))</f>
        <v/>
      </c>
      <c r="C134" s="89" t="str">
        <f>IF(A134="","",IFERROR(VLOOKUP(A134,DB_Customers!$A:$N,14,0),""))</f>
        <v/>
      </c>
      <c r="D134" s="90" t="str">
        <f t="shared" ca="1" si="9"/>
        <v/>
      </c>
      <c r="E134" s="97"/>
      <c r="F134" s="25"/>
      <c r="G134" s="99" t="str">
        <f t="shared" si="10"/>
        <v/>
      </c>
      <c r="H134" s="27"/>
      <c r="I134" s="84"/>
      <c r="J134" s="92" t="str">
        <f>IF(AND(A134&lt;&gt;"",E134&lt;&gt;""),IF(I134="","⚠️ Enter Code",IF(IFERROR(VLOOKUP(H134,DB_Agents!$B:$I,8,0),"")=I134,IF(C134&gt;=E134,"Successful","Unsuccessful"),"🔒 BLOCKED — Wrong Code")),"—")</f>
        <v>—</v>
      </c>
      <c r="K134" s="93" t="str">
        <f t="shared" ca="1" si="11"/>
        <v>—</v>
      </c>
      <c r="L134" s="94"/>
    </row>
    <row r="135" spans="1:12" x14ac:dyDescent="0.25">
      <c r="A135" s="79"/>
      <c r="B135" s="21" t="str">
        <f>IF(A135="","",IFERROR(VLOOKUP(A135,DB_Customers!$A:$D,4,0),"❌ Account Not Found"))</f>
        <v/>
      </c>
      <c r="C135" s="80" t="str">
        <f>IF(A135="","",IFERROR(VLOOKUP(A135,DB_Customers!$A:$N,14,0),""))</f>
        <v/>
      </c>
      <c r="D135" s="81" t="str">
        <f t="shared" ca="1" si="9"/>
        <v/>
      </c>
      <c r="E135" s="97"/>
      <c r="F135" s="21"/>
      <c r="G135" s="98" t="str">
        <f t="shared" si="10"/>
        <v/>
      </c>
      <c r="H135" s="23"/>
      <c r="I135" s="84"/>
      <c r="J135" s="85" t="str">
        <f>IF(AND(A135&lt;&gt;"",E135&lt;&gt;""),IF(I135="","⚠️ Enter Code",IF(IFERROR(VLOOKUP(H135,DB_Agents!$B:$I,8,0),"")=I135,IF(C135&gt;=E135,"Successful","Unsuccessful"),"🔒 BLOCKED — Wrong Code")),"—")</f>
        <v>—</v>
      </c>
      <c r="K135" s="86" t="str">
        <f t="shared" ca="1" si="11"/>
        <v>—</v>
      </c>
      <c r="L135" s="87"/>
    </row>
    <row r="136" spans="1:12" x14ac:dyDescent="0.25">
      <c r="A136" s="88"/>
      <c r="B136" s="25" t="str">
        <f>IF(A136="","",IFERROR(VLOOKUP(A136,DB_Customers!$A:$D,4,0),"❌ Account Not Found"))</f>
        <v/>
      </c>
      <c r="C136" s="89" t="str">
        <f>IF(A136="","",IFERROR(VLOOKUP(A136,DB_Customers!$A:$N,14,0),""))</f>
        <v/>
      </c>
      <c r="D136" s="90" t="str">
        <f t="shared" ca="1" si="9"/>
        <v/>
      </c>
      <c r="E136" s="97"/>
      <c r="F136" s="25"/>
      <c r="G136" s="99" t="str">
        <f t="shared" si="10"/>
        <v/>
      </c>
      <c r="H136" s="27"/>
      <c r="I136" s="84"/>
      <c r="J136" s="92" t="str">
        <f>IF(AND(A136&lt;&gt;"",E136&lt;&gt;""),IF(I136="","⚠️ Enter Code",IF(IFERROR(VLOOKUP(H136,DB_Agents!$B:$I,8,0),"")=I136,IF(C136&gt;=E136,"Successful","Unsuccessful"),"🔒 BLOCKED — Wrong Code")),"—")</f>
        <v>—</v>
      </c>
      <c r="K136" s="93" t="str">
        <f t="shared" ca="1" si="11"/>
        <v>—</v>
      </c>
      <c r="L136" s="94"/>
    </row>
    <row r="137" spans="1:12" x14ac:dyDescent="0.25">
      <c r="A137" s="79"/>
      <c r="B137" s="21" t="str">
        <f>IF(A137="","",IFERROR(VLOOKUP(A137,DB_Customers!$A:$D,4,0),"❌ Account Not Found"))</f>
        <v/>
      </c>
      <c r="C137" s="80" t="str">
        <f>IF(A137="","",IFERROR(VLOOKUP(A137,DB_Customers!$A:$N,14,0),""))</f>
        <v/>
      </c>
      <c r="D137" s="81" t="str">
        <f t="shared" ref="D137:D168" ca="1" si="12">IF(A137="","",TODAY())</f>
        <v/>
      </c>
      <c r="E137" s="97"/>
      <c r="F137" s="21"/>
      <c r="G137" s="98" t="str">
        <f t="shared" ref="G137:G168" si="13">IF(OR(A137="",E137=""),"",IF(C137="","",C137-E137))</f>
        <v/>
      </c>
      <c r="H137" s="23"/>
      <c r="I137" s="84"/>
      <c r="J137" s="85" t="str">
        <f>IF(AND(A137&lt;&gt;"",E137&lt;&gt;""),IF(I137="","⚠️ Enter Code",IF(IFERROR(VLOOKUP(H137,DB_Agents!$B:$I,8,0),"")=I137,IF(C137&gt;=E137,"Successful","Unsuccessful"),"🔒 BLOCKED — Wrong Code")),"—")</f>
        <v>—</v>
      </c>
      <c r="K137" s="86" t="str">
        <f t="shared" ref="K137:K168" ca="1" si="14">IF(J137="Successful",TEXT(TODAY(),"YYYY-MM-DD")&amp;" Auto","—")</f>
        <v>—</v>
      </c>
      <c r="L137" s="87"/>
    </row>
    <row r="138" spans="1:12" x14ac:dyDescent="0.25">
      <c r="A138" s="88"/>
      <c r="B138" s="25" t="str">
        <f>IF(A138="","",IFERROR(VLOOKUP(A138,DB_Customers!$A:$D,4,0),"❌ Account Not Found"))</f>
        <v/>
      </c>
      <c r="C138" s="89" t="str">
        <f>IF(A138="","",IFERROR(VLOOKUP(A138,DB_Customers!$A:$N,14,0),""))</f>
        <v/>
      </c>
      <c r="D138" s="90" t="str">
        <f t="shared" ca="1" si="12"/>
        <v/>
      </c>
      <c r="E138" s="97"/>
      <c r="F138" s="25"/>
      <c r="G138" s="99" t="str">
        <f t="shared" si="13"/>
        <v/>
      </c>
      <c r="H138" s="27"/>
      <c r="I138" s="84"/>
      <c r="J138" s="92" t="str">
        <f>IF(AND(A138&lt;&gt;"",E138&lt;&gt;""),IF(I138="","⚠️ Enter Code",IF(IFERROR(VLOOKUP(H138,DB_Agents!$B:$I,8,0),"")=I138,IF(C138&gt;=E138,"Successful","Unsuccessful"),"🔒 BLOCKED — Wrong Code")),"—")</f>
        <v>—</v>
      </c>
      <c r="K138" s="93" t="str">
        <f t="shared" ca="1" si="14"/>
        <v>—</v>
      </c>
      <c r="L138" s="94"/>
    </row>
    <row r="139" spans="1:12" x14ac:dyDescent="0.25">
      <c r="A139" s="79"/>
      <c r="B139" s="21" t="str">
        <f>IF(A139="","",IFERROR(VLOOKUP(A139,DB_Customers!$A:$D,4,0),"❌ Account Not Found"))</f>
        <v/>
      </c>
      <c r="C139" s="80" t="str">
        <f>IF(A139="","",IFERROR(VLOOKUP(A139,DB_Customers!$A:$N,14,0),""))</f>
        <v/>
      </c>
      <c r="D139" s="81" t="str">
        <f t="shared" ca="1" si="12"/>
        <v/>
      </c>
      <c r="E139" s="97"/>
      <c r="F139" s="21"/>
      <c r="G139" s="98" t="str">
        <f t="shared" si="13"/>
        <v/>
      </c>
      <c r="H139" s="23"/>
      <c r="I139" s="84"/>
      <c r="J139" s="85" t="str">
        <f>IF(AND(A139&lt;&gt;"",E139&lt;&gt;""),IF(I139="","⚠️ Enter Code",IF(IFERROR(VLOOKUP(H139,DB_Agents!$B:$I,8,0),"")=I139,IF(C139&gt;=E139,"Successful","Unsuccessful"),"🔒 BLOCKED — Wrong Code")),"—")</f>
        <v>—</v>
      </c>
      <c r="K139" s="86" t="str">
        <f t="shared" ca="1" si="14"/>
        <v>—</v>
      </c>
      <c r="L139" s="87"/>
    </row>
    <row r="140" spans="1:12" x14ac:dyDescent="0.25">
      <c r="A140" s="88"/>
      <c r="B140" s="25" t="str">
        <f>IF(A140="","",IFERROR(VLOOKUP(A140,DB_Customers!$A:$D,4,0),"❌ Account Not Found"))</f>
        <v/>
      </c>
      <c r="C140" s="89" t="str">
        <f>IF(A140="","",IFERROR(VLOOKUP(A140,DB_Customers!$A:$N,14,0),""))</f>
        <v/>
      </c>
      <c r="D140" s="90" t="str">
        <f t="shared" ca="1" si="12"/>
        <v/>
      </c>
      <c r="E140" s="97"/>
      <c r="F140" s="25"/>
      <c r="G140" s="99" t="str">
        <f t="shared" si="13"/>
        <v/>
      </c>
      <c r="H140" s="27"/>
      <c r="I140" s="84"/>
      <c r="J140" s="92" t="str">
        <f>IF(AND(A140&lt;&gt;"",E140&lt;&gt;""),IF(I140="","⚠️ Enter Code",IF(IFERROR(VLOOKUP(H140,DB_Agents!$B:$I,8,0),"")=I140,IF(C140&gt;=E140,"Successful","Unsuccessful"),"🔒 BLOCKED — Wrong Code")),"—")</f>
        <v>—</v>
      </c>
      <c r="K140" s="93" t="str">
        <f t="shared" ca="1" si="14"/>
        <v>—</v>
      </c>
      <c r="L140" s="94"/>
    </row>
    <row r="141" spans="1:12" x14ac:dyDescent="0.25">
      <c r="A141" s="79"/>
      <c r="B141" s="21" t="str">
        <f>IF(A141="","",IFERROR(VLOOKUP(A141,DB_Customers!$A:$D,4,0),"❌ Account Not Found"))</f>
        <v/>
      </c>
      <c r="C141" s="80" t="str">
        <f>IF(A141="","",IFERROR(VLOOKUP(A141,DB_Customers!$A:$N,14,0),""))</f>
        <v/>
      </c>
      <c r="D141" s="81" t="str">
        <f t="shared" ca="1" si="12"/>
        <v/>
      </c>
      <c r="E141" s="97"/>
      <c r="F141" s="21"/>
      <c r="G141" s="98" t="str">
        <f t="shared" si="13"/>
        <v/>
      </c>
      <c r="H141" s="23"/>
      <c r="I141" s="84"/>
      <c r="J141" s="85" t="str">
        <f>IF(AND(A141&lt;&gt;"",E141&lt;&gt;""),IF(I141="","⚠️ Enter Code",IF(IFERROR(VLOOKUP(H141,DB_Agents!$B:$I,8,0),"")=I141,IF(C141&gt;=E141,"Successful","Unsuccessful"),"🔒 BLOCKED — Wrong Code")),"—")</f>
        <v>—</v>
      </c>
      <c r="K141" s="86" t="str">
        <f t="shared" ca="1" si="14"/>
        <v>—</v>
      </c>
      <c r="L141" s="87"/>
    </row>
    <row r="142" spans="1:12" x14ac:dyDescent="0.25">
      <c r="A142" s="88"/>
      <c r="B142" s="25" t="str">
        <f>IF(A142="","",IFERROR(VLOOKUP(A142,DB_Customers!$A:$D,4,0),"❌ Account Not Found"))</f>
        <v/>
      </c>
      <c r="C142" s="89" t="str">
        <f>IF(A142="","",IFERROR(VLOOKUP(A142,DB_Customers!$A:$N,14,0),""))</f>
        <v/>
      </c>
      <c r="D142" s="90" t="str">
        <f t="shared" ca="1" si="12"/>
        <v/>
      </c>
      <c r="E142" s="97"/>
      <c r="F142" s="25"/>
      <c r="G142" s="99" t="str">
        <f t="shared" si="13"/>
        <v/>
      </c>
      <c r="H142" s="27"/>
      <c r="I142" s="84"/>
      <c r="J142" s="92" t="str">
        <f>IF(AND(A142&lt;&gt;"",E142&lt;&gt;""),IF(I142="","⚠️ Enter Code",IF(IFERROR(VLOOKUP(H142,DB_Agents!$B:$I,8,0),"")=I142,IF(C142&gt;=E142,"Successful","Unsuccessful"),"🔒 BLOCKED — Wrong Code")),"—")</f>
        <v>—</v>
      </c>
      <c r="K142" s="93" t="str">
        <f t="shared" ca="1" si="14"/>
        <v>—</v>
      </c>
      <c r="L142" s="94"/>
    </row>
    <row r="143" spans="1:12" x14ac:dyDescent="0.25">
      <c r="A143" s="79"/>
      <c r="B143" s="21" t="str">
        <f>IF(A143="","",IFERROR(VLOOKUP(A143,DB_Customers!$A:$D,4,0),"❌ Account Not Found"))</f>
        <v/>
      </c>
      <c r="C143" s="80" t="str">
        <f>IF(A143="","",IFERROR(VLOOKUP(A143,DB_Customers!$A:$N,14,0),""))</f>
        <v/>
      </c>
      <c r="D143" s="81" t="str">
        <f t="shared" ca="1" si="12"/>
        <v/>
      </c>
      <c r="E143" s="97"/>
      <c r="F143" s="21"/>
      <c r="G143" s="98" t="str">
        <f t="shared" si="13"/>
        <v/>
      </c>
      <c r="H143" s="23"/>
      <c r="I143" s="84"/>
      <c r="J143" s="85" t="str">
        <f>IF(AND(A143&lt;&gt;"",E143&lt;&gt;""),IF(I143="","⚠️ Enter Code",IF(IFERROR(VLOOKUP(H143,DB_Agents!$B:$I,8,0),"")=I143,IF(C143&gt;=E143,"Successful","Unsuccessful"),"🔒 BLOCKED — Wrong Code")),"—")</f>
        <v>—</v>
      </c>
      <c r="K143" s="86" t="str">
        <f t="shared" ca="1" si="14"/>
        <v>—</v>
      </c>
      <c r="L143" s="87"/>
    </row>
    <row r="144" spans="1:12" x14ac:dyDescent="0.25">
      <c r="A144" s="88"/>
      <c r="B144" s="25" t="str">
        <f>IF(A144="","",IFERROR(VLOOKUP(A144,DB_Customers!$A:$D,4,0),"❌ Account Not Found"))</f>
        <v/>
      </c>
      <c r="C144" s="89" t="str">
        <f>IF(A144="","",IFERROR(VLOOKUP(A144,DB_Customers!$A:$N,14,0),""))</f>
        <v/>
      </c>
      <c r="D144" s="90" t="str">
        <f t="shared" ca="1" si="12"/>
        <v/>
      </c>
      <c r="E144" s="97"/>
      <c r="F144" s="25"/>
      <c r="G144" s="99" t="str">
        <f t="shared" si="13"/>
        <v/>
      </c>
      <c r="H144" s="27"/>
      <c r="I144" s="84"/>
      <c r="J144" s="92" t="str">
        <f>IF(AND(A144&lt;&gt;"",E144&lt;&gt;""),IF(I144="","⚠️ Enter Code",IF(IFERROR(VLOOKUP(H144,DB_Agents!$B:$I,8,0),"")=I144,IF(C144&gt;=E144,"Successful","Unsuccessful"),"🔒 BLOCKED — Wrong Code")),"—")</f>
        <v>—</v>
      </c>
      <c r="K144" s="93" t="str">
        <f t="shared" ca="1" si="14"/>
        <v>—</v>
      </c>
      <c r="L144" s="94"/>
    </row>
    <row r="145" spans="1:12" x14ac:dyDescent="0.25">
      <c r="A145" s="79"/>
      <c r="B145" s="21" t="str">
        <f>IF(A145="","",IFERROR(VLOOKUP(A145,DB_Customers!$A:$D,4,0),"❌ Account Not Found"))</f>
        <v/>
      </c>
      <c r="C145" s="80" t="str">
        <f>IF(A145="","",IFERROR(VLOOKUP(A145,DB_Customers!$A:$N,14,0),""))</f>
        <v/>
      </c>
      <c r="D145" s="81" t="str">
        <f t="shared" ca="1" si="12"/>
        <v/>
      </c>
      <c r="E145" s="97"/>
      <c r="F145" s="21"/>
      <c r="G145" s="98" t="str">
        <f t="shared" si="13"/>
        <v/>
      </c>
      <c r="H145" s="23"/>
      <c r="I145" s="84"/>
      <c r="J145" s="85" t="str">
        <f>IF(AND(A145&lt;&gt;"",E145&lt;&gt;""),IF(I145="","⚠️ Enter Code",IF(IFERROR(VLOOKUP(H145,DB_Agents!$B:$I,8,0),"")=I145,IF(C145&gt;=E145,"Successful","Unsuccessful"),"🔒 BLOCKED — Wrong Code")),"—")</f>
        <v>—</v>
      </c>
      <c r="K145" s="86" t="str">
        <f t="shared" ca="1" si="14"/>
        <v>—</v>
      </c>
      <c r="L145" s="87"/>
    </row>
    <row r="146" spans="1:12" x14ac:dyDescent="0.25">
      <c r="A146" s="88"/>
      <c r="B146" s="25" t="str">
        <f>IF(A146="","",IFERROR(VLOOKUP(A146,DB_Customers!$A:$D,4,0),"❌ Account Not Found"))</f>
        <v/>
      </c>
      <c r="C146" s="89" t="str">
        <f>IF(A146="","",IFERROR(VLOOKUP(A146,DB_Customers!$A:$N,14,0),""))</f>
        <v/>
      </c>
      <c r="D146" s="90" t="str">
        <f t="shared" ca="1" si="12"/>
        <v/>
      </c>
      <c r="E146" s="97"/>
      <c r="F146" s="25"/>
      <c r="G146" s="99" t="str">
        <f t="shared" si="13"/>
        <v/>
      </c>
      <c r="H146" s="27"/>
      <c r="I146" s="84"/>
      <c r="J146" s="92" t="str">
        <f>IF(AND(A146&lt;&gt;"",E146&lt;&gt;""),IF(I146="","⚠️ Enter Code",IF(IFERROR(VLOOKUP(H146,DB_Agents!$B:$I,8,0),"")=I146,IF(C146&gt;=E146,"Successful","Unsuccessful"),"🔒 BLOCKED — Wrong Code")),"—")</f>
        <v>—</v>
      </c>
      <c r="K146" s="93" t="str">
        <f t="shared" ca="1" si="14"/>
        <v>—</v>
      </c>
      <c r="L146" s="94"/>
    </row>
    <row r="147" spans="1:12" x14ac:dyDescent="0.25">
      <c r="A147" s="79"/>
      <c r="B147" s="21" t="str">
        <f>IF(A147="","",IFERROR(VLOOKUP(A147,DB_Customers!$A:$D,4,0),"❌ Account Not Found"))</f>
        <v/>
      </c>
      <c r="C147" s="80" t="str">
        <f>IF(A147="","",IFERROR(VLOOKUP(A147,DB_Customers!$A:$N,14,0),""))</f>
        <v/>
      </c>
      <c r="D147" s="81" t="str">
        <f t="shared" ca="1" si="12"/>
        <v/>
      </c>
      <c r="E147" s="97"/>
      <c r="F147" s="21"/>
      <c r="G147" s="98" t="str">
        <f t="shared" si="13"/>
        <v/>
      </c>
      <c r="H147" s="23"/>
      <c r="I147" s="84"/>
      <c r="J147" s="85" t="str">
        <f>IF(AND(A147&lt;&gt;"",E147&lt;&gt;""),IF(I147="","⚠️ Enter Code",IF(IFERROR(VLOOKUP(H147,DB_Agents!$B:$I,8,0),"")=I147,IF(C147&gt;=E147,"Successful","Unsuccessful"),"🔒 BLOCKED — Wrong Code")),"—")</f>
        <v>—</v>
      </c>
      <c r="K147" s="86" t="str">
        <f t="shared" ca="1" si="14"/>
        <v>—</v>
      </c>
      <c r="L147" s="87"/>
    </row>
    <row r="148" spans="1:12" x14ac:dyDescent="0.25">
      <c r="A148" s="88"/>
      <c r="B148" s="25" t="str">
        <f>IF(A148="","",IFERROR(VLOOKUP(A148,DB_Customers!$A:$D,4,0),"❌ Account Not Found"))</f>
        <v/>
      </c>
      <c r="C148" s="89" t="str">
        <f>IF(A148="","",IFERROR(VLOOKUP(A148,DB_Customers!$A:$N,14,0),""))</f>
        <v/>
      </c>
      <c r="D148" s="90" t="str">
        <f t="shared" ca="1" si="12"/>
        <v/>
      </c>
      <c r="E148" s="97"/>
      <c r="F148" s="25"/>
      <c r="G148" s="99" t="str">
        <f t="shared" si="13"/>
        <v/>
      </c>
      <c r="H148" s="27"/>
      <c r="I148" s="84"/>
      <c r="J148" s="92" t="str">
        <f>IF(AND(A148&lt;&gt;"",E148&lt;&gt;""),IF(I148="","⚠️ Enter Code",IF(IFERROR(VLOOKUP(H148,DB_Agents!$B:$I,8,0),"")=I148,IF(C148&gt;=E148,"Successful","Unsuccessful"),"🔒 BLOCKED — Wrong Code")),"—")</f>
        <v>—</v>
      </c>
      <c r="K148" s="93" t="str">
        <f t="shared" ca="1" si="14"/>
        <v>—</v>
      </c>
      <c r="L148" s="94"/>
    </row>
    <row r="149" spans="1:12" x14ac:dyDescent="0.25">
      <c r="A149" s="79"/>
      <c r="B149" s="21" t="str">
        <f>IF(A149="","",IFERROR(VLOOKUP(A149,DB_Customers!$A:$D,4,0),"❌ Account Not Found"))</f>
        <v/>
      </c>
      <c r="C149" s="80" t="str">
        <f>IF(A149="","",IFERROR(VLOOKUP(A149,DB_Customers!$A:$N,14,0),""))</f>
        <v/>
      </c>
      <c r="D149" s="81" t="str">
        <f t="shared" ca="1" si="12"/>
        <v/>
      </c>
      <c r="E149" s="97"/>
      <c r="F149" s="21"/>
      <c r="G149" s="98" t="str">
        <f t="shared" si="13"/>
        <v/>
      </c>
      <c r="H149" s="23"/>
      <c r="I149" s="84"/>
      <c r="J149" s="85" t="str">
        <f>IF(AND(A149&lt;&gt;"",E149&lt;&gt;""),IF(I149="","⚠️ Enter Code",IF(IFERROR(VLOOKUP(H149,DB_Agents!$B:$I,8,0),"")=I149,IF(C149&gt;=E149,"Successful","Unsuccessful"),"🔒 BLOCKED — Wrong Code")),"—")</f>
        <v>—</v>
      </c>
      <c r="K149" s="86" t="str">
        <f t="shared" ca="1" si="14"/>
        <v>—</v>
      </c>
      <c r="L149" s="87"/>
    </row>
    <row r="150" spans="1:12" x14ac:dyDescent="0.25">
      <c r="A150" s="88"/>
      <c r="B150" s="25" t="str">
        <f>IF(A150="","",IFERROR(VLOOKUP(A150,DB_Customers!$A:$D,4,0),"❌ Account Not Found"))</f>
        <v/>
      </c>
      <c r="C150" s="89" t="str">
        <f>IF(A150="","",IFERROR(VLOOKUP(A150,DB_Customers!$A:$N,14,0),""))</f>
        <v/>
      </c>
      <c r="D150" s="90" t="str">
        <f t="shared" ca="1" si="12"/>
        <v/>
      </c>
      <c r="E150" s="97"/>
      <c r="F150" s="25"/>
      <c r="G150" s="99" t="str">
        <f t="shared" si="13"/>
        <v/>
      </c>
      <c r="H150" s="27"/>
      <c r="I150" s="84"/>
      <c r="J150" s="92" t="str">
        <f>IF(AND(A150&lt;&gt;"",E150&lt;&gt;""),IF(I150="","⚠️ Enter Code",IF(IFERROR(VLOOKUP(H150,DB_Agents!$B:$I,8,0),"")=I150,IF(C150&gt;=E150,"Successful","Unsuccessful"),"🔒 BLOCKED — Wrong Code")),"—")</f>
        <v>—</v>
      </c>
      <c r="K150" s="93" t="str">
        <f t="shared" ca="1" si="14"/>
        <v>—</v>
      </c>
      <c r="L150" s="94"/>
    </row>
    <row r="151" spans="1:12" x14ac:dyDescent="0.25">
      <c r="A151" s="79"/>
      <c r="B151" s="21" t="str">
        <f>IF(A151="","",IFERROR(VLOOKUP(A151,DB_Customers!$A:$D,4,0),"❌ Account Not Found"))</f>
        <v/>
      </c>
      <c r="C151" s="80" t="str">
        <f>IF(A151="","",IFERROR(VLOOKUP(A151,DB_Customers!$A:$N,14,0),""))</f>
        <v/>
      </c>
      <c r="D151" s="81" t="str">
        <f t="shared" ca="1" si="12"/>
        <v/>
      </c>
      <c r="E151" s="97"/>
      <c r="F151" s="21"/>
      <c r="G151" s="98" t="str">
        <f t="shared" si="13"/>
        <v/>
      </c>
      <c r="H151" s="23"/>
      <c r="I151" s="84"/>
      <c r="J151" s="85" t="str">
        <f>IF(AND(A151&lt;&gt;"",E151&lt;&gt;""),IF(I151="","⚠️ Enter Code",IF(IFERROR(VLOOKUP(H151,DB_Agents!$B:$I,8,0),"")=I151,IF(C151&gt;=E151,"Successful","Unsuccessful"),"🔒 BLOCKED — Wrong Code")),"—")</f>
        <v>—</v>
      </c>
      <c r="K151" s="86" t="str">
        <f t="shared" ca="1" si="14"/>
        <v>—</v>
      </c>
      <c r="L151" s="87"/>
    </row>
    <row r="152" spans="1:12" x14ac:dyDescent="0.25">
      <c r="A152" s="88"/>
      <c r="B152" s="25" t="str">
        <f>IF(A152="","",IFERROR(VLOOKUP(A152,DB_Customers!$A:$D,4,0),"❌ Account Not Found"))</f>
        <v/>
      </c>
      <c r="C152" s="89" t="str">
        <f>IF(A152="","",IFERROR(VLOOKUP(A152,DB_Customers!$A:$N,14,0),""))</f>
        <v/>
      </c>
      <c r="D152" s="90" t="str">
        <f t="shared" ca="1" si="12"/>
        <v/>
      </c>
      <c r="E152" s="97"/>
      <c r="F152" s="25"/>
      <c r="G152" s="99" t="str">
        <f t="shared" si="13"/>
        <v/>
      </c>
      <c r="H152" s="27"/>
      <c r="I152" s="84"/>
      <c r="J152" s="92" t="str">
        <f>IF(AND(A152&lt;&gt;"",E152&lt;&gt;""),IF(I152="","⚠️ Enter Code",IF(IFERROR(VLOOKUP(H152,DB_Agents!$B:$I,8,0),"")=I152,IF(C152&gt;=E152,"Successful","Unsuccessful"),"🔒 BLOCKED — Wrong Code")),"—")</f>
        <v>—</v>
      </c>
      <c r="K152" s="93" t="str">
        <f t="shared" ca="1" si="14"/>
        <v>—</v>
      </c>
      <c r="L152" s="94"/>
    </row>
    <row r="153" spans="1:12" x14ac:dyDescent="0.25">
      <c r="A153" s="79"/>
      <c r="B153" s="21" t="str">
        <f>IF(A153="","",IFERROR(VLOOKUP(A153,DB_Customers!$A:$D,4,0),"❌ Account Not Found"))</f>
        <v/>
      </c>
      <c r="C153" s="80" t="str">
        <f>IF(A153="","",IFERROR(VLOOKUP(A153,DB_Customers!$A:$N,14,0),""))</f>
        <v/>
      </c>
      <c r="D153" s="81" t="str">
        <f t="shared" ca="1" si="12"/>
        <v/>
      </c>
      <c r="E153" s="97"/>
      <c r="F153" s="21"/>
      <c r="G153" s="98" t="str">
        <f t="shared" si="13"/>
        <v/>
      </c>
      <c r="H153" s="23"/>
      <c r="I153" s="84"/>
      <c r="J153" s="85" t="str">
        <f>IF(AND(A153&lt;&gt;"",E153&lt;&gt;""),IF(I153="","⚠️ Enter Code",IF(IFERROR(VLOOKUP(H153,DB_Agents!$B:$I,8,0),"")=I153,IF(C153&gt;=E153,"Successful","Unsuccessful"),"🔒 BLOCKED — Wrong Code")),"—")</f>
        <v>—</v>
      </c>
      <c r="K153" s="86" t="str">
        <f t="shared" ca="1" si="14"/>
        <v>—</v>
      </c>
      <c r="L153" s="87"/>
    </row>
    <row r="154" spans="1:12" x14ac:dyDescent="0.25">
      <c r="A154" s="88"/>
      <c r="B154" s="25" t="str">
        <f>IF(A154="","",IFERROR(VLOOKUP(A154,DB_Customers!$A:$D,4,0),"❌ Account Not Found"))</f>
        <v/>
      </c>
      <c r="C154" s="89" t="str">
        <f>IF(A154="","",IFERROR(VLOOKUP(A154,DB_Customers!$A:$N,14,0),""))</f>
        <v/>
      </c>
      <c r="D154" s="90" t="str">
        <f t="shared" ca="1" si="12"/>
        <v/>
      </c>
      <c r="E154" s="97"/>
      <c r="F154" s="25"/>
      <c r="G154" s="99" t="str">
        <f t="shared" si="13"/>
        <v/>
      </c>
      <c r="H154" s="27"/>
      <c r="I154" s="84"/>
      <c r="J154" s="92" t="str">
        <f>IF(AND(A154&lt;&gt;"",E154&lt;&gt;""),IF(I154="","⚠️ Enter Code",IF(IFERROR(VLOOKUP(H154,DB_Agents!$B:$I,8,0),"")=I154,IF(C154&gt;=E154,"Successful","Unsuccessful"),"🔒 BLOCKED — Wrong Code")),"—")</f>
        <v>—</v>
      </c>
      <c r="K154" s="93" t="str">
        <f t="shared" ca="1" si="14"/>
        <v>—</v>
      </c>
      <c r="L154" s="94"/>
    </row>
    <row r="155" spans="1:12" x14ac:dyDescent="0.25">
      <c r="A155" s="79"/>
      <c r="B155" s="21" t="str">
        <f>IF(A155="","",IFERROR(VLOOKUP(A155,DB_Customers!$A:$D,4,0),"❌ Account Not Found"))</f>
        <v/>
      </c>
      <c r="C155" s="80" t="str">
        <f>IF(A155="","",IFERROR(VLOOKUP(A155,DB_Customers!$A:$N,14,0),""))</f>
        <v/>
      </c>
      <c r="D155" s="81" t="str">
        <f t="shared" ca="1" si="12"/>
        <v/>
      </c>
      <c r="E155" s="97"/>
      <c r="F155" s="21"/>
      <c r="G155" s="98" t="str">
        <f t="shared" si="13"/>
        <v/>
      </c>
      <c r="H155" s="23"/>
      <c r="I155" s="84"/>
      <c r="J155" s="85" t="str">
        <f>IF(AND(A155&lt;&gt;"",E155&lt;&gt;""),IF(I155="","⚠️ Enter Code",IF(IFERROR(VLOOKUP(H155,DB_Agents!$B:$I,8,0),"")=I155,IF(C155&gt;=E155,"Successful","Unsuccessful"),"🔒 BLOCKED — Wrong Code")),"—")</f>
        <v>—</v>
      </c>
      <c r="K155" s="86" t="str">
        <f t="shared" ca="1" si="14"/>
        <v>—</v>
      </c>
      <c r="L155" s="87"/>
    </row>
    <row r="156" spans="1:12" x14ac:dyDescent="0.25">
      <c r="A156" s="88"/>
      <c r="B156" s="25" t="str">
        <f>IF(A156="","",IFERROR(VLOOKUP(A156,DB_Customers!$A:$D,4,0),"❌ Account Not Found"))</f>
        <v/>
      </c>
      <c r="C156" s="89" t="str">
        <f>IF(A156="","",IFERROR(VLOOKUP(A156,DB_Customers!$A:$N,14,0),""))</f>
        <v/>
      </c>
      <c r="D156" s="90" t="str">
        <f t="shared" ca="1" si="12"/>
        <v/>
      </c>
      <c r="E156" s="97"/>
      <c r="F156" s="25"/>
      <c r="G156" s="99" t="str">
        <f t="shared" si="13"/>
        <v/>
      </c>
      <c r="H156" s="27"/>
      <c r="I156" s="84"/>
      <c r="J156" s="92" t="str">
        <f>IF(AND(A156&lt;&gt;"",E156&lt;&gt;""),IF(I156="","⚠️ Enter Code",IF(IFERROR(VLOOKUP(H156,DB_Agents!$B:$I,8,0),"")=I156,IF(C156&gt;=E156,"Successful","Unsuccessful"),"🔒 BLOCKED — Wrong Code")),"—")</f>
        <v>—</v>
      </c>
      <c r="K156" s="93" t="str">
        <f t="shared" ca="1" si="14"/>
        <v>—</v>
      </c>
      <c r="L156" s="94"/>
    </row>
    <row r="157" spans="1:12" x14ac:dyDescent="0.25">
      <c r="A157" s="79"/>
      <c r="B157" s="21" t="str">
        <f>IF(A157="","",IFERROR(VLOOKUP(A157,DB_Customers!$A:$D,4,0),"❌ Account Not Found"))</f>
        <v/>
      </c>
      <c r="C157" s="80" t="str">
        <f>IF(A157="","",IFERROR(VLOOKUP(A157,DB_Customers!$A:$N,14,0),""))</f>
        <v/>
      </c>
      <c r="D157" s="81" t="str">
        <f t="shared" ca="1" si="12"/>
        <v/>
      </c>
      <c r="E157" s="97"/>
      <c r="F157" s="21"/>
      <c r="G157" s="98" t="str">
        <f t="shared" si="13"/>
        <v/>
      </c>
      <c r="H157" s="23"/>
      <c r="I157" s="84"/>
      <c r="J157" s="85" t="str">
        <f>IF(AND(A157&lt;&gt;"",E157&lt;&gt;""),IF(I157="","⚠️ Enter Code",IF(IFERROR(VLOOKUP(H157,DB_Agents!$B:$I,8,0),"")=I157,IF(C157&gt;=E157,"Successful","Unsuccessful"),"🔒 BLOCKED — Wrong Code")),"—")</f>
        <v>—</v>
      </c>
      <c r="K157" s="86" t="str">
        <f t="shared" ca="1" si="14"/>
        <v>—</v>
      </c>
      <c r="L157" s="87"/>
    </row>
    <row r="158" spans="1:12" x14ac:dyDescent="0.25">
      <c r="A158" s="88"/>
      <c r="B158" s="25" t="str">
        <f>IF(A158="","",IFERROR(VLOOKUP(A158,DB_Customers!$A:$D,4,0),"❌ Account Not Found"))</f>
        <v/>
      </c>
      <c r="C158" s="89" t="str">
        <f>IF(A158="","",IFERROR(VLOOKUP(A158,DB_Customers!$A:$N,14,0),""))</f>
        <v/>
      </c>
      <c r="D158" s="90" t="str">
        <f t="shared" ca="1" si="12"/>
        <v/>
      </c>
      <c r="E158" s="97"/>
      <c r="F158" s="25"/>
      <c r="G158" s="99" t="str">
        <f t="shared" si="13"/>
        <v/>
      </c>
      <c r="H158" s="27"/>
      <c r="I158" s="84"/>
      <c r="J158" s="92" t="str">
        <f>IF(AND(A158&lt;&gt;"",E158&lt;&gt;""),IF(I158="","⚠️ Enter Code",IF(IFERROR(VLOOKUP(H158,DB_Agents!$B:$I,8,0),"")=I158,IF(C158&gt;=E158,"Successful","Unsuccessful"),"🔒 BLOCKED — Wrong Code")),"—")</f>
        <v>—</v>
      </c>
      <c r="K158" s="93" t="str">
        <f t="shared" ca="1" si="14"/>
        <v>—</v>
      </c>
      <c r="L158" s="94"/>
    </row>
    <row r="159" spans="1:12" x14ac:dyDescent="0.25">
      <c r="A159" s="79"/>
      <c r="B159" s="21" t="str">
        <f>IF(A159="","",IFERROR(VLOOKUP(A159,DB_Customers!$A:$D,4,0),"❌ Account Not Found"))</f>
        <v/>
      </c>
      <c r="C159" s="80" t="str">
        <f>IF(A159="","",IFERROR(VLOOKUP(A159,DB_Customers!$A:$N,14,0),""))</f>
        <v/>
      </c>
      <c r="D159" s="81" t="str">
        <f t="shared" ca="1" si="12"/>
        <v/>
      </c>
      <c r="E159" s="97"/>
      <c r="F159" s="21"/>
      <c r="G159" s="98" t="str">
        <f t="shared" si="13"/>
        <v/>
      </c>
      <c r="H159" s="23"/>
      <c r="I159" s="84"/>
      <c r="J159" s="85" t="str">
        <f>IF(AND(A159&lt;&gt;"",E159&lt;&gt;""),IF(I159="","⚠️ Enter Code",IF(IFERROR(VLOOKUP(H159,DB_Agents!$B:$I,8,0),"")=I159,IF(C159&gt;=E159,"Successful","Unsuccessful"),"🔒 BLOCKED — Wrong Code")),"—")</f>
        <v>—</v>
      </c>
      <c r="K159" s="86" t="str">
        <f t="shared" ca="1" si="14"/>
        <v>—</v>
      </c>
      <c r="L159" s="87"/>
    </row>
    <row r="160" spans="1:12" x14ac:dyDescent="0.25">
      <c r="A160" s="88"/>
      <c r="B160" s="25" t="str">
        <f>IF(A160="","",IFERROR(VLOOKUP(A160,DB_Customers!$A:$D,4,0),"❌ Account Not Found"))</f>
        <v/>
      </c>
      <c r="C160" s="89" t="str">
        <f>IF(A160="","",IFERROR(VLOOKUP(A160,DB_Customers!$A:$N,14,0),""))</f>
        <v/>
      </c>
      <c r="D160" s="90" t="str">
        <f t="shared" ca="1" si="12"/>
        <v/>
      </c>
      <c r="E160" s="97"/>
      <c r="F160" s="25"/>
      <c r="G160" s="99" t="str">
        <f t="shared" si="13"/>
        <v/>
      </c>
      <c r="H160" s="27"/>
      <c r="I160" s="84"/>
      <c r="J160" s="92" t="str">
        <f>IF(AND(A160&lt;&gt;"",E160&lt;&gt;""),IF(I160="","⚠️ Enter Code",IF(IFERROR(VLOOKUP(H160,DB_Agents!$B:$I,8,0),"")=I160,IF(C160&gt;=E160,"Successful","Unsuccessful"),"🔒 BLOCKED — Wrong Code")),"—")</f>
        <v>—</v>
      </c>
      <c r="K160" s="93" t="str">
        <f t="shared" ca="1" si="14"/>
        <v>—</v>
      </c>
      <c r="L160" s="94"/>
    </row>
    <row r="161" spans="1:12" x14ac:dyDescent="0.25">
      <c r="A161" s="79"/>
      <c r="B161" s="21" t="str">
        <f>IF(A161="","",IFERROR(VLOOKUP(A161,DB_Customers!$A:$D,4,0),"❌ Account Not Found"))</f>
        <v/>
      </c>
      <c r="C161" s="80" t="str">
        <f>IF(A161="","",IFERROR(VLOOKUP(A161,DB_Customers!$A:$N,14,0),""))</f>
        <v/>
      </c>
      <c r="D161" s="81" t="str">
        <f t="shared" ca="1" si="12"/>
        <v/>
      </c>
      <c r="E161" s="97"/>
      <c r="F161" s="21"/>
      <c r="G161" s="98" t="str">
        <f t="shared" si="13"/>
        <v/>
      </c>
      <c r="H161" s="23"/>
      <c r="I161" s="84"/>
      <c r="J161" s="85" t="str">
        <f>IF(AND(A161&lt;&gt;"",E161&lt;&gt;""),IF(I161="","⚠️ Enter Code",IF(IFERROR(VLOOKUP(H161,DB_Agents!$B:$I,8,0),"")=I161,IF(C161&gt;=E161,"Successful","Unsuccessful"),"🔒 BLOCKED — Wrong Code")),"—")</f>
        <v>—</v>
      </c>
      <c r="K161" s="86" t="str">
        <f t="shared" ca="1" si="14"/>
        <v>—</v>
      </c>
      <c r="L161" s="87"/>
    </row>
    <row r="162" spans="1:12" x14ac:dyDescent="0.25">
      <c r="A162" s="88"/>
      <c r="B162" s="25" t="str">
        <f>IF(A162="","",IFERROR(VLOOKUP(A162,DB_Customers!$A:$D,4,0),"❌ Account Not Found"))</f>
        <v/>
      </c>
      <c r="C162" s="89" t="str">
        <f>IF(A162="","",IFERROR(VLOOKUP(A162,DB_Customers!$A:$N,14,0),""))</f>
        <v/>
      </c>
      <c r="D162" s="90" t="str">
        <f t="shared" ca="1" si="12"/>
        <v/>
      </c>
      <c r="E162" s="97"/>
      <c r="F162" s="25"/>
      <c r="G162" s="99" t="str">
        <f t="shared" si="13"/>
        <v/>
      </c>
      <c r="H162" s="27"/>
      <c r="I162" s="84"/>
      <c r="J162" s="92" t="str">
        <f>IF(AND(A162&lt;&gt;"",E162&lt;&gt;""),IF(I162="","⚠️ Enter Code",IF(IFERROR(VLOOKUP(H162,DB_Agents!$B:$I,8,0),"")=I162,IF(C162&gt;=E162,"Successful","Unsuccessful"),"🔒 BLOCKED — Wrong Code")),"—")</f>
        <v>—</v>
      </c>
      <c r="K162" s="93" t="str">
        <f t="shared" ca="1" si="14"/>
        <v>—</v>
      </c>
      <c r="L162" s="94"/>
    </row>
    <row r="163" spans="1:12" x14ac:dyDescent="0.25">
      <c r="A163" s="79"/>
      <c r="B163" s="21" t="str">
        <f>IF(A163="","",IFERROR(VLOOKUP(A163,DB_Customers!$A:$D,4,0),"❌ Account Not Found"))</f>
        <v/>
      </c>
      <c r="C163" s="80" t="str">
        <f>IF(A163="","",IFERROR(VLOOKUP(A163,DB_Customers!$A:$N,14,0),""))</f>
        <v/>
      </c>
      <c r="D163" s="81" t="str">
        <f t="shared" ca="1" si="12"/>
        <v/>
      </c>
      <c r="E163" s="97"/>
      <c r="F163" s="21"/>
      <c r="G163" s="98" t="str">
        <f t="shared" si="13"/>
        <v/>
      </c>
      <c r="H163" s="23"/>
      <c r="I163" s="84"/>
      <c r="J163" s="85" t="str">
        <f>IF(AND(A163&lt;&gt;"",E163&lt;&gt;""),IF(I163="","⚠️ Enter Code",IF(IFERROR(VLOOKUP(H163,DB_Agents!$B:$I,8,0),"")=I163,IF(C163&gt;=E163,"Successful","Unsuccessful"),"🔒 BLOCKED — Wrong Code")),"—")</f>
        <v>—</v>
      </c>
      <c r="K163" s="86" t="str">
        <f t="shared" ca="1" si="14"/>
        <v>—</v>
      </c>
      <c r="L163" s="87"/>
    </row>
    <row r="164" spans="1:12" x14ac:dyDescent="0.25">
      <c r="A164" s="88"/>
      <c r="B164" s="25" t="str">
        <f>IF(A164="","",IFERROR(VLOOKUP(A164,DB_Customers!$A:$D,4,0),"❌ Account Not Found"))</f>
        <v/>
      </c>
      <c r="C164" s="89" t="str">
        <f>IF(A164="","",IFERROR(VLOOKUP(A164,DB_Customers!$A:$N,14,0),""))</f>
        <v/>
      </c>
      <c r="D164" s="90" t="str">
        <f t="shared" ca="1" si="12"/>
        <v/>
      </c>
      <c r="E164" s="97"/>
      <c r="F164" s="25"/>
      <c r="G164" s="99" t="str">
        <f t="shared" si="13"/>
        <v/>
      </c>
      <c r="H164" s="27"/>
      <c r="I164" s="84"/>
      <c r="J164" s="92" t="str">
        <f>IF(AND(A164&lt;&gt;"",E164&lt;&gt;""),IF(I164="","⚠️ Enter Code",IF(IFERROR(VLOOKUP(H164,DB_Agents!$B:$I,8,0),"")=I164,IF(C164&gt;=E164,"Successful","Unsuccessful"),"🔒 BLOCKED — Wrong Code")),"—")</f>
        <v>—</v>
      </c>
      <c r="K164" s="93" t="str">
        <f t="shared" ca="1" si="14"/>
        <v>—</v>
      </c>
      <c r="L164" s="94"/>
    </row>
    <row r="165" spans="1:12" x14ac:dyDescent="0.25">
      <c r="A165" s="79"/>
      <c r="B165" s="21" t="str">
        <f>IF(A165="","",IFERROR(VLOOKUP(A165,DB_Customers!$A:$D,4,0),"❌ Account Not Found"))</f>
        <v/>
      </c>
      <c r="C165" s="80" t="str">
        <f>IF(A165="","",IFERROR(VLOOKUP(A165,DB_Customers!$A:$N,14,0),""))</f>
        <v/>
      </c>
      <c r="D165" s="81" t="str">
        <f t="shared" ca="1" si="12"/>
        <v/>
      </c>
      <c r="E165" s="97"/>
      <c r="F165" s="21"/>
      <c r="G165" s="98" t="str">
        <f t="shared" si="13"/>
        <v/>
      </c>
      <c r="H165" s="23"/>
      <c r="I165" s="84"/>
      <c r="J165" s="85" t="str">
        <f>IF(AND(A165&lt;&gt;"",E165&lt;&gt;""),IF(I165="","⚠️ Enter Code",IF(IFERROR(VLOOKUP(H165,DB_Agents!$B:$I,8,0),"")=I165,IF(C165&gt;=E165,"Successful","Unsuccessful"),"🔒 BLOCKED — Wrong Code")),"—")</f>
        <v>—</v>
      </c>
      <c r="K165" s="86" t="str">
        <f t="shared" ca="1" si="14"/>
        <v>—</v>
      </c>
      <c r="L165" s="87"/>
    </row>
    <row r="166" spans="1:12" x14ac:dyDescent="0.25">
      <c r="A166" s="88"/>
      <c r="B166" s="25" t="str">
        <f>IF(A166="","",IFERROR(VLOOKUP(A166,DB_Customers!$A:$D,4,0),"❌ Account Not Found"))</f>
        <v/>
      </c>
      <c r="C166" s="89" t="str">
        <f>IF(A166="","",IFERROR(VLOOKUP(A166,DB_Customers!$A:$N,14,0),""))</f>
        <v/>
      </c>
      <c r="D166" s="90" t="str">
        <f t="shared" ca="1" si="12"/>
        <v/>
      </c>
      <c r="E166" s="97"/>
      <c r="F166" s="25"/>
      <c r="G166" s="99" t="str">
        <f t="shared" si="13"/>
        <v/>
      </c>
      <c r="H166" s="27"/>
      <c r="I166" s="84"/>
      <c r="J166" s="92" t="str">
        <f>IF(AND(A166&lt;&gt;"",E166&lt;&gt;""),IF(I166="","⚠️ Enter Code",IF(IFERROR(VLOOKUP(H166,DB_Agents!$B:$I,8,0),"")=I166,IF(C166&gt;=E166,"Successful","Unsuccessful"),"🔒 BLOCKED — Wrong Code")),"—")</f>
        <v>—</v>
      </c>
      <c r="K166" s="93" t="str">
        <f t="shared" ca="1" si="14"/>
        <v>—</v>
      </c>
      <c r="L166" s="94"/>
    </row>
    <row r="167" spans="1:12" x14ac:dyDescent="0.25">
      <c r="A167" s="79"/>
      <c r="B167" s="21" t="str">
        <f>IF(A167="","",IFERROR(VLOOKUP(A167,DB_Customers!$A:$D,4,0),"❌ Account Not Found"))</f>
        <v/>
      </c>
      <c r="C167" s="80" t="str">
        <f>IF(A167="","",IFERROR(VLOOKUP(A167,DB_Customers!$A:$N,14,0),""))</f>
        <v/>
      </c>
      <c r="D167" s="81" t="str">
        <f t="shared" ca="1" si="12"/>
        <v/>
      </c>
      <c r="E167" s="97"/>
      <c r="F167" s="21"/>
      <c r="G167" s="98" t="str">
        <f t="shared" si="13"/>
        <v/>
      </c>
      <c r="H167" s="23"/>
      <c r="I167" s="84"/>
      <c r="J167" s="85" t="str">
        <f>IF(AND(A167&lt;&gt;"",E167&lt;&gt;""),IF(I167="","⚠️ Enter Code",IF(IFERROR(VLOOKUP(H167,DB_Agents!$B:$I,8,0),"")=I167,IF(C167&gt;=E167,"Successful","Unsuccessful"),"🔒 BLOCKED — Wrong Code")),"—")</f>
        <v>—</v>
      </c>
      <c r="K167" s="86" t="str">
        <f t="shared" ca="1" si="14"/>
        <v>—</v>
      </c>
      <c r="L167" s="87"/>
    </row>
    <row r="168" spans="1:12" x14ac:dyDescent="0.25">
      <c r="A168" s="88"/>
      <c r="B168" s="25" t="str">
        <f>IF(A168="","",IFERROR(VLOOKUP(A168,DB_Customers!$A:$D,4,0),"❌ Account Not Found"))</f>
        <v/>
      </c>
      <c r="C168" s="89" t="str">
        <f>IF(A168="","",IFERROR(VLOOKUP(A168,DB_Customers!$A:$N,14,0),""))</f>
        <v/>
      </c>
      <c r="D168" s="90" t="str">
        <f t="shared" ca="1" si="12"/>
        <v/>
      </c>
      <c r="E168" s="97"/>
      <c r="F168" s="25"/>
      <c r="G168" s="99" t="str">
        <f t="shared" si="13"/>
        <v/>
      </c>
      <c r="H168" s="27"/>
      <c r="I168" s="84"/>
      <c r="J168" s="92" t="str">
        <f>IF(AND(A168&lt;&gt;"",E168&lt;&gt;""),IF(I168="","⚠️ Enter Code",IF(IFERROR(VLOOKUP(H168,DB_Agents!$B:$I,8,0),"")=I168,IF(C168&gt;=E168,"Successful","Unsuccessful"),"🔒 BLOCKED — Wrong Code")),"—")</f>
        <v>—</v>
      </c>
      <c r="K168" s="93" t="str">
        <f t="shared" ca="1" si="14"/>
        <v>—</v>
      </c>
      <c r="L168" s="94"/>
    </row>
    <row r="169" spans="1:12" x14ac:dyDescent="0.25">
      <c r="A169" s="79"/>
      <c r="B169" s="21" t="str">
        <f>IF(A169="","",IFERROR(VLOOKUP(A169,DB_Customers!$A:$D,4,0),"❌ Account Not Found"))</f>
        <v/>
      </c>
      <c r="C169" s="80" t="str">
        <f>IF(A169="","",IFERROR(VLOOKUP(A169,DB_Customers!$A:$N,14,0),""))</f>
        <v/>
      </c>
      <c r="D169" s="81" t="str">
        <f t="shared" ref="D169:D200" ca="1" si="15">IF(A169="","",TODAY())</f>
        <v/>
      </c>
      <c r="E169" s="97"/>
      <c r="F169" s="21"/>
      <c r="G169" s="98" t="str">
        <f t="shared" ref="G169:G200" si="16">IF(OR(A169="",E169=""),"",IF(C169="","",C169-E169))</f>
        <v/>
      </c>
      <c r="H169" s="23"/>
      <c r="I169" s="84"/>
      <c r="J169" s="85" t="str">
        <f>IF(AND(A169&lt;&gt;"",E169&lt;&gt;""),IF(I169="","⚠️ Enter Code",IF(IFERROR(VLOOKUP(H169,DB_Agents!$B:$I,8,0),"")=I169,IF(C169&gt;=E169,"Successful","Unsuccessful"),"🔒 BLOCKED — Wrong Code")),"—")</f>
        <v>—</v>
      </c>
      <c r="K169" s="86" t="str">
        <f t="shared" ref="K169:K200" ca="1" si="17">IF(J169="Successful",TEXT(TODAY(),"YYYY-MM-DD")&amp;" Auto","—")</f>
        <v>—</v>
      </c>
      <c r="L169" s="87"/>
    </row>
    <row r="170" spans="1:12" x14ac:dyDescent="0.25">
      <c r="A170" s="88"/>
      <c r="B170" s="25" t="str">
        <f>IF(A170="","",IFERROR(VLOOKUP(A170,DB_Customers!$A:$D,4,0),"❌ Account Not Found"))</f>
        <v/>
      </c>
      <c r="C170" s="89" t="str">
        <f>IF(A170="","",IFERROR(VLOOKUP(A170,DB_Customers!$A:$N,14,0),""))</f>
        <v/>
      </c>
      <c r="D170" s="90" t="str">
        <f t="shared" ca="1" si="15"/>
        <v/>
      </c>
      <c r="E170" s="97"/>
      <c r="F170" s="25"/>
      <c r="G170" s="99" t="str">
        <f t="shared" si="16"/>
        <v/>
      </c>
      <c r="H170" s="27"/>
      <c r="I170" s="84"/>
      <c r="J170" s="92" t="str">
        <f>IF(AND(A170&lt;&gt;"",E170&lt;&gt;""),IF(I170="","⚠️ Enter Code",IF(IFERROR(VLOOKUP(H170,DB_Agents!$B:$I,8,0),"")=I170,IF(C170&gt;=E170,"Successful","Unsuccessful"),"🔒 BLOCKED — Wrong Code")),"—")</f>
        <v>—</v>
      </c>
      <c r="K170" s="93" t="str">
        <f t="shared" ca="1" si="17"/>
        <v>—</v>
      </c>
      <c r="L170" s="94"/>
    </row>
    <row r="171" spans="1:12" x14ac:dyDescent="0.25">
      <c r="A171" s="79"/>
      <c r="B171" s="21" t="str">
        <f>IF(A171="","",IFERROR(VLOOKUP(A171,DB_Customers!$A:$D,4,0),"❌ Account Not Found"))</f>
        <v/>
      </c>
      <c r="C171" s="80" t="str">
        <f>IF(A171="","",IFERROR(VLOOKUP(A171,DB_Customers!$A:$N,14,0),""))</f>
        <v/>
      </c>
      <c r="D171" s="81" t="str">
        <f t="shared" ca="1" si="15"/>
        <v/>
      </c>
      <c r="E171" s="97"/>
      <c r="F171" s="21"/>
      <c r="G171" s="98" t="str">
        <f t="shared" si="16"/>
        <v/>
      </c>
      <c r="H171" s="23"/>
      <c r="I171" s="84"/>
      <c r="J171" s="85" t="str">
        <f>IF(AND(A171&lt;&gt;"",E171&lt;&gt;""),IF(I171="","⚠️ Enter Code",IF(IFERROR(VLOOKUP(H171,DB_Agents!$B:$I,8,0),"")=I171,IF(C171&gt;=E171,"Successful","Unsuccessful"),"🔒 BLOCKED — Wrong Code")),"—")</f>
        <v>—</v>
      </c>
      <c r="K171" s="86" t="str">
        <f t="shared" ca="1" si="17"/>
        <v>—</v>
      </c>
      <c r="L171" s="87"/>
    </row>
    <row r="172" spans="1:12" x14ac:dyDescent="0.25">
      <c r="A172" s="88"/>
      <c r="B172" s="25" t="str">
        <f>IF(A172="","",IFERROR(VLOOKUP(A172,DB_Customers!$A:$D,4,0),"❌ Account Not Found"))</f>
        <v/>
      </c>
      <c r="C172" s="89" t="str">
        <f>IF(A172="","",IFERROR(VLOOKUP(A172,DB_Customers!$A:$N,14,0),""))</f>
        <v/>
      </c>
      <c r="D172" s="90" t="str">
        <f t="shared" ca="1" si="15"/>
        <v/>
      </c>
      <c r="E172" s="97"/>
      <c r="F172" s="25"/>
      <c r="G172" s="99" t="str">
        <f t="shared" si="16"/>
        <v/>
      </c>
      <c r="H172" s="27"/>
      <c r="I172" s="84"/>
      <c r="J172" s="92" t="str">
        <f>IF(AND(A172&lt;&gt;"",E172&lt;&gt;""),IF(I172="","⚠️ Enter Code",IF(IFERROR(VLOOKUP(H172,DB_Agents!$B:$I,8,0),"")=I172,IF(C172&gt;=E172,"Successful","Unsuccessful"),"🔒 BLOCKED — Wrong Code")),"—")</f>
        <v>—</v>
      </c>
      <c r="K172" s="93" t="str">
        <f t="shared" ca="1" si="17"/>
        <v>—</v>
      </c>
      <c r="L172" s="94"/>
    </row>
    <row r="173" spans="1:12" x14ac:dyDescent="0.25">
      <c r="A173" s="79"/>
      <c r="B173" s="21" t="str">
        <f>IF(A173="","",IFERROR(VLOOKUP(A173,DB_Customers!$A:$D,4,0),"❌ Account Not Found"))</f>
        <v/>
      </c>
      <c r="C173" s="80" t="str">
        <f>IF(A173="","",IFERROR(VLOOKUP(A173,DB_Customers!$A:$N,14,0),""))</f>
        <v/>
      </c>
      <c r="D173" s="81" t="str">
        <f t="shared" ca="1" si="15"/>
        <v/>
      </c>
      <c r="E173" s="97"/>
      <c r="F173" s="21"/>
      <c r="G173" s="98" t="str">
        <f t="shared" si="16"/>
        <v/>
      </c>
      <c r="H173" s="23"/>
      <c r="I173" s="84"/>
      <c r="J173" s="85" t="str">
        <f>IF(AND(A173&lt;&gt;"",E173&lt;&gt;""),IF(I173="","⚠️ Enter Code",IF(IFERROR(VLOOKUP(H173,DB_Agents!$B:$I,8,0),"")=I173,IF(C173&gt;=E173,"Successful","Unsuccessful"),"🔒 BLOCKED — Wrong Code")),"—")</f>
        <v>—</v>
      </c>
      <c r="K173" s="86" t="str">
        <f t="shared" ca="1" si="17"/>
        <v>—</v>
      </c>
      <c r="L173" s="87"/>
    </row>
    <row r="174" spans="1:12" x14ac:dyDescent="0.25">
      <c r="A174" s="88"/>
      <c r="B174" s="25" t="str">
        <f>IF(A174="","",IFERROR(VLOOKUP(A174,DB_Customers!$A:$D,4,0),"❌ Account Not Found"))</f>
        <v/>
      </c>
      <c r="C174" s="89" t="str">
        <f>IF(A174="","",IFERROR(VLOOKUP(A174,DB_Customers!$A:$N,14,0),""))</f>
        <v/>
      </c>
      <c r="D174" s="90" t="str">
        <f t="shared" ca="1" si="15"/>
        <v/>
      </c>
      <c r="E174" s="97"/>
      <c r="F174" s="25"/>
      <c r="G174" s="99" t="str">
        <f t="shared" si="16"/>
        <v/>
      </c>
      <c r="H174" s="27"/>
      <c r="I174" s="84"/>
      <c r="J174" s="92" t="str">
        <f>IF(AND(A174&lt;&gt;"",E174&lt;&gt;""),IF(I174="","⚠️ Enter Code",IF(IFERROR(VLOOKUP(H174,DB_Agents!$B:$I,8,0),"")=I174,IF(C174&gt;=E174,"Successful","Unsuccessful"),"🔒 BLOCKED — Wrong Code")),"—")</f>
        <v>—</v>
      </c>
      <c r="K174" s="93" t="str">
        <f t="shared" ca="1" si="17"/>
        <v>—</v>
      </c>
      <c r="L174" s="94"/>
    </row>
    <row r="175" spans="1:12" x14ac:dyDescent="0.25">
      <c r="A175" s="79"/>
      <c r="B175" s="21" t="str">
        <f>IF(A175="","",IFERROR(VLOOKUP(A175,DB_Customers!$A:$D,4,0),"❌ Account Not Found"))</f>
        <v/>
      </c>
      <c r="C175" s="80" t="str">
        <f>IF(A175="","",IFERROR(VLOOKUP(A175,DB_Customers!$A:$N,14,0),""))</f>
        <v/>
      </c>
      <c r="D175" s="81" t="str">
        <f t="shared" ca="1" si="15"/>
        <v/>
      </c>
      <c r="E175" s="97"/>
      <c r="F175" s="21"/>
      <c r="G175" s="98" t="str">
        <f t="shared" si="16"/>
        <v/>
      </c>
      <c r="H175" s="23"/>
      <c r="I175" s="84"/>
      <c r="J175" s="85" t="str">
        <f>IF(AND(A175&lt;&gt;"",E175&lt;&gt;""),IF(I175="","⚠️ Enter Code",IF(IFERROR(VLOOKUP(H175,DB_Agents!$B:$I,8,0),"")=I175,IF(C175&gt;=E175,"Successful","Unsuccessful"),"🔒 BLOCKED — Wrong Code")),"—")</f>
        <v>—</v>
      </c>
      <c r="K175" s="86" t="str">
        <f t="shared" ca="1" si="17"/>
        <v>—</v>
      </c>
      <c r="L175" s="87"/>
    </row>
    <row r="176" spans="1:12" x14ac:dyDescent="0.25">
      <c r="A176" s="88"/>
      <c r="B176" s="25" t="str">
        <f>IF(A176="","",IFERROR(VLOOKUP(A176,DB_Customers!$A:$D,4,0),"❌ Account Not Found"))</f>
        <v/>
      </c>
      <c r="C176" s="89" t="str">
        <f>IF(A176="","",IFERROR(VLOOKUP(A176,DB_Customers!$A:$N,14,0),""))</f>
        <v/>
      </c>
      <c r="D176" s="90" t="str">
        <f t="shared" ca="1" si="15"/>
        <v/>
      </c>
      <c r="E176" s="97"/>
      <c r="F176" s="25"/>
      <c r="G176" s="99" t="str">
        <f t="shared" si="16"/>
        <v/>
      </c>
      <c r="H176" s="27"/>
      <c r="I176" s="84"/>
      <c r="J176" s="92" t="str">
        <f>IF(AND(A176&lt;&gt;"",E176&lt;&gt;""),IF(I176="","⚠️ Enter Code",IF(IFERROR(VLOOKUP(H176,DB_Agents!$B:$I,8,0),"")=I176,IF(C176&gt;=E176,"Successful","Unsuccessful"),"🔒 BLOCKED — Wrong Code")),"—")</f>
        <v>—</v>
      </c>
      <c r="K176" s="93" t="str">
        <f t="shared" ca="1" si="17"/>
        <v>—</v>
      </c>
      <c r="L176" s="94"/>
    </row>
    <row r="177" spans="1:12" x14ac:dyDescent="0.25">
      <c r="A177" s="79"/>
      <c r="B177" s="21" t="str">
        <f>IF(A177="","",IFERROR(VLOOKUP(A177,DB_Customers!$A:$D,4,0),"❌ Account Not Found"))</f>
        <v/>
      </c>
      <c r="C177" s="80" t="str">
        <f>IF(A177="","",IFERROR(VLOOKUP(A177,DB_Customers!$A:$N,14,0),""))</f>
        <v/>
      </c>
      <c r="D177" s="81" t="str">
        <f t="shared" ca="1" si="15"/>
        <v/>
      </c>
      <c r="E177" s="97"/>
      <c r="F177" s="21"/>
      <c r="G177" s="98" t="str">
        <f t="shared" si="16"/>
        <v/>
      </c>
      <c r="H177" s="23"/>
      <c r="I177" s="84"/>
      <c r="J177" s="85" t="str">
        <f>IF(AND(A177&lt;&gt;"",E177&lt;&gt;""),IF(I177="","⚠️ Enter Code",IF(IFERROR(VLOOKUP(H177,DB_Agents!$B:$I,8,0),"")=I177,IF(C177&gt;=E177,"Successful","Unsuccessful"),"🔒 BLOCKED — Wrong Code")),"—")</f>
        <v>—</v>
      </c>
      <c r="K177" s="86" t="str">
        <f t="shared" ca="1" si="17"/>
        <v>—</v>
      </c>
      <c r="L177" s="87"/>
    </row>
    <row r="178" spans="1:12" x14ac:dyDescent="0.25">
      <c r="A178" s="88"/>
      <c r="B178" s="25" t="str">
        <f>IF(A178="","",IFERROR(VLOOKUP(A178,DB_Customers!$A:$D,4,0),"❌ Account Not Found"))</f>
        <v/>
      </c>
      <c r="C178" s="89" t="str">
        <f>IF(A178="","",IFERROR(VLOOKUP(A178,DB_Customers!$A:$N,14,0),""))</f>
        <v/>
      </c>
      <c r="D178" s="90" t="str">
        <f t="shared" ca="1" si="15"/>
        <v/>
      </c>
      <c r="E178" s="97"/>
      <c r="F178" s="25"/>
      <c r="G178" s="99" t="str">
        <f t="shared" si="16"/>
        <v/>
      </c>
      <c r="H178" s="27"/>
      <c r="I178" s="84"/>
      <c r="J178" s="92" t="str">
        <f>IF(AND(A178&lt;&gt;"",E178&lt;&gt;""),IF(I178="","⚠️ Enter Code",IF(IFERROR(VLOOKUP(H178,DB_Agents!$B:$I,8,0),"")=I178,IF(C178&gt;=E178,"Successful","Unsuccessful"),"🔒 BLOCKED — Wrong Code")),"—")</f>
        <v>—</v>
      </c>
      <c r="K178" s="93" t="str">
        <f t="shared" ca="1" si="17"/>
        <v>—</v>
      </c>
      <c r="L178" s="94"/>
    </row>
    <row r="179" spans="1:12" x14ac:dyDescent="0.25">
      <c r="A179" s="79"/>
      <c r="B179" s="21" t="str">
        <f>IF(A179="","",IFERROR(VLOOKUP(A179,DB_Customers!$A:$D,4,0),"❌ Account Not Found"))</f>
        <v/>
      </c>
      <c r="C179" s="80" t="str">
        <f>IF(A179="","",IFERROR(VLOOKUP(A179,DB_Customers!$A:$N,14,0),""))</f>
        <v/>
      </c>
      <c r="D179" s="81" t="str">
        <f t="shared" ca="1" si="15"/>
        <v/>
      </c>
      <c r="E179" s="97"/>
      <c r="F179" s="21"/>
      <c r="G179" s="98" t="str">
        <f t="shared" si="16"/>
        <v/>
      </c>
      <c r="H179" s="23"/>
      <c r="I179" s="84"/>
      <c r="J179" s="85" t="str">
        <f>IF(AND(A179&lt;&gt;"",E179&lt;&gt;""),IF(I179="","⚠️ Enter Code",IF(IFERROR(VLOOKUP(H179,DB_Agents!$B:$I,8,0),"")=I179,IF(C179&gt;=E179,"Successful","Unsuccessful"),"🔒 BLOCKED — Wrong Code")),"—")</f>
        <v>—</v>
      </c>
      <c r="K179" s="86" t="str">
        <f t="shared" ca="1" si="17"/>
        <v>—</v>
      </c>
      <c r="L179" s="87"/>
    </row>
    <row r="180" spans="1:12" x14ac:dyDescent="0.25">
      <c r="A180" s="88"/>
      <c r="B180" s="25" t="str">
        <f>IF(A180="","",IFERROR(VLOOKUP(A180,DB_Customers!$A:$D,4,0),"❌ Account Not Found"))</f>
        <v/>
      </c>
      <c r="C180" s="89" t="str">
        <f>IF(A180="","",IFERROR(VLOOKUP(A180,DB_Customers!$A:$N,14,0),""))</f>
        <v/>
      </c>
      <c r="D180" s="90" t="str">
        <f t="shared" ca="1" si="15"/>
        <v/>
      </c>
      <c r="E180" s="97"/>
      <c r="F180" s="25"/>
      <c r="G180" s="99" t="str">
        <f t="shared" si="16"/>
        <v/>
      </c>
      <c r="H180" s="27"/>
      <c r="I180" s="84"/>
      <c r="J180" s="92" t="str">
        <f>IF(AND(A180&lt;&gt;"",E180&lt;&gt;""),IF(I180="","⚠️ Enter Code",IF(IFERROR(VLOOKUP(H180,DB_Agents!$B:$I,8,0),"")=I180,IF(C180&gt;=E180,"Successful","Unsuccessful"),"🔒 BLOCKED — Wrong Code")),"—")</f>
        <v>—</v>
      </c>
      <c r="K180" s="93" t="str">
        <f t="shared" ca="1" si="17"/>
        <v>—</v>
      </c>
      <c r="L180" s="94"/>
    </row>
    <row r="181" spans="1:12" x14ac:dyDescent="0.25">
      <c r="A181" s="79"/>
      <c r="B181" s="21" t="str">
        <f>IF(A181="","",IFERROR(VLOOKUP(A181,DB_Customers!$A:$D,4,0),"❌ Account Not Found"))</f>
        <v/>
      </c>
      <c r="C181" s="80" t="str">
        <f>IF(A181="","",IFERROR(VLOOKUP(A181,DB_Customers!$A:$N,14,0),""))</f>
        <v/>
      </c>
      <c r="D181" s="81" t="str">
        <f t="shared" ca="1" si="15"/>
        <v/>
      </c>
      <c r="E181" s="97"/>
      <c r="F181" s="21"/>
      <c r="G181" s="98" t="str">
        <f t="shared" si="16"/>
        <v/>
      </c>
      <c r="H181" s="23"/>
      <c r="I181" s="84"/>
      <c r="J181" s="85" t="str">
        <f>IF(AND(A181&lt;&gt;"",E181&lt;&gt;""),IF(I181="","⚠️ Enter Code",IF(IFERROR(VLOOKUP(H181,DB_Agents!$B:$I,8,0),"")=I181,IF(C181&gt;=E181,"Successful","Unsuccessful"),"🔒 BLOCKED — Wrong Code")),"—")</f>
        <v>—</v>
      </c>
      <c r="K181" s="86" t="str">
        <f t="shared" ca="1" si="17"/>
        <v>—</v>
      </c>
      <c r="L181" s="87"/>
    </row>
    <row r="182" spans="1:12" x14ac:dyDescent="0.25">
      <c r="A182" s="88"/>
      <c r="B182" s="25" t="str">
        <f>IF(A182="","",IFERROR(VLOOKUP(A182,DB_Customers!$A:$D,4,0),"❌ Account Not Found"))</f>
        <v/>
      </c>
      <c r="C182" s="89" t="str">
        <f>IF(A182="","",IFERROR(VLOOKUP(A182,DB_Customers!$A:$N,14,0),""))</f>
        <v/>
      </c>
      <c r="D182" s="90" t="str">
        <f t="shared" ca="1" si="15"/>
        <v/>
      </c>
      <c r="E182" s="97"/>
      <c r="F182" s="25"/>
      <c r="G182" s="99" t="str">
        <f t="shared" si="16"/>
        <v/>
      </c>
      <c r="H182" s="27"/>
      <c r="I182" s="84"/>
      <c r="J182" s="92" t="str">
        <f>IF(AND(A182&lt;&gt;"",E182&lt;&gt;""),IF(I182="","⚠️ Enter Code",IF(IFERROR(VLOOKUP(H182,DB_Agents!$B:$I,8,0),"")=I182,IF(C182&gt;=E182,"Successful","Unsuccessful"),"🔒 BLOCKED — Wrong Code")),"—")</f>
        <v>—</v>
      </c>
      <c r="K182" s="93" t="str">
        <f t="shared" ca="1" si="17"/>
        <v>—</v>
      </c>
      <c r="L182" s="94"/>
    </row>
    <row r="183" spans="1:12" x14ac:dyDescent="0.25">
      <c r="A183" s="79"/>
      <c r="B183" s="21" t="str">
        <f>IF(A183="","",IFERROR(VLOOKUP(A183,DB_Customers!$A:$D,4,0),"❌ Account Not Found"))</f>
        <v/>
      </c>
      <c r="C183" s="80" t="str">
        <f>IF(A183="","",IFERROR(VLOOKUP(A183,DB_Customers!$A:$N,14,0),""))</f>
        <v/>
      </c>
      <c r="D183" s="81" t="str">
        <f t="shared" ca="1" si="15"/>
        <v/>
      </c>
      <c r="E183" s="97"/>
      <c r="F183" s="21"/>
      <c r="G183" s="98" t="str">
        <f t="shared" si="16"/>
        <v/>
      </c>
      <c r="H183" s="23"/>
      <c r="I183" s="84"/>
      <c r="J183" s="85" t="str">
        <f>IF(AND(A183&lt;&gt;"",E183&lt;&gt;""),IF(I183="","⚠️ Enter Code",IF(IFERROR(VLOOKUP(H183,DB_Agents!$B:$I,8,0),"")=I183,IF(C183&gt;=E183,"Successful","Unsuccessful"),"🔒 BLOCKED — Wrong Code")),"—")</f>
        <v>—</v>
      </c>
      <c r="K183" s="86" t="str">
        <f t="shared" ca="1" si="17"/>
        <v>—</v>
      </c>
      <c r="L183" s="87"/>
    </row>
    <row r="184" spans="1:12" x14ac:dyDescent="0.25">
      <c r="A184" s="88"/>
      <c r="B184" s="25" t="str">
        <f>IF(A184="","",IFERROR(VLOOKUP(A184,DB_Customers!$A:$D,4,0),"❌ Account Not Found"))</f>
        <v/>
      </c>
      <c r="C184" s="89" t="str">
        <f>IF(A184="","",IFERROR(VLOOKUP(A184,DB_Customers!$A:$N,14,0),""))</f>
        <v/>
      </c>
      <c r="D184" s="90" t="str">
        <f t="shared" ca="1" si="15"/>
        <v/>
      </c>
      <c r="E184" s="97"/>
      <c r="F184" s="25"/>
      <c r="G184" s="99" t="str">
        <f t="shared" si="16"/>
        <v/>
      </c>
      <c r="H184" s="27"/>
      <c r="I184" s="84"/>
      <c r="J184" s="92" t="str">
        <f>IF(AND(A184&lt;&gt;"",E184&lt;&gt;""),IF(I184="","⚠️ Enter Code",IF(IFERROR(VLOOKUP(H184,DB_Agents!$B:$I,8,0),"")=I184,IF(C184&gt;=E184,"Successful","Unsuccessful"),"🔒 BLOCKED — Wrong Code")),"—")</f>
        <v>—</v>
      </c>
      <c r="K184" s="93" t="str">
        <f t="shared" ca="1" si="17"/>
        <v>—</v>
      </c>
      <c r="L184" s="94"/>
    </row>
    <row r="185" spans="1:12" x14ac:dyDescent="0.25">
      <c r="A185" s="79"/>
      <c r="B185" s="21" t="str">
        <f>IF(A185="","",IFERROR(VLOOKUP(A185,DB_Customers!$A:$D,4,0),"❌ Account Not Found"))</f>
        <v/>
      </c>
      <c r="C185" s="80" t="str">
        <f>IF(A185="","",IFERROR(VLOOKUP(A185,DB_Customers!$A:$N,14,0),""))</f>
        <v/>
      </c>
      <c r="D185" s="81" t="str">
        <f t="shared" ca="1" si="15"/>
        <v/>
      </c>
      <c r="E185" s="97"/>
      <c r="F185" s="21"/>
      <c r="G185" s="98" t="str">
        <f t="shared" si="16"/>
        <v/>
      </c>
      <c r="H185" s="23"/>
      <c r="I185" s="84"/>
      <c r="J185" s="85" t="str">
        <f>IF(AND(A185&lt;&gt;"",E185&lt;&gt;""),IF(I185="","⚠️ Enter Code",IF(IFERROR(VLOOKUP(H185,DB_Agents!$B:$I,8,0),"")=I185,IF(C185&gt;=E185,"Successful","Unsuccessful"),"🔒 BLOCKED — Wrong Code")),"—")</f>
        <v>—</v>
      </c>
      <c r="K185" s="86" t="str">
        <f t="shared" ca="1" si="17"/>
        <v>—</v>
      </c>
      <c r="L185" s="87"/>
    </row>
    <row r="186" spans="1:12" x14ac:dyDescent="0.25">
      <c r="A186" s="88"/>
      <c r="B186" s="25" t="str">
        <f>IF(A186="","",IFERROR(VLOOKUP(A186,DB_Customers!$A:$D,4,0),"❌ Account Not Found"))</f>
        <v/>
      </c>
      <c r="C186" s="89" t="str">
        <f>IF(A186="","",IFERROR(VLOOKUP(A186,DB_Customers!$A:$N,14,0),""))</f>
        <v/>
      </c>
      <c r="D186" s="90" t="str">
        <f t="shared" ca="1" si="15"/>
        <v/>
      </c>
      <c r="E186" s="97"/>
      <c r="F186" s="25"/>
      <c r="G186" s="99" t="str">
        <f t="shared" si="16"/>
        <v/>
      </c>
      <c r="H186" s="27"/>
      <c r="I186" s="84"/>
      <c r="J186" s="92" t="str">
        <f>IF(AND(A186&lt;&gt;"",E186&lt;&gt;""),IF(I186="","⚠️ Enter Code",IF(IFERROR(VLOOKUP(H186,DB_Agents!$B:$I,8,0),"")=I186,IF(C186&gt;=E186,"Successful","Unsuccessful"),"🔒 BLOCKED — Wrong Code")),"—")</f>
        <v>—</v>
      </c>
      <c r="K186" s="93" t="str">
        <f t="shared" ca="1" si="17"/>
        <v>—</v>
      </c>
      <c r="L186" s="94"/>
    </row>
    <row r="187" spans="1:12" x14ac:dyDescent="0.25">
      <c r="A187" s="79"/>
      <c r="B187" s="21" t="str">
        <f>IF(A187="","",IFERROR(VLOOKUP(A187,DB_Customers!$A:$D,4,0),"❌ Account Not Found"))</f>
        <v/>
      </c>
      <c r="C187" s="80" t="str">
        <f>IF(A187="","",IFERROR(VLOOKUP(A187,DB_Customers!$A:$N,14,0),""))</f>
        <v/>
      </c>
      <c r="D187" s="81" t="str">
        <f t="shared" ca="1" si="15"/>
        <v/>
      </c>
      <c r="E187" s="97"/>
      <c r="F187" s="21"/>
      <c r="G187" s="98" t="str">
        <f t="shared" si="16"/>
        <v/>
      </c>
      <c r="H187" s="23"/>
      <c r="I187" s="84"/>
      <c r="J187" s="85" t="str">
        <f>IF(AND(A187&lt;&gt;"",E187&lt;&gt;""),IF(I187="","⚠️ Enter Code",IF(IFERROR(VLOOKUP(H187,DB_Agents!$B:$I,8,0),"")=I187,IF(C187&gt;=E187,"Successful","Unsuccessful"),"🔒 BLOCKED — Wrong Code")),"—")</f>
        <v>—</v>
      </c>
      <c r="K187" s="86" t="str">
        <f t="shared" ca="1" si="17"/>
        <v>—</v>
      </c>
      <c r="L187" s="87"/>
    </row>
    <row r="188" spans="1:12" x14ac:dyDescent="0.25">
      <c r="A188" s="88"/>
      <c r="B188" s="25" t="str">
        <f>IF(A188="","",IFERROR(VLOOKUP(A188,DB_Customers!$A:$D,4,0),"❌ Account Not Found"))</f>
        <v/>
      </c>
      <c r="C188" s="89" t="str">
        <f>IF(A188="","",IFERROR(VLOOKUP(A188,DB_Customers!$A:$N,14,0),""))</f>
        <v/>
      </c>
      <c r="D188" s="90" t="str">
        <f t="shared" ca="1" si="15"/>
        <v/>
      </c>
      <c r="E188" s="97"/>
      <c r="F188" s="25"/>
      <c r="G188" s="99" t="str">
        <f t="shared" si="16"/>
        <v/>
      </c>
      <c r="H188" s="27"/>
      <c r="I188" s="84"/>
      <c r="J188" s="92" t="str">
        <f>IF(AND(A188&lt;&gt;"",E188&lt;&gt;""),IF(I188="","⚠️ Enter Code",IF(IFERROR(VLOOKUP(H188,DB_Agents!$B:$I,8,0),"")=I188,IF(C188&gt;=E188,"Successful","Unsuccessful"),"🔒 BLOCKED — Wrong Code")),"—")</f>
        <v>—</v>
      </c>
      <c r="K188" s="93" t="str">
        <f t="shared" ca="1" si="17"/>
        <v>—</v>
      </c>
      <c r="L188" s="94"/>
    </row>
    <row r="189" spans="1:12" x14ac:dyDescent="0.25">
      <c r="A189" s="79"/>
      <c r="B189" s="21" t="str">
        <f>IF(A189="","",IFERROR(VLOOKUP(A189,DB_Customers!$A:$D,4,0),"❌ Account Not Found"))</f>
        <v/>
      </c>
      <c r="C189" s="80" t="str">
        <f>IF(A189="","",IFERROR(VLOOKUP(A189,DB_Customers!$A:$N,14,0),""))</f>
        <v/>
      </c>
      <c r="D189" s="81" t="str">
        <f t="shared" ca="1" si="15"/>
        <v/>
      </c>
      <c r="E189" s="97"/>
      <c r="F189" s="21"/>
      <c r="G189" s="98" t="str">
        <f t="shared" si="16"/>
        <v/>
      </c>
      <c r="H189" s="23"/>
      <c r="I189" s="84"/>
      <c r="J189" s="85" t="str">
        <f>IF(AND(A189&lt;&gt;"",E189&lt;&gt;""),IF(I189="","⚠️ Enter Code",IF(IFERROR(VLOOKUP(H189,DB_Agents!$B:$I,8,0),"")=I189,IF(C189&gt;=E189,"Successful","Unsuccessful"),"🔒 BLOCKED — Wrong Code")),"—")</f>
        <v>—</v>
      </c>
      <c r="K189" s="86" t="str">
        <f t="shared" ca="1" si="17"/>
        <v>—</v>
      </c>
      <c r="L189" s="87"/>
    </row>
    <row r="190" spans="1:12" x14ac:dyDescent="0.25">
      <c r="A190" s="88"/>
      <c r="B190" s="25" t="str">
        <f>IF(A190="","",IFERROR(VLOOKUP(A190,DB_Customers!$A:$D,4,0),"❌ Account Not Found"))</f>
        <v/>
      </c>
      <c r="C190" s="89" t="str">
        <f>IF(A190="","",IFERROR(VLOOKUP(A190,DB_Customers!$A:$N,14,0),""))</f>
        <v/>
      </c>
      <c r="D190" s="90" t="str">
        <f t="shared" ca="1" si="15"/>
        <v/>
      </c>
      <c r="E190" s="97"/>
      <c r="F190" s="25"/>
      <c r="G190" s="99" t="str">
        <f t="shared" si="16"/>
        <v/>
      </c>
      <c r="H190" s="27"/>
      <c r="I190" s="84"/>
      <c r="J190" s="92" t="str">
        <f>IF(AND(A190&lt;&gt;"",E190&lt;&gt;""),IF(I190="","⚠️ Enter Code",IF(IFERROR(VLOOKUP(H190,DB_Agents!$B:$I,8,0),"")=I190,IF(C190&gt;=E190,"Successful","Unsuccessful"),"🔒 BLOCKED — Wrong Code")),"—")</f>
        <v>—</v>
      </c>
      <c r="K190" s="93" t="str">
        <f t="shared" ca="1" si="17"/>
        <v>—</v>
      </c>
      <c r="L190" s="94"/>
    </row>
    <row r="191" spans="1:12" x14ac:dyDescent="0.25">
      <c r="A191" s="79"/>
      <c r="B191" s="21" t="str">
        <f>IF(A191="","",IFERROR(VLOOKUP(A191,DB_Customers!$A:$D,4,0),"❌ Account Not Found"))</f>
        <v/>
      </c>
      <c r="C191" s="80" t="str">
        <f>IF(A191="","",IFERROR(VLOOKUP(A191,DB_Customers!$A:$N,14,0),""))</f>
        <v/>
      </c>
      <c r="D191" s="81" t="str">
        <f t="shared" ca="1" si="15"/>
        <v/>
      </c>
      <c r="E191" s="97"/>
      <c r="F191" s="21"/>
      <c r="G191" s="98" t="str">
        <f t="shared" si="16"/>
        <v/>
      </c>
      <c r="H191" s="23"/>
      <c r="I191" s="84"/>
      <c r="J191" s="85" t="str">
        <f>IF(AND(A191&lt;&gt;"",E191&lt;&gt;""),IF(I191="","⚠️ Enter Code",IF(IFERROR(VLOOKUP(H191,DB_Agents!$B:$I,8,0),"")=I191,IF(C191&gt;=E191,"Successful","Unsuccessful"),"🔒 BLOCKED — Wrong Code")),"—")</f>
        <v>—</v>
      </c>
      <c r="K191" s="86" t="str">
        <f t="shared" ca="1" si="17"/>
        <v>—</v>
      </c>
      <c r="L191" s="87"/>
    </row>
    <row r="192" spans="1:12" x14ac:dyDescent="0.25">
      <c r="A192" s="88"/>
      <c r="B192" s="25" t="str">
        <f>IF(A192="","",IFERROR(VLOOKUP(A192,DB_Customers!$A:$D,4,0),"❌ Account Not Found"))</f>
        <v/>
      </c>
      <c r="C192" s="89" t="str">
        <f>IF(A192="","",IFERROR(VLOOKUP(A192,DB_Customers!$A:$N,14,0),""))</f>
        <v/>
      </c>
      <c r="D192" s="90" t="str">
        <f t="shared" ca="1" si="15"/>
        <v/>
      </c>
      <c r="E192" s="97"/>
      <c r="F192" s="25"/>
      <c r="G192" s="99" t="str">
        <f t="shared" si="16"/>
        <v/>
      </c>
      <c r="H192" s="27"/>
      <c r="I192" s="84"/>
      <c r="J192" s="92" t="str">
        <f>IF(AND(A192&lt;&gt;"",E192&lt;&gt;""),IF(I192="","⚠️ Enter Code",IF(IFERROR(VLOOKUP(H192,DB_Agents!$B:$I,8,0),"")=I192,IF(C192&gt;=E192,"Successful","Unsuccessful"),"🔒 BLOCKED — Wrong Code")),"—")</f>
        <v>—</v>
      </c>
      <c r="K192" s="93" t="str">
        <f t="shared" ca="1" si="17"/>
        <v>—</v>
      </c>
      <c r="L192" s="94"/>
    </row>
    <row r="193" spans="1:12" x14ac:dyDescent="0.25">
      <c r="A193" s="79"/>
      <c r="B193" s="21" t="str">
        <f>IF(A193="","",IFERROR(VLOOKUP(A193,DB_Customers!$A:$D,4,0),"❌ Account Not Found"))</f>
        <v/>
      </c>
      <c r="C193" s="80" t="str">
        <f>IF(A193="","",IFERROR(VLOOKUP(A193,DB_Customers!$A:$N,14,0),""))</f>
        <v/>
      </c>
      <c r="D193" s="81" t="str">
        <f t="shared" ca="1" si="15"/>
        <v/>
      </c>
      <c r="E193" s="97"/>
      <c r="F193" s="21"/>
      <c r="G193" s="98" t="str">
        <f t="shared" si="16"/>
        <v/>
      </c>
      <c r="H193" s="23"/>
      <c r="I193" s="84"/>
      <c r="J193" s="85" t="str">
        <f>IF(AND(A193&lt;&gt;"",E193&lt;&gt;""),IF(I193="","⚠️ Enter Code",IF(IFERROR(VLOOKUP(H193,DB_Agents!$B:$I,8,0),"")=I193,IF(C193&gt;=E193,"Successful","Unsuccessful"),"🔒 BLOCKED — Wrong Code")),"—")</f>
        <v>—</v>
      </c>
      <c r="K193" s="86" t="str">
        <f t="shared" ca="1" si="17"/>
        <v>—</v>
      </c>
      <c r="L193" s="87"/>
    </row>
    <row r="194" spans="1:12" x14ac:dyDescent="0.25">
      <c r="A194" s="88"/>
      <c r="B194" s="25" t="str">
        <f>IF(A194="","",IFERROR(VLOOKUP(A194,DB_Customers!$A:$D,4,0),"❌ Account Not Found"))</f>
        <v/>
      </c>
      <c r="C194" s="89" t="str">
        <f>IF(A194="","",IFERROR(VLOOKUP(A194,DB_Customers!$A:$N,14,0),""))</f>
        <v/>
      </c>
      <c r="D194" s="90" t="str">
        <f t="shared" ca="1" si="15"/>
        <v/>
      </c>
      <c r="E194" s="97"/>
      <c r="F194" s="25"/>
      <c r="G194" s="99" t="str">
        <f t="shared" si="16"/>
        <v/>
      </c>
      <c r="H194" s="27"/>
      <c r="I194" s="84"/>
      <c r="J194" s="92" t="str">
        <f>IF(AND(A194&lt;&gt;"",E194&lt;&gt;""),IF(I194="","⚠️ Enter Code",IF(IFERROR(VLOOKUP(H194,DB_Agents!$B:$I,8,0),"")=I194,IF(C194&gt;=E194,"Successful","Unsuccessful"),"🔒 BLOCKED — Wrong Code")),"—")</f>
        <v>—</v>
      </c>
      <c r="K194" s="93" t="str">
        <f t="shared" ca="1" si="17"/>
        <v>—</v>
      </c>
      <c r="L194" s="94"/>
    </row>
    <row r="195" spans="1:12" x14ac:dyDescent="0.25">
      <c r="A195" s="79"/>
      <c r="B195" s="21" t="str">
        <f>IF(A195="","",IFERROR(VLOOKUP(A195,DB_Customers!$A:$D,4,0),"❌ Account Not Found"))</f>
        <v/>
      </c>
      <c r="C195" s="80" t="str">
        <f>IF(A195="","",IFERROR(VLOOKUP(A195,DB_Customers!$A:$N,14,0),""))</f>
        <v/>
      </c>
      <c r="D195" s="81" t="str">
        <f t="shared" ca="1" si="15"/>
        <v/>
      </c>
      <c r="E195" s="97"/>
      <c r="F195" s="21"/>
      <c r="G195" s="98" t="str">
        <f t="shared" si="16"/>
        <v/>
      </c>
      <c r="H195" s="23"/>
      <c r="I195" s="84"/>
      <c r="J195" s="85" t="str">
        <f>IF(AND(A195&lt;&gt;"",E195&lt;&gt;""),IF(I195="","⚠️ Enter Code",IF(IFERROR(VLOOKUP(H195,DB_Agents!$B:$I,8,0),"")=I195,IF(C195&gt;=E195,"Successful","Unsuccessful"),"🔒 BLOCKED — Wrong Code")),"—")</f>
        <v>—</v>
      </c>
      <c r="K195" s="86" t="str">
        <f t="shared" ca="1" si="17"/>
        <v>—</v>
      </c>
      <c r="L195" s="87"/>
    </row>
    <row r="196" spans="1:12" x14ac:dyDescent="0.25">
      <c r="A196" s="88"/>
      <c r="B196" s="25" t="str">
        <f>IF(A196="","",IFERROR(VLOOKUP(A196,DB_Customers!$A:$D,4,0),"❌ Account Not Found"))</f>
        <v/>
      </c>
      <c r="C196" s="89" t="str">
        <f>IF(A196="","",IFERROR(VLOOKUP(A196,DB_Customers!$A:$N,14,0),""))</f>
        <v/>
      </c>
      <c r="D196" s="90" t="str">
        <f t="shared" ca="1" si="15"/>
        <v/>
      </c>
      <c r="E196" s="97"/>
      <c r="F196" s="25"/>
      <c r="G196" s="99" t="str">
        <f t="shared" si="16"/>
        <v/>
      </c>
      <c r="H196" s="27"/>
      <c r="I196" s="84"/>
      <c r="J196" s="92" t="str">
        <f>IF(AND(A196&lt;&gt;"",E196&lt;&gt;""),IF(I196="","⚠️ Enter Code",IF(IFERROR(VLOOKUP(H196,DB_Agents!$B:$I,8,0),"")=I196,IF(C196&gt;=E196,"Successful","Unsuccessful"),"🔒 BLOCKED — Wrong Code")),"—")</f>
        <v>—</v>
      </c>
      <c r="K196" s="93" t="str">
        <f t="shared" ca="1" si="17"/>
        <v>—</v>
      </c>
      <c r="L196" s="94"/>
    </row>
    <row r="197" spans="1:12" x14ac:dyDescent="0.25">
      <c r="A197" s="79"/>
      <c r="B197" s="21" t="str">
        <f>IF(A197="","",IFERROR(VLOOKUP(A197,DB_Customers!$A:$D,4,0),"❌ Account Not Found"))</f>
        <v/>
      </c>
      <c r="C197" s="80" t="str">
        <f>IF(A197="","",IFERROR(VLOOKUP(A197,DB_Customers!$A:$N,14,0),""))</f>
        <v/>
      </c>
      <c r="D197" s="81" t="str">
        <f t="shared" ca="1" si="15"/>
        <v/>
      </c>
      <c r="E197" s="97"/>
      <c r="F197" s="21"/>
      <c r="G197" s="98" t="str">
        <f t="shared" si="16"/>
        <v/>
      </c>
      <c r="H197" s="23"/>
      <c r="I197" s="84"/>
      <c r="J197" s="85" t="str">
        <f>IF(AND(A197&lt;&gt;"",E197&lt;&gt;""),IF(I197="","⚠️ Enter Code",IF(IFERROR(VLOOKUP(H197,DB_Agents!$B:$I,8,0),"")=I197,IF(C197&gt;=E197,"Successful","Unsuccessful"),"🔒 BLOCKED — Wrong Code")),"—")</f>
        <v>—</v>
      </c>
      <c r="K197" s="86" t="str">
        <f t="shared" ca="1" si="17"/>
        <v>—</v>
      </c>
      <c r="L197" s="87"/>
    </row>
    <row r="198" spans="1:12" x14ac:dyDescent="0.25">
      <c r="A198" s="88"/>
      <c r="B198" s="25" t="str">
        <f>IF(A198="","",IFERROR(VLOOKUP(A198,DB_Customers!$A:$D,4,0),"❌ Account Not Found"))</f>
        <v/>
      </c>
      <c r="C198" s="89" t="str">
        <f>IF(A198="","",IFERROR(VLOOKUP(A198,DB_Customers!$A:$N,14,0),""))</f>
        <v/>
      </c>
      <c r="D198" s="90" t="str">
        <f t="shared" ca="1" si="15"/>
        <v/>
      </c>
      <c r="E198" s="97"/>
      <c r="F198" s="25"/>
      <c r="G198" s="99" t="str">
        <f t="shared" si="16"/>
        <v/>
      </c>
      <c r="H198" s="27"/>
      <c r="I198" s="84"/>
      <c r="J198" s="92" t="str">
        <f>IF(AND(A198&lt;&gt;"",E198&lt;&gt;""),IF(I198="","⚠️ Enter Code",IF(IFERROR(VLOOKUP(H198,DB_Agents!$B:$I,8,0),"")=I198,IF(C198&gt;=E198,"Successful","Unsuccessful"),"🔒 BLOCKED — Wrong Code")),"—")</f>
        <v>—</v>
      </c>
      <c r="K198" s="93" t="str">
        <f t="shared" ca="1" si="17"/>
        <v>—</v>
      </c>
      <c r="L198" s="94"/>
    </row>
    <row r="199" spans="1:12" x14ac:dyDescent="0.25">
      <c r="A199" s="79"/>
      <c r="B199" s="21" t="str">
        <f>IF(A199="","",IFERROR(VLOOKUP(A199,DB_Customers!$A:$D,4,0),"❌ Account Not Found"))</f>
        <v/>
      </c>
      <c r="C199" s="80" t="str">
        <f>IF(A199="","",IFERROR(VLOOKUP(A199,DB_Customers!$A:$N,14,0),""))</f>
        <v/>
      </c>
      <c r="D199" s="81" t="str">
        <f t="shared" ca="1" si="15"/>
        <v/>
      </c>
      <c r="E199" s="97"/>
      <c r="F199" s="21"/>
      <c r="G199" s="98" t="str">
        <f t="shared" si="16"/>
        <v/>
      </c>
      <c r="H199" s="23"/>
      <c r="I199" s="84"/>
      <c r="J199" s="85" t="str">
        <f>IF(AND(A199&lt;&gt;"",E199&lt;&gt;""),IF(I199="","⚠️ Enter Code",IF(IFERROR(VLOOKUP(H199,DB_Agents!$B:$I,8,0),"")=I199,IF(C199&gt;=E199,"Successful","Unsuccessful"),"🔒 BLOCKED — Wrong Code")),"—")</f>
        <v>—</v>
      </c>
      <c r="K199" s="86" t="str">
        <f t="shared" ca="1" si="17"/>
        <v>—</v>
      </c>
      <c r="L199" s="87"/>
    </row>
    <row r="200" spans="1:12" x14ac:dyDescent="0.25">
      <c r="A200" s="88"/>
      <c r="B200" s="25" t="str">
        <f>IF(A200="","",IFERROR(VLOOKUP(A200,DB_Customers!$A:$D,4,0),"❌ Account Not Found"))</f>
        <v/>
      </c>
      <c r="C200" s="89" t="str">
        <f>IF(A200="","",IFERROR(VLOOKUP(A200,DB_Customers!$A:$N,14,0),""))</f>
        <v/>
      </c>
      <c r="D200" s="90" t="str">
        <f t="shared" ca="1" si="15"/>
        <v/>
      </c>
      <c r="E200" s="97"/>
      <c r="F200" s="25"/>
      <c r="G200" s="99" t="str">
        <f t="shared" si="16"/>
        <v/>
      </c>
      <c r="H200" s="27"/>
      <c r="I200" s="84"/>
      <c r="J200" s="92" t="str">
        <f>IF(AND(A200&lt;&gt;"",E200&lt;&gt;""),IF(I200="","⚠️ Enter Code",IF(IFERROR(VLOOKUP(H200,DB_Agents!$B:$I,8,0),"")=I200,IF(C200&gt;=E200,"Successful","Unsuccessful"),"🔒 BLOCKED — Wrong Code")),"—")</f>
        <v>—</v>
      </c>
      <c r="K200" s="93" t="str">
        <f t="shared" ca="1" si="17"/>
        <v>—</v>
      </c>
      <c r="L200" s="94"/>
    </row>
    <row r="201" spans="1:12" x14ac:dyDescent="0.25">
      <c r="A201" s="79"/>
      <c r="B201" s="21" t="str">
        <f>IF(A201="","",IFERROR(VLOOKUP(A201,DB_Customers!$A:$D,4,0),"❌ Account Not Found"))</f>
        <v/>
      </c>
      <c r="C201" s="80" t="str">
        <f>IF(A201="","",IFERROR(VLOOKUP(A201,DB_Customers!$A:$N,14,0),""))</f>
        <v/>
      </c>
      <c r="D201" s="81" t="str">
        <f t="shared" ref="D201:D208" ca="1" si="18">IF(A201="","",TODAY())</f>
        <v/>
      </c>
      <c r="E201" s="97"/>
      <c r="F201" s="21"/>
      <c r="G201" s="98" t="str">
        <f t="shared" ref="G201:G208" si="19">IF(OR(A201="",E201=""),"",IF(C201="","",C201-E201))</f>
        <v/>
      </c>
      <c r="H201" s="23"/>
      <c r="I201" s="84"/>
      <c r="J201" s="85" t="str">
        <f>IF(AND(A201&lt;&gt;"",E201&lt;&gt;""),IF(I201="","⚠️ Enter Code",IF(IFERROR(VLOOKUP(H201,DB_Agents!$B:$I,8,0),"")=I201,IF(C201&gt;=E201,"Successful","Unsuccessful"),"🔒 BLOCKED — Wrong Code")),"—")</f>
        <v>—</v>
      </c>
      <c r="K201" s="86" t="str">
        <f t="shared" ref="K201:K232" ca="1" si="20">IF(J201="Successful",TEXT(TODAY(),"YYYY-MM-DD")&amp;" Auto","—")</f>
        <v>—</v>
      </c>
      <c r="L201" s="87"/>
    </row>
    <row r="202" spans="1:12" x14ac:dyDescent="0.25">
      <c r="A202" s="88"/>
      <c r="B202" s="25" t="str">
        <f>IF(A202="","",IFERROR(VLOOKUP(A202,DB_Customers!$A:$D,4,0),"❌ Account Not Found"))</f>
        <v/>
      </c>
      <c r="C202" s="89" t="str">
        <f>IF(A202="","",IFERROR(VLOOKUP(A202,DB_Customers!$A:$N,14,0),""))</f>
        <v/>
      </c>
      <c r="D202" s="90" t="str">
        <f t="shared" ca="1" si="18"/>
        <v/>
      </c>
      <c r="E202" s="97"/>
      <c r="F202" s="25"/>
      <c r="G202" s="99" t="str">
        <f t="shared" si="19"/>
        <v/>
      </c>
      <c r="H202" s="27"/>
      <c r="I202" s="84"/>
      <c r="J202" s="92" t="str">
        <f>IF(AND(A202&lt;&gt;"",E202&lt;&gt;""),IF(I202="","⚠️ Enter Code",IF(IFERROR(VLOOKUP(H202,DB_Agents!$B:$I,8,0),"")=I202,IF(C202&gt;=E202,"Successful","Unsuccessful"),"🔒 BLOCKED — Wrong Code")),"—")</f>
        <v>—</v>
      </c>
      <c r="K202" s="93" t="str">
        <f t="shared" ca="1" si="20"/>
        <v>—</v>
      </c>
      <c r="L202" s="94"/>
    </row>
    <row r="203" spans="1:12" x14ac:dyDescent="0.25">
      <c r="A203" s="79"/>
      <c r="B203" s="21" t="str">
        <f>IF(A203="","",IFERROR(VLOOKUP(A203,DB_Customers!$A:$D,4,0),"❌ Account Not Found"))</f>
        <v/>
      </c>
      <c r="C203" s="80" t="str">
        <f>IF(A203="","",IFERROR(VLOOKUP(A203,DB_Customers!$A:$N,14,0),""))</f>
        <v/>
      </c>
      <c r="D203" s="81" t="str">
        <f t="shared" ca="1" si="18"/>
        <v/>
      </c>
      <c r="E203" s="97"/>
      <c r="F203" s="21"/>
      <c r="G203" s="98" t="str">
        <f t="shared" si="19"/>
        <v/>
      </c>
      <c r="H203" s="23"/>
      <c r="I203" s="84"/>
      <c r="J203" s="85" t="str">
        <f>IF(AND(A203&lt;&gt;"",E203&lt;&gt;""),IF(I203="","⚠️ Enter Code",IF(IFERROR(VLOOKUP(H203,DB_Agents!$B:$I,8,0),"")=I203,IF(C203&gt;=E203,"Successful","Unsuccessful"),"🔒 BLOCKED — Wrong Code")),"—")</f>
        <v>—</v>
      </c>
      <c r="K203" s="86" t="str">
        <f t="shared" ca="1" si="20"/>
        <v>—</v>
      </c>
      <c r="L203" s="87"/>
    </row>
    <row r="204" spans="1:12" x14ac:dyDescent="0.25">
      <c r="A204" s="88"/>
      <c r="B204" s="25" t="str">
        <f>IF(A204="","",IFERROR(VLOOKUP(A204,DB_Customers!$A:$D,4,0),"❌ Account Not Found"))</f>
        <v/>
      </c>
      <c r="C204" s="89" t="str">
        <f>IF(A204="","",IFERROR(VLOOKUP(A204,DB_Customers!$A:$N,14,0),""))</f>
        <v/>
      </c>
      <c r="D204" s="90" t="str">
        <f t="shared" ca="1" si="18"/>
        <v/>
      </c>
      <c r="E204" s="97"/>
      <c r="F204" s="25"/>
      <c r="G204" s="99" t="str">
        <f t="shared" si="19"/>
        <v/>
      </c>
      <c r="H204" s="27"/>
      <c r="I204" s="84"/>
      <c r="J204" s="92" t="str">
        <f>IF(AND(A204&lt;&gt;"",E204&lt;&gt;""),IF(I204="","⚠️ Enter Code",IF(IFERROR(VLOOKUP(H204,DB_Agents!$B:$I,8,0),"")=I204,IF(C204&gt;=E204,"Successful","Unsuccessful"),"🔒 BLOCKED — Wrong Code")),"—")</f>
        <v>—</v>
      </c>
      <c r="K204" s="93" t="str">
        <f t="shared" ca="1" si="20"/>
        <v>—</v>
      </c>
      <c r="L204" s="94"/>
    </row>
    <row r="205" spans="1:12" x14ac:dyDescent="0.25">
      <c r="A205" s="79"/>
      <c r="B205" s="21" t="str">
        <f>IF(A205="","",IFERROR(VLOOKUP(A205,DB_Customers!$A:$D,4,0),"❌ Account Not Found"))</f>
        <v/>
      </c>
      <c r="C205" s="80" t="str">
        <f>IF(A205="","",IFERROR(VLOOKUP(A205,DB_Customers!$A:$N,14,0),""))</f>
        <v/>
      </c>
      <c r="D205" s="81" t="str">
        <f t="shared" ca="1" si="18"/>
        <v/>
      </c>
      <c r="E205" s="97"/>
      <c r="F205" s="21"/>
      <c r="G205" s="98" t="str">
        <f t="shared" si="19"/>
        <v/>
      </c>
      <c r="H205" s="23"/>
      <c r="I205" s="84"/>
      <c r="J205" s="85" t="str">
        <f>IF(AND(A205&lt;&gt;"",E205&lt;&gt;""),IF(I205="","⚠️ Enter Code",IF(IFERROR(VLOOKUP(H205,DB_Agents!$B:$I,8,0),"")=I205,IF(C205&gt;=E205,"Successful","Unsuccessful"),"🔒 BLOCKED — Wrong Code")),"—")</f>
        <v>—</v>
      </c>
      <c r="K205" s="86" t="str">
        <f t="shared" ca="1" si="20"/>
        <v>—</v>
      </c>
      <c r="L205" s="87"/>
    </row>
    <row r="206" spans="1:12" x14ac:dyDescent="0.25">
      <c r="A206" s="88"/>
      <c r="B206" s="25" t="str">
        <f>IF(A206="","",IFERROR(VLOOKUP(A206,DB_Customers!$A:$D,4,0),"❌ Account Not Found"))</f>
        <v/>
      </c>
      <c r="C206" s="89" t="str">
        <f>IF(A206="","",IFERROR(VLOOKUP(A206,DB_Customers!$A:$N,14,0),""))</f>
        <v/>
      </c>
      <c r="D206" s="90" t="str">
        <f t="shared" ca="1" si="18"/>
        <v/>
      </c>
      <c r="E206" s="97"/>
      <c r="F206" s="25"/>
      <c r="G206" s="99" t="str">
        <f t="shared" si="19"/>
        <v/>
      </c>
      <c r="H206" s="27"/>
      <c r="I206" s="84"/>
      <c r="J206" s="92" t="str">
        <f>IF(AND(A206&lt;&gt;"",E206&lt;&gt;""),IF(I206="","⚠️ Enter Code",IF(IFERROR(VLOOKUP(H206,DB_Agents!$B:$I,8,0),"")=I206,IF(C206&gt;=E206,"Successful","Unsuccessful"),"🔒 BLOCKED — Wrong Code")),"—")</f>
        <v>—</v>
      </c>
      <c r="K206" s="93" t="str">
        <f t="shared" ca="1" si="20"/>
        <v>—</v>
      </c>
      <c r="L206" s="94"/>
    </row>
    <row r="207" spans="1:12" x14ac:dyDescent="0.25">
      <c r="A207" s="79"/>
      <c r="B207" s="21" t="str">
        <f>IF(A207="","",IFERROR(VLOOKUP(A207,DB_Customers!$A:$D,4,0),"❌ Account Not Found"))</f>
        <v/>
      </c>
      <c r="C207" s="80" t="str">
        <f>IF(A207="","",IFERROR(VLOOKUP(A207,DB_Customers!$A:$N,14,0),""))</f>
        <v/>
      </c>
      <c r="D207" s="81" t="str">
        <f t="shared" ca="1" si="18"/>
        <v/>
      </c>
      <c r="E207" s="97"/>
      <c r="F207" s="21"/>
      <c r="G207" s="98" t="str">
        <f t="shared" si="19"/>
        <v/>
      </c>
      <c r="H207" s="23"/>
      <c r="I207" s="84"/>
      <c r="J207" s="85" t="str">
        <f>IF(AND(A207&lt;&gt;"",E207&lt;&gt;""),IF(I207="","⚠️ Enter Code",IF(IFERROR(VLOOKUP(H207,DB_Agents!$B:$I,8,0),"")=I207,IF(C207&gt;=E207,"Successful","Unsuccessful"),"🔒 BLOCKED — Wrong Code")),"—")</f>
        <v>—</v>
      </c>
      <c r="K207" s="86" t="str">
        <f t="shared" ca="1" si="20"/>
        <v>—</v>
      </c>
      <c r="L207" s="87"/>
    </row>
    <row r="208" spans="1:12" x14ac:dyDescent="0.25">
      <c r="A208" s="88"/>
      <c r="B208" s="25" t="str">
        <f>IF(A208="","",IFERROR(VLOOKUP(A208,DB_Customers!$A:$D,4,0),"❌ Account Not Found"))</f>
        <v/>
      </c>
      <c r="C208" s="89" t="str">
        <f>IF(A208="","",IFERROR(VLOOKUP(A208,DB_Customers!$A:$N,14,0),""))</f>
        <v/>
      </c>
      <c r="D208" s="90" t="str">
        <f t="shared" ca="1" si="18"/>
        <v/>
      </c>
      <c r="E208" s="97"/>
      <c r="F208" s="25"/>
      <c r="G208" s="99" t="str">
        <f t="shared" si="19"/>
        <v/>
      </c>
      <c r="H208" s="27"/>
      <c r="I208" s="84"/>
      <c r="J208" s="92" t="str">
        <f>IF(AND(A208&lt;&gt;"",E208&lt;&gt;""),IF(I208="","⚠️ Enter Code",IF(IFERROR(VLOOKUP(H208,DB_Agents!$B:$I,8,0),"")=I208,IF(C208&gt;=E208,"Successful","Unsuccessful"),"🔒 BLOCKED — Wrong Code")),"—")</f>
        <v>—</v>
      </c>
      <c r="K208" s="93" t="str">
        <f t="shared" ca="1" si="20"/>
        <v>—</v>
      </c>
      <c r="L208" s="94"/>
    </row>
  </sheetData>
  <mergeCells count="8">
    <mergeCell ref="A5:M5"/>
    <mergeCell ref="A7:M7"/>
    <mergeCell ref="A1:M1"/>
    <mergeCell ref="A2:M2"/>
    <mergeCell ref="A3:C3"/>
    <mergeCell ref="D3:F3"/>
    <mergeCell ref="A4:C4"/>
    <mergeCell ref="D4:F4"/>
  </mergeCells>
  <conditionalFormatting sqref="I9:I208">
    <cfRule type="cellIs" dxfId="39" priority="2" operator="equal">
      <formula>"Successful"</formula>
    </cfRule>
    <cfRule type="cellIs" dxfId="38" priority="3" operator="equal">
      <formula>"Unsuccessful"</formula>
    </cfRule>
  </conditionalFormatting>
  <conditionalFormatting sqref="A9:K208">
    <cfRule type="expression" dxfId="37" priority="4">
      <formula>$I9="Unsuccessful"</formula>
    </cfRule>
  </conditionalFormatting>
  <conditionalFormatting sqref="G9:G208">
    <cfRule type="cellIs" dxfId="36" priority="5" operator="lessThan">
      <formula>0</formula>
    </cfRule>
  </conditionalFormatting>
  <dataValidations count="1">
    <dataValidation type="list" sqref="H9:H208" xr:uid="{00000000-0002-0000-1800-000000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tabColor rgb="FFE67E22"/>
  </sheetPr>
  <dimension ref="A1:N213"/>
  <sheetViews>
    <sheetView zoomScaleNormal="100" workbookViewId="0">
      <pane ySplit="13" topLeftCell="A14" activePane="bottomLeft" state="frozen"/>
      <selection pane="bottomLeft"/>
    </sheetView>
  </sheetViews>
  <sheetFormatPr defaultColWidth="8.7109375" defaultRowHeight="15" x14ac:dyDescent="0.25"/>
  <cols>
    <col min="1" max="1" width="22" customWidth="1"/>
    <col min="2" max="2" width="16" customWidth="1"/>
    <col min="3" max="3" width="22" customWidth="1"/>
    <col min="4" max="4" width="13" customWidth="1"/>
    <col min="5" max="5" width="14" customWidth="1"/>
    <col min="6" max="6" width="22" customWidth="1"/>
    <col min="7" max="7" width="9" customWidth="1"/>
    <col min="8" max="8" width="8" customWidth="1"/>
    <col min="9" max="9" width="16" customWidth="1"/>
    <col min="10" max="10" width="15" customWidth="1"/>
    <col min="11" max="11" width="14" customWidth="1"/>
    <col min="12" max="12" width="12" customWidth="1"/>
    <col min="13" max="13" width="14" customWidth="1"/>
  </cols>
  <sheetData>
    <row r="1" spans="1:14" ht="31.5" customHeight="1" x14ac:dyDescent="0.25">
      <c r="A1" s="216" t="s">
        <v>224</v>
      </c>
      <c r="B1" s="216"/>
      <c r="C1" s="216"/>
      <c r="D1" s="216"/>
      <c r="E1" s="216"/>
      <c r="F1" s="216"/>
      <c r="G1" s="216"/>
      <c r="H1" s="216"/>
      <c r="I1" s="216"/>
      <c r="J1" s="216"/>
      <c r="K1" s="216"/>
      <c r="L1" s="216"/>
      <c r="M1" s="216"/>
      <c r="N1" s="216"/>
    </row>
    <row r="2" spans="1:14" ht="19.5" customHeight="1" x14ac:dyDescent="0.25">
      <c r="A2" s="217" t="s">
        <v>189</v>
      </c>
      <c r="B2" s="217"/>
      <c r="C2" s="217"/>
      <c r="D2" s="217"/>
      <c r="E2" s="217"/>
      <c r="F2" s="217"/>
      <c r="G2" s="217"/>
      <c r="H2" s="217"/>
      <c r="I2" s="217"/>
      <c r="J2" s="217"/>
      <c r="K2" s="217"/>
      <c r="L2" s="217"/>
      <c r="M2" s="217"/>
      <c r="N2" s="217"/>
    </row>
    <row r="4" spans="1:14" ht="21.75" customHeight="1" x14ac:dyDescent="0.25">
      <c r="A4" s="218" t="s">
        <v>190</v>
      </c>
      <c r="B4" s="218"/>
      <c r="C4" s="218"/>
      <c r="D4" s="218"/>
    </row>
    <row r="5" spans="1:14" ht="19.5" customHeight="1" x14ac:dyDescent="0.25">
      <c r="A5" s="101" t="s">
        <v>191</v>
      </c>
      <c r="B5" s="219"/>
      <c r="C5" s="219"/>
      <c r="D5" s="219"/>
    </row>
    <row r="6" spans="1:14" ht="19.5" customHeight="1" x14ac:dyDescent="0.25">
      <c r="A6" s="101" t="s">
        <v>192</v>
      </c>
      <c r="B6" s="219"/>
      <c r="C6" s="219"/>
      <c r="D6" s="219"/>
    </row>
    <row r="7" spans="1:14" ht="19.5" customHeight="1" x14ac:dyDescent="0.25">
      <c r="A7" s="102" t="s">
        <v>193</v>
      </c>
      <c r="B7" s="220">
        <v>2.5</v>
      </c>
      <c r="C7" s="220"/>
      <c r="D7" s="220"/>
    </row>
    <row r="8" spans="1:14" ht="19.5" customHeight="1" x14ac:dyDescent="0.25">
      <c r="A8" s="102" t="s">
        <v>194</v>
      </c>
      <c r="B8" s="221" t="str">
        <f>IF(B5="","",B5*B7/100*B6)</f>
        <v/>
      </c>
      <c r="C8" s="221"/>
      <c r="D8" s="221"/>
    </row>
    <row r="9" spans="1:14" ht="19.5" customHeight="1" x14ac:dyDescent="0.25">
      <c r="A9" s="102"/>
      <c r="B9" s="222" t="str">
        <f>IF(B5="","",B5+(B5*B7/100*B6))</f>
        <v/>
      </c>
      <c r="C9" s="222"/>
      <c r="D9" s="222"/>
    </row>
    <row r="10" spans="1:14" ht="19.5" customHeight="1" x14ac:dyDescent="0.25">
      <c r="A10" s="102"/>
      <c r="B10" s="222" t="str">
        <f>IFERROR(B9/B6,"")</f>
        <v/>
      </c>
      <c r="C10" s="222"/>
      <c r="D10" s="222"/>
    </row>
    <row r="11" spans="1:14" ht="7.5" customHeight="1" x14ac:dyDescent="0.25"/>
    <row r="12" spans="1:14" ht="21.75" customHeight="1" x14ac:dyDescent="0.25">
      <c r="A12" s="223"/>
      <c r="B12" s="223"/>
      <c r="C12" s="223"/>
      <c r="D12" s="223"/>
      <c r="E12" s="223"/>
      <c r="F12" s="223"/>
      <c r="G12" s="223"/>
      <c r="H12" s="223"/>
      <c r="I12" s="223"/>
      <c r="J12" s="223"/>
      <c r="K12" s="223"/>
      <c r="L12" s="223"/>
      <c r="M12" s="223"/>
      <c r="N12" s="223"/>
    </row>
    <row r="13" spans="1:14" ht="19.5" customHeight="1" x14ac:dyDescent="0.25">
      <c r="A13" s="103"/>
      <c r="B13" s="103"/>
      <c r="C13" s="103"/>
      <c r="D13" s="103"/>
      <c r="E13" s="103"/>
      <c r="F13" s="103"/>
      <c r="G13" s="103"/>
      <c r="H13" s="103"/>
      <c r="I13" s="103"/>
      <c r="J13" s="103"/>
      <c r="K13" s="103"/>
      <c r="L13" s="103" t="s">
        <v>32</v>
      </c>
      <c r="M13" s="78"/>
      <c r="N13" s="103"/>
    </row>
    <row r="14" spans="1:14" x14ac:dyDescent="0.25">
      <c r="A14" s="92" t="str">
        <f t="shared" ref="A14:A45" si="0">IF(B14="","",IF(C14="❌ Account Not Found","INVALID","LN"&amp;TEXT(D14,"YYYYMMDD")&amp;TEXT(ROW()-13,"0000")))</f>
        <v/>
      </c>
      <c r="B14" s="88"/>
      <c r="C14" s="25" t="str">
        <f>IF(B14="","",IFERROR(VLOOKUP(B14,DB_Customers!$A:$D,4,0),"❌ Account Not Found"))</f>
        <v/>
      </c>
      <c r="D14" s="90" t="str">
        <f t="shared" ref="D14:D45" ca="1" si="1">IF(B14="","",TODAY())</f>
        <v/>
      </c>
      <c r="E14" s="104"/>
      <c r="F14" s="25"/>
      <c r="G14" s="105"/>
      <c r="H14" s="106"/>
      <c r="I14" s="107" t="str">
        <f t="shared" ref="I14:I45" si="2">IF(E14="","",E14+(E14*H14/100*G14))</f>
        <v/>
      </c>
      <c r="J14" s="108" t="str">
        <f t="shared" ref="J14:J45" si="3">IFERROR(I14/G14,"")</f>
        <v/>
      </c>
      <c r="K14" s="109" t="str">
        <f>IF(B14="","Pending",IF(M14="","⚠️ Enter Code",IF(IFERROR(VLOOKUP(L14,DB_Agents!$B:$I,8,0),"")=M14,"Pending","🔒 BLOCKED — Wrong Code")))</f>
        <v>Pending</v>
      </c>
      <c r="L14" s="27" t="s">
        <v>47</v>
      </c>
      <c r="M14" s="84"/>
      <c r="N14" s="94"/>
    </row>
    <row r="15" spans="1:14" x14ac:dyDescent="0.25">
      <c r="A15" s="85" t="str">
        <f t="shared" si="0"/>
        <v/>
      </c>
      <c r="B15" s="79"/>
      <c r="C15" s="21" t="str">
        <f>IF(B15="","",IFERROR(VLOOKUP(B15,DB_Customers!$A:$D,4,0),"❌ Account Not Found"))</f>
        <v/>
      </c>
      <c r="D15" s="81" t="str">
        <f t="shared" ca="1" si="1"/>
        <v/>
      </c>
      <c r="E15" s="104"/>
      <c r="F15" s="21"/>
      <c r="G15" s="110"/>
      <c r="H15" s="111"/>
      <c r="I15" s="107" t="str">
        <f t="shared" si="2"/>
        <v/>
      </c>
      <c r="J15" s="112" t="str">
        <f t="shared" si="3"/>
        <v/>
      </c>
      <c r="K15" s="113" t="str">
        <f>IF(B15="","Pending",IF(M15="","⚠️ Enter Code",IF(IFERROR(VLOOKUP(L15,DB_Agents!$B:$I,8,0),"")=M15,"Pending","🔒 BLOCKED — Wrong Code")))</f>
        <v>Pending</v>
      </c>
      <c r="L15" s="23" t="s">
        <v>47</v>
      </c>
      <c r="M15" s="84"/>
      <c r="N15" s="87"/>
    </row>
    <row r="16" spans="1:14" x14ac:dyDescent="0.25">
      <c r="A16" s="92" t="str">
        <f t="shared" si="0"/>
        <v/>
      </c>
      <c r="B16" s="88"/>
      <c r="C16" s="25" t="str">
        <f>IF(B16="","",IFERROR(VLOOKUP(B16,DB_Customers!$A:$D,4,0),"❌ Account Not Found"))</f>
        <v/>
      </c>
      <c r="D16" s="90" t="str">
        <f t="shared" ca="1" si="1"/>
        <v/>
      </c>
      <c r="E16" s="104"/>
      <c r="F16" s="25"/>
      <c r="G16" s="105"/>
      <c r="H16" s="106"/>
      <c r="I16" s="107" t="str">
        <f t="shared" si="2"/>
        <v/>
      </c>
      <c r="J16" s="108" t="str">
        <f t="shared" si="3"/>
        <v/>
      </c>
      <c r="K16" s="109" t="str">
        <f>IF(B16="","Pending",IF(M16="","⚠️ Enter Code",IF(IFERROR(VLOOKUP(L16,DB_Agents!$B:$I,8,0),"")=M16,"Pending","🔒 BLOCKED — Wrong Code")))</f>
        <v>Pending</v>
      </c>
      <c r="L16" s="27" t="s">
        <v>47</v>
      </c>
      <c r="M16" s="84"/>
      <c r="N16" s="94"/>
    </row>
    <row r="17" spans="1:14" x14ac:dyDescent="0.25">
      <c r="A17" s="85" t="str">
        <f t="shared" si="0"/>
        <v/>
      </c>
      <c r="B17" s="79"/>
      <c r="C17" s="21" t="str">
        <f>IF(B17="","",IFERROR(VLOOKUP(B17,DB_Customers!$A:$D,4,0),"❌ Account Not Found"))</f>
        <v/>
      </c>
      <c r="D17" s="81" t="str">
        <f t="shared" ca="1" si="1"/>
        <v/>
      </c>
      <c r="E17" s="104"/>
      <c r="F17" s="21"/>
      <c r="G17" s="110"/>
      <c r="H17" s="111"/>
      <c r="I17" s="107" t="str">
        <f t="shared" si="2"/>
        <v/>
      </c>
      <c r="J17" s="112" t="str">
        <f t="shared" si="3"/>
        <v/>
      </c>
      <c r="K17" s="113" t="str">
        <f>IF(B17="","Pending",IF(M17="","⚠️ Enter Code",IF(IFERROR(VLOOKUP(L17,DB_Agents!$B:$I,8,0),"")=M17,"Pending","🔒 BLOCKED — Wrong Code")))</f>
        <v>Pending</v>
      </c>
      <c r="L17" s="23" t="s">
        <v>47</v>
      </c>
      <c r="M17" s="84"/>
      <c r="N17" s="87"/>
    </row>
    <row r="18" spans="1:14" x14ac:dyDescent="0.25">
      <c r="A18" s="92" t="str">
        <f t="shared" si="0"/>
        <v/>
      </c>
      <c r="B18" s="88"/>
      <c r="C18" s="25" t="str">
        <f>IF(B18="","",IFERROR(VLOOKUP(B18,DB_Customers!$A:$D,4,0),"❌ Account Not Found"))</f>
        <v/>
      </c>
      <c r="D18" s="90" t="str">
        <f t="shared" ca="1" si="1"/>
        <v/>
      </c>
      <c r="E18" s="104"/>
      <c r="F18" s="25"/>
      <c r="G18" s="105"/>
      <c r="H18" s="106"/>
      <c r="I18" s="107" t="str">
        <f t="shared" si="2"/>
        <v/>
      </c>
      <c r="J18" s="108" t="str">
        <f t="shared" si="3"/>
        <v/>
      </c>
      <c r="K18" s="109" t="str">
        <f>IF(B18="","Pending",IF(M18="","⚠️ Enter Code",IF(IFERROR(VLOOKUP(L18,DB_Agents!$B:$I,8,0),"")=M18,"Pending","🔒 BLOCKED — Wrong Code")))</f>
        <v>Pending</v>
      </c>
      <c r="L18" s="27" t="s">
        <v>47</v>
      </c>
      <c r="M18" s="84"/>
      <c r="N18" s="94"/>
    </row>
    <row r="19" spans="1:14" x14ac:dyDescent="0.25">
      <c r="A19" s="85" t="str">
        <f t="shared" si="0"/>
        <v/>
      </c>
      <c r="B19" s="79"/>
      <c r="C19" s="21" t="str">
        <f>IF(B19="","",IFERROR(VLOOKUP(B19,DB_Customers!$A:$D,4,0),"❌ Account Not Found"))</f>
        <v/>
      </c>
      <c r="D19" s="81" t="str">
        <f t="shared" ca="1" si="1"/>
        <v/>
      </c>
      <c r="E19" s="104"/>
      <c r="F19" s="21"/>
      <c r="G19" s="110"/>
      <c r="H19" s="111"/>
      <c r="I19" s="107" t="str">
        <f t="shared" si="2"/>
        <v/>
      </c>
      <c r="J19" s="112" t="str">
        <f t="shared" si="3"/>
        <v/>
      </c>
      <c r="K19" s="113" t="str">
        <f>IF(B19="","Pending",IF(M19="","⚠️ Enter Code",IF(IFERROR(VLOOKUP(L19,DB_Agents!$B:$I,8,0),"")=M19,"Pending","🔒 BLOCKED — Wrong Code")))</f>
        <v>Pending</v>
      </c>
      <c r="L19" s="23"/>
      <c r="M19" s="84"/>
      <c r="N19" s="87"/>
    </row>
    <row r="20" spans="1:14" x14ac:dyDescent="0.25">
      <c r="A20" s="92" t="str">
        <f t="shared" si="0"/>
        <v/>
      </c>
      <c r="B20" s="88"/>
      <c r="C20" s="25" t="str">
        <f>IF(B20="","",IFERROR(VLOOKUP(B20,DB_Customers!$A:$D,4,0),"❌ Account Not Found"))</f>
        <v/>
      </c>
      <c r="D20" s="90" t="str">
        <f t="shared" ca="1" si="1"/>
        <v/>
      </c>
      <c r="E20" s="104"/>
      <c r="F20" s="25"/>
      <c r="G20" s="105"/>
      <c r="H20" s="106"/>
      <c r="I20" s="107" t="str">
        <f t="shared" si="2"/>
        <v/>
      </c>
      <c r="J20" s="108" t="str">
        <f t="shared" si="3"/>
        <v/>
      </c>
      <c r="K20" s="109" t="str">
        <f>IF(B20="","Pending",IF(M20="","⚠️ Enter Code",IF(IFERROR(VLOOKUP(L20,DB_Agents!$B:$I,8,0),"")=M20,"Pending","🔒 BLOCKED — Wrong Code")))</f>
        <v>Pending</v>
      </c>
      <c r="L20" s="27"/>
      <c r="M20" s="84"/>
      <c r="N20" s="94"/>
    </row>
    <row r="21" spans="1:14" x14ac:dyDescent="0.25">
      <c r="A21" s="85" t="str">
        <f t="shared" si="0"/>
        <v/>
      </c>
      <c r="B21" s="79"/>
      <c r="C21" s="21" t="str">
        <f>IF(B21="","",IFERROR(VLOOKUP(B21,DB_Customers!$A:$D,4,0),"❌ Account Not Found"))</f>
        <v/>
      </c>
      <c r="D21" s="81" t="str">
        <f t="shared" ca="1" si="1"/>
        <v/>
      </c>
      <c r="E21" s="104"/>
      <c r="F21" s="21"/>
      <c r="G21" s="110"/>
      <c r="H21" s="111"/>
      <c r="I21" s="107" t="str">
        <f t="shared" si="2"/>
        <v/>
      </c>
      <c r="J21" s="112" t="str">
        <f t="shared" si="3"/>
        <v/>
      </c>
      <c r="K21" s="113" t="str">
        <f>IF(B21="","Pending",IF(M21="","⚠️ Enter Code",IF(IFERROR(VLOOKUP(L21,DB_Agents!$B:$I,8,0),"")=M21,"Pending","🔒 BLOCKED — Wrong Code")))</f>
        <v>Pending</v>
      </c>
      <c r="L21" s="23"/>
      <c r="M21" s="84"/>
      <c r="N21" s="87"/>
    </row>
    <row r="22" spans="1:14" x14ac:dyDescent="0.25">
      <c r="A22" s="92" t="str">
        <f t="shared" si="0"/>
        <v/>
      </c>
      <c r="B22" s="88"/>
      <c r="C22" s="25" t="str">
        <f>IF(B22="","",IFERROR(VLOOKUP(B22,DB_Customers!$A:$D,4,0),"❌ Account Not Found"))</f>
        <v/>
      </c>
      <c r="D22" s="90" t="str">
        <f t="shared" ca="1" si="1"/>
        <v/>
      </c>
      <c r="E22" s="104"/>
      <c r="F22" s="25"/>
      <c r="G22" s="105"/>
      <c r="H22" s="106"/>
      <c r="I22" s="107" t="str">
        <f t="shared" si="2"/>
        <v/>
      </c>
      <c r="J22" s="108" t="str">
        <f t="shared" si="3"/>
        <v/>
      </c>
      <c r="K22" s="109" t="str">
        <f>IF(B22="","Pending",IF(M22="","⚠️ Enter Code",IF(IFERROR(VLOOKUP(L22,DB_Agents!$B:$I,8,0),"")=M22,"Pending","🔒 BLOCKED — Wrong Code")))</f>
        <v>Pending</v>
      </c>
      <c r="L22" s="27"/>
      <c r="M22" s="84"/>
      <c r="N22" s="94"/>
    </row>
    <row r="23" spans="1:14" x14ac:dyDescent="0.25">
      <c r="A23" s="85" t="str">
        <f t="shared" si="0"/>
        <v/>
      </c>
      <c r="B23" s="79"/>
      <c r="C23" s="21" t="str">
        <f>IF(B23="","",IFERROR(VLOOKUP(B23,DB_Customers!$A:$D,4,0),"❌ Account Not Found"))</f>
        <v/>
      </c>
      <c r="D23" s="81" t="str">
        <f t="shared" ca="1" si="1"/>
        <v/>
      </c>
      <c r="E23" s="104"/>
      <c r="F23" s="21"/>
      <c r="G23" s="110"/>
      <c r="H23" s="111"/>
      <c r="I23" s="107" t="str">
        <f t="shared" si="2"/>
        <v/>
      </c>
      <c r="J23" s="112" t="str">
        <f t="shared" si="3"/>
        <v/>
      </c>
      <c r="K23" s="113" t="str">
        <f>IF(B23="","Pending",IF(M23="","⚠️ Enter Code",IF(IFERROR(VLOOKUP(L23,DB_Agents!$B:$I,8,0),"")=M23,"Pending","🔒 BLOCKED — Wrong Code")))</f>
        <v>Pending</v>
      </c>
      <c r="L23" s="23"/>
      <c r="M23" s="84"/>
      <c r="N23" s="87"/>
    </row>
    <row r="24" spans="1:14" x14ac:dyDescent="0.25">
      <c r="A24" s="92" t="str">
        <f t="shared" si="0"/>
        <v/>
      </c>
      <c r="B24" s="88"/>
      <c r="C24" s="25" t="str">
        <f>IF(B24="","",IFERROR(VLOOKUP(B24,DB_Customers!$A:$D,4,0),"❌ Account Not Found"))</f>
        <v/>
      </c>
      <c r="D24" s="90" t="str">
        <f t="shared" ca="1" si="1"/>
        <v/>
      </c>
      <c r="E24" s="104"/>
      <c r="F24" s="25"/>
      <c r="G24" s="105"/>
      <c r="H24" s="106"/>
      <c r="I24" s="107" t="str">
        <f t="shared" si="2"/>
        <v/>
      </c>
      <c r="J24" s="108" t="str">
        <f t="shared" si="3"/>
        <v/>
      </c>
      <c r="K24" s="109" t="str">
        <f>IF(B24="","Pending",IF(M24="","⚠️ Enter Code",IF(IFERROR(VLOOKUP(L24,DB_Agents!$B:$I,8,0),"")=M24,"Pending","🔒 BLOCKED — Wrong Code")))</f>
        <v>Pending</v>
      </c>
      <c r="L24" s="27"/>
      <c r="M24" s="84"/>
      <c r="N24" s="94"/>
    </row>
    <row r="25" spans="1:14" x14ac:dyDescent="0.25">
      <c r="A25" s="85" t="str">
        <f t="shared" si="0"/>
        <v/>
      </c>
      <c r="B25" s="79"/>
      <c r="C25" s="21" t="str">
        <f>IF(B25="","",IFERROR(VLOOKUP(B25,DB_Customers!$A:$D,4,0),"❌ Account Not Found"))</f>
        <v/>
      </c>
      <c r="D25" s="81" t="str">
        <f t="shared" ca="1" si="1"/>
        <v/>
      </c>
      <c r="E25" s="104"/>
      <c r="F25" s="21"/>
      <c r="G25" s="110"/>
      <c r="H25" s="111"/>
      <c r="I25" s="107" t="str">
        <f t="shared" si="2"/>
        <v/>
      </c>
      <c r="J25" s="112" t="str">
        <f t="shared" si="3"/>
        <v/>
      </c>
      <c r="K25" s="113" t="str">
        <f>IF(B25="","Pending",IF(M25="","⚠️ Enter Code",IF(IFERROR(VLOOKUP(L25,DB_Agents!$B:$I,8,0),"")=M25,"Pending","🔒 BLOCKED — Wrong Code")))</f>
        <v>Pending</v>
      </c>
      <c r="L25" s="23"/>
      <c r="M25" s="84"/>
      <c r="N25" s="87"/>
    </row>
    <row r="26" spans="1:14" x14ac:dyDescent="0.25">
      <c r="A26" s="92" t="str">
        <f t="shared" si="0"/>
        <v/>
      </c>
      <c r="B26" s="88"/>
      <c r="C26" s="25" t="str">
        <f>IF(B26="","",IFERROR(VLOOKUP(B26,DB_Customers!$A:$D,4,0),"❌ Account Not Found"))</f>
        <v/>
      </c>
      <c r="D26" s="90" t="str">
        <f t="shared" ca="1" si="1"/>
        <v/>
      </c>
      <c r="E26" s="104"/>
      <c r="F26" s="25"/>
      <c r="G26" s="105"/>
      <c r="H26" s="106"/>
      <c r="I26" s="107" t="str">
        <f t="shared" si="2"/>
        <v/>
      </c>
      <c r="J26" s="108" t="str">
        <f t="shared" si="3"/>
        <v/>
      </c>
      <c r="K26" s="109" t="str">
        <f>IF(B26="","Pending",IF(M26="","⚠️ Enter Code",IF(IFERROR(VLOOKUP(L26,DB_Agents!$B:$I,8,0),"")=M26,"Pending","🔒 BLOCKED — Wrong Code")))</f>
        <v>Pending</v>
      </c>
      <c r="L26" s="27"/>
      <c r="M26" s="84"/>
      <c r="N26" s="94"/>
    </row>
    <row r="27" spans="1:14" x14ac:dyDescent="0.25">
      <c r="A27" s="85" t="str">
        <f t="shared" si="0"/>
        <v/>
      </c>
      <c r="B27" s="79"/>
      <c r="C27" s="21" t="str">
        <f>IF(B27="","",IFERROR(VLOOKUP(B27,DB_Customers!$A:$D,4,0),"❌ Account Not Found"))</f>
        <v/>
      </c>
      <c r="D27" s="81" t="str">
        <f t="shared" ca="1" si="1"/>
        <v/>
      </c>
      <c r="E27" s="104"/>
      <c r="F27" s="21"/>
      <c r="G27" s="110"/>
      <c r="H27" s="111"/>
      <c r="I27" s="107" t="str">
        <f t="shared" si="2"/>
        <v/>
      </c>
      <c r="J27" s="112" t="str">
        <f t="shared" si="3"/>
        <v/>
      </c>
      <c r="K27" s="113" t="str">
        <f>IF(B27="","Pending",IF(M27="","⚠️ Enter Code",IF(IFERROR(VLOOKUP(L27,DB_Agents!$B:$I,8,0),"")=M27,"Pending","🔒 BLOCKED — Wrong Code")))</f>
        <v>Pending</v>
      </c>
      <c r="L27" s="23"/>
      <c r="M27" s="84"/>
      <c r="N27" s="87"/>
    </row>
    <row r="28" spans="1:14" x14ac:dyDescent="0.25">
      <c r="A28" s="92" t="str">
        <f t="shared" si="0"/>
        <v/>
      </c>
      <c r="B28" s="88"/>
      <c r="C28" s="25" t="str">
        <f>IF(B28="","",IFERROR(VLOOKUP(B28,DB_Customers!$A:$D,4,0),"❌ Account Not Found"))</f>
        <v/>
      </c>
      <c r="D28" s="90" t="str">
        <f t="shared" ca="1" si="1"/>
        <v/>
      </c>
      <c r="E28" s="104"/>
      <c r="F28" s="25"/>
      <c r="G28" s="105"/>
      <c r="H28" s="106"/>
      <c r="I28" s="107" t="str">
        <f t="shared" si="2"/>
        <v/>
      </c>
      <c r="J28" s="108" t="str">
        <f t="shared" si="3"/>
        <v/>
      </c>
      <c r="K28" s="109" t="str">
        <f>IF(B28="","Pending",IF(M28="","⚠️ Enter Code",IF(IFERROR(VLOOKUP(L28,DB_Agents!$B:$I,8,0),"")=M28,"Pending","🔒 BLOCKED — Wrong Code")))</f>
        <v>Pending</v>
      </c>
      <c r="L28" s="27"/>
      <c r="M28" s="84"/>
      <c r="N28" s="94"/>
    </row>
    <row r="29" spans="1:14" x14ac:dyDescent="0.25">
      <c r="A29" s="85" t="str">
        <f t="shared" si="0"/>
        <v/>
      </c>
      <c r="B29" s="79"/>
      <c r="C29" s="21" t="str">
        <f>IF(B29="","",IFERROR(VLOOKUP(B29,DB_Customers!$A:$D,4,0),"❌ Account Not Found"))</f>
        <v/>
      </c>
      <c r="D29" s="81" t="str">
        <f t="shared" ca="1" si="1"/>
        <v/>
      </c>
      <c r="E29" s="104"/>
      <c r="F29" s="21"/>
      <c r="G29" s="110"/>
      <c r="H29" s="111"/>
      <c r="I29" s="107" t="str">
        <f t="shared" si="2"/>
        <v/>
      </c>
      <c r="J29" s="112" t="str">
        <f t="shared" si="3"/>
        <v/>
      </c>
      <c r="K29" s="113" t="str">
        <f>IF(B29="","Pending",IF(M29="","⚠️ Enter Code",IF(IFERROR(VLOOKUP(L29,DB_Agents!$B:$I,8,0),"")=M29,"Pending","🔒 BLOCKED — Wrong Code")))</f>
        <v>Pending</v>
      </c>
      <c r="L29" s="23"/>
      <c r="M29" s="84"/>
      <c r="N29" s="87"/>
    </row>
    <row r="30" spans="1:14" x14ac:dyDescent="0.25">
      <c r="A30" s="92" t="str">
        <f t="shared" si="0"/>
        <v/>
      </c>
      <c r="B30" s="88"/>
      <c r="C30" s="25" t="str">
        <f>IF(B30="","",IFERROR(VLOOKUP(B30,DB_Customers!$A:$D,4,0),"❌ Account Not Found"))</f>
        <v/>
      </c>
      <c r="D30" s="90" t="str">
        <f t="shared" ca="1" si="1"/>
        <v/>
      </c>
      <c r="E30" s="104"/>
      <c r="F30" s="25"/>
      <c r="G30" s="105"/>
      <c r="H30" s="106"/>
      <c r="I30" s="107" t="str">
        <f t="shared" si="2"/>
        <v/>
      </c>
      <c r="J30" s="108" t="str">
        <f t="shared" si="3"/>
        <v/>
      </c>
      <c r="K30" s="109" t="str">
        <f>IF(B30="","Pending",IF(M30="","⚠️ Enter Code",IF(IFERROR(VLOOKUP(L30,DB_Agents!$B:$I,8,0),"")=M30,"Pending","🔒 BLOCKED — Wrong Code")))</f>
        <v>Pending</v>
      </c>
      <c r="L30" s="27"/>
      <c r="M30" s="84"/>
      <c r="N30" s="94"/>
    </row>
    <row r="31" spans="1:14" x14ac:dyDescent="0.25">
      <c r="A31" s="85" t="str">
        <f t="shared" si="0"/>
        <v/>
      </c>
      <c r="B31" s="79"/>
      <c r="C31" s="21" t="str">
        <f>IF(B31="","",IFERROR(VLOOKUP(B31,DB_Customers!$A:$D,4,0),"❌ Account Not Found"))</f>
        <v/>
      </c>
      <c r="D31" s="81" t="str">
        <f t="shared" ca="1" si="1"/>
        <v/>
      </c>
      <c r="E31" s="104"/>
      <c r="F31" s="21"/>
      <c r="G31" s="110"/>
      <c r="H31" s="111"/>
      <c r="I31" s="107" t="str">
        <f t="shared" si="2"/>
        <v/>
      </c>
      <c r="J31" s="112" t="str">
        <f t="shared" si="3"/>
        <v/>
      </c>
      <c r="K31" s="113" t="str">
        <f>IF(B31="","Pending",IF(M31="","⚠️ Enter Code",IF(IFERROR(VLOOKUP(L31,DB_Agents!$B:$I,8,0),"")=M31,"Pending","🔒 BLOCKED — Wrong Code")))</f>
        <v>Pending</v>
      </c>
      <c r="L31" s="23"/>
      <c r="M31" s="84"/>
      <c r="N31" s="87"/>
    </row>
    <row r="32" spans="1:14" x14ac:dyDescent="0.25">
      <c r="A32" s="92" t="str">
        <f t="shared" si="0"/>
        <v/>
      </c>
      <c r="B32" s="88"/>
      <c r="C32" s="25" t="str">
        <f>IF(B32="","",IFERROR(VLOOKUP(B32,DB_Customers!$A:$D,4,0),"❌ Account Not Found"))</f>
        <v/>
      </c>
      <c r="D32" s="90" t="str">
        <f t="shared" ca="1" si="1"/>
        <v/>
      </c>
      <c r="E32" s="104"/>
      <c r="F32" s="25"/>
      <c r="G32" s="105"/>
      <c r="H32" s="106"/>
      <c r="I32" s="107" t="str">
        <f t="shared" si="2"/>
        <v/>
      </c>
      <c r="J32" s="108" t="str">
        <f t="shared" si="3"/>
        <v/>
      </c>
      <c r="K32" s="109" t="str">
        <f>IF(B32="","Pending",IF(M32="","⚠️ Enter Code",IF(IFERROR(VLOOKUP(L32,DB_Agents!$B:$I,8,0),"")=M32,"Pending","🔒 BLOCKED — Wrong Code")))</f>
        <v>Pending</v>
      </c>
      <c r="L32" s="27"/>
      <c r="M32" s="84"/>
      <c r="N32" s="94"/>
    </row>
    <row r="33" spans="1:14" x14ac:dyDescent="0.25">
      <c r="A33" s="85" t="str">
        <f t="shared" si="0"/>
        <v/>
      </c>
      <c r="B33" s="79"/>
      <c r="C33" s="21" t="str">
        <f>IF(B33="","",IFERROR(VLOOKUP(B33,DB_Customers!$A:$D,4,0),"❌ Account Not Found"))</f>
        <v/>
      </c>
      <c r="D33" s="81" t="str">
        <f t="shared" ca="1" si="1"/>
        <v/>
      </c>
      <c r="E33" s="104"/>
      <c r="F33" s="21"/>
      <c r="G33" s="110"/>
      <c r="H33" s="111"/>
      <c r="I33" s="107" t="str">
        <f t="shared" si="2"/>
        <v/>
      </c>
      <c r="J33" s="112" t="str">
        <f t="shared" si="3"/>
        <v/>
      </c>
      <c r="K33" s="113" t="str">
        <f>IF(B33="","Pending",IF(M33="","⚠️ Enter Code",IF(IFERROR(VLOOKUP(L33,DB_Agents!$B:$I,8,0),"")=M33,"Pending","🔒 BLOCKED — Wrong Code")))</f>
        <v>Pending</v>
      </c>
      <c r="L33" s="23"/>
      <c r="M33" s="84"/>
      <c r="N33" s="87"/>
    </row>
    <row r="34" spans="1:14" x14ac:dyDescent="0.25">
      <c r="A34" s="92" t="str">
        <f t="shared" si="0"/>
        <v/>
      </c>
      <c r="B34" s="88"/>
      <c r="C34" s="25" t="str">
        <f>IF(B34="","",IFERROR(VLOOKUP(B34,DB_Customers!$A:$D,4,0),"❌ Account Not Found"))</f>
        <v/>
      </c>
      <c r="D34" s="90" t="str">
        <f t="shared" ca="1" si="1"/>
        <v/>
      </c>
      <c r="E34" s="104"/>
      <c r="F34" s="25"/>
      <c r="G34" s="105"/>
      <c r="H34" s="106"/>
      <c r="I34" s="107" t="str">
        <f t="shared" si="2"/>
        <v/>
      </c>
      <c r="J34" s="108" t="str">
        <f t="shared" si="3"/>
        <v/>
      </c>
      <c r="K34" s="109" t="str">
        <f>IF(B34="","Pending",IF(M34="","⚠️ Enter Code",IF(IFERROR(VLOOKUP(L34,DB_Agents!$B:$I,8,0),"")=M34,"Pending","🔒 BLOCKED — Wrong Code")))</f>
        <v>Pending</v>
      </c>
      <c r="L34" s="27"/>
      <c r="M34" s="84"/>
      <c r="N34" s="94"/>
    </row>
    <row r="35" spans="1:14" x14ac:dyDescent="0.25">
      <c r="A35" s="85" t="str">
        <f t="shared" si="0"/>
        <v/>
      </c>
      <c r="B35" s="79"/>
      <c r="C35" s="21" t="str">
        <f>IF(B35="","",IFERROR(VLOOKUP(B35,DB_Customers!$A:$D,4,0),"❌ Account Not Found"))</f>
        <v/>
      </c>
      <c r="D35" s="81" t="str">
        <f t="shared" ca="1" si="1"/>
        <v/>
      </c>
      <c r="E35" s="104"/>
      <c r="F35" s="21"/>
      <c r="G35" s="110"/>
      <c r="H35" s="111"/>
      <c r="I35" s="107" t="str">
        <f t="shared" si="2"/>
        <v/>
      </c>
      <c r="J35" s="112" t="str">
        <f t="shared" si="3"/>
        <v/>
      </c>
      <c r="K35" s="113" t="str">
        <f>IF(B35="","Pending",IF(M35="","⚠️ Enter Code",IF(IFERROR(VLOOKUP(L35,DB_Agents!$B:$I,8,0),"")=M35,"Pending","🔒 BLOCKED — Wrong Code")))</f>
        <v>Pending</v>
      </c>
      <c r="L35" s="23"/>
      <c r="M35" s="84"/>
      <c r="N35" s="87"/>
    </row>
    <row r="36" spans="1:14" x14ac:dyDescent="0.25">
      <c r="A36" s="92" t="str">
        <f t="shared" si="0"/>
        <v/>
      </c>
      <c r="B36" s="88"/>
      <c r="C36" s="25" t="str">
        <f>IF(B36="","",IFERROR(VLOOKUP(B36,DB_Customers!$A:$D,4,0),"❌ Account Not Found"))</f>
        <v/>
      </c>
      <c r="D36" s="90" t="str">
        <f t="shared" ca="1" si="1"/>
        <v/>
      </c>
      <c r="E36" s="104"/>
      <c r="F36" s="25"/>
      <c r="G36" s="105"/>
      <c r="H36" s="106"/>
      <c r="I36" s="107" t="str">
        <f t="shared" si="2"/>
        <v/>
      </c>
      <c r="J36" s="108" t="str">
        <f t="shared" si="3"/>
        <v/>
      </c>
      <c r="K36" s="109" t="str">
        <f>IF(B36="","Pending",IF(M36="","⚠️ Enter Code",IF(IFERROR(VLOOKUP(L36,DB_Agents!$B:$I,8,0),"")=M36,"Pending","🔒 BLOCKED — Wrong Code")))</f>
        <v>Pending</v>
      </c>
      <c r="L36" s="27"/>
      <c r="M36" s="84"/>
      <c r="N36" s="94"/>
    </row>
    <row r="37" spans="1:14" x14ac:dyDescent="0.25">
      <c r="A37" s="85" t="str">
        <f t="shared" si="0"/>
        <v/>
      </c>
      <c r="B37" s="79"/>
      <c r="C37" s="21" t="str">
        <f>IF(B37="","",IFERROR(VLOOKUP(B37,DB_Customers!$A:$D,4,0),"❌ Account Not Found"))</f>
        <v/>
      </c>
      <c r="D37" s="81" t="str">
        <f t="shared" ca="1" si="1"/>
        <v/>
      </c>
      <c r="E37" s="104"/>
      <c r="F37" s="21"/>
      <c r="G37" s="110"/>
      <c r="H37" s="111"/>
      <c r="I37" s="107" t="str">
        <f t="shared" si="2"/>
        <v/>
      </c>
      <c r="J37" s="112" t="str">
        <f t="shared" si="3"/>
        <v/>
      </c>
      <c r="K37" s="113" t="str">
        <f>IF(B37="","Pending",IF(M37="","⚠️ Enter Code",IF(IFERROR(VLOOKUP(L37,DB_Agents!$B:$I,8,0),"")=M37,"Pending","🔒 BLOCKED — Wrong Code")))</f>
        <v>Pending</v>
      </c>
      <c r="L37" s="23"/>
      <c r="M37" s="84"/>
      <c r="N37" s="87"/>
    </row>
    <row r="38" spans="1:14" x14ac:dyDescent="0.25">
      <c r="A38" s="92" t="str">
        <f t="shared" si="0"/>
        <v/>
      </c>
      <c r="B38" s="88"/>
      <c r="C38" s="25" t="str">
        <f>IF(B38="","",IFERROR(VLOOKUP(B38,DB_Customers!$A:$D,4,0),"❌ Account Not Found"))</f>
        <v/>
      </c>
      <c r="D38" s="90" t="str">
        <f t="shared" ca="1" si="1"/>
        <v/>
      </c>
      <c r="E38" s="104"/>
      <c r="F38" s="25"/>
      <c r="G38" s="105"/>
      <c r="H38" s="106"/>
      <c r="I38" s="107" t="str">
        <f t="shared" si="2"/>
        <v/>
      </c>
      <c r="J38" s="108" t="str">
        <f t="shared" si="3"/>
        <v/>
      </c>
      <c r="K38" s="109" t="str">
        <f>IF(B38="","Pending",IF(M38="","⚠️ Enter Code",IF(IFERROR(VLOOKUP(L38,DB_Agents!$B:$I,8,0),"")=M38,"Pending","🔒 BLOCKED — Wrong Code")))</f>
        <v>Pending</v>
      </c>
      <c r="L38" s="27"/>
      <c r="M38" s="84"/>
      <c r="N38" s="94"/>
    </row>
    <row r="39" spans="1:14" x14ac:dyDescent="0.25">
      <c r="A39" s="85" t="str">
        <f t="shared" si="0"/>
        <v/>
      </c>
      <c r="B39" s="79"/>
      <c r="C39" s="21" t="str">
        <f>IF(B39="","",IFERROR(VLOOKUP(B39,DB_Customers!$A:$D,4,0),"❌ Account Not Found"))</f>
        <v/>
      </c>
      <c r="D39" s="81" t="str">
        <f t="shared" ca="1" si="1"/>
        <v/>
      </c>
      <c r="E39" s="104"/>
      <c r="F39" s="21"/>
      <c r="G39" s="110"/>
      <c r="H39" s="111"/>
      <c r="I39" s="107" t="str">
        <f t="shared" si="2"/>
        <v/>
      </c>
      <c r="J39" s="112" t="str">
        <f t="shared" si="3"/>
        <v/>
      </c>
      <c r="K39" s="113" t="str">
        <f>IF(B39="","Pending",IF(M39="","⚠️ Enter Code",IF(IFERROR(VLOOKUP(L39,DB_Agents!$B:$I,8,0),"")=M39,"Pending","🔒 BLOCKED — Wrong Code")))</f>
        <v>Pending</v>
      </c>
      <c r="L39" s="23"/>
      <c r="M39" s="84"/>
      <c r="N39" s="87"/>
    </row>
    <row r="40" spans="1:14" x14ac:dyDescent="0.25">
      <c r="A40" s="92" t="str">
        <f t="shared" si="0"/>
        <v/>
      </c>
      <c r="B40" s="88"/>
      <c r="C40" s="25" t="str">
        <f>IF(B40="","",IFERROR(VLOOKUP(B40,DB_Customers!$A:$D,4,0),"❌ Account Not Found"))</f>
        <v/>
      </c>
      <c r="D40" s="90" t="str">
        <f t="shared" ca="1" si="1"/>
        <v/>
      </c>
      <c r="E40" s="104"/>
      <c r="F40" s="25"/>
      <c r="G40" s="105"/>
      <c r="H40" s="106"/>
      <c r="I40" s="107" t="str">
        <f t="shared" si="2"/>
        <v/>
      </c>
      <c r="J40" s="108" t="str">
        <f t="shared" si="3"/>
        <v/>
      </c>
      <c r="K40" s="109" t="str">
        <f>IF(B40="","Pending",IF(M40="","⚠️ Enter Code",IF(IFERROR(VLOOKUP(L40,DB_Agents!$B:$I,8,0),"")=M40,"Pending","🔒 BLOCKED — Wrong Code")))</f>
        <v>Pending</v>
      </c>
      <c r="L40" s="27"/>
      <c r="M40" s="84"/>
      <c r="N40" s="94"/>
    </row>
    <row r="41" spans="1:14" x14ac:dyDescent="0.25">
      <c r="A41" s="85" t="str">
        <f t="shared" si="0"/>
        <v/>
      </c>
      <c r="B41" s="79"/>
      <c r="C41" s="21" t="str">
        <f>IF(B41="","",IFERROR(VLOOKUP(B41,DB_Customers!$A:$D,4,0),"❌ Account Not Found"))</f>
        <v/>
      </c>
      <c r="D41" s="81" t="str">
        <f t="shared" ca="1" si="1"/>
        <v/>
      </c>
      <c r="E41" s="104"/>
      <c r="F41" s="21"/>
      <c r="G41" s="110"/>
      <c r="H41" s="111"/>
      <c r="I41" s="107" t="str">
        <f t="shared" si="2"/>
        <v/>
      </c>
      <c r="J41" s="112" t="str">
        <f t="shared" si="3"/>
        <v/>
      </c>
      <c r="K41" s="113" t="str">
        <f>IF(B41="","Pending",IF(M41="","⚠️ Enter Code",IF(IFERROR(VLOOKUP(L41,DB_Agents!$B:$I,8,0),"")=M41,"Pending","🔒 BLOCKED — Wrong Code")))</f>
        <v>Pending</v>
      </c>
      <c r="L41" s="23"/>
      <c r="M41" s="84"/>
      <c r="N41" s="87"/>
    </row>
    <row r="42" spans="1:14" x14ac:dyDescent="0.25">
      <c r="A42" s="92" t="str">
        <f t="shared" si="0"/>
        <v/>
      </c>
      <c r="B42" s="88"/>
      <c r="C42" s="25" t="str">
        <f>IF(B42="","",IFERROR(VLOOKUP(B42,DB_Customers!$A:$D,4,0),"❌ Account Not Found"))</f>
        <v/>
      </c>
      <c r="D42" s="90" t="str">
        <f t="shared" ca="1" si="1"/>
        <v/>
      </c>
      <c r="E42" s="104"/>
      <c r="F42" s="25"/>
      <c r="G42" s="105"/>
      <c r="H42" s="106"/>
      <c r="I42" s="107" t="str">
        <f t="shared" si="2"/>
        <v/>
      </c>
      <c r="J42" s="108" t="str">
        <f t="shared" si="3"/>
        <v/>
      </c>
      <c r="K42" s="109" t="str">
        <f>IF(B42="","Pending",IF(M42="","⚠️ Enter Code",IF(IFERROR(VLOOKUP(L42,DB_Agents!$B:$I,8,0),"")=M42,"Pending","🔒 BLOCKED — Wrong Code")))</f>
        <v>Pending</v>
      </c>
      <c r="L42" s="27"/>
      <c r="M42" s="84"/>
      <c r="N42" s="94"/>
    </row>
    <row r="43" spans="1:14" x14ac:dyDescent="0.25">
      <c r="A43" s="85" t="str">
        <f t="shared" si="0"/>
        <v/>
      </c>
      <c r="B43" s="79"/>
      <c r="C43" s="21" t="str">
        <f>IF(B43="","",IFERROR(VLOOKUP(B43,DB_Customers!$A:$D,4,0),"❌ Account Not Found"))</f>
        <v/>
      </c>
      <c r="D43" s="81" t="str">
        <f t="shared" ca="1" si="1"/>
        <v/>
      </c>
      <c r="E43" s="104"/>
      <c r="F43" s="21"/>
      <c r="G43" s="110"/>
      <c r="H43" s="111"/>
      <c r="I43" s="107" t="str">
        <f t="shared" si="2"/>
        <v/>
      </c>
      <c r="J43" s="112" t="str">
        <f t="shared" si="3"/>
        <v/>
      </c>
      <c r="K43" s="113" t="str">
        <f>IF(B43="","Pending",IF(M43="","⚠️ Enter Code",IF(IFERROR(VLOOKUP(L43,DB_Agents!$B:$I,8,0),"")=M43,"Pending","🔒 BLOCKED — Wrong Code")))</f>
        <v>Pending</v>
      </c>
      <c r="L43" s="23"/>
      <c r="M43" s="84"/>
      <c r="N43" s="87"/>
    </row>
    <row r="44" spans="1:14" x14ac:dyDescent="0.25">
      <c r="A44" s="92" t="str">
        <f t="shared" si="0"/>
        <v/>
      </c>
      <c r="B44" s="88"/>
      <c r="C44" s="25" t="str">
        <f>IF(B44="","",IFERROR(VLOOKUP(B44,DB_Customers!$A:$D,4,0),"❌ Account Not Found"))</f>
        <v/>
      </c>
      <c r="D44" s="90" t="str">
        <f t="shared" ca="1" si="1"/>
        <v/>
      </c>
      <c r="E44" s="104"/>
      <c r="F44" s="25"/>
      <c r="G44" s="105"/>
      <c r="H44" s="106"/>
      <c r="I44" s="107" t="str">
        <f t="shared" si="2"/>
        <v/>
      </c>
      <c r="J44" s="108" t="str">
        <f t="shared" si="3"/>
        <v/>
      </c>
      <c r="K44" s="109" t="str">
        <f>IF(B44="","Pending",IF(M44="","⚠️ Enter Code",IF(IFERROR(VLOOKUP(L44,DB_Agents!$B:$I,8,0),"")=M44,"Pending","🔒 BLOCKED — Wrong Code")))</f>
        <v>Pending</v>
      </c>
      <c r="L44" s="27"/>
      <c r="M44" s="84"/>
      <c r="N44" s="94"/>
    </row>
    <row r="45" spans="1:14" x14ac:dyDescent="0.25">
      <c r="A45" s="85" t="str">
        <f t="shared" si="0"/>
        <v/>
      </c>
      <c r="B45" s="79"/>
      <c r="C45" s="21" t="str">
        <f>IF(B45="","",IFERROR(VLOOKUP(B45,DB_Customers!$A:$D,4,0),"❌ Account Not Found"))</f>
        <v/>
      </c>
      <c r="D45" s="81" t="str">
        <f t="shared" ca="1" si="1"/>
        <v/>
      </c>
      <c r="E45" s="104"/>
      <c r="F45" s="21"/>
      <c r="G45" s="110"/>
      <c r="H45" s="111"/>
      <c r="I45" s="107" t="str">
        <f t="shared" si="2"/>
        <v/>
      </c>
      <c r="J45" s="112" t="str">
        <f t="shared" si="3"/>
        <v/>
      </c>
      <c r="K45" s="113" t="str">
        <f>IF(B45="","Pending",IF(M45="","⚠️ Enter Code",IF(IFERROR(VLOOKUP(L45,DB_Agents!$B:$I,8,0),"")=M45,"Pending","🔒 BLOCKED — Wrong Code")))</f>
        <v>Pending</v>
      </c>
      <c r="L45" s="23"/>
      <c r="M45" s="84"/>
      <c r="N45" s="87"/>
    </row>
    <row r="46" spans="1:14" x14ac:dyDescent="0.25">
      <c r="A46" s="92" t="str">
        <f t="shared" ref="A46:A77" si="4">IF(B46="","",IF(C46="❌ Account Not Found","INVALID","LN"&amp;TEXT(D46,"YYYYMMDD")&amp;TEXT(ROW()-13,"0000")))</f>
        <v/>
      </c>
      <c r="B46" s="88"/>
      <c r="C46" s="25" t="str">
        <f>IF(B46="","",IFERROR(VLOOKUP(B46,DB_Customers!$A:$D,4,0),"❌ Account Not Found"))</f>
        <v/>
      </c>
      <c r="D46" s="90" t="str">
        <f t="shared" ref="D46:D77" ca="1" si="5">IF(B46="","",TODAY())</f>
        <v/>
      </c>
      <c r="E46" s="104"/>
      <c r="F46" s="25"/>
      <c r="G46" s="105"/>
      <c r="H46" s="106"/>
      <c r="I46" s="107" t="str">
        <f t="shared" ref="I46:I77" si="6">IF(E46="","",E46+(E46*H46/100*G46))</f>
        <v/>
      </c>
      <c r="J46" s="108" t="str">
        <f t="shared" ref="J46:J77" si="7">IFERROR(I46/G46,"")</f>
        <v/>
      </c>
      <c r="K46" s="109" t="str">
        <f>IF(B46="","Pending",IF(M46="","⚠️ Enter Code",IF(IFERROR(VLOOKUP(L46,DB_Agents!$B:$I,8,0),"")=M46,"Pending","🔒 BLOCKED — Wrong Code")))</f>
        <v>Pending</v>
      </c>
      <c r="L46" s="27"/>
      <c r="M46" s="84"/>
      <c r="N46" s="94"/>
    </row>
    <row r="47" spans="1:14" x14ac:dyDescent="0.25">
      <c r="A47" s="85" t="str">
        <f t="shared" si="4"/>
        <v/>
      </c>
      <c r="B47" s="79"/>
      <c r="C47" s="21" t="str">
        <f>IF(B47="","",IFERROR(VLOOKUP(B47,DB_Customers!$A:$D,4,0),"❌ Account Not Found"))</f>
        <v/>
      </c>
      <c r="D47" s="81" t="str">
        <f t="shared" ca="1" si="5"/>
        <v/>
      </c>
      <c r="E47" s="104"/>
      <c r="F47" s="21"/>
      <c r="G47" s="110"/>
      <c r="H47" s="111"/>
      <c r="I47" s="107" t="str">
        <f t="shared" si="6"/>
        <v/>
      </c>
      <c r="J47" s="112" t="str">
        <f t="shared" si="7"/>
        <v/>
      </c>
      <c r="K47" s="113" t="str">
        <f>IF(B47="","Pending",IF(M47="","⚠️ Enter Code",IF(IFERROR(VLOOKUP(L47,DB_Agents!$B:$I,8,0),"")=M47,"Pending","🔒 BLOCKED — Wrong Code")))</f>
        <v>Pending</v>
      </c>
      <c r="L47" s="23"/>
      <c r="M47" s="84"/>
      <c r="N47" s="87"/>
    </row>
    <row r="48" spans="1:14" x14ac:dyDescent="0.25">
      <c r="A48" s="92" t="str">
        <f t="shared" si="4"/>
        <v/>
      </c>
      <c r="B48" s="88"/>
      <c r="C48" s="25" t="str">
        <f>IF(B48="","",IFERROR(VLOOKUP(B48,DB_Customers!$A:$D,4,0),"❌ Account Not Found"))</f>
        <v/>
      </c>
      <c r="D48" s="90" t="str">
        <f t="shared" ca="1" si="5"/>
        <v/>
      </c>
      <c r="E48" s="104"/>
      <c r="F48" s="25"/>
      <c r="G48" s="105"/>
      <c r="H48" s="106"/>
      <c r="I48" s="107" t="str">
        <f t="shared" si="6"/>
        <v/>
      </c>
      <c r="J48" s="108" t="str">
        <f t="shared" si="7"/>
        <v/>
      </c>
      <c r="K48" s="109" t="str">
        <f>IF(B48="","Pending",IF(M48="","⚠️ Enter Code",IF(IFERROR(VLOOKUP(L48,DB_Agents!$B:$I,8,0),"")=M48,"Pending","🔒 BLOCKED — Wrong Code")))</f>
        <v>Pending</v>
      </c>
      <c r="L48" s="27"/>
      <c r="M48" s="84"/>
      <c r="N48" s="94"/>
    </row>
    <row r="49" spans="1:14" x14ac:dyDescent="0.25">
      <c r="A49" s="85" t="str">
        <f t="shared" si="4"/>
        <v/>
      </c>
      <c r="B49" s="79"/>
      <c r="C49" s="21" t="str">
        <f>IF(B49="","",IFERROR(VLOOKUP(B49,DB_Customers!$A:$D,4,0),"❌ Account Not Found"))</f>
        <v/>
      </c>
      <c r="D49" s="81" t="str">
        <f t="shared" ca="1" si="5"/>
        <v/>
      </c>
      <c r="E49" s="104"/>
      <c r="F49" s="21"/>
      <c r="G49" s="110"/>
      <c r="H49" s="111"/>
      <c r="I49" s="107" t="str">
        <f t="shared" si="6"/>
        <v/>
      </c>
      <c r="J49" s="112" t="str">
        <f t="shared" si="7"/>
        <v/>
      </c>
      <c r="K49" s="113" t="str">
        <f>IF(B49="","Pending",IF(M49="","⚠️ Enter Code",IF(IFERROR(VLOOKUP(L49,DB_Agents!$B:$I,8,0),"")=M49,"Pending","🔒 BLOCKED — Wrong Code")))</f>
        <v>Pending</v>
      </c>
      <c r="L49" s="23"/>
      <c r="M49" s="84"/>
      <c r="N49" s="87"/>
    </row>
    <row r="50" spans="1:14" x14ac:dyDescent="0.25">
      <c r="A50" s="92" t="str">
        <f t="shared" si="4"/>
        <v/>
      </c>
      <c r="B50" s="88"/>
      <c r="C50" s="25" t="str">
        <f>IF(B50="","",IFERROR(VLOOKUP(B50,DB_Customers!$A:$D,4,0),"❌ Account Not Found"))</f>
        <v/>
      </c>
      <c r="D50" s="90" t="str">
        <f t="shared" ca="1" si="5"/>
        <v/>
      </c>
      <c r="E50" s="104"/>
      <c r="F50" s="25"/>
      <c r="G50" s="105"/>
      <c r="H50" s="106"/>
      <c r="I50" s="107" t="str">
        <f t="shared" si="6"/>
        <v/>
      </c>
      <c r="J50" s="108" t="str">
        <f t="shared" si="7"/>
        <v/>
      </c>
      <c r="K50" s="109" t="str">
        <f>IF(B50="","Pending",IF(M50="","⚠️ Enter Code",IF(IFERROR(VLOOKUP(L50,DB_Agents!$B:$I,8,0),"")=M50,"Pending","🔒 BLOCKED — Wrong Code")))</f>
        <v>Pending</v>
      </c>
      <c r="L50" s="27"/>
      <c r="M50" s="84"/>
      <c r="N50" s="94"/>
    </row>
    <row r="51" spans="1:14" x14ac:dyDescent="0.25">
      <c r="A51" s="85" t="str">
        <f t="shared" si="4"/>
        <v/>
      </c>
      <c r="B51" s="79"/>
      <c r="C51" s="21" t="str">
        <f>IF(B51="","",IFERROR(VLOOKUP(B51,DB_Customers!$A:$D,4,0),"❌ Account Not Found"))</f>
        <v/>
      </c>
      <c r="D51" s="81" t="str">
        <f t="shared" ca="1" si="5"/>
        <v/>
      </c>
      <c r="E51" s="104"/>
      <c r="F51" s="21"/>
      <c r="G51" s="110"/>
      <c r="H51" s="111"/>
      <c r="I51" s="107" t="str">
        <f t="shared" si="6"/>
        <v/>
      </c>
      <c r="J51" s="112" t="str">
        <f t="shared" si="7"/>
        <v/>
      </c>
      <c r="K51" s="113" t="str">
        <f>IF(B51="","Pending",IF(M51="","⚠️ Enter Code",IF(IFERROR(VLOOKUP(L51,DB_Agents!$B:$I,8,0),"")=M51,"Pending","🔒 BLOCKED — Wrong Code")))</f>
        <v>Pending</v>
      </c>
      <c r="L51" s="23"/>
      <c r="M51" s="84"/>
      <c r="N51" s="87"/>
    </row>
    <row r="52" spans="1:14" x14ac:dyDescent="0.25">
      <c r="A52" s="92" t="str">
        <f t="shared" si="4"/>
        <v/>
      </c>
      <c r="B52" s="88"/>
      <c r="C52" s="25" t="str">
        <f>IF(B52="","",IFERROR(VLOOKUP(B52,DB_Customers!$A:$D,4,0),"❌ Account Not Found"))</f>
        <v/>
      </c>
      <c r="D52" s="90" t="str">
        <f t="shared" ca="1" si="5"/>
        <v/>
      </c>
      <c r="E52" s="104"/>
      <c r="F52" s="25"/>
      <c r="G52" s="105"/>
      <c r="H52" s="106"/>
      <c r="I52" s="107" t="str">
        <f t="shared" si="6"/>
        <v/>
      </c>
      <c r="J52" s="108" t="str">
        <f t="shared" si="7"/>
        <v/>
      </c>
      <c r="K52" s="109" t="str">
        <f>IF(B52="","Pending",IF(M52="","⚠️ Enter Code",IF(IFERROR(VLOOKUP(L52,DB_Agents!$B:$I,8,0),"")=M52,"Pending","🔒 BLOCKED — Wrong Code")))</f>
        <v>Pending</v>
      </c>
      <c r="L52" s="27"/>
      <c r="M52" s="84"/>
      <c r="N52" s="94"/>
    </row>
    <row r="53" spans="1:14" x14ac:dyDescent="0.25">
      <c r="A53" s="85" t="str">
        <f t="shared" si="4"/>
        <v/>
      </c>
      <c r="B53" s="79"/>
      <c r="C53" s="21" t="str">
        <f>IF(B53="","",IFERROR(VLOOKUP(B53,DB_Customers!$A:$D,4,0),"❌ Account Not Found"))</f>
        <v/>
      </c>
      <c r="D53" s="81" t="str">
        <f t="shared" ca="1" si="5"/>
        <v/>
      </c>
      <c r="E53" s="104"/>
      <c r="F53" s="21"/>
      <c r="G53" s="110"/>
      <c r="H53" s="111"/>
      <c r="I53" s="107" t="str">
        <f t="shared" si="6"/>
        <v/>
      </c>
      <c r="J53" s="112" t="str">
        <f t="shared" si="7"/>
        <v/>
      </c>
      <c r="K53" s="113" t="str">
        <f>IF(B53="","Pending",IF(M53="","⚠️ Enter Code",IF(IFERROR(VLOOKUP(L53,DB_Agents!$B:$I,8,0),"")=M53,"Pending","🔒 BLOCKED — Wrong Code")))</f>
        <v>Pending</v>
      </c>
      <c r="L53" s="23"/>
      <c r="M53" s="84"/>
      <c r="N53" s="87"/>
    </row>
    <row r="54" spans="1:14" x14ac:dyDescent="0.25">
      <c r="A54" s="92" t="str">
        <f t="shared" si="4"/>
        <v/>
      </c>
      <c r="B54" s="88"/>
      <c r="C54" s="25" t="str">
        <f>IF(B54="","",IFERROR(VLOOKUP(B54,DB_Customers!$A:$D,4,0),"❌ Account Not Found"))</f>
        <v/>
      </c>
      <c r="D54" s="90" t="str">
        <f t="shared" ca="1" si="5"/>
        <v/>
      </c>
      <c r="E54" s="104"/>
      <c r="F54" s="25"/>
      <c r="G54" s="105"/>
      <c r="H54" s="106"/>
      <c r="I54" s="107" t="str">
        <f t="shared" si="6"/>
        <v/>
      </c>
      <c r="J54" s="108" t="str">
        <f t="shared" si="7"/>
        <v/>
      </c>
      <c r="K54" s="109" t="str">
        <f>IF(B54="","Pending",IF(M54="","⚠️ Enter Code",IF(IFERROR(VLOOKUP(L54,DB_Agents!$B:$I,8,0),"")=M54,"Pending","🔒 BLOCKED — Wrong Code")))</f>
        <v>Pending</v>
      </c>
      <c r="L54" s="27"/>
      <c r="M54" s="84"/>
      <c r="N54" s="94"/>
    </row>
    <row r="55" spans="1:14" x14ac:dyDescent="0.25">
      <c r="A55" s="85" t="str">
        <f t="shared" si="4"/>
        <v/>
      </c>
      <c r="B55" s="79"/>
      <c r="C55" s="21" t="str">
        <f>IF(B55="","",IFERROR(VLOOKUP(B55,DB_Customers!$A:$D,4,0),"❌ Account Not Found"))</f>
        <v/>
      </c>
      <c r="D55" s="81" t="str">
        <f t="shared" ca="1" si="5"/>
        <v/>
      </c>
      <c r="E55" s="104"/>
      <c r="F55" s="21"/>
      <c r="G55" s="110"/>
      <c r="H55" s="111"/>
      <c r="I55" s="107" t="str">
        <f t="shared" si="6"/>
        <v/>
      </c>
      <c r="J55" s="112" t="str">
        <f t="shared" si="7"/>
        <v/>
      </c>
      <c r="K55" s="113" t="str">
        <f>IF(B55="","Pending",IF(M55="","⚠️ Enter Code",IF(IFERROR(VLOOKUP(L55,DB_Agents!$B:$I,8,0),"")=M55,"Pending","🔒 BLOCKED — Wrong Code")))</f>
        <v>Pending</v>
      </c>
      <c r="L55" s="23"/>
      <c r="M55" s="84"/>
      <c r="N55" s="87"/>
    </row>
    <row r="56" spans="1:14" x14ac:dyDescent="0.25">
      <c r="A56" s="92" t="str">
        <f t="shared" si="4"/>
        <v/>
      </c>
      <c r="B56" s="88"/>
      <c r="C56" s="25" t="str">
        <f>IF(B56="","",IFERROR(VLOOKUP(B56,DB_Customers!$A:$D,4,0),"❌ Account Not Found"))</f>
        <v/>
      </c>
      <c r="D56" s="90" t="str">
        <f t="shared" ca="1" si="5"/>
        <v/>
      </c>
      <c r="E56" s="104"/>
      <c r="F56" s="25"/>
      <c r="G56" s="105"/>
      <c r="H56" s="106"/>
      <c r="I56" s="107" t="str">
        <f t="shared" si="6"/>
        <v/>
      </c>
      <c r="J56" s="108" t="str">
        <f t="shared" si="7"/>
        <v/>
      </c>
      <c r="K56" s="109" t="str">
        <f>IF(B56="","Pending",IF(M56="","⚠️ Enter Code",IF(IFERROR(VLOOKUP(L56,DB_Agents!$B:$I,8,0),"")=M56,"Pending","🔒 BLOCKED — Wrong Code")))</f>
        <v>Pending</v>
      </c>
      <c r="L56" s="27"/>
      <c r="M56" s="84"/>
      <c r="N56" s="94"/>
    </row>
    <row r="57" spans="1:14" x14ac:dyDescent="0.25">
      <c r="A57" s="85" t="str">
        <f t="shared" si="4"/>
        <v/>
      </c>
      <c r="B57" s="79"/>
      <c r="C57" s="21" t="str">
        <f>IF(B57="","",IFERROR(VLOOKUP(B57,DB_Customers!$A:$D,4,0),"❌ Account Not Found"))</f>
        <v/>
      </c>
      <c r="D57" s="81" t="str">
        <f t="shared" ca="1" si="5"/>
        <v/>
      </c>
      <c r="E57" s="104"/>
      <c r="F57" s="21"/>
      <c r="G57" s="110"/>
      <c r="H57" s="111"/>
      <c r="I57" s="107" t="str">
        <f t="shared" si="6"/>
        <v/>
      </c>
      <c r="J57" s="112" t="str">
        <f t="shared" si="7"/>
        <v/>
      </c>
      <c r="K57" s="113" t="str">
        <f>IF(B57="","Pending",IF(M57="","⚠️ Enter Code",IF(IFERROR(VLOOKUP(L57,DB_Agents!$B:$I,8,0),"")=M57,"Pending","🔒 BLOCKED — Wrong Code")))</f>
        <v>Pending</v>
      </c>
      <c r="L57" s="23"/>
      <c r="M57" s="84"/>
      <c r="N57" s="87"/>
    </row>
    <row r="58" spans="1:14" x14ac:dyDescent="0.25">
      <c r="A58" s="92" t="str">
        <f t="shared" si="4"/>
        <v/>
      </c>
      <c r="B58" s="88"/>
      <c r="C58" s="25" t="str">
        <f>IF(B58="","",IFERROR(VLOOKUP(B58,DB_Customers!$A:$D,4,0),"❌ Account Not Found"))</f>
        <v/>
      </c>
      <c r="D58" s="90" t="str">
        <f t="shared" ca="1" si="5"/>
        <v/>
      </c>
      <c r="E58" s="104"/>
      <c r="F58" s="25"/>
      <c r="G58" s="105"/>
      <c r="H58" s="106"/>
      <c r="I58" s="107" t="str">
        <f t="shared" si="6"/>
        <v/>
      </c>
      <c r="J58" s="108" t="str">
        <f t="shared" si="7"/>
        <v/>
      </c>
      <c r="K58" s="109" t="str">
        <f>IF(B58="","Pending",IF(M58="","⚠️ Enter Code",IF(IFERROR(VLOOKUP(L58,DB_Agents!$B:$I,8,0),"")=M58,"Pending","🔒 BLOCKED — Wrong Code")))</f>
        <v>Pending</v>
      </c>
      <c r="L58" s="27"/>
      <c r="M58" s="84"/>
      <c r="N58" s="94"/>
    </row>
    <row r="59" spans="1:14" x14ac:dyDescent="0.25">
      <c r="A59" s="85" t="str">
        <f t="shared" si="4"/>
        <v/>
      </c>
      <c r="B59" s="79"/>
      <c r="C59" s="21" t="str">
        <f>IF(B59="","",IFERROR(VLOOKUP(B59,DB_Customers!$A:$D,4,0),"❌ Account Not Found"))</f>
        <v/>
      </c>
      <c r="D59" s="81" t="str">
        <f t="shared" ca="1" si="5"/>
        <v/>
      </c>
      <c r="E59" s="104"/>
      <c r="F59" s="21"/>
      <c r="G59" s="110"/>
      <c r="H59" s="111"/>
      <c r="I59" s="107" t="str">
        <f t="shared" si="6"/>
        <v/>
      </c>
      <c r="J59" s="112" t="str">
        <f t="shared" si="7"/>
        <v/>
      </c>
      <c r="K59" s="113" t="str">
        <f>IF(B59="","Pending",IF(M59="","⚠️ Enter Code",IF(IFERROR(VLOOKUP(L59,DB_Agents!$B:$I,8,0),"")=M59,"Pending","🔒 BLOCKED — Wrong Code")))</f>
        <v>Pending</v>
      </c>
      <c r="L59" s="23"/>
      <c r="M59" s="84"/>
      <c r="N59" s="87"/>
    </row>
    <row r="60" spans="1:14" x14ac:dyDescent="0.25">
      <c r="A60" s="92" t="str">
        <f t="shared" si="4"/>
        <v/>
      </c>
      <c r="B60" s="88"/>
      <c r="C60" s="25" t="str">
        <f>IF(B60="","",IFERROR(VLOOKUP(B60,DB_Customers!$A:$D,4,0),"❌ Account Not Found"))</f>
        <v/>
      </c>
      <c r="D60" s="90" t="str">
        <f t="shared" ca="1" si="5"/>
        <v/>
      </c>
      <c r="E60" s="104"/>
      <c r="F60" s="25"/>
      <c r="G60" s="105"/>
      <c r="H60" s="106"/>
      <c r="I60" s="107" t="str">
        <f t="shared" si="6"/>
        <v/>
      </c>
      <c r="J60" s="108" t="str">
        <f t="shared" si="7"/>
        <v/>
      </c>
      <c r="K60" s="109" t="str">
        <f>IF(B60="","Pending",IF(M60="","⚠️ Enter Code",IF(IFERROR(VLOOKUP(L60,DB_Agents!$B:$I,8,0),"")=M60,"Pending","🔒 BLOCKED — Wrong Code")))</f>
        <v>Pending</v>
      </c>
      <c r="L60" s="27"/>
      <c r="M60" s="84"/>
      <c r="N60" s="94"/>
    </row>
    <row r="61" spans="1:14" x14ac:dyDescent="0.25">
      <c r="A61" s="85" t="str">
        <f t="shared" si="4"/>
        <v/>
      </c>
      <c r="B61" s="79"/>
      <c r="C61" s="21" t="str">
        <f>IF(B61="","",IFERROR(VLOOKUP(B61,DB_Customers!$A:$D,4,0),"❌ Account Not Found"))</f>
        <v/>
      </c>
      <c r="D61" s="81" t="str">
        <f t="shared" ca="1" si="5"/>
        <v/>
      </c>
      <c r="E61" s="104"/>
      <c r="F61" s="21"/>
      <c r="G61" s="110"/>
      <c r="H61" s="111"/>
      <c r="I61" s="107" t="str">
        <f t="shared" si="6"/>
        <v/>
      </c>
      <c r="J61" s="112" t="str">
        <f t="shared" si="7"/>
        <v/>
      </c>
      <c r="K61" s="113" t="str">
        <f>IF(B61="","Pending",IF(M61="","⚠️ Enter Code",IF(IFERROR(VLOOKUP(L61,DB_Agents!$B:$I,8,0),"")=M61,"Pending","🔒 BLOCKED — Wrong Code")))</f>
        <v>Pending</v>
      </c>
      <c r="L61" s="23"/>
      <c r="M61" s="84"/>
      <c r="N61" s="87"/>
    </row>
    <row r="62" spans="1:14" x14ac:dyDescent="0.25">
      <c r="A62" s="92" t="str">
        <f t="shared" si="4"/>
        <v/>
      </c>
      <c r="B62" s="88"/>
      <c r="C62" s="25" t="str">
        <f>IF(B62="","",IFERROR(VLOOKUP(B62,DB_Customers!$A:$D,4,0),"❌ Account Not Found"))</f>
        <v/>
      </c>
      <c r="D62" s="90" t="str">
        <f t="shared" ca="1" si="5"/>
        <v/>
      </c>
      <c r="E62" s="104"/>
      <c r="F62" s="25"/>
      <c r="G62" s="105"/>
      <c r="H62" s="106"/>
      <c r="I62" s="107" t="str">
        <f t="shared" si="6"/>
        <v/>
      </c>
      <c r="J62" s="108" t="str">
        <f t="shared" si="7"/>
        <v/>
      </c>
      <c r="K62" s="109" t="str">
        <f>IF(B62="","Pending",IF(M62="","⚠️ Enter Code",IF(IFERROR(VLOOKUP(L62,DB_Agents!$B:$I,8,0),"")=M62,"Pending","🔒 BLOCKED — Wrong Code")))</f>
        <v>Pending</v>
      </c>
      <c r="L62" s="27"/>
      <c r="M62" s="84"/>
      <c r="N62" s="94"/>
    </row>
    <row r="63" spans="1:14" x14ac:dyDescent="0.25">
      <c r="A63" s="85" t="str">
        <f t="shared" si="4"/>
        <v/>
      </c>
      <c r="B63" s="79"/>
      <c r="C63" s="21" t="str">
        <f>IF(B63="","",IFERROR(VLOOKUP(B63,DB_Customers!$A:$D,4,0),"❌ Account Not Found"))</f>
        <v/>
      </c>
      <c r="D63" s="81" t="str">
        <f t="shared" ca="1" si="5"/>
        <v/>
      </c>
      <c r="E63" s="104"/>
      <c r="F63" s="21"/>
      <c r="G63" s="110"/>
      <c r="H63" s="111"/>
      <c r="I63" s="107" t="str">
        <f t="shared" si="6"/>
        <v/>
      </c>
      <c r="J63" s="112" t="str">
        <f t="shared" si="7"/>
        <v/>
      </c>
      <c r="K63" s="113" t="str">
        <f>IF(B63="","Pending",IF(M63="","⚠️ Enter Code",IF(IFERROR(VLOOKUP(L63,DB_Agents!$B:$I,8,0),"")=M63,"Pending","🔒 BLOCKED — Wrong Code")))</f>
        <v>Pending</v>
      </c>
      <c r="L63" s="23"/>
      <c r="M63" s="84"/>
      <c r="N63" s="87"/>
    </row>
    <row r="64" spans="1:14" x14ac:dyDescent="0.25">
      <c r="A64" s="92" t="str">
        <f t="shared" si="4"/>
        <v/>
      </c>
      <c r="B64" s="88"/>
      <c r="C64" s="25" t="str">
        <f>IF(B64="","",IFERROR(VLOOKUP(B64,DB_Customers!$A:$D,4,0),"❌ Account Not Found"))</f>
        <v/>
      </c>
      <c r="D64" s="90" t="str">
        <f t="shared" ca="1" si="5"/>
        <v/>
      </c>
      <c r="E64" s="104"/>
      <c r="F64" s="25"/>
      <c r="G64" s="105"/>
      <c r="H64" s="106"/>
      <c r="I64" s="107" t="str">
        <f t="shared" si="6"/>
        <v/>
      </c>
      <c r="J64" s="108" t="str">
        <f t="shared" si="7"/>
        <v/>
      </c>
      <c r="K64" s="109" t="str">
        <f>IF(B64="","Pending",IF(M64="","⚠️ Enter Code",IF(IFERROR(VLOOKUP(L64,DB_Agents!$B:$I,8,0),"")=M64,"Pending","🔒 BLOCKED — Wrong Code")))</f>
        <v>Pending</v>
      </c>
      <c r="L64" s="27"/>
      <c r="M64" s="84"/>
      <c r="N64" s="94"/>
    </row>
    <row r="65" spans="1:14" x14ac:dyDescent="0.25">
      <c r="A65" s="85" t="str">
        <f t="shared" si="4"/>
        <v/>
      </c>
      <c r="B65" s="79"/>
      <c r="C65" s="21" t="str">
        <f>IF(B65="","",IFERROR(VLOOKUP(B65,DB_Customers!$A:$D,4,0),"❌ Account Not Found"))</f>
        <v/>
      </c>
      <c r="D65" s="81" t="str">
        <f t="shared" ca="1" si="5"/>
        <v/>
      </c>
      <c r="E65" s="104"/>
      <c r="F65" s="21"/>
      <c r="G65" s="110"/>
      <c r="H65" s="111"/>
      <c r="I65" s="107" t="str">
        <f t="shared" si="6"/>
        <v/>
      </c>
      <c r="J65" s="112" t="str">
        <f t="shared" si="7"/>
        <v/>
      </c>
      <c r="K65" s="113" t="str">
        <f>IF(B65="","Pending",IF(M65="","⚠️ Enter Code",IF(IFERROR(VLOOKUP(L65,DB_Agents!$B:$I,8,0),"")=M65,"Pending","🔒 BLOCKED — Wrong Code")))</f>
        <v>Pending</v>
      </c>
      <c r="L65" s="23"/>
      <c r="M65" s="84"/>
      <c r="N65" s="87"/>
    </row>
    <row r="66" spans="1:14" x14ac:dyDescent="0.25">
      <c r="A66" s="92" t="str">
        <f t="shared" si="4"/>
        <v/>
      </c>
      <c r="B66" s="88"/>
      <c r="C66" s="25" t="str">
        <f>IF(B66="","",IFERROR(VLOOKUP(B66,DB_Customers!$A:$D,4,0),"❌ Account Not Found"))</f>
        <v/>
      </c>
      <c r="D66" s="90" t="str">
        <f t="shared" ca="1" si="5"/>
        <v/>
      </c>
      <c r="E66" s="104"/>
      <c r="F66" s="25"/>
      <c r="G66" s="105"/>
      <c r="H66" s="106"/>
      <c r="I66" s="107" t="str">
        <f t="shared" si="6"/>
        <v/>
      </c>
      <c r="J66" s="108" t="str">
        <f t="shared" si="7"/>
        <v/>
      </c>
      <c r="K66" s="109" t="str">
        <f>IF(B66="","Pending",IF(M66="","⚠️ Enter Code",IF(IFERROR(VLOOKUP(L66,DB_Agents!$B:$I,8,0),"")=M66,"Pending","🔒 BLOCKED — Wrong Code")))</f>
        <v>Pending</v>
      </c>
      <c r="L66" s="27"/>
      <c r="M66" s="84"/>
      <c r="N66" s="94"/>
    </row>
    <row r="67" spans="1:14" x14ac:dyDescent="0.25">
      <c r="A67" s="85" t="str">
        <f t="shared" si="4"/>
        <v/>
      </c>
      <c r="B67" s="79"/>
      <c r="C67" s="21" t="str">
        <f>IF(B67="","",IFERROR(VLOOKUP(B67,DB_Customers!$A:$D,4,0),"❌ Account Not Found"))</f>
        <v/>
      </c>
      <c r="D67" s="81" t="str">
        <f t="shared" ca="1" si="5"/>
        <v/>
      </c>
      <c r="E67" s="104"/>
      <c r="F67" s="21"/>
      <c r="G67" s="110"/>
      <c r="H67" s="111"/>
      <c r="I67" s="107" t="str">
        <f t="shared" si="6"/>
        <v/>
      </c>
      <c r="J67" s="112" t="str">
        <f t="shared" si="7"/>
        <v/>
      </c>
      <c r="K67" s="113" t="str">
        <f>IF(B67="","Pending",IF(M67="","⚠️ Enter Code",IF(IFERROR(VLOOKUP(L67,DB_Agents!$B:$I,8,0),"")=M67,"Pending","🔒 BLOCKED — Wrong Code")))</f>
        <v>Pending</v>
      </c>
      <c r="L67" s="23"/>
      <c r="M67" s="84"/>
      <c r="N67" s="87"/>
    </row>
    <row r="68" spans="1:14" x14ac:dyDescent="0.25">
      <c r="A68" s="92" t="str">
        <f t="shared" si="4"/>
        <v/>
      </c>
      <c r="B68" s="88"/>
      <c r="C68" s="25" t="str">
        <f>IF(B68="","",IFERROR(VLOOKUP(B68,DB_Customers!$A:$D,4,0),"❌ Account Not Found"))</f>
        <v/>
      </c>
      <c r="D68" s="90" t="str">
        <f t="shared" ca="1" si="5"/>
        <v/>
      </c>
      <c r="E68" s="104"/>
      <c r="F68" s="25"/>
      <c r="G68" s="105"/>
      <c r="H68" s="106"/>
      <c r="I68" s="107" t="str">
        <f t="shared" si="6"/>
        <v/>
      </c>
      <c r="J68" s="108" t="str">
        <f t="shared" si="7"/>
        <v/>
      </c>
      <c r="K68" s="109" t="str">
        <f>IF(B68="","Pending",IF(M68="","⚠️ Enter Code",IF(IFERROR(VLOOKUP(L68,DB_Agents!$B:$I,8,0),"")=M68,"Pending","🔒 BLOCKED — Wrong Code")))</f>
        <v>Pending</v>
      </c>
      <c r="L68" s="27"/>
      <c r="M68" s="84"/>
      <c r="N68" s="94"/>
    </row>
    <row r="69" spans="1:14" x14ac:dyDescent="0.25">
      <c r="A69" s="85" t="str">
        <f t="shared" si="4"/>
        <v/>
      </c>
      <c r="B69" s="79"/>
      <c r="C69" s="21" t="str">
        <f>IF(B69="","",IFERROR(VLOOKUP(B69,DB_Customers!$A:$D,4,0),"❌ Account Not Found"))</f>
        <v/>
      </c>
      <c r="D69" s="81" t="str">
        <f t="shared" ca="1" si="5"/>
        <v/>
      </c>
      <c r="E69" s="104"/>
      <c r="F69" s="21"/>
      <c r="G69" s="110"/>
      <c r="H69" s="111"/>
      <c r="I69" s="107" t="str">
        <f t="shared" si="6"/>
        <v/>
      </c>
      <c r="J69" s="112" t="str">
        <f t="shared" si="7"/>
        <v/>
      </c>
      <c r="K69" s="113" t="str">
        <f>IF(B69="","Pending",IF(M69="","⚠️ Enter Code",IF(IFERROR(VLOOKUP(L69,DB_Agents!$B:$I,8,0),"")=M69,"Pending","🔒 BLOCKED — Wrong Code")))</f>
        <v>Pending</v>
      </c>
      <c r="L69" s="23"/>
      <c r="M69" s="84"/>
      <c r="N69" s="87"/>
    </row>
    <row r="70" spans="1:14" x14ac:dyDescent="0.25">
      <c r="A70" s="92" t="str">
        <f t="shared" si="4"/>
        <v/>
      </c>
      <c r="B70" s="88"/>
      <c r="C70" s="25" t="str">
        <f>IF(B70="","",IFERROR(VLOOKUP(B70,DB_Customers!$A:$D,4,0),"❌ Account Not Found"))</f>
        <v/>
      </c>
      <c r="D70" s="90" t="str">
        <f t="shared" ca="1" si="5"/>
        <v/>
      </c>
      <c r="E70" s="104"/>
      <c r="F70" s="25"/>
      <c r="G70" s="105"/>
      <c r="H70" s="106"/>
      <c r="I70" s="107" t="str">
        <f t="shared" si="6"/>
        <v/>
      </c>
      <c r="J70" s="108" t="str">
        <f t="shared" si="7"/>
        <v/>
      </c>
      <c r="K70" s="109" t="str">
        <f>IF(B70="","Pending",IF(M70="","⚠️ Enter Code",IF(IFERROR(VLOOKUP(L70,DB_Agents!$B:$I,8,0),"")=M70,"Pending","🔒 BLOCKED — Wrong Code")))</f>
        <v>Pending</v>
      </c>
      <c r="L70" s="27"/>
      <c r="M70" s="84"/>
      <c r="N70" s="94"/>
    </row>
    <row r="71" spans="1:14" x14ac:dyDescent="0.25">
      <c r="A71" s="85" t="str">
        <f t="shared" si="4"/>
        <v/>
      </c>
      <c r="B71" s="79"/>
      <c r="C71" s="21" t="str">
        <f>IF(B71="","",IFERROR(VLOOKUP(B71,DB_Customers!$A:$D,4,0),"❌ Account Not Found"))</f>
        <v/>
      </c>
      <c r="D71" s="81" t="str">
        <f t="shared" ca="1" si="5"/>
        <v/>
      </c>
      <c r="E71" s="104"/>
      <c r="F71" s="21"/>
      <c r="G71" s="110"/>
      <c r="H71" s="111"/>
      <c r="I71" s="107" t="str">
        <f t="shared" si="6"/>
        <v/>
      </c>
      <c r="J71" s="112" t="str">
        <f t="shared" si="7"/>
        <v/>
      </c>
      <c r="K71" s="113" t="str">
        <f>IF(B71="","Pending",IF(M71="","⚠️ Enter Code",IF(IFERROR(VLOOKUP(L71,DB_Agents!$B:$I,8,0),"")=M71,"Pending","🔒 BLOCKED — Wrong Code")))</f>
        <v>Pending</v>
      </c>
      <c r="L71" s="23"/>
      <c r="M71" s="84"/>
      <c r="N71" s="87"/>
    </row>
    <row r="72" spans="1:14" x14ac:dyDescent="0.25">
      <c r="A72" s="92" t="str">
        <f t="shared" si="4"/>
        <v/>
      </c>
      <c r="B72" s="88"/>
      <c r="C72" s="25" t="str">
        <f>IF(B72="","",IFERROR(VLOOKUP(B72,DB_Customers!$A:$D,4,0),"❌ Account Not Found"))</f>
        <v/>
      </c>
      <c r="D72" s="90" t="str">
        <f t="shared" ca="1" si="5"/>
        <v/>
      </c>
      <c r="E72" s="104"/>
      <c r="F72" s="25"/>
      <c r="G72" s="105"/>
      <c r="H72" s="106"/>
      <c r="I72" s="107" t="str">
        <f t="shared" si="6"/>
        <v/>
      </c>
      <c r="J72" s="108" t="str">
        <f t="shared" si="7"/>
        <v/>
      </c>
      <c r="K72" s="109" t="str">
        <f>IF(B72="","Pending",IF(M72="","⚠️ Enter Code",IF(IFERROR(VLOOKUP(L72,DB_Agents!$B:$I,8,0),"")=M72,"Pending","🔒 BLOCKED — Wrong Code")))</f>
        <v>Pending</v>
      </c>
      <c r="L72" s="27"/>
      <c r="M72" s="84"/>
      <c r="N72" s="94"/>
    </row>
    <row r="73" spans="1:14" x14ac:dyDescent="0.25">
      <c r="A73" s="85" t="str">
        <f t="shared" si="4"/>
        <v/>
      </c>
      <c r="B73" s="79"/>
      <c r="C73" s="21" t="str">
        <f>IF(B73="","",IFERROR(VLOOKUP(B73,DB_Customers!$A:$D,4,0),"❌ Account Not Found"))</f>
        <v/>
      </c>
      <c r="D73" s="81" t="str">
        <f t="shared" ca="1" si="5"/>
        <v/>
      </c>
      <c r="E73" s="104"/>
      <c r="F73" s="21"/>
      <c r="G73" s="110"/>
      <c r="H73" s="111"/>
      <c r="I73" s="107" t="str">
        <f t="shared" si="6"/>
        <v/>
      </c>
      <c r="J73" s="112" t="str">
        <f t="shared" si="7"/>
        <v/>
      </c>
      <c r="K73" s="113" t="str">
        <f>IF(B73="","Pending",IF(M73="","⚠️ Enter Code",IF(IFERROR(VLOOKUP(L73,DB_Agents!$B:$I,8,0),"")=M73,"Pending","🔒 BLOCKED — Wrong Code")))</f>
        <v>Pending</v>
      </c>
      <c r="L73" s="23"/>
      <c r="M73" s="84"/>
      <c r="N73" s="87"/>
    </row>
    <row r="74" spans="1:14" x14ac:dyDescent="0.25">
      <c r="A74" s="92" t="str">
        <f t="shared" si="4"/>
        <v/>
      </c>
      <c r="B74" s="88"/>
      <c r="C74" s="25" t="str">
        <f>IF(B74="","",IFERROR(VLOOKUP(B74,DB_Customers!$A:$D,4,0),"❌ Account Not Found"))</f>
        <v/>
      </c>
      <c r="D74" s="90" t="str">
        <f t="shared" ca="1" si="5"/>
        <v/>
      </c>
      <c r="E74" s="104"/>
      <c r="F74" s="25"/>
      <c r="G74" s="105"/>
      <c r="H74" s="106"/>
      <c r="I74" s="107" t="str">
        <f t="shared" si="6"/>
        <v/>
      </c>
      <c r="J74" s="108" t="str">
        <f t="shared" si="7"/>
        <v/>
      </c>
      <c r="K74" s="109" t="str">
        <f>IF(B74="","Pending",IF(M74="","⚠️ Enter Code",IF(IFERROR(VLOOKUP(L74,DB_Agents!$B:$I,8,0),"")=M74,"Pending","🔒 BLOCKED — Wrong Code")))</f>
        <v>Pending</v>
      </c>
      <c r="L74" s="27"/>
      <c r="M74" s="84"/>
      <c r="N74" s="94"/>
    </row>
    <row r="75" spans="1:14" x14ac:dyDescent="0.25">
      <c r="A75" s="85" t="str">
        <f t="shared" si="4"/>
        <v/>
      </c>
      <c r="B75" s="79"/>
      <c r="C75" s="21" t="str">
        <f>IF(B75="","",IFERROR(VLOOKUP(B75,DB_Customers!$A:$D,4,0),"❌ Account Not Found"))</f>
        <v/>
      </c>
      <c r="D75" s="81" t="str">
        <f t="shared" ca="1" si="5"/>
        <v/>
      </c>
      <c r="E75" s="104"/>
      <c r="F75" s="21"/>
      <c r="G75" s="110"/>
      <c r="H75" s="111"/>
      <c r="I75" s="107" t="str">
        <f t="shared" si="6"/>
        <v/>
      </c>
      <c r="J75" s="112" t="str">
        <f t="shared" si="7"/>
        <v/>
      </c>
      <c r="K75" s="113" t="str">
        <f>IF(B75="","Pending",IF(M75="","⚠️ Enter Code",IF(IFERROR(VLOOKUP(L75,DB_Agents!$B:$I,8,0),"")=M75,"Pending","🔒 BLOCKED — Wrong Code")))</f>
        <v>Pending</v>
      </c>
      <c r="L75" s="23"/>
      <c r="M75" s="84"/>
      <c r="N75" s="87"/>
    </row>
    <row r="76" spans="1:14" x14ac:dyDescent="0.25">
      <c r="A76" s="92" t="str">
        <f t="shared" si="4"/>
        <v/>
      </c>
      <c r="B76" s="88"/>
      <c r="C76" s="25" t="str">
        <f>IF(B76="","",IFERROR(VLOOKUP(B76,DB_Customers!$A:$D,4,0),"❌ Account Not Found"))</f>
        <v/>
      </c>
      <c r="D76" s="90" t="str">
        <f t="shared" ca="1" si="5"/>
        <v/>
      </c>
      <c r="E76" s="104"/>
      <c r="F76" s="25"/>
      <c r="G76" s="105"/>
      <c r="H76" s="106"/>
      <c r="I76" s="107" t="str">
        <f t="shared" si="6"/>
        <v/>
      </c>
      <c r="J76" s="108" t="str">
        <f t="shared" si="7"/>
        <v/>
      </c>
      <c r="K76" s="109" t="str">
        <f>IF(B76="","Pending",IF(M76="","⚠️ Enter Code",IF(IFERROR(VLOOKUP(L76,DB_Agents!$B:$I,8,0),"")=M76,"Pending","🔒 BLOCKED — Wrong Code")))</f>
        <v>Pending</v>
      </c>
      <c r="L76" s="27"/>
      <c r="M76" s="84"/>
      <c r="N76" s="94"/>
    </row>
    <row r="77" spans="1:14" x14ac:dyDescent="0.25">
      <c r="A77" s="85" t="str">
        <f t="shared" si="4"/>
        <v/>
      </c>
      <c r="B77" s="79"/>
      <c r="C77" s="21" t="str">
        <f>IF(B77="","",IFERROR(VLOOKUP(B77,DB_Customers!$A:$D,4,0),"❌ Account Not Found"))</f>
        <v/>
      </c>
      <c r="D77" s="81" t="str">
        <f t="shared" ca="1" si="5"/>
        <v/>
      </c>
      <c r="E77" s="104"/>
      <c r="F77" s="21"/>
      <c r="G77" s="110"/>
      <c r="H77" s="111"/>
      <c r="I77" s="107" t="str">
        <f t="shared" si="6"/>
        <v/>
      </c>
      <c r="J77" s="112" t="str">
        <f t="shared" si="7"/>
        <v/>
      </c>
      <c r="K77" s="113" t="str">
        <f>IF(B77="","Pending",IF(M77="","⚠️ Enter Code",IF(IFERROR(VLOOKUP(L77,DB_Agents!$B:$I,8,0),"")=M77,"Pending","🔒 BLOCKED — Wrong Code")))</f>
        <v>Pending</v>
      </c>
      <c r="L77" s="23"/>
      <c r="M77" s="84"/>
      <c r="N77" s="87"/>
    </row>
    <row r="78" spans="1:14" x14ac:dyDescent="0.25">
      <c r="A78" s="92" t="str">
        <f t="shared" ref="A78:A109" si="8">IF(B78="","",IF(C78="❌ Account Not Found","INVALID","LN"&amp;TEXT(D78,"YYYYMMDD")&amp;TEXT(ROW()-13,"0000")))</f>
        <v/>
      </c>
      <c r="B78" s="88"/>
      <c r="C78" s="25" t="str">
        <f>IF(B78="","",IFERROR(VLOOKUP(B78,DB_Customers!$A:$D,4,0),"❌ Account Not Found"))</f>
        <v/>
      </c>
      <c r="D78" s="90" t="str">
        <f t="shared" ref="D78:D113" ca="1" si="9">IF(B78="","",TODAY())</f>
        <v/>
      </c>
      <c r="E78" s="104"/>
      <c r="F78" s="25"/>
      <c r="G78" s="105"/>
      <c r="H78" s="106"/>
      <c r="I78" s="107" t="str">
        <f t="shared" ref="I78:I109" si="10">IF(E78="","",E78+(E78*H78/100*G78))</f>
        <v/>
      </c>
      <c r="J78" s="108" t="str">
        <f t="shared" ref="J78:J109" si="11">IFERROR(I78/G78,"")</f>
        <v/>
      </c>
      <c r="K78" s="109" t="str">
        <f>IF(B78="","Pending",IF(M78="","⚠️ Enter Code",IF(IFERROR(VLOOKUP(L78,DB_Agents!$B:$I,8,0),"")=M78,"Pending","🔒 BLOCKED — Wrong Code")))</f>
        <v>Pending</v>
      </c>
      <c r="L78" s="27"/>
      <c r="M78" s="84"/>
      <c r="N78" s="94"/>
    </row>
    <row r="79" spans="1:14" x14ac:dyDescent="0.25">
      <c r="A79" s="85" t="str">
        <f t="shared" si="8"/>
        <v/>
      </c>
      <c r="B79" s="79"/>
      <c r="C79" s="21" t="str">
        <f>IF(B79="","",IFERROR(VLOOKUP(B79,DB_Customers!$A:$D,4,0),"❌ Account Not Found"))</f>
        <v/>
      </c>
      <c r="D79" s="81" t="str">
        <f t="shared" ca="1" si="9"/>
        <v/>
      </c>
      <c r="E79" s="104"/>
      <c r="F79" s="21"/>
      <c r="G79" s="110"/>
      <c r="H79" s="111"/>
      <c r="I79" s="107" t="str">
        <f t="shared" si="10"/>
        <v/>
      </c>
      <c r="J79" s="112" t="str">
        <f t="shared" si="11"/>
        <v/>
      </c>
      <c r="K79" s="113" t="str">
        <f>IF(B79="","Pending",IF(M79="","⚠️ Enter Code",IF(IFERROR(VLOOKUP(L79,DB_Agents!$B:$I,8,0),"")=M79,"Pending","🔒 BLOCKED — Wrong Code")))</f>
        <v>Pending</v>
      </c>
      <c r="L79" s="23"/>
      <c r="M79" s="84"/>
      <c r="N79" s="87"/>
    </row>
    <row r="80" spans="1:14" x14ac:dyDescent="0.25">
      <c r="A80" s="92" t="str">
        <f t="shared" si="8"/>
        <v/>
      </c>
      <c r="B80" s="88"/>
      <c r="C80" s="25" t="str">
        <f>IF(B80="","",IFERROR(VLOOKUP(B80,DB_Customers!$A:$D,4,0),"❌ Account Not Found"))</f>
        <v/>
      </c>
      <c r="D80" s="90" t="str">
        <f t="shared" ca="1" si="9"/>
        <v/>
      </c>
      <c r="E80" s="104"/>
      <c r="F80" s="25"/>
      <c r="G80" s="105"/>
      <c r="H80" s="106"/>
      <c r="I80" s="107" t="str">
        <f t="shared" si="10"/>
        <v/>
      </c>
      <c r="J80" s="108" t="str">
        <f t="shared" si="11"/>
        <v/>
      </c>
      <c r="K80" s="109" t="str">
        <f>IF(B80="","Pending",IF(M80="","⚠️ Enter Code",IF(IFERROR(VLOOKUP(L80,DB_Agents!$B:$I,8,0),"")=M80,"Pending","🔒 BLOCKED — Wrong Code")))</f>
        <v>Pending</v>
      </c>
      <c r="L80" s="27"/>
      <c r="M80" s="84"/>
      <c r="N80" s="94"/>
    </row>
    <row r="81" spans="1:14" x14ac:dyDescent="0.25">
      <c r="A81" s="85" t="str">
        <f t="shared" si="8"/>
        <v/>
      </c>
      <c r="B81" s="79"/>
      <c r="C81" s="21" t="str">
        <f>IF(B81="","",IFERROR(VLOOKUP(B81,DB_Customers!$A:$D,4,0),"❌ Account Not Found"))</f>
        <v/>
      </c>
      <c r="D81" s="81" t="str">
        <f t="shared" ca="1" si="9"/>
        <v/>
      </c>
      <c r="E81" s="104"/>
      <c r="F81" s="21"/>
      <c r="G81" s="110"/>
      <c r="H81" s="111"/>
      <c r="I81" s="107" t="str">
        <f t="shared" si="10"/>
        <v/>
      </c>
      <c r="J81" s="112" t="str">
        <f t="shared" si="11"/>
        <v/>
      </c>
      <c r="K81" s="113" t="str">
        <f>IF(B81="","Pending",IF(M81="","⚠️ Enter Code",IF(IFERROR(VLOOKUP(L81,DB_Agents!$B:$I,8,0),"")=M81,"Pending","🔒 BLOCKED — Wrong Code")))</f>
        <v>Pending</v>
      </c>
      <c r="L81" s="23"/>
      <c r="M81" s="84"/>
      <c r="N81" s="87"/>
    </row>
    <row r="82" spans="1:14" x14ac:dyDescent="0.25">
      <c r="A82" s="92" t="str">
        <f t="shared" si="8"/>
        <v/>
      </c>
      <c r="B82" s="88"/>
      <c r="C82" s="25" t="str">
        <f>IF(B82="","",IFERROR(VLOOKUP(B82,DB_Customers!$A:$D,4,0),"❌ Account Not Found"))</f>
        <v/>
      </c>
      <c r="D82" s="90" t="str">
        <f t="shared" ca="1" si="9"/>
        <v/>
      </c>
      <c r="E82" s="104"/>
      <c r="F82" s="25"/>
      <c r="G82" s="105"/>
      <c r="H82" s="106"/>
      <c r="I82" s="107" t="str">
        <f t="shared" si="10"/>
        <v/>
      </c>
      <c r="J82" s="108" t="str">
        <f t="shared" si="11"/>
        <v/>
      </c>
      <c r="K82" s="109" t="str">
        <f>IF(B82="","Pending",IF(M82="","⚠️ Enter Code",IF(IFERROR(VLOOKUP(L82,DB_Agents!$B:$I,8,0),"")=M82,"Pending","🔒 BLOCKED — Wrong Code")))</f>
        <v>Pending</v>
      </c>
      <c r="L82" s="27"/>
      <c r="M82" s="84"/>
      <c r="N82" s="94"/>
    </row>
    <row r="83" spans="1:14" x14ac:dyDescent="0.25">
      <c r="A83" s="85" t="str">
        <f t="shared" si="8"/>
        <v/>
      </c>
      <c r="B83" s="79"/>
      <c r="C83" s="21" t="str">
        <f>IF(B83="","",IFERROR(VLOOKUP(B83,DB_Customers!$A:$D,4,0),"❌ Account Not Found"))</f>
        <v/>
      </c>
      <c r="D83" s="81" t="str">
        <f t="shared" ca="1" si="9"/>
        <v/>
      </c>
      <c r="E83" s="104"/>
      <c r="F83" s="21"/>
      <c r="G83" s="110"/>
      <c r="H83" s="111"/>
      <c r="I83" s="107" t="str">
        <f t="shared" si="10"/>
        <v/>
      </c>
      <c r="J83" s="112" t="str">
        <f t="shared" si="11"/>
        <v/>
      </c>
      <c r="K83" s="113" t="str">
        <f>IF(B83="","Pending",IF(M83="","⚠️ Enter Code",IF(IFERROR(VLOOKUP(L83,DB_Agents!$B:$I,8,0),"")=M83,"Pending","🔒 BLOCKED — Wrong Code")))</f>
        <v>Pending</v>
      </c>
      <c r="L83" s="23"/>
      <c r="M83" s="84"/>
      <c r="N83" s="87"/>
    </row>
    <row r="84" spans="1:14" x14ac:dyDescent="0.25">
      <c r="A84" s="92" t="str">
        <f t="shared" si="8"/>
        <v/>
      </c>
      <c r="B84" s="88"/>
      <c r="C84" s="25" t="str">
        <f>IF(B84="","",IFERROR(VLOOKUP(B84,DB_Customers!$A:$D,4,0),"❌ Account Not Found"))</f>
        <v/>
      </c>
      <c r="D84" s="90" t="str">
        <f t="shared" ca="1" si="9"/>
        <v/>
      </c>
      <c r="E84" s="104"/>
      <c r="F84" s="25"/>
      <c r="G84" s="105"/>
      <c r="H84" s="106"/>
      <c r="I84" s="107" t="str">
        <f t="shared" si="10"/>
        <v/>
      </c>
      <c r="J84" s="108" t="str">
        <f t="shared" si="11"/>
        <v/>
      </c>
      <c r="K84" s="109" t="str">
        <f>IF(B84="","Pending",IF(M84="","⚠️ Enter Code",IF(IFERROR(VLOOKUP(L84,DB_Agents!$B:$I,8,0),"")=M84,"Pending","🔒 BLOCKED — Wrong Code")))</f>
        <v>Pending</v>
      </c>
      <c r="L84" s="27"/>
      <c r="M84" s="84"/>
      <c r="N84" s="94"/>
    </row>
    <row r="85" spans="1:14" x14ac:dyDescent="0.25">
      <c r="A85" s="85" t="str">
        <f t="shared" si="8"/>
        <v/>
      </c>
      <c r="B85" s="79"/>
      <c r="C85" s="21" t="str">
        <f>IF(B85="","",IFERROR(VLOOKUP(B85,DB_Customers!$A:$D,4,0),"❌ Account Not Found"))</f>
        <v/>
      </c>
      <c r="D85" s="81" t="str">
        <f t="shared" ca="1" si="9"/>
        <v/>
      </c>
      <c r="E85" s="104"/>
      <c r="F85" s="21"/>
      <c r="G85" s="110"/>
      <c r="H85" s="111"/>
      <c r="I85" s="107" t="str">
        <f t="shared" si="10"/>
        <v/>
      </c>
      <c r="J85" s="112" t="str">
        <f t="shared" si="11"/>
        <v/>
      </c>
      <c r="K85" s="113" t="str">
        <f>IF(B85="","Pending",IF(M85="","⚠️ Enter Code",IF(IFERROR(VLOOKUP(L85,DB_Agents!$B:$I,8,0),"")=M85,"Pending","🔒 BLOCKED — Wrong Code")))</f>
        <v>Pending</v>
      </c>
      <c r="L85" s="23"/>
      <c r="M85" s="84"/>
      <c r="N85" s="87"/>
    </row>
    <row r="86" spans="1:14" x14ac:dyDescent="0.25">
      <c r="A86" s="92" t="str">
        <f t="shared" si="8"/>
        <v/>
      </c>
      <c r="B86" s="88"/>
      <c r="C86" s="25" t="str">
        <f>IF(B86="","",IFERROR(VLOOKUP(B86,DB_Customers!$A:$D,4,0),"❌ Account Not Found"))</f>
        <v/>
      </c>
      <c r="D86" s="90" t="str">
        <f t="shared" ca="1" si="9"/>
        <v/>
      </c>
      <c r="E86" s="104"/>
      <c r="F86" s="25"/>
      <c r="G86" s="105"/>
      <c r="H86" s="106"/>
      <c r="I86" s="107" t="str">
        <f t="shared" si="10"/>
        <v/>
      </c>
      <c r="J86" s="108" t="str">
        <f t="shared" si="11"/>
        <v/>
      </c>
      <c r="K86" s="109" t="str">
        <f>IF(B86="","Pending",IF(M86="","⚠️ Enter Code",IF(IFERROR(VLOOKUP(L86,DB_Agents!$B:$I,8,0),"")=M86,"Pending","🔒 BLOCKED — Wrong Code")))</f>
        <v>Pending</v>
      </c>
      <c r="L86" s="27"/>
      <c r="M86" s="84"/>
      <c r="N86" s="94"/>
    </row>
    <row r="87" spans="1:14" x14ac:dyDescent="0.25">
      <c r="A87" s="85" t="str">
        <f t="shared" si="8"/>
        <v/>
      </c>
      <c r="B87" s="79"/>
      <c r="C87" s="21" t="str">
        <f>IF(B87="","",IFERROR(VLOOKUP(B87,DB_Customers!$A:$D,4,0),"❌ Account Not Found"))</f>
        <v/>
      </c>
      <c r="D87" s="81" t="str">
        <f t="shared" ca="1" si="9"/>
        <v/>
      </c>
      <c r="E87" s="104"/>
      <c r="F87" s="21"/>
      <c r="G87" s="110"/>
      <c r="H87" s="111"/>
      <c r="I87" s="107" t="str">
        <f t="shared" si="10"/>
        <v/>
      </c>
      <c r="J87" s="112" t="str">
        <f t="shared" si="11"/>
        <v/>
      </c>
      <c r="K87" s="113" t="str">
        <f>IF(B87="","Pending",IF(M87="","⚠️ Enter Code",IF(IFERROR(VLOOKUP(L87,DB_Agents!$B:$I,8,0),"")=M87,"Pending","🔒 BLOCKED — Wrong Code")))</f>
        <v>Pending</v>
      </c>
      <c r="L87" s="23"/>
      <c r="M87" s="84"/>
      <c r="N87" s="87"/>
    </row>
    <row r="88" spans="1:14" x14ac:dyDescent="0.25">
      <c r="A88" s="92" t="str">
        <f t="shared" si="8"/>
        <v/>
      </c>
      <c r="B88" s="88"/>
      <c r="C88" s="25" t="str">
        <f>IF(B88="","",IFERROR(VLOOKUP(B88,DB_Customers!$A:$D,4,0),"❌ Account Not Found"))</f>
        <v/>
      </c>
      <c r="D88" s="90" t="str">
        <f t="shared" ca="1" si="9"/>
        <v/>
      </c>
      <c r="E88" s="104"/>
      <c r="F88" s="25"/>
      <c r="G88" s="105"/>
      <c r="H88" s="106"/>
      <c r="I88" s="107" t="str">
        <f t="shared" si="10"/>
        <v/>
      </c>
      <c r="J88" s="108" t="str">
        <f t="shared" si="11"/>
        <v/>
      </c>
      <c r="K88" s="109" t="str">
        <f>IF(B88="","Pending",IF(M88="","⚠️ Enter Code",IF(IFERROR(VLOOKUP(L88,DB_Agents!$B:$I,8,0),"")=M88,"Pending","🔒 BLOCKED — Wrong Code")))</f>
        <v>Pending</v>
      </c>
      <c r="L88" s="27"/>
      <c r="M88" s="84"/>
      <c r="N88" s="94"/>
    </row>
    <row r="89" spans="1:14" x14ac:dyDescent="0.25">
      <c r="A89" s="85" t="str">
        <f t="shared" si="8"/>
        <v/>
      </c>
      <c r="B89" s="79"/>
      <c r="C89" s="21" t="str">
        <f>IF(B89="","",IFERROR(VLOOKUP(B89,DB_Customers!$A:$D,4,0),"❌ Account Not Found"))</f>
        <v/>
      </c>
      <c r="D89" s="81" t="str">
        <f t="shared" ca="1" si="9"/>
        <v/>
      </c>
      <c r="E89" s="104"/>
      <c r="F89" s="21"/>
      <c r="G89" s="110"/>
      <c r="H89" s="111"/>
      <c r="I89" s="107" t="str">
        <f t="shared" si="10"/>
        <v/>
      </c>
      <c r="J89" s="112" t="str">
        <f t="shared" si="11"/>
        <v/>
      </c>
      <c r="K89" s="113" t="str">
        <f>IF(B89="","Pending",IF(M89="","⚠️ Enter Code",IF(IFERROR(VLOOKUP(L89,DB_Agents!$B:$I,8,0),"")=M89,"Pending","🔒 BLOCKED — Wrong Code")))</f>
        <v>Pending</v>
      </c>
      <c r="L89" s="23"/>
      <c r="M89" s="84"/>
      <c r="N89" s="87"/>
    </row>
    <row r="90" spans="1:14" x14ac:dyDescent="0.25">
      <c r="A90" s="92" t="str">
        <f t="shared" si="8"/>
        <v/>
      </c>
      <c r="B90" s="88"/>
      <c r="C90" s="25" t="str">
        <f>IF(B90="","",IFERROR(VLOOKUP(B90,DB_Customers!$A:$D,4,0),"❌ Account Not Found"))</f>
        <v/>
      </c>
      <c r="D90" s="90" t="str">
        <f t="shared" ca="1" si="9"/>
        <v/>
      </c>
      <c r="E90" s="104"/>
      <c r="F90" s="25"/>
      <c r="G90" s="105"/>
      <c r="H90" s="106"/>
      <c r="I90" s="107" t="str">
        <f t="shared" si="10"/>
        <v/>
      </c>
      <c r="J90" s="108" t="str">
        <f t="shared" si="11"/>
        <v/>
      </c>
      <c r="K90" s="109" t="str">
        <f>IF(B90="","Pending",IF(M90="","⚠️ Enter Code",IF(IFERROR(VLOOKUP(L90,DB_Agents!$B:$I,8,0),"")=M90,"Pending","🔒 BLOCKED — Wrong Code")))</f>
        <v>Pending</v>
      </c>
      <c r="L90" s="27"/>
      <c r="M90" s="84"/>
      <c r="N90" s="94"/>
    </row>
    <row r="91" spans="1:14" x14ac:dyDescent="0.25">
      <c r="A91" s="85" t="str">
        <f t="shared" si="8"/>
        <v/>
      </c>
      <c r="B91" s="79"/>
      <c r="C91" s="21" t="str">
        <f>IF(B91="","",IFERROR(VLOOKUP(B91,DB_Customers!$A:$D,4,0),"❌ Account Not Found"))</f>
        <v/>
      </c>
      <c r="D91" s="81" t="str">
        <f t="shared" ca="1" si="9"/>
        <v/>
      </c>
      <c r="E91" s="104"/>
      <c r="F91" s="21"/>
      <c r="G91" s="110"/>
      <c r="H91" s="111"/>
      <c r="I91" s="107" t="str">
        <f t="shared" si="10"/>
        <v/>
      </c>
      <c r="J91" s="112" t="str">
        <f t="shared" si="11"/>
        <v/>
      </c>
      <c r="K91" s="113" t="str">
        <f>IF(B91="","Pending",IF(M91="","⚠️ Enter Code",IF(IFERROR(VLOOKUP(L91,DB_Agents!$B:$I,8,0),"")=M91,"Pending","🔒 BLOCKED — Wrong Code")))</f>
        <v>Pending</v>
      </c>
      <c r="L91" s="23"/>
      <c r="M91" s="84"/>
      <c r="N91" s="87"/>
    </row>
    <row r="92" spans="1:14" x14ac:dyDescent="0.25">
      <c r="A92" s="92" t="str">
        <f t="shared" si="8"/>
        <v/>
      </c>
      <c r="B92" s="88"/>
      <c r="C92" s="25" t="str">
        <f>IF(B92="","",IFERROR(VLOOKUP(B92,DB_Customers!$A:$D,4,0),"❌ Account Not Found"))</f>
        <v/>
      </c>
      <c r="D92" s="90" t="str">
        <f t="shared" ca="1" si="9"/>
        <v/>
      </c>
      <c r="E92" s="104"/>
      <c r="F92" s="25"/>
      <c r="G92" s="105"/>
      <c r="H92" s="106"/>
      <c r="I92" s="107" t="str">
        <f t="shared" si="10"/>
        <v/>
      </c>
      <c r="J92" s="108" t="str">
        <f t="shared" si="11"/>
        <v/>
      </c>
      <c r="K92" s="109" t="str">
        <f>IF(B92="","Pending",IF(M92="","⚠️ Enter Code",IF(IFERROR(VLOOKUP(L92,DB_Agents!$B:$I,8,0),"")=M92,"Pending","🔒 BLOCKED — Wrong Code")))</f>
        <v>Pending</v>
      </c>
      <c r="L92" s="27"/>
      <c r="M92" s="84"/>
      <c r="N92" s="94"/>
    </row>
    <row r="93" spans="1:14" x14ac:dyDescent="0.25">
      <c r="A93" s="85" t="str">
        <f t="shared" si="8"/>
        <v/>
      </c>
      <c r="B93" s="79"/>
      <c r="C93" s="21" t="str">
        <f>IF(B93="","",IFERROR(VLOOKUP(B93,DB_Customers!$A:$D,4,0),"❌ Account Not Found"))</f>
        <v/>
      </c>
      <c r="D93" s="81" t="str">
        <f t="shared" ca="1" si="9"/>
        <v/>
      </c>
      <c r="E93" s="104"/>
      <c r="F93" s="21"/>
      <c r="G93" s="110"/>
      <c r="H93" s="111"/>
      <c r="I93" s="107" t="str">
        <f t="shared" si="10"/>
        <v/>
      </c>
      <c r="J93" s="112" t="str">
        <f t="shared" si="11"/>
        <v/>
      </c>
      <c r="K93" s="113" t="str">
        <f>IF(B93="","Pending",IF(M93="","⚠️ Enter Code",IF(IFERROR(VLOOKUP(L93,DB_Agents!$B:$I,8,0),"")=M93,"Pending","🔒 BLOCKED — Wrong Code")))</f>
        <v>Pending</v>
      </c>
      <c r="L93" s="23"/>
      <c r="M93" s="84"/>
      <c r="N93" s="87"/>
    </row>
    <row r="94" spans="1:14" x14ac:dyDescent="0.25">
      <c r="A94" s="92" t="str">
        <f t="shared" si="8"/>
        <v/>
      </c>
      <c r="B94" s="88"/>
      <c r="C94" s="25" t="str">
        <f>IF(B94="","",IFERROR(VLOOKUP(B94,DB_Customers!$A:$D,4,0),"❌ Account Not Found"))</f>
        <v/>
      </c>
      <c r="D94" s="90" t="str">
        <f t="shared" ca="1" si="9"/>
        <v/>
      </c>
      <c r="E94" s="104"/>
      <c r="F94" s="25"/>
      <c r="G94" s="105"/>
      <c r="H94" s="106"/>
      <c r="I94" s="107" t="str">
        <f t="shared" si="10"/>
        <v/>
      </c>
      <c r="J94" s="108" t="str">
        <f t="shared" si="11"/>
        <v/>
      </c>
      <c r="K94" s="109" t="str">
        <f>IF(B94="","Pending",IF(M94="","⚠️ Enter Code",IF(IFERROR(VLOOKUP(L94,DB_Agents!$B:$I,8,0),"")=M94,"Pending","🔒 BLOCKED — Wrong Code")))</f>
        <v>Pending</v>
      </c>
      <c r="L94" s="27"/>
      <c r="M94" s="84"/>
      <c r="N94" s="94"/>
    </row>
    <row r="95" spans="1:14" x14ac:dyDescent="0.25">
      <c r="A95" s="85" t="str">
        <f t="shared" si="8"/>
        <v/>
      </c>
      <c r="B95" s="79"/>
      <c r="C95" s="21" t="str">
        <f>IF(B95="","",IFERROR(VLOOKUP(B95,DB_Customers!$A:$D,4,0),"❌ Account Not Found"))</f>
        <v/>
      </c>
      <c r="D95" s="81" t="str">
        <f t="shared" ca="1" si="9"/>
        <v/>
      </c>
      <c r="E95" s="104"/>
      <c r="F95" s="21"/>
      <c r="G95" s="110"/>
      <c r="H95" s="111"/>
      <c r="I95" s="107" t="str">
        <f t="shared" si="10"/>
        <v/>
      </c>
      <c r="J95" s="112" t="str">
        <f t="shared" si="11"/>
        <v/>
      </c>
      <c r="K95" s="113" t="str">
        <f>IF(B95="","Pending",IF(M95="","⚠️ Enter Code",IF(IFERROR(VLOOKUP(L95,DB_Agents!$B:$I,8,0),"")=M95,"Pending","🔒 BLOCKED — Wrong Code")))</f>
        <v>Pending</v>
      </c>
      <c r="L95" s="23"/>
      <c r="M95" s="84"/>
      <c r="N95" s="87"/>
    </row>
    <row r="96" spans="1:14" x14ac:dyDescent="0.25">
      <c r="A96" s="92" t="str">
        <f t="shared" si="8"/>
        <v/>
      </c>
      <c r="B96" s="88"/>
      <c r="C96" s="25" t="str">
        <f>IF(B96="","",IFERROR(VLOOKUP(B96,DB_Customers!$A:$D,4,0),"❌ Account Not Found"))</f>
        <v/>
      </c>
      <c r="D96" s="90" t="str">
        <f t="shared" ca="1" si="9"/>
        <v/>
      </c>
      <c r="E96" s="104"/>
      <c r="F96" s="25"/>
      <c r="G96" s="105"/>
      <c r="H96" s="106"/>
      <c r="I96" s="107" t="str">
        <f t="shared" si="10"/>
        <v/>
      </c>
      <c r="J96" s="108" t="str">
        <f t="shared" si="11"/>
        <v/>
      </c>
      <c r="K96" s="109" t="str">
        <f>IF(B96="","Pending",IF(M96="","⚠️ Enter Code",IF(IFERROR(VLOOKUP(L96,DB_Agents!$B:$I,8,0),"")=M96,"Pending","🔒 BLOCKED — Wrong Code")))</f>
        <v>Pending</v>
      </c>
      <c r="L96" s="27"/>
      <c r="M96" s="84"/>
      <c r="N96" s="94"/>
    </row>
    <row r="97" spans="1:14" x14ac:dyDescent="0.25">
      <c r="A97" s="85" t="str">
        <f t="shared" si="8"/>
        <v/>
      </c>
      <c r="B97" s="79"/>
      <c r="C97" s="21" t="str">
        <f>IF(B97="","",IFERROR(VLOOKUP(B97,DB_Customers!$A:$D,4,0),"❌ Account Not Found"))</f>
        <v/>
      </c>
      <c r="D97" s="81" t="str">
        <f t="shared" ca="1" si="9"/>
        <v/>
      </c>
      <c r="E97" s="104"/>
      <c r="F97" s="21"/>
      <c r="G97" s="110"/>
      <c r="H97" s="111"/>
      <c r="I97" s="107" t="str">
        <f t="shared" si="10"/>
        <v/>
      </c>
      <c r="J97" s="112" t="str">
        <f t="shared" si="11"/>
        <v/>
      </c>
      <c r="K97" s="113" t="str">
        <f>IF(B97="","Pending",IF(M97="","⚠️ Enter Code",IF(IFERROR(VLOOKUP(L97,DB_Agents!$B:$I,8,0),"")=M97,"Pending","🔒 BLOCKED — Wrong Code")))</f>
        <v>Pending</v>
      </c>
      <c r="L97" s="23"/>
      <c r="M97" s="84"/>
      <c r="N97" s="87"/>
    </row>
    <row r="98" spans="1:14" x14ac:dyDescent="0.25">
      <c r="A98" s="92" t="str">
        <f t="shared" si="8"/>
        <v/>
      </c>
      <c r="B98" s="88"/>
      <c r="C98" s="25" t="str">
        <f>IF(B98="","",IFERROR(VLOOKUP(B98,DB_Customers!$A:$D,4,0),"❌ Account Not Found"))</f>
        <v/>
      </c>
      <c r="D98" s="90" t="str">
        <f t="shared" ca="1" si="9"/>
        <v/>
      </c>
      <c r="E98" s="104"/>
      <c r="F98" s="25"/>
      <c r="G98" s="105"/>
      <c r="H98" s="106"/>
      <c r="I98" s="107" t="str">
        <f t="shared" si="10"/>
        <v/>
      </c>
      <c r="J98" s="108" t="str">
        <f t="shared" si="11"/>
        <v/>
      </c>
      <c r="K98" s="109" t="str">
        <f>IF(B98="","Pending",IF(M98="","⚠️ Enter Code",IF(IFERROR(VLOOKUP(L98,DB_Agents!$B:$I,8,0),"")=M98,"Pending","🔒 BLOCKED — Wrong Code")))</f>
        <v>Pending</v>
      </c>
      <c r="L98" s="27"/>
      <c r="M98" s="84"/>
      <c r="N98" s="94"/>
    </row>
    <row r="99" spans="1:14" x14ac:dyDescent="0.25">
      <c r="A99" s="85" t="str">
        <f t="shared" si="8"/>
        <v/>
      </c>
      <c r="B99" s="79"/>
      <c r="C99" s="21" t="str">
        <f>IF(B99="","",IFERROR(VLOOKUP(B99,DB_Customers!$A:$D,4,0),"❌ Account Not Found"))</f>
        <v/>
      </c>
      <c r="D99" s="81" t="str">
        <f t="shared" ca="1" si="9"/>
        <v/>
      </c>
      <c r="E99" s="104"/>
      <c r="F99" s="21"/>
      <c r="G99" s="110"/>
      <c r="H99" s="111"/>
      <c r="I99" s="107" t="str">
        <f t="shared" si="10"/>
        <v/>
      </c>
      <c r="J99" s="112" t="str">
        <f t="shared" si="11"/>
        <v/>
      </c>
      <c r="K99" s="113" t="str">
        <f>IF(B99="","Pending",IF(M99="","⚠️ Enter Code",IF(IFERROR(VLOOKUP(L99,DB_Agents!$B:$I,8,0),"")=M99,"Pending","🔒 BLOCKED — Wrong Code")))</f>
        <v>Pending</v>
      </c>
      <c r="L99" s="23"/>
      <c r="M99" s="84"/>
      <c r="N99" s="87"/>
    </row>
    <row r="100" spans="1:14" x14ac:dyDescent="0.25">
      <c r="A100" s="92" t="str">
        <f t="shared" si="8"/>
        <v/>
      </c>
      <c r="B100" s="88"/>
      <c r="C100" s="25" t="str">
        <f>IF(B100="","",IFERROR(VLOOKUP(B100,DB_Customers!$A:$D,4,0),"❌ Account Not Found"))</f>
        <v/>
      </c>
      <c r="D100" s="90" t="str">
        <f t="shared" ca="1" si="9"/>
        <v/>
      </c>
      <c r="E100" s="104"/>
      <c r="F100" s="25"/>
      <c r="G100" s="105"/>
      <c r="H100" s="106"/>
      <c r="I100" s="107" t="str">
        <f t="shared" si="10"/>
        <v/>
      </c>
      <c r="J100" s="108" t="str">
        <f t="shared" si="11"/>
        <v/>
      </c>
      <c r="K100" s="109" t="str">
        <f>IF(B100="","Pending",IF(M100="","⚠️ Enter Code",IF(IFERROR(VLOOKUP(L100,DB_Agents!$B:$I,8,0),"")=M100,"Pending","🔒 BLOCKED — Wrong Code")))</f>
        <v>Pending</v>
      </c>
      <c r="L100" s="27"/>
      <c r="M100" s="84"/>
      <c r="N100" s="94"/>
    </row>
    <row r="101" spans="1:14" x14ac:dyDescent="0.25">
      <c r="A101" s="85" t="str">
        <f t="shared" si="8"/>
        <v/>
      </c>
      <c r="B101" s="79"/>
      <c r="C101" s="21" t="str">
        <f>IF(B101="","",IFERROR(VLOOKUP(B101,DB_Customers!$A:$D,4,0),"❌ Account Not Found"))</f>
        <v/>
      </c>
      <c r="D101" s="81" t="str">
        <f t="shared" ca="1" si="9"/>
        <v/>
      </c>
      <c r="E101" s="104"/>
      <c r="F101" s="21"/>
      <c r="G101" s="110"/>
      <c r="H101" s="111"/>
      <c r="I101" s="107" t="str">
        <f t="shared" si="10"/>
        <v/>
      </c>
      <c r="J101" s="112" t="str">
        <f t="shared" si="11"/>
        <v/>
      </c>
      <c r="K101" s="113" t="str">
        <f>IF(B101="","Pending",IF(M101="","⚠️ Enter Code",IF(IFERROR(VLOOKUP(L101,DB_Agents!$B:$I,8,0),"")=M101,"Pending","🔒 BLOCKED — Wrong Code")))</f>
        <v>Pending</v>
      </c>
      <c r="L101" s="23"/>
      <c r="M101" s="84"/>
      <c r="N101" s="87"/>
    </row>
    <row r="102" spans="1:14" x14ac:dyDescent="0.25">
      <c r="A102" s="92" t="str">
        <f t="shared" si="8"/>
        <v/>
      </c>
      <c r="B102" s="88"/>
      <c r="C102" s="25" t="str">
        <f>IF(B102="","",IFERROR(VLOOKUP(B102,DB_Customers!$A:$D,4,0),"❌ Account Not Found"))</f>
        <v/>
      </c>
      <c r="D102" s="90" t="str">
        <f t="shared" ca="1" si="9"/>
        <v/>
      </c>
      <c r="E102" s="104"/>
      <c r="F102" s="25"/>
      <c r="G102" s="105"/>
      <c r="H102" s="106"/>
      <c r="I102" s="107" t="str">
        <f t="shared" si="10"/>
        <v/>
      </c>
      <c r="J102" s="108" t="str">
        <f t="shared" si="11"/>
        <v/>
      </c>
      <c r="K102" s="109" t="str">
        <f>IF(B102="","Pending",IF(M102="","⚠️ Enter Code",IF(IFERROR(VLOOKUP(L102,DB_Agents!$B:$I,8,0),"")=M102,"Pending","🔒 BLOCKED — Wrong Code")))</f>
        <v>Pending</v>
      </c>
      <c r="L102" s="27"/>
      <c r="M102" s="84"/>
      <c r="N102" s="94"/>
    </row>
    <row r="103" spans="1:14" x14ac:dyDescent="0.25">
      <c r="A103" s="85" t="str">
        <f t="shared" si="8"/>
        <v/>
      </c>
      <c r="B103" s="79"/>
      <c r="C103" s="21" t="str">
        <f>IF(B103="","",IFERROR(VLOOKUP(B103,DB_Customers!$A:$D,4,0),"❌ Account Not Found"))</f>
        <v/>
      </c>
      <c r="D103" s="81" t="str">
        <f t="shared" ca="1" si="9"/>
        <v/>
      </c>
      <c r="E103" s="104"/>
      <c r="F103" s="21"/>
      <c r="G103" s="110"/>
      <c r="H103" s="111"/>
      <c r="I103" s="107" t="str">
        <f t="shared" si="10"/>
        <v/>
      </c>
      <c r="J103" s="112" t="str">
        <f t="shared" si="11"/>
        <v/>
      </c>
      <c r="K103" s="113" t="str">
        <f>IF(B103="","Pending",IF(M103="","⚠️ Enter Code",IF(IFERROR(VLOOKUP(L103,DB_Agents!$B:$I,8,0),"")=M103,"Pending","🔒 BLOCKED — Wrong Code")))</f>
        <v>Pending</v>
      </c>
      <c r="L103" s="23"/>
      <c r="M103" s="84"/>
      <c r="N103" s="87"/>
    </row>
    <row r="104" spans="1:14" x14ac:dyDescent="0.25">
      <c r="A104" s="92" t="str">
        <f t="shared" si="8"/>
        <v/>
      </c>
      <c r="B104" s="88"/>
      <c r="C104" s="25" t="str">
        <f>IF(B104="","",IFERROR(VLOOKUP(B104,DB_Customers!$A:$D,4,0),"❌ Account Not Found"))</f>
        <v/>
      </c>
      <c r="D104" s="90" t="str">
        <f t="shared" ca="1" si="9"/>
        <v/>
      </c>
      <c r="E104" s="104"/>
      <c r="F104" s="25"/>
      <c r="G104" s="105"/>
      <c r="H104" s="106"/>
      <c r="I104" s="107" t="str">
        <f t="shared" si="10"/>
        <v/>
      </c>
      <c r="J104" s="108" t="str">
        <f t="shared" si="11"/>
        <v/>
      </c>
      <c r="K104" s="109" t="str">
        <f>IF(B104="","Pending",IF(M104="","⚠️ Enter Code",IF(IFERROR(VLOOKUP(L104,DB_Agents!$B:$I,8,0),"")=M104,"Pending","🔒 BLOCKED — Wrong Code")))</f>
        <v>Pending</v>
      </c>
      <c r="L104" s="27"/>
      <c r="M104" s="84"/>
      <c r="N104" s="94"/>
    </row>
    <row r="105" spans="1:14" x14ac:dyDescent="0.25">
      <c r="A105" s="85" t="str">
        <f t="shared" si="8"/>
        <v/>
      </c>
      <c r="B105" s="79"/>
      <c r="C105" s="21" t="str">
        <f>IF(B105="","",IFERROR(VLOOKUP(B105,DB_Customers!$A:$D,4,0),"❌ Account Not Found"))</f>
        <v/>
      </c>
      <c r="D105" s="81" t="str">
        <f t="shared" ca="1" si="9"/>
        <v/>
      </c>
      <c r="E105" s="104"/>
      <c r="F105" s="21"/>
      <c r="G105" s="110"/>
      <c r="H105" s="111"/>
      <c r="I105" s="107" t="str">
        <f t="shared" si="10"/>
        <v/>
      </c>
      <c r="J105" s="112" t="str">
        <f t="shared" si="11"/>
        <v/>
      </c>
      <c r="K105" s="113" t="str">
        <f>IF(B105="","Pending",IF(M105="","⚠️ Enter Code",IF(IFERROR(VLOOKUP(L105,DB_Agents!$B:$I,8,0),"")=M105,"Pending","🔒 BLOCKED — Wrong Code")))</f>
        <v>Pending</v>
      </c>
      <c r="L105" s="23"/>
      <c r="M105" s="84"/>
      <c r="N105" s="87"/>
    </row>
    <row r="106" spans="1:14" x14ac:dyDescent="0.25">
      <c r="A106" s="92" t="str">
        <f t="shared" si="8"/>
        <v/>
      </c>
      <c r="B106" s="88"/>
      <c r="C106" s="25" t="str">
        <f>IF(B106="","",IFERROR(VLOOKUP(B106,DB_Customers!$A:$D,4,0),"❌ Account Not Found"))</f>
        <v/>
      </c>
      <c r="D106" s="90" t="str">
        <f t="shared" ca="1" si="9"/>
        <v/>
      </c>
      <c r="E106" s="104"/>
      <c r="F106" s="25"/>
      <c r="G106" s="105"/>
      <c r="H106" s="106"/>
      <c r="I106" s="107" t="str">
        <f t="shared" si="10"/>
        <v/>
      </c>
      <c r="J106" s="108" t="str">
        <f t="shared" si="11"/>
        <v/>
      </c>
      <c r="K106" s="109" t="str">
        <f>IF(B106="","Pending",IF(M106="","⚠️ Enter Code",IF(IFERROR(VLOOKUP(L106,DB_Agents!$B:$I,8,0),"")=M106,"Pending","🔒 BLOCKED — Wrong Code")))</f>
        <v>Pending</v>
      </c>
      <c r="L106" s="27"/>
      <c r="M106" s="84"/>
      <c r="N106" s="94"/>
    </row>
    <row r="107" spans="1:14" x14ac:dyDescent="0.25">
      <c r="A107" s="85" t="str">
        <f t="shared" si="8"/>
        <v/>
      </c>
      <c r="B107" s="79"/>
      <c r="C107" s="21" t="str">
        <f>IF(B107="","",IFERROR(VLOOKUP(B107,DB_Customers!$A:$D,4,0),"❌ Account Not Found"))</f>
        <v/>
      </c>
      <c r="D107" s="81" t="str">
        <f t="shared" ca="1" si="9"/>
        <v/>
      </c>
      <c r="E107" s="104"/>
      <c r="F107" s="21"/>
      <c r="G107" s="110"/>
      <c r="H107" s="111"/>
      <c r="I107" s="107" t="str">
        <f t="shared" si="10"/>
        <v/>
      </c>
      <c r="J107" s="112" t="str">
        <f t="shared" si="11"/>
        <v/>
      </c>
      <c r="K107" s="113" t="str">
        <f>IF(B107="","Pending",IF(M107="","⚠️ Enter Code",IF(IFERROR(VLOOKUP(L107,DB_Agents!$B:$I,8,0),"")=M107,"Pending","🔒 BLOCKED — Wrong Code")))</f>
        <v>Pending</v>
      </c>
      <c r="L107" s="23"/>
      <c r="M107" s="84"/>
      <c r="N107" s="87"/>
    </row>
    <row r="108" spans="1:14" x14ac:dyDescent="0.25">
      <c r="A108" s="92" t="str">
        <f t="shared" si="8"/>
        <v/>
      </c>
      <c r="B108" s="88"/>
      <c r="C108" s="25" t="str">
        <f>IF(B108="","",IFERROR(VLOOKUP(B108,DB_Customers!$A:$D,4,0),"❌ Account Not Found"))</f>
        <v/>
      </c>
      <c r="D108" s="90" t="str">
        <f t="shared" ca="1" si="9"/>
        <v/>
      </c>
      <c r="E108" s="104"/>
      <c r="F108" s="25"/>
      <c r="G108" s="105"/>
      <c r="H108" s="106"/>
      <c r="I108" s="107" t="str">
        <f t="shared" si="10"/>
        <v/>
      </c>
      <c r="J108" s="108" t="str">
        <f t="shared" si="11"/>
        <v/>
      </c>
      <c r="K108" s="109" t="str">
        <f>IF(B108="","Pending",IF(M108="","⚠️ Enter Code",IF(IFERROR(VLOOKUP(L108,DB_Agents!$B:$I,8,0),"")=M108,"Pending","🔒 BLOCKED — Wrong Code")))</f>
        <v>Pending</v>
      </c>
      <c r="L108" s="27"/>
      <c r="M108" s="84"/>
      <c r="N108" s="94"/>
    </row>
    <row r="109" spans="1:14" x14ac:dyDescent="0.25">
      <c r="A109" s="85" t="str">
        <f t="shared" si="8"/>
        <v/>
      </c>
      <c r="B109" s="79"/>
      <c r="C109" s="21" t="str">
        <f>IF(B109="","",IFERROR(VLOOKUP(B109,DB_Customers!$A:$D,4,0),"❌ Account Not Found"))</f>
        <v/>
      </c>
      <c r="D109" s="81" t="str">
        <f t="shared" ca="1" si="9"/>
        <v/>
      </c>
      <c r="E109" s="104"/>
      <c r="F109" s="21"/>
      <c r="G109" s="110"/>
      <c r="H109" s="111"/>
      <c r="I109" s="107" t="str">
        <f t="shared" si="10"/>
        <v/>
      </c>
      <c r="J109" s="112" t="str">
        <f t="shared" si="11"/>
        <v/>
      </c>
      <c r="K109" s="113" t="str">
        <f>IF(B109="","Pending",IF(M109="","⚠️ Enter Code",IF(IFERROR(VLOOKUP(L109,DB_Agents!$B:$I,8,0),"")=M109,"Pending","🔒 BLOCKED — Wrong Code")))</f>
        <v>Pending</v>
      </c>
      <c r="L109" s="23"/>
      <c r="M109" s="84"/>
      <c r="N109" s="87"/>
    </row>
    <row r="110" spans="1:14" x14ac:dyDescent="0.25">
      <c r="A110" s="92" t="str">
        <f t="shared" ref="A110:A141" si="12">IF(B110="","",IF(C110="❌ Account Not Found","INVALID","LN"&amp;TEXT(D110,"YYYYMMDD")&amp;TEXT(ROW()-13,"0000")))</f>
        <v/>
      </c>
      <c r="B110" s="88"/>
      <c r="C110" s="25" t="str">
        <f>IF(B110="","",IFERROR(VLOOKUP(B110,DB_Customers!$A:$D,4,0),"❌ Account Not Found"))</f>
        <v/>
      </c>
      <c r="D110" s="90" t="str">
        <f t="shared" ca="1" si="9"/>
        <v/>
      </c>
      <c r="E110" s="104"/>
      <c r="F110" s="25"/>
      <c r="G110" s="105"/>
      <c r="H110" s="106"/>
      <c r="I110" s="107" t="str">
        <f t="shared" ref="I110:I141" si="13">IF(E110="","",E110+(E110*H110/100*G110))</f>
        <v/>
      </c>
      <c r="J110" s="108" t="str">
        <f t="shared" ref="J110:J141" si="14">IFERROR(I110/G110,"")</f>
        <v/>
      </c>
      <c r="K110" s="109" t="str">
        <f>IF(B110="","Pending",IF(M110="","⚠️ Enter Code",IF(IFERROR(VLOOKUP(L110,DB_Agents!$B:$I,8,0),"")=M110,"Pending","🔒 BLOCKED — Wrong Code")))</f>
        <v>Pending</v>
      </c>
      <c r="L110" s="27"/>
      <c r="M110" s="84"/>
      <c r="N110" s="94"/>
    </row>
    <row r="111" spans="1:14" x14ac:dyDescent="0.25">
      <c r="A111" s="85" t="str">
        <f t="shared" si="12"/>
        <v/>
      </c>
      <c r="B111" s="79"/>
      <c r="C111" s="21" t="str">
        <f>IF(B111="","",IFERROR(VLOOKUP(B111,DB_Customers!$A:$D,4,0),"❌ Account Not Found"))</f>
        <v/>
      </c>
      <c r="D111" s="81" t="str">
        <f t="shared" ca="1" si="9"/>
        <v/>
      </c>
      <c r="E111" s="104"/>
      <c r="F111" s="21"/>
      <c r="G111" s="110"/>
      <c r="H111" s="111"/>
      <c r="I111" s="107" t="str">
        <f t="shared" si="13"/>
        <v/>
      </c>
      <c r="J111" s="112" t="str">
        <f t="shared" si="14"/>
        <v/>
      </c>
      <c r="K111" s="113" t="str">
        <f>IF(B111="","Pending",IF(M111="","⚠️ Enter Code",IF(IFERROR(VLOOKUP(L111,DB_Agents!$B:$I,8,0),"")=M111,"Pending","🔒 BLOCKED — Wrong Code")))</f>
        <v>Pending</v>
      </c>
      <c r="L111" s="23"/>
      <c r="M111" s="84"/>
      <c r="N111" s="87"/>
    </row>
    <row r="112" spans="1:14" x14ac:dyDescent="0.25">
      <c r="A112" s="92" t="str">
        <f t="shared" si="12"/>
        <v/>
      </c>
      <c r="B112" s="88"/>
      <c r="C112" s="25" t="str">
        <f>IF(B112="","",IFERROR(VLOOKUP(B112,DB_Customers!$A:$D,4,0),"❌ Account Not Found"))</f>
        <v/>
      </c>
      <c r="D112" s="90" t="str">
        <f t="shared" ca="1" si="9"/>
        <v/>
      </c>
      <c r="E112" s="104"/>
      <c r="F112" s="25"/>
      <c r="G112" s="105"/>
      <c r="H112" s="106"/>
      <c r="I112" s="107" t="str">
        <f t="shared" si="13"/>
        <v/>
      </c>
      <c r="J112" s="108" t="str">
        <f t="shared" si="14"/>
        <v/>
      </c>
      <c r="K112" s="109" t="str">
        <f>IF(B112="","Pending",IF(M112="","⚠️ Enter Code",IF(IFERROR(VLOOKUP(L112,DB_Agents!$B:$I,8,0),"")=M112,"Pending","🔒 BLOCKED — Wrong Code")))</f>
        <v>Pending</v>
      </c>
      <c r="L112" s="27"/>
      <c r="M112" s="84"/>
      <c r="N112" s="94"/>
    </row>
    <row r="113" spans="1:14" x14ac:dyDescent="0.25">
      <c r="A113" s="85" t="str">
        <f t="shared" si="12"/>
        <v/>
      </c>
      <c r="B113" s="79"/>
      <c r="C113" s="21" t="str">
        <f>IF(B113="","",IFERROR(VLOOKUP(B113,DB_Customers!$A:$D,4,0),"❌ Account Not Found"))</f>
        <v/>
      </c>
      <c r="D113" s="81" t="str">
        <f t="shared" ca="1" si="9"/>
        <v/>
      </c>
      <c r="E113" s="104"/>
      <c r="F113" s="21"/>
      <c r="G113" s="110"/>
      <c r="H113" s="111"/>
      <c r="I113" s="107" t="str">
        <f t="shared" si="13"/>
        <v/>
      </c>
      <c r="J113" s="112" t="str">
        <f t="shared" si="14"/>
        <v/>
      </c>
      <c r="K113" s="113" t="str">
        <f>IF(B113="","Pending",IF(M113="","⚠️ Enter Code",IF(IFERROR(VLOOKUP(L113,DB_Agents!$B:$I,8,0),"")=M113,"Pending","🔒 BLOCKED — Wrong Code")))</f>
        <v>Pending</v>
      </c>
      <c r="L113" s="23"/>
      <c r="M113" s="84"/>
      <c r="N113" s="87"/>
    </row>
    <row r="114" spans="1:14" x14ac:dyDescent="0.25">
      <c r="H114" s="114"/>
      <c r="K114" s="115" t="str">
        <f>IF(B114="","Pending",IF(M114="","⚠️ Enter Code",IF(IFERROR(VLOOKUP(L114,DB_Agents!$B:$I,8,0),"")=M114,"Pending","🔒 BLOCKED — Wrong Code")))</f>
        <v>Pending</v>
      </c>
      <c r="M114" s="84"/>
    </row>
    <row r="115" spans="1:14" x14ac:dyDescent="0.25">
      <c r="H115" s="114"/>
      <c r="K115" s="15" t="str">
        <f>IF(B115="","Pending",IF(M115="","⚠️ Enter Code",IF(IFERROR(VLOOKUP(L115,DB_Agents!$B:$I,8,0),"")=M115,"Pending","🔒 BLOCKED — Wrong Code")))</f>
        <v>Pending</v>
      </c>
      <c r="M115" s="84"/>
    </row>
    <row r="116" spans="1:14" x14ac:dyDescent="0.25">
      <c r="H116" s="114"/>
      <c r="K116" s="115" t="str">
        <f>IF(B116="","Pending",IF(M116="","⚠️ Enter Code",IF(IFERROR(VLOOKUP(L116,DB_Agents!$B:$I,8,0),"")=M116,"Pending","🔒 BLOCKED — Wrong Code")))</f>
        <v>Pending</v>
      </c>
      <c r="M116" s="84"/>
    </row>
    <row r="117" spans="1:14" x14ac:dyDescent="0.25">
      <c r="H117" s="114"/>
      <c r="K117" s="15" t="str">
        <f>IF(B117="","Pending",IF(M117="","⚠️ Enter Code",IF(IFERROR(VLOOKUP(L117,DB_Agents!$B:$I,8,0),"")=M117,"Pending","🔒 BLOCKED — Wrong Code")))</f>
        <v>Pending</v>
      </c>
      <c r="M117" s="84"/>
    </row>
    <row r="118" spans="1:14" x14ac:dyDescent="0.25">
      <c r="H118" s="114"/>
      <c r="K118" s="115" t="str">
        <f>IF(B118="","Pending",IF(M118="","⚠️ Enter Code",IF(IFERROR(VLOOKUP(L118,DB_Agents!$B:$I,8,0),"")=M118,"Pending","🔒 BLOCKED — Wrong Code")))</f>
        <v>Pending</v>
      </c>
      <c r="M118" s="84"/>
    </row>
    <row r="119" spans="1:14" x14ac:dyDescent="0.25">
      <c r="H119" s="114"/>
      <c r="K119" s="15" t="str">
        <f>IF(B119="","Pending",IF(M119="","⚠️ Enter Code",IF(IFERROR(VLOOKUP(L119,DB_Agents!$B:$I,8,0),"")=M119,"Pending","🔒 BLOCKED — Wrong Code")))</f>
        <v>Pending</v>
      </c>
      <c r="M119" s="84"/>
    </row>
    <row r="120" spans="1:14" x14ac:dyDescent="0.25">
      <c r="H120" s="114"/>
      <c r="K120" s="115" t="str">
        <f>IF(B120="","Pending",IF(M120="","⚠️ Enter Code",IF(IFERROR(VLOOKUP(L120,DB_Agents!$B:$I,8,0),"")=M120,"Pending","🔒 BLOCKED — Wrong Code")))</f>
        <v>Pending</v>
      </c>
      <c r="M120" s="84"/>
    </row>
    <row r="121" spans="1:14" x14ac:dyDescent="0.25">
      <c r="H121" s="114"/>
      <c r="K121" s="15" t="str">
        <f>IF(B121="","Pending",IF(M121="","⚠️ Enter Code",IF(IFERROR(VLOOKUP(L121,DB_Agents!$B:$I,8,0),"")=M121,"Pending","🔒 BLOCKED — Wrong Code")))</f>
        <v>Pending</v>
      </c>
      <c r="M121" s="84"/>
    </row>
    <row r="122" spans="1:14" x14ac:dyDescent="0.25">
      <c r="H122" s="114"/>
      <c r="K122" s="115" t="str">
        <f>IF(B122="","Pending",IF(M122="","⚠️ Enter Code",IF(IFERROR(VLOOKUP(L122,DB_Agents!$B:$I,8,0),"")=M122,"Pending","🔒 BLOCKED — Wrong Code")))</f>
        <v>Pending</v>
      </c>
      <c r="M122" s="84"/>
    </row>
    <row r="123" spans="1:14" x14ac:dyDescent="0.25">
      <c r="H123" s="114"/>
      <c r="K123" s="15" t="str">
        <f>IF(B123="","Pending",IF(M123="","⚠️ Enter Code",IF(IFERROR(VLOOKUP(L123,DB_Agents!$B:$I,8,0),"")=M123,"Pending","🔒 BLOCKED — Wrong Code")))</f>
        <v>Pending</v>
      </c>
      <c r="M123" s="84"/>
    </row>
    <row r="124" spans="1:14" x14ac:dyDescent="0.25">
      <c r="H124" s="114"/>
      <c r="K124" s="115" t="str">
        <f>IF(B124="","Pending",IF(M124="","⚠️ Enter Code",IF(IFERROR(VLOOKUP(L124,DB_Agents!$B:$I,8,0),"")=M124,"Pending","🔒 BLOCKED — Wrong Code")))</f>
        <v>Pending</v>
      </c>
      <c r="M124" s="84"/>
    </row>
    <row r="125" spans="1:14" x14ac:dyDescent="0.25">
      <c r="H125" s="114"/>
      <c r="K125" s="15" t="str">
        <f>IF(B125="","Pending",IF(M125="","⚠️ Enter Code",IF(IFERROR(VLOOKUP(L125,DB_Agents!$B:$I,8,0),"")=M125,"Pending","🔒 BLOCKED — Wrong Code")))</f>
        <v>Pending</v>
      </c>
      <c r="M125" s="84"/>
    </row>
    <row r="126" spans="1:14" x14ac:dyDescent="0.25">
      <c r="H126" s="114"/>
      <c r="K126" s="115" t="str">
        <f>IF(B126="","Pending",IF(M126="","⚠️ Enter Code",IF(IFERROR(VLOOKUP(L126,DB_Agents!$B:$I,8,0),"")=M126,"Pending","🔒 BLOCKED — Wrong Code")))</f>
        <v>Pending</v>
      </c>
      <c r="M126" s="84"/>
    </row>
    <row r="127" spans="1:14" x14ac:dyDescent="0.25">
      <c r="H127" s="114"/>
      <c r="K127" s="15" t="str">
        <f>IF(B127="","Pending",IF(M127="","⚠️ Enter Code",IF(IFERROR(VLOOKUP(L127,DB_Agents!$B:$I,8,0),"")=M127,"Pending","🔒 BLOCKED — Wrong Code")))</f>
        <v>Pending</v>
      </c>
      <c r="M127" s="84"/>
    </row>
    <row r="128" spans="1:14" x14ac:dyDescent="0.25">
      <c r="H128" s="114"/>
      <c r="K128" s="115" t="str">
        <f>IF(B128="","Pending",IF(M128="","⚠️ Enter Code",IF(IFERROR(VLOOKUP(L128,DB_Agents!$B:$I,8,0),"")=M128,"Pending","🔒 BLOCKED — Wrong Code")))</f>
        <v>Pending</v>
      </c>
      <c r="M128" s="84"/>
    </row>
    <row r="129" spans="8:13" x14ac:dyDescent="0.25">
      <c r="H129" s="114"/>
      <c r="K129" s="15" t="str">
        <f>IF(B129="","Pending",IF(M129="","⚠️ Enter Code",IF(IFERROR(VLOOKUP(L129,DB_Agents!$B:$I,8,0),"")=M129,"Pending","🔒 BLOCKED — Wrong Code")))</f>
        <v>Pending</v>
      </c>
      <c r="M129" s="84"/>
    </row>
    <row r="130" spans="8:13" x14ac:dyDescent="0.25">
      <c r="H130" s="114"/>
      <c r="K130" s="115" t="str">
        <f>IF(B130="","Pending",IF(M130="","⚠️ Enter Code",IF(IFERROR(VLOOKUP(L130,DB_Agents!$B:$I,8,0),"")=M130,"Pending","🔒 BLOCKED — Wrong Code")))</f>
        <v>Pending</v>
      </c>
      <c r="M130" s="84"/>
    </row>
    <row r="131" spans="8:13" x14ac:dyDescent="0.25">
      <c r="H131" s="114"/>
      <c r="K131" s="15" t="str">
        <f>IF(B131="","Pending",IF(M131="","⚠️ Enter Code",IF(IFERROR(VLOOKUP(L131,DB_Agents!$B:$I,8,0),"")=M131,"Pending","🔒 BLOCKED — Wrong Code")))</f>
        <v>Pending</v>
      </c>
      <c r="M131" s="84"/>
    </row>
    <row r="132" spans="8:13" x14ac:dyDescent="0.25">
      <c r="H132" s="114"/>
      <c r="K132" s="115" t="str">
        <f>IF(B132="","Pending",IF(M132="","⚠️ Enter Code",IF(IFERROR(VLOOKUP(L132,DB_Agents!$B:$I,8,0),"")=M132,"Pending","🔒 BLOCKED — Wrong Code")))</f>
        <v>Pending</v>
      </c>
      <c r="M132" s="84"/>
    </row>
    <row r="133" spans="8:13" x14ac:dyDescent="0.25">
      <c r="H133" s="114"/>
      <c r="K133" s="15" t="str">
        <f>IF(B133="","Pending",IF(M133="","⚠️ Enter Code",IF(IFERROR(VLOOKUP(L133,DB_Agents!$B:$I,8,0),"")=M133,"Pending","🔒 BLOCKED — Wrong Code")))</f>
        <v>Pending</v>
      </c>
      <c r="M133" s="84"/>
    </row>
    <row r="134" spans="8:13" x14ac:dyDescent="0.25">
      <c r="H134" s="114"/>
      <c r="K134" s="115" t="str">
        <f>IF(B134="","Pending",IF(M134="","⚠️ Enter Code",IF(IFERROR(VLOOKUP(L134,DB_Agents!$B:$I,8,0),"")=M134,"Pending","🔒 BLOCKED — Wrong Code")))</f>
        <v>Pending</v>
      </c>
      <c r="M134" s="84"/>
    </row>
    <row r="135" spans="8:13" x14ac:dyDescent="0.25">
      <c r="H135" s="114"/>
      <c r="K135" s="15" t="str">
        <f>IF(B135="","Pending",IF(M135="","⚠️ Enter Code",IF(IFERROR(VLOOKUP(L135,DB_Agents!$B:$I,8,0),"")=M135,"Pending","🔒 BLOCKED — Wrong Code")))</f>
        <v>Pending</v>
      </c>
      <c r="M135" s="84"/>
    </row>
    <row r="136" spans="8:13" x14ac:dyDescent="0.25">
      <c r="H136" s="114"/>
      <c r="K136" s="115" t="str">
        <f>IF(B136="","Pending",IF(M136="","⚠️ Enter Code",IF(IFERROR(VLOOKUP(L136,DB_Agents!$B:$I,8,0),"")=M136,"Pending","🔒 BLOCKED — Wrong Code")))</f>
        <v>Pending</v>
      </c>
      <c r="M136" s="84"/>
    </row>
    <row r="137" spans="8:13" x14ac:dyDescent="0.25">
      <c r="H137" s="114"/>
      <c r="K137" s="15" t="str">
        <f>IF(B137="","Pending",IF(M137="","⚠️ Enter Code",IF(IFERROR(VLOOKUP(L137,DB_Agents!$B:$I,8,0),"")=M137,"Pending","🔒 BLOCKED — Wrong Code")))</f>
        <v>Pending</v>
      </c>
      <c r="M137" s="84"/>
    </row>
    <row r="138" spans="8:13" x14ac:dyDescent="0.25">
      <c r="H138" s="114"/>
      <c r="K138" s="115" t="str">
        <f>IF(B138="","Pending",IF(M138="","⚠️ Enter Code",IF(IFERROR(VLOOKUP(L138,DB_Agents!$B:$I,8,0),"")=M138,"Pending","🔒 BLOCKED — Wrong Code")))</f>
        <v>Pending</v>
      </c>
      <c r="M138" s="84"/>
    </row>
    <row r="139" spans="8:13" x14ac:dyDescent="0.25">
      <c r="H139" s="114"/>
      <c r="K139" s="15" t="str">
        <f>IF(B139="","Pending",IF(M139="","⚠️ Enter Code",IF(IFERROR(VLOOKUP(L139,DB_Agents!$B:$I,8,0),"")=M139,"Pending","🔒 BLOCKED — Wrong Code")))</f>
        <v>Pending</v>
      </c>
      <c r="M139" s="84"/>
    </row>
    <row r="140" spans="8:13" x14ac:dyDescent="0.25">
      <c r="H140" s="114"/>
      <c r="K140" s="115" t="str">
        <f>IF(B140="","Pending",IF(M140="","⚠️ Enter Code",IF(IFERROR(VLOOKUP(L140,DB_Agents!$B:$I,8,0),"")=M140,"Pending","🔒 BLOCKED — Wrong Code")))</f>
        <v>Pending</v>
      </c>
      <c r="M140" s="84"/>
    </row>
    <row r="141" spans="8:13" x14ac:dyDescent="0.25">
      <c r="H141" s="114"/>
      <c r="K141" s="15" t="str">
        <f>IF(B141="","Pending",IF(M141="","⚠️ Enter Code",IF(IFERROR(VLOOKUP(L141,DB_Agents!$B:$I,8,0),"")=M141,"Pending","🔒 BLOCKED — Wrong Code")))</f>
        <v>Pending</v>
      </c>
      <c r="M141" s="84"/>
    </row>
    <row r="142" spans="8:13" x14ac:dyDescent="0.25">
      <c r="H142" s="114"/>
      <c r="K142" s="115" t="str">
        <f>IF(B142="","Pending",IF(M142="","⚠️ Enter Code",IF(IFERROR(VLOOKUP(L142,DB_Agents!$B:$I,8,0),"")=M142,"Pending","🔒 BLOCKED — Wrong Code")))</f>
        <v>Pending</v>
      </c>
      <c r="M142" s="84"/>
    </row>
    <row r="143" spans="8:13" x14ac:dyDescent="0.25">
      <c r="H143" s="114"/>
      <c r="K143" s="15" t="str">
        <f>IF(B143="","Pending",IF(M143="","⚠️ Enter Code",IF(IFERROR(VLOOKUP(L143,DB_Agents!$B:$I,8,0),"")=M143,"Pending","🔒 BLOCKED — Wrong Code")))</f>
        <v>Pending</v>
      </c>
      <c r="M143" s="84"/>
    </row>
    <row r="144" spans="8:13" x14ac:dyDescent="0.25">
      <c r="H144" s="114"/>
      <c r="K144" s="115" t="str">
        <f>IF(B144="","Pending",IF(M144="","⚠️ Enter Code",IF(IFERROR(VLOOKUP(L144,DB_Agents!$B:$I,8,0),"")=M144,"Pending","🔒 BLOCKED — Wrong Code")))</f>
        <v>Pending</v>
      </c>
      <c r="M144" s="84"/>
    </row>
    <row r="145" spans="8:13" x14ac:dyDescent="0.25">
      <c r="H145" s="114"/>
      <c r="K145" s="15" t="str">
        <f>IF(B145="","Pending",IF(M145="","⚠️ Enter Code",IF(IFERROR(VLOOKUP(L145,DB_Agents!$B:$I,8,0),"")=M145,"Pending","🔒 BLOCKED — Wrong Code")))</f>
        <v>Pending</v>
      </c>
      <c r="M145" s="84"/>
    </row>
    <row r="146" spans="8:13" x14ac:dyDescent="0.25">
      <c r="H146" s="114"/>
      <c r="K146" s="115" t="str">
        <f>IF(B146="","Pending",IF(M146="","⚠️ Enter Code",IF(IFERROR(VLOOKUP(L146,DB_Agents!$B:$I,8,0),"")=M146,"Pending","🔒 BLOCKED — Wrong Code")))</f>
        <v>Pending</v>
      </c>
      <c r="M146" s="84"/>
    </row>
    <row r="147" spans="8:13" x14ac:dyDescent="0.25">
      <c r="H147" s="114"/>
      <c r="K147" s="15" t="str">
        <f>IF(B147="","Pending",IF(M147="","⚠️ Enter Code",IF(IFERROR(VLOOKUP(L147,DB_Agents!$B:$I,8,0),"")=M147,"Pending","🔒 BLOCKED — Wrong Code")))</f>
        <v>Pending</v>
      </c>
      <c r="M147" s="84"/>
    </row>
    <row r="148" spans="8:13" x14ac:dyDescent="0.25">
      <c r="H148" s="114"/>
      <c r="K148" s="115" t="str">
        <f>IF(B148="","Pending",IF(M148="","⚠️ Enter Code",IF(IFERROR(VLOOKUP(L148,DB_Agents!$B:$I,8,0),"")=M148,"Pending","🔒 BLOCKED — Wrong Code")))</f>
        <v>Pending</v>
      </c>
      <c r="M148" s="84"/>
    </row>
    <row r="149" spans="8:13" x14ac:dyDescent="0.25">
      <c r="H149" s="114"/>
      <c r="K149" s="15" t="str">
        <f>IF(B149="","Pending",IF(M149="","⚠️ Enter Code",IF(IFERROR(VLOOKUP(L149,DB_Agents!$B:$I,8,0),"")=M149,"Pending","🔒 BLOCKED — Wrong Code")))</f>
        <v>Pending</v>
      </c>
      <c r="M149" s="84"/>
    </row>
    <row r="150" spans="8:13" x14ac:dyDescent="0.25">
      <c r="H150" s="114"/>
      <c r="K150" s="115" t="str">
        <f>IF(B150="","Pending",IF(M150="","⚠️ Enter Code",IF(IFERROR(VLOOKUP(L150,DB_Agents!$B:$I,8,0),"")=M150,"Pending","🔒 BLOCKED — Wrong Code")))</f>
        <v>Pending</v>
      </c>
      <c r="M150" s="84"/>
    </row>
    <row r="151" spans="8:13" x14ac:dyDescent="0.25">
      <c r="H151" s="114"/>
      <c r="K151" s="15" t="str">
        <f>IF(B151="","Pending",IF(M151="","⚠️ Enter Code",IF(IFERROR(VLOOKUP(L151,DB_Agents!$B:$I,8,0),"")=M151,"Pending","🔒 BLOCKED — Wrong Code")))</f>
        <v>Pending</v>
      </c>
      <c r="M151" s="84"/>
    </row>
    <row r="152" spans="8:13" x14ac:dyDescent="0.25">
      <c r="H152" s="114"/>
      <c r="K152" s="115" t="str">
        <f>IF(B152="","Pending",IF(M152="","⚠️ Enter Code",IF(IFERROR(VLOOKUP(L152,DB_Agents!$B:$I,8,0),"")=M152,"Pending","🔒 BLOCKED — Wrong Code")))</f>
        <v>Pending</v>
      </c>
      <c r="M152" s="84"/>
    </row>
    <row r="153" spans="8:13" x14ac:dyDescent="0.25">
      <c r="H153" s="114"/>
      <c r="K153" s="15" t="str">
        <f>IF(B153="","Pending",IF(M153="","⚠️ Enter Code",IF(IFERROR(VLOOKUP(L153,DB_Agents!$B:$I,8,0),"")=M153,"Pending","🔒 BLOCKED — Wrong Code")))</f>
        <v>Pending</v>
      </c>
      <c r="M153" s="84"/>
    </row>
    <row r="154" spans="8:13" x14ac:dyDescent="0.25">
      <c r="H154" s="114"/>
      <c r="K154" s="115" t="str">
        <f>IF(B154="","Pending",IF(M154="","⚠️ Enter Code",IF(IFERROR(VLOOKUP(L154,DB_Agents!$B:$I,8,0),"")=M154,"Pending","🔒 BLOCKED — Wrong Code")))</f>
        <v>Pending</v>
      </c>
      <c r="M154" s="84"/>
    </row>
    <row r="155" spans="8:13" x14ac:dyDescent="0.25">
      <c r="H155" s="114"/>
      <c r="K155" s="15" t="str">
        <f>IF(B155="","Pending",IF(M155="","⚠️ Enter Code",IF(IFERROR(VLOOKUP(L155,DB_Agents!$B:$I,8,0),"")=M155,"Pending","🔒 BLOCKED — Wrong Code")))</f>
        <v>Pending</v>
      </c>
      <c r="M155" s="84"/>
    </row>
    <row r="156" spans="8:13" x14ac:dyDescent="0.25">
      <c r="H156" s="114"/>
      <c r="K156" s="115" t="str">
        <f>IF(B156="","Pending",IF(M156="","⚠️ Enter Code",IF(IFERROR(VLOOKUP(L156,DB_Agents!$B:$I,8,0),"")=M156,"Pending","🔒 BLOCKED — Wrong Code")))</f>
        <v>Pending</v>
      </c>
      <c r="M156" s="84"/>
    </row>
    <row r="157" spans="8:13" x14ac:dyDescent="0.25">
      <c r="H157" s="114"/>
      <c r="K157" s="15" t="str">
        <f>IF(B157="","Pending",IF(M157="","⚠️ Enter Code",IF(IFERROR(VLOOKUP(L157,DB_Agents!$B:$I,8,0),"")=M157,"Pending","🔒 BLOCKED — Wrong Code")))</f>
        <v>Pending</v>
      </c>
      <c r="M157" s="84"/>
    </row>
    <row r="158" spans="8:13" x14ac:dyDescent="0.25">
      <c r="H158" s="114"/>
      <c r="K158" s="115" t="str">
        <f>IF(B158="","Pending",IF(M158="","⚠️ Enter Code",IF(IFERROR(VLOOKUP(L158,DB_Agents!$B:$I,8,0),"")=M158,"Pending","🔒 BLOCKED — Wrong Code")))</f>
        <v>Pending</v>
      </c>
      <c r="M158" s="84"/>
    </row>
    <row r="159" spans="8:13" x14ac:dyDescent="0.25">
      <c r="H159" s="114"/>
      <c r="K159" s="15" t="str">
        <f>IF(B159="","Pending",IF(M159="","⚠️ Enter Code",IF(IFERROR(VLOOKUP(L159,DB_Agents!$B:$I,8,0),"")=M159,"Pending","🔒 BLOCKED — Wrong Code")))</f>
        <v>Pending</v>
      </c>
      <c r="M159" s="84"/>
    </row>
    <row r="160" spans="8:13" x14ac:dyDescent="0.25">
      <c r="H160" s="114"/>
      <c r="K160" s="115" t="str">
        <f>IF(B160="","Pending",IF(M160="","⚠️ Enter Code",IF(IFERROR(VLOOKUP(L160,DB_Agents!$B:$I,8,0),"")=M160,"Pending","🔒 BLOCKED — Wrong Code")))</f>
        <v>Pending</v>
      </c>
      <c r="M160" s="84"/>
    </row>
    <row r="161" spans="8:13" x14ac:dyDescent="0.25">
      <c r="H161" s="114"/>
      <c r="K161" s="15" t="str">
        <f>IF(B161="","Pending",IF(M161="","⚠️ Enter Code",IF(IFERROR(VLOOKUP(L161,DB_Agents!$B:$I,8,0),"")=M161,"Pending","🔒 BLOCKED — Wrong Code")))</f>
        <v>Pending</v>
      </c>
      <c r="M161" s="84"/>
    </row>
    <row r="162" spans="8:13" x14ac:dyDescent="0.25">
      <c r="H162" s="114"/>
      <c r="K162" s="115" t="str">
        <f>IF(B162="","Pending",IF(M162="","⚠️ Enter Code",IF(IFERROR(VLOOKUP(L162,DB_Agents!$B:$I,8,0),"")=M162,"Pending","🔒 BLOCKED — Wrong Code")))</f>
        <v>Pending</v>
      </c>
      <c r="M162" s="84"/>
    </row>
    <row r="163" spans="8:13" x14ac:dyDescent="0.25">
      <c r="H163" s="114"/>
      <c r="K163" s="15" t="str">
        <f>IF(B163="","Pending",IF(M163="","⚠️ Enter Code",IF(IFERROR(VLOOKUP(L163,DB_Agents!$B:$I,8,0),"")=M163,"Pending","🔒 BLOCKED — Wrong Code")))</f>
        <v>Pending</v>
      </c>
      <c r="M163" s="84"/>
    </row>
    <row r="164" spans="8:13" x14ac:dyDescent="0.25">
      <c r="H164" s="114"/>
      <c r="K164" s="115" t="str">
        <f>IF(B164="","Pending",IF(M164="","⚠️ Enter Code",IF(IFERROR(VLOOKUP(L164,DB_Agents!$B:$I,8,0),"")=M164,"Pending","🔒 BLOCKED — Wrong Code")))</f>
        <v>Pending</v>
      </c>
      <c r="M164" s="84"/>
    </row>
    <row r="165" spans="8:13" x14ac:dyDescent="0.25">
      <c r="H165" s="114"/>
      <c r="K165" s="15" t="str">
        <f>IF(B165="","Pending",IF(M165="","⚠️ Enter Code",IF(IFERROR(VLOOKUP(L165,DB_Agents!$B:$I,8,0),"")=M165,"Pending","🔒 BLOCKED — Wrong Code")))</f>
        <v>Pending</v>
      </c>
      <c r="M165" s="84"/>
    </row>
    <row r="166" spans="8:13" x14ac:dyDescent="0.25">
      <c r="H166" s="114"/>
      <c r="K166" s="115" t="str">
        <f>IF(B166="","Pending",IF(M166="","⚠️ Enter Code",IF(IFERROR(VLOOKUP(L166,DB_Agents!$B:$I,8,0),"")=M166,"Pending","🔒 BLOCKED — Wrong Code")))</f>
        <v>Pending</v>
      </c>
      <c r="M166" s="84"/>
    </row>
    <row r="167" spans="8:13" x14ac:dyDescent="0.25">
      <c r="H167" s="114"/>
      <c r="K167" s="15" t="str">
        <f>IF(B167="","Pending",IF(M167="","⚠️ Enter Code",IF(IFERROR(VLOOKUP(L167,DB_Agents!$B:$I,8,0),"")=M167,"Pending","🔒 BLOCKED — Wrong Code")))</f>
        <v>Pending</v>
      </c>
      <c r="M167" s="84"/>
    </row>
    <row r="168" spans="8:13" x14ac:dyDescent="0.25">
      <c r="H168" s="114"/>
      <c r="K168" s="115" t="str">
        <f>IF(B168="","Pending",IF(M168="","⚠️ Enter Code",IF(IFERROR(VLOOKUP(L168,DB_Agents!$B:$I,8,0),"")=M168,"Pending","🔒 BLOCKED — Wrong Code")))</f>
        <v>Pending</v>
      </c>
      <c r="M168" s="84"/>
    </row>
    <row r="169" spans="8:13" x14ac:dyDescent="0.25">
      <c r="H169" s="114"/>
      <c r="K169" s="15" t="str">
        <f>IF(B169="","Pending",IF(M169="","⚠️ Enter Code",IF(IFERROR(VLOOKUP(L169,DB_Agents!$B:$I,8,0),"")=M169,"Pending","🔒 BLOCKED — Wrong Code")))</f>
        <v>Pending</v>
      </c>
      <c r="M169" s="84"/>
    </row>
    <row r="170" spans="8:13" x14ac:dyDescent="0.25">
      <c r="H170" s="114"/>
      <c r="K170" s="115" t="str">
        <f>IF(B170="","Pending",IF(M170="","⚠️ Enter Code",IF(IFERROR(VLOOKUP(L170,DB_Agents!$B:$I,8,0),"")=M170,"Pending","🔒 BLOCKED — Wrong Code")))</f>
        <v>Pending</v>
      </c>
      <c r="M170" s="84"/>
    </row>
    <row r="171" spans="8:13" x14ac:dyDescent="0.25">
      <c r="H171" s="114"/>
      <c r="K171" s="15" t="str">
        <f>IF(B171="","Pending",IF(M171="","⚠️ Enter Code",IF(IFERROR(VLOOKUP(L171,DB_Agents!$B:$I,8,0),"")=M171,"Pending","🔒 BLOCKED — Wrong Code")))</f>
        <v>Pending</v>
      </c>
      <c r="M171" s="84"/>
    </row>
    <row r="172" spans="8:13" x14ac:dyDescent="0.25">
      <c r="H172" s="114"/>
      <c r="K172" s="115" t="str">
        <f>IF(B172="","Pending",IF(M172="","⚠️ Enter Code",IF(IFERROR(VLOOKUP(L172,DB_Agents!$B:$I,8,0),"")=M172,"Pending","🔒 BLOCKED — Wrong Code")))</f>
        <v>Pending</v>
      </c>
      <c r="M172" s="84"/>
    </row>
    <row r="173" spans="8:13" x14ac:dyDescent="0.25">
      <c r="H173" s="114"/>
      <c r="K173" s="15" t="str">
        <f>IF(B173="","Pending",IF(M173="","⚠️ Enter Code",IF(IFERROR(VLOOKUP(L173,DB_Agents!$B:$I,8,0),"")=M173,"Pending","🔒 BLOCKED — Wrong Code")))</f>
        <v>Pending</v>
      </c>
      <c r="M173" s="84"/>
    </row>
    <row r="174" spans="8:13" x14ac:dyDescent="0.25">
      <c r="H174" s="114"/>
      <c r="K174" s="115" t="str">
        <f>IF(B174="","Pending",IF(M174="","⚠️ Enter Code",IF(IFERROR(VLOOKUP(L174,DB_Agents!$B:$I,8,0),"")=M174,"Pending","🔒 BLOCKED — Wrong Code")))</f>
        <v>Pending</v>
      </c>
      <c r="M174" s="84"/>
    </row>
    <row r="175" spans="8:13" x14ac:dyDescent="0.25">
      <c r="H175" s="114"/>
      <c r="K175" s="15" t="str">
        <f>IF(B175="","Pending",IF(M175="","⚠️ Enter Code",IF(IFERROR(VLOOKUP(L175,DB_Agents!$B:$I,8,0),"")=M175,"Pending","🔒 BLOCKED — Wrong Code")))</f>
        <v>Pending</v>
      </c>
      <c r="M175" s="84"/>
    </row>
    <row r="176" spans="8:13" x14ac:dyDescent="0.25">
      <c r="H176" s="114"/>
      <c r="K176" s="115" t="str">
        <f>IF(B176="","Pending",IF(M176="","⚠️ Enter Code",IF(IFERROR(VLOOKUP(L176,DB_Agents!$B:$I,8,0),"")=M176,"Pending","🔒 BLOCKED — Wrong Code")))</f>
        <v>Pending</v>
      </c>
      <c r="M176" s="84"/>
    </row>
    <row r="177" spans="8:13" x14ac:dyDescent="0.25">
      <c r="H177" s="114"/>
      <c r="K177" s="15" t="str">
        <f>IF(B177="","Pending",IF(M177="","⚠️ Enter Code",IF(IFERROR(VLOOKUP(L177,DB_Agents!$B:$I,8,0),"")=M177,"Pending","🔒 BLOCKED — Wrong Code")))</f>
        <v>Pending</v>
      </c>
      <c r="M177" s="84"/>
    </row>
    <row r="178" spans="8:13" x14ac:dyDescent="0.25">
      <c r="H178" s="114"/>
      <c r="K178" s="115" t="str">
        <f>IF(B178="","Pending",IF(M178="","⚠️ Enter Code",IF(IFERROR(VLOOKUP(L178,DB_Agents!$B:$I,8,0),"")=M178,"Pending","🔒 BLOCKED — Wrong Code")))</f>
        <v>Pending</v>
      </c>
      <c r="M178" s="84"/>
    </row>
    <row r="179" spans="8:13" x14ac:dyDescent="0.25">
      <c r="H179" s="114"/>
      <c r="K179" s="15" t="str">
        <f>IF(B179="","Pending",IF(M179="","⚠️ Enter Code",IF(IFERROR(VLOOKUP(L179,DB_Agents!$B:$I,8,0),"")=M179,"Pending","🔒 BLOCKED — Wrong Code")))</f>
        <v>Pending</v>
      </c>
      <c r="M179" s="84"/>
    </row>
    <row r="180" spans="8:13" x14ac:dyDescent="0.25">
      <c r="H180" s="114"/>
      <c r="K180" s="115" t="str">
        <f>IF(B180="","Pending",IF(M180="","⚠️ Enter Code",IF(IFERROR(VLOOKUP(L180,DB_Agents!$B:$I,8,0),"")=M180,"Pending","🔒 BLOCKED — Wrong Code")))</f>
        <v>Pending</v>
      </c>
      <c r="M180" s="84"/>
    </row>
    <row r="181" spans="8:13" x14ac:dyDescent="0.25">
      <c r="H181" s="114"/>
      <c r="K181" s="15" t="str">
        <f>IF(B181="","Pending",IF(M181="","⚠️ Enter Code",IF(IFERROR(VLOOKUP(L181,DB_Agents!$B:$I,8,0),"")=M181,"Pending","🔒 BLOCKED — Wrong Code")))</f>
        <v>Pending</v>
      </c>
      <c r="M181" s="84"/>
    </row>
    <row r="182" spans="8:13" x14ac:dyDescent="0.25">
      <c r="H182" s="114"/>
      <c r="K182" s="115" t="str">
        <f>IF(B182="","Pending",IF(M182="","⚠️ Enter Code",IF(IFERROR(VLOOKUP(L182,DB_Agents!$B:$I,8,0),"")=M182,"Pending","🔒 BLOCKED — Wrong Code")))</f>
        <v>Pending</v>
      </c>
      <c r="M182" s="84"/>
    </row>
    <row r="183" spans="8:13" x14ac:dyDescent="0.25">
      <c r="H183" s="114"/>
      <c r="K183" s="15" t="str">
        <f>IF(B183="","Pending",IF(M183="","⚠️ Enter Code",IF(IFERROR(VLOOKUP(L183,DB_Agents!$B:$I,8,0),"")=M183,"Pending","🔒 BLOCKED — Wrong Code")))</f>
        <v>Pending</v>
      </c>
      <c r="M183" s="84"/>
    </row>
    <row r="184" spans="8:13" x14ac:dyDescent="0.25">
      <c r="H184" s="114"/>
      <c r="K184" s="115" t="str">
        <f>IF(B184="","Pending",IF(M184="","⚠️ Enter Code",IF(IFERROR(VLOOKUP(L184,DB_Agents!$B:$I,8,0),"")=M184,"Pending","🔒 BLOCKED — Wrong Code")))</f>
        <v>Pending</v>
      </c>
      <c r="M184" s="84"/>
    </row>
    <row r="185" spans="8:13" x14ac:dyDescent="0.25">
      <c r="H185" s="114"/>
      <c r="K185" s="15" t="str">
        <f>IF(B185="","Pending",IF(M185="","⚠️ Enter Code",IF(IFERROR(VLOOKUP(L185,DB_Agents!$B:$I,8,0),"")=M185,"Pending","🔒 BLOCKED — Wrong Code")))</f>
        <v>Pending</v>
      </c>
      <c r="M185" s="84"/>
    </row>
    <row r="186" spans="8:13" x14ac:dyDescent="0.25">
      <c r="H186" s="114"/>
      <c r="K186" s="115" t="str">
        <f>IF(B186="","Pending",IF(M186="","⚠️ Enter Code",IF(IFERROR(VLOOKUP(L186,DB_Agents!$B:$I,8,0),"")=M186,"Pending","🔒 BLOCKED — Wrong Code")))</f>
        <v>Pending</v>
      </c>
      <c r="M186" s="84"/>
    </row>
    <row r="187" spans="8:13" x14ac:dyDescent="0.25">
      <c r="H187" s="114"/>
      <c r="K187" s="15" t="str">
        <f>IF(B187="","Pending",IF(M187="","⚠️ Enter Code",IF(IFERROR(VLOOKUP(L187,DB_Agents!$B:$I,8,0),"")=M187,"Pending","🔒 BLOCKED — Wrong Code")))</f>
        <v>Pending</v>
      </c>
      <c r="M187" s="84"/>
    </row>
    <row r="188" spans="8:13" x14ac:dyDescent="0.25">
      <c r="H188" s="114"/>
      <c r="K188" s="115" t="str">
        <f>IF(B188="","Pending",IF(M188="","⚠️ Enter Code",IF(IFERROR(VLOOKUP(L188,DB_Agents!$B:$I,8,0),"")=M188,"Pending","🔒 BLOCKED — Wrong Code")))</f>
        <v>Pending</v>
      </c>
      <c r="M188" s="84"/>
    </row>
    <row r="189" spans="8:13" x14ac:dyDescent="0.25">
      <c r="H189" s="114"/>
      <c r="K189" s="15" t="str">
        <f>IF(B189="","Pending",IF(M189="","⚠️ Enter Code",IF(IFERROR(VLOOKUP(L189,DB_Agents!$B:$I,8,0),"")=M189,"Pending","🔒 BLOCKED — Wrong Code")))</f>
        <v>Pending</v>
      </c>
      <c r="M189" s="84"/>
    </row>
    <row r="190" spans="8:13" x14ac:dyDescent="0.25">
      <c r="H190" s="114"/>
      <c r="K190" s="115" t="str">
        <f>IF(B190="","Pending",IF(M190="","⚠️ Enter Code",IF(IFERROR(VLOOKUP(L190,DB_Agents!$B:$I,8,0),"")=M190,"Pending","🔒 BLOCKED — Wrong Code")))</f>
        <v>Pending</v>
      </c>
      <c r="M190" s="84"/>
    </row>
    <row r="191" spans="8:13" x14ac:dyDescent="0.25">
      <c r="H191" s="114"/>
      <c r="K191" s="15" t="str">
        <f>IF(B191="","Pending",IF(M191="","⚠️ Enter Code",IF(IFERROR(VLOOKUP(L191,DB_Agents!$B:$I,8,0),"")=M191,"Pending","🔒 BLOCKED — Wrong Code")))</f>
        <v>Pending</v>
      </c>
      <c r="M191" s="84"/>
    </row>
    <row r="192" spans="8:13" x14ac:dyDescent="0.25">
      <c r="H192" s="114"/>
      <c r="K192" s="115" t="str">
        <f>IF(B192="","Pending",IF(M192="","⚠️ Enter Code",IF(IFERROR(VLOOKUP(L192,DB_Agents!$B:$I,8,0),"")=M192,"Pending","🔒 BLOCKED — Wrong Code")))</f>
        <v>Pending</v>
      </c>
      <c r="M192" s="84"/>
    </row>
    <row r="193" spans="8:13" x14ac:dyDescent="0.25">
      <c r="H193" s="114"/>
      <c r="K193" s="15" t="str">
        <f>IF(B193="","Pending",IF(M193="","⚠️ Enter Code",IF(IFERROR(VLOOKUP(L193,DB_Agents!$B:$I,8,0),"")=M193,"Pending","🔒 BLOCKED — Wrong Code")))</f>
        <v>Pending</v>
      </c>
      <c r="M193" s="84"/>
    </row>
    <row r="194" spans="8:13" x14ac:dyDescent="0.25">
      <c r="H194" s="114"/>
      <c r="K194" s="115" t="str">
        <f>IF(B194="","Pending",IF(M194="","⚠️ Enter Code",IF(IFERROR(VLOOKUP(L194,DB_Agents!$B:$I,8,0),"")=M194,"Pending","🔒 BLOCKED — Wrong Code")))</f>
        <v>Pending</v>
      </c>
      <c r="M194" s="84"/>
    </row>
    <row r="195" spans="8:13" x14ac:dyDescent="0.25">
      <c r="H195" s="114"/>
      <c r="K195" s="15" t="str">
        <f>IF(B195="","Pending",IF(M195="","⚠️ Enter Code",IF(IFERROR(VLOOKUP(L195,DB_Agents!$B:$I,8,0),"")=M195,"Pending","🔒 BLOCKED — Wrong Code")))</f>
        <v>Pending</v>
      </c>
      <c r="M195" s="84"/>
    </row>
    <row r="196" spans="8:13" x14ac:dyDescent="0.25">
      <c r="H196" s="114"/>
      <c r="K196" s="115" t="str">
        <f>IF(B196="","Pending",IF(M196="","⚠️ Enter Code",IF(IFERROR(VLOOKUP(L196,DB_Agents!$B:$I,8,0),"")=M196,"Pending","🔒 BLOCKED — Wrong Code")))</f>
        <v>Pending</v>
      </c>
      <c r="M196" s="84"/>
    </row>
    <row r="197" spans="8:13" x14ac:dyDescent="0.25">
      <c r="H197" s="114"/>
      <c r="K197" s="15" t="str">
        <f>IF(B197="","Pending",IF(M197="","⚠️ Enter Code",IF(IFERROR(VLOOKUP(L197,DB_Agents!$B:$I,8,0),"")=M197,"Pending","🔒 BLOCKED — Wrong Code")))</f>
        <v>Pending</v>
      </c>
      <c r="M197" s="84"/>
    </row>
    <row r="198" spans="8:13" x14ac:dyDescent="0.25">
      <c r="H198" s="114"/>
      <c r="K198" s="115" t="str">
        <f>IF(B198="","Pending",IF(M198="","⚠️ Enter Code",IF(IFERROR(VLOOKUP(L198,DB_Agents!$B:$I,8,0),"")=M198,"Pending","🔒 BLOCKED — Wrong Code")))</f>
        <v>Pending</v>
      </c>
      <c r="M198" s="84"/>
    </row>
    <row r="199" spans="8:13" x14ac:dyDescent="0.25">
      <c r="H199" s="114"/>
      <c r="K199" s="15" t="str">
        <f>IF(B199="","Pending",IF(M199="","⚠️ Enter Code",IF(IFERROR(VLOOKUP(L199,DB_Agents!$B:$I,8,0),"")=M199,"Pending","🔒 BLOCKED — Wrong Code")))</f>
        <v>Pending</v>
      </c>
      <c r="M199" s="84"/>
    </row>
    <row r="200" spans="8:13" x14ac:dyDescent="0.25">
      <c r="H200" s="114"/>
      <c r="K200" s="115" t="str">
        <f>IF(B200="","Pending",IF(M200="","⚠️ Enter Code",IF(IFERROR(VLOOKUP(L200,DB_Agents!$B:$I,8,0),"")=M200,"Pending","🔒 BLOCKED — Wrong Code")))</f>
        <v>Pending</v>
      </c>
      <c r="M200" s="84"/>
    </row>
    <row r="201" spans="8:13" x14ac:dyDescent="0.25">
      <c r="K201" s="15" t="str">
        <f>IF(B201="","Pending",IF(M201="","⚠️ Enter Code",IF(IFERROR(VLOOKUP(L201,DB_Agents!$B:$I,8,0),"")=M201,"Pending","🔒 BLOCKED — Wrong Code")))</f>
        <v>Pending</v>
      </c>
      <c r="M201" s="84"/>
    </row>
    <row r="202" spans="8:13" x14ac:dyDescent="0.25">
      <c r="K202" s="115" t="str">
        <f>IF(B202="","Pending",IF(M202="","⚠️ Enter Code",IF(IFERROR(VLOOKUP(L202,DB_Agents!$B:$I,8,0),"")=M202,"Pending","🔒 BLOCKED — Wrong Code")))</f>
        <v>Pending</v>
      </c>
      <c r="M202" s="84"/>
    </row>
    <row r="203" spans="8:13" x14ac:dyDescent="0.25">
      <c r="K203" s="15" t="str">
        <f>IF(B203="","Pending",IF(M203="","⚠️ Enter Code",IF(IFERROR(VLOOKUP(L203,DB_Agents!$B:$I,8,0),"")=M203,"Pending","🔒 BLOCKED — Wrong Code")))</f>
        <v>Pending</v>
      </c>
      <c r="M203" s="84"/>
    </row>
    <row r="204" spans="8:13" x14ac:dyDescent="0.25">
      <c r="K204" s="115" t="str">
        <f>IF(B204="","Pending",IF(M204="","⚠️ Enter Code",IF(IFERROR(VLOOKUP(L204,DB_Agents!$B:$I,8,0),"")=M204,"Pending","🔒 BLOCKED — Wrong Code")))</f>
        <v>Pending</v>
      </c>
      <c r="M204" s="84"/>
    </row>
    <row r="205" spans="8:13" x14ac:dyDescent="0.25">
      <c r="K205" s="15" t="str">
        <f>IF(B205="","Pending",IF(M205="","⚠️ Enter Code",IF(IFERROR(VLOOKUP(L205,DB_Agents!$B:$I,8,0),"")=M205,"Pending","🔒 BLOCKED — Wrong Code")))</f>
        <v>Pending</v>
      </c>
      <c r="M205" s="84"/>
    </row>
    <row r="206" spans="8:13" x14ac:dyDescent="0.25">
      <c r="K206" s="115" t="str">
        <f>IF(B206="","Pending",IF(M206="","⚠️ Enter Code",IF(IFERROR(VLOOKUP(L206,DB_Agents!$B:$I,8,0),"")=M206,"Pending","🔒 BLOCKED — Wrong Code")))</f>
        <v>Pending</v>
      </c>
      <c r="M206" s="84"/>
    </row>
    <row r="207" spans="8:13" x14ac:dyDescent="0.25">
      <c r="K207" s="15" t="str">
        <f>IF(B207="","Pending",IF(M207="","⚠️ Enter Code",IF(IFERROR(VLOOKUP(L207,DB_Agents!$B:$I,8,0),"")=M207,"Pending","🔒 BLOCKED — Wrong Code")))</f>
        <v>Pending</v>
      </c>
      <c r="M207" s="84"/>
    </row>
    <row r="208" spans="8:13" x14ac:dyDescent="0.25">
      <c r="K208" s="115" t="str">
        <f>IF(B208="","Pending",IF(M208="","⚠️ Enter Code",IF(IFERROR(VLOOKUP(L208,DB_Agents!$B:$I,8,0),"")=M208,"Pending","🔒 BLOCKED — Wrong Code")))</f>
        <v>Pending</v>
      </c>
      <c r="M208" s="84"/>
    </row>
    <row r="209" spans="11:13" x14ac:dyDescent="0.25">
      <c r="K209" s="15" t="str">
        <f>IF(B209="","Pending",IF(M209="","⚠️ Enter Code",IF(IFERROR(VLOOKUP(L209,DB_Agents!$B:$I,8,0),"")=M209,"Pending","🔒 BLOCKED — Wrong Code")))</f>
        <v>Pending</v>
      </c>
      <c r="M209" s="84"/>
    </row>
    <row r="210" spans="11:13" x14ac:dyDescent="0.25">
      <c r="K210" s="115" t="str">
        <f>IF(B210="","Pending",IF(M210="","⚠️ Enter Code",IF(IFERROR(VLOOKUP(L210,DB_Agents!$B:$I,8,0),"")=M210,"Pending","🔒 BLOCKED — Wrong Code")))</f>
        <v>Pending</v>
      </c>
      <c r="M210" s="84"/>
    </row>
    <row r="211" spans="11:13" x14ac:dyDescent="0.25">
      <c r="K211" s="15" t="str">
        <f>IF(B211="","Pending",IF(M211="","⚠️ Enter Code",IF(IFERROR(VLOOKUP(L211,DB_Agents!$B:$I,8,0),"")=M211,"Pending","🔒 BLOCKED — Wrong Code")))</f>
        <v>Pending</v>
      </c>
      <c r="M211" s="84"/>
    </row>
    <row r="212" spans="11:13" x14ac:dyDescent="0.25">
      <c r="K212" s="115" t="str">
        <f>IF(B212="","Pending",IF(M212="","⚠️ Enter Code",IF(IFERROR(VLOOKUP(L212,DB_Agents!$B:$I,8,0),"")=M212,"Pending","🔒 BLOCKED — Wrong Code")))</f>
        <v>Pending</v>
      </c>
      <c r="M212" s="84"/>
    </row>
    <row r="213" spans="11:13" x14ac:dyDescent="0.25">
      <c r="K213" s="15" t="str">
        <f>IF(B213="","Pending",IF(M213="","⚠️ Enter Code",IF(IFERROR(VLOOKUP(L213,DB_Agents!$B:$I,8,0),"")=M213,"Pending","🔒 BLOCKED — Wrong Code")))</f>
        <v>Pending</v>
      </c>
      <c r="M213" s="84"/>
    </row>
  </sheetData>
  <mergeCells count="10">
    <mergeCell ref="B7:D7"/>
    <mergeCell ref="B8:D8"/>
    <mergeCell ref="B9:D9"/>
    <mergeCell ref="B10:D10"/>
    <mergeCell ref="A12:N12"/>
    <mergeCell ref="A1:N1"/>
    <mergeCell ref="A2:N2"/>
    <mergeCell ref="A4:D4"/>
    <mergeCell ref="B5:D5"/>
    <mergeCell ref="B6:D6"/>
  </mergeCells>
  <conditionalFormatting sqref="K14:K113">
    <cfRule type="cellIs" dxfId="35" priority="2" operator="equal">
      <formula>"Approved"</formula>
    </cfRule>
    <cfRule type="cellIs" dxfId="34" priority="3" operator="equal">
      <formula>"Pending"</formula>
    </cfRule>
    <cfRule type="cellIs" dxfId="33" priority="4" operator="equal">
      <formula>"Rejected"</formula>
    </cfRule>
  </conditionalFormatting>
  <dataValidations count="2">
    <dataValidation type="whole" showErrorMessage="1" error="Enter 1-36 months" sqref="G14:G113" xr:uid="{00000000-0002-0000-1900-000000000000}">
      <formula1>1</formula1>
      <formula2>36</formula2>
    </dataValidation>
    <dataValidation type="list" sqref="L14:L113" xr:uid="{00000000-0002-0000-19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tabColor rgb="FF27AE60"/>
  </sheetPr>
  <dimension ref="A1:L208"/>
  <sheetViews>
    <sheetView zoomScaleNormal="100" workbookViewId="0">
      <pane ySplit="8" topLeftCell="A9" activePane="bottomLeft" state="frozen"/>
      <selection pane="bottomLeft"/>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2" customWidth="1"/>
    <col min="8" max="8" width="14" customWidth="1"/>
    <col min="9" max="10" width="22" customWidth="1"/>
  </cols>
  <sheetData>
    <row r="1" spans="1:12" ht="31.5" customHeight="1" x14ac:dyDescent="0.25">
      <c r="A1" s="14" t="s">
        <v>225</v>
      </c>
      <c r="B1" s="14"/>
      <c r="C1" s="14"/>
      <c r="D1" s="14"/>
      <c r="E1" s="14"/>
      <c r="F1" s="14"/>
      <c r="G1" s="14"/>
      <c r="H1" s="14"/>
      <c r="I1" s="14"/>
      <c r="J1" s="14"/>
      <c r="K1" s="14"/>
      <c r="L1" s="14"/>
    </row>
    <row r="2" spans="1:12" ht="19.5" customHeight="1" x14ac:dyDescent="0.25">
      <c r="A2" s="204" t="s">
        <v>226</v>
      </c>
      <c r="B2" s="204"/>
      <c r="C2" s="204"/>
      <c r="D2" s="204"/>
      <c r="E2" s="204"/>
      <c r="F2" s="204"/>
      <c r="G2" s="204"/>
      <c r="H2" s="204"/>
      <c r="I2" s="204"/>
      <c r="J2" s="204"/>
      <c r="K2" s="204"/>
      <c r="L2" s="204"/>
    </row>
    <row r="3" spans="1:12" ht="18" customHeight="1" x14ac:dyDescent="0.25">
      <c r="A3" s="177" t="s">
        <v>167</v>
      </c>
      <c r="B3" s="177"/>
      <c r="C3" s="177"/>
      <c r="D3" s="180" t="s">
        <v>168</v>
      </c>
      <c r="E3" s="180"/>
      <c r="F3" s="180"/>
      <c r="G3" s="154" t="s">
        <v>169</v>
      </c>
      <c r="H3" s="154"/>
      <c r="I3" s="154"/>
      <c r="J3" s="2"/>
      <c r="K3" s="2"/>
      <c r="L3" s="2"/>
    </row>
    <row r="4" spans="1:12" ht="27.75" customHeight="1" x14ac:dyDescent="0.25">
      <c r="A4" s="205">
        <f ca="1">SUMIFS(DB_Savings!$F:$F,DB_Savings!$G:$G,"Agent 08",DB_Savings!$E:$E,TODAY())</f>
        <v>0</v>
      </c>
      <c r="B4" s="205"/>
      <c r="C4" s="205"/>
      <c r="D4" s="206">
        <f ca="1">COUNTIFS(DB_Savings!$G:$G,"Agent 08",DB_Savings!$E:$E,TODAY())</f>
        <v>0</v>
      </c>
      <c r="E4" s="206"/>
      <c r="F4" s="206"/>
      <c r="G4" s="207" t="str">
        <f ca="1">TEXT(TODAY(),"DDDD, DD MMMM YYYY")</f>
        <v>Sunday, 19 April 2026</v>
      </c>
      <c r="H4" s="207"/>
      <c r="I4" s="207"/>
      <c r="J4" s="2"/>
      <c r="K4" s="2"/>
      <c r="L4" s="2"/>
    </row>
    <row r="5" spans="1:12" ht="21.75" customHeight="1" x14ac:dyDescent="0.25">
      <c r="A5" s="208" t="str">
        <f ca="1">IF(SUMIFS(DB_Savings!$F:$F,DB_Savings!$G:$G,"Agent 08",DB_Savings!$E:$E,TODAY())&gt;=J4,"✅ DAILY TARGET ACHIEVED! Well done Agent 08!","⏳ Collection in progress — Keep going! Remaining: GHC "&amp;TEXT(J4-SUMIFS(DB_Savings!$F:$F,DB_Savings!$G:$G,"Agent 08",DB_Savings!$E:$E,TODAY()),"#,##0.00"))</f>
        <v>✅ DAILY TARGET ACHIEVED! Well done Agent 08!</v>
      </c>
      <c r="B5" s="208"/>
      <c r="C5" s="208"/>
      <c r="D5" s="208"/>
      <c r="E5" s="208"/>
      <c r="F5" s="208"/>
      <c r="G5" s="208"/>
      <c r="H5" s="208"/>
      <c r="I5" s="208"/>
      <c r="J5" s="208"/>
      <c r="K5" s="208"/>
      <c r="L5" s="208"/>
    </row>
    <row r="6" spans="1:12" ht="7.5" customHeight="1" x14ac:dyDescent="0.25"/>
    <row r="7" spans="1:12" ht="19.5" customHeight="1" x14ac:dyDescent="0.25">
      <c r="A7" s="209" t="s">
        <v>170</v>
      </c>
      <c r="B7" s="209"/>
      <c r="C7" s="209"/>
      <c r="D7" s="209"/>
      <c r="E7" s="209"/>
      <c r="F7" s="209"/>
      <c r="G7" s="209"/>
      <c r="H7" s="209"/>
      <c r="I7" s="209"/>
      <c r="J7" s="209"/>
      <c r="K7" s="209"/>
      <c r="L7" s="209"/>
    </row>
    <row r="8" spans="1:12" ht="19.5" customHeight="1" x14ac:dyDescent="0.25">
      <c r="A8" s="20" t="s">
        <v>171</v>
      </c>
      <c r="B8" s="20" t="s">
        <v>118</v>
      </c>
      <c r="C8" s="20" t="s">
        <v>172</v>
      </c>
      <c r="D8" s="20" t="s">
        <v>111</v>
      </c>
      <c r="E8" s="20" t="s">
        <v>173</v>
      </c>
      <c r="F8" s="20" t="s">
        <v>174</v>
      </c>
      <c r="G8" s="20" t="s">
        <v>32</v>
      </c>
      <c r="H8" s="78" t="s">
        <v>175</v>
      </c>
      <c r="I8" s="20" t="s">
        <v>155</v>
      </c>
      <c r="J8" s="20" t="s">
        <v>176</v>
      </c>
      <c r="K8" s="20" t="s">
        <v>177</v>
      </c>
    </row>
    <row r="9" spans="1:12" x14ac:dyDescent="0.25">
      <c r="A9" s="79"/>
      <c r="B9" s="21" t="str">
        <f>IF(A9="","",IFERROR(VLOOKUP(A9,DB_Customers!$A:$D,4,0),"❌ Account Not Found"))</f>
        <v/>
      </c>
      <c r="C9" s="80" t="str">
        <f>IF(A9="","",IFERROR(VLOOKUP(A9,DB_Customers!$A:$N,14,0),""))</f>
        <v/>
      </c>
      <c r="D9" s="81" t="str">
        <f t="shared" ref="D9:D40" ca="1" si="0">IF(A9="","",TODAY())</f>
        <v/>
      </c>
      <c r="E9" s="82"/>
      <c r="F9" s="83" t="str">
        <f t="shared" ref="F9:F40" si="1">IF(OR(A9="",E9=""),"",IF(C9="","",C9+E9))</f>
        <v/>
      </c>
      <c r="G9" s="23" t="s">
        <v>48</v>
      </c>
      <c r="H9" s="84"/>
      <c r="I9" s="85" t="str">
        <f>IF(A9="","Pending",IF(H9="","⚠️ Enter Code",IF(IFERROR(VLOOKUP(G9,DB_Agents!$B:$I,8,0),"")=H9,IF(AND(A9&lt;&gt;"",E9&lt;&gt;""),"Saved","Pending"),"🔒 BLOCKED — Wrong Code")))</f>
        <v>Pending</v>
      </c>
      <c r="J9" s="86" t="str">
        <f t="shared" ref="J9:J40" ca="1" si="2">IF(I9="Saved",TEXT(TODAY(),"YYYY-MM-DD")&amp;" Auto","—")</f>
        <v>—</v>
      </c>
      <c r="K9" s="87"/>
    </row>
    <row r="10" spans="1:12" x14ac:dyDescent="0.25">
      <c r="A10" s="88"/>
      <c r="B10" s="25" t="str">
        <f>IF(A10="","",IFERROR(VLOOKUP(A10,DB_Customers!$A:$D,4,0),"❌ Account Not Found"))</f>
        <v/>
      </c>
      <c r="C10" s="89" t="str">
        <f>IF(A10="","",IFERROR(VLOOKUP(A10,DB_Customers!$A:$N,14,0),""))</f>
        <v/>
      </c>
      <c r="D10" s="90" t="str">
        <f t="shared" ca="1" si="0"/>
        <v/>
      </c>
      <c r="E10" s="82"/>
      <c r="F10" s="91" t="str">
        <f t="shared" si="1"/>
        <v/>
      </c>
      <c r="G10" s="27" t="s">
        <v>48</v>
      </c>
      <c r="H10" s="84"/>
      <c r="I10" s="92" t="str">
        <f>IF(A10="","Pending",IF(H10="","⚠️ Enter Code",IF(IFERROR(VLOOKUP(G10,DB_Agents!$B:$I,8,0),"")=H10,IF(AND(A10&lt;&gt;"",E10&lt;&gt;""),"Saved","Pending"),"🔒 BLOCKED — Wrong Code")))</f>
        <v>Pending</v>
      </c>
      <c r="J10" s="93" t="str">
        <f t="shared" ca="1" si="2"/>
        <v>—</v>
      </c>
      <c r="K10" s="94"/>
    </row>
    <row r="11" spans="1:12" x14ac:dyDescent="0.25">
      <c r="A11" s="79"/>
      <c r="B11" s="21" t="str">
        <f>IF(A11="","",IFERROR(VLOOKUP(A11,DB_Customers!$A:$D,4,0),"❌ Account Not Found"))</f>
        <v/>
      </c>
      <c r="C11" s="80" t="str">
        <f>IF(A11="","",IFERROR(VLOOKUP(A11,DB_Customers!$A:$N,14,0),""))</f>
        <v/>
      </c>
      <c r="D11" s="81" t="str">
        <f t="shared" ca="1" si="0"/>
        <v/>
      </c>
      <c r="E11" s="82"/>
      <c r="F11" s="83" t="str">
        <f t="shared" si="1"/>
        <v/>
      </c>
      <c r="G11" s="23" t="s">
        <v>48</v>
      </c>
      <c r="H11" s="84"/>
      <c r="I11" s="85" t="str">
        <f>IF(A11="","Pending",IF(H11="","⚠️ Enter Code",IF(IFERROR(VLOOKUP(G11,DB_Agents!$B:$I,8,0),"")=H11,IF(AND(A11&lt;&gt;"",E11&lt;&gt;""),"Saved","Pending"),"🔒 BLOCKED — Wrong Code")))</f>
        <v>Pending</v>
      </c>
      <c r="J11" s="86" t="str">
        <f t="shared" ca="1" si="2"/>
        <v>—</v>
      </c>
      <c r="K11" s="87"/>
    </row>
    <row r="12" spans="1:12" x14ac:dyDescent="0.25">
      <c r="A12" s="88"/>
      <c r="B12" s="25" t="str">
        <f>IF(A12="","",IFERROR(VLOOKUP(A12,DB_Customers!$A:$D,4,0),"❌ Account Not Found"))</f>
        <v/>
      </c>
      <c r="C12" s="89" t="str">
        <f>IF(A12="","",IFERROR(VLOOKUP(A12,DB_Customers!$A:$N,14,0),""))</f>
        <v/>
      </c>
      <c r="D12" s="90" t="str">
        <f t="shared" ca="1" si="0"/>
        <v/>
      </c>
      <c r="E12" s="82"/>
      <c r="F12" s="91" t="str">
        <f t="shared" si="1"/>
        <v/>
      </c>
      <c r="G12" s="27" t="s">
        <v>48</v>
      </c>
      <c r="H12" s="84"/>
      <c r="I12" s="92" t="str">
        <f>IF(A12="","Pending",IF(H12="","⚠️ Enter Code",IF(IFERROR(VLOOKUP(G12,DB_Agents!$B:$I,8,0),"")=H12,IF(AND(A12&lt;&gt;"",E12&lt;&gt;""),"Saved","Pending"),"🔒 BLOCKED — Wrong Code")))</f>
        <v>Pending</v>
      </c>
      <c r="J12" s="93" t="str">
        <f t="shared" ca="1" si="2"/>
        <v>—</v>
      </c>
      <c r="K12" s="94"/>
    </row>
    <row r="13" spans="1:12" x14ac:dyDescent="0.25">
      <c r="A13" s="79"/>
      <c r="B13" s="21" t="str">
        <f>IF(A13="","",IFERROR(VLOOKUP(A13,DB_Customers!$A:$D,4,0),"❌ Account Not Found"))</f>
        <v/>
      </c>
      <c r="C13" s="80" t="str">
        <f>IF(A13="","",IFERROR(VLOOKUP(A13,DB_Customers!$A:$N,14,0),""))</f>
        <v/>
      </c>
      <c r="D13" s="81" t="str">
        <f t="shared" ca="1" si="0"/>
        <v/>
      </c>
      <c r="E13" s="82"/>
      <c r="F13" s="83" t="str">
        <f t="shared" si="1"/>
        <v/>
      </c>
      <c r="G13" s="23" t="s">
        <v>48</v>
      </c>
      <c r="H13" s="84"/>
      <c r="I13" s="85" t="str">
        <f>IF(A13="","Pending",IF(H13="","⚠️ Enter Code",IF(IFERROR(VLOOKUP(G13,DB_Agents!$B:$I,8,0),"")=H13,IF(AND(A13&lt;&gt;"",E13&lt;&gt;""),"Saved","Pending"),"🔒 BLOCKED — Wrong Code")))</f>
        <v>Pending</v>
      </c>
      <c r="J13" s="86" t="str">
        <f t="shared" ca="1" si="2"/>
        <v>—</v>
      </c>
      <c r="K13" s="87"/>
    </row>
    <row r="14" spans="1:12" x14ac:dyDescent="0.25">
      <c r="A14" s="88"/>
      <c r="B14" s="25" t="str">
        <f>IF(A14="","",IFERROR(VLOOKUP(A14,DB_Customers!$A:$D,4,0),"❌ Account Not Found"))</f>
        <v/>
      </c>
      <c r="C14" s="89" t="str">
        <f>IF(A14="","",IFERROR(VLOOKUP(A14,DB_Customers!$A:$N,14,0),""))</f>
        <v/>
      </c>
      <c r="D14" s="90" t="str">
        <f t="shared" ca="1" si="0"/>
        <v/>
      </c>
      <c r="E14" s="82"/>
      <c r="F14" s="91" t="str">
        <f t="shared" si="1"/>
        <v/>
      </c>
      <c r="G14" s="27"/>
      <c r="H14" s="84"/>
      <c r="I14" s="92" t="str">
        <f>IF(A14="","Pending",IF(H14="","⚠️ Enter Code",IF(IFERROR(VLOOKUP(G14,DB_Agents!$B:$I,8,0),"")=H14,IF(AND(A14&lt;&gt;"",E14&lt;&gt;""),"Saved","Pending"),"🔒 BLOCKED — Wrong Code")))</f>
        <v>Pending</v>
      </c>
      <c r="J14" s="93" t="str">
        <f t="shared" ca="1" si="2"/>
        <v>—</v>
      </c>
      <c r="K14" s="94"/>
    </row>
    <row r="15" spans="1:12" x14ac:dyDescent="0.25">
      <c r="A15" s="79"/>
      <c r="B15" s="21" t="str">
        <f>IF(A15="","",IFERROR(VLOOKUP(A15,DB_Customers!$A:$D,4,0),"❌ Account Not Found"))</f>
        <v/>
      </c>
      <c r="C15" s="80" t="str">
        <f>IF(A15="","",IFERROR(VLOOKUP(A15,DB_Customers!$A:$N,14,0),""))</f>
        <v/>
      </c>
      <c r="D15" s="81" t="str">
        <f t="shared" ca="1" si="0"/>
        <v/>
      </c>
      <c r="E15" s="82"/>
      <c r="F15" s="83" t="str">
        <f t="shared" si="1"/>
        <v/>
      </c>
      <c r="G15" s="23"/>
      <c r="H15" s="84"/>
      <c r="I15" s="85" t="str">
        <f>IF(A15="","Pending",IF(H15="","⚠️ Enter Code",IF(IFERROR(VLOOKUP(G15,DB_Agents!$B:$I,8,0),"")=H15,IF(AND(A15&lt;&gt;"",E15&lt;&gt;""),"Saved","Pending"),"🔒 BLOCKED — Wrong Code")))</f>
        <v>Pending</v>
      </c>
      <c r="J15" s="86" t="str">
        <f t="shared" ca="1" si="2"/>
        <v>—</v>
      </c>
      <c r="K15" s="87"/>
    </row>
    <row r="16" spans="1:12" x14ac:dyDescent="0.25">
      <c r="A16" s="88"/>
      <c r="B16" s="25" t="str">
        <f>IF(A16="","",IFERROR(VLOOKUP(A16,DB_Customers!$A:$D,4,0),"❌ Account Not Found"))</f>
        <v/>
      </c>
      <c r="C16" s="89" t="str">
        <f>IF(A16="","",IFERROR(VLOOKUP(A16,DB_Customers!$A:$N,14,0),""))</f>
        <v/>
      </c>
      <c r="D16" s="90" t="str">
        <f t="shared" ca="1" si="0"/>
        <v/>
      </c>
      <c r="E16" s="82"/>
      <c r="F16" s="91" t="str">
        <f t="shared" si="1"/>
        <v/>
      </c>
      <c r="G16" s="27"/>
      <c r="H16" s="84"/>
      <c r="I16" s="92" t="str">
        <f>IF(A16="","Pending",IF(H16="","⚠️ Enter Code",IF(IFERROR(VLOOKUP(G16,DB_Agents!$B:$I,8,0),"")=H16,IF(AND(A16&lt;&gt;"",E16&lt;&gt;""),"Saved","Pending"),"🔒 BLOCKED — Wrong Code")))</f>
        <v>Pending</v>
      </c>
      <c r="J16" s="93" t="str">
        <f t="shared" ca="1" si="2"/>
        <v>—</v>
      </c>
      <c r="K16" s="94"/>
    </row>
    <row r="17" spans="1:11" x14ac:dyDescent="0.25">
      <c r="A17" s="79"/>
      <c r="B17" s="21" t="str">
        <f>IF(A17="","",IFERROR(VLOOKUP(A17,DB_Customers!$A:$D,4,0),"❌ Account Not Found"))</f>
        <v/>
      </c>
      <c r="C17" s="80" t="str">
        <f>IF(A17="","",IFERROR(VLOOKUP(A17,DB_Customers!$A:$N,14,0),""))</f>
        <v/>
      </c>
      <c r="D17" s="81" t="str">
        <f t="shared" ca="1" si="0"/>
        <v/>
      </c>
      <c r="E17" s="82"/>
      <c r="F17" s="83" t="str">
        <f t="shared" si="1"/>
        <v/>
      </c>
      <c r="G17" s="23"/>
      <c r="H17" s="84"/>
      <c r="I17" s="85" t="str">
        <f>IF(A17="","Pending",IF(H17="","⚠️ Enter Code",IF(IFERROR(VLOOKUP(G17,DB_Agents!$B:$I,8,0),"")=H17,IF(AND(A17&lt;&gt;"",E17&lt;&gt;""),"Saved","Pending"),"🔒 BLOCKED — Wrong Code")))</f>
        <v>Pending</v>
      </c>
      <c r="J17" s="86" t="str">
        <f t="shared" ca="1" si="2"/>
        <v>—</v>
      </c>
      <c r="K17" s="87"/>
    </row>
    <row r="18" spans="1:11" x14ac:dyDescent="0.25">
      <c r="A18" s="88"/>
      <c r="B18" s="25" t="str">
        <f>IF(A18="","",IFERROR(VLOOKUP(A18,DB_Customers!$A:$D,4,0),"❌ Account Not Found"))</f>
        <v/>
      </c>
      <c r="C18" s="89" t="str">
        <f>IF(A18="","",IFERROR(VLOOKUP(A18,DB_Customers!$A:$N,14,0),""))</f>
        <v/>
      </c>
      <c r="D18" s="90" t="str">
        <f t="shared" ca="1" si="0"/>
        <v/>
      </c>
      <c r="E18" s="82"/>
      <c r="F18" s="91" t="str">
        <f t="shared" si="1"/>
        <v/>
      </c>
      <c r="G18" s="27"/>
      <c r="H18" s="84"/>
      <c r="I18" s="92" t="str">
        <f>IF(A18="","Pending",IF(H18="","⚠️ Enter Code",IF(IFERROR(VLOOKUP(G18,DB_Agents!$B:$I,8,0),"")=H18,IF(AND(A18&lt;&gt;"",E18&lt;&gt;""),"Saved","Pending"),"🔒 BLOCKED — Wrong Code")))</f>
        <v>Pending</v>
      </c>
      <c r="J18" s="93" t="str">
        <f t="shared" ca="1" si="2"/>
        <v>—</v>
      </c>
      <c r="K18" s="94"/>
    </row>
    <row r="19" spans="1:11" x14ac:dyDescent="0.25">
      <c r="A19" s="79"/>
      <c r="B19" s="21" t="str">
        <f>IF(A19="","",IFERROR(VLOOKUP(A19,DB_Customers!$A:$D,4,0),"❌ Account Not Found"))</f>
        <v/>
      </c>
      <c r="C19" s="80" t="str">
        <f>IF(A19="","",IFERROR(VLOOKUP(A19,DB_Customers!$A:$N,14,0),""))</f>
        <v/>
      </c>
      <c r="D19" s="81" t="str">
        <f t="shared" ca="1" si="0"/>
        <v/>
      </c>
      <c r="E19" s="82"/>
      <c r="F19" s="83" t="str">
        <f t="shared" si="1"/>
        <v/>
      </c>
      <c r="G19" s="23"/>
      <c r="H19" s="84"/>
      <c r="I19" s="85" t="str">
        <f>IF(A19="","Pending",IF(H19="","⚠️ Enter Code",IF(IFERROR(VLOOKUP(G19,DB_Agents!$B:$I,8,0),"")=H19,IF(AND(A19&lt;&gt;"",E19&lt;&gt;""),"Saved","Pending"),"🔒 BLOCKED — Wrong Code")))</f>
        <v>Pending</v>
      </c>
      <c r="J19" s="86" t="str">
        <f t="shared" ca="1" si="2"/>
        <v>—</v>
      </c>
      <c r="K19" s="87"/>
    </row>
    <row r="20" spans="1:11" x14ac:dyDescent="0.25">
      <c r="A20" s="88"/>
      <c r="B20" s="25" t="str">
        <f>IF(A20="","",IFERROR(VLOOKUP(A20,DB_Customers!$A:$D,4,0),"❌ Account Not Found"))</f>
        <v/>
      </c>
      <c r="C20" s="89" t="str">
        <f>IF(A20="","",IFERROR(VLOOKUP(A20,DB_Customers!$A:$N,14,0),""))</f>
        <v/>
      </c>
      <c r="D20" s="90" t="str">
        <f t="shared" ca="1" si="0"/>
        <v/>
      </c>
      <c r="E20" s="82"/>
      <c r="F20" s="91" t="str">
        <f t="shared" si="1"/>
        <v/>
      </c>
      <c r="G20" s="27"/>
      <c r="H20" s="84"/>
      <c r="I20" s="92" t="str">
        <f>IF(A20="","Pending",IF(H20="","⚠️ Enter Code",IF(IFERROR(VLOOKUP(G20,DB_Agents!$B:$I,8,0),"")=H20,IF(AND(A20&lt;&gt;"",E20&lt;&gt;""),"Saved","Pending"),"🔒 BLOCKED — Wrong Code")))</f>
        <v>Pending</v>
      </c>
      <c r="J20" s="93" t="str">
        <f t="shared" ca="1" si="2"/>
        <v>—</v>
      </c>
      <c r="K20" s="94"/>
    </row>
    <row r="21" spans="1:11" x14ac:dyDescent="0.25">
      <c r="A21" s="79"/>
      <c r="B21" s="21" t="str">
        <f>IF(A21="","",IFERROR(VLOOKUP(A21,DB_Customers!$A:$D,4,0),"❌ Account Not Found"))</f>
        <v/>
      </c>
      <c r="C21" s="80" t="str">
        <f>IF(A21="","",IFERROR(VLOOKUP(A21,DB_Customers!$A:$N,14,0),""))</f>
        <v/>
      </c>
      <c r="D21" s="81" t="str">
        <f t="shared" ca="1" si="0"/>
        <v/>
      </c>
      <c r="E21" s="82"/>
      <c r="F21" s="83" t="str">
        <f t="shared" si="1"/>
        <v/>
      </c>
      <c r="G21" s="23"/>
      <c r="H21" s="84"/>
      <c r="I21" s="85" t="str">
        <f>IF(A21="","Pending",IF(H21="","⚠️ Enter Code",IF(IFERROR(VLOOKUP(G21,DB_Agents!$B:$I,8,0),"")=H21,IF(AND(A21&lt;&gt;"",E21&lt;&gt;""),"Saved","Pending"),"🔒 BLOCKED — Wrong Code")))</f>
        <v>Pending</v>
      </c>
      <c r="J21" s="86" t="str">
        <f t="shared" ca="1" si="2"/>
        <v>—</v>
      </c>
      <c r="K21" s="87"/>
    </row>
    <row r="22" spans="1:11" x14ac:dyDescent="0.25">
      <c r="A22" s="88"/>
      <c r="B22" s="25" t="str">
        <f>IF(A22="","",IFERROR(VLOOKUP(A22,DB_Customers!$A:$D,4,0),"❌ Account Not Found"))</f>
        <v/>
      </c>
      <c r="C22" s="89" t="str">
        <f>IF(A22="","",IFERROR(VLOOKUP(A22,DB_Customers!$A:$N,14,0),""))</f>
        <v/>
      </c>
      <c r="D22" s="90" t="str">
        <f t="shared" ca="1" si="0"/>
        <v/>
      </c>
      <c r="E22" s="82"/>
      <c r="F22" s="91" t="str">
        <f t="shared" si="1"/>
        <v/>
      </c>
      <c r="G22" s="27"/>
      <c r="H22" s="84"/>
      <c r="I22" s="92" t="str">
        <f>IF(A22="","Pending",IF(H22="","⚠️ Enter Code",IF(IFERROR(VLOOKUP(G22,DB_Agents!$B:$I,8,0),"")=H22,IF(AND(A22&lt;&gt;"",E22&lt;&gt;""),"Saved","Pending"),"🔒 BLOCKED — Wrong Code")))</f>
        <v>Pending</v>
      </c>
      <c r="J22" s="93" t="str">
        <f t="shared" ca="1" si="2"/>
        <v>—</v>
      </c>
      <c r="K22" s="94"/>
    </row>
    <row r="23" spans="1:11" x14ac:dyDescent="0.25">
      <c r="A23" s="79"/>
      <c r="B23" s="21" t="str">
        <f>IF(A23="","",IFERROR(VLOOKUP(A23,DB_Customers!$A:$D,4,0),"❌ Account Not Found"))</f>
        <v/>
      </c>
      <c r="C23" s="80" t="str">
        <f>IF(A23="","",IFERROR(VLOOKUP(A23,DB_Customers!$A:$N,14,0),""))</f>
        <v/>
      </c>
      <c r="D23" s="81" t="str">
        <f t="shared" ca="1" si="0"/>
        <v/>
      </c>
      <c r="E23" s="82"/>
      <c r="F23" s="83" t="str">
        <f t="shared" si="1"/>
        <v/>
      </c>
      <c r="G23" s="23"/>
      <c r="H23" s="84"/>
      <c r="I23" s="85" t="str">
        <f>IF(A23="","Pending",IF(H23="","⚠️ Enter Code",IF(IFERROR(VLOOKUP(G23,DB_Agents!$B:$I,8,0),"")=H23,IF(AND(A23&lt;&gt;"",E23&lt;&gt;""),"Saved","Pending"),"🔒 BLOCKED — Wrong Code")))</f>
        <v>Pending</v>
      </c>
      <c r="J23" s="86" t="str">
        <f t="shared" ca="1" si="2"/>
        <v>—</v>
      </c>
      <c r="K23" s="87"/>
    </row>
    <row r="24" spans="1:11" x14ac:dyDescent="0.25">
      <c r="A24" s="88"/>
      <c r="B24" s="25" t="str">
        <f>IF(A24="","",IFERROR(VLOOKUP(A24,DB_Customers!$A:$D,4,0),"❌ Account Not Found"))</f>
        <v/>
      </c>
      <c r="C24" s="89" t="str">
        <f>IF(A24="","",IFERROR(VLOOKUP(A24,DB_Customers!$A:$N,14,0),""))</f>
        <v/>
      </c>
      <c r="D24" s="90" t="str">
        <f t="shared" ca="1" si="0"/>
        <v/>
      </c>
      <c r="E24" s="82"/>
      <c r="F24" s="91" t="str">
        <f t="shared" si="1"/>
        <v/>
      </c>
      <c r="G24" s="27"/>
      <c r="H24" s="84"/>
      <c r="I24" s="92" t="str">
        <f>IF(A24="","Pending",IF(H24="","⚠️ Enter Code",IF(IFERROR(VLOOKUP(G24,DB_Agents!$B:$I,8,0),"")=H24,IF(AND(A24&lt;&gt;"",E24&lt;&gt;""),"Saved","Pending"),"🔒 BLOCKED — Wrong Code")))</f>
        <v>Pending</v>
      </c>
      <c r="J24" s="93" t="str">
        <f t="shared" ca="1" si="2"/>
        <v>—</v>
      </c>
      <c r="K24" s="94"/>
    </row>
    <row r="25" spans="1:11" x14ac:dyDescent="0.25">
      <c r="A25" s="79"/>
      <c r="B25" s="21" t="str">
        <f>IF(A25="","",IFERROR(VLOOKUP(A25,DB_Customers!$A:$D,4,0),"❌ Account Not Found"))</f>
        <v/>
      </c>
      <c r="C25" s="80" t="str">
        <f>IF(A25="","",IFERROR(VLOOKUP(A25,DB_Customers!$A:$N,14,0),""))</f>
        <v/>
      </c>
      <c r="D25" s="81" t="str">
        <f t="shared" ca="1" si="0"/>
        <v/>
      </c>
      <c r="E25" s="82"/>
      <c r="F25" s="83" t="str">
        <f t="shared" si="1"/>
        <v/>
      </c>
      <c r="G25" s="23"/>
      <c r="H25" s="84"/>
      <c r="I25" s="85" t="str">
        <f>IF(A25="","Pending",IF(H25="","⚠️ Enter Code",IF(IFERROR(VLOOKUP(G25,DB_Agents!$B:$I,8,0),"")=H25,IF(AND(A25&lt;&gt;"",E25&lt;&gt;""),"Saved","Pending"),"🔒 BLOCKED — Wrong Code")))</f>
        <v>Pending</v>
      </c>
      <c r="J25" s="86" t="str">
        <f t="shared" ca="1" si="2"/>
        <v>—</v>
      </c>
      <c r="K25" s="87"/>
    </row>
    <row r="26" spans="1:11" x14ac:dyDescent="0.25">
      <c r="A26" s="88"/>
      <c r="B26" s="25" t="str">
        <f>IF(A26="","",IFERROR(VLOOKUP(A26,DB_Customers!$A:$D,4,0),"❌ Account Not Found"))</f>
        <v/>
      </c>
      <c r="C26" s="89" t="str">
        <f>IF(A26="","",IFERROR(VLOOKUP(A26,DB_Customers!$A:$N,14,0),""))</f>
        <v/>
      </c>
      <c r="D26" s="90" t="str">
        <f t="shared" ca="1" si="0"/>
        <v/>
      </c>
      <c r="E26" s="82"/>
      <c r="F26" s="91" t="str">
        <f t="shared" si="1"/>
        <v/>
      </c>
      <c r="G26" s="27"/>
      <c r="H26" s="84"/>
      <c r="I26" s="92" t="str">
        <f>IF(A26="","Pending",IF(H26="","⚠️ Enter Code",IF(IFERROR(VLOOKUP(G26,DB_Agents!$B:$I,8,0),"")=H26,IF(AND(A26&lt;&gt;"",E26&lt;&gt;""),"Saved","Pending"),"🔒 BLOCKED — Wrong Code")))</f>
        <v>Pending</v>
      </c>
      <c r="J26" s="93" t="str">
        <f t="shared" ca="1" si="2"/>
        <v>—</v>
      </c>
      <c r="K26" s="94"/>
    </row>
    <row r="27" spans="1:11" x14ac:dyDescent="0.25">
      <c r="A27" s="79"/>
      <c r="B27" s="21" t="str">
        <f>IF(A27="","",IFERROR(VLOOKUP(A27,DB_Customers!$A:$D,4,0),"❌ Account Not Found"))</f>
        <v/>
      </c>
      <c r="C27" s="80" t="str">
        <f>IF(A27="","",IFERROR(VLOOKUP(A27,DB_Customers!$A:$N,14,0),""))</f>
        <v/>
      </c>
      <c r="D27" s="81" t="str">
        <f t="shared" ca="1" si="0"/>
        <v/>
      </c>
      <c r="E27" s="82"/>
      <c r="F27" s="83" t="str">
        <f t="shared" si="1"/>
        <v/>
      </c>
      <c r="G27" s="23"/>
      <c r="H27" s="84"/>
      <c r="I27" s="85" t="str">
        <f>IF(A27="","Pending",IF(H27="","⚠️ Enter Code",IF(IFERROR(VLOOKUP(G27,DB_Agents!$B:$I,8,0),"")=H27,IF(AND(A27&lt;&gt;"",E27&lt;&gt;""),"Saved","Pending"),"🔒 BLOCKED — Wrong Code")))</f>
        <v>Pending</v>
      </c>
      <c r="J27" s="86" t="str">
        <f t="shared" ca="1" si="2"/>
        <v>—</v>
      </c>
      <c r="K27" s="87"/>
    </row>
    <row r="28" spans="1:11" x14ac:dyDescent="0.25">
      <c r="A28" s="88"/>
      <c r="B28" s="25" t="str">
        <f>IF(A28="","",IFERROR(VLOOKUP(A28,DB_Customers!$A:$D,4,0),"❌ Account Not Found"))</f>
        <v/>
      </c>
      <c r="C28" s="89" t="str">
        <f>IF(A28="","",IFERROR(VLOOKUP(A28,DB_Customers!$A:$N,14,0),""))</f>
        <v/>
      </c>
      <c r="D28" s="90" t="str">
        <f t="shared" ca="1" si="0"/>
        <v/>
      </c>
      <c r="E28" s="82"/>
      <c r="F28" s="91" t="str">
        <f t="shared" si="1"/>
        <v/>
      </c>
      <c r="G28" s="27"/>
      <c r="H28" s="84"/>
      <c r="I28" s="92" t="str">
        <f>IF(A28="","Pending",IF(H28="","⚠️ Enter Code",IF(IFERROR(VLOOKUP(G28,DB_Agents!$B:$I,8,0),"")=H28,IF(AND(A28&lt;&gt;"",E28&lt;&gt;""),"Saved","Pending"),"🔒 BLOCKED — Wrong Code")))</f>
        <v>Pending</v>
      </c>
      <c r="J28" s="93" t="str">
        <f t="shared" ca="1" si="2"/>
        <v>—</v>
      </c>
      <c r="K28" s="94"/>
    </row>
    <row r="29" spans="1:11" x14ac:dyDescent="0.25">
      <c r="A29" s="79"/>
      <c r="B29" s="21" t="str">
        <f>IF(A29="","",IFERROR(VLOOKUP(A29,DB_Customers!$A:$D,4,0),"❌ Account Not Found"))</f>
        <v/>
      </c>
      <c r="C29" s="80" t="str">
        <f>IF(A29="","",IFERROR(VLOOKUP(A29,DB_Customers!$A:$N,14,0),""))</f>
        <v/>
      </c>
      <c r="D29" s="81" t="str">
        <f t="shared" ca="1" si="0"/>
        <v/>
      </c>
      <c r="E29" s="82"/>
      <c r="F29" s="83" t="str">
        <f t="shared" si="1"/>
        <v/>
      </c>
      <c r="G29" s="23"/>
      <c r="H29" s="84"/>
      <c r="I29" s="85" t="str">
        <f>IF(A29="","Pending",IF(H29="","⚠️ Enter Code",IF(IFERROR(VLOOKUP(G29,DB_Agents!$B:$I,8,0),"")=H29,IF(AND(A29&lt;&gt;"",E29&lt;&gt;""),"Saved","Pending"),"🔒 BLOCKED — Wrong Code")))</f>
        <v>Pending</v>
      </c>
      <c r="J29" s="86" t="str">
        <f t="shared" ca="1" si="2"/>
        <v>—</v>
      </c>
      <c r="K29" s="87"/>
    </row>
    <row r="30" spans="1:11" x14ac:dyDescent="0.25">
      <c r="A30" s="88"/>
      <c r="B30" s="25" t="str">
        <f>IF(A30="","",IFERROR(VLOOKUP(A30,DB_Customers!$A:$D,4,0),"❌ Account Not Found"))</f>
        <v/>
      </c>
      <c r="C30" s="89" t="str">
        <f>IF(A30="","",IFERROR(VLOOKUP(A30,DB_Customers!$A:$N,14,0),""))</f>
        <v/>
      </c>
      <c r="D30" s="90" t="str">
        <f t="shared" ca="1" si="0"/>
        <v/>
      </c>
      <c r="E30" s="82"/>
      <c r="F30" s="91" t="str">
        <f t="shared" si="1"/>
        <v/>
      </c>
      <c r="G30" s="27"/>
      <c r="H30" s="84"/>
      <c r="I30" s="92" t="str">
        <f>IF(A30="","Pending",IF(H30="","⚠️ Enter Code",IF(IFERROR(VLOOKUP(G30,DB_Agents!$B:$I,8,0),"")=H30,IF(AND(A30&lt;&gt;"",E30&lt;&gt;""),"Saved","Pending"),"🔒 BLOCKED — Wrong Code")))</f>
        <v>Pending</v>
      </c>
      <c r="J30" s="93" t="str">
        <f t="shared" ca="1" si="2"/>
        <v>—</v>
      </c>
      <c r="K30" s="94"/>
    </row>
    <row r="31" spans="1:11" x14ac:dyDescent="0.25">
      <c r="A31" s="79"/>
      <c r="B31" s="21" t="str">
        <f>IF(A31="","",IFERROR(VLOOKUP(A31,DB_Customers!$A:$D,4,0),"❌ Account Not Found"))</f>
        <v/>
      </c>
      <c r="C31" s="80" t="str">
        <f>IF(A31="","",IFERROR(VLOOKUP(A31,DB_Customers!$A:$N,14,0),""))</f>
        <v/>
      </c>
      <c r="D31" s="81" t="str">
        <f t="shared" ca="1" si="0"/>
        <v/>
      </c>
      <c r="E31" s="82"/>
      <c r="F31" s="83" t="str">
        <f t="shared" si="1"/>
        <v/>
      </c>
      <c r="G31" s="23"/>
      <c r="H31" s="84"/>
      <c r="I31" s="85" t="str">
        <f>IF(A31="","Pending",IF(H31="","⚠️ Enter Code",IF(IFERROR(VLOOKUP(G31,DB_Agents!$B:$I,8,0),"")=H31,IF(AND(A31&lt;&gt;"",E31&lt;&gt;""),"Saved","Pending"),"🔒 BLOCKED — Wrong Code")))</f>
        <v>Pending</v>
      </c>
      <c r="J31" s="86" t="str">
        <f t="shared" ca="1" si="2"/>
        <v>—</v>
      </c>
      <c r="K31" s="87"/>
    </row>
    <row r="32" spans="1:11" x14ac:dyDescent="0.25">
      <c r="A32" s="88"/>
      <c r="B32" s="25" t="str">
        <f>IF(A32="","",IFERROR(VLOOKUP(A32,DB_Customers!$A:$D,4,0),"❌ Account Not Found"))</f>
        <v/>
      </c>
      <c r="C32" s="89" t="str">
        <f>IF(A32="","",IFERROR(VLOOKUP(A32,DB_Customers!$A:$N,14,0),""))</f>
        <v/>
      </c>
      <c r="D32" s="90" t="str">
        <f t="shared" ca="1" si="0"/>
        <v/>
      </c>
      <c r="E32" s="82"/>
      <c r="F32" s="91" t="str">
        <f t="shared" si="1"/>
        <v/>
      </c>
      <c r="G32" s="27"/>
      <c r="H32" s="84"/>
      <c r="I32" s="92" t="str">
        <f>IF(A32="","Pending",IF(H32="","⚠️ Enter Code",IF(IFERROR(VLOOKUP(G32,DB_Agents!$B:$I,8,0),"")=H32,IF(AND(A32&lt;&gt;"",E32&lt;&gt;""),"Saved","Pending"),"🔒 BLOCKED — Wrong Code")))</f>
        <v>Pending</v>
      </c>
      <c r="J32" s="93" t="str">
        <f t="shared" ca="1" si="2"/>
        <v>—</v>
      </c>
      <c r="K32" s="94"/>
    </row>
    <row r="33" spans="1:11" x14ac:dyDescent="0.25">
      <c r="A33" s="79"/>
      <c r="B33" s="21" t="str">
        <f>IF(A33="","",IFERROR(VLOOKUP(A33,DB_Customers!$A:$D,4,0),"❌ Account Not Found"))</f>
        <v/>
      </c>
      <c r="C33" s="80" t="str">
        <f>IF(A33="","",IFERROR(VLOOKUP(A33,DB_Customers!$A:$N,14,0),""))</f>
        <v/>
      </c>
      <c r="D33" s="81" t="str">
        <f t="shared" ca="1" si="0"/>
        <v/>
      </c>
      <c r="E33" s="82"/>
      <c r="F33" s="83" t="str">
        <f t="shared" si="1"/>
        <v/>
      </c>
      <c r="G33" s="23"/>
      <c r="H33" s="84"/>
      <c r="I33" s="85" t="str">
        <f>IF(A33="","Pending",IF(H33="","⚠️ Enter Code",IF(IFERROR(VLOOKUP(G33,DB_Agents!$B:$I,8,0),"")=H33,IF(AND(A33&lt;&gt;"",E33&lt;&gt;""),"Saved","Pending"),"🔒 BLOCKED — Wrong Code")))</f>
        <v>Pending</v>
      </c>
      <c r="J33" s="86" t="str">
        <f t="shared" ca="1" si="2"/>
        <v>—</v>
      </c>
      <c r="K33" s="87"/>
    </row>
    <row r="34" spans="1:11" x14ac:dyDescent="0.25">
      <c r="A34" s="88"/>
      <c r="B34" s="25" t="str">
        <f>IF(A34="","",IFERROR(VLOOKUP(A34,DB_Customers!$A:$D,4,0),"❌ Account Not Found"))</f>
        <v/>
      </c>
      <c r="C34" s="89" t="str">
        <f>IF(A34="","",IFERROR(VLOOKUP(A34,DB_Customers!$A:$N,14,0),""))</f>
        <v/>
      </c>
      <c r="D34" s="90" t="str">
        <f t="shared" ca="1" si="0"/>
        <v/>
      </c>
      <c r="E34" s="82"/>
      <c r="F34" s="91" t="str">
        <f t="shared" si="1"/>
        <v/>
      </c>
      <c r="G34" s="27"/>
      <c r="H34" s="84"/>
      <c r="I34" s="92" t="str">
        <f>IF(A34="","Pending",IF(H34="","⚠️ Enter Code",IF(IFERROR(VLOOKUP(G34,DB_Agents!$B:$I,8,0),"")=H34,IF(AND(A34&lt;&gt;"",E34&lt;&gt;""),"Saved","Pending"),"🔒 BLOCKED — Wrong Code")))</f>
        <v>Pending</v>
      </c>
      <c r="J34" s="93" t="str">
        <f t="shared" ca="1" si="2"/>
        <v>—</v>
      </c>
      <c r="K34" s="94"/>
    </row>
    <row r="35" spans="1:11" x14ac:dyDescent="0.25">
      <c r="A35" s="79"/>
      <c r="B35" s="21" t="str">
        <f>IF(A35="","",IFERROR(VLOOKUP(A35,DB_Customers!$A:$D,4,0),"❌ Account Not Found"))</f>
        <v/>
      </c>
      <c r="C35" s="80" t="str">
        <f>IF(A35="","",IFERROR(VLOOKUP(A35,DB_Customers!$A:$N,14,0),""))</f>
        <v/>
      </c>
      <c r="D35" s="81" t="str">
        <f t="shared" ca="1" si="0"/>
        <v/>
      </c>
      <c r="E35" s="82"/>
      <c r="F35" s="83" t="str">
        <f t="shared" si="1"/>
        <v/>
      </c>
      <c r="G35" s="23"/>
      <c r="H35" s="84"/>
      <c r="I35" s="85" t="str">
        <f>IF(A35="","Pending",IF(H35="","⚠️ Enter Code",IF(IFERROR(VLOOKUP(G35,DB_Agents!$B:$I,8,0),"")=H35,IF(AND(A35&lt;&gt;"",E35&lt;&gt;""),"Saved","Pending"),"🔒 BLOCKED — Wrong Code")))</f>
        <v>Pending</v>
      </c>
      <c r="J35" s="86" t="str">
        <f t="shared" ca="1" si="2"/>
        <v>—</v>
      </c>
      <c r="K35" s="87"/>
    </row>
    <row r="36" spans="1:11" x14ac:dyDescent="0.25">
      <c r="A36" s="88"/>
      <c r="B36" s="25" t="str">
        <f>IF(A36="","",IFERROR(VLOOKUP(A36,DB_Customers!$A:$D,4,0),"❌ Account Not Found"))</f>
        <v/>
      </c>
      <c r="C36" s="89" t="str">
        <f>IF(A36="","",IFERROR(VLOOKUP(A36,DB_Customers!$A:$N,14,0),""))</f>
        <v/>
      </c>
      <c r="D36" s="90" t="str">
        <f t="shared" ca="1" si="0"/>
        <v/>
      </c>
      <c r="E36" s="82"/>
      <c r="F36" s="91" t="str">
        <f t="shared" si="1"/>
        <v/>
      </c>
      <c r="G36" s="27"/>
      <c r="H36" s="84"/>
      <c r="I36" s="92" t="str">
        <f>IF(A36="","Pending",IF(H36="","⚠️ Enter Code",IF(IFERROR(VLOOKUP(G36,DB_Agents!$B:$I,8,0),"")=H36,IF(AND(A36&lt;&gt;"",E36&lt;&gt;""),"Saved","Pending"),"🔒 BLOCKED — Wrong Code")))</f>
        <v>Pending</v>
      </c>
      <c r="J36" s="93" t="str">
        <f t="shared" ca="1" si="2"/>
        <v>—</v>
      </c>
      <c r="K36" s="94"/>
    </row>
    <row r="37" spans="1:11" x14ac:dyDescent="0.25">
      <c r="A37" s="79"/>
      <c r="B37" s="21" t="str">
        <f>IF(A37="","",IFERROR(VLOOKUP(A37,DB_Customers!$A:$D,4,0),"❌ Account Not Found"))</f>
        <v/>
      </c>
      <c r="C37" s="80" t="str">
        <f>IF(A37="","",IFERROR(VLOOKUP(A37,DB_Customers!$A:$N,14,0),""))</f>
        <v/>
      </c>
      <c r="D37" s="81" t="str">
        <f t="shared" ca="1" si="0"/>
        <v/>
      </c>
      <c r="E37" s="82"/>
      <c r="F37" s="83" t="str">
        <f t="shared" si="1"/>
        <v/>
      </c>
      <c r="G37" s="23"/>
      <c r="H37" s="84"/>
      <c r="I37" s="85" t="str">
        <f>IF(A37="","Pending",IF(H37="","⚠️ Enter Code",IF(IFERROR(VLOOKUP(G37,DB_Agents!$B:$I,8,0),"")=H37,IF(AND(A37&lt;&gt;"",E37&lt;&gt;""),"Saved","Pending"),"🔒 BLOCKED — Wrong Code")))</f>
        <v>Pending</v>
      </c>
      <c r="J37" s="86" t="str">
        <f t="shared" ca="1" si="2"/>
        <v>—</v>
      </c>
      <c r="K37" s="87"/>
    </row>
    <row r="38" spans="1:11" x14ac:dyDescent="0.25">
      <c r="A38" s="88"/>
      <c r="B38" s="25" t="str">
        <f>IF(A38="","",IFERROR(VLOOKUP(A38,DB_Customers!$A:$D,4,0),"❌ Account Not Found"))</f>
        <v/>
      </c>
      <c r="C38" s="89" t="str">
        <f>IF(A38="","",IFERROR(VLOOKUP(A38,DB_Customers!$A:$N,14,0),""))</f>
        <v/>
      </c>
      <c r="D38" s="90" t="str">
        <f t="shared" ca="1" si="0"/>
        <v/>
      </c>
      <c r="E38" s="82"/>
      <c r="F38" s="91" t="str">
        <f t="shared" si="1"/>
        <v/>
      </c>
      <c r="G38" s="27"/>
      <c r="H38" s="84"/>
      <c r="I38" s="92" t="str">
        <f>IF(A38="","Pending",IF(H38="","⚠️ Enter Code",IF(IFERROR(VLOOKUP(G38,DB_Agents!$B:$I,8,0),"")=H38,IF(AND(A38&lt;&gt;"",E38&lt;&gt;""),"Saved","Pending"),"🔒 BLOCKED — Wrong Code")))</f>
        <v>Pending</v>
      </c>
      <c r="J38" s="93" t="str">
        <f t="shared" ca="1" si="2"/>
        <v>—</v>
      </c>
      <c r="K38" s="94"/>
    </row>
    <row r="39" spans="1:11" x14ac:dyDescent="0.25">
      <c r="A39" s="79"/>
      <c r="B39" s="21" t="str">
        <f>IF(A39="","",IFERROR(VLOOKUP(A39,DB_Customers!$A:$D,4,0),"❌ Account Not Found"))</f>
        <v/>
      </c>
      <c r="C39" s="80" t="str">
        <f>IF(A39="","",IFERROR(VLOOKUP(A39,DB_Customers!$A:$N,14,0),""))</f>
        <v/>
      </c>
      <c r="D39" s="81" t="str">
        <f t="shared" ca="1" si="0"/>
        <v/>
      </c>
      <c r="E39" s="82"/>
      <c r="F39" s="83" t="str">
        <f t="shared" si="1"/>
        <v/>
      </c>
      <c r="G39" s="23"/>
      <c r="H39" s="84"/>
      <c r="I39" s="85" t="str">
        <f>IF(A39="","Pending",IF(H39="","⚠️ Enter Code",IF(IFERROR(VLOOKUP(G39,DB_Agents!$B:$I,8,0),"")=H39,IF(AND(A39&lt;&gt;"",E39&lt;&gt;""),"Saved","Pending"),"🔒 BLOCKED — Wrong Code")))</f>
        <v>Pending</v>
      </c>
      <c r="J39" s="86" t="str">
        <f t="shared" ca="1" si="2"/>
        <v>—</v>
      </c>
      <c r="K39" s="87"/>
    </row>
    <row r="40" spans="1:11" x14ac:dyDescent="0.25">
      <c r="A40" s="88"/>
      <c r="B40" s="25" t="str">
        <f>IF(A40="","",IFERROR(VLOOKUP(A40,DB_Customers!$A:$D,4,0),"❌ Account Not Found"))</f>
        <v/>
      </c>
      <c r="C40" s="89" t="str">
        <f>IF(A40="","",IFERROR(VLOOKUP(A40,DB_Customers!$A:$N,14,0),""))</f>
        <v/>
      </c>
      <c r="D40" s="90" t="str">
        <f t="shared" ca="1" si="0"/>
        <v/>
      </c>
      <c r="E40" s="82"/>
      <c r="F40" s="91" t="str">
        <f t="shared" si="1"/>
        <v/>
      </c>
      <c r="G40" s="27"/>
      <c r="H40" s="84"/>
      <c r="I40" s="92" t="str">
        <f>IF(A40="","Pending",IF(H40="","⚠️ Enter Code",IF(IFERROR(VLOOKUP(G40,DB_Agents!$B:$I,8,0),"")=H40,IF(AND(A40&lt;&gt;"",E40&lt;&gt;""),"Saved","Pending"),"🔒 BLOCKED — Wrong Code")))</f>
        <v>Pending</v>
      </c>
      <c r="J40" s="93" t="str">
        <f t="shared" ca="1" si="2"/>
        <v>—</v>
      </c>
      <c r="K40" s="94"/>
    </row>
    <row r="41" spans="1:11" x14ac:dyDescent="0.25">
      <c r="A41" s="79"/>
      <c r="B41" s="21" t="str">
        <f>IF(A41="","",IFERROR(VLOOKUP(A41,DB_Customers!$A:$D,4,0),"❌ Account Not Found"))</f>
        <v/>
      </c>
      <c r="C41" s="80" t="str">
        <f>IF(A41="","",IFERROR(VLOOKUP(A41,DB_Customers!$A:$N,14,0),""))</f>
        <v/>
      </c>
      <c r="D41" s="81" t="str">
        <f t="shared" ref="D41:D72" ca="1" si="3">IF(A41="","",TODAY())</f>
        <v/>
      </c>
      <c r="E41" s="82"/>
      <c r="F41" s="83" t="str">
        <f t="shared" ref="F41:F72" si="4">IF(OR(A41="",E41=""),"",IF(C41="","",C41+E41))</f>
        <v/>
      </c>
      <c r="G41" s="23"/>
      <c r="H41" s="84"/>
      <c r="I41" s="85" t="str">
        <f>IF(A41="","Pending",IF(H41="","⚠️ Enter Code",IF(IFERROR(VLOOKUP(G41,DB_Agents!$B:$I,8,0),"")=H41,IF(AND(A41&lt;&gt;"",E41&lt;&gt;""),"Saved","Pending"),"🔒 BLOCKED — Wrong Code")))</f>
        <v>Pending</v>
      </c>
      <c r="J41" s="86" t="str">
        <f t="shared" ref="J41:J72" ca="1" si="5">IF(I41="Saved",TEXT(TODAY(),"YYYY-MM-DD")&amp;" Auto","—")</f>
        <v>—</v>
      </c>
      <c r="K41" s="87"/>
    </row>
    <row r="42" spans="1:11" x14ac:dyDescent="0.25">
      <c r="A42" s="88"/>
      <c r="B42" s="25" t="str">
        <f>IF(A42="","",IFERROR(VLOOKUP(A42,DB_Customers!$A:$D,4,0),"❌ Account Not Found"))</f>
        <v/>
      </c>
      <c r="C42" s="89" t="str">
        <f>IF(A42="","",IFERROR(VLOOKUP(A42,DB_Customers!$A:$N,14,0),""))</f>
        <v/>
      </c>
      <c r="D42" s="90" t="str">
        <f t="shared" ca="1" si="3"/>
        <v/>
      </c>
      <c r="E42" s="82"/>
      <c r="F42" s="91" t="str">
        <f t="shared" si="4"/>
        <v/>
      </c>
      <c r="G42" s="27"/>
      <c r="H42" s="84"/>
      <c r="I42" s="92" t="str">
        <f>IF(A42="","Pending",IF(H42="","⚠️ Enter Code",IF(IFERROR(VLOOKUP(G42,DB_Agents!$B:$I,8,0),"")=H42,IF(AND(A42&lt;&gt;"",E42&lt;&gt;""),"Saved","Pending"),"🔒 BLOCKED — Wrong Code")))</f>
        <v>Pending</v>
      </c>
      <c r="J42" s="93" t="str">
        <f t="shared" ca="1" si="5"/>
        <v>—</v>
      </c>
      <c r="K42" s="94"/>
    </row>
    <row r="43" spans="1:11" x14ac:dyDescent="0.25">
      <c r="A43" s="79"/>
      <c r="B43" s="21" t="str">
        <f>IF(A43="","",IFERROR(VLOOKUP(A43,DB_Customers!$A:$D,4,0),"❌ Account Not Found"))</f>
        <v/>
      </c>
      <c r="C43" s="80" t="str">
        <f>IF(A43="","",IFERROR(VLOOKUP(A43,DB_Customers!$A:$N,14,0),""))</f>
        <v/>
      </c>
      <c r="D43" s="81" t="str">
        <f t="shared" ca="1" si="3"/>
        <v/>
      </c>
      <c r="E43" s="82"/>
      <c r="F43" s="83" t="str">
        <f t="shared" si="4"/>
        <v/>
      </c>
      <c r="G43" s="23"/>
      <c r="H43" s="84"/>
      <c r="I43" s="85" t="str">
        <f>IF(A43="","Pending",IF(H43="","⚠️ Enter Code",IF(IFERROR(VLOOKUP(G43,DB_Agents!$B:$I,8,0),"")=H43,IF(AND(A43&lt;&gt;"",E43&lt;&gt;""),"Saved","Pending"),"🔒 BLOCKED — Wrong Code")))</f>
        <v>Pending</v>
      </c>
      <c r="J43" s="86" t="str">
        <f t="shared" ca="1" si="5"/>
        <v>—</v>
      </c>
      <c r="K43" s="87"/>
    </row>
    <row r="44" spans="1:11" x14ac:dyDescent="0.25">
      <c r="A44" s="88"/>
      <c r="B44" s="25" t="str">
        <f>IF(A44="","",IFERROR(VLOOKUP(A44,DB_Customers!$A:$D,4,0),"❌ Account Not Found"))</f>
        <v/>
      </c>
      <c r="C44" s="89" t="str">
        <f>IF(A44="","",IFERROR(VLOOKUP(A44,DB_Customers!$A:$N,14,0),""))</f>
        <v/>
      </c>
      <c r="D44" s="90" t="str">
        <f t="shared" ca="1" si="3"/>
        <v/>
      </c>
      <c r="E44" s="82"/>
      <c r="F44" s="91" t="str">
        <f t="shared" si="4"/>
        <v/>
      </c>
      <c r="G44" s="27"/>
      <c r="H44" s="84"/>
      <c r="I44" s="92" t="str">
        <f>IF(A44="","Pending",IF(H44="","⚠️ Enter Code",IF(IFERROR(VLOOKUP(G44,DB_Agents!$B:$I,8,0),"")=H44,IF(AND(A44&lt;&gt;"",E44&lt;&gt;""),"Saved","Pending"),"🔒 BLOCKED — Wrong Code")))</f>
        <v>Pending</v>
      </c>
      <c r="J44" s="93" t="str">
        <f t="shared" ca="1" si="5"/>
        <v>—</v>
      </c>
      <c r="K44" s="94"/>
    </row>
    <row r="45" spans="1:11" x14ac:dyDescent="0.25">
      <c r="A45" s="79"/>
      <c r="B45" s="21" t="str">
        <f>IF(A45="","",IFERROR(VLOOKUP(A45,DB_Customers!$A:$D,4,0),"❌ Account Not Found"))</f>
        <v/>
      </c>
      <c r="C45" s="80" t="str">
        <f>IF(A45="","",IFERROR(VLOOKUP(A45,DB_Customers!$A:$N,14,0),""))</f>
        <v/>
      </c>
      <c r="D45" s="81" t="str">
        <f t="shared" ca="1" si="3"/>
        <v/>
      </c>
      <c r="E45" s="82"/>
      <c r="F45" s="83" t="str">
        <f t="shared" si="4"/>
        <v/>
      </c>
      <c r="G45" s="23"/>
      <c r="H45" s="84"/>
      <c r="I45" s="85" t="str">
        <f>IF(A45="","Pending",IF(H45="","⚠️ Enter Code",IF(IFERROR(VLOOKUP(G45,DB_Agents!$B:$I,8,0),"")=H45,IF(AND(A45&lt;&gt;"",E45&lt;&gt;""),"Saved","Pending"),"🔒 BLOCKED — Wrong Code")))</f>
        <v>Pending</v>
      </c>
      <c r="J45" s="86" t="str">
        <f t="shared" ca="1" si="5"/>
        <v>—</v>
      </c>
      <c r="K45" s="87"/>
    </row>
    <row r="46" spans="1:11" x14ac:dyDescent="0.25">
      <c r="A46" s="88"/>
      <c r="B46" s="25" t="str">
        <f>IF(A46="","",IFERROR(VLOOKUP(A46,DB_Customers!$A:$D,4,0),"❌ Account Not Found"))</f>
        <v/>
      </c>
      <c r="C46" s="89" t="str">
        <f>IF(A46="","",IFERROR(VLOOKUP(A46,DB_Customers!$A:$N,14,0),""))</f>
        <v/>
      </c>
      <c r="D46" s="90" t="str">
        <f t="shared" ca="1" si="3"/>
        <v/>
      </c>
      <c r="E46" s="82"/>
      <c r="F46" s="91" t="str">
        <f t="shared" si="4"/>
        <v/>
      </c>
      <c r="G46" s="27"/>
      <c r="H46" s="84"/>
      <c r="I46" s="92" t="str">
        <f>IF(A46="","Pending",IF(H46="","⚠️ Enter Code",IF(IFERROR(VLOOKUP(G46,DB_Agents!$B:$I,8,0),"")=H46,IF(AND(A46&lt;&gt;"",E46&lt;&gt;""),"Saved","Pending"),"🔒 BLOCKED — Wrong Code")))</f>
        <v>Pending</v>
      </c>
      <c r="J46" s="93" t="str">
        <f t="shared" ca="1" si="5"/>
        <v>—</v>
      </c>
      <c r="K46" s="94"/>
    </row>
    <row r="47" spans="1:11" x14ac:dyDescent="0.25">
      <c r="A47" s="79"/>
      <c r="B47" s="21" t="str">
        <f>IF(A47="","",IFERROR(VLOOKUP(A47,DB_Customers!$A:$D,4,0),"❌ Account Not Found"))</f>
        <v/>
      </c>
      <c r="C47" s="80" t="str">
        <f>IF(A47="","",IFERROR(VLOOKUP(A47,DB_Customers!$A:$N,14,0),""))</f>
        <v/>
      </c>
      <c r="D47" s="81" t="str">
        <f t="shared" ca="1" si="3"/>
        <v/>
      </c>
      <c r="E47" s="82"/>
      <c r="F47" s="83" t="str">
        <f t="shared" si="4"/>
        <v/>
      </c>
      <c r="G47" s="23"/>
      <c r="H47" s="84"/>
      <c r="I47" s="85" t="str">
        <f>IF(A47="","Pending",IF(H47="","⚠️ Enter Code",IF(IFERROR(VLOOKUP(G47,DB_Agents!$B:$I,8,0),"")=H47,IF(AND(A47&lt;&gt;"",E47&lt;&gt;""),"Saved","Pending"),"🔒 BLOCKED — Wrong Code")))</f>
        <v>Pending</v>
      </c>
      <c r="J47" s="86" t="str">
        <f t="shared" ca="1" si="5"/>
        <v>—</v>
      </c>
      <c r="K47" s="87"/>
    </row>
    <row r="48" spans="1:11" x14ac:dyDescent="0.25">
      <c r="A48" s="88"/>
      <c r="B48" s="25" t="str">
        <f>IF(A48="","",IFERROR(VLOOKUP(A48,DB_Customers!$A:$D,4,0),"❌ Account Not Found"))</f>
        <v/>
      </c>
      <c r="C48" s="89" t="str">
        <f>IF(A48="","",IFERROR(VLOOKUP(A48,DB_Customers!$A:$N,14,0),""))</f>
        <v/>
      </c>
      <c r="D48" s="90" t="str">
        <f t="shared" ca="1" si="3"/>
        <v/>
      </c>
      <c r="E48" s="82"/>
      <c r="F48" s="91" t="str">
        <f t="shared" si="4"/>
        <v/>
      </c>
      <c r="G48" s="27"/>
      <c r="H48" s="84"/>
      <c r="I48" s="92" t="str">
        <f>IF(A48="","Pending",IF(H48="","⚠️ Enter Code",IF(IFERROR(VLOOKUP(G48,DB_Agents!$B:$I,8,0),"")=H48,IF(AND(A48&lt;&gt;"",E48&lt;&gt;""),"Saved","Pending"),"🔒 BLOCKED — Wrong Code")))</f>
        <v>Pending</v>
      </c>
      <c r="J48" s="93" t="str">
        <f t="shared" ca="1" si="5"/>
        <v>—</v>
      </c>
      <c r="K48" s="94"/>
    </row>
    <row r="49" spans="1:11" x14ac:dyDescent="0.25">
      <c r="A49" s="79"/>
      <c r="B49" s="21" t="str">
        <f>IF(A49="","",IFERROR(VLOOKUP(A49,DB_Customers!$A:$D,4,0),"❌ Account Not Found"))</f>
        <v/>
      </c>
      <c r="C49" s="80" t="str">
        <f>IF(A49="","",IFERROR(VLOOKUP(A49,DB_Customers!$A:$N,14,0),""))</f>
        <v/>
      </c>
      <c r="D49" s="81" t="str">
        <f t="shared" ca="1" si="3"/>
        <v/>
      </c>
      <c r="E49" s="82"/>
      <c r="F49" s="83" t="str">
        <f t="shared" si="4"/>
        <v/>
      </c>
      <c r="G49" s="23"/>
      <c r="H49" s="84"/>
      <c r="I49" s="85" t="str">
        <f>IF(A49="","Pending",IF(H49="","⚠️ Enter Code",IF(IFERROR(VLOOKUP(G49,DB_Agents!$B:$I,8,0),"")=H49,IF(AND(A49&lt;&gt;"",E49&lt;&gt;""),"Saved","Pending"),"🔒 BLOCKED — Wrong Code")))</f>
        <v>Pending</v>
      </c>
      <c r="J49" s="86" t="str">
        <f t="shared" ca="1" si="5"/>
        <v>—</v>
      </c>
      <c r="K49" s="87"/>
    </row>
    <row r="50" spans="1:11" x14ac:dyDescent="0.25">
      <c r="A50" s="88"/>
      <c r="B50" s="25" t="str">
        <f>IF(A50="","",IFERROR(VLOOKUP(A50,DB_Customers!$A:$D,4,0),"❌ Account Not Found"))</f>
        <v/>
      </c>
      <c r="C50" s="89" t="str">
        <f>IF(A50="","",IFERROR(VLOOKUP(A50,DB_Customers!$A:$N,14,0),""))</f>
        <v/>
      </c>
      <c r="D50" s="90" t="str">
        <f t="shared" ca="1" si="3"/>
        <v/>
      </c>
      <c r="E50" s="82"/>
      <c r="F50" s="91" t="str">
        <f t="shared" si="4"/>
        <v/>
      </c>
      <c r="G50" s="27"/>
      <c r="H50" s="84"/>
      <c r="I50" s="92" t="str">
        <f>IF(A50="","Pending",IF(H50="","⚠️ Enter Code",IF(IFERROR(VLOOKUP(G50,DB_Agents!$B:$I,8,0),"")=H50,IF(AND(A50&lt;&gt;"",E50&lt;&gt;""),"Saved","Pending"),"🔒 BLOCKED — Wrong Code")))</f>
        <v>Pending</v>
      </c>
      <c r="J50" s="93" t="str">
        <f t="shared" ca="1" si="5"/>
        <v>—</v>
      </c>
      <c r="K50" s="94"/>
    </row>
    <row r="51" spans="1:11" x14ac:dyDescent="0.25">
      <c r="A51" s="79"/>
      <c r="B51" s="21" t="str">
        <f>IF(A51="","",IFERROR(VLOOKUP(A51,DB_Customers!$A:$D,4,0),"❌ Account Not Found"))</f>
        <v/>
      </c>
      <c r="C51" s="80" t="str">
        <f>IF(A51="","",IFERROR(VLOOKUP(A51,DB_Customers!$A:$N,14,0),""))</f>
        <v/>
      </c>
      <c r="D51" s="81" t="str">
        <f t="shared" ca="1" si="3"/>
        <v/>
      </c>
      <c r="E51" s="82"/>
      <c r="F51" s="83" t="str">
        <f t="shared" si="4"/>
        <v/>
      </c>
      <c r="G51" s="23"/>
      <c r="H51" s="84"/>
      <c r="I51" s="85" t="str">
        <f>IF(A51="","Pending",IF(H51="","⚠️ Enter Code",IF(IFERROR(VLOOKUP(G51,DB_Agents!$B:$I,8,0),"")=H51,IF(AND(A51&lt;&gt;"",E51&lt;&gt;""),"Saved","Pending"),"🔒 BLOCKED — Wrong Code")))</f>
        <v>Pending</v>
      </c>
      <c r="J51" s="86" t="str">
        <f t="shared" ca="1" si="5"/>
        <v>—</v>
      </c>
      <c r="K51" s="87"/>
    </row>
    <row r="52" spans="1:11" x14ac:dyDescent="0.25">
      <c r="A52" s="88"/>
      <c r="B52" s="25" t="str">
        <f>IF(A52="","",IFERROR(VLOOKUP(A52,DB_Customers!$A:$D,4,0),"❌ Account Not Found"))</f>
        <v/>
      </c>
      <c r="C52" s="89" t="str">
        <f>IF(A52="","",IFERROR(VLOOKUP(A52,DB_Customers!$A:$N,14,0),""))</f>
        <v/>
      </c>
      <c r="D52" s="90" t="str">
        <f t="shared" ca="1" si="3"/>
        <v/>
      </c>
      <c r="E52" s="82"/>
      <c r="F52" s="91" t="str">
        <f t="shared" si="4"/>
        <v/>
      </c>
      <c r="G52" s="27"/>
      <c r="H52" s="84"/>
      <c r="I52" s="92" t="str">
        <f>IF(A52="","Pending",IF(H52="","⚠️ Enter Code",IF(IFERROR(VLOOKUP(G52,DB_Agents!$B:$I,8,0),"")=H52,IF(AND(A52&lt;&gt;"",E52&lt;&gt;""),"Saved","Pending"),"🔒 BLOCKED — Wrong Code")))</f>
        <v>Pending</v>
      </c>
      <c r="J52" s="93" t="str">
        <f t="shared" ca="1" si="5"/>
        <v>—</v>
      </c>
      <c r="K52" s="94"/>
    </row>
    <row r="53" spans="1:11" x14ac:dyDescent="0.25">
      <c r="A53" s="79"/>
      <c r="B53" s="21" t="str">
        <f>IF(A53="","",IFERROR(VLOOKUP(A53,DB_Customers!$A:$D,4,0),"❌ Account Not Found"))</f>
        <v/>
      </c>
      <c r="C53" s="80" t="str">
        <f>IF(A53="","",IFERROR(VLOOKUP(A53,DB_Customers!$A:$N,14,0),""))</f>
        <v/>
      </c>
      <c r="D53" s="81" t="str">
        <f t="shared" ca="1" si="3"/>
        <v/>
      </c>
      <c r="E53" s="82"/>
      <c r="F53" s="83" t="str">
        <f t="shared" si="4"/>
        <v/>
      </c>
      <c r="G53" s="23"/>
      <c r="H53" s="84"/>
      <c r="I53" s="85" t="str">
        <f>IF(A53="","Pending",IF(H53="","⚠️ Enter Code",IF(IFERROR(VLOOKUP(G53,DB_Agents!$B:$I,8,0),"")=H53,IF(AND(A53&lt;&gt;"",E53&lt;&gt;""),"Saved","Pending"),"🔒 BLOCKED — Wrong Code")))</f>
        <v>Pending</v>
      </c>
      <c r="J53" s="86" t="str">
        <f t="shared" ca="1" si="5"/>
        <v>—</v>
      </c>
      <c r="K53" s="87"/>
    </row>
    <row r="54" spans="1:11" x14ac:dyDescent="0.25">
      <c r="A54" s="88"/>
      <c r="B54" s="25" t="str">
        <f>IF(A54="","",IFERROR(VLOOKUP(A54,DB_Customers!$A:$D,4,0),"❌ Account Not Found"))</f>
        <v/>
      </c>
      <c r="C54" s="89" t="str">
        <f>IF(A54="","",IFERROR(VLOOKUP(A54,DB_Customers!$A:$N,14,0),""))</f>
        <v/>
      </c>
      <c r="D54" s="90" t="str">
        <f t="shared" ca="1" si="3"/>
        <v/>
      </c>
      <c r="E54" s="82"/>
      <c r="F54" s="91" t="str">
        <f t="shared" si="4"/>
        <v/>
      </c>
      <c r="G54" s="27"/>
      <c r="H54" s="84"/>
      <c r="I54" s="92" t="str">
        <f>IF(A54="","Pending",IF(H54="","⚠️ Enter Code",IF(IFERROR(VLOOKUP(G54,DB_Agents!$B:$I,8,0),"")=H54,IF(AND(A54&lt;&gt;"",E54&lt;&gt;""),"Saved","Pending"),"🔒 BLOCKED — Wrong Code")))</f>
        <v>Pending</v>
      </c>
      <c r="J54" s="93" t="str">
        <f t="shared" ca="1" si="5"/>
        <v>—</v>
      </c>
      <c r="K54" s="94"/>
    </row>
    <row r="55" spans="1:11" x14ac:dyDescent="0.25">
      <c r="A55" s="79"/>
      <c r="B55" s="21" t="str">
        <f>IF(A55="","",IFERROR(VLOOKUP(A55,DB_Customers!$A:$D,4,0),"❌ Account Not Found"))</f>
        <v/>
      </c>
      <c r="C55" s="80" t="str">
        <f>IF(A55="","",IFERROR(VLOOKUP(A55,DB_Customers!$A:$N,14,0),""))</f>
        <v/>
      </c>
      <c r="D55" s="81" t="str">
        <f t="shared" ca="1" si="3"/>
        <v/>
      </c>
      <c r="E55" s="82"/>
      <c r="F55" s="83" t="str">
        <f t="shared" si="4"/>
        <v/>
      </c>
      <c r="G55" s="23"/>
      <c r="H55" s="84"/>
      <c r="I55" s="85" t="str">
        <f>IF(A55="","Pending",IF(H55="","⚠️ Enter Code",IF(IFERROR(VLOOKUP(G55,DB_Agents!$B:$I,8,0),"")=H55,IF(AND(A55&lt;&gt;"",E55&lt;&gt;""),"Saved","Pending"),"🔒 BLOCKED — Wrong Code")))</f>
        <v>Pending</v>
      </c>
      <c r="J55" s="86" t="str">
        <f t="shared" ca="1" si="5"/>
        <v>—</v>
      </c>
      <c r="K55" s="87"/>
    </row>
    <row r="56" spans="1:11" x14ac:dyDescent="0.25">
      <c r="A56" s="88"/>
      <c r="B56" s="25" t="str">
        <f>IF(A56="","",IFERROR(VLOOKUP(A56,DB_Customers!$A:$D,4,0),"❌ Account Not Found"))</f>
        <v/>
      </c>
      <c r="C56" s="89" t="str">
        <f>IF(A56="","",IFERROR(VLOOKUP(A56,DB_Customers!$A:$N,14,0),""))</f>
        <v/>
      </c>
      <c r="D56" s="90" t="str">
        <f t="shared" ca="1" si="3"/>
        <v/>
      </c>
      <c r="E56" s="82"/>
      <c r="F56" s="91" t="str">
        <f t="shared" si="4"/>
        <v/>
      </c>
      <c r="G56" s="27"/>
      <c r="H56" s="84"/>
      <c r="I56" s="92" t="str">
        <f>IF(A56="","Pending",IF(H56="","⚠️ Enter Code",IF(IFERROR(VLOOKUP(G56,DB_Agents!$B:$I,8,0),"")=H56,IF(AND(A56&lt;&gt;"",E56&lt;&gt;""),"Saved","Pending"),"🔒 BLOCKED — Wrong Code")))</f>
        <v>Pending</v>
      </c>
      <c r="J56" s="93" t="str">
        <f t="shared" ca="1" si="5"/>
        <v>—</v>
      </c>
      <c r="K56" s="94"/>
    </row>
    <row r="57" spans="1:11" x14ac:dyDescent="0.25">
      <c r="A57" s="79"/>
      <c r="B57" s="21" t="str">
        <f>IF(A57="","",IFERROR(VLOOKUP(A57,DB_Customers!$A:$D,4,0),"❌ Account Not Found"))</f>
        <v/>
      </c>
      <c r="C57" s="80" t="str">
        <f>IF(A57="","",IFERROR(VLOOKUP(A57,DB_Customers!$A:$N,14,0),""))</f>
        <v/>
      </c>
      <c r="D57" s="81" t="str">
        <f t="shared" ca="1" si="3"/>
        <v/>
      </c>
      <c r="E57" s="82"/>
      <c r="F57" s="83" t="str">
        <f t="shared" si="4"/>
        <v/>
      </c>
      <c r="G57" s="23"/>
      <c r="H57" s="84"/>
      <c r="I57" s="85" t="str">
        <f>IF(A57="","Pending",IF(H57="","⚠️ Enter Code",IF(IFERROR(VLOOKUP(G57,DB_Agents!$B:$I,8,0),"")=H57,IF(AND(A57&lt;&gt;"",E57&lt;&gt;""),"Saved","Pending"),"🔒 BLOCKED — Wrong Code")))</f>
        <v>Pending</v>
      </c>
      <c r="J57" s="86" t="str">
        <f t="shared" ca="1" si="5"/>
        <v>—</v>
      </c>
      <c r="K57" s="87"/>
    </row>
    <row r="58" spans="1:11" x14ac:dyDescent="0.25">
      <c r="A58" s="88"/>
      <c r="B58" s="25" t="str">
        <f>IF(A58="","",IFERROR(VLOOKUP(A58,DB_Customers!$A:$D,4,0),"❌ Account Not Found"))</f>
        <v/>
      </c>
      <c r="C58" s="89" t="str">
        <f>IF(A58="","",IFERROR(VLOOKUP(A58,DB_Customers!$A:$N,14,0),""))</f>
        <v/>
      </c>
      <c r="D58" s="90" t="str">
        <f t="shared" ca="1" si="3"/>
        <v/>
      </c>
      <c r="E58" s="82"/>
      <c r="F58" s="91" t="str">
        <f t="shared" si="4"/>
        <v/>
      </c>
      <c r="G58" s="27"/>
      <c r="H58" s="84"/>
      <c r="I58" s="92" t="str">
        <f>IF(A58="","Pending",IF(H58="","⚠️ Enter Code",IF(IFERROR(VLOOKUP(G58,DB_Agents!$B:$I,8,0),"")=H58,IF(AND(A58&lt;&gt;"",E58&lt;&gt;""),"Saved","Pending"),"🔒 BLOCKED — Wrong Code")))</f>
        <v>Pending</v>
      </c>
      <c r="J58" s="93" t="str">
        <f t="shared" ca="1" si="5"/>
        <v>—</v>
      </c>
      <c r="K58" s="94"/>
    </row>
    <row r="59" spans="1:11" x14ac:dyDescent="0.25">
      <c r="A59" s="79"/>
      <c r="B59" s="21" t="str">
        <f>IF(A59="","",IFERROR(VLOOKUP(A59,DB_Customers!$A:$D,4,0),"❌ Account Not Found"))</f>
        <v/>
      </c>
      <c r="C59" s="80" t="str">
        <f>IF(A59="","",IFERROR(VLOOKUP(A59,DB_Customers!$A:$N,14,0),""))</f>
        <v/>
      </c>
      <c r="D59" s="81" t="str">
        <f t="shared" ca="1" si="3"/>
        <v/>
      </c>
      <c r="E59" s="82"/>
      <c r="F59" s="83" t="str">
        <f t="shared" si="4"/>
        <v/>
      </c>
      <c r="G59" s="23"/>
      <c r="H59" s="84"/>
      <c r="I59" s="85" t="str">
        <f>IF(A59="","Pending",IF(H59="","⚠️ Enter Code",IF(IFERROR(VLOOKUP(G59,DB_Agents!$B:$I,8,0),"")=H59,IF(AND(A59&lt;&gt;"",E59&lt;&gt;""),"Saved","Pending"),"🔒 BLOCKED — Wrong Code")))</f>
        <v>Pending</v>
      </c>
      <c r="J59" s="86" t="str">
        <f t="shared" ca="1" si="5"/>
        <v>—</v>
      </c>
      <c r="K59" s="87"/>
    </row>
    <row r="60" spans="1:11" x14ac:dyDescent="0.25">
      <c r="A60" s="88"/>
      <c r="B60" s="25" t="str">
        <f>IF(A60="","",IFERROR(VLOOKUP(A60,DB_Customers!$A:$D,4,0),"❌ Account Not Found"))</f>
        <v/>
      </c>
      <c r="C60" s="89" t="str">
        <f>IF(A60="","",IFERROR(VLOOKUP(A60,DB_Customers!$A:$N,14,0),""))</f>
        <v/>
      </c>
      <c r="D60" s="90" t="str">
        <f t="shared" ca="1" si="3"/>
        <v/>
      </c>
      <c r="E60" s="82"/>
      <c r="F60" s="91" t="str">
        <f t="shared" si="4"/>
        <v/>
      </c>
      <c r="G60" s="27"/>
      <c r="H60" s="84"/>
      <c r="I60" s="92" t="str">
        <f>IF(A60="","Pending",IF(H60="","⚠️ Enter Code",IF(IFERROR(VLOOKUP(G60,DB_Agents!$B:$I,8,0),"")=H60,IF(AND(A60&lt;&gt;"",E60&lt;&gt;""),"Saved","Pending"),"🔒 BLOCKED — Wrong Code")))</f>
        <v>Pending</v>
      </c>
      <c r="J60" s="93" t="str">
        <f t="shared" ca="1" si="5"/>
        <v>—</v>
      </c>
      <c r="K60" s="94"/>
    </row>
    <row r="61" spans="1:11" x14ac:dyDescent="0.25">
      <c r="A61" s="79"/>
      <c r="B61" s="21" t="str">
        <f>IF(A61="","",IFERROR(VLOOKUP(A61,DB_Customers!$A:$D,4,0),"❌ Account Not Found"))</f>
        <v/>
      </c>
      <c r="C61" s="80" t="str">
        <f>IF(A61="","",IFERROR(VLOOKUP(A61,DB_Customers!$A:$N,14,0),""))</f>
        <v/>
      </c>
      <c r="D61" s="81" t="str">
        <f t="shared" ca="1" si="3"/>
        <v/>
      </c>
      <c r="E61" s="82"/>
      <c r="F61" s="83" t="str">
        <f t="shared" si="4"/>
        <v/>
      </c>
      <c r="G61" s="23"/>
      <c r="H61" s="84"/>
      <c r="I61" s="85" t="str">
        <f>IF(A61="","Pending",IF(H61="","⚠️ Enter Code",IF(IFERROR(VLOOKUP(G61,DB_Agents!$B:$I,8,0),"")=H61,IF(AND(A61&lt;&gt;"",E61&lt;&gt;""),"Saved","Pending"),"🔒 BLOCKED — Wrong Code")))</f>
        <v>Pending</v>
      </c>
      <c r="J61" s="86" t="str">
        <f t="shared" ca="1" si="5"/>
        <v>—</v>
      </c>
      <c r="K61" s="87"/>
    </row>
    <row r="62" spans="1:11" x14ac:dyDescent="0.25">
      <c r="A62" s="88"/>
      <c r="B62" s="25" t="str">
        <f>IF(A62="","",IFERROR(VLOOKUP(A62,DB_Customers!$A:$D,4,0),"❌ Account Not Found"))</f>
        <v/>
      </c>
      <c r="C62" s="89" t="str">
        <f>IF(A62="","",IFERROR(VLOOKUP(A62,DB_Customers!$A:$N,14,0),""))</f>
        <v/>
      </c>
      <c r="D62" s="90" t="str">
        <f t="shared" ca="1" si="3"/>
        <v/>
      </c>
      <c r="E62" s="82"/>
      <c r="F62" s="91" t="str">
        <f t="shared" si="4"/>
        <v/>
      </c>
      <c r="G62" s="27"/>
      <c r="H62" s="84"/>
      <c r="I62" s="92" t="str">
        <f>IF(A62="","Pending",IF(H62="","⚠️ Enter Code",IF(IFERROR(VLOOKUP(G62,DB_Agents!$B:$I,8,0),"")=H62,IF(AND(A62&lt;&gt;"",E62&lt;&gt;""),"Saved","Pending"),"🔒 BLOCKED — Wrong Code")))</f>
        <v>Pending</v>
      </c>
      <c r="J62" s="93" t="str">
        <f t="shared" ca="1" si="5"/>
        <v>—</v>
      </c>
      <c r="K62" s="94"/>
    </row>
    <row r="63" spans="1:11" x14ac:dyDescent="0.25">
      <c r="A63" s="79"/>
      <c r="B63" s="21" t="str">
        <f>IF(A63="","",IFERROR(VLOOKUP(A63,DB_Customers!$A:$D,4,0),"❌ Account Not Found"))</f>
        <v/>
      </c>
      <c r="C63" s="80" t="str">
        <f>IF(A63="","",IFERROR(VLOOKUP(A63,DB_Customers!$A:$N,14,0),""))</f>
        <v/>
      </c>
      <c r="D63" s="81" t="str">
        <f t="shared" ca="1" si="3"/>
        <v/>
      </c>
      <c r="E63" s="82"/>
      <c r="F63" s="83" t="str">
        <f t="shared" si="4"/>
        <v/>
      </c>
      <c r="G63" s="23"/>
      <c r="H63" s="84"/>
      <c r="I63" s="85" t="str">
        <f>IF(A63="","Pending",IF(H63="","⚠️ Enter Code",IF(IFERROR(VLOOKUP(G63,DB_Agents!$B:$I,8,0),"")=H63,IF(AND(A63&lt;&gt;"",E63&lt;&gt;""),"Saved","Pending"),"🔒 BLOCKED — Wrong Code")))</f>
        <v>Pending</v>
      </c>
      <c r="J63" s="86" t="str">
        <f t="shared" ca="1" si="5"/>
        <v>—</v>
      </c>
      <c r="K63" s="87"/>
    </row>
    <row r="64" spans="1:11" x14ac:dyDescent="0.25">
      <c r="A64" s="88"/>
      <c r="B64" s="25" t="str">
        <f>IF(A64="","",IFERROR(VLOOKUP(A64,DB_Customers!$A:$D,4,0),"❌ Account Not Found"))</f>
        <v/>
      </c>
      <c r="C64" s="89" t="str">
        <f>IF(A64="","",IFERROR(VLOOKUP(A64,DB_Customers!$A:$N,14,0),""))</f>
        <v/>
      </c>
      <c r="D64" s="90" t="str">
        <f t="shared" ca="1" si="3"/>
        <v/>
      </c>
      <c r="E64" s="82"/>
      <c r="F64" s="91" t="str">
        <f t="shared" si="4"/>
        <v/>
      </c>
      <c r="G64" s="27"/>
      <c r="H64" s="84"/>
      <c r="I64" s="92" t="str">
        <f>IF(A64="","Pending",IF(H64="","⚠️ Enter Code",IF(IFERROR(VLOOKUP(G64,DB_Agents!$B:$I,8,0),"")=H64,IF(AND(A64&lt;&gt;"",E64&lt;&gt;""),"Saved","Pending"),"🔒 BLOCKED — Wrong Code")))</f>
        <v>Pending</v>
      </c>
      <c r="J64" s="93" t="str">
        <f t="shared" ca="1" si="5"/>
        <v>—</v>
      </c>
      <c r="K64" s="94"/>
    </row>
    <row r="65" spans="1:11" x14ac:dyDescent="0.25">
      <c r="A65" s="79"/>
      <c r="B65" s="21" t="str">
        <f>IF(A65="","",IFERROR(VLOOKUP(A65,DB_Customers!$A:$D,4,0),"❌ Account Not Found"))</f>
        <v/>
      </c>
      <c r="C65" s="80" t="str">
        <f>IF(A65="","",IFERROR(VLOOKUP(A65,DB_Customers!$A:$N,14,0),""))</f>
        <v/>
      </c>
      <c r="D65" s="81" t="str">
        <f t="shared" ca="1" si="3"/>
        <v/>
      </c>
      <c r="E65" s="82"/>
      <c r="F65" s="83" t="str">
        <f t="shared" si="4"/>
        <v/>
      </c>
      <c r="G65" s="23"/>
      <c r="H65" s="84"/>
      <c r="I65" s="85" t="str">
        <f>IF(A65="","Pending",IF(H65="","⚠️ Enter Code",IF(IFERROR(VLOOKUP(G65,DB_Agents!$B:$I,8,0),"")=H65,IF(AND(A65&lt;&gt;"",E65&lt;&gt;""),"Saved","Pending"),"🔒 BLOCKED — Wrong Code")))</f>
        <v>Pending</v>
      </c>
      <c r="J65" s="86" t="str">
        <f t="shared" ca="1" si="5"/>
        <v>—</v>
      </c>
      <c r="K65" s="87"/>
    </row>
    <row r="66" spans="1:11" x14ac:dyDescent="0.25">
      <c r="A66" s="88"/>
      <c r="B66" s="25" t="str">
        <f>IF(A66="","",IFERROR(VLOOKUP(A66,DB_Customers!$A:$D,4,0),"❌ Account Not Found"))</f>
        <v/>
      </c>
      <c r="C66" s="89" t="str">
        <f>IF(A66="","",IFERROR(VLOOKUP(A66,DB_Customers!$A:$N,14,0),""))</f>
        <v/>
      </c>
      <c r="D66" s="90" t="str">
        <f t="shared" ca="1" si="3"/>
        <v/>
      </c>
      <c r="E66" s="82"/>
      <c r="F66" s="91" t="str">
        <f t="shared" si="4"/>
        <v/>
      </c>
      <c r="G66" s="27"/>
      <c r="H66" s="84"/>
      <c r="I66" s="92" t="str">
        <f>IF(A66="","Pending",IF(H66="","⚠️ Enter Code",IF(IFERROR(VLOOKUP(G66,DB_Agents!$B:$I,8,0),"")=H66,IF(AND(A66&lt;&gt;"",E66&lt;&gt;""),"Saved","Pending"),"🔒 BLOCKED — Wrong Code")))</f>
        <v>Pending</v>
      </c>
      <c r="J66" s="93" t="str">
        <f t="shared" ca="1" si="5"/>
        <v>—</v>
      </c>
      <c r="K66" s="94"/>
    </row>
    <row r="67" spans="1:11" x14ac:dyDescent="0.25">
      <c r="A67" s="79"/>
      <c r="B67" s="21" t="str">
        <f>IF(A67="","",IFERROR(VLOOKUP(A67,DB_Customers!$A:$D,4,0),"❌ Account Not Found"))</f>
        <v/>
      </c>
      <c r="C67" s="80" t="str">
        <f>IF(A67="","",IFERROR(VLOOKUP(A67,DB_Customers!$A:$N,14,0),""))</f>
        <v/>
      </c>
      <c r="D67" s="81" t="str">
        <f t="shared" ca="1" si="3"/>
        <v/>
      </c>
      <c r="E67" s="82"/>
      <c r="F67" s="83" t="str">
        <f t="shared" si="4"/>
        <v/>
      </c>
      <c r="G67" s="23"/>
      <c r="H67" s="84"/>
      <c r="I67" s="85" t="str">
        <f>IF(A67="","Pending",IF(H67="","⚠️ Enter Code",IF(IFERROR(VLOOKUP(G67,DB_Agents!$B:$I,8,0),"")=H67,IF(AND(A67&lt;&gt;"",E67&lt;&gt;""),"Saved","Pending"),"🔒 BLOCKED — Wrong Code")))</f>
        <v>Pending</v>
      </c>
      <c r="J67" s="86" t="str">
        <f t="shared" ca="1" si="5"/>
        <v>—</v>
      </c>
      <c r="K67" s="87"/>
    </row>
    <row r="68" spans="1:11" x14ac:dyDescent="0.25">
      <c r="A68" s="88"/>
      <c r="B68" s="25" t="str">
        <f>IF(A68="","",IFERROR(VLOOKUP(A68,DB_Customers!$A:$D,4,0),"❌ Account Not Found"))</f>
        <v/>
      </c>
      <c r="C68" s="89" t="str">
        <f>IF(A68="","",IFERROR(VLOOKUP(A68,DB_Customers!$A:$N,14,0),""))</f>
        <v/>
      </c>
      <c r="D68" s="90" t="str">
        <f t="shared" ca="1" si="3"/>
        <v/>
      </c>
      <c r="E68" s="82"/>
      <c r="F68" s="91" t="str">
        <f t="shared" si="4"/>
        <v/>
      </c>
      <c r="G68" s="27"/>
      <c r="H68" s="84"/>
      <c r="I68" s="92" t="str">
        <f>IF(A68="","Pending",IF(H68="","⚠️ Enter Code",IF(IFERROR(VLOOKUP(G68,DB_Agents!$B:$I,8,0),"")=H68,IF(AND(A68&lt;&gt;"",E68&lt;&gt;""),"Saved","Pending"),"🔒 BLOCKED — Wrong Code")))</f>
        <v>Pending</v>
      </c>
      <c r="J68" s="93" t="str">
        <f t="shared" ca="1" si="5"/>
        <v>—</v>
      </c>
      <c r="K68" s="94"/>
    </row>
    <row r="69" spans="1:11" x14ac:dyDescent="0.25">
      <c r="A69" s="79"/>
      <c r="B69" s="21" t="str">
        <f>IF(A69="","",IFERROR(VLOOKUP(A69,DB_Customers!$A:$D,4,0),"❌ Account Not Found"))</f>
        <v/>
      </c>
      <c r="C69" s="80" t="str">
        <f>IF(A69="","",IFERROR(VLOOKUP(A69,DB_Customers!$A:$N,14,0),""))</f>
        <v/>
      </c>
      <c r="D69" s="81" t="str">
        <f t="shared" ca="1" si="3"/>
        <v/>
      </c>
      <c r="E69" s="82"/>
      <c r="F69" s="83" t="str">
        <f t="shared" si="4"/>
        <v/>
      </c>
      <c r="G69" s="23"/>
      <c r="H69" s="84"/>
      <c r="I69" s="85" t="str">
        <f>IF(A69="","Pending",IF(H69="","⚠️ Enter Code",IF(IFERROR(VLOOKUP(G69,DB_Agents!$B:$I,8,0),"")=H69,IF(AND(A69&lt;&gt;"",E69&lt;&gt;""),"Saved","Pending"),"🔒 BLOCKED — Wrong Code")))</f>
        <v>Pending</v>
      </c>
      <c r="J69" s="86" t="str">
        <f t="shared" ca="1" si="5"/>
        <v>—</v>
      </c>
      <c r="K69" s="87"/>
    </row>
    <row r="70" spans="1:11" x14ac:dyDescent="0.25">
      <c r="A70" s="88"/>
      <c r="B70" s="25" t="str">
        <f>IF(A70="","",IFERROR(VLOOKUP(A70,DB_Customers!$A:$D,4,0),"❌ Account Not Found"))</f>
        <v/>
      </c>
      <c r="C70" s="89" t="str">
        <f>IF(A70="","",IFERROR(VLOOKUP(A70,DB_Customers!$A:$N,14,0),""))</f>
        <v/>
      </c>
      <c r="D70" s="90" t="str">
        <f t="shared" ca="1" si="3"/>
        <v/>
      </c>
      <c r="E70" s="82"/>
      <c r="F70" s="91" t="str">
        <f t="shared" si="4"/>
        <v/>
      </c>
      <c r="G70" s="27"/>
      <c r="H70" s="84"/>
      <c r="I70" s="92" t="str">
        <f>IF(A70="","Pending",IF(H70="","⚠️ Enter Code",IF(IFERROR(VLOOKUP(G70,DB_Agents!$B:$I,8,0),"")=H70,IF(AND(A70&lt;&gt;"",E70&lt;&gt;""),"Saved","Pending"),"🔒 BLOCKED — Wrong Code")))</f>
        <v>Pending</v>
      </c>
      <c r="J70" s="93" t="str">
        <f t="shared" ca="1" si="5"/>
        <v>—</v>
      </c>
      <c r="K70" s="94"/>
    </row>
    <row r="71" spans="1:11" x14ac:dyDescent="0.25">
      <c r="A71" s="79"/>
      <c r="B71" s="21" t="str">
        <f>IF(A71="","",IFERROR(VLOOKUP(A71,DB_Customers!$A:$D,4,0),"❌ Account Not Found"))</f>
        <v/>
      </c>
      <c r="C71" s="80" t="str">
        <f>IF(A71="","",IFERROR(VLOOKUP(A71,DB_Customers!$A:$N,14,0),""))</f>
        <v/>
      </c>
      <c r="D71" s="81" t="str">
        <f t="shared" ca="1" si="3"/>
        <v/>
      </c>
      <c r="E71" s="82"/>
      <c r="F71" s="83" t="str">
        <f t="shared" si="4"/>
        <v/>
      </c>
      <c r="G71" s="23"/>
      <c r="H71" s="84"/>
      <c r="I71" s="85" t="str">
        <f>IF(A71="","Pending",IF(H71="","⚠️ Enter Code",IF(IFERROR(VLOOKUP(G71,DB_Agents!$B:$I,8,0),"")=H71,IF(AND(A71&lt;&gt;"",E71&lt;&gt;""),"Saved","Pending"),"🔒 BLOCKED — Wrong Code")))</f>
        <v>Pending</v>
      </c>
      <c r="J71" s="86" t="str">
        <f t="shared" ca="1" si="5"/>
        <v>—</v>
      </c>
      <c r="K71" s="87"/>
    </row>
    <row r="72" spans="1:11" x14ac:dyDescent="0.25">
      <c r="A72" s="88"/>
      <c r="B72" s="25" t="str">
        <f>IF(A72="","",IFERROR(VLOOKUP(A72,DB_Customers!$A:$D,4,0),"❌ Account Not Found"))</f>
        <v/>
      </c>
      <c r="C72" s="89" t="str">
        <f>IF(A72="","",IFERROR(VLOOKUP(A72,DB_Customers!$A:$N,14,0),""))</f>
        <v/>
      </c>
      <c r="D72" s="90" t="str">
        <f t="shared" ca="1" si="3"/>
        <v/>
      </c>
      <c r="E72" s="82"/>
      <c r="F72" s="91" t="str">
        <f t="shared" si="4"/>
        <v/>
      </c>
      <c r="G72" s="27"/>
      <c r="H72" s="84"/>
      <c r="I72" s="92" t="str">
        <f>IF(A72="","Pending",IF(H72="","⚠️ Enter Code",IF(IFERROR(VLOOKUP(G72,DB_Agents!$B:$I,8,0),"")=H72,IF(AND(A72&lt;&gt;"",E72&lt;&gt;""),"Saved","Pending"),"🔒 BLOCKED — Wrong Code")))</f>
        <v>Pending</v>
      </c>
      <c r="J72" s="93" t="str">
        <f t="shared" ca="1" si="5"/>
        <v>—</v>
      </c>
      <c r="K72" s="94"/>
    </row>
    <row r="73" spans="1:11" x14ac:dyDescent="0.25">
      <c r="A73" s="79"/>
      <c r="B73" s="21" t="str">
        <f>IF(A73="","",IFERROR(VLOOKUP(A73,DB_Customers!$A:$D,4,0),"❌ Account Not Found"))</f>
        <v/>
      </c>
      <c r="C73" s="80" t="str">
        <f>IF(A73="","",IFERROR(VLOOKUP(A73,DB_Customers!$A:$N,14,0),""))</f>
        <v/>
      </c>
      <c r="D73" s="81" t="str">
        <f t="shared" ref="D73:D104" ca="1" si="6">IF(A73="","",TODAY())</f>
        <v/>
      </c>
      <c r="E73" s="82"/>
      <c r="F73" s="83" t="str">
        <f t="shared" ref="F73:F104" si="7">IF(OR(A73="",E73=""),"",IF(C73="","",C73+E73))</f>
        <v/>
      </c>
      <c r="G73" s="23"/>
      <c r="H73" s="84"/>
      <c r="I73" s="85" t="str">
        <f>IF(A73="","Pending",IF(H73="","⚠️ Enter Code",IF(IFERROR(VLOOKUP(G73,DB_Agents!$B:$I,8,0),"")=H73,IF(AND(A73&lt;&gt;"",E73&lt;&gt;""),"Saved","Pending"),"🔒 BLOCKED — Wrong Code")))</f>
        <v>Pending</v>
      </c>
      <c r="J73" s="86" t="str">
        <f t="shared" ref="J73:J104" ca="1" si="8">IF(I73="Saved",TEXT(TODAY(),"YYYY-MM-DD")&amp;" Auto","—")</f>
        <v>—</v>
      </c>
      <c r="K73" s="87"/>
    </row>
    <row r="74" spans="1:11" x14ac:dyDescent="0.25">
      <c r="A74" s="88"/>
      <c r="B74" s="25" t="str">
        <f>IF(A74="","",IFERROR(VLOOKUP(A74,DB_Customers!$A:$D,4,0),"❌ Account Not Found"))</f>
        <v/>
      </c>
      <c r="C74" s="89" t="str">
        <f>IF(A74="","",IFERROR(VLOOKUP(A74,DB_Customers!$A:$N,14,0),""))</f>
        <v/>
      </c>
      <c r="D74" s="90" t="str">
        <f t="shared" ca="1" si="6"/>
        <v/>
      </c>
      <c r="E74" s="82"/>
      <c r="F74" s="91" t="str">
        <f t="shared" si="7"/>
        <v/>
      </c>
      <c r="G74" s="27"/>
      <c r="H74" s="84"/>
      <c r="I74" s="92" t="str">
        <f>IF(A74="","Pending",IF(H74="","⚠️ Enter Code",IF(IFERROR(VLOOKUP(G74,DB_Agents!$B:$I,8,0),"")=H74,IF(AND(A74&lt;&gt;"",E74&lt;&gt;""),"Saved","Pending"),"🔒 BLOCKED — Wrong Code")))</f>
        <v>Pending</v>
      </c>
      <c r="J74" s="93" t="str">
        <f t="shared" ca="1" si="8"/>
        <v>—</v>
      </c>
      <c r="K74" s="94"/>
    </row>
    <row r="75" spans="1:11" x14ac:dyDescent="0.25">
      <c r="A75" s="79"/>
      <c r="B75" s="21" t="str">
        <f>IF(A75="","",IFERROR(VLOOKUP(A75,DB_Customers!$A:$D,4,0),"❌ Account Not Found"))</f>
        <v/>
      </c>
      <c r="C75" s="80" t="str">
        <f>IF(A75="","",IFERROR(VLOOKUP(A75,DB_Customers!$A:$N,14,0),""))</f>
        <v/>
      </c>
      <c r="D75" s="81" t="str">
        <f t="shared" ca="1" si="6"/>
        <v/>
      </c>
      <c r="E75" s="82"/>
      <c r="F75" s="83" t="str">
        <f t="shared" si="7"/>
        <v/>
      </c>
      <c r="G75" s="23"/>
      <c r="H75" s="84"/>
      <c r="I75" s="85" t="str">
        <f>IF(A75="","Pending",IF(H75="","⚠️ Enter Code",IF(IFERROR(VLOOKUP(G75,DB_Agents!$B:$I,8,0),"")=H75,IF(AND(A75&lt;&gt;"",E75&lt;&gt;""),"Saved","Pending"),"🔒 BLOCKED — Wrong Code")))</f>
        <v>Pending</v>
      </c>
      <c r="J75" s="86" t="str">
        <f t="shared" ca="1" si="8"/>
        <v>—</v>
      </c>
      <c r="K75" s="87"/>
    </row>
    <row r="76" spans="1:11" x14ac:dyDescent="0.25">
      <c r="A76" s="88"/>
      <c r="B76" s="25" t="str">
        <f>IF(A76="","",IFERROR(VLOOKUP(A76,DB_Customers!$A:$D,4,0),"❌ Account Not Found"))</f>
        <v/>
      </c>
      <c r="C76" s="89" t="str">
        <f>IF(A76="","",IFERROR(VLOOKUP(A76,DB_Customers!$A:$N,14,0),""))</f>
        <v/>
      </c>
      <c r="D76" s="90" t="str">
        <f t="shared" ca="1" si="6"/>
        <v/>
      </c>
      <c r="E76" s="82"/>
      <c r="F76" s="91" t="str">
        <f t="shared" si="7"/>
        <v/>
      </c>
      <c r="G76" s="27"/>
      <c r="H76" s="84"/>
      <c r="I76" s="92" t="str">
        <f>IF(A76="","Pending",IF(H76="","⚠️ Enter Code",IF(IFERROR(VLOOKUP(G76,DB_Agents!$B:$I,8,0),"")=H76,IF(AND(A76&lt;&gt;"",E76&lt;&gt;""),"Saved","Pending"),"🔒 BLOCKED — Wrong Code")))</f>
        <v>Pending</v>
      </c>
      <c r="J76" s="93" t="str">
        <f t="shared" ca="1" si="8"/>
        <v>—</v>
      </c>
      <c r="K76" s="94"/>
    </row>
    <row r="77" spans="1:11" x14ac:dyDescent="0.25">
      <c r="A77" s="79"/>
      <c r="B77" s="21" t="str">
        <f>IF(A77="","",IFERROR(VLOOKUP(A77,DB_Customers!$A:$D,4,0),"❌ Account Not Found"))</f>
        <v/>
      </c>
      <c r="C77" s="80" t="str">
        <f>IF(A77="","",IFERROR(VLOOKUP(A77,DB_Customers!$A:$N,14,0),""))</f>
        <v/>
      </c>
      <c r="D77" s="81" t="str">
        <f t="shared" ca="1" si="6"/>
        <v/>
      </c>
      <c r="E77" s="82"/>
      <c r="F77" s="83" t="str">
        <f t="shared" si="7"/>
        <v/>
      </c>
      <c r="G77" s="23"/>
      <c r="H77" s="84"/>
      <c r="I77" s="85" t="str">
        <f>IF(A77="","Pending",IF(H77="","⚠️ Enter Code",IF(IFERROR(VLOOKUP(G77,DB_Agents!$B:$I,8,0),"")=H77,IF(AND(A77&lt;&gt;"",E77&lt;&gt;""),"Saved","Pending"),"🔒 BLOCKED — Wrong Code")))</f>
        <v>Pending</v>
      </c>
      <c r="J77" s="86" t="str">
        <f t="shared" ca="1" si="8"/>
        <v>—</v>
      </c>
      <c r="K77" s="87"/>
    </row>
    <row r="78" spans="1:11" x14ac:dyDescent="0.25">
      <c r="A78" s="88"/>
      <c r="B78" s="25" t="str">
        <f>IF(A78="","",IFERROR(VLOOKUP(A78,DB_Customers!$A:$D,4,0),"❌ Account Not Found"))</f>
        <v/>
      </c>
      <c r="C78" s="89" t="str">
        <f>IF(A78="","",IFERROR(VLOOKUP(A78,DB_Customers!$A:$N,14,0),""))</f>
        <v/>
      </c>
      <c r="D78" s="90" t="str">
        <f t="shared" ca="1" si="6"/>
        <v/>
      </c>
      <c r="E78" s="82"/>
      <c r="F78" s="91" t="str">
        <f t="shared" si="7"/>
        <v/>
      </c>
      <c r="G78" s="27"/>
      <c r="H78" s="84"/>
      <c r="I78" s="92" t="str">
        <f>IF(A78="","Pending",IF(H78="","⚠️ Enter Code",IF(IFERROR(VLOOKUP(G78,DB_Agents!$B:$I,8,0),"")=H78,IF(AND(A78&lt;&gt;"",E78&lt;&gt;""),"Saved","Pending"),"🔒 BLOCKED — Wrong Code")))</f>
        <v>Pending</v>
      </c>
      <c r="J78" s="93" t="str">
        <f t="shared" ca="1" si="8"/>
        <v>—</v>
      </c>
      <c r="K78" s="94"/>
    </row>
    <row r="79" spans="1:11" x14ac:dyDescent="0.25">
      <c r="A79" s="79"/>
      <c r="B79" s="21" t="str">
        <f>IF(A79="","",IFERROR(VLOOKUP(A79,DB_Customers!$A:$D,4,0),"❌ Account Not Found"))</f>
        <v/>
      </c>
      <c r="C79" s="80" t="str">
        <f>IF(A79="","",IFERROR(VLOOKUP(A79,DB_Customers!$A:$N,14,0),""))</f>
        <v/>
      </c>
      <c r="D79" s="81" t="str">
        <f t="shared" ca="1" si="6"/>
        <v/>
      </c>
      <c r="E79" s="82"/>
      <c r="F79" s="83" t="str">
        <f t="shared" si="7"/>
        <v/>
      </c>
      <c r="G79" s="23"/>
      <c r="H79" s="84"/>
      <c r="I79" s="85" t="str">
        <f>IF(A79="","Pending",IF(H79="","⚠️ Enter Code",IF(IFERROR(VLOOKUP(G79,DB_Agents!$B:$I,8,0),"")=H79,IF(AND(A79&lt;&gt;"",E79&lt;&gt;""),"Saved","Pending"),"🔒 BLOCKED — Wrong Code")))</f>
        <v>Pending</v>
      </c>
      <c r="J79" s="86" t="str">
        <f t="shared" ca="1" si="8"/>
        <v>—</v>
      </c>
      <c r="K79" s="87"/>
    </row>
    <row r="80" spans="1:11" x14ac:dyDescent="0.25">
      <c r="A80" s="88"/>
      <c r="B80" s="25" t="str">
        <f>IF(A80="","",IFERROR(VLOOKUP(A80,DB_Customers!$A:$D,4,0),"❌ Account Not Found"))</f>
        <v/>
      </c>
      <c r="C80" s="89" t="str">
        <f>IF(A80="","",IFERROR(VLOOKUP(A80,DB_Customers!$A:$N,14,0),""))</f>
        <v/>
      </c>
      <c r="D80" s="90" t="str">
        <f t="shared" ca="1" si="6"/>
        <v/>
      </c>
      <c r="E80" s="82"/>
      <c r="F80" s="91" t="str">
        <f t="shared" si="7"/>
        <v/>
      </c>
      <c r="G80" s="27"/>
      <c r="H80" s="84"/>
      <c r="I80" s="92" t="str">
        <f>IF(A80="","Pending",IF(H80="","⚠️ Enter Code",IF(IFERROR(VLOOKUP(G80,DB_Agents!$B:$I,8,0),"")=H80,IF(AND(A80&lt;&gt;"",E80&lt;&gt;""),"Saved","Pending"),"🔒 BLOCKED — Wrong Code")))</f>
        <v>Pending</v>
      </c>
      <c r="J80" s="93" t="str">
        <f t="shared" ca="1" si="8"/>
        <v>—</v>
      </c>
      <c r="K80" s="94"/>
    </row>
    <row r="81" spans="1:11" x14ac:dyDescent="0.25">
      <c r="A81" s="79"/>
      <c r="B81" s="21" t="str">
        <f>IF(A81="","",IFERROR(VLOOKUP(A81,DB_Customers!$A:$D,4,0),"❌ Account Not Found"))</f>
        <v/>
      </c>
      <c r="C81" s="80" t="str">
        <f>IF(A81="","",IFERROR(VLOOKUP(A81,DB_Customers!$A:$N,14,0),""))</f>
        <v/>
      </c>
      <c r="D81" s="81" t="str">
        <f t="shared" ca="1" si="6"/>
        <v/>
      </c>
      <c r="E81" s="82"/>
      <c r="F81" s="83" t="str">
        <f t="shared" si="7"/>
        <v/>
      </c>
      <c r="G81" s="23"/>
      <c r="H81" s="84"/>
      <c r="I81" s="85" t="str">
        <f>IF(A81="","Pending",IF(H81="","⚠️ Enter Code",IF(IFERROR(VLOOKUP(G81,DB_Agents!$B:$I,8,0),"")=H81,IF(AND(A81&lt;&gt;"",E81&lt;&gt;""),"Saved","Pending"),"🔒 BLOCKED — Wrong Code")))</f>
        <v>Pending</v>
      </c>
      <c r="J81" s="86" t="str">
        <f t="shared" ca="1" si="8"/>
        <v>—</v>
      </c>
      <c r="K81" s="87"/>
    </row>
    <row r="82" spans="1:11" x14ac:dyDescent="0.25">
      <c r="A82" s="88"/>
      <c r="B82" s="25" t="str">
        <f>IF(A82="","",IFERROR(VLOOKUP(A82,DB_Customers!$A:$D,4,0),"❌ Account Not Found"))</f>
        <v/>
      </c>
      <c r="C82" s="89" t="str">
        <f>IF(A82="","",IFERROR(VLOOKUP(A82,DB_Customers!$A:$N,14,0),""))</f>
        <v/>
      </c>
      <c r="D82" s="90" t="str">
        <f t="shared" ca="1" si="6"/>
        <v/>
      </c>
      <c r="E82" s="82"/>
      <c r="F82" s="91" t="str">
        <f t="shared" si="7"/>
        <v/>
      </c>
      <c r="G82" s="27"/>
      <c r="H82" s="84"/>
      <c r="I82" s="92" t="str">
        <f>IF(A82="","Pending",IF(H82="","⚠️ Enter Code",IF(IFERROR(VLOOKUP(G82,DB_Agents!$B:$I,8,0),"")=H82,IF(AND(A82&lt;&gt;"",E82&lt;&gt;""),"Saved","Pending"),"🔒 BLOCKED — Wrong Code")))</f>
        <v>Pending</v>
      </c>
      <c r="J82" s="93" t="str">
        <f t="shared" ca="1" si="8"/>
        <v>—</v>
      </c>
      <c r="K82" s="94"/>
    </row>
    <row r="83" spans="1:11" x14ac:dyDescent="0.25">
      <c r="A83" s="79"/>
      <c r="B83" s="21" t="str">
        <f>IF(A83="","",IFERROR(VLOOKUP(A83,DB_Customers!$A:$D,4,0),"❌ Account Not Found"))</f>
        <v/>
      </c>
      <c r="C83" s="80" t="str">
        <f>IF(A83="","",IFERROR(VLOOKUP(A83,DB_Customers!$A:$N,14,0),""))</f>
        <v/>
      </c>
      <c r="D83" s="81" t="str">
        <f t="shared" ca="1" si="6"/>
        <v/>
      </c>
      <c r="E83" s="82"/>
      <c r="F83" s="83" t="str">
        <f t="shared" si="7"/>
        <v/>
      </c>
      <c r="G83" s="23"/>
      <c r="H83" s="84"/>
      <c r="I83" s="85" t="str">
        <f>IF(A83="","Pending",IF(H83="","⚠️ Enter Code",IF(IFERROR(VLOOKUP(G83,DB_Agents!$B:$I,8,0),"")=H83,IF(AND(A83&lt;&gt;"",E83&lt;&gt;""),"Saved","Pending"),"🔒 BLOCKED — Wrong Code")))</f>
        <v>Pending</v>
      </c>
      <c r="J83" s="86" t="str">
        <f t="shared" ca="1" si="8"/>
        <v>—</v>
      </c>
      <c r="K83" s="87"/>
    </row>
    <row r="84" spans="1:11" x14ac:dyDescent="0.25">
      <c r="A84" s="88"/>
      <c r="B84" s="25" t="str">
        <f>IF(A84="","",IFERROR(VLOOKUP(A84,DB_Customers!$A:$D,4,0),"❌ Account Not Found"))</f>
        <v/>
      </c>
      <c r="C84" s="89" t="str">
        <f>IF(A84="","",IFERROR(VLOOKUP(A84,DB_Customers!$A:$N,14,0),""))</f>
        <v/>
      </c>
      <c r="D84" s="90" t="str">
        <f t="shared" ca="1" si="6"/>
        <v/>
      </c>
      <c r="E84" s="82"/>
      <c r="F84" s="91" t="str">
        <f t="shared" si="7"/>
        <v/>
      </c>
      <c r="G84" s="27"/>
      <c r="H84" s="84"/>
      <c r="I84" s="92" t="str">
        <f>IF(A84="","Pending",IF(H84="","⚠️ Enter Code",IF(IFERROR(VLOOKUP(G84,DB_Agents!$B:$I,8,0),"")=H84,IF(AND(A84&lt;&gt;"",E84&lt;&gt;""),"Saved","Pending"),"🔒 BLOCKED — Wrong Code")))</f>
        <v>Pending</v>
      </c>
      <c r="J84" s="93" t="str">
        <f t="shared" ca="1" si="8"/>
        <v>—</v>
      </c>
      <c r="K84" s="94"/>
    </row>
    <row r="85" spans="1:11" x14ac:dyDescent="0.25">
      <c r="A85" s="79"/>
      <c r="B85" s="21" t="str">
        <f>IF(A85="","",IFERROR(VLOOKUP(A85,DB_Customers!$A:$D,4,0),"❌ Account Not Found"))</f>
        <v/>
      </c>
      <c r="C85" s="80" t="str">
        <f>IF(A85="","",IFERROR(VLOOKUP(A85,DB_Customers!$A:$N,14,0),""))</f>
        <v/>
      </c>
      <c r="D85" s="81" t="str">
        <f t="shared" ca="1" si="6"/>
        <v/>
      </c>
      <c r="E85" s="82"/>
      <c r="F85" s="83" t="str">
        <f t="shared" si="7"/>
        <v/>
      </c>
      <c r="G85" s="23"/>
      <c r="H85" s="84"/>
      <c r="I85" s="85" t="str">
        <f>IF(A85="","Pending",IF(H85="","⚠️ Enter Code",IF(IFERROR(VLOOKUP(G85,DB_Agents!$B:$I,8,0),"")=H85,IF(AND(A85&lt;&gt;"",E85&lt;&gt;""),"Saved","Pending"),"🔒 BLOCKED — Wrong Code")))</f>
        <v>Pending</v>
      </c>
      <c r="J85" s="86" t="str">
        <f t="shared" ca="1" si="8"/>
        <v>—</v>
      </c>
      <c r="K85" s="87"/>
    </row>
    <row r="86" spans="1:11" x14ac:dyDescent="0.25">
      <c r="A86" s="88"/>
      <c r="B86" s="25" t="str">
        <f>IF(A86="","",IFERROR(VLOOKUP(A86,DB_Customers!$A:$D,4,0),"❌ Account Not Found"))</f>
        <v/>
      </c>
      <c r="C86" s="89" t="str">
        <f>IF(A86="","",IFERROR(VLOOKUP(A86,DB_Customers!$A:$N,14,0),""))</f>
        <v/>
      </c>
      <c r="D86" s="90" t="str">
        <f t="shared" ca="1" si="6"/>
        <v/>
      </c>
      <c r="E86" s="82"/>
      <c r="F86" s="91" t="str">
        <f t="shared" si="7"/>
        <v/>
      </c>
      <c r="G86" s="27"/>
      <c r="H86" s="84"/>
      <c r="I86" s="92" t="str">
        <f>IF(A86="","Pending",IF(H86="","⚠️ Enter Code",IF(IFERROR(VLOOKUP(G86,DB_Agents!$B:$I,8,0),"")=H86,IF(AND(A86&lt;&gt;"",E86&lt;&gt;""),"Saved","Pending"),"🔒 BLOCKED — Wrong Code")))</f>
        <v>Pending</v>
      </c>
      <c r="J86" s="93" t="str">
        <f t="shared" ca="1" si="8"/>
        <v>—</v>
      </c>
      <c r="K86" s="94"/>
    </row>
    <row r="87" spans="1:11" x14ac:dyDescent="0.25">
      <c r="A87" s="79"/>
      <c r="B87" s="21" t="str">
        <f>IF(A87="","",IFERROR(VLOOKUP(A87,DB_Customers!$A:$D,4,0),"❌ Account Not Found"))</f>
        <v/>
      </c>
      <c r="C87" s="80" t="str">
        <f>IF(A87="","",IFERROR(VLOOKUP(A87,DB_Customers!$A:$N,14,0),""))</f>
        <v/>
      </c>
      <c r="D87" s="81" t="str">
        <f t="shared" ca="1" si="6"/>
        <v/>
      </c>
      <c r="E87" s="82"/>
      <c r="F87" s="83" t="str">
        <f t="shared" si="7"/>
        <v/>
      </c>
      <c r="G87" s="23"/>
      <c r="H87" s="84"/>
      <c r="I87" s="85" t="str">
        <f>IF(A87="","Pending",IF(H87="","⚠️ Enter Code",IF(IFERROR(VLOOKUP(G87,DB_Agents!$B:$I,8,0),"")=H87,IF(AND(A87&lt;&gt;"",E87&lt;&gt;""),"Saved","Pending"),"🔒 BLOCKED — Wrong Code")))</f>
        <v>Pending</v>
      </c>
      <c r="J87" s="86" t="str">
        <f t="shared" ca="1" si="8"/>
        <v>—</v>
      </c>
      <c r="K87" s="87"/>
    </row>
    <row r="88" spans="1:11" x14ac:dyDescent="0.25">
      <c r="A88" s="88"/>
      <c r="B88" s="25" t="str">
        <f>IF(A88="","",IFERROR(VLOOKUP(A88,DB_Customers!$A:$D,4,0),"❌ Account Not Found"))</f>
        <v/>
      </c>
      <c r="C88" s="89" t="str">
        <f>IF(A88="","",IFERROR(VLOOKUP(A88,DB_Customers!$A:$N,14,0),""))</f>
        <v/>
      </c>
      <c r="D88" s="90" t="str">
        <f t="shared" ca="1" si="6"/>
        <v/>
      </c>
      <c r="E88" s="82"/>
      <c r="F88" s="91" t="str">
        <f t="shared" si="7"/>
        <v/>
      </c>
      <c r="G88" s="27"/>
      <c r="H88" s="84"/>
      <c r="I88" s="92" t="str">
        <f>IF(A88="","Pending",IF(H88="","⚠️ Enter Code",IF(IFERROR(VLOOKUP(G88,DB_Agents!$B:$I,8,0),"")=H88,IF(AND(A88&lt;&gt;"",E88&lt;&gt;""),"Saved","Pending"),"🔒 BLOCKED — Wrong Code")))</f>
        <v>Pending</v>
      </c>
      <c r="J88" s="93" t="str">
        <f t="shared" ca="1" si="8"/>
        <v>—</v>
      </c>
      <c r="K88" s="94"/>
    </row>
    <row r="89" spans="1:11" x14ac:dyDescent="0.25">
      <c r="A89" s="79"/>
      <c r="B89" s="21" t="str">
        <f>IF(A89="","",IFERROR(VLOOKUP(A89,DB_Customers!$A:$D,4,0),"❌ Account Not Found"))</f>
        <v/>
      </c>
      <c r="C89" s="80" t="str">
        <f>IF(A89="","",IFERROR(VLOOKUP(A89,DB_Customers!$A:$N,14,0),""))</f>
        <v/>
      </c>
      <c r="D89" s="81" t="str">
        <f t="shared" ca="1" si="6"/>
        <v/>
      </c>
      <c r="E89" s="82"/>
      <c r="F89" s="83" t="str">
        <f t="shared" si="7"/>
        <v/>
      </c>
      <c r="G89" s="23"/>
      <c r="H89" s="84"/>
      <c r="I89" s="85" t="str">
        <f>IF(A89="","Pending",IF(H89="","⚠️ Enter Code",IF(IFERROR(VLOOKUP(G89,DB_Agents!$B:$I,8,0),"")=H89,IF(AND(A89&lt;&gt;"",E89&lt;&gt;""),"Saved","Pending"),"🔒 BLOCKED — Wrong Code")))</f>
        <v>Pending</v>
      </c>
      <c r="J89" s="86" t="str">
        <f t="shared" ca="1" si="8"/>
        <v>—</v>
      </c>
      <c r="K89" s="87"/>
    </row>
    <row r="90" spans="1:11" x14ac:dyDescent="0.25">
      <c r="A90" s="88"/>
      <c r="B90" s="25" t="str">
        <f>IF(A90="","",IFERROR(VLOOKUP(A90,DB_Customers!$A:$D,4,0),"❌ Account Not Found"))</f>
        <v/>
      </c>
      <c r="C90" s="89" t="str">
        <f>IF(A90="","",IFERROR(VLOOKUP(A90,DB_Customers!$A:$N,14,0),""))</f>
        <v/>
      </c>
      <c r="D90" s="90" t="str">
        <f t="shared" ca="1" si="6"/>
        <v/>
      </c>
      <c r="E90" s="82"/>
      <c r="F90" s="91" t="str">
        <f t="shared" si="7"/>
        <v/>
      </c>
      <c r="G90" s="27"/>
      <c r="H90" s="84"/>
      <c r="I90" s="92" t="str">
        <f>IF(A90="","Pending",IF(H90="","⚠️ Enter Code",IF(IFERROR(VLOOKUP(G90,DB_Agents!$B:$I,8,0),"")=H90,IF(AND(A90&lt;&gt;"",E90&lt;&gt;""),"Saved","Pending"),"🔒 BLOCKED — Wrong Code")))</f>
        <v>Pending</v>
      </c>
      <c r="J90" s="93" t="str">
        <f t="shared" ca="1" si="8"/>
        <v>—</v>
      </c>
      <c r="K90" s="94"/>
    </row>
    <row r="91" spans="1:11" x14ac:dyDescent="0.25">
      <c r="A91" s="79"/>
      <c r="B91" s="21" t="str">
        <f>IF(A91="","",IFERROR(VLOOKUP(A91,DB_Customers!$A:$D,4,0),"❌ Account Not Found"))</f>
        <v/>
      </c>
      <c r="C91" s="80" t="str">
        <f>IF(A91="","",IFERROR(VLOOKUP(A91,DB_Customers!$A:$N,14,0),""))</f>
        <v/>
      </c>
      <c r="D91" s="81" t="str">
        <f t="shared" ca="1" si="6"/>
        <v/>
      </c>
      <c r="E91" s="82"/>
      <c r="F91" s="83" t="str">
        <f t="shared" si="7"/>
        <v/>
      </c>
      <c r="G91" s="23"/>
      <c r="H91" s="84"/>
      <c r="I91" s="85" t="str">
        <f>IF(A91="","Pending",IF(H91="","⚠️ Enter Code",IF(IFERROR(VLOOKUP(G91,DB_Agents!$B:$I,8,0),"")=H91,IF(AND(A91&lt;&gt;"",E91&lt;&gt;""),"Saved","Pending"),"🔒 BLOCKED — Wrong Code")))</f>
        <v>Pending</v>
      </c>
      <c r="J91" s="86" t="str">
        <f t="shared" ca="1" si="8"/>
        <v>—</v>
      </c>
      <c r="K91" s="87"/>
    </row>
    <row r="92" spans="1:11" x14ac:dyDescent="0.25">
      <c r="A92" s="88"/>
      <c r="B92" s="25" t="str">
        <f>IF(A92="","",IFERROR(VLOOKUP(A92,DB_Customers!$A:$D,4,0),"❌ Account Not Found"))</f>
        <v/>
      </c>
      <c r="C92" s="89" t="str">
        <f>IF(A92="","",IFERROR(VLOOKUP(A92,DB_Customers!$A:$N,14,0),""))</f>
        <v/>
      </c>
      <c r="D92" s="90" t="str">
        <f t="shared" ca="1" si="6"/>
        <v/>
      </c>
      <c r="E92" s="82"/>
      <c r="F92" s="91" t="str">
        <f t="shared" si="7"/>
        <v/>
      </c>
      <c r="G92" s="27"/>
      <c r="H92" s="84"/>
      <c r="I92" s="92" t="str">
        <f>IF(A92="","Pending",IF(H92="","⚠️ Enter Code",IF(IFERROR(VLOOKUP(G92,DB_Agents!$B:$I,8,0),"")=H92,IF(AND(A92&lt;&gt;"",E92&lt;&gt;""),"Saved","Pending"),"🔒 BLOCKED — Wrong Code")))</f>
        <v>Pending</v>
      </c>
      <c r="J92" s="93" t="str">
        <f t="shared" ca="1" si="8"/>
        <v>—</v>
      </c>
      <c r="K92" s="94"/>
    </row>
    <row r="93" spans="1:11" x14ac:dyDescent="0.25">
      <c r="A93" s="79"/>
      <c r="B93" s="21" t="str">
        <f>IF(A93="","",IFERROR(VLOOKUP(A93,DB_Customers!$A:$D,4,0),"❌ Account Not Found"))</f>
        <v/>
      </c>
      <c r="C93" s="80" t="str">
        <f>IF(A93="","",IFERROR(VLOOKUP(A93,DB_Customers!$A:$N,14,0),""))</f>
        <v/>
      </c>
      <c r="D93" s="81" t="str">
        <f t="shared" ca="1" si="6"/>
        <v/>
      </c>
      <c r="E93" s="82"/>
      <c r="F93" s="83" t="str">
        <f t="shared" si="7"/>
        <v/>
      </c>
      <c r="G93" s="23"/>
      <c r="H93" s="84"/>
      <c r="I93" s="85" t="str">
        <f>IF(A93="","Pending",IF(H93="","⚠️ Enter Code",IF(IFERROR(VLOOKUP(G93,DB_Agents!$B:$I,8,0),"")=H93,IF(AND(A93&lt;&gt;"",E93&lt;&gt;""),"Saved","Pending"),"🔒 BLOCKED — Wrong Code")))</f>
        <v>Pending</v>
      </c>
      <c r="J93" s="86" t="str">
        <f t="shared" ca="1" si="8"/>
        <v>—</v>
      </c>
      <c r="K93" s="87"/>
    </row>
    <row r="94" spans="1:11" x14ac:dyDescent="0.25">
      <c r="A94" s="88"/>
      <c r="B94" s="25" t="str">
        <f>IF(A94="","",IFERROR(VLOOKUP(A94,DB_Customers!$A:$D,4,0),"❌ Account Not Found"))</f>
        <v/>
      </c>
      <c r="C94" s="89" t="str">
        <f>IF(A94="","",IFERROR(VLOOKUP(A94,DB_Customers!$A:$N,14,0),""))</f>
        <v/>
      </c>
      <c r="D94" s="90" t="str">
        <f t="shared" ca="1" si="6"/>
        <v/>
      </c>
      <c r="E94" s="82"/>
      <c r="F94" s="91" t="str">
        <f t="shared" si="7"/>
        <v/>
      </c>
      <c r="G94" s="27"/>
      <c r="H94" s="84"/>
      <c r="I94" s="92" t="str">
        <f>IF(A94="","Pending",IF(H94="","⚠️ Enter Code",IF(IFERROR(VLOOKUP(G94,DB_Agents!$B:$I,8,0),"")=H94,IF(AND(A94&lt;&gt;"",E94&lt;&gt;""),"Saved","Pending"),"🔒 BLOCKED — Wrong Code")))</f>
        <v>Pending</v>
      </c>
      <c r="J94" s="93" t="str">
        <f t="shared" ca="1" si="8"/>
        <v>—</v>
      </c>
      <c r="K94" s="94"/>
    </row>
    <row r="95" spans="1:11" x14ac:dyDescent="0.25">
      <c r="A95" s="79"/>
      <c r="B95" s="21" t="str">
        <f>IF(A95="","",IFERROR(VLOOKUP(A95,DB_Customers!$A:$D,4,0),"❌ Account Not Found"))</f>
        <v/>
      </c>
      <c r="C95" s="80" t="str">
        <f>IF(A95="","",IFERROR(VLOOKUP(A95,DB_Customers!$A:$N,14,0),""))</f>
        <v/>
      </c>
      <c r="D95" s="81" t="str">
        <f t="shared" ca="1" si="6"/>
        <v/>
      </c>
      <c r="E95" s="82"/>
      <c r="F95" s="83" t="str">
        <f t="shared" si="7"/>
        <v/>
      </c>
      <c r="G95" s="23"/>
      <c r="H95" s="84"/>
      <c r="I95" s="85" t="str">
        <f>IF(A95="","Pending",IF(H95="","⚠️ Enter Code",IF(IFERROR(VLOOKUP(G95,DB_Agents!$B:$I,8,0),"")=H95,IF(AND(A95&lt;&gt;"",E95&lt;&gt;""),"Saved","Pending"),"🔒 BLOCKED — Wrong Code")))</f>
        <v>Pending</v>
      </c>
      <c r="J95" s="86" t="str">
        <f t="shared" ca="1" si="8"/>
        <v>—</v>
      </c>
      <c r="K95" s="87"/>
    </row>
    <row r="96" spans="1:11" x14ac:dyDescent="0.25">
      <c r="A96" s="88"/>
      <c r="B96" s="25" t="str">
        <f>IF(A96="","",IFERROR(VLOOKUP(A96,DB_Customers!$A:$D,4,0),"❌ Account Not Found"))</f>
        <v/>
      </c>
      <c r="C96" s="89" t="str">
        <f>IF(A96="","",IFERROR(VLOOKUP(A96,DB_Customers!$A:$N,14,0),""))</f>
        <v/>
      </c>
      <c r="D96" s="90" t="str">
        <f t="shared" ca="1" si="6"/>
        <v/>
      </c>
      <c r="E96" s="82"/>
      <c r="F96" s="91" t="str">
        <f t="shared" si="7"/>
        <v/>
      </c>
      <c r="G96" s="27"/>
      <c r="H96" s="84"/>
      <c r="I96" s="92" t="str">
        <f>IF(A96="","Pending",IF(H96="","⚠️ Enter Code",IF(IFERROR(VLOOKUP(G96,DB_Agents!$B:$I,8,0),"")=H96,IF(AND(A96&lt;&gt;"",E96&lt;&gt;""),"Saved","Pending"),"🔒 BLOCKED — Wrong Code")))</f>
        <v>Pending</v>
      </c>
      <c r="J96" s="93" t="str">
        <f t="shared" ca="1" si="8"/>
        <v>—</v>
      </c>
      <c r="K96" s="94"/>
    </row>
    <row r="97" spans="1:11" x14ac:dyDescent="0.25">
      <c r="A97" s="79"/>
      <c r="B97" s="21" t="str">
        <f>IF(A97="","",IFERROR(VLOOKUP(A97,DB_Customers!$A:$D,4,0),"❌ Account Not Found"))</f>
        <v/>
      </c>
      <c r="C97" s="80" t="str">
        <f>IF(A97="","",IFERROR(VLOOKUP(A97,DB_Customers!$A:$N,14,0),""))</f>
        <v/>
      </c>
      <c r="D97" s="81" t="str">
        <f t="shared" ca="1" si="6"/>
        <v/>
      </c>
      <c r="E97" s="82"/>
      <c r="F97" s="83" t="str">
        <f t="shared" si="7"/>
        <v/>
      </c>
      <c r="G97" s="23"/>
      <c r="H97" s="84"/>
      <c r="I97" s="85" t="str">
        <f>IF(A97="","Pending",IF(H97="","⚠️ Enter Code",IF(IFERROR(VLOOKUP(G97,DB_Agents!$B:$I,8,0),"")=H97,IF(AND(A97&lt;&gt;"",E97&lt;&gt;""),"Saved","Pending"),"🔒 BLOCKED — Wrong Code")))</f>
        <v>Pending</v>
      </c>
      <c r="J97" s="86" t="str">
        <f t="shared" ca="1" si="8"/>
        <v>—</v>
      </c>
      <c r="K97" s="87"/>
    </row>
    <row r="98" spans="1:11" x14ac:dyDescent="0.25">
      <c r="A98" s="88"/>
      <c r="B98" s="25" t="str">
        <f>IF(A98="","",IFERROR(VLOOKUP(A98,DB_Customers!$A:$D,4,0),"❌ Account Not Found"))</f>
        <v/>
      </c>
      <c r="C98" s="89" t="str">
        <f>IF(A98="","",IFERROR(VLOOKUP(A98,DB_Customers!$A:$N,14,0),""))</f>
        <v/>
      </c>
      <c r="D98" s="90" t="str">
        <f t="shared" ca="1" si="6"/>
        <v/>
      </c>
      <c r="E98" s="82"/>
      <c r="F98" s="91" t="str">
        <f t="shared" si="7"/>
        <v/>
      </c>
      <c r="G98" s="27"/>
      <c r="H98" s="84"/>
      <c r="I98" s="92" t="str">
        <f>IF(A98="","Pending",IF(H98="","⚠️ Enter Code",IF(IFERROR(VLOOKUP(G98,DB_Agents!$B:$I,8,0),"")=H98,IF(AND(A98&lt;&gt;"",E98&lt;&gt;""),"Saved","Pending"),"🔒 BLOCKED — Wrong Code")))</f>
        <v>Pending</v>
      </c>
      <c r="J98" s="93" t="str">
        <f t="shared" ca="1" si="8"/>
        <v>—</v>
      </c>
      <c r="K98" s="94"/>
    </row>
    <row r="99" spans="1:11" x14ac:dyDescent="0.25">
      <c r="A99" s="79"/>
      <c r="B99" s="21" t="str">
        <f>IF(A99="","",IFERROR(VLOOKUP(A99,DB_Customers!$A:$D,4,0),"❌ Account Not Found"))</f>
        <v/>
      </c>
      <c r="C99" s="80" t="str">
        <f>IF(A99="","",IFERROR(VLOOKUP(A99,DB_Customers!$A:$N,14,0),""))</f>
        <v/>
      </c>
      <c r="D99" s="81" t="str">
        <f t="shared" ca="1" si="6"/>
        <v/>
      </c>
      <c r="E99" s="82"/>
      <c r="F99" s="83" t="str">
        <f t="shared" si="7"/>
        <v/>
      </c>
      <c r="G99" s="23"/>
      <c r="H99" s="84"/>
      <c r="I99" s="85" t="str">
        <f>IF(A99="","Pending",IF(H99="","⚠️ Enter Code",IF(IFERROR(VLOOKUP(G99,DB_Agents!$B:$I,8,0),"")=H99,IF(AND(A99&lt;&gt;"",E99&lt;&gt;""),"Saved","Pending"),"🔒 BLOCKED — Wrong Code")))</f>
        <v>Pending</v>
      </c>
      <c r="J99" s="86" t="str">
        <f t="shared" ca="1" si="8"/>
        <v>—</v>
      </c>
      <c r="K99" s="87"/>
    </row>
    <row r="100" spans="1:11" x14ac:dyDescent="0.25">
      <c r="A100" s="88"/>
      <c r="B100" s="25" t="str">
        <f>IF(A100="","",IFERROR(VLOOKUP(A100,DB_Customers!$A:$D,4,0),"❌ Account Not Found"))</f>
        <v/>
      </c>
      <c r="C100" s="89" t="str">
        <f>IF(A100="","",IFERROR(VLOOKUP(A100,DB_Customers!$A:$N,14,0),""))</f>
        <v/>
      </c>
      <c r="D100" s="90" t="str">
        <f t="shared" ca="1" si="6"/>
        <v/>
      </c>
      <c r="E100" s="82"/>
      <c r="F100" s="91" t="str">
        <f t="shared" si="7"/>
        <v/>
      </c>
      <c r="G100" s="27"/>
      <c r="H100" s="84"/>
      <c r="I100" s="92" t="str">
        <f>IF(A100="","Pending",IF(H100="","⚠️ Enter Code",IF(IFERROR(VLOOKUP(G100,DB_Agents!$B:$I,8,0),"")=H100,IF(AND(A100&lt;&gt;"",E100&lt;&gt;""),"Saved","Pending"),"🔒 BLOCKED — Wrong Code")))</f>
        <v>Pending</v>
      </c>
      <c r="J100" s="93" t="str">
        <f t="shared" ca="1" si="8"/>
        <v>—</v>
      </c>
      <c r="K100" s="94"/>
    </row>
    <row r="101" spans="1:11" x14ac:dyDescent="0.25">
      <c r="A101" s="79"/>
      <c r="B101" s="21" t="str">
        <f>IF(A101="","",IFERROR(VLOOKUP(A101,DB_Customers!$A:$D,4,0),"❌ Account Not Found"))</f>
        <v/>
      </c>
      <c r="C101" s="80" t="str">
        <f>IF(A101="","",IFERROR(VLOOKUP(A101,DB_Customers!$A:$N,14,0),""))</f>
        <v/>
      </c>
      <c r="D101" s="81" t="str">
        <f t="shared" ca="1" si="6"/>
        <v/>
      </c>
      <c r="E101" s="82"/>
      <c r="F101" s="83" t="str">
        <f t="shared" si="7"/>
        <v/>
      </c>
      <c r="G101" s="23"/>
      <c r="H101" s="84"/>
      <c r="I101" s="85" t="str">
        <f>IF(A101="","Pending",IF(H101="","⚠️ Enter Code",IF(IFERROR(VLOOKUP(G101,DB_Agents!$B:$I,8,0),"")=H101,IF(AND(A101&lt;&gt;"",E101&lt;&gt;""),"Saved","Pending"),"🔒 BLOCKED — Wrong Code")))</f>
        <v>Pending</v>
      </c>
      <c r="J101" s="86" t="str">
        <f t="shared" ca="1" si="8"/>
        <v>—</v>
      </c>
      <c r="K101" s="87"/>
    </row>
    <row r="102" spans="1:11" x14ac:dyDescent="0.25">
      <c r="A102" s="88"/>
      <c r="B102" s="25" t="str">
        <f>IF(A102="","",IFERROR(VLOOKUP(A102,DB_Customers!$A:$D,4,0),"❌ Account Not Found"))</f>
        <v/>
      </c>
      <c r="C102" s="89" t="str">
        <f>IF(A102="","",IFERROR(VLOOKUP(A102,DB_Customers!$A:$N,14,0),""))</f>
        <v/>
      </c>
      <c r="D102" s="90" t="str">
        <f t="shared" ca="1" si="6"/>
        <v/>
      </c>
      <c r="E102" s="82"/>
      <c r="F102" s="91" t="str">
        <f t="shared" si="7"/>
        <v/>
      </c>
      <c r="G102" s="27"/>
      <c r="H102" s="84"/>
      <c r="I102" s="92" t="str">
        <f>IF(A102="","Pending",IF(H102="","⚠️ Enter Code",IF(IFERROR(VLOOKUP(G102,DB_Agents!$B:$I,8,0),"")=H102,IF(AND(A102&lt;&gt;"",E102&lt;&gt;""),"Saved","Pending"),"🔒 BLOCKED — Wrong Code")))</f>
        <v>Pending</v>
      </c>
      <c r="J102" s="93" t="str">
        <f t="shared" ca="1" si="8"/>
        <v>—</v>
      </c>
      <c r="K102" s="94"/>
    </row>
    <row r="103" spans="1:11" x14ac:dyDescent="0.25">
      <c r="A103" s="79"/>
      <c r="B103" s="21" t="str">
        <f>IF(A103="","",IFERROR(VLOOKUP(A103,DB_Customers!$A:$D,4,0),"❌ Account Not Found"))</f>
        <v/>
      </c>
      <c r="C103" s="80" t="str">
        <f>IF(A103="","",IFERROR(VLOOKUP(A103,DB_Customers!$A:$N,14,0),""))</f>
        <v/>
      </c>
      <c r="D103" s="81" t="str">
        <f t="shared" ca="1" si="6"/>
        <v/>
      </c>
      <c r="E103" s="82"/>
      <c r="F103" s="83" t="str">
        <f t="shared" si="7"/>
        <v/>
      </c>
      <c r="G103" s="23"/>
      <c r="H103" s="84"/>
      <c r="I103" s="85" t="str">
        <f>IF(A103="","Pending",IF(H103="","⚠️ Enter Code",IF(IFERROR(VLOOKUP(G103,DB_Agents!$B:$I,8,0),"")=H103,IF(AND(A103&lt;&gt;"",E103&lt;&gt;""),"Saved","Pending"),"🔒 BLOCKED — Wrong Code")))</f>
        <v>Pending</v>
      </c>
      <c r="J103" s="86" t="str">
        <f t="shared" ca="1" si="8"/>
        <v>—</v>
      </c>
      <c r="K103" s="87"/>
    </row>
    <row r="104" spans="1:11" x14ac:dyDescent="0.25">
      <c r="A104" s="88"/>
      <c r="B104" s="25" t="str">
        <f>IF(A104="","",IFERROR(VLOOKUP(A104,DB_Customers!$A:$D,4,0),"❌ Account Not Found"))</f>
        <v/>
      </c>
      <c r="C104" s="89" t="str">
        <f>IF(A104="","",IFERROR(VLOOKUP(A104,DB_Customers!$A:$N,14,0),""))</f>
        <v/>
      </c>
      <c r="D104" s="90" t="str">
        <f t="shared" ca="1" si="6"/>
        <v/>
      </c>
      <c r="E104" s="82"/>
      <c r="F104" s="91" t="str">
        <f t="shared" si="7"/>
        <v/>
      </c>
      <c r="G104" s="27"/>
      <c r="H104" s="84"/>
      <c r="I104" s="92" t="str">
        <f>IF(A104="","Pending",IF(H104="","⚠️ Enter Code",IF(IFERROR(VLOOKUP(G104,DB_Agents!$B:$I,8,0),"")=H104,IF(AND(A104&lt;&gt;"",E104&lt;&gt;""),"Saved","Pending"),"🔒 BLOCKED — Wrong Code")))</f>
        <v>Pending</v>
      </c>
      <c r="J104" s="93" t="str">
        <f t="shared" ca="1" si="8"/>
        <v>—</v>
      </c>
      <c r="K104" s="94"/>
    </row>
    <row r="105" spans="1:11" x14ac:dyDescent="0.25">
      <c r="A105" s="79"/>
      <c r="B105" s="21" t="str">
        <f>IF(A105="","",IFERROR(VLOOKUP(A105,DB_Customers!$A:$D,4,0),"❌ Account Not Found"))</f>
        <v/>
      </c>
      <c r="C105" s="80" t="str">
        <f>IF(A105="","",IFERROR(VLOOKUP(A105,DB_Customers!$A:$N,14,0),""))</f>
        <v/>
      </c>
      <c r="D105" s="81" t="str">
        <f t="shared" ref="D105:D136" ca="1" si="9">IF(A105="","",TODAY())</f>
        <v/>
      </c>
      <c r="E105" s="82"/>
      <c r="F105" s="83" t="str">
        <f t="shared" ref="F105:F136" si="10">IF(OR(A105="",E105=""),"",IF(C105="","",C105+E105))</f>
        <v/>
      </c>
      <c r="G105" s="23"/>
      <c r="H105" s="84"/>
      <c r="I105" s="85" t="str">
        <f>IF(A105="","Pending",IF(H105="","⚠️ Enter Code",IF(IFERROR(VLOOKUP(G105,DB_Agents!$B:$I,8,0),"")=H105,IF(AND(A105&lt;&gt;"",E105&lt;&gt;""),"Saved","Pending"),"🔒 BLOCKED — Wrong Code")))</f>
        <v>Pending</v>
      </c>
      <c r="J105" s="86" t="str">
        <f t="shared" ref="J105:J136" ca="1" si="11">IF(I105="Saved",TEXT(TODAY(),"YYYY-MM-DD")&amp;" Auto","—")</f>
        <v>—</v>
      </c>
      <c r="K105" s="87"/>
    </row>
    <row r="106" spans="1:11" x14ac:dyDescent="0.25">
      <c r="A106" s="88"/>
      <c r="B106" s="25" t="str">
        <f>IF(A106="","",IFERROR(VLOOKUP(A106,DB_Customers!$A:$D,4,0),"❌ Account Not Found"))</f>
        <v/>
      </c>
      <c r="C106" s="89" t="str">
        <f>IF(A106="","",IFERROR(VLOOKUP(A106,DB_Customers!$A:$N,14,0),""))</f>
        <v/>
      </c>
      <c r="D106" s="90" t="str">
        <f t="shared" ca="1" si="9"/>
        <v/>
      </c>
      <c r="E106" s="82"/>
      <c r="F106" s="91" t="str">
        <f t="shared" si="10"/>
        <v/>
      </c>
      <c r="G106" s="27"/>
      <c r="H106" s="84"/>
      <c r="I106" s="92" t="str">
        <f>IF(A106="","Pending",IF(H106="","⚠️ Enter Code",IF(IFERROR(VLOOKUP(G106,DB_Agents!$B:$I,8,0),"")=H106,IF(AND(A106&lt;&gt;"",E106&lt;&gt;""),"Saved","Pending"),"🔒 BLOCKED — Wrong Code")))</f>
        <v>Pending</v>
      </c>
      <c r="J106" s="93" t="str">
        <f t="shared" ca="1" si="11"/>
        <v>—</v>
      </c>
      <c r="K106" s="94"/>
    </row>
    <row r="107" spans="1:11" x14ac:dyDescent="0.25">
      <c r="A107" s="79"/>
      <c r="B107" s="21" t="str">
        <f>IF(A107="","",IFERROR(VLOOKUP(A107,DB_Customers!$A:$D,4,0),"❌ Account Not Found"))</f>
        <v/>
      </c>
      <c r="C107" s="80" t="str">
        <f>IF(A107="","",IFERROR(VLOOKUP(A107,DB_Customers!$A:$N,14,0),""))</f>
        <v/>
      </c>
      <c r="D107" s="81" t="str">
        <f t="shared" ca="1" si="9"/>
        <v/>
      </c>
      <c r="E107" s="82"/>
      <c r="F107" s="83" t="str">
        <f t="shared" si="10"/>
        <v/>
      </c>
      <c r="G107" s="23"/>
      <c r="H107" s="84"/>
      <c r="I107" s="85" t="str">
        <f>IF(A107="","Pending",IF(H107="","⚠️ Enter Code",IF(IFERROR(VLOOKUP(G107,DB_Agents!$B:$I,8,0),"")=H107,IF(AND(A107&lt;&gt;"",E107&lt;&gt;""),"Saved","Pending"),"🔒 BLOCKED — Wrong Code")))</f>
        <v>Pending</v>
      </c>
      <c r="J107" s="86" t="str">
        <f t="shared" ca="1" si="11"/>
        <v>—</v>
      </c>
      <c r="K107" s="87"/>
    </row>
    <row r="108" spans="1:11" x14ac:dyDescent="0.25">
      <c r="A108" s="88"/>
      <c r="B108" s="25" t="str">
        <f>IF(A108="","",IFERROR(VLOOKUP(A108,DB_Customers!$A:$D,4,0),"❌ Account Not Found"))</f>
        <v/>
      </c>
      <c r="C108" s="89" t="str">
        <f>IF(A108="","",IFERROR(VLOOKUP(A108,DB_Customers!$A:$N,14,0),""))</f>
        <v/>
      </c>
      <c r="D108" s="90" t="str">
        <f t="shared" ca="1" si="9"/>
        <v/>
      </c>
      <c r="E108" s="82"/>
      <c r="F108" s="91" t="str">
        <f t="shared" si="10"/>
        <v/>
      </c>
      <c r="G108" s="27"/>
      <c r="H108" s="84"/>
      <c r="I108" s="92" t="str">
        <f>IF(A108="","Pending",IF(H108="","⚠️ Enter Code",IF(IFERROR(VLOOKUP(G108,DB_Agents!$B:$I,8,0),"")=H108,IF(AND(A108&lt;&gt;"",E108&lt;&gt;""),"Saved","Pending"),"🔒 BLOCKED — Wrong Code")))</f>
        <v>Pending</v>
      </c>
      <c r="J108" s="93" t="str">
        <f t="shared" ca="1" si="11"/>
        <v>—</v>
      </c>
      <c r="K108" s="94"/>
    </row>
    <row r="109" spans="1:11" x14ac:dyDescent="0.25">
      <c r="A109" s="79"/>
      <c r="B109" s="21" t="str">
        <f>IF(A109="","",IFERROR(VLOOKUP(A109,DB_Customers!$A:$D,4,0),"❌ Account Not Found"))</f>
        <v/>
      </c>
      <c r="C109" s="80" t="str">
        <f>IF(A109="","",IFERROR(VLOOKUP(A109,DB_Customers!$A:$N,14,0),""))</f>
        <v/>
      </c>
      <c r="D109" s="81" t="str">
        <f t="shared" ca="1" si="9"/>
        <v/>
      </c>
      <c r="E109" s="82"/>
      <c r="F109" s="83" t="str">
        <f t="shared" si="10"/>
        <v/>
      </c>
      <c r="G109" s="23"/>
      <c r="H109" s="84"/>
      <c r="I109" s="85" t="str">
        <f>IF(A109="","Pending",IF(H109="","⚠️ Enter Code",IF(IFERROR(VLOOKUP(G109,DB_Agents!$B:$I,8,0),"")=H109,IF(AND(A109&lt;&gt;"",E109&lt;&gt;""),"Saved","Pending"),"🔒 BLOCKED — Wrong Code")))</f>
        <v>Pending</v>
      </c>
      <c r="J109" s="86" t="str">
        <f t="shared" ca="1" si="11"/>
        <v>—</v>
      </c>
      <c r="K109" s="87"/>
    </row>
    <row r="110" spans="1:11" x14ac:dyDescent="0.25">
      <c r="A110" s="88"/>
      <c r="B110" s="25" t="str">
        <f>IF(A110="","",IFERROR(VLOOKUP(A110,DB_Customers!$A:$D,4,0),"❌ Account Not Found"))</f>
        <v/>
      </c>
      <c r="C110" s="89" t="str">
        <f>IF(A110="","",IFERROR(VLOOKUP(A110,DB_Customers!$A:$N,14,0),""))</f>
        <v/>
      </c>
      <c r="D110" s="90" t="str">
        <f t="shared" ca="1" si="9"/>
        <v/>
      </c>
      <c r="E110" s="82"/>
      <c r="F110" s="91" t="str">
        <f t="shared" si="10"/>
        <v/>
      </c>
      <c r="G110" s="27"/>
      <c r="H110" s="84"/>
      <c r="I110" s="92" t="str">
        <f>IF(A110="","Pending",IF(H110="","⚠️ Enter Code",IF(IFERROR(VLOOKUP(G110,DB_Agents!$B:$I,8,0),"")=H110,IF(AND(A110&lt;&gt;"",E110&lt;&gt;""),"Saved","Pending"),"🔒 BLOCKED — Wrong Code")))</f>
        <v>Pending</v>
      </c>
      <c r="J110" s="93" t="str">
        <f t="shared" ca="1" si="11"/>
        <v>—</v>
      </c>
      <c r="K110" s="94"/>
    </row>
    <row r="111" spans="1:11" x14ac:dyDescent="0.25">
      <c r="A111" s="79"/>
      <c r="B111" s="21" t="str">
        <f>IF(A111="","",IFERROR(VLOOKUP(A111,DB_Customers!$A:$D,4,0),"❌ Account Not Found"))</f>
        <v/>
      </c>
      <c r="C111" s="80" t="str">
        <f>IF(A111="","",IFERROR(VLOOKUP(A111,DB_Customers!$A:$N,14,0),""))</f>
        <v/>
      </c>
      <c r="D111" s="81" t="str">
        <f t="shared" ca="1" si="9"/>
        <v/>
      </c>
      <c r="E111" s="82"/>
      <c r="F111" s="83" t="str">
        <f t="shared" si="10"/>
        <v/>
      </c>
      <c r="G111" s="23"/>
      <c r="H111" s="84"/>
      <c r="I111" s="85" t="str">
        <f>IF(A111="","Pending",IF(H111="","⚠️ Enter Code",IF(IFERROR(VLOOKUP(G111,DB_Agents!$B:$I,8,0),"")=H111,IF(AND(A111&lt;&gt;"",E111&lt;&gt;""),"Saved","Pending"),"🔒 BLOCKED — Wrong Code")))</f>
        <v>Pending</v>
      </c>
      <c r="J111" s="86" t="str">
        <f t="shared" ca="1" si="11"/>
        <v>—</v>
      </c>
      <c r="K111" s="87"/>
    </row>
    <row r="112" spans="1:11" x14ac:dyDescent="0.25">
      <c r="A112" s="88"/>
      <c r="B112" s="25" t="str">
        <f>IF(A112="","",IFERROR(VLOOKUP(A112,DB_Customers!$A:$D,4,0),"❌ Account Not Found"))</f>
        <v/>
      </c>
      <c r="C112" s="89" t="str">
        <f>IF(A112="","",IFERROR(VLOOKUP(A112,DB_Customers!$A:$N,14,0),""))</f>
        <v/>
      </c>
      <c r="D112" s="90" t="str">
        <f t="shared" ca="1" si="9"/>
        <v/>
      </c>
      <c r="E112" s="82"/>
      <c r="F112" s="91" t="str">
        <f t="shared" si="10"/>
        <v/>
      </c>
      <c r="G112" s="27"/>
      <c r="H112" s="84"/>
      <c r="I112" s="92" t="str">
        <f>IF(A112="","Pending",IF(H112="","⚠️ Enter Code",IF(IFERROR(VLOOKUP(G112,DB_Agents!$B:$I,8,0),"")=H112,IF(AND(A112&lt;&gt;"",E112&lt;&gt;""),"Saved","Pending"),"🔒 BLOCKED — Wrong Code")))</f>
        <v>Pending</v>
      </c>
      <c r="J112" s="93" t="str">
        <f t="shared" ca="1" si="11"/>
        <v>—</v>
      </c>
      <c r="K112" s="94"/>
    </row>
    <row r="113" spans="1:11" x14ac:dyDescent="0.25">
      <c r="A113" s="79"/>
      <c r="B113" s="21" t="str">
        <f>IF(A113="","",IFERROR(VLOOKUP(A113,DB_Customers!$A:$D,4,0),"❌ Account Not Found"))</f>
        <v/>
      </c>
      <c r="C113" s="80" t="str">
        <f>IF(A113="","",IFERROR(VLOOKUP(A113,DB_Customers!$A:$N,14,0),""))</f>
        <v/>
      </c>
      <c r="D113" s="81" t="str">
        <f t="shared" ca="1" si="9"/>
        <v/>
      </c>
      <c r="E113" s="82"/>
      <c r="F113" s="83" t="str">
        <f t="shared" si="10"/>
        <v/>
      </c>
      <c r="G113" s="23"/>
      <c r="H113" s="84"/>
      <c r="I113" s="85" t="str">
        <f>IF(A113="","Pending",IF(H113="","⚠️ Enter Code",IF(IFERROR(VLOOKUP(G113,DB_Agents!$B:$I,8,0),"")=H113,IF(AND(A113&lt;&gt;"",E113&lt;&gt;""),"Saved","Pending"),"🔒 BLOCKED — Wrong Code")))</f>
        <v>Pending</v>
      </c>
      <c r="J113" s="86" t="str">
        <f t="shared" ca="1" si="11"/>
        <v>—</v>
      </c>
      <c r="K113" s="87"/>
    </row>
    <row r="114" spans="1:11" x14ac:dyDescent="0.25">
      <c r="A114" s="88"/>
      <c r="B114" s="25" t="str">
        <f>IF(A114="","",IFERROR(VLOOKUP(A114,DB_Customers!$A:$D,4,0),"❌ Account Not Found"))</f>
        <v/>
      </c>
      <c r="C114" s="89" t="str">
        <f>IF(A114="","",IFERROR(VLOOKUP(A114,DB_Customers!$A:$N,14,0),""))</f>
        <v/>
      </c>
      <c r="D114" s="90" t="str">
        <f t="shared" ca="1" si="9"/>
        <v/>
      </c>
      <c r="E114" s="82"/>
      <c r="F114" s="91" t="str">
        <f t="shared" si="10"/>
        <v/>
      </c>
      <c r="G114" s="27"/>
      <c r="H114" s="84"/>
      <c r="I114" s="92" t="str">
        <f>IF(A114="","Pending",IF(H114="","⚠️ Enter Code",IF(IFERROR(VLOOKUP(G114,DB_Agents!$B:$I,8,0),"")=H114,IF(AND(A114&lt;&gt;"",E114&lt;&gt;""),"Saved","Pending"),"🔒 BLOCKED — Wrong Code")))</f>
        <v>Pending</v>
      </c>
      <c r="J114" s="93" t="str">
        <f t="shared" ca="1" si="11"/>
        <v>—</v>
      </c>
      <c r="K114" s="94"/>
    </row>
    <row r="115" spans="1:11" x14ac:dyDescent="0.25">
      <c r="A115" s="79"/>
      <c r="B115" s="21" t="str">
        <f>IF(A115="","",IFERROR(VLOOKUP(A115,DB_Customers!$A:$D,4,0),"❌ Account Not Found"))</f>
        <v/>
      </c>
      <c r="C115" s="80" t="str">
        <f>IF(A115="","",IFERROR(VLOOKUP(A115,DB_Customers!$A:$N,14,0),""))</f>
        <v/>
      </c>
      <c r="D115" s="81" t="str">
        <f t="shared" ca="1" si="9"/>
        <v/>
      </c>
      <c r="E115" s="82"/>
      <c r="F115" s="83" t="str">
        <f t="shared" si="10"/>
        <v/>
      </c>
      <c r="G115" s="23"/>
      <c r="H115" s="84"/>
      <c r="I115" s="85" t="str">
        <f>IF(A115="","Pending",IF(H115="","⚠️ Enter Code",IF(IFERROR(VLOOKUP(G115,DB_Agents!$B:$I,8,0),"")=H115,IF(AND(A115&lt;&gt;"",E115&lt;&gt;""),"Saved","Pending"),"🔒 BLOCKED — Wrong Code")))</f>
        <v>Pending</v>
      </c>
      <c r="J115" s="86" t="str">
        <f t="shared" ca="1" si="11"/>
        <v>—</v>
      </c>
      <c r="K115" s="87"/>
    </row>
    <row r="116" spans="1:11" x14ac:dyDescent="0.25">
      <c r="A116" s="88"/>
      <c r="B116" s="25" t="str">
        <f>IF(A116="","",IFERROR(VLOOKUP(A116,DB_Customers!$A:$D,4,0),"❌ Account Not Found"))</f>
        <v/>
      </c>
      <c r="C116" s="89" t="str">
        <f>IF(A116="","",IFERROR(VLOOKUP(A116,DB_Customers!$A:$N,14,0),""))</f>
        <v/>
      </c>
      <c r="D116" s="90" t="str">
        <f t="shared" ca="1" si="9"/>
        <v/>
      </c>
      <c r="E116" s="82"/>
      <c r="F116" s="91" t="str">
        <f t="shared" si="10"/>
        <v/>
      </c>
      <c r="G116" s="27"/>
      <c r="H116" s="84"/>
      <c r="I116" s="92" t="str">
        <f>IF(A116="","Pending",IF(H116="","⚠️ Enter Code",IF(IFERROR(VLOOKUP(G116,DB_Agents!$B:$I,8,0),"")=H116,IF(AND(A116&lt;&gt;"",E116&lt;&gt;""),"Saved","Pending"),"🔒 BLOCKED — Wrong Code")))</f>
        <v>Pending</v>
      </c>
      <c r="J116" s="93" t="str">
        <f t="shared" ca="1" si="11"/>
        <v>—</v>
      </c>
      <c r="K116" s="94"/>
    </row>
    <row r="117" spans="1:11" x14ac:dyDescent="0.25">
      <c r="A117" s="79"/>
      <c r="B117" s="21" t="str">
        <f>IF(A117="","",IFERROR(VLOOKUP(A117,DB_Customers!$A:$D,4,0),"❌ Account Not Found"))</f>
        <v/>
      </c>
      <c r="C117" s="80" t="str">
        <f>IF(A117="","",IFERROR(VLOOKUP(A117,DB_Customers!$A:$N,14,0),""))</f>
        <v/>
      </c>
      <c r="D117" s="81" t="str">
        <f t="shared" ca="1" si="9"/>
        <v/>
      </c>
      <c r="E117" s="82"/>
      <c r="F117" s="83" t="str">
        <f t="shared" si="10"/>
        <v/>
      </c>
      <c r="G117" s="23"/>
      <c r="H117" s="84"/>
      <c r="I117" s="85" t="str">
        <f>IF(A117="","Pending",IF(H117="","⚠️ Enter Code",IF(IFERROR(VLOOKUP(G117,DB_Agents!$B:$I,8,0),"")=H117,IF(AND(A117&lt;&gt;"",E117&lt;&gt;""),"Saved","Pending"),"🔒 BLOCKED — Wrong Code")))</f>
        <v>Pending</v>
      </c>
      <c r="J117" s="86" t="str">
        <f t="shared" ca="1" si="11"/>
        <v>—</v>
      </c>
      <c r="K117" s="87"/>
    </row>
    <row r="118" spans="1:11" x14ac:dyDescent="0.25">
      <c r="A118" s="88"/>
      <c r="B118" s="25" t="str">
        <f>IF(A118="","",IFERROR(VLOOKUP(A118,DB_Customers!$A:$D,4,0),"❌ Account Not Found"))</f>
        <v/>
      </c>
      <c r="C118" s="89" t="str">
        <f>IF(A118="","",IFERROR(VLOOKUP(A118,DB_Customers!$A:$N,14,0),""))</f>
        <v/>
      </c>
      <c r="D118" s="90" t="str">
        <f t="shared" ca="1" si="9"/>
        <v/>
      </c>
      <c r="E118" s="82"/>
      <c r="F118" s="91" t="str">
        <f t="shared" si="10"/>
        <v/>
      </c>
      <c r="G118" s="27"/>
      <c r="H118" s="84"/>
      <c r="I118" s="92" t="str">
        <f>IF(A118="","Pending",IF(H118="","⚠️ Enter Code",IF(IFERROR(VLOOKUP(G118,DB_Agents!$B:$I,8,0),"")=H118,IF(AND(A118&lt;&gt;"",E118&lt;&gt;""),"Saved","Pending"),"🔒 BLOCKED — Wrong Code")))</f>
        <v>Pending</v>
      </c>
      <c r="J118" s="93" t="str">
        <f t="shared" ca="1" si="11"/>
        <v>—</v>
      </c>
      <c r="K118" s="94"/>
    </row>
    <row r="119" spans="1:11" x14ac:dyDescent="0.25">
      <c r="A119" s="79"/>
      <c r="B119" s="21" t="str">
        <f>IF(A119="","",IFERROR(VLOOKUP(A119,DB_Customers!$A:$D,4,0),"❌ Account Not Found"))</f>
        <v/>
      </c>
      <c r="C119" s="80" t="str">
        <f>IF(A119="","",IFERROR(VLOOKUP(A119,DB_Customers!$A:$N,14,0),""))</f>
        <v/>
      </c>
      <c r="D119" s="81" t="str">
        <f t="shared" ca="1" si="9"/>
        <v/>
      </c>
      <c r="E119" s="82"/>
      <c r="F119" s="83" t="str">
        <f t="shared" si="10"/>
        <v/>
      </c>
      <c r="G119" s="23"/>
      <c r="H119" s="84"/>
      <c r="I119" s="85" t="str">
        <f>IF(A119="","Pending",IF(H119="","⚠️ Enter Code",IF(IFERROR(VLOOKUP(G119,DB_Agents!$B:$I,8,0),"")=H119,IF(AND(A119&lt;&gt;"",E119&lt;&gt;""),"Saved","Pending"),"🔒 BLOCKED — Wrong Code")))</f>
        <v>Pending</v>
      </c>
      <c r="J119" s="86" t="str">
        <f t="shared" ca="1" si="11"/>
        <v>—</v>
      </c>
      <c r="K119" s="87"/>
    </row>
    <row r="120" spans="1:11" x14ac:dyDescent="0.25">
      <c r="A120" s="88"/>
      <c r="B120" s="25" t="str">
        <f>IF(A120="","",IFERROR(VLOOKUP(A120,DB_Customers!$A:$D,4,0),"❌ Account Not Found"))</f>
        <v/>
      </c>
      <c r="C120" s="89" t="str">
        <f>IF(A120="","",IFERROR(VLOOKUP(A120,DB_Customers!$A:$N,14,0),""))</f>
        <v/>
      </c>
      <c r="D120" s="90" t="str">
        <f t="shared" ca="1" si="9"/>
        <v/>
      </c>
      <c r="E120" s="82"/>
      <c r="F120" s="91" t="str">
        <f t="shared" si="10"/>
        <v/>
      </c>
      <c r="G120" s="27"/>
      <c r="H120" s="84"/>
      <c r="I120" s="92" t="str">
        <f>IF(A120="","Pending",IF(H120="","⚠️ Enter Code",IF(IFERROR(VLOOKUP(G120,DB_Agents!$B:$I,8,0),"")=H120,IF(AND(A120&lt;&gt;"",E120&lt;&gt;""),"Saved","Pending"),"🔒 BLOCKED — Wrong Code")))</f>
        <v>Pending</v>
      </c>
      <c r="J120" s="93" t="str">
        <f t="shared" ca="1" si="11"/>
        <v>—</v>
      </c>
      <c r="K120" s="94"/>
    </row>
    <row r="121" spans="1:11" x14ac:dyDescent="0.25">
      <c r="A121" s="79"/>
      <c r="B121" s="21" t="str">
        <f>IF(A121="","",IFERROR(VLOOKUP(A121,DB_Customers!$A:$D,4,0),"❌ Account Not Found"))</f>
        <v/>
      </c>
      <c r="C121" s="80" t="str">
        <f>IF(A121="","",IFERROR(VLOOKUP(A121,DB_Customers!$A:$N,14,0),""))</f>
        <v/>
      </c>
      <c r="D121" s="81" t="str">
        <f t="shared" ca="1" si="9"/>
        <v/>
      </c>
      <c r="E121" s="82"/>
      <c r="F121" s="83" t="str">
        <f t="shared" si="10"/>
        <v/>
      </c>
      <c r="G121" s="23"/>
      <c r="H121" s="84"/>
      <c r="I121" s="85" t="str">
        <f>IF(A121="","Pending",IF(H121="","⚠️ Enter Code",IF(IFERROR(VLOOKUP(G121,DB_Agents!$B:$I,8,0),"")=H121,IF(AND(A121&lt;&gt;"",E121&lt;&gt;""),"Saved","Pending"),"🔒 BLOCKED — Wrong Code")))</f>
        <v>Pending</v>
      </c>
      <c r="J121" s="86" t="str">
        <f t="shared" ca="1" si="11"/>
        <v>—</v>
      </c>
      <c r="K121" s="87"/>
    </row>
    <row r="122" spans="1:11" x14ac:dyDescent="0.25">
      <c r="A122" s="88"/>
      <c r="B122" s="25" t="str">
        <f>IF(A122="","",IFERROR(VLOOKUP(A122,DB_Customers!$A:$D,4,0),"❌ Account Not Found"))</f>
        <v/>
      </c>
      <c r="C122" s="89" t="str">
        <f>IF(A122="","",IFERROR(VLOOKUP(A122,DB_Customers!$A:$N,14,0),""))</f>
        <v/>
      </c>
      <c r="D122" s="90" t="str">
        <f t="shared" ca="1" si="9"/>
        <v/>
      </c>
      <c r="E122" s="82"/>
      <c r="F122" s="91" t="str">
        <f t="shared" si="10"/>
        <v/>
      </c>
      <c r="G122" s="27"/>
      <c r="H122" s="84"/>
      <c r="I122" s="92" t="str">
        <f>IF(A122="","Pending",IF(H122="","⚠️ Enter Code",IF(IFERROR(VLOOKUP(G122,DB_Agents!$B:$I,8,0),"")=H122,IF(AND(A122&lt;&gt;"",E122&lt;&gt;""),"Saved","Pending"),"🔒 BLOCKED — Wrong Code")))</f>
        <v>Pending</v>
      </c>
      <c r="J122" s="93" t="str">
        <f t="shared" ca="1" si="11"/>
        <v>—</v>
      </c>
      <c r="K122" s="94"/>
    </row>
    <row r="123" spans="1:11" x14ac:dyDescent="0.25">
      <c r="A123" s="79"/>
      <c r="B123" s="21" t="str">
        <f>IF(A123="","",IFERROR(VLOOKUP(A123,DB_Customers!$A:$D,4,0),"❌ Account Not Found"))</f>
        <v/>
      </c>
      <c r="C123" s="80" t="str">
        <f>IF(A123="","",IFERROR(VLOOKUP(A123,DB_Customers!$A:$N,14,0),""))</f>
        <v/>
      </c>
      <c r="D123" s="81" t="str">
        <f t="shared" ca="1" si="9"/>
        <v/>
      </c>
      <c r="E123" s="82"/>
      <c r="F123" s="83" t="str">
        <f t="shared" si="10"/>
        <v/>
      </c>
      <c r="G123" s="23"/>
      <c r="H123" s="84"/>
      <c r="I123" s="85" t="str">
        <f>IF(A123="","Pending",IF(H123="","⚠️ Enter Code",IF(IFERROR(VLOOKUP(G123,DB_Agents!$B:$I,8,0),"")=H123,IF(AND(A123&lt;&gt;"",E123&lt;&gt;""),"Saved","Pending"),"🔒 BLOCKED — Wrong Code")))</f>
        <v>Pending</v>
      </c>
      <c r="J123" s="86" t="str">
        <f t="shared" ca="1" si="11"/>
        <v>—</v>
      </c>
      <c r="K123" s="87"/>
    </row>
    <row r="124" spans="1:11" x14ac:dyDescent="0.25">
      <c r="A124" s="88"/>
      <c r="B124" s="25" t="str">
        <f>IF(A124="","",IFERROR(VLOOKUP(A124,DB_Customers!$A:$D,4,0),"❌ Account Not Found"))</f>
        <v/>
      </c>
      <c r="C124" s="89" t="str">
        <f>IF(A124="","",IFERROR(VLOOKUP(A124,DB_Customers!$A:$N,14,0),""))</f>
        <v/>
      </c>
      <c r="D124" s="90" t="str">
        <f t="shared" ca="1" si="9"/>
        <v/>
      </c>
      <c r="E124" s="82"/>
      <c r="F124" s="91" t="str">
        <f t="shared" si="10"/>
        <v/>
      </c>
      <c r="G124" s="27"/>
      <c r="H124" s="84"/>
      <c r="I124" s="92" t="str">
        <f>IF(A124="","Pending",IF(H124="","⚠️ Enter Code",IF(IFERROR(VLOOKUP(G124,DB_Agents!$B:$I,8,0),"")=H124,IF(AND(A124&lt;&gt;"",E124&lt;&gt;""),"Saved","Pending"),"🔒 BLOCKED — Wrong Code")))</f>
        <v>Pending</v>
      </c>
      <c r="J124" s="93" t="str">
        <f t="shared" ca="1" si="11"/>
        <v>—</v>
      </c>
      <c r="K124" s="94"/>
    </row>
    <row r="125" spans="1:11" x14ac:dyDescent="0.25">
      <c r="A125" s="79"/>
      <c r="B125" s="21" t="str">
        <f>IF(A125="","",IFERROR(VLOOKUP(A125,DB_Customers!$A:$D,4,0),"❌ Account Not Found"))</f>
        <v/>
      </c>
      <c r="C125" s="80" t="str">
        <f>IF(A125="","",IFERROR(VLOOKUP(A125,DB_Customers!$A:$N,14,0),""))</f>
        <v/>
      </c>
      <c r="D125" s="81" t="str">
        <f t="shared" ca="1" si="9"/>
        <v/>
      </c>
      <c r="E125" s="82"/>
      <c r="F125" s="83" t="str">
        <f t="shared" si="10"/>
        <v/>
      </c>
      <c r="G125" s="23"/>
      <c r="H125" s="84"/>
      <c r="I125" s="85" t="str">
        <f>IF(A125="","Pending",IF(H125="","⚠️ Enter Code",IF(IFERROR(VLOOKUP(G125,DB_Agents!$B:$I,8,0),"")=H125,IF(AND(A125&lt;&gt;"",E125&lt;&gt;""),"Saved","Pending"),"🔒 BLOCKED — Wrong Code")))</f>
        <v>Pending</v>
      </c>
      <c r="J125" s="86" t="str">
        <f t="shared" ca="1" si="11"/>
        <v>—</v>
      </c>
      <c r="K125" s="87"/>
    </row>
    <row r="126" spans="1:11" x14ac:dyDescent="0.25">
      <c r="A126" s="88"/>
      <c r="B126" s="25" t="str">
        <f>IF(A126="","",IFERROR(VLOOKUP(A126,DB_Customers!$A:$D,4,0),"❌ Account Not Found"))</f>
        <v/>
      </c>
      <c r="C126" s="89" t="str">
        <f>IF(A126="","",IFERROR(VLOOKUP(A126,DB_Customers!$A:$N,14,0),""))</f>
        <v/>
      </c>
      <c r="D126" s="90" t="str">
        <f t="shared" ca="1" si="9"/>
        <v/>
      </c>
      <c r="E126" s="82"/>
      <c r="F126" s="91" t="str">
        <f t="shared" si="10"/>
        <v/>
      </c>
      <c r="G126" s="27"/>
      <c r="H126" s="84"/>
      <c r="I126" s="92" t="str">
        <f>IF(A126="","Pending",IF(H126="","⚠️ Enter Code",IF(IFERROR(VLOOKUP(G126,DB_Agents!$B:$I,8,0),"")=H126,IF(AND(A126&lt;&gt;"",E126&lt;&gt;""),"Saved","Pending"),"🔒 BLOCKED — Wrong Code")))</f>
        <v>Pending</v>
      </c>
      <c r="J126" s="93" t="str">
        <f t="shared" ca="1" si="11"/>
        <v>—</v>
      </c>
      <c r="K126" s="94"/>
    </row>
    <row r="127" spans="1:11" x14ac:dyDescent="0.25">
      <c r="A127" s="79"/>
      <c r="B127" s="21" t="str">
        <f>IF(A127="","",IFERROR(VLOOKUP(A127,DB_Customers!$A:$D,4,0),"❌ Account Not Found"))</f>
        <v/>
      </c>
      <c r="C127" s="80" t="str">
        <f>IF(A127="","",IFERROR(VLOOKUP(A127,DB_Customers!$A:$N,14,0),""))</f>
        <v/>
      </c>
      <c r="D127" s="81" t="str">
        <f t="shared" ca="1" si="9"/>
        <v/>
      </c>
      <c r="E127" s="82"/>
      <c r="F127" s="83" t="str">
        <f t="shared" si="10"/>
        <v/>
      </c>
      <c r="G127" s="23"/>
      <c r="H127" s="84"/>
      <c r="I127" s="85" t="str">
        <f>IF(A127="","Pending",IF(H127="","⚠️ Enter Code",IF(IFERROR(VLOOKUP(G127,DB_Agents!$B:$I,8,0),"")=H127,IF(AND(A127&lt;&gt;"",E127&lt;&gt;""),"Saved","Pending"),"🔒 BLOCKED — Wrong Code")))</f>
        <v>Pending</v>
      </c>
      <c r="J127" s="86" t="str">
        <f t="shared" ca="1" si="11"/>
        <v>—</v>
      </c>
      <c r="K127" s="87"/>
    </row>
    <row r="128" spans="1:11" x14ac:dyDescent="0.25">
      <c r="A128" s="88"/>
      <c r="B128" s="25" t="str">
        <f>IF(A128="","",IFERROR(VLOOKUP(A128,DB_Customers!$A:$D,4,0),"❌ Account Not Found"))</f>
        <v/>
      </c>
      <c r="C128" s="89" t="str">
        <f>IF(A128="","",IFERROR(VLOOKUP(A128,DB_Customers!$A:$N,14,0),""))</f>
        <v/>
      </c>
      <c r="D128" s="90" t="str">
        <f t="shared" ca="1" si="9"/>
        <v/>
      </c>
      <c r="E128" s="82"/>
      <c r="F128" s="91" t="str">
        <f t="shared" si="10"/>
        <v/>
      </c>
      <c r="G128" s="27"/>
      <c r="H128" s="84"/>
      <c r="I128" s="92" t="str">
        <f>IF(A128="","Pending",IF(H128="","⚠️ Enter Code",IF(IFERROR(VLOOKUP(G128,DB_Agents!$B:$I,8,0),"")=H128,IF(AND(A128&lt;&gt;"",E128&lt;&gt;""),"Saved","Pending"),"🔒 BLOCKED — Wrong Code")))</f>
        <v>Pending</v>
      </c>
      <c r="J128" s="93" t="str">
        <f t="shared" ca="1" si="11"/>
        <v>—</v>
      </c>
      <c r="K128" s="94"/>
    </row>
    <row r="129" spans="1:11" x14ac:dyDescent="0.25">
      <c r="A129" s="79"/>
      <c r="B129" s="21" t="str">
        <f>IF(A129="","",IFERROR(VLOOKUP(A129,DB_Customers!$A:$D,4,0),"❌ Account Not Found"))</f>
        <v/>
      </c>
      <c r="C129" s="80" t="str">
        <f>IF(A129="","",IFERROR(VLOOKUP(A129,DB_Customers!$A:$N,14,0),""))</f>
        <v/>
      </c>
      <c r="D129" s="81" t="str">
        <f t="shared" ca="1" si="9"/>
        <v/>
      </c>
      <c r="E129" s="82"/>
      <c r="F129" s="83" t="str">
        <f t="shared" si="10"/>
        <v/>
      </c>
      <c r="G129" s="23"/>
      <c r="H129" s="84"/>
      <c r="I129" s="85" t="str">
        <f>IF(A129="","Pending",IF(H129="","⚠️ Enter Code",IF(IFERROR(VLOOKUP(G129,DB_Agents!$B:$I,8,0),"")=H129,IF(AND(A129&lt;&gt;"",E129&lt;&gt;""),"Saved","Pending"),"🔒 BLOCKED — Wrong Code")))</f>
        <v>Pending</v>
      </c>
      <c r="J129" s="86" t="str">
        <f t="shared" ca="1" si="11"/>
        <v>—</v>
      </c>
      <c r="K129" s="87"/>
    </row>
    <row r="130" spans="1:11" x14ac:dyDescent="0.25">
      <c r="A130" s="88"/>
      <c r="B130" s="25" t="str">
        <f>IF(A130="","",IFERROR(VLOOKUP(A130,DB_Customers!$A:$D,4,0),"❌ Account Not Found"))</f>
        <v/>
      </c>
      <c r="C130" s="89" t="str">
        <f>IF(A130="","",IFERROR(VLOOKUP(A130,DB_Customers!$A:$N,14,0),""))</f>
        <v/>
      </c>
      <c r="D130" s="90" t="str">
        <f t="shared" ca="1" si="9"/>
        <v/>
      </c>
      <c r="E130" s="82"/>
      <c r="F130" s="91" t="str">
        <f t="shared" si="10"/>
        <v/>
      </c>
      <c r="G130" s="27"/>
      <c r="H130" s="84"/>
      <c r="I130" s="92" t="str">
        <f>IF(A130="","Pending",IF(H130="","⚠️ Enter Code",IF(IFERROR(VLOOKUP(G130,DB_Agents!$B:$I,8,0),"")=H130,IF(AND(A130&lt;&gt;"",E130&lt;&gt;""),"Saved","Pending"),"🔒 BLOCKED — Wrong Code")))</f>
        <v>Pending</v>
      </c>
      <c r="J130" s="93" t="str">
        <f t="shared" ca="1" si="11"/>
        <v>—</v>
      </c>
      <c r="K130" s="94"/>
    </row>
    <row r="131" spans="1:11" x14ac:dyDescent="0.25">
      <c r="A131" s="79"/>
      <c r="B131" s="21" t="str">
        <f>IF(A131="","",IFERROR(VLOOKUP(A131,DB_Customers!$A:$D,4,0),"❌ Account Not Found"))</f>
        <v/>
      </c>
      <c r="C131" s="80" t="str">
        <f>IF(A131="","",IFERROR(VLOOKUP(A131,DB_Customers!$A:$N,14,0),""))</f>
        <v/>
      </c>
      <c r="D131" s="81" t="str">
        <f t="shared" ca="1" si="9"/>
        <v/>
      </c>
      <c r="E131" s="82"/>
      <c r="F131" s="83" t="str">
        <f t="shared" si="10"/>
        <v/>
      </c>
      <c r="G131" s="23"/>
      <c r="H131" s="84"/>
      <c r="I131" s="85" t="str">
        <f>IF(A131="","Pending",IF(H131="","⚠️ Enter Code",IF(IFERROR(VLOOKUP(G131,DB_Agents!$B:$I,8,0),"")=H131,IF(AND(A131&lt;&gt;"",E131&lt;&gt;""),"Saved","Pending"),"🔒 BLOCKED — Wrong Code")))</f>
        <v>Pending</v>
      </c>
      <c r="J131" s="86" t="str">
        <f t="shared" ca="1" si="11"/>
        <v>—</v>
      </c>
      <c r="K131" s="87"/>
    </row>
    <row r="132" spans="1:11" x14ac:dyDescent="0.25">
      <c r="A132" s="88"/>
      <c r="B132" s="25" t="str">
        <f>IF(A132="","",IFERROR(VLOOKUP(A132,DB_Customers!$A:$D,4,0),"❌ Account Not Found"))</f>
        <v/>
      </c>
      <c r="C132" s="89" t="str">
        <f>IF(A132="","",IFERROR(VLOOKUP(A132,DB_Customers!$A:$N,14,0),""))</f>
        <v/>
      </c>
      <c r="D132" s="90" t="str">
        <f t="shared" ca="1" si="9"/>
        <v/>
      </c>
      <c r="E132" s="82"/>
      <c r="F132" s="91" t="str">
        <f t="shared" si="10"/>
        <v/>
      </c>
      <c r="G132" s="27"/>
      <c r="H132" s="84"/>
      <c r="I132" s="92" t="str">
        <f>IF(A132="","Pending",IF(H132="","⚠️ Enter Code",IF(IFERROR(VLOOKUP(G132,DB_Agents!$B:$I,8,0),"")=H132,IF(AND(A132&lt;&gt;"",E132&lt;&gt;""),"Saved","Pending"),"🔒 BLOCKED — Wrong Code")))</f>
        <v>Pending</v>
      </c>
      <c r="J132" s="93" t="str">
        <f t="shared" ca="1" si="11"/>
        <v>—</v>
      </c>
      <c r="K132" s="94"/>
    </row>
    <row r="133" spans="1:11" x14ac:dyDescent="0.25">
      <c r="A133" s="79"/>
      <c r="B133" s="21" t="str">
        <f>IF(A133="","",IFERROR(VLOOKUP(A133,DB_Customers!$A:$D,4,0),"❌ Account Not Found"))</f>
        <v/>
      </c>
      <c r="C133" s="80" t="str">
        <f>IF(A133="","",IFERROR(VLOOKUP(A133,DB_Customers!$A:$N,14,0),""))</f>
        <v/>
      </c>
      <c r="D133" s="81" t="str">
        <f t="shared" ca="1" si="9"/>
        <v/>
      </c>
      <c r="E133" s="82"/>
      <c r="F133" s="83" t="str">
        <f t="shared" si="10"/>
        <v/>
      </c>
      <c r="G133" s="23"/>
      <c r="H133" s="84"/>
      <c r="I133" s="85" t="str">
        <f>IF(A133="","Pending",IF(H133="","⚠️ Enter Code",IF(IFERROR(VLOOKUP(G133,DB_Agents!$B:$I,8,0),"")=H133,IF(AND(A133&lt;&gt;"",E133&lt;&gt;""),"Saved","Pending"),"🔒 BLOCKED — Wrong Code")))</f>
        <v>Pending</v>
      </c>
      <c r="J133" s="86" t="str">
        <f t="shared" ca="1" si="11"/>
        <v>—</v>
      </c>
      <c r="K133" s="87"/>
    </row>
    <row r="134" spans="1:11" x14ac:dyDescent="0.25">
      <c r="A134" s="88"/>
      <c r="B134" s="25" t="str">
        <f>IF(A134="","",IFERROR(VLOOKUP(A134,DB_Customers!$A:$D,4,0),"❌ Account Not Found"))</f>
        <v/>
      </c>
      <c r="C134" s="89" t="str">
        <f>IF(A134="","",IFERROR(VLOOKUP(A134,DB_Customers!$A:$N,14,0),""))</f>
        <v/>
      </c>
      <c r="D134" s="90" t="str">
        <f t="shared" ca="1" si="9"/>
        <v/>
      </c>
      <c r="E134" s="82"/>
      <c r="F134" s="91" t="str">
        <f t="shared" si="10"/>
        <v/>
      </c>
      <c r="G134" s="27"/>
      <c r="H134" s="84"/>
      <c r="I134" s="92" t="str">
        <f>IF(A134="","Pending",IF(H134="","⚠️ Enter Code",IF(IFERROR(VLOOKUP(G134,DB_Agents!$B:$I,8,0),"")=H134,IF(AND(A134&lt;&gt;"",E134&lt;&gt;""),"Saved","Pending"),"🔒 BLOCKED — Wrong Code")))</f>
        <v>Pending</v>
      </c>
      <c r="J134" s="93" t="str">
        <f t="shared" ca="1" si="11"/>
        <v>—</v>
      </c>
      <c r="K134" s="94"/>
    </row>
    <row r="135" spans="1:11" x14ac:dyDescent="0.25">
      <c r="A135" s="79"/>
      <c r="B135" s="21" t="str">
        <f>IF(A135="","",IFERROR(VLOOKUP(A135,DB_Customers!$A:$D,4,0),"❌ Account Not Found"))</f>
        <v/>
      </c>
      <c r="C135" s="80" t="str">
        <f>IF(A135="","",IFERROR(VLOOKUP(A135,DB_Customers!$A:$N,14,0),""))</f>
        <v/>
      </c>
      <c r="D135" s="81" t="str">
        <f t="shared" ca="1" si="9"/>
        <v/>
      </c>
      <c r="E135" s="82"/>
      <c r="F135" s="83" t="str">
        <f t="shared" si="10"/>
        <v/>
      </c>
      <c r="G135" s="23"/>
      <c r="H135" s="84"/>
      <c r="I135" s="85" t="str">
        <f>IF(A135="","Pending",IF(H135="","⚠️ Enter Code",IF(IFERROR(VLOOKUP(G135,DB_Agents!$B:$I,8,0),"")=H135,IF(AND(A135&lt;&gt;"",E135&lt;&gt;""),"Saved","Pending"),"🔒 BLOCKED — Wrong Code")))</f>
        <v>Pending</v>
      </c>
      <c r="J135" s="86" t="str">
        <f t="shared" ca="1" si="11"/>
        <v>—</v>
      </c>
      <c r="K135" s="87"/>
    </row>
    <row r="136" spans="1:11" x14ac:dyDescent="0.25">
      <c r="A136" s="88"/>
      <c r="B136" s="25" t="str">
        <f>IF(A136="","",IFERROR(VLOOKUP(A136,DB_Customers!$A:$D,4,0),"❌ Account Not Found"))</f>
        <v/>
      </c>
      <c r="C136" s="89" t="str">
        <f>IF(A136="","",IFERROR(VLOOKUP(A136,DB_Customers!$A:$N,14,0),""))</f>
        <v/>
      </c>
      <c r="D136" s="90" t="str">
        <f t="shared" ca="1" si="9"/>
        <v/>
      </c>
      <c r="E136" s="82"/>
      <c r="F136" s="91" t="str">
        <f t="shared" si="10"/>
        <v/>
      </c>
      <c r="G136" s="27"/>
      <c r="H136" s="84"/>
      <c r="I136" s="92" t="str">
        <f>IF(A136="","Pending",IF(H136="","⚠️ Enter Code",IF(IFERROR(VLOOKUP(G136,DB_Agents!$B:$I,8,0),"")=H136,IF(AND(A136&lt;&gt;"",E136&lt;&gt;""),"Saved","Pending"),"🔒 BLOCKED — Wrong Code")))</f>
        <v>Pending</v>
      </c>
      <c r="J136" s="93" t="str">
        <f t="shared" ca="1" si="11"/>
        <v>—</v>
      </c>
      <c r="K136" s="94"/>
    </row>
    <row r="137" spans="1:11" x14ac:dyDescent="0.25">
      <c r="A137" s="79"/>
      <c r="B137" s="21" t="str">
        <f>IF(A137="","",IFERROR(VLOOKUP(A137,DB_Customers!$A:$D,4,0),"❌ Account Not Found"))</f>
        <v/>
      </c>
      <c r="C137" s="80" t="str">
        <f>IF(A137="","",IFERROR(VLOOKUP(A137,DB_Customers!$A:$N,14,0),""))</f>
        <v/>
      </c>
      <c r="D137" s="81" t="str">
        <f t="shared" ref="D137:D168" ca="1" si="12">IF(A137="","",TODAY())</f>
        <v/>
      </c>
      <c r="E137" s="82"/>
      <c r="F137" s="83" t="str">
        <f t="shared" ref="F137:F168" si="13">IF(OR(A137="",E137=""),"",IF(C137="","",C137+E137))</f>
        <v/>
      </c>
      <c r="G137" s="23"/>
      <c r="H137" s="84"/>
      <c r="I137" s="85" t="str">
        <f>IF(A137="","Pending",IF(H137="","⚠️ Enter Code",IF(IFERROR(VLOOKUP(G137,DB_Agents!$B:$I,8,0),"")=H137,IF(AND(A137&lt;&gt;"",E137&lt;&gt;""),"Saved","Pending"),"🔒 BLOCKED — Wrong Code")))</f>
        <v>Pending</v>
      </c>
      <c r="J137" s="86" t="str">
        <f t="shared" ref="J137:J168" ca="1" si="14">IF(I137="Saved",TEXT(TODAY(),"YYYY-MM-DD")&amp;" Auto","—")</f>
        <v>—</v>
      </c>
      <c r="K137" s="87"/>
    </row>
    <row r="138" spans="1:11" x14ac:dyDescent="0.25">
      <c r="A138" s="88"/>
      <c r="B138" s="25" t="str">
        <f>IF(A138="","",IFERROR(VLOOKUP(A138,DB_Customers!$A:$D,4,0),"❌ Account Not Found"))</f>
        <v/>
      </c>
      <c r="C138" s="89" t="str">
        <f>IF(A138="","",IFERROR(VLOOKUP(A138,DB_Customers!$A:$N,14,0),""))</f>
        <v/>
      </c>
      <c r="D138" s="90" t="str">
        <f t="shared" ca="1" si="12"/>
        <v/>
      </c>
      <c r="E138" s="82"/>
      <c r="F138" s="91" t="str">
        <f t="shared" si="13"/>
        <v/>
      </c>
      <c r="G138" s="27"/>
      <c r="H138" s="84"/>
      <c r="I138" s="92" t="str">
        <f>IF(A138="","Pending",IF(H138="","⚠️ Enter Code",IF(IFERROR(VLOOKUP(G138,DB_Agents!$B:$I,8,0),"")=H138,IF(AND(A138&lt;&gt;"",E138&lt;&gt;""),"Saved","Pending"),"🔒 BLOCKED — Wrong Code")))</f>
        <v>Pending</v>
      </c>
      <c r="J138" s="93" t="str">
        <f t="shared" ca="1" si="14"/>
        <v>—</v>
      </c>
      <c r="K138" s="94"/>
    </row>
    <row r="139" spans="1:11" x14ac:dyDescent="0.25">
      <c r="A139" s="79"/>
      <c r="B139" s="21" t="str">
        <f>IF(A139="","",IFERROR(VLOOKUP(A139,DB_Customers!$A:$D,4,0),"❌ Account Not Found"))</f>
        <v/>
      </c>
      <c r="C139" s="80" t="str">
        <f>IF(A139="","",IFERROR(VLOOKUP(A139,DB_Customers!$A:$N,14,0),""))</f>
        <v/>
      </c>
      <c r="D139" s="81" t="str">
        <f t="shared" ca="1" si="12"/>
        <v/>
      </c>
      <c r="E139" s="82"/>
      <c r="F139" s="83" t="str">
        <f t="shared" si="13"/>
        <v/>
      </c>
      <c r="G139" s="23"/>
      <c r="H139" s="84"/>
      <c r="I139" s="85" t="str">
        <f>IF(A139="","Pending",IF(H139="","⚠️ Enter Code",IF(IFERROR(VLOOKUP(G139,DB_Agents!$B:$I,8,0),"")=H139,IF(AND(A139&lt;&gt;"",E139&lt;&gt;""),"Saved","Pending"),"🔒 BLOCKED — Wrong Code")))</f>
        <v>Pending</v>
      </c>
      <c r="J139" s="86" t="str">
        <f t="shared" ca="1" si="14"/>
        <v>—</v>
      </c>
      <c r="K139" s="87"/>
    </row>
    <row r="140" spans="1:11" x14ac:dyDescent="0.25">
      <c r="A140" s="88"/>
      <c r="B140" s="25" t="str">
        <f>IF(A140="","",IFERROR(VLOOKUP(A140,DB_Customers!$A:$D,4,0),"❌ Account Not Found"))</f>
        <v/>
      </c>
      <c r="C140" s="89" t="str">
        <f>IF(A140="","",IFERROR(VLOOKUP(A140,DB_Customers!$A:$N,14,0),""))</f>
        <v/>
      </c>
      <c r="D140" s="90" t="str">
        <f t="shared" ca="1" si="12"/>
        <v/>
      </c>
      <c r="E140" s="82"/>
      <c r="F140" s="91" t="str">
        <f t="shared" si="13"/>
        <v/>
      </c>
      <c r="G140" s="27"/>
      <c r="H140" s="84"/>
      <c r="I140" s="92" t="str">
        <f>IF(A140="","Pending",IF(H140="","⚠️ Enter Code",IF(IFERROR(VLOOKUP(G140,DB_Agents!$B:$I,8,0),"")=H140,IF(AND(A140&lt;&gt;"",E140&lt;&gt;""),"Saved","Pending"),"🔒 BLOCKED — Wrong Code")))</f>
        <v>Pending</v>
      </c>
      <c r="J140" s="93" t="str">
        <f t="shared" ca="1" si="14"/>
        <v>—</v>
      </c>
      <c r="K140" s="94"/>
    </row>
    <row r="141" spans="1:11" x14ac:dyDescent="0.25">
      <c r="A141" s="79"/>
      <c r="B141" s="21" t="str">
        <f>IF(A141="","",IFERROR(VLOOKUP(A141,DB_Customers!$A:$D,4,0),"❌ Account Not Found"))</f>
        <v/>
      </c>
      <c r="C141" s="80" t="str">
        <f>IF(A141="","",IFERROR(VLOOKUP(A141,DB_Customers!$A:$N,14,0),""))</f>
        <v/>
      </c>
      <c r="D141" s="81" t="str">
        <f t="shared" ca="1" si="12"/>
        <v/>
      </c>
      <c r="E141" s="82"/>
      <c r="F141" s="83" t="str">
        <f t="shared" si="13"/>
        <v/>
      </c>
      <c r="G141" s="23"/>
      <c r="H141" s="84"/>
      <c r="I141" s="85" t="str">
        <f>IF(A141="","Pending",IF(H141="","⚠️ Enter Code",IF(IFERROR(VLOOKUP(G141,DB_Agents!$B:$I,8,0),"")=H141,IF(AND(A141&lt;&gt;"",E141&lt;&gt;""),"Saved","Pending"),"🔒 BLOCKED — Wrong Code")))</f>
        <v>Pending</v>
      </c>
      <c r="J141" s="86" t="str">
        <f t="shared" ca="1" si="14"/>
        <v>—</v>
      </c>
      <c r="K141" s="87"/>
    </row>
    <row r="142" spans="1:11" x14ac:dyDescent="0.25">
      <c r="A142" s="88"/>
      <c r="B142" s="25" t="str">
        <f>IF(A142="","",IFERROR(VLOOKUP(A142,DB_Customers!$A:$D,4,0),"❌ Account Not Found"))</f>
        <v/>
      </c>
      <c r="C142" s="89" t="str">
        <f>IF(A142="","",IFERROR(VLOOKUP(A142,DB_Customers!$A:$N,14,0),""))</f>
        <v/>
      </c>
      <c r="D142" s="90" t="str">
        <f t="shared" ca="1" si="12"/>
        <v/>
      </c>
      <c r="E142" s="82"/>
      <c r="F142" s="91" t="str">
        <f t="shared" si="13"/>
        <v/>
      </c>
      <c r="G142" s="27"/>
      <c r="H142" s="84"/>
      <c r="I142" s="92" t="str">
        <f>IF(A142="","Pending",IF(H142="","⚠️ Enter Code",IF(IFERROR(VLOOKUP(G142,DB_Agents!$B:$I,8,0),"")=H142,IF(AND(A142&lt;&gt;"",E142&lt;&gt;""),"Saved","Pending"),"🔒 BLOCKED — Wrong Code")))</f>
        <v>Pending</v>
      </c>
      <c r="J142" s="93" t="str">
        <f t="shared" ca="1" si="14"/>
        <v>—</v>
      </c>
      <c r="K142" s="94"/>
    </row>
    <row r="143" spans="1:11" x14ac:dyDescent="0.25">
      <c r="A143" s="79"/>
      <c r="B143" s="21" t="str">
        <f>IF(A143="","",IFERROR(VLOOKUP(A143,DB_Customers!$A:$D,4,0),"❌ Account Not Found"))</f>
        <v/>
      </c>
      <c r="C143" s="80" t="str">
        <f>IF(A143="","",IFERROR(VLOOKUP(A143,DB_Customers!$A:$N,14,0),""))</f>
        <v/>
      </c>
      <c r="D143" s="81" t="str">
        <f t="shared" ca="1" si="12"/>
        <v/>
      </c>
      <c r="E143" s="82"/>
      <c r="F143" s="83" t="str">
        <f t="shared" si="13"/>
        <v/>
      </c>
      <c r="G143" s="23"/>
      <c r="H143" s="84"/>
      <c r="I143" s="85" t="str">
        <f>IF(A143="","Pending",IF(H143="","⚠️ Enter Code",IF(IFERROR(VLOOKUP(G143,DB_Agents!$B:$I,8,0),"")=H143,IF(AND(A143&lt;&gt;"",E143&lt;&gt;""),"Saved","Pending"),"🔒 BLOCKED — Wrong Code")))</f>
        <v>Pending</v>
      </c>
      <c r="J143" s="86" t="str">
        <f t="shared" ca="1" si="14"/>
        <v>—</v>
      </c>
      <c r="K143" s="87"/>
    </row>
    <row r="144" spans="1:11" x14ac:dyDescent="0.25">
      <c r="A144" s="88"/>
      <c r="B144" s="25" t="str">
        <f>IF(A144="","",IFERROR(VLOOKUP(A144,DB_Customers!$A:$D,4,0),"❌ Account Not Found"))</f>
        <v/>
      </c>
      <c r="C144" s="89" t="str">
        <f>IF(A144="","",IFERROR(VLOOKUP(A144,DB_Customers!$A:$N,14,0),""))</f>
        <v/>
      </c>
      <c r="D144" s="90" t="str">
        <f t="shared" ca="1" si="12"/>
        <v/>
      </c>
      <c r="E144" s="82"/>
      <c r="F144" s="91" t="str">
        <f t="shared" si="13"/>
        <v/>
      </c>
      <c r="G144" s="27"/>
      <c r="H144" s="84"/>
      <c r="I144" s="92" t="str">
        <f>IF(A144="","Pending",IF(H144="","⚠️ Enter Code",IF(IFERROR(VLOOKUP(G144,DB_Agents!$B:$I,8,0),"")=H144,IF(AND(A144&lt;&gt;"",E144&lt;&gt;""),"Saved","Pending"),"🔒 BLOCKED — Wrong Code")))</f>
        <v>Pending</v>
      </c>
      <c r="J144" s="93" t="str">
        <f t="shared" ca="1" si="14"/>
        <v>—</v>
      </c>
      <c r="K144" s="94"/>
    </row>
    <row r="145" spans="1:11" x14ac:dyDescent="0.25">
      <c r="A145" s="79"/>
      <c r="B145" s="21" t="str">
        <f>IF(A145="","",IFERROR(VLOOKUP(A145,DB_Customers!$A:$D,4,0),"❌ Account Not Found"))</f>
        <v/>
      </c>
      <c r="C145" s="80" t="str">
        <f>IF(A145="","",IFERROR(VLOOKUP(A145,DB_Customers!$A:$N,14,0),""))</f>
        <v/>
      </c>
      <c r="D145" s="81" t="str">
        <f t="shared" ca="1" si="12"/>
        <v/>
      </c>
      <c r="E145" s="82"/>
      <c r="F145" s="83" t="str">
        <f t="shared" si="13"/>
        <v/>
      </c>
      <c r="G145" s="23"/>
      <c r="H145" s="84"/>
      <c r="I145" s="85" t="str">
        <f>IF(A145="","Pending",IF(H145="","⚠️ Enter Code",IF(IFERROR(VLOOKUP(G145,DB_Agents!$B:$I,8,0),"")=H145,IF(AND(A145&lt;&gt;"",E145&lt;&gt;""),"Saved","Pending"),"🔒 BLOCKED — Wrong Code")))</f>
        <v>Pending</v>
      </c>
      <c r="J145" s="86" t="str">
        <f t="shared" ca="1" si="14"/>
        <v>—</v>
      </c>
      <c r="K145" s="87"/>
    </row>
    <row r="146" spans="1:11" x14ac:dyDescent="0.25">
      <c r="A146" s="88"/>
      <c r="B146" s="25" t="str">
        <f>IF(A146="","",IFERROR(VLOOKUP(A146,DB_Customers!$A:$D,4,0),"❌ Account Not Found"))</f>
        <v/>
      </c>
      <c r="C146" s="89" t="str">
        <f>IF(A146="","",IFERROR(VLOOKUP(A146,DB_Customers!$A:$N,14,0),""))</f>
        <v/>
      </c>
      <c r="D146" s="90" t="str">
        <f t="shared" ca="1" si="12"/>
        <v/>
      </c>
      <c r="E146" s="82"/>
      <c r="F146" s="91" t="str">
        <f t="shared" si="13"/>
        <v/>
      </c>
      <c r="G146" s="27"/>
      <c r="H146" s="84"/>
      <c r="I146" s="92" t="str">
        <f>IF(A146="","Pending",IF(H146="","⚠️ Enter Code",IF(IFERROR(VLOOKUP(G146,DB_Agents!$B:$I,8,0),"")=H146,IF(AND(A146&lt;&gt;"",E146&lt;&gt;""),"Saved","Pending"),"🔒 BLOCKED — Wrong Code")))</f>
        <v>Pending</v>
      </c>
      <c r="J146" s="93" t="str">
        <f t="shared" ca="1" si="14"/>
        <v>—</v>
      </c>
      <c r="K146" s="94"/>
    </row>
    <row r="147" spans="1:11" x14ac:dyDescent="0.25">
      <c r="A147" s="79"/>
      <c r="B147" s="21" t="str">
        <f>IF(A147="","",IFERROR(VLOOKUP(A147,DB_Customers!$A:$D,4,0),"❌ Account Not Found"))</f>
        <v/>
      </c>
      <c r="C147" s="80" t="str">
        <f>IF(A147="","",IFERROR(VLOOKUP(A147,DB_Customers!$A:$N,14,0),""))</f>
        <v/>
      </c>
      <c r="D147" s="81" t="str">
        <f t="shared" ca="1" si="12"/>
        <v/>
      </c>
      <c r="E147" s="82"/>
      <c r="F147" s="83" t="str">
        <f t="shared" si="13"/>
        <v/>
      </c>
      <c r="G147" s="23"/>
      <c r="H147" s="84"/>
      <c r="I147" s="85" t="str">
        <f>IF(A147="","Pending",IF(H147="","⚠️ Enter Code",IF(IFERROR(VLOOKUP(G147,DB_Agents!$B:$I,8,0),"")=H147,IF(AND(A147&lt;&gt;"",E147&lt;&gt;""),"Saved","Pending"),"🔒 BLOCKED — Wrong Code")))</f>
        <v>Pending</v>
      </c>
      <c r="J147" s="86" t="str">
        <f t="shared" ca="1" si="14"/>
        <v>—</v>
      </c>
      <c r="K147" s="87"/>
    </row>
    <row r="148" spans="1:11" x14ac:dyDescent="0.25">
      <c r="A148" s="88"/>
      <c r="B148" s="25" t="str">
        <f>IF(A148="","",IFERROR(VLOOKUP(A148,DB_Customers!$A:$D,4,0),"❌ Account Not Found"))</f>
        <v/>
      </c>
      <c r="C148" s="89" t="str">
        <f>IF(A148="","",IFERROR(VLOOKUP(A148,DB_Customers!$A:$N,14,0),""))</f>
        <v/>
      </c>
      <c r="D148" s="90" t="str">
        <f t="shared" ca="1" si="12"/>
        <v/>
      </c>
      <c r="E148" s="82"/>
      <c r="F148" s="91" t="str">
        <f t="shared" si="13"/>
        <v/>
      </c>
      <c r="G148" s="27"/>
      <c r="H148" s="84"/>
      <c r="I148" s="92" t="str">
        <f>IF(A148="","Pending",IF(H148="","⚠️ Enter Code",IF(IFERROR(VLOOKUP(G148,DB_Agents!$B:$I,8,0),"")=H148,IF(AND(A148&lt;&gt;"",E148&lt;&gt;""),"Saved","Pending"),"🔒 BLOCKED — Wrong Code")))</f>
        <v>Pending</v>
      </c>
      <c r="J148" s="93" t="str">
        <f t="shared" ca="1" si="14"/>
        <v>—</v>
      </c>
      <c r="K148" s="94"/>
    </row>
    <row r="149" spans="1:11" x14ac:dyDescent="0.25">
      <c r="A149" s="79"/>
      <c r="B149" s="21" t="str">
        <f>IF(A149="","",IFERROR(VLOOKUP(A149,DB_Customers!$A:$D,4,0),"❌ Account Not Found"))</f>
        <v/>
      </c>
      <c r="C149" s="80" t="str">
        <f>IF(A149="","",IFERROR(VLOOKUP(A149,DB_Customers!$A:$N,14,0),""))</f>
        <v/>
      </c>
      <c r="D149" s="81" t="str">
        <f t="shared" ca="1" si="12"/>
        <v/>
      </c>
      <c r="E149" s="82"/>
      <c r="F149" s="83" t="str">
        <f t="shared" si="13"/>
        <v/>
      </c>
      <c r="G149" s="23"/>
      <c r="H149" s="84"/>
      <c r="I149" s="85" t="str">
        <f>IF(A149="","Pending",IF(H149="","⚠️ Enter Code",IF(IFERROR(VLOOKUP(G149,DB_Agents!$B:$I,8,0),"")=H149,IF(AND(A149&lt;&gt;"",E149&lt;&gt;""),"Saved","Pending"),"🔒 BLOCKED — Wrong Code")))</f>
        <v>Pending</v>
      </c>
      <c r="J149" s="86" t="str">
        <f t="shared" ca="1" si="14"/>
        <v>—</v>
      </c>
      <c r="K149" s="87"/>
    </row>
    <row r="150" spans="1:11" x14ac:dyDescent="0.25">
      <c r="A150" s="88"/>
      <c r="B150" s="25" t="str">
        <f>IF(A150="","",IFERROR(VLOOKUP(A150,DB_Customers!$A:$D,4,0),"❌ Account Not Found"))</f>
        <v/>
      </c>
      <c r="C150" s="89" t="str">
        <f>IF(A150="","",IFERROR(VLOOKUP(A150,DB_Customers!$A:$N,14,0),""))</f>
        <v/>
      </c>
      <c r="D150" s="90" t="str">
        <f t="shared" ca="1" si="12"/>
        <v/>
      </c>
      <c r="E150" s="82"/>
      <c r="F150" s="91" t="str">
        <f t="shared" si="13"/>
        <v/>
      </c>
      <c r="G150" s="27"/>
      <c r="H150" s="84"/>
      <c r="I150" s="92" t="str">
        <f>IF(A150="","Pending",IF(H150="","⚠️ Enter Code",IF(IFERROR(VLOOKUP(G150,DB_Agents!$B:$I,8,0),"")=H150,IF(AND(A150&lt;&gt;"",E150&lt;&gt;""),"Saved","Pending"),"🔒 BLOCKED — Wrong Code")))</f>
        <v>Pending</v>
      </c>
      <c r="J150" s="93" t="str">
        <f t="shared" ca="1" si="14"/>
        <v>—</v>
      </c>
      <c r="K150" s="94"/>
    </row>
    <row r="151" spans="1:11" x14ac:dyDescent="0.25">
      <c r="A151" s="79"/>
      <c r="B151" s="21" t="str">
        <f>IF(A151="","",IFERROR(VLOOKUP(A151,DB_Customers!$A:$D,4,0),"❌ Account Not Found"))</f>
        <v/>
      </c>
      <c r="C151" s="80" t="str">
        <f>IF(A151="","",IFERROR(VLOOKUP(A151,DB_Customers!$A:$N,14,0),""))</f>
        <v/>
      </c>
      <c r="D151" s="81" t="str">
        <f t="shared" ca="1" si="12"/>
        <v/>
      </c>
      <c r="E151" s="82"/>
      <c r="F151" s="83" t="str">
        <f t="shared" si="13"/>
        <v/>
      </c>
      <c r="G151" s="23"/>
      <c r="H151" s="84"/>
      <c r="I151" s="85" t="str">
        <f>IF(A151="","Pending",IF(H151="","⚠️ Enter Code",IF(IFERROR(VLOOKUP(G151,DB_Agents!$B:$I,8,0),"")=H151,IF(AND(A151&lt;&gt;"",E151&lt;&gt;""),"Saved","Pending"),"🔒 BLOCKED — Wrong Code")))</f>
        <v>Pending</v>
      </c>
      <c r="J151" s="86" t="str">
        <f t="shared" ca="1" si="14"/>
        <v>—</v>
      </c>
      <c r="K151" s="87"/>
    </row>
    <row r="152" spans="1:11" x14ac:dyDescent="0.25">
      <c r="A152" s="88"/>
      <c r="B152" s="25" t="str">
        <f>IF(A152="","",IFERROR(VLOOKUP(A152,DB_Customers!$A:$D,4,0),"❌ Account Not Found"))</f>
        <v/>
      </c>
      <c r="C152" s="89" t="str">
        <f>IF(A152="","",IFERROR(VLOOKUP(A152,DB_Customers!$A:$N,14,0),""))</f>
        <v/>
      </c>
      <c r="D152" s="90" t="str">
        <f t="shared" ca="1" si="12"/>
        <v/>
      </c>
      <c r="E152" s="82"/>
      <c r="F152" s="91" t="str">
        <f t="shared" si="13"/>
        <v/>
      </c>
      <c r="G152" s="27"/>
      <c r="H152" s="84"/>
      <c r="I152" s="92" t="str">
        <f>IF(A152="","Pending",IF(H152="","⚠️ Enter Code",IF(IFERROR(VLOOKUP(G152,DB_Agents!$B:$I,8,0),"")=H152,IF(AND(A152&lt;&gt;"",E152&lt;&gt;""),"Saved","Pending"),"🔒 BLOCKED — Wrong Code")))</f>
        <v>Pending</v>
      </c>
      <c r="J152" s="93" t="str">
        <f t="shared" ca="1" si="14"/>
        <v>—</v>
      </c>
      <c r="K152" s="94"/>
    </row>
    <row r="153" spans="1:11" x14ac:dyDescent="0.25">
      <c r="A153" s="79"/>
      <c r="B153" s="21" t="str">
        <f>IF(A153="","",IFERROR(VLOOKUP(A153,DB_Customers!$A:$D,4,0),"❌ Account Not Found"))</f>
        <v/>
      </c>
      <c r="C153" s="80" t="str">
        <f>IF(A153="","",IFERROR(VLOOKUP(A153,DB_Customers!$A:$N,14,0),""))</f>
        <v/>
      </c>
      <c r="D153" s="81" t="str">
        <f t="shared" ca="1" si="12"/>
        <v/>
      </c>
      <c r="E153" s="82"/>
      <c r="F153" s="83" t="str">
        <f t="shared" si="13"/>
        <v/>
      </c>
      <c r="G153" s="23"/>
      <c r="H153" s="84"/>
      <c r="I153" s="85" t="str">
        <f>IF(A153="","Pending",IF(H153="","⚠️ Enter Code",IF(IFERROR(VLOOKUP(G153,DB_Agents!$B:$I,8,0),"")=H153,IF(AND(A153&lt;&gt;"",E153&lt;&gt;""),"Saved","Pending"),"🔒 BLOCKED — Wrong Code")))</f>
        <v>Pending</v>
      </c>
      <c r="J153" s="86" t="str">
        <f t="shared" ca="1" si="14"/>
        <v>—</v>
      </c>
      <c r="K153" s="87"/>
    </row>
    <row r="154" spans="1:11" x14ac:dyDescent="0.25">
      <c r="A154" s="88"/>
      <c r="B154" s="25" t="str">
        <f>IF(A154="","",IFERROR(VLOOKUP(A154,DB_Customers!$A:$D,4,0),"❌ Account Not Found"))</f>
        <v/>
      </c>
      <c r="C154" s="89" t="str">
        <f>IF(A154="","",IFERROR(VLOOKUP(A154,DB_Customers!$A:$N,14,0),""))</f>
        <v/>
      </c>
      <c r="D154" s="90" t="str">
        <f t="shared" ca="1" si="12"/>
        <v/>
      </c>
      <c r="E154" s="82"/>
      <c r="F154" s="91" t="str">
        <f t="shared" si="13"/>
        <v/>
      </c>
      <c r="G154" s="27"/>
      <c r="H154" s="84"/>
      <c r="I154" s="92" t="str">
        <f>IF(A154="","Pending",IF(H154="","⚠️ Enter Code",IF(IFERROR(VLOOKUP(G154,DB_Agents!$B:$I,8,0),"")=H154,IF(AND(A154&lt;&gt;"",E154&lt;&gt;""),"Saved","Pending"),"🔒 BLOCKED — Wrong Code")))</f>
        <v>Pending</v>
      </c>
      <c r="J154" s="93" t="str">
        <f t="shared" ca="1" si="14"/>
        <v>—</v>
      </c>
      <c r="K154" s="94"/>
    </row>
    <row r="155" spans="1:11" x14ac:dyDescent="0.25">
      <c r="A155" s="79"/>
      <c r="B155" s="21" t="str">
        <f>IF(A155="","",IFERROR(VLOOKUP(A155,DB_Customers!$A:$D,4,0),"❌ Account Not Found"))</f>
        <v/>
      </c>
      <c r="C155" s="80" t="str">
        <f>IF(A155="","",IFERROR(VLOOKUP(A155,DB_Customers!$A:$N,14,0),""))</f>
        <v/>
      </c>
      <c r="D155" s="81" t="str">
        <f t="shared" ca="1" si="12"/>
        <v/>
      </c>
      <c r="E155" s="82"/>
      <c r="F155" s="83" t="str">
        <f t="shared" si="13"/>
        <v/>
      </c>
      <c r="G155" s="23"/>
      <c r="H155" s="84"/>
      <c r="I155" s="85" t="str">
        <f>IF(A155="","Pending",IF(H155="","⚠️ Enter Code",IF(IFERROR(VLOOKUP(G155,DB_Agents!$B:$I,8,0),"")=H155,IF(AND(A155&lt;&gt;"",E155&lt;&gt;""),"Saved","Pending"),"🔒 BLOCKED — Wrong Code")))</f>
        <v>Pending</v>
      </c>
      <c r="J155" s="86" t="str">
        <f t="shared" ca="1" si="14"/>
        <v>—</v>
      </c>
      <c r="K155" s="87"/>
    </row>
    <row r="156" spans="1:11" x14ac:dyDescent="0.25">
      <c r="A156" s="88"/>
      <c r="B156" s="25" t="str">
        <f>IF(A156="","",IFERROR(VLOOKUP(A156,DB_Customers!$A:$D,4,0),"❌ Account Not Found"))</f>
        <v/>
      </c>
      <c r="C156" s="89" t="str">
        <f>IF(A156="","",IFERROR(VLOOKUP(A156,DB_Customers!$A:$N,14,0),""))</f>
        <v/>
      </c>
      <c r="D156" s="90" t="str">
        <f t="shared" ca="1" si="12"/>
        <v/>
      </c>
      <c r="E156" s="82"/>
      <c r="F156" s="91" t="str">
        <f t="shared" si="13"/>
        <v/>
      </c>
      <c r="G156" s="27"/>
      <c r="H156" s="84"/>
      <c r="I156" s="92" t="str">
        <f>IF(A156="","Pending",IF(H156="","⚠️ Enter Code",IF(IFERROR(VLOOKUP(G156,DB_Agents!$B:$I,8,0),"")=H156,IF(AND(A156&lt;&gt;"",E156&lt;&gt;""),"Saved","Pending"),"🔒 BLOCKED — Wrong Code")))</f>
        <v>Pending</v>
      </c>
      <c r="J156" s="93" t="str">
        <f t="shared" ca="1" si="14"/>
        <v>—</v>
      </c>
      <c r="K156" s="94"/>
    </row>
    <row r="157" spans="1:11" x14ac:dyDescent="0.25">
      <c r="A157" s="79"/>
      <c r="B157" s="21" t="str">
        <f>IF(A157="","",IFERROR(VLOOKUP(A157,DB_Customers!$A:$D,4,0),"❌ Account Not Found"))</f>
        <v/>
      </c>
      <c r="C157" s="80" t="str">
        <f>IF(A157="","",IFERROR(VLOOKUP(A157,DB_Customers!$A:$N,14,0),""))</f>
        <v/>
      </c>
      <c r="D157" s="81" t="str">
        <f t="shared" ca="1" si="12"/>
        <v/>
      </c>
      <c r="E157" s="82"/>
      <c r="F157" s="83" t="str">
        <f t="shared" si="13"/>
        <v/>
      </c>
      <c r="G157" s="23"/>
      <c r="H157" s="84"/>
      <c r="I157" s="85" t="str">
        <f>IF(A157="","Pending",IF(H157="","⚠️ Enter Code",IF(IFERROR(VLOOKUP(G157,DB_Agents!$B:$I,8,0),"")=H157,IF(AND(A157&lt;&gt;"",E157&lt;&gt;""),"Saved","Pending"),"🔒 BLOCKED — Wrong Code")))</f>
        <v>Pending</v>
      </c>
      <c r="J157" s="86" t="str">
        <f t="shared" ca="1" si="14"/>
        <v>—</v>
      </c>
      <c r="K157" s="87"/>
    </row>
    <row r="158" spans="1:11" x14ac:dyDescent="0.25">
      <c r="A158" s="88"/>
      <c r="B158" s="25" t="str">
        <f>IF(A158="","",IFERROR(VLOOKUP(A158,DB_Customers!$A:$D,4,0),"❌ Account Not Found"))</f>
        <v/>
      </c>
      <c r="C158" s="89" t="str">
        <f>IF(A158="","",IFERROR(VLOOKUP(A158,DB_Customers!$A:$N,14,0),""))</f>
        <v/>
      </c>
      <c r="D158" s="90" t="str">
        <f t="shared" ca="1" si="12"/>
        <v/>
      </c>
      <c r="E158" s="82"/>
      <c r="F158" s="91" t="str">
        <f t="shared" si="13"/>
        <v/>
      </c>
      <c r="G158" s="27"/>
      <c r="H158" s="84"/>
      <c r="I158" s="92" t="str">
        <f>IF(A158="","Pending",IF(H158="","⚠️ Enter Code",IF(IFERROR(VLOOKUP(G158,DB_Agents!$B:$I,8,0),"")=H158,IF(AND(A158&lt;&gt;"",E158&lt;&gt;""),"Saved","Pending"),"🔒 BLOCKED — Wrong Code")))</f>
        <v>Pending</v>
      </c>
      <c r="J158" s="93" t="str">
        <f t="shared" ca="1" si="14"/>
        <v>—</v>
      </c>
      <c r="K158" s="94"/>
    </row>
    <row r="159" spans="1:11" x14ac:dyDescent="0.25">
      <c r="A159" s="79"/>
      <c r="B159" s="21" t="str">
        <f>IF(A159="","",IFERROR(VLOOKUP(A159,DB_Customers!$A:$D,4,0),"❌ Account Not Found"))</f>
        <v/>
      </c>
      <c r="C159" s="80" t="str">
        <f>IF(A159="","",IFERROR(VLOOKUP(A159,DB_Customers!$A:$N,14,0),""))</f>
        <v/>
      </c>
      <c r="D159" s="81" t="str">
        <f t="shared" ca="1" si="12"/>
        <v/>
      </c>
      <c r="E159" s="82"/>
      <c r="F159" s="83" t="str">
        <f t="shared" si="13"/>
        <v/>
      </c>
      <c r="G159" s="23"/>
      <c r="H159" s="84"/>
      <c r="I159" s="85" t="str">
        <f>IF(A159="","Pending",IF(H159="","⚠️ Enter Code",IF(IFERROR(VLOOKUP(G159,DB_Agents!$B:$I,8,0),"")=H159,IF(AND(A159&lt;&gt;"",E159&lt;&gt;""),"Saved","Pending"),"🔒 BLOCKED — Wrong Code")))</f>
        <v>Pending</v>
      </c>
      <c r="J159" s="86" t="str">
        <f t="shared" ca="1" si="14"/>
        <v>—</v>
      </c>
      <c r="K159" s="87"/>
    </row>
    <row r="160" spans="1:11" x14ac:dyDescent="0.25">
      <c r="A160" s="88"/>
      <c r="B160" s="25" t="str">
        <f>IF(A160="","",IFERROR(VLOOKUP(A160,DB_Customers!$A:$D,4,0),"❌ Account Not Found"))</f>
        <v/>
      </c>
      <c r="C160" s="89" t="str">
        <f>IF(A160="","",IFERROR(VLOOKUP(A160,DB_Customers!$A:$N,14,0),""))</f>
        <v/>
      </c>
      <c r="D160" s="90" t="str">
        <f t="shared" ca="1" si="12"/>
        <v/>
      </c>
      <c r="E160" s="82"/>
      <c r="F160" s="91" t="str">
        <f t="shared" si="13"/>
        <v/>
      </c>
      <c r="G160" s="27"/>
      <c r="H160" s="84"/>
      <c r="I160" s="92" t="str">
        <f>IF(A160="","Pending",IF(H160="","⚠️ Enter Code",IF(IFERROR(VLOOKUP(G160,DB_Agents!$B:$I,8,0),"")=H160,IF(AND(A160&lt;&gt;"",E160&lt;&gt;""),"Saved","Pending"),"🔒 BLOCKED — Wrong Code")))</f>
        <v>Pending</v>
      </c>
      <c r="J160" s="93" t="str">
        <f t="shared" ca="1" si="14"/>
        <v>—</v>
      </c>
      <c r="K160" s="94"/>
    </row>
    <row r="161" spans="1:11" x14ac:dyDescent="0.25">
      <c r="A161" s="79"/>
      <c r="B161" s="21" t="str">
        <f>IF(A161="","",IFERROR(VLOOKUP(A161,DB_Customers!$A:$D,4,0),"❌ Account Not Found"))</f>
        <v/>
      </c>
      <c r="C161" s="80" t="str">
        <f>IF(A161="","",IFERROR(VLOOKUP(A161,DB_Customers!$A:$N,14,0),""))</f>
        <v/>
      </c>
      <c r="D161" s="81" t="str">
        <f t="shared" ca="1" si="12"/>
        <v/>
      </c>
      <c r="E161" s="82"/>
      <c r="F161" s="83" t="str">
        <f t="shared" si="13"/>
        <v/>
      </c>
      <c r="G161" s="23"/>
      <c r="H161" s="84"/>
      <c r="I161" s="85" t="str">
        <f>IF(A161="","Pending",IF(H161="","⚠️ Enter Code",IF(IFERROR(VLOOKUP(G161,DB_Agents!$B:$I,8,0),"")=H161,IF(AND(A161&lt;&gt;"",E161&lt;&gt;""),"Saved","Pending"),"🔒 BLOCKED — Wrong Code")))</f>
        <v>Pending</v>
      </c>
      <c r="J161" s="86" t="str">
        <f t="shared" ca="1" si="14"/>
        <v>—</v>
      </c>
      <c r="K161" s="87"/>
    </row>
    <row r="162" spans="1:11" x14ac:dyDescent="0.25">
      <c r="A162" s="88"/>
      <c r="B162" s="25" t="str">
        <f>IF(A162="","",IFERROR(VLOOKUP(A162,DB_Customers!$A:$D,4,0),"❌ Account Not Found"))</f>
        <v/>
      </c>
      <c r="C162" s="89" t="str">
        <f>IF(A162="","",IFERROR(VLOOKUP(A162,DB_Customers!$A:$N,14,0),""))</f>
        <v/>
      </c>
      <c r="D162" s="90" t="str">
        <f t="shared" ca="1" si="12"/>
        <v/>
      </c>
      <c r="E162" s="82"/>
      <c r="F162" s="91" t="str">
        <f t="shared" si="13"/>
        <v/>
      </c>
      <c r="G162" s="27"/>
      <c r="H162" s="84"/>
      <c r="I162" s="92" t="str">
        <f>IF(A162="","Pending",IF(H162="","⚠️ Enter Code",IF(IFERROR(VLOOKUP(G162,DB_Agents!$B:$I,8,0),"")=H162,IF(AND(A162&lt;&gt;"",E162&lt;&gt;""),"Saved","Pending"),"🔒 BLOCKED — Wrong Code")))</f>
        <v>Pending</v>
      </c>
      <c r="J162" s="93" t="str">
        <f t="shared" ca="1" si="14"/>
        <v>—</v>
      </c>
      <c r="K162" s="94"/>
    </row>
    <row r="163" spans="1:11" x14ac:dyDescent="0.25">
      <c r="A163" s="79"/>
      <c r="B163" s="21" t="str">
        <f>IF(A163="","",IFERROR(VLOOKUP(A163,DB_Customers!$A:$D,4,0),"❌ Account Not Found"))</f>
        <v/>
      </c>
      <c r="C163" s="80" t="str">
        <f>IF(A163="","",IFERROR(VLOOKUP(A163,DB_Customers!$A:$N,14,0),""))</f>
        <v/>
      </c>
      <c r="D163" s="81" t="str">
        <f t="shared" ca="1" si="12"/>
        <v/>
      </c>
      <c r="E163" s="82"/>
      <c r="F163" s="83" t="str">
        <f t="shared" si="13"/>
        <v/>
      </c>
      <c r="G163" s="23"/>
      <c r="H163" s="84"/>
      <c r="I163" s="85" t="str">
        <f>IF(A163="","Pending",IF(H163="","⚠️ Enter Code",IF(IFERROR(VLOOKUP(G163,DB_Agents!$B:$I,8,0),"")=H163,IF(AND(A163&lt;&gt;"",E163&lt;&gt;""),"Saved","Pending"),"🔒 BLOCKED — Wrong Code")))</f>
        <v>Pending</v>
      </c>
      <c r="J163" s="86" t="str">
        <f t="shared" ca="1" si="14"/>
        <v>—</v>
      </c>
      <c r="K163" s="87"/>
    </row>
    <row r="164" spans="1:11" x14ac:dyDescent="0.25">
      <c r="A164" s="88"/>
      <c r="B164" s="25" t="str">
        <f>IF(A164="","",IFERROR(VLOOKUP(A164,DB_Customers!$A:$D,4,0),"❌ Account Not Found"))</f>
        <v/>
      </c>
      <c r="C164" s="89" t="str">
        <f>IF(A164="","",IFERROR(VLOOKUP(A164,DB_Customers!$A:$N,14,0),""))</f>
        <v/>
      </c>
      <c r="D164" s="90" t="str">
        <f t="shared" ca="1" si="12"/>
        <v/>
      </c>
      <c r="E164" s="82"/>
      <c r="F164" s="91" t="str">
        <f t="shared" si="13"/>
        <v/>
      </c>
      <c r="G164" s="27"/>
      <c r="H164" s="84"/>
      <c r="I164" s="92" t="str">
        <f>IF(A164="","Pending",IF(H164="","⚠️ Enter Code",IF(IFERROR(VLOOKUP(G164,DB_Agents!$B:$I,8,0),"")=H164,IF(AND(A164&lt;&gt;"",E164&lt;&gt;""),"Saved","Pending"),"🔒 BLOCKED — Wrong Code")))</f>
        <v>Pending</v>
      </c>
      <c r="J164" s="93" t="str">
        <f t="shared" ca="1" si="14"/>
        <v>—</v>
      </c>
      <c r="K164" s="94"/>
    </row>
    <row r="165" spans="1:11" x14ac:dyDescent="0.25">
      <c r="A165" s="79"/>
      <c r="B165" s="21" t="str">
        <f>IF(A165="","",IFERROR(VLOOKUP(A165,DB_Customers!$A:$D,4,0),"❌ Account Not Found"))</f>
        <v/>
      </c>
      <c r="C165" s="80" t="str">
        <f>IF(A165="","",IFERROR(VLOOKUP(A165,DB_Customers!$A:$N,14,0),""))</f>
        <v/>
      </c>
      <c r="D165" s="81" t="str">
        <f t="shared" ca="1" si="12"/>
        <v/>
      </c>
      <c r="E165" s="82"/>
      <c r="F165" s="83" t="str">
        <f t="shared" si="13"/>
        <v/>
      </c>
      <c r="G165" s="23"/>
      <c r="H165" s="84"/>
      <c r="I165" s="85" t="str">
        <f>IF(A165="","Pending",IF(H165="","⚠️ Enter Code",IF(IFERROR(VLOOKUP(G165,DB_Agents!$B:$I,8,0),"")=H165,IF(AND(A165&lt;&gt;"",E165&lt;&gt;""),"Saved","Pending"),"🔒 BLOCKED — Wrong Code")))</f>
        <v>Pending</v>
      </c>
      <c r="J165" s="86" t="str">
        <f t="shared" ca="1" si="14"/>
        <v>—</v>
      </c>
      <c r="K165" s="87"/>
    </row>
    <row r="166" spans="1:11" x14ac:dyDescent="0.25">
      <c r="A166" s="88"/>
      <c r="B166" s="25" t="str">
        <f>IF(A166="","",IFERROR(VLOOKUP(A166,DB_Customers!$A:$D,4,0),"❌ Account Not Found"))</f>
        <v/>
      </c>
      <c r="C166" s="89" t="str">
        <f>IF(A166="","",IFERROR(VLOOKUP(A166,DB_Customers!$A:$N,14,0),""))</f>
        <v/>
      </c>
      <c r="D166" s="90" t="str">
        <f t="shared" ca="1" si="12"/>
        <v/>
      </c>
      <c r="E166" s="82"/>
      <c r="F166" s="91" t="str">
        <f t="shared" si="13"/>
        <v/>
      </c>
      <c r="G166" s="27"/>
      <c r="H166" s="84"/>
      <c r="I166" s="92" t="str">
        <f>IF(A166="","Pending",IF(H166="","⚠️ Enter Code",IF(IFERROR(VLOOKUP(G166,DB_Agents!$B:$I,8,0),"")=H166,IF(AND(A166&lt;&gt;"",E166&lt;&gt;""),"Saved","Pending"),"🔒 BLOCKED — Wrong Code")))</f>
        <v>Pending</v>
      </c>
      <c r="J166" s="93" t="str">
        <f t="shared" ca="1" si="14"/>
        <v>—</v>
      </c>
      <c r="K166" s="94"/>
    </row>
    <row r="167" spans="1:11" x14ac:dyDescent="0.25">
      <c r="A167" s="79"/>
      <c r="B167" s="21" t="str">
        <f>IF(A167="","",IFERROR(VLOOKUP(A167,DB_Customers!$A:$D,4,0),"❌ Account Not Found"))</f>
        <v/>
      </c>
      <c r="C167" s="80" t="str">
        <f>IF(A167="","",IFERROR(VLOOKUP(A167,DB_Customers!$A:$N,14,0),""))</f>
        <v/>
      </c>
      <c r="D167" s="81" t="str">
        <f t="shared" ca="1" si="12"/>
        <v/>
      </c>
      <c r="E167" s="82"/>
      <c r="F167" s="83" t="str">
        <f t="shared" si="13"/>
        <v/>
      </c>
      <c r="G167" s="23"/>
      <c r="H167" s="84"/>
      <c r="I167" s="85" t="str">
        <f>IF(A167="","Pending",IF(H167="","⚠️ Enter Code",IF(IFERROR(VLOOKUP(G167,DB_Agents!$B:$I,8,0),"")=H167,IF(AND(A167&lt;&gt;"",E167&lt;&gt;""),"Saved","Pending"),"🔒 BLOCKED — Wrong Code")))</f>
        <v>Pending</v>
      </c>
      <c r="J167" s="86" t="str">
        <f t="shared" ca="1" si="14"/>
        <v>—</v>
      </c>
      <c r="K167" s="87"/>
    </row>
    <row r="168" spans="1:11" x14ac:dyDescent="0.25">
      <c r="A168" s="88"/>
      <c r="B168" s="25" t="str">
        <f>IF(A168="","",IFERROR(VLOOKUP(A168,DB_Customers!$A:$D,4,0),"❌ Account Not Found"))</f>
        <v/>
      </c>
      <c r="C168" s="89" t="str">
        <f>IF(A168="","",IFERROR(VLOOKUP(A168,DB_Customers!$A:$N,14,0),""))</f>
        <v/>
      </c>
      <c r="D168" s="90" t="str">
        <f t="shared" ca="1" si="12"/>
        <v/>
      </c>
      <c r="E168" s="82"/>
      <c r="F168" s="91" t="str">
        <f t="shared" si="13"/>
        <v/>
      </c>
      <c r="G168" s="27"/>
      <c r="H168" s="84"/>
      <c r="I168" s="92" t="str">
        <f>IF(A168="","Pending",IF(H168="","⚠️ Enter Code",IF(IFERROR(VLOOKUP(G168,DB_Agents!$B:$I,8,0),"")=H168,IF(AND(A168&lt;&gt;"",E168&lt;&gt;""),"Saved","Pending"),"🔒 BLOCKED — Wrong Code")))</f>
        <v>Pending</v>
      </c>
      <c r="J168" s="93" t="str">
        <f t="shared" ca="1" si="14"/>
        <v>—</v>
      </c>
      <c r="K168" s="94"/>
    </row>
    <row r="169" spans="1:11" x14ac:dyDescent="0.25">
      <c r="A169" s="79"/>
      <c r="B169" s="21" t="str">
        <f>IF(A169="","",IFERROR(VLOOKUP(A169,DB_Customers!$A:$D,4,0),"❌ Account Not Found"))</f>
        <v/>
      </c>
      <c r="C169" s="80" t="str">
        <f>IF(A169="","",IFERROR(VLOOKUP(A169,DB_Customers!$A:$N,14,0),""))</f>
        <v/>
      </c>
      <c r="D169" s="81" t="str">
        <f t="shared" ref="D169:D200" ca="1" si="15">IF(A169="","",TODAY())</f>
        <v/>
      </c>
      <c r="E169" s="82"/>
      <c r="F169" s="83" t="str">
        <f t="shared" ref="F169:F200" si="16">IF(OR(A169="",E169=""),"",IF(C169="","",C169+E169))</f>
        <v/>
      </c>
      <c r="G169" s="23"/>
      <c r="H169" s="84"/>
      <c r="I169" s="85" t="str">
        <f>IF(A169="","Pending",IF(H169="","⚠️ Enter Code",IF(IFERROR(VLOOKUP(G169,DB_Agents!$B:$I,8,0),"")=H169,IF(AND(A169&lt;&gt;"",E169&lt;&gt;""),"Saved","Pending"),"🔒 BLOCKED — Wrong Code")))</f>
        <v>Pending</v>
      </c>
      <c r="J169" s="86" t="str">
        <f t="shared" ref="J169:J200" ca="1" si="17">IF(I169="Saved",TEXT(TODAY(),"YYYY-MM-DD")&amp;" Auto","—")</f>
        <v>—</v>
      </c>
      <c r="K169" s="87"/>
    </row>
    <row r="170" spans="1:11" x14ac:dyDescent="0.25">
      <c r="A170" s="88"/>
      <c r="B170" s="25" t="str">
        <f>IF(A170="","",IFERROR(VLOOKUP(A170,DB_Customers!$A:$D,4,0),"❌ Account Not Found"))</f>
        <v/>
      </c>
      <c r="C170" s="89" t="str">
        <f>IF(A170="","",IFERROR(VLOOKUP(A170,DB_Customers!$A:$N,14,0),""))</f>
        <v/>
      </c>
      <c r="D170" s="90" t="str">
        <f t="shared" ca="1" si="15"/>
        <v/>
      </c>
      <c r="E170" s="82"/>
      <c r="F170" s="91" t="str">
        <f t="shared" si="16"/>
        <v/>
      </c>
      <c r="G170" s="27"/>
      <c r="H170" s="84"/>
      <c r="I170" s="92" t="str">
        <f>IF(A170="","Pending",IF(H170="","⚠️ Enter Code",IF(IFERROR(VLOOKUP(G170,DB_Agents!$B:$I,8,0),"")=H170,IF(AND(A170&lt;&gt;"",E170&lt;&gt;""),"Saved","Pending"),"🔒 BLOCKED — Wrong Code")))</f>
        <v>Pending</v>
      </c>
      <c r="J170" s="93" t="str">
        <f t="shared" ca="1" si="17"/>
        <v>—</v>
      </c>
      <c r="K170" s="94"/>
    </row>
    <row r="171" spans="1:11" x14ac:dyDescent="0.25">
      <c r="A171" s="79"/>
      <c r="B171" s="21" t="str">
        <f>IF(A171="","",IFERROR(VLOOKUP(A171,DB_Customers!$A:$D,4,0),"❌ Account Not Found"))</f>
        <v/>
      </c>
      <c r="C171" s="80" t="str">
        <f>IF(A171="","",IFERROR(VLOOKUP(A171,DB_Customers!$A:$N,14,0),""))</f>
        <v/>
      </c>
      <c r="D171" s="81" t="str">
        <f t="shared" ca="1" si="15"/>
        <v/>
      </c>
      <c r="E171" s="82"/>
      <c r="F171" s="83" t="str">
        <f t="shared" si="16"/>
        <v/>
      </c>
      <c r="G171" s="23"/>
      <c r="H171" s="84"/>
      <c r="I171" s="85" t="str">
        <f>IF(A171="","Pending",IF(H171="","⚠️ Enter Code",IF(IFERROR(VLOOKUP(G171,DB_Agents!$B:$I,8,0),"")=H171,IF(AND(A171&lt;&gt;"",E171&lt;&gt;""),"Saved","Pending"),"🔒 BLOCKED — Wrong Code")))</f>
        <v>Pending</v>
      </c>
      <c r="J171" s="86" t="str">
        <f t="shared" ca="1" si="17"/>
        <v>—</v>
      </c>
      <c r="K171" s="87"/>
    </row>
    <row r="172" spans="1:11" x14ac:dyDescent="0.25">
      <c r="A172" s="88"/>
      <c r="B172" s="25" t="str">
        <f>IF(A172="","",IFERROR(VLOOKUP(A172,DB_Customers!$A:$D,4,0),"❌ Account Not Found"))</f>
        <v/>
      </c>
      <c r="C172" s="89" t="str">
        <f>IF(A172="","",IFERROR(VLOOKUP(A172,DB_Customers!$A:$N,14,0),""))</f>
        <v/>
      </c>
      <c r="D172" s="90" t="str">
        <f t="shared" ca="1" si="15"/>
        <v/>
      </c>
      <c r="E172" s="82"/>
      <c r="F172" s="91" t="str">
        <f t="shared" si="16"/>
        <v/>
      </c>
      <c r="G172" s="27"/>
      <c r="H172" s="84"/>
      <c r="I172" s="92" t="str">
        <f>IF(A172="","Pending",IF(H172="","⚠️ Enter Code",IF(IFERROR(VLOOKUP(G172,DB_Agents!$B:$I,8,0),"")=H172,IF(AND(A172&lt;&gt;"",E172&lt;&gt;""),"Saved","Pending"),"🔒 BLOCKED — Wrong Code")))</f>
        <v>Pending</v>
      </c>
      <c r="J172" s="93" t="str">
        <f t="shared" ca="1" si="17"/>
        <v>—</v>
      </c>
      <c r="K172" s="94"/>
    </row>
    <row r="173" spans="1:11" x14ac:dyDescent="0.25">
      <c r="A173" s="79"/>
      <c r="B173" s="21" t="str">
        <f>IF(A173="","",IFERROR(VLOOKUP(A173,DB_Customers!$A:$D,4,0),"❌ Account Not Found"))</f>
        <v/>
      </c>
      <c r="C173" s="80" t="str">
        <f>IF(A173="","",IFERROR(VLOOKUP(A173,DB_Customers!$A:$N,14,0),""))</f>
        <v/>
      </c>
      <c r="D173" s="81" t="str">
        <f t="shared" ca="1" si="15"/>
        <v/>
      </c>
      <c r="E173" s="82"/>
      <c r="F173" s="83" t="str">
        <f t="shared" si="16"/>
        <v/>
      </c>
      <c r="G173" s="23"/>
      <c r="H173" s="84"/>
      <c r="I173" s="85" t="str">
        <f>IF(A173="","Pending",IF(H173="","⚠️ Enter Code",IF(IFERROR(VLOOKUP(G173,DB_Agents!$B:$I,8,0),"")=H173,IF(AND(A173&lt;&gt;"",E173&lt;&gt;""),"Saved","Pending"),"🔒 BLOCKED — Wrong Code")))</f>
        <v>Pending</v>
      </c>
      <c r="J173" s="86" t="str">
        <f t="shared" ca="1" si="17"/>
        <v>—</v>
      </c>
      <c r="K173" s="87"/>
    </row>
    <row r="174" spans="1:11" x14ac:dyDescent="0.25">
      <c r="A174" s="88"/>
      <c r="B174" s="25" t="str">
        <f>IF(A174="","",IFERROR(VLOOKUP(A174,DB_Customers!$A:$D,4,0),"❌ Account Not Found"))</f>
        <v/>
      </c>
      <c r="C174" s="89" t="str">
        <f>IF(A174="","",IFERROR(VLOOKUP(A174,DB_Customers!$A:$N,14,0),""))</f>
        <v/>
      </c>
      <c r="D174" s="90" t="str">
        <f t="shared" ca="1" si="15"/>
        <v/>
      </c>
      <c r="E174" s="82"/>
      <c r="F174" s="91" t="str">
        <f t="shared" si="16"/>
        <v/>
      </c>
      <c r="G174" s="27"/>
      <c r="H174" s="84"/>
      <c r="I174" s="92" t="str">
        <f>IF(A174="","Pending",IF(H174="","⚠️ Enter Code",IF(IFERROR(VLOOKUP(G174,DB_Agents!$B:$I,8,0),"")=H174,IF(AND(A174&lt;&gt;"",E174&lt;&gt;""),"Saved","Pending"),"🔒 BLOCKED — Wrong Code")))</f>
        <v>Pending</v>
      </c>
      <c r="J174" s="93" t="str">
        <f t="shared" ca="1" si="17"/>
        <v>—</v>
      </c>
      <c r="K174" s="94"/>
    </row>
    <row r="175" spans="1:11" x14ac:dyDescent="0.25">
      <c r="A175" s="79"/>
      <c r="B175" s="21" t="str">
        <f>IF(A175="","",IFERROR(VLOOKUP(A175,DB_Customers!$A:$D,4,0),"❌ Account Not Found"))</f>
        <v/>
      </c>
      <c r="C175" s="80" t="str">
        <f>IF(A175="","",IFERROR(VLOOKUP(A175,DB_Customers!$A:$N,14,0),""))</f>
        <v/>
      </c>
      <c r="D175" s="81" t="str">
        <f t="shared" ca="1" si="15"/>
        <v/>
      </c>
      <c r="E175" s="82"/>
      <c r="F175" s="83" t="str">
        <f t="shared" si="16"/>
        <v/>
      </c>
      <c r="G175" s="23"/>
      <c r="H175" s="84"/>
      <c r="I175" s="85" t="str">
        <f>IF(A175="","Pending",IF(H175="","⚠️ Enter Code",IF(IFERROR(VLOOKUP(G175,DB_Agents!$B:$I,8,0),"")=H175,IF(AND(A175&lt;&gt;"",E175&lt;&gt;""),"Saved","Pending"),"🔒 BLOCKED — Wrong Code")))</f>
        <v>Pending</v>
      </c>
      <c r="J175" s="86" t="str">
        <f t="shared" ca="1" si="17"/>
        <v>—</v>
      </c>
      <c r="K175" s="87"/>
    </row>
    <row r="176" spans="1:11" x14ac:dyDescent="0.25">
      <c r="A176" s="88"/>
      <c r="B176" s="25" t="str">
        <f>IF(A176="","",IFERROR(VLOOKUP(A176,DB_Customers!$A:$D,4,0),"❌ Account Not Found"))</f>
        <v/>
      </c>
      <c r="C176" s="89" t="str">
        <f>IF(A176="","",IFERROR(VLOOKUP(A176,DB_Customers!$A:$N,14,0),""))</f>
        <v/>
      </c>
      <c r="D176" s="90" t="str">
        <f t="shared" ca="1" si="15"/>
        <v/>
      </c>
      <c r="E176" s="82"/>
      <c r="F176" s="91" t="str">
        <f t="shared" si="16"/>
        <v/>
      </c>
      <c r="G176" s="27"/>
      <c r="H176" s="84"/>
      <c r="I176" s="92" t="str">
        <f>IF(A176="","Pending",IF(H176="","⚠️ Enter Code",IF(IFERROR(VLOOKUP(G176,DB_Agents!$B:$I,8,0),"")=H176,IF(AND(A176&lt;&gt;"",E176&lt;&gt;""),"Saved","Pending"),"🔒 BLOCKED — Wrong Code")))</f>
        <v>Pending</v>
      </c>
      <c r="J176" s="93" t="str">
        <f t="shared" ca="1" si="17"/>
        <v>—</v>
      </c>
      <c r="K176" s="94"/>
    </row>
    <row r="177" spans="1:11" x14ac:dyDescent="0.25">
      <c r="A177" s="79"/>
      <c r="B177" s="21" t="str">
        <f>IF(A177="","",IFERROR(VLOOKUP(A177,DB_Customers!$A:$D,4,0),"❌ Account Not Found"))</f>
        <v/>
      </c>
      <c r="C177" s="80" t="str">
        <f>IF(A177="","",IFERROR(VLOOKUP(A177,DB_Customers!$A:$N,14,0),""))</f>
        <v/>
      </c>
      <c r="D177" s="81" t="str">
        <f t="shared" ca="1" si="15"/>
        <v/>
      </c>
      <c r="E177" s="82"/>
      <c r="F177" s="83" t="str">
        <f t="shared" si="16"/>
        <v/>
      </c>
      <c r="G177" s="23"/>
      <c r="H177" s="84"/>
      <c r="I177" s="85" t="str">
        <f>IF(A177="","Pending",IF(H177="","⚠️ Enter Code",IF(IFERROR(VLOOKUP(G177,DB_Agents!$B:$I,8,0),"")=H177,IF(AND(A177&lt;&gt;"",E177&lt;&gt;""),"Saved","Pending"),"🔒 BLOCKED — Wrong Code")))</f>
        <v>Pending</v>
      </c>
      <c r="J177" s="86" t="str">
        <f t="shared" ca="1" si="17"/>
        <v>—</v>
      </c>
      <c r="K177" s="87"/>
    </row>
    <row r="178" spans="1:11" x14ac:dyDescent="0.25">
      <c r="A178" s="88"/>
      <c r="B178" s="25" t="str">
        <f>IF(A178="","",IFERROR(VLOOKUP(A178,DB_Customers!$A:$D,4,0),"❌ Account Not Found"))</f>
        <v/>
      </c>
      <c r="C178" s="89" t="str">
        <f>IF(A178="","",IFERROR(VLOOKUP(A178,DB_Customers!$A:$N,14,0),""))</f>
        <v/>
      </c>
      <c r="D178" s="90" t="str">
        <f t="shared" ca="1" si="15"/>
        <v/>
      </c>
      <c r="E178" s="82"/>
      <c r="F178" s="91" t="str">
        <f t="shared" si="16"/>
        <v/>
      </c>
      <c r="G178" s="27"/>
      <c r="H178" s="84"/>
      <c r="I178" s="92" t="str">
        <f>IF(A178="","Pending",IF(H178="","⚠️ Enter Code",IF(IFERROR(VLOOKUP(G178,DB_Agents!$B:$I,8,0),"")=H178,IF(AND(A178&lt;&gt;"",E178&lt;&gt;""),"Saved","Pending"),"🔒 BLOCKED — Wrong Code")))</f>
        <v>Pending</v>
      </c>
      <c r="J178" s="93" t="str">
        <f t="shared" ca="1" si="17"/>
        <v>—</v>
      </c>
      <c r="K178" s="94"/>
    </row>
    <row r="179" spans="1:11" x14ac:dyDescent="0.25">
      <c r="A179" s="79"/>
      <c r="B179" s="21" t="str">
        <f>IF(A179="","",IFERROR(VLOOKUP(A179,DB_Customers!$A:$D,4,0),"❌ Account Not Found"))</f>
        <v/>
      </c>
      <c r="C179" s="80" t="str">
        <f>IF(A179="","",IFERROR(VLOOKUP(A179,DB_Customers!$A:$N,14,0),""))</f>
        <v/>
      </c>
      <c r="D179" s="81" t="str">
        <f t="shared" ca="1" si="15"/>
        <v/>
      </c>
      <c r="E179" s="82"/>
      <c r="F179" s="83" t="str">
        <f t="shared" si="16"/>
        <v/>
      </c>
      <c r="G179" s="23"/>
      <c r="H179" s="84"/>
      <c r="I179" s="85" t="str">
        <f>IF(A179="","Pending",IF(H179="","⚠️ Enter Code",IF(IFERROR(VLOOKUP(G179,DB_Agents!$B:$I,8,0),"")=H179,IF(AND(A179&lt;&gt;"",E179&lt;&gt;""),"Saved","Pending"),"🔒 BLOCKED — Wrong Code")))</f>
        <v>Pending</v>
      </c>
      <c r="J179" s="86" t="str">
        <f t="shared" ca="1" si="17"/>
        <v>—</v>
      </c>
      <c r="K179" s="87"/>
    </row>
    <row r="180" spans="1:11" x14ac:dyDescent="0.25">
      <c r="A180" s="88"/>
      <c r="B180" s="25" t="str">
        <f>IF(A180="","",IFERROR(VLOOKUP(A180,DB_Customers!$A:$D,4,0),"❌ Account Not Found"))</f>
        <v/>
      </c>
      <c r="C180" s="89" t="str">
        <f>IF(A180="","",IFERROR(VLOOKUP(A180,DB_Customers!$A:$N,14,0),""))</f>
        <v/>
      </c>
      <c r="D180" s="90" t="str">
        <f t="shared" ca="1" si="15"/>
        <v/>
      </c>
      <c r="E180" s="82"/>
      <c r="F180" s="91" t="str">
        <f t="shared" si="16"/>
        <v/>
      </c>
      <c r="G180" s="27"/>
      <c r="H180" s="84"/>
      <c r="I180" s="92" t="str">
        <f>IF(A180="","Pending",IF(H180="","⚠️ Enter Code",IF(IFERROR(VLOOKUP(G180,DB_Agents!$B:$I,8,0),"")=H180,IF(AND(A180&lt;&gt;"",E180&lt;&gt;""),"Saved","Pending"),"🔒 BLOCKED — Wrong Code")))</f>
        <v>Pending</v>
      </c>
      <c r="J180" s="93" t="str">
        <f t="shared" ca="1" si="17"/>
        <v>—</v>
      </c>
      <c r="K180" s="94"/>
    </row>
    <row r="181" spans="1:11" x14ac:dyDescent="0.25">
      <c r="A181" s="79"/>
      <c r="B181" s="21" t="str">
        <f>IF(A181="","",IFERROR(VLOOKUP(A181,DB_Customers!$A:$D,4,0),"❌ Account Not Found"))</f>
        <v/>
      </c>
      <c r="C181" s="80" t="str">
        <f>IF(A181="","",IFERROR(VLOOKUP(A181,DB_Customers!$A:$N,14,0),""))</f>
        <v/>
      </c>
      <c r="D181" s="81" t="str">
        <f t="shared" ca="1" si="15"/>
        <v/>
      </c>
      <c r="E181" s="82"/>
      <c r="F181" s="83" t="str">
        <f t="shared" si="16"/>
        <v/>
      </c>
      <c r="G181" s="23"/>
      <c r="H181" s="84"/>
      <c r="I181" s="85" t="str">
        <f>IF(A181="","Pending",IF(H181="","⚠️ Enter Code",IF(IFERROR(VLOOKUP(G181,DB_Agents!$B:$I,8,0),"")=H181,IF(AND(A181&lt;&gt;"",E181&lt;&gt;""),"Saved","Pending"),"🔒 BLOCKED — Wrong Code")))</f>
        <v>Pending</v>
      </c>
      <c r="J181" s="86" t="str">
        <f t="shared" ca="1" si="17"/>
        <v>—</v>
      </c>
      <c r="K181" s="87"/>
    </row>
    <row r="182" spans="1:11" x14ac:dyDescent="0.25">
      <c r="A182" s="88"/>
      <c r="B182" s="25" t="str">
        <f>IF(A182="","",IFERROR(VLOOKUP(A182,DB_Customers!$A:$D,4,0),"❌ Account Not Found"))</f>
        <v/>
      </c>
      <c r="C182" s="89" t="str">
        <f>IF(A182="","",IFERROR(VLOOKUP(A182,DB_Customers!$A:$N,14,0),""))</f>
        <v/>
      </c>
      <c r="D182" s="90" t="str">
        <f t="shared" ca="1" si="15"/>
        <v/>
      </c>
      <c r="E182" s="82"/>
      <c r="F182" s="91" t="str">
        <f t="shared" si="16"/>
        <v/>
      </c>
      <c r="G182" s="27"/>
      <c r="H182" s="84"/>
      <c r="I182" s="92" t="str">
        <f>IF(A182="","Pending",IF(H182="","⚠️ Enter Code",IF(IFERROR(VLOOKUP(G182,DB_Agents!$B:$I,8,0),"")=H182,IF(AND(A182&lt;&gt;"",E182&lt;&gt;""),"Saved","Pending"),"🔒 BLOCKED — Wrong Code")))</f>
        <v>Pending</v>
      </c>
      <c r="J182" s="93" t="str">
        <f t="shared" ca="1" si="17"/>
        <v>—</v>
      </c>
      <c r="K182" s="94"/>
    </row>
    <row r="183" spans="1:11" x14ac:dyDescent="0.25">
      <c r="A183" s="79"/>
      <c r="B183" s="21" t="str">
        <f>IF(A183="","",IFERROR(VLOOKUP(A183,DB_Customers!$A:$D,4,0),"❌ Account Not Found"))</f>
        <v/>
      </c>
      <c r="C183" s="80" t="str">
        <f>IF(A183="","",IFERROR(VLOOKUP(A183,DB_Customers!$A:$N,14,0),""))</f>
        <v/>
      </c>
      <c r="D183" s="81" t="str">
        <f t="shared" ca="1" si="15"/>
        <v/>
      </c>
      <c r="E183" s="82"/>
      <c r="F183" s="83" t="str">
        <f t="shared" si="16"/>
        <v/>
      </c>
      <c r="G183" s="23"/>
      <c r="H183" s="84"/>
      <c r="I183" s="85" t="str">
        <f>IF(A183="","Pending",IF(H183="","⚠️ Enter Code",IF(IFERROR(VLOOKUP(G183,DB_Agents!$B:$I,8,0),"")=H183,IF(AND(A183&lt;&gt;"",E183&lt;&gt;""),"Saved","Pending"),"🔒 BLOCKED — Wrong Code")))</f>
        <v>Pending</v>
      </c>
      <c r="J183" s="86" t="str">
        <f t="shared" ca="1" si="17"/>
        <v>—</v>
      </c>
      <c r="K183" s="87"/>
    </row>
    <row r="184" spans="1:11" x14ac:dyDescent="0.25">
      <c r="A184" s="88"/>
      <c r="B184" s="25" t="str">
        <f>IF(A184="","",IFERROR(VLOOKUP(A184,DB_Customers!$A:$D,4,0),"❌ Account Not Found"))</f>
        <v/>
      </c>
      <c r="C184" s="89" t="str">
        <f>IF(A184="","",IFERROR(VLOOKUP(A184,DB_Customers!$A:$N,14,0),""))</f>
        <v/>
      </c>
      <c r="D184" s="90" t="str">
        <f t="shared" ca="1" si="15"/>
        <v/>
      </c>
      <c r="E184" s="82"/>
      <c r="F184" s="91" t="str">
        <f t="shared" si="16"/>
        <v/>
      </c>
      <c r="G184" s="27"/>
      <c r="H184" s="84"/>
      <c r="I184" s="92" t="str">
        <f>IF(A184="","Pending",IF(H184="","⚠️ Enter Code",IF(IFERROR(VLOOKUP(G184,DB_Agents!$B:$I,8,0),"")=H184,IF(AND(A184&lt;&gt;"",E184&lt;&gt;""),"Saved","Pending"),"🔒 BLOCKED — Wrong Code")))</f>
        <v>Pending</v>
      </c>
      <c r="J184" s="93" t="str">
        <f t="shared" ca="1" si="17"/>
        <v>—</v>
      </c>
      <c r="K184" s="94"/>
    </row>
    <row r="185" spans="1:11" x14ac:dyDescent="0.25">
      <c r="A185" s="79"/>
      <c r="B185" s="21" t="str">
        <f>IF(A185="","",IFERROR(VLOOKUP(A185,DB_Customers!$A:$D,4,0),"❌ Account Not Found"))</f>
        <v/>
      </c>
      <c r="C185" s="80" t="str">
        <f>IF(A185="","",IFERROR(VLOOKUP(A185,DB_Customers!$A:$N,14,0),""))</f>
        <v/>
      </c>
      <c r="D185" s="81" t="str">
        <f t="shared" ca="1" si="15"/>
        <v/>
      </c>
      <c r="E185" s="82"/>
      <c r="F185" s="83" t="str">
        <f t="shared" si="16"/>
        <v/>
      </c>
      <c r="G185" s="23"/>
      <c r="H185" s="84"/>
      <c r="I185" s="85" t="str">
        <f>IF(A185="","Pending",IF(H185="","⚠️ Enter Code",IF(IFERROR(VLOOKUP(G185,DB_Agents!$B:$I,8,0),"")=H185,IF(AND(A185&lt;&gt;"",E185&lt;&gt;""),"Saved","Pending"),"🔒 BLOCKED — Wrong Code")))</f>
        <v>Pending</v>
      </c>
      <c r="J185" s="86" t="str">
        <f t="shared" ca="1" si="17"/>
        <v>—</v>
      </c>
      <c r="K185" s="87"/>
    </row>
    <row r="186" spans="1:11" x14ac:dyDescent="0.25">
      <c r="A186" s="88"/>
      <c r="B186" s="25" t="str">
        <f>IF(A186="","",IFERROR(VLOOKUP(A186,DB_Customers!$A:$D,4,0),"❌ Account Not Found"))</f>
        <v/>
      </c>
      <c r="C186" s="89" t="str">
        <f>IF(A186="","",IFERROR(VLOOKUP(A186,DB_Customers!$A:$N,14,0),""))</f>
        <v/>
      </c>
      <c r="D186" s="90" t="str">
        <f t="shared" ca="1" si="15"/>
        <v/>
      </c>
      <c r="E186" s="82"/>
      <c r="F186" s="91" t="str">
        <f t="shared" si="16"/>
        <v/>
      </c>
      <c r="G186" s="27"/>
      <c r="H186" s="84"/>
      <c r="I186" s="92" t="str">
        <f>IF(A186="","Pending",IF(H186="","⚠️ Enter Code",IF(IFERROR(VLOOKUP(G186,DB_Agents!$B:$I,8,0),"")=H186,IF(AND(A186&lt;&gt;"",E186&lt;&gt;""),"Saved","Pending"),"🔒 BLOCKED — Wrong Code")))</f>
        <v>Pending</v>
      </c>
      <c r="J186" s="93" t="str">
        <f t="shared" ca="1" si="17"/>
        <v>—</v>
      </c>
      <c r="K186" s="94"/>
    </row>
    <row r="187" spans="1:11" x14ac:dyDescent="0.25">
      <c r="A187" s="79"/>
      <c r="B187" s="21" t="str">
        <f>IF(A187="","",IFERROR(VLOOKUP(A187,DB_Customers!$A:$D,4,0),"❌ Account Not Found"))</f>
        <v/>
      </c>
      <c r="C187" s="80" t="str">
        <f>IF(A187="","",IFERROR(VLOOKUP(A187,DB_Customers!$A:$N,14,0),""))</f>
        <v/>
      </c>
      <c r="D187" s="81" t="str">
        <f t="shared" ca="1" si="15"/>
        <v/>
      </c>
      <c r="E187" s="82"/>
      <c r="F187" s="83" t="str">
        <f t="shared" si="16"/>
        <v/>
      </c>
      <c r="G187" s="23"/>
      <c r="H187" s="84"/>
      <c r="I187" s="85" t="str">
        <f>IF(A187="","Pending",IF(H187="","⚠️ Enter Code",IF(IFERROR(VLOOKUP(G187,DB_Agents!$B:$I,8,0),"")=H187,IF(AND(A187&lt;&gt;"",E187&lt;&gt;""),"Saved","Pending"),"🔒 BLOCKED — Wrong Code")))</f>
        <v>Pending</v>
      </c>
      <c r="J187" s="86" t="str">
        <f t="shared" ca="1" si="17"/>
        <v>—</v>
      </c>
      <c r="K187" s="87"/>
    </row>
    <row r="188" spans="1:11" x14ac:dyDescent="0.25">
      <c r="A188" s="88"/>
      <c r="B188" s="25" t="str">
        <f>IF(A188="","",IFERROR(VLOOKUP(A188,DB_Customers!$A:$D,4,0),"❌ Account Not Found"))</f>
        <v/>
      </c>
      <c r="C188" s="89" t="str">
        <f>IF(A188="","",IFERROR(VLOOKUP(A188,DB_Customers!$A:$N,14,0),""))</f>
        <v/>
      </c>
      <c r="D188" s="90" t="str">
        <f t="shared" ca="1" si="15"/>
        <v/>
      </c>
      <c r="E188" s="82"/>
      <c r="F188" s="91" t="str">
        <f t="shared" si="16"/>
        <v/>
      </c>
      <c r="G188" s="27"/>
      <c r="H188" s="84"/>
      <c r="I188" s="92" t="str">
        <f>IF(A188="","Pending",IF(H188="","⚠️ Enter Code",IF(IFERROR(VLOOKUP(G188,DB_Agents!$B:$I,8,0),"")=H188,IF(AND(A188&lt;&gt;"",E188&lt;&gt;""),"Saved","Pending"),"🔒 BLOCKED — Wrong Code")))</f>
        <v>Pending</v>
      </c>
      <c r="J188" s="93" t="str">
        <f t="shared" ca="1" si="17"/>
        <v>—</v>
      </c>
      <c r="K188" s="94"/>
    </row>
    <row r="189" spans="1:11" x14ac:dyDescent="0.25">
      <c r="A189" s="79"/>
      <c r="B189" s="21" t="str">
        <f>IF(A189="","",IFERROR(VLOOKUP(A189,DB_Customers!$A:$D,4,0),"❌ Account Not Found"))</f>
        <v/>
      </c>
      <c r="C189" s="80" t="str">
        <f>IF(A189="","",IFERROR(VLOOKUP(A189,DB_Customers!$A:$N,14,0),""))</f>
        <v/>
      </c>
      <c r="D189" s="81" t="str">
        <f t="shared" ca="1" si="15"/>
        <v/>
      </c>
      <c r="E189" s="82"/>
      <c r="F189" s="83" t="str">
        <f t="shared" si="16"/>
        <v/>
      </c>
      <c r="G189" s="23"/>
      <c r="H189" s="84"/>
      <c r="I189" s="85" t="str">
        <f>IF(A189="","Pending",IF(H189="","⚠️ Enter Code",IF(IFERROR(VLOOKUP(G189,DB_Agents!$B:$I,8,0),"")=H189,IF(AND(A189&lt;&gt;"",E189&lt;&gt;""),"Saved","Pending"),"🔒 BLOCKED — Wrong Code")))</f>
        <v>Pending</v>
      </c>
      <c r="J189" s="86" t="str">
        <f t="shared" ca="1" si="17"/>
        <v>—</v>
      </c>
      <c r="K189" s="87"/>
    </row>
    <row r="190" spans="1:11" x14ac:dyDescent="0.25">
      <c r="A190" s="88"/>
      <c r="B190" s="25" t="str">
        <f>IF(A190="","",IFERROR(VLOOKUP(A190,DB_Customers!$A:$D,4,0),"❌ Account Not Found"))</f>
        <v/>
      </c>
      <c r="C190" s="89" t="str">
        <f>IF(A190="","",IFERROR(VLOOKUP(A190,DB_Customers!$A:$N,14,0),""))</f>
        <v/>
      </c>
      <c r="D190" s="90" t="str">
        <f t="shared" ca="1" si="15"/>
        <v/>
      </c>
      <c r="E190" s="82"/>
      <c r="F190" s="91" t="str">
        <f t="shared" si="16"/>
        <v/>
      </c>
      <c r="G190" s="27"/>
      <c r="H190" s="84"/>
      <c r="I190" s="92" t="str">
        <f>IF(A190="","Pending",IF(H190="","⚠️ Enter Code",IF(IFERROR(VLOOKUP(G190,DB_Agents!$B:$I,8,0),"")=H190,IF(AND(A190&lt;&gt;"",E190&lt;&gt;""),"Saved","Pending"),"🔒 BLOCKED — Wrong Code")))</f>
        <v>Pending</v>
      </c>
      <c r="J190" s="93" t="str">
        <f t="shared" ca="1" si="17"/>
        <v>—</v>
      </c>
      <c r="K190" s="94"/>
    </row>
    <row r="191" spans="1:11" x14ac:dyDescent="0.25">
      <c r="A191" s="79"/>
      <c r="B191" s="21" t="str">
        <f>IF(A191="","",IFERROR(VLOOKUP(A191,DB_Customers!$A:$D,4,0),"❌ Account Not Found"))</f>
        <v/>
      </c>
      <c r="C191" s="80" t="str">
        <f>IF(A191="","",IFERROR(VLOOKUP(A191,DB_Customers!$A:$N,14,0),""))</f>
        <v/>
      </c>
      <c r="D191" s="81" t="str">
        <f t="shared" ca="1" si="15"/>
        <v/>
      </c>
      <c r="E191" s="82"/>
      <c r="F191" s="83" t="str">
        <f t="shared" si="16"/>
        <v/>
      </c>
      <c r="G191" s="23"/>
      <c r="H191" s="84"/>
      <c r="I191" s="85" t="str">
        <f>IF(A191="","Pending",IF(H191="","⚠️ Enter Code",IF(IFERROR(VLOOKUP(G191,DB_Agents!$B:$I,8,0),"")=H191,IF(AND(A191&lt;&gt;"",E191&lt;&gt;""),"Saved","Pending"),"🔒 BLOCKED — Wrong Code")))</f>
        <v>Pending</v>
      </c>
      <c r="J191" s="86" t="str">
        <f t="shared" ca="1" si="17"/>
        <v>—</v>
      </c>
      <c r="K191" s="87"/>
    </row>
    <row r="192" spans="1:11" x14ac:dyDescent="0.25">
      <c r="A192" s="88"/>
      <c r="B192" s="25" t="str">
        <f>IF(A192="","",IFERROR(VLOOKUP(A192,DB_Customers!$A:$D,4,0),"❌ Account Not Found"))</f>
        <v/>
      </c>
      <c r="C192" s="89" t="str">
        <f>IF(A192="","",IFERROR(VLOOKUP(A192,DB_Customers!$A:$N,14,0),""))</f>
        <v/>
      </c>
      <c r="D192" s="90" t="str">
        <f t="shared" ca="1" si="15"/>
        <v/>
      </c>
      <c r="E192" s="82"/>
      <c r="F192" s="91" t="str">
        <f t="shared" si="16"/>
        <v/>
      </c>
      <c r="G192" s="27"/>
      <c r="H192" s="84"/>
      <c r="I192" s="92" t="str">
        <f>IF(A192="","Pending",IF(H192="","⚠️ Enter Code",IF(IFERROR(VLOOKUP(G192,DB_Agents!$B:$I,8,0),"")=H192,IF(AND(A192&lt;&gt;"",E192&lt;&gt;""),"Saved","Pending"),"🔒 BLOCKED — Wrong Code")))</f>
        <v>Pending</v>
      </c>
      <c r="J192" s="93" t="str">
        <f t="shared" ca="1" si="17"/>
        <v>—</v>
      </c>
      <c r="K192" s="94"/>
    </row>
    <row r="193" spans="1:11" x14ac:dyDescent="0.25">
      <c r="A193" s="79"/>
      <c r="B193" s="21" t="str">
        <f>IF(A193="","",IFERROR(VLOOKUP(A193,DB_Customers!$A:$D,4,0),"❌ Account Not Found"))</f>
        <v/>
      </c>
      <c r="C193" s="80" t="str">
        <f>IF(A193="","",IFERROR(VLOOKUP(A193,DB_Customers!$A:$N,14,0),""))</f>
        <v/>
      </c>
      <c r="D193" s="81" t="str">
        <f t="shared" ca="1" si="15"/>
        <v/>
      </c>
      <c r="E193" s="82"/>
      <c r="F193" s="83" t="str">
        <f t="shared" si="16"/>
        <v/>
      </c>
      <c r="G193" s="23"/>
      <c r="H193" s="84"/>
      <c r="I193" s="85" t="str">
        <f>IF(A193="","Pending",IF(H193="","⚠️ Enter Code",IF(IFERROR(VLOOKUP(G193,DB_Agents!$B:$I,8,0),"")=H193,IF(AND(A193&lt;&gt;"",E193&lt;&gt;""),"Saved","Pending"),"🔒 BLOCKED — Wrong Code")))</f>
        <v>Pending</v>
      </c>
      <c r="J193" s="86" t="str">
        <f t="shared" ca="1" si="17"/>
        <v>—</v>
      </c>
      <c r="K193" s="87"/>
    </row>
    <row r="194" spans="1:11" x14ac:dyDescent="0.25">
      <c r="A194" s="88"/>
      <c r="B194" s="25" t="str">
        <f>IF(A194="","",IFERROR(VLOOKUP(A194,DB_Customers!$A:$D,4,0),"❌ Account Not Found"))</f>
        <v/>
      </c>
      <c r="C194" s="89" t="str">
        <f>IF(A194="","",IFERROR(VLOOKUP(A194,DB_Customers!$A:$N,14,0),""))</f>
        <v/>
      </c>
      <c r="D194" s="90" t="str">
        <f t="shared" ca="1" si="15"/>
        <v/>
      </c>
      <c r="E194" s="82"/>
      <c r="F194" s="91" t="str">
        <f t="shared" si="16"/>
        <v/>
      </c>
      <c r="G194" s="27"/>
      <c r="H194" s="84"/>
      <c r="I194" s="92" t="str">
        <f>IF(A194="","Pending",IF(H194="","⚠️ Enter Code",IF(IFERROR(VLOOKUP(G194,DB_Agents!$B:$I,8,0),"")=H194,IF(AND(A194&lt;&gt;"",E194&lt;&gt;""),"Saved","Pending"),"🔒 BLOCKED — Wrong Code")))</f>
        <v>Pending</v>
      </c>
      <c r="J194" s="93" t="str">
        <f t="shared" ca="1" si="17"/>
        <v>—</v>
      </c>
      <c r="K194" s="94"/>
    </row>
    <row r="195" spans="1:11" x14ac:dyDescent="0.25">
      <c r="A195" s="79"/>
      <c r="B195" s="21" t="str">
        <f>IF(A195="","",IFERROR(VLOOKUP(A195,DB_Customers!$A:$D,4,0),"❌ Account Not Found"))</f>
        <v/>
      </c>
      <c r="C195" s="80" t="str">
        <f>IF(A195="","",IFERROR(VLOOKUP(A195,DB_Customers!$A:$N,14,0),""))</f>
        <v/>
      </c>
      <c r="D195" s="81" t="str">
        <f t="shared" ca="1" si="15"/>
        <v/>
      </c>
      <c r="E195" s="82"/>
      <c r="F195" s="83" t="str">
        <f t="shared" si="16"/>
        <v/>
      </c>
      <c r="G195" s="23"/>
      <c r="H195" s="84"/>
      <c r="I195" s="85" t="str">
        <f>IF(A195="","Pending",IF(H195="","⚠️ Enter Code",IF(IFERROR(VLOOKUP(G195,DB_Agents!$B:$I,8,0),"")=H195,IF(AND(A195&lt;&gt;"",E195&lt;&gt;""),"Saved","Pending"),"🔒 BLOCKED — Wrong Code")))</f>
        <v>Pending</v>
      </c>
      <c r="J195" s="86" t="str">
        <f t="shared" ca="1" si="17"/>
        <v>—</v>
      </c>
      <c r="K195" s="87"/>
    </row>
    <row r="196" spans="1:11" x14ac:dyDescent="0.25">
      <c r="A196" s="88"/>
      <c r="B196" s="25" t="str">
        <f>IF(A196="","",IFERROR(VLOOKUP(A196,DB_Customers!$A:$D,4,0),"❌ Account Not Found"))</f>
        <v/>
      </c>
      <c r="C196" s="89" t="str">
        <f>IF(A196="","",IFERROR(VLOOKUP(A196,DB_Customers!$A:$N,14,0),""))</f>
        <v/>
      </c>
      <c r="D196" s="90" t="str">
        <f t="shared" ca="1" si="15"/>
        <v/>
      </c>
      <c r="E196" s="82"/>
      <c r="F196" s="91" t="str">
        <f t="shared" si="16"/>
        <v/>
      </c>
      <c r="G196" s="27"/>
      <c r="H196" s="84"/>
      <c r="I196" s="92" t="str">
        <f>IF(A196="","Pending",IF(H196="","⚠️ Enter Code",IF(IFERROR(VLOOKUP(G196,DB_Agents!$B:$I,8,0),"")=H196,IF(AND(A196&lt;&gt;"",E196&lt;&gt;""),"Saved","Pending"),"🔒 BLOCKED — Wrong Code")))</f>
        <v>Pending</v>
      </c>
      <c r="J196" s="93" t="str">
        <f t="shared" ca="1" si="17"/>
        <v>—</v>
      </c>
      <c r="K196" s="94"/>
    </row>
    <row r="197" spans="1:11" x14ac:dyDescent="0.25">
      <c r="A197" s="79"/>
      <c r="B197" s="21" t="str">
        <f>IF(A197="","",IFERROR(VLOOKUP(A197,DB_Customers!$A:$D,4,0),"❌ Account Not Found"))</f>
        <v/>
      </c>
      <c r="C197" s="80" t="str">
        <f>IF(A197="","",IFERROR(VLOOKUP(A197,DB_Customers!$A:$N,14,0),""))</f>
        <v/>
      </c>
      <c r="D197" s="81" t="str">
        <f t="shared" ca="1" si="15"/>
        <v/>
      </c>
      <c r="E197" s="82"/>
      <c r="F197" s="83" t="str">
        <f t="shared" si="16"/>
        <v/>
      </c>
      <c r="G197" s="23"/>
      <c r="H197" s="84"/>
      <c r="I197" s="85" t="str">
        <f>IF(A197="","Pending",IF(H197="","⚠️ Enter Code",IF(IFERROR(VLOOKUP(G197,DB_Agents!$B:$I,8,0),"")=H197,IF(AND(A197&lt;&gt;"",E197&lt;&gt;""),"Saved","Pending"),"🔒 BLOCKED — Wrong Code")))</f>
        <v>Pending</v>
      </c>
      <c r="J197" s="86" t="str">
        <f t="shared" ca="1" si="17"/>
        <v>—</v>
      </c>
      <c r="K197" s="87"/>
    </row>
    <row r="198" spans="1:11" x14ac:dyDescent="0.25">
      <c r="A198" s="88"/>
      <c r="B198" s="25" t="str">
        <f>IF(A198="","",IFERROR(VLOOKUP(A198,DB_Customers!$A:$D,4,0),"❌ Account Not Found"))</f>
        <v/>
      </c>
      <c r="C198" s="89" t="str">
        <f>IF(A198="","",IFERROR(VLOOKUP(A198,DB_Customers!$A:$N,14,0),""))</f>
        <v/>
      </c>
      <c r="D198" s="90" t="str">
        <f t="shared" ca="1" si="15"/>
        <v/>
      </c>
      <c r="E198" s="82"/>
      <c r="F198" s="91" t="str">
        <f t="shared" si="16"/>
        <v/>
      </c>
      <c r="G198" s="27"/>
      <c r="H198" s="84"/>
      <c r="I198" s="92" t="str">
        <f>IF(A198="","Pending",IF(H198="","⚠️ Enter Code",IF(IFERROR(VLOOKUP(G198,DB_Agents!$B:$I,8,0),"")=H198,IF(AND(A198&lt;&gt;"",E198&lt;&gt;""),"Saved","Pending"),"🔒 BLOCKED — Wrong Code")))</f>
        <v>Pending</v>
      </c>
      <c r="J198" s="93" t="str">
        <f t="shared" ca="1" si="17"/>
        <v>—</v>
      </c>
      <c r="K198" s="94"/>
    </row>
    <row r="199" spans="1:11" x14ac:dyDescent="0.25">
      <c r="A199" s="79"/>
      <c r="B199" s="21" t="str">
        <f>IF(A199="","",IFERROR(VLOOKUP(A199,DB_Customers!$A:$D,4,0),"❌ Account Not Found"))</f>
        <v/>
      </c>
      <c r="C199" s="80" t="str">
        <f>IF(A199="","",IFERROR(VLOOKUP(A199,DB_Customers!$A:$N,14,0),""))</f>
        <v/>
      </c>
      <c r="D199" s="81" t="str">
        <f t="shared" ca="1" si="15"/>
        <v/>
      </c>
      <c r="E199" s="82"/>
      <c r="F199" s="83" t="str">
        <f t="shared" si="16"/>
        <v/>
      </c>
      <c r="G199" s="23"/>
      <c r="H199" s="84"/>
      <c r="I199" s="85" t="str">
        <f>IF(A199="","Pending",IF(H199="","⚠️ Enter Code",IF(IFERROR(VLOOKUP(G199,DB_Agents!$B:$I,8,0),"")=H199,IF(AND(A199&lt;&gt;"",E199&lt;&gt;""),"Saved","Pending"),"🔒 BLOCKED — Wrong Code")))</f>
        <v>Pending</v>
      </c>
      <c r="J199" s="86" t="str">
        <f t="shared" ca="1" si="17"/>
        <v>—</v>
      </c>
      <c r="K199" s="87"/>
    </row>
    <row r="200" spans="1:11" x14ac:dyDescent="0.25">
      <c r="A200" s="88"/>
      <c r="B200" s="25" t="str">
        <f>IF(A200="","",IFERROR(VLOOKUP(A200,DB_Customers!$A:$D,4,0),"❌ Account Not Found"))</f>
        <v/>
      </c>
      <c r="C200" s="89" t="str">
        <f>IF(A200="","",IFERROR(VLOOKUP(A200,DB_Customers!$A:$N,14,0),""))</f>
        <v/>
      </c>
      <c r="D200" s="90" t="str">
        <f t="shared" ca="1" si="15"/>
        <v/>
      </c>
      <c r="E200" s="82"/>
      <c r="F200" s="91" t="str">
        <f t="shared" si="16"/>
        <v/>
      </c>
      <c r="G200" s="27"/>
      <c r="H200" s="84"/>
      <c r="I200" s="92" t="str">
        <f>IF(A200="","Pending",IF(H200="","⚠️ Enter Code",IF(IFERROR(VLOOKUP(G200,DB_Agents!$B:$I,8,0),"")=H200,IF(AND(A200&lt;&gt;"",E200&lt;&gt;""),"Saved","Pending"),"🔒 BLOCKED — Wrong Code")))</f>
        <v>Pending</v>
      </c>
      <c r="J200" s="93" t="str">
        <f t="shared" ca="1" si="17"/>
        <v>—</v>
      </c>
      <c r="K200" s="94"/>
    </row>
    <row r="201" spans="1:11" x14ac:dyDescent="0.25">
      <c r="A201" s="79"/>
      <c r="B201" s="21" t="str">
        <f>IF(A201="","",IFERROR(VLOOKUP(A201,DB_Customers!$A:$D,4,0),"❌ Account Not Found"))</f>
        <v/>
      </c>
      <c r="C201" s="80" t="str">
        <f>IF(A201="","",IFERROR(VLOOKUP(A201,DB_Customers!$A:$N,14,0),""))</f>
        <v/>
      </c>
      <c r="D201" s="81" t="str">
        <f t="shared" ref="D201:D208" ca="1" si="18">IF(A201="","",TODAY())</f>
        <v/>
      </c>
      <c r="E201" s="82"/>
      <c r="F201" s="83" t="str">
        <f t="shared" ref="F201:F232" si="19">IF(OR(A201="",E201=""),"",IF(C201="","",C201+E201))</f>
        <v/>
      </c>
      <c r="G201" s="23"/>
      <c r="H201" s="84"/>
      <c r="I201" s="85" t="str">
        <f>IF(A201="","Pending",IF(H201="","⚠️ Enter Code",IF(IFERROR(VLOOKUP(G201,DB_Agents!$B:$I,8,0),"")=H201,IF(AND(A201&lt;&gt;"",E201&lt;&gt;""),"Saved","Pending"),"🔒 BLOCKED — Wrong Code")))</f>
        <v>Pending</v>
      </c>
      <c r="J201" s="86" t="str">
        <f t="shared" ref="J201:J232" ca="1" si="20">IF(I201="Saved",TEXT(TODAY(),"YYYY-MM-DD")&amp;" Auto","—")</f>
        <v>—</v>
      </c>
      <c r="K201" s="87"/>
    </row>
    <row r="202" spans="1:11" x14ac:dyDescent="0.25">
      <c r="A202" s="88"/>
      <c r="B202" s="25" t="str">
        <f>IF(A202="","",IFERROR(VLOOKUP(A202,DB_Customers!$A:$D,4,0),"❌ Account Not Found"))</f>
        <v/>
      </c>
      <c r="C202" s="89" t="str">
        <f>IF(A202="","",IFERROR(VLOOKUP(A202,DB_Customers!$A:$N,14,0),""))</f>
        <v/>
      </c>
      <c r="D202" s="90" t="str">
        <f t="shared" ca="1" si="18"/>
        <v/>
      </c>
      <c r="E202" s="82"/>
      <c r="F202" s="91" t="str">
        <f t="shared" si="19"/>
        <v/>
      </c>
      <c r="G202" s="27"/>
      <c r="H202" s="84"/>
      <c r="I202" s="92" t="str">
        <f>IF(A202="","Pending",IF(H202="","⚠️ Enter Code",IF(IFERROR(VLOOKUP(G202,DB_Agents!$B:$I,8,0),"")=H202,IF(AND(A202&lt;&gt;"",E202&lt;&gt;""),"Saved","Pending"),"🔒 BLOCKED — Wrong Code")))</f>
        <v>Pending</v>
      </c>
      <c r="J202" s="93" t="str">
        <f t="shared" ca="1" si="20"/>
        <v>—</v>
      </c>
      <c r="K202" s="94"/>
    </row>
    <row r="203" spans="1:11" x14ac:dyDescent="0.25">
      <c r="A203" s="79"/>
      <c r="B203" s="21" t="str">
        <f>IF(A203="","",IFERROR(VLOOKUP(A203,DB_Customers!$A:$D,4,0),"❌ Account Not Found"))</f>
        <v/>
      </c>
      <c r="C203" s="80" t="str">
        <f>IF(A203="","",IFERROR(VLOOKUP(A203,DB_Customers!$A:$N,14,0),""))</f>
        <v/>
      </c>
      <c r="D203" s="81" t="str">
        <f t="shared" ca="1" si="18"/>
        <v/>
      </c>
      <c r="E203" s="82"/>
      <c r="F203" s="83" t="str">
        <f t="shared" si="19"/>
        <v/>
      </c>
      <c r="G203" s="23"/>
      <c r="H203" s="84"/>
      <c r="I203" s="85" t="str">
        <f>IF(A203="","Pending",IF(H203="","⚠️ Enter Code",IF(IFERROR(VLOOKUP(G203,DB_Agents!$B:$I,8,0),"")=H203,IF(AND(A203&lt;&gt;"",E203&lt;&gt;""),"Saved","Pending"),"🔒 BLOCKED — Wrong Code")))</f>
        <v>Pending</v>
      </c>
      <c r="J203" s="86" t="str">
        <f t="shared" ca="1" si="20"/>
        <v>—</v>
      </c>
      <c r="K203" s="87"/>
    </row>
    <row r="204" spans="1:11" x14ac:dyDescent="0.25">
      <c r="A204" s="88"/>
      <c r="B204" s="25" t="str">
        <f>IF(A204="","",IFERROR(VLOOKUP(A204,DB_Customers!$A:$D,4,0),"❌ Account Not Found"))</f>
        <v/>
      </c>
      <c r="C204" s="89" t="str">
        <f>IF(A204="","",IFERROR(VLOOKUP(A204,DB_Customers!$A:$N,14,0),""))</f>
        <v/>
      </c>
      <c r="D204" s="90" t="str">
        <f t="shared" ca="1" si="18"/>
        <v/>
      </c>
      <c r="E204" s="82"/>
      <c r="F204" s="91" t="str">
        <f t="shared" si="19"/>
        <v/>
      </c>
      <c r="G204" s="27"/>
      <c r="H204" s="84"/>
      <c r="I204" s="92" t="str">
        <f>IF(A204="","Pending",IF(H204="","⚠️ Enter Code",IF(IFERROR(VLOOKUP(G204,DB_Agents!$B:$I,8,0),"")=H204,IF(AND(A204&lt;&gt;"",E204&lt;&gt;""),"Saved","Pending"),"🔒 BLOCKED — Wrong Code")))</f>
        <v>Pending</v>
      </c>
      <c r="J204" s="93" t="str">
        <f t="shared" ca="1" si="20"/>
        <v>—</v>
      </c>
      <c r="K204" s="94"/>
    </row>
    <row r="205" spans="1:11" x14ac:dyDescent="0.25">
      <c r="A205" s="79"/>
      <c r="B205" s="21" t="str">
        <f>IF(A205="","",IFERROR(VLOOKUP(A205,DB_Customers!$A:$D,4,0),"❌ Account Not Found"))</f>
        <v/>
      </c>
      <c r="C205" s="80" t="str">
        <f>IF(A205="","",IFERROR(VLOOKUP(A205,DB_Customers!$A:$N,14,0),""))</f>
        <v/>
      </c>
      <c r="D205" s="81" t="str">
        <f t="shared" ca="1" si="18"/>
        <v/>
      </c>
      <c r="E205" s="82"/>
      <c r="F205" s="83" t="str">
        <f t="shared" si="19"/>
        <v/>
      </c>
      <c r="G205" s="23"/>
      <c r="H205" s="84"/>
      <c r="I205" s="85" t="str">
        <f>IF(A205="","Pending",IF(H205="","⚠️ Enter Code",IF(IFERROR(VLOOKUP(G205,DB_Agents!$B:$I,8,0),"")=H205,IF(AND(A205&lt;&gt;"",E205&lt;&gt;""),"Saved","Pending"),"🔒 BLOCKED — Wrong Code")))</f>
        <v>Pending</v>
      </c>
      <c r="J205" s="86" t="str">
        <f t="shared" ca="1" si="20"/>
        <v>—</v>
      </c>
      <c r="K205" s="87"/>
    </row>
    <row r="206" spans="1:11" x14ac:dyDescent="0.25">
      <c r="A206" s="88"/>
      <c r="B206" s="25" t="str">
        <f>IF(A206="","",IFERROR(VLOOKUP(A206,DB_Customers!$A:$D,4,0),"❌ Account Not Found"))</f>
        <v/>
      </c>
      <c r="C206" s="89" t="str">
        <f>IF(A206="","",IFERROR(VLOOKUP(A206,DB_Customers!$A:$N,14,0),""))</f>
        <v/>
      </c>
      <c r="D206" s="90" t="str">
        <f t="shared" ca="1" si="18"/>
        <v/>
      </c>
      <c r="E206" s="82"/>
      <c r="F206" s="91" t="str">
        <f t="shared" si="19"/>
        <v/>
      </c>
      <c r="G206" s="27"/>
      <c r="H206" s="84"/>
      <c r="I206" s="92" t="str">
        <f>IF(A206="","Pending",IF(H206="","⚠️ Enter Code",IF(IFERROR(VLOOKUP(G206,DB_Agents!$B:$I,8,0),"")=H206,IF(AND(A206&lt;&gt;"",E206&lt;&gt;""),"Saved","Pending"),"🔒 BLOCKED — Wrong Code")))</f>
        <v>Pending</v>
      </c>
      <c r="J206" s="93" t="str">
        <f t="shared" ca="1" si="20"/>
        <v>—</v>
      </c>
      <c r="K206" s="94"/>
    </row>
    <row r="207" spans="1:11" x14ac:dyDescent="0.25">
      <c r="A207" s="79"/>
      <c r="B207" s="21" t="str">
        <f>IF(A207="","",IFERROR(VLOOKUP(A207,DB_Customers!$A:$D,4,0),"❌ Account Not Found"))</f>
        <v/>
      </c>
      <c r="C207" s="80" t="str">
        <f>IF(A207="","",IFERROR(VLOOKUP(A207,DB_Customers!$A:$N,14,0),""))</f>
        <v/>
      </c>
      <c r="D207" s="81" t="str">
        <f t="shared" ca="1" si="18"/>
        <v/>
      </c>
      <c r="E207" s="82"/>
      <c r="F207" s="83" t="str">
        <f t="shared" si="19"/>
        <v/>
      </c>
      <c r="G207" s="23"/>
      <c r="H207" s="84"/>
      <c r="I207" s="85" t="str">
        <f>IF(A207="","Pending",IF(H207="","⚠️ Enter Code",IF(IFERROR(VLOOKUP(G207,DB_Agents!$B:$I,8,0),"")=H207,IF(AND(A207&lt;&gt;"",E207&lt;&gt;""),"Saved","Pending"),"🔒 BLOCKED — Wrong Code")))</f>
        <v>Pending</v>
      </c>
      <c r="J207" s="86" t="str">
        <f t="shared" ca="1" si="20"/>
        <v>—</v>
      </c>
      <c r="K207" s="87"/>
    </row>
    <row r="208" spans="1:11" x14ac:dyDescent="0.25">
      <c r="A208" s="88"/>
      <c r="B208" s="25" t="str">
        <f>IF(A208="","",IFERROR(VLOOKUP(A208,DB_Customers!$A:$D,4,0),"❌ Account Not Found"))</f>
        <v/>
      </c>
      <c r="C208" s="89" t="str">
        <f>IF(A208="","",IFERROR(VLOOKUP(A208,DB_Customers!$A:$N,14,0),""))</f>
        <v/>
      </c>
      <c r="D208" s="90" t="str">
        <f t="shared" ca="1" si="18"/>
        <v/>
      </c>
      <c r="E208" s="82"/>
      <c r="F208" s="91" t="str">
        <f t="shared" si="19"/>
        <v/>
      </c>
      <c r="G208" s="27"/>
      <c r="H208" s="84"/>
      <c r="I208" s="92" t="str">
        <f>IF(A208="","Pending",IF(H208="","⚠️ Enter Code",IF(IFERROR(VLOOKUP(G208,DB_Agents!$B:$I,8,0),"")=H208,IF(AND(A208&lt;&gt;"",E208&lt;&gt;""),"Saved","Pending"),"🔒 BLOCKED — Wrong Code")))</f>
        <v>Pending</v>
      </c>
      <c r="J208" s="93" t="str">
        <f t="shared" ca="1" si="20"/>
        <v>—</v>
      </c>
      <c r="K208" s="94"/>
    </row>
  </sheetData>
  <mergeCells count="12">
    <mergeCell ref="A7:L7"/>
    <mergeCell ref="A4:C4"/>
    <mergeCell ref="D4:F4"/>
    <mergeCell ref="G4:I4"/>
    <mergeCell ref="J4:L4"/>
    <mergeCell ref="A5:L5"/>
    <mergeCell ref="A1:L1"/>
    <mergeCell ref="A2:L2"/>
    <mergeCell ref="A3:C3"/>
    <mergeCell ref="D3:F3"/>
    <mergeCell ref="G3:I3"/>
    <mergeCell ref="J3:L3"/>
  </mergeCells>
  <conditionalFormatting sqref="H9:H208">
    <cfRule type="cellIs" dxfId="32" priority="2" operator="equal">
      <formula>"Saved"</formula>
    </cfRule>
    <cfRule type="cellIs" dxfId="31" priority="3" operator="equal">
      <formula>"Pending"</formula>
    </cfRule>
  </conditionalFormatting>
  <conditionalFormatting sqref="A9:J208">
    <cfRule type="expression" dxfId="30" priority="4">
      <formula>$H9="Saved"</formula>
    </cfRule>
  </conditionalFormatting>
  <dataValidations count="2">
    <dataValidation type="decimal" operator="greaterThan" showErrorMessage="1" error="Must be &gt; 0" sqref="E9:E208" xr:uid="{00000000-0002-0000-1A00-000000000000}">
      <formula1>0</formula1>
      <formula2>0</formula2>
    </dataValidation>
    <dataValidation type="list" sqref="G9:G208" xr:uid="{00000000-0002-0000-1A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tabColor rgb="FFC0392B"/>
  </sheetPr>
  <dimension ref="A1:M208"/>
  <sheetViews>
    <sheetView zoomScaleNormal="100" workbookViewId="0">
      <pane ySplit="8" topLeftCell="A9" activePane="bottomLeft" state="frozen"/>
      <selection pane="bottomLeft"/>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5" customWidth="1"/>
    <col min="8" max="8" width="12" customWidth="1"/>
    <col min="9" max="9" width="14" customWidth="1"/>
    <col min="10" max="10" width="22" customWidth="1"/>
    <col min="11" max="11" width="20" customWidth="1"/>
  </cols>
  <sheetData>
    <row r="1" spans="1:13" ht="31.5" customHeight="1" x14ac:dyDescent="0.25">
      <c r="A1" s="210" t="s">
        <v>227</v>
      </c>
      <c r="B1" s="210"/>
      <c r="C1" s="210"/>
      <c r="D1" s="210"/>
      <c r="E1" s="210"/>
      <c r="F1" s="210"/>
      <c r="G1" s="210"/>
      <c r="H1" s="210"/>
      <c r="I1" s="210"/>
      <c r="J1" s="210"/>
      <c r="K1" s="210"/>
      <c r="L1" s="210"/>
      <c r="M1" s="210"/>
    </row>
    <row r="2" spans="1:13" ht="19.5" customHeight="1" x14ac:dyDescent="0.25">
      <c r="A2" s="211" t="s">
        <v>228</v>
      </c>
      <c r="B2" s="211"/>
      <c r="C2" s="211"/>
      <c r="D2" s="211"/>
      <c r="E2" s="211"/>
      <c r="F2" s="211"/>
      <c r="G2" s="211"/>
      <c r="H2" s="211"/>
      <c r="I2" s="211"/>
      <c r="J2" s="211"/>
      <c r="K2" s="211"/>
      <c r="L2" s="211"/>
      <c r="M2" s="211"/>
    </row>
    <row r="3" spans="1:13" ht="18" customHeight="1" x14ac:dyDescent="0.25">
      <c r="A3" s="178" t="s">
        <v>180</v>
      </c>
      <c r="B3" s="178"/>
      <c r="C3" s="178"/>
      <c r="D3" s="177" t="s">
        <v>181</v>
      </c>
      <c r="E3" s="177"/>
      <c r="F3" s="177"/>
      <c r="G3" s="19" t="s">
        <v>182</v>
      </c>
      <c r="K3" s="48" t="s">
        <v>169</v>
      </c>
    </row>
    <row r="4" spans="1:13" ht="27.75" customHeight="1" x14ac:dyDescent="0.25">
      <c r="A4" s="212">
        <f ca="1">SUMIFS(DB_Withdrawals!$G:$G,DB_Withdrawals!$J:$J,"Agent 08",DB_Withdrawals!$F:$F,TODAY())</f>
        <v>0</v>
      </c>
      <c r="B4" s="212"/>
      <c r="C4" s="212"/>
      <c r="D4" s="213">
        <f ca="1">COUNTIFS(DB_Withdrawals!$J:$J,"Agent 08",DB_Withdrawals!$K:$K,"Successful",DB_Withdrawals!$F:$F,TODAY())</f>
        <v>0</v>
      </c>
      <c r="E4" s="213"/>
      <c r="F4" s="213"/>
      <c r="G4" s="95">
        <f ca="1">COUNTIFS(DB_Withdrawals!$J:$J,"Agent 08",DB_Withdrawals!$K:$K,"Unsuccessful",DB_Withdrawals!$F:$F,TODAY())</f>
        <v>0</v>
      </c>
      <c r="K4" s="77" t="str">
        <f ca="1">TEXT(TODAY(),"DD MMM YYYY")</f>
        <v>19 Apr 2026</v>
      </c>
    </row>
    <row r="5" spans="1:13" ht="19.5" customHeight="1" x14ac:dyDescent="0.25">
      <c r="A5" s="214" t="s">
        <v>183</v>
      </c>
      <c r="B5" s="214"/>
      <c r="C5" s="214"/>
      <c r="D5" s="214"/>
      <c r="E5" s="214"/>
      <c r="F5" s="214"/>
      <c r="G5" s="214"/>
      <c r="H5" s="214"/>
      <c r="I5" s="214"/>
      <c r="J5" s="214"/>
      <c r="K5" s="214"/>
      <c r="L5" s="214"/>
      <c r="M5" s="214"/>
    </row>
    <row r="6" spans="1:13" ht="7.5" customHeight="1" x14ac:dyDescent="0.25"/>
    <row r="7" spans="1:13" ht="19.5" customHeight="1" x14ac:dyDescent="0.25">
      <c r="A7" s="215" t="s">
        <v>184</v>
      </c>
      <c r="B7" s="215"/>
      <c r="C7" s="215"/>
      <c r="D7" s="215"/>
      <c r="E7" s="215"/>
      <c r="F7" s="215"/>
      <c r="G7" s="215"/>
      <c r="H7" s="215"/>
      <c r="I7" s="215"/>
      <c r="J7" s="215"/>
      <c r="K7" s="215"/>
      <c r="L7" s="215"/>
      <c r="M7" s="215"/>
    </row>
    <row r="8" spans="1:13" ht="19.5" customHeight="1" x14ac:dyDescent="0.25">
      <c r="A8" s="96" t="s">
        <v>171</v>
      </c>
      <c r="B8" s="96" t="s">
        <v>118</v>
      </c>
      <c r="C8" s="96" t="s">
        <v>185</v>
      </c>
      <c r="D8" s="96" t="s">
        <v>111</v>
      </c>
      <c r="E8" s="96" t="s">
        <v>186</v>
      </c>
      <c r="F8" s="96" t="s">
        <v>187</v>
      </c>
      <c r="G8" s="96" t="s">
        <v>174</v>
      </c>
      <c r="H8" s="96" t="s">
        <v>32</v>
      </c>
      <c r="I8" s="78" t="s">
        <v>175</v>
      </c>
      <c r="J8" s="96" t="s">
        <v>155</v>
      </c>
      <c r="K8" s="96" t="s">
        <v>176</v>
      </c>
      <c r="L8" s="96" t="s">
        <v>177</v>
      </c>
    </row>
    <row r="9" spans="1:13" x14ac:dyDescent="0.25">
      <c r="A9" s="79"/>
      <c r="B9" s="21" t="str">
        <f>IF(A9="","",IFERROR(VLOOKUP(A9,DB_Customers!$A:$D,4,0),"❌ Account Not Found"))</f>
        <v/>
      </c>
      <c r="C9" s="80" t="str">
        <f>IF(A9="","",IFERROR(VLOOKUP(A9,DB_Customers!$A:$N,14,0),""))</f>
        <v/>
      </c>
      <c r="D9" s="81" t="str">
        <f t="shared" ref="D9:D40" ca="1" si="0">IF(A9="","",TODAY())</f>
        <v/>
      </c>
      <c r="E9" s="97"/>
      <c r="F9" s="21"/>
      <c r="G9" s="98" t="str">
        <f t="shared" ref="G9:G40" si="1">IF(OR(A9="",E9=""),"",IF(C9="","",C9-E9))</f>
        <v/>
      </c>
      <c r="H9" s="23" t="s">
        <v>48</v>
      </c>
      <c r="I9" s="84"/>
      <c r="J9" s="85" t="str">
        <f>IF(AND(A9&lt;&gt;"",E9&lt;&gt;""),IF(I9="","⚠️ Enter Code",IF(IFERROR(VLOOKUP(H9,DB_Agents!$B:$I,8,0),"")=I9,IF(C9&gt;=E9,"Successful","Unsuccessful"),"🔒 BLOCKED — Wrong Code")),"—")</f>
        <v>—</v>
      </c>
      <c r="K9" s="86" t="str">
        <f t="shared" ref="K9:K40" ca="1" si="2">IF(J9="Successful",TEXT(TODAY(),"YYYY-MM-DD")&amp;" Auto","—")</f>
        <v>—</v>
      </c>
      <c r="L9" s="87"/>
    </row>
    <row r="10" spans="1:13" x14ac:dyDescent="0.25">
      <c r="A10" s="88"/>
      <c r="B10" s="25" t="str">
        <f>IF(A10="","",IFERROR(VLOOKUP(A10,DB_Customers!$A:$D,4,0),"❌ Account Not Found"))</f>
        <v/>
      </c>
      <c r="C10" s="89" t="str">
        <f>IF(A10="","",IFERROR(VLOOKUP(A10,DB_Customers!$A:$N,14,0),""))</f>
        <v/>
      </c>
      <c r="D10" s="90" t="str">
        <f t="shared" ca="1" si="0"/>
        <v/>
      </c>
      <c r="E10" s="97"/>
      <c r="F10" s="25"/>
      <c r="G10" s="99" t="str">
        <f t="shared" si="1"/>
        <v/>
      </c>
      <c r="H10" s="27" t="s">
        <v>48</v>
      </c>
      <c r="I10" s="84"/>
      <c r="J10" s="92" t="str">
        <f>IF(AND(A10&lt;&gt;"",E10&lt;&gt;""),IF(I10="","⚠️ Enter Code",IF(IFERROR(VLOOKUP(H10,DB_Agents!$B:$I,8,0),"")=I10,IF(C10&gt;=E10,"Successful","Unsuccessful"),"🔒 BLOCKED — Wrong Code")),"—")</f>
        <v>—</v>
      </c>
      <c r="K10" s="93" t="str">
        <f t="shared" ca="1" si="2"/>
        <v>—</v>
      </c>
      <c r="L10" s="94"/>
    </row>
    <row r="11" spans="1:13" x14ac:dyDescent="0.25">
      <c r="A11" s="79"/>
      <c r="B11" s="21" t="str">
        <f>IF(A11="","",IFERROR(VLOOKUP(A11,DB_Customers!$A:$D,4,0),"❌ Account Not Found"))</f>
        <v/>
      </c>
      <c r="C11" s="80" t="str">
        <f>IF(A11="","",IFERROR(VLOOKUP(A11,DB_Customers!$A:$N,14,0),""))</f>
        <v/>
      </c>
      <c r="D11" s="81" t="str">
        <f t="shared" ca="1" si="0"/>
        <v/>
      </c>
      <c r="E11" s="97"/>
      <c r="F11" s="21"/>
      <c r="G11" s="98" t="str">
        <f t="shared" si="1"/>
        <v/>
      </c>
      <c r="H11" s="23" t="s">
        <v>48</v>
      </c>
      <c r="I11" s="84"/>
      <c r="J11" s="85" t="str">
        <f>IF(AND(A11&lt;&gt;"",E11&lt;&gt;""),IF(I11="","⚠️ Enter Code",IF(IFERROR(VLOOKUP(H11,DB_Agents!$B:$I,8,0),"")=I11,IF(C11&gt;=E11,"Successful","Unsuccessful"),"🔒 BLOCKED — Wrong Code")),"—")</f>
        <v>—</v>
      </c>
      <c r="K11" s="86" t="str">
        <f t="shared" ca="1" si="2"/>
        <v>—</v>
      </c>
      <c r="L11" s="87"/>
    </row>
    <row r="12" spans="1:13" x14ac:dyDescent="0.25">
      <c r="A12" s="88"/>
      <c r="B12" s="25" t="str">
        <f>IF(A12="","",IFERROR(VLOOKUP(A12,DB_Customers!$A:$D,4,0),"❌ Account Not Found"))</f>
        <v/>
      </c>
      <c r="C12" s="89" t="str">
        <f>IF(A12="","",IFERROR(VLOOKUP(A12,DB_Customers!$A:$N,14,0),""))</f>
        <v/>
      </c>
      <c r="D12" s="90" t="str">
        <f t="shared" ca="1" si="0"/>
        <v/>
      </c>
      <c r="E12" s="97"/>
      <c r="F12" s="25"/>
      <c r="G12" s="99" t="str">
        <f t="shared" si="1"/>
        <v/>
      </c>
      <c r="H12" s="27" t="s">
        <v>48</v>
      </c>
      <c r="I12" s="84"/>
      <c r="J12" s="92" t="str">
        <f>IF(AND(A12&lt;&gt;"",E12&lt;&gt;""),IF(I12="","⚠️ Enter Code",IF(IFERROR(VLOOKUP(H12,DB_Agents!$B:$I,8,0),"")=I12,IF(C12&gt;=E12,"Successful","Unsuccessful"),"🔒 BLOCKED — Wrong Code")),"—")</f>
        <v>—</v>
      </c>
      <c r="K12" s="93" t="str">
        <f t="shared" ca="1" si="2"/>
        <v>—</v>
      </c>
      <c r="L12" s="94"/>
    </row>
    <row r="13" spans="1:13" x14ac:dyDescent="0.25">
      <c r="A13" s="79"/>
      <c r="B13" s="21" t="str">
        <f>IF(A13="","",IFERROR(VLOOKUP(A13,DB_Customers!$A:$D,4,0),"❌ Account Not Found"))</f>
        <v/>
      </c>
      <c r="C13" s="80" t="str">
        <f>IF(A13="","",IFERROR(VLOOKUP(A13,DB_Customers!$A:$N,14,0),""))</f>
        <v/>
      </c>
      <c r="D13" s="81" t="str">
        <f t="shared" ca="1" si="0"/>
        <v/>
      </c>
      <c r="E13" s="97"/>
      <c r="F13" s="21"/>
      <c r="G13" s="98" t="str">
        <f t="shared" si="1"/>
        <v/>
      </c>
      <c r="H13" s="23" t="s">
        <v>48</v>
      </c>
      <c r="I13" s="84"/>
      <c r="J13" s="85" t="str">
        <f>IF(AND(A13&lt;&gt;"",E13&lt;&gt;""),IF(I13="","⚠️ Enter Code",IF(IFERROR(VLOOKUP(H13,DB_Agents!$B:$I,8,0),"")=I13,IF(C13&gt;=E13,"Successful","Unsuccessful"),"🔒 BLOCKED — Wrong Code")),"—")</f>
        <v>—</v>
      </c>
      <c r="K13" s="86" t="str">
        <f t="shared" ca="1" si="2"/>
        <v>—</v>
      </c>
      <c r="L13" s="87"/>
    </row>
    <row r="14" spans="1:13" x14ac:dyDescent="0.25">
      <c r="A14" s="88"/>
      <c r="B14" s="25" t="str">
        <f>IF(A14="","",IFERROR(VLOOKUP(A14,DB_Customers!$A:$D,4,0),"❌ Account Not Found"))</f>
        <v/>
      </c>
      <c r="C14" s="89" t="str">
        <f>IF(A14="","",IFERROR(VLOOKUP(A14,DB_Customers!$A:$N,14,0),""))</f>
        <v/>
      </c>
      <c r="D14" s="90" t="str">
        <f t="shared" ca="1" si="0"/>
        <v/>
      </c>
      <c r="E14" s="97"/>
      <c r="F14" s="25"/>
      <c r="G14" s="99" t="str">
        <f t="shared" si="1"/>
        <v/>
      </c>
      <c r="H14" s="27"/>
      <c r="I14" s="84"/>
      <c r="J14" s="92" t="str">
        <f>IF(AND(A14&lt;&gt;"",E14&lt;&gt;""),IF(I14="","⚠️ Enter Code",IF(IFERROR(VLOOKUP(H14,DB_Agents!$B:$I,8,0),"")=I14,IF(C14&gt;=E14,"Successful","Unsuccessful"),"🔒 BLOCKED — Wrong Code")),"—")</f>
        <v>—</v>
      </c>
      <c r="K14" s="93" t="str">
        <f t="shared" ca="1" si="2"/>
        <v>—</v>
      </c>
      <c r="L14" s="94"/>
    </row>
    <row r="15" spans="1:13" x14ac:dyDescent="0.25">
      <c r="A15" s="79"/>
      <c r="B15" s="21" t="str">
        <f>IF(A15="","",IFERROR(VLOOKUP(A15,DB_Customers!$A:$D,4,0),"❌ Account Not Found"))</f>
        <v/>
      </c>
      <c r="C15" s="80" t="str">
        <f>IF(A15="","",IFERROR(VLOOKUP(A15,DB_Customers!$A:$N,14,0),""))</f>
        <v/>
      </c>
      <c r="D15" s="81" t="str">
        <f t="shared" ca="1" si="0"/>
        <v/>
      </c>
      <c r="E15" s="97"/>
      <c r="F15" s="21"/>
      <c r="G15" s="98" t="str">
        <f t="shared" si="1"/>
        <v/>
      </c>
      <c r="H15" s="23"/>
      <c r="I15" s="84"/>
      <c r="J15" s="85" t="str">
        <f>IF(AND(A15&lt;&gt;"",E15&lt;&gt;""),IF(I15="","⚠️ Enter Code",IF(IFERROR(VLOOKUP(H15,DB_Agents!$B:$I,8,0),"")=I15,IF(C15&gt;=E15,"Successful","Unsuccessful"),"🔒 BLOCKED — Wrong Code")),"—")</f>
        <v>—</v>
      </c>
      <c r="K15" s="86" t="str">
        <f t="shared" ca="1" si="2"/>
        <v>—</v>
      </c>
      <c r="L15" s="87"/>
    </row>
    <row r="16" spans="1:13" x14ac:dyDescent="0.25">
      <c r="A16" s="88"/>
      <c r="B16" s="25" t="str">
        <f>IF(A16="","",IFERROR(VLOOKUP(A16,DB_Customers!$A:$D,4,0),"❌ Account Not Found"))</f>
        <v/>
      </c>
      <c r="C16" s="89" t="str">
        <f>IF(A16="","",IFERROR(VLOOKUP(A16,DB_Customers!$A:$N,14,0),""))</f>
        <v/>
      </c>
      <c r="D16" s="90" t="str">
        <f t="shared" ca="1" si="0"/>
        <v/>
      </c>
      <c r="E16" s="97"/>
      <c r="F16" s="25"/>
      <c r="G16" s="99" t="str">
        <f t="shared" si="1"/>
        <v/>
      </c>
      <c r="H16" s="27"/>
      <c r="I16" s="84"/>
      <c r="J16" s="92" t="str">
        <f>IF(AND(A16&lt;&gt;"",E16&lt;&gt;""),IF(I16="","⚠️ Enter Code",IF(IFERROR(VLOOKUP(H16,DB_Agents!$B:$I,8,0),"")=I16,IF(C16&gt;=E16,"Successful","Unsuccessful"),"🔒 BLOCKED — Wrong Code")),"—")</f>
        <v>—</v>
      </c>
      <c r="K16" s="93" t="str">
        <f t="shared" ca="1" si="2"/>
        <v>—</v>
      </c>
      <c r="L16" s="94"/>
    </row>
    <row r="17" spans="1:12" x14ac:dyDescent="0.25">
      <c r="A17" s="79"/>
      <c r="B17" s="21" t="str">
        <f>IF(A17="","",IFERROR(VLOOKUP(A17,DB_Customers!$A:$D,4,0),"❌ Account Not Found"))</f>
        <v/>
      </c>
      <c r="C17" s="80" t="str">
        <f>IF(A17="","",IFERROR(VLOOKUP(A17,DB_Customers!$A:$N,14,0),""))</f>
        <v/>
      </c>
      <c r="D17" s="81" t="str">
        <f t="shared" ca="1" si="0"/>
        <v/>
      </c>
      <c r="E17" s="97"/>
      <c r="F17" s="21"/>
      <c r="G17" s="98" t="str">
        <f t="shared" si="1"/>
        <v/>
      </c>
      <c r="H17" s="23"/>
      <c r="I17" s="84"/>
      <c r="J17" s="85" t="str">
        <f>IF(AND(A17&lt;&gt;"",E17&lt;&gt;""),IF(I17="","⚠️ Enter Code",IF(IFERROR(VLOOKUP(H17,DB_Agents!$B:$I,8,0),"")=I17,IF(C17&gt;=E17,"Successful","Unsuccessful"),"🔒 BLOCKED — Wrong Code")),"—")</f>
        <v>—</v>
      </c>
      <c r="K17" s="86" t="str">
        <f t="shared" ca="1" si="2"/>
        <v>—</v>
      </c>
      <c r="L17" s="87"/>
    </row>
    <row r="18" spans="1:12" x14ac:dyDescent="0.25">
      <c r="A18" s="88"/>
      <c r="B18" s="25" t="str">
        <f>IF(A18="","",IFERROR(VLOOKUP(A18,DB_Customers!$A:$D,4,0),"❌ Account Not Found"))</f>
        <v/>
      </c>
      <c r="C18" s="89" t="str">
        <f>IF(A18="","",IFERROR(VLOOKUP(A18,DB_Customers!$A:$N,14,0),""))</f>
        <v/>
      </c>
      <c r="D18" s="90" t="str">
        <f t="shared" ca="1" si="0"/>
        <v/>
      </c>
      <c r="E18" s="97"/>
      <c r="F18" s="25"/>
      <c r="G18" s="99" t="str">
        <f t="shared" si="1"/>
        <v/>
      </c>
      <c r="H18" s="27"/>
      <c r="I18" s="84"/>
      <c r="J18" s="92" t="str">
        <f>IF(AND(A18&lt;&gt;"",E18&lt;&gt;""),IF(I18="","⚠️ Enter Code",IF(IFERROR(VLOOKUP(H18,DB_Agents!$B:$I,8,0),"")=I18,IF(C18&gt;=E18,"Successful","Unsuccessful"),"🔒 BLOCKED — Wrong Code")),"—")</f>
        <v>—</v>
      </c>
      <c r="K18" s="93" t="str">
        <f t="shared" ca="1" si="2"/>
        <v>—</v>
      </c>
      <c r="L18" s="94"/>
    </row>
    <row r="19" spans="1:12" x14ac:dyDescent="0.25">
      <c r="A19" s="79"/>
      <c r="B19" s="21" t="str">
        <f>IF(A19="","",IFERROR(VLOOKUP(A19,DB_Customers!$A:$D,4,0),"❌ Account Not Found"))</f>
        <v/>
      </c>
      <c r="C19" s="80" t="str">
        <f>IF(A19="","",IFERROR(VLOOKUP(A19,DB_Customers!$A:$N,14,0),""))</f>
        <v/>
      </c>
      <c r="D19" s="81" t="str">
        <f t="shared" ca="1" si="0"/>
        <v/>
      </c>
      <c r="E19" s="97"/>
      <c r="F19" s="21"/>
      <c r="G19" s="98" t="str">
        <f t="shared" si="1"/>
        <v/>
      </c>
      <c r="H19" s="23"/>
      <c r="I19" s="84"/>
      <c r="J19" s="85" t="str">
        <f>IF(AND(A19&lt;&gt;"",E19&lt;&gt;""),IF(I19="","⚠️ Enter Code",IF(IFERROR(VLOOKUP(H19,DB_Agents!$B:$I,8,0),"")=I19,IF(C19&gt;=E19,"Successful","Unsuccessful"),"🔒 BLOCKED — Wrong Code")),"—")</f>
        <v>—</v>
      </c>
      <c r="K19" s="86" t="str">
        <f t="shared" ca="1" si="2"/>
        <v>—</v>
      </c>
      <c r="L19" s="87"/>
    </row>
    <row r="20" spans="1:12" x14ac:dyDescent="0.25">
      <c r="A20" s="88"/>
      <c r="B20" s="25" t="str">
        <f>IF(A20="","",IFERROR(VLOOKUP(A20,DB_Customers!$A:$D,4,0),"❌ Account Not Found"))</f>
        <v/>
      </c>
      <c r="C20" s="89" t="str">
        <f>IF(A20="","",IFERROR(VLOOKUP(A20,DB_Customers!$A:$N,14,0),""))</f>
        <v/>
      </c>
      <c r="D20" s="90" t="str">
        <f t="shared" ca="1" si="0"/>
        <v/>
      </c>
      <c r="E20" s="97"/>
      <c r="F20" s="25"/>
      <c r="G20" s="99" t="str">
        <f t="shared" si="1"/>
        <v/>
      </c>
      <c r="H20" s="27"/>
      <c r="I20" s="84"/>
      <c r="J20" s="92" t="str">
        <f>IF(AND(A20&lt;&gt;"",E20&lt;&gt;""),IF(I20="","⚠️ Enter Code",IF(IFERROR(VLOOKUP(H20,DB_Agents!$B:$I,8,0),"")=I20,IF(C20&gt;=E20,"Successful","Unsuccessful"),"🔒 BLOCKED — Wrong Code")),"—")</f>
        <v>—</v>
      </c>
      <c r="K20" s="93" t="str">
        <f t="shared" ca="1" si="2"/>
        <v>—</v>
      </c>
      <c r="L20" s="94"/>
    </row>
    <row r="21" spans="1:12" x14ac:dyDescent="0.25">
      <c r="A21" s="79"/>
      <c r="B21" s="21" t="str">
        <f>IF(A21="","",IFERROR(VLOOKUP(A21,DB_Customers!$A:$D,4,0),"❌ Account Not Found"))</f>
        <v/>
      </c>
      <c r="C21" s="80" t="str">
        <f>IF(A21="","",IFERROR(VLOOKUP(A21,DB_Customers!$A:$N,14,0),""))</f>
        <v/>
      </c>
      <c r="D21" s="81" t="str">
        <f t="shared" ca="1" si="0"/>
        <v/>
      </c>
      <c r="E21" s="97"/>
      <c r="F21" s="21"/>
      <c r="G21" s="98" t="str">
        <f t="shared" si="1"/>
        <v/>
      </c>
      <c r="H21" s="23"/>
      <c r="I21" s="84"/>
      <c r="J21" s="85" t="str">
        <f>IF(AND(A21&lt;&gt;"",E21&lt;&gt;""),IF(I21="","⚠️ Enter Code",IF(IFERROR(VLOOKUP(H21,DB_Agents!$B:$I,8,0),"")=I21,IF(C21&gt;=E21,"Successful","Unsuccessful"),"🔒 BLOCKED — Wrong Code")),"—")</f>
        <v>—</v>
      </c>
      <c r="K21" s="86" t="str">
        <f t="shared" ca="1" si="2"/>
        <v>—</v>
      </c>
      <c r="L21" s="87"/>
    </row>
    <row r="22" spans="1:12" x14ac:dyDescent="0.25">
      <c r="A22" s="88"/>
      <c r="B22" s="25" t="str">
        <f>IF(A22="","",IFERROR(VLOOKUP(A22,DB_Customers!$A:$D,4,0),"❌ Account Not Found"))</f>
        <v/>
      </c>
      <c r="C22" s="89" t="str">
        <f>IF(A22="","",IFERROR(VLOOKUP(A22,DB_Customers!$A:$N,14,0),""))</f>
        <v/>
      </c>
      <c r="D22" s="90" t="str">
        <f t="shared" ca="1" si="0"/>
        <v/>
      </c>
      <c r="E22" s="97"/>
      <c r="F22" s="25"/>
      <c r="G22" s="99" t="str">
        <f t="shared" si="1"/>
        <v/>
      </c>
      <c r="H22" s="27"/>
      <c r="I22" s="84"/>
      <c r="J22" s="92" t="str">
        <f>IF(AND(A22&lt;&gt;"",E22&lt;&gt;""),IF(I22="","⚠️ Enter Code",IF(IFERROR(VLOOKUP(H22,DB_Agents!$B:$I,8,0),"")=I22,IF(C22&gt;=E22,"Successful","Unsuccessful"),"🔒 BLOCKED — Wrong Code")),"—")</f>
        <v>—</v>
      </c>
      <c r="K22" s="93" t="str">
        <f t="shared" ca="1" si="2"/>
        <v>—</v>
      </c>
      <c r="L22" s="94"/>
    </row>
    <row r="23" spans="1:12" x14ac:dyDescent="0.25">
      <c r="A23" s="79"/>
      <c r="B23" s="21" t="str">
        <f>IF(A23="","",IFERROR(VLOOKUP(A23,DB_Customers!$A:$D,4,0),"❌ Account Not Found"))</f>
        <v/>
      </c>
      <c r="C23" s="80" t="str">
        <f>IF(A23="","",IFERROR(VLOOKUP(A23,DB_Customers!$A:$N,14,0),""))</f>
        <v/>
      </c>
      <c r="D23" s="81" t="str">
        <f t="shared" ca="1" si="0"/>
        <v/>
      </c>
      <c r="E23" s="97"/>
      <c r="F23" s="21"/>
      <c r="G23" s="98" t="str">
        <f t="shared" si="1"/>
        <v/>
      </c>
      <c r="H23" s="23"/>
      <c r="I23" s="84"/>
      <c r="J23" s="85" t="str">
        <f>IF(AND(A23&lt;&gt;"",E23&lt;&gt;""),IF(I23="","⚠️ Enter Code",IF(IFERROR(VLOOKUP(H23,DB_Agents!$B:$I,8,0),"")=I23,IF(C23&gt;=E23,"Successful","Unsuccessful"),"🔒 BLOCKED — Wrong Code")),"—")</f>
        <v>—</v>
      </c>
      <c r="K23" s="86" t="str">
        <f t="shared" ca="1" si="2"/>
        <v>—</v>
      </c>
      <c r="L23" s="87"/>
    </row>
    <row r="24" spans="1:12" x14ac:dyDescent="0.25">
      <c r="A24" s="88"/>
      <c r="B24" s="25" t="str">
        <f>IF(A24="","",IFERROR(VLOOKUP(A24,DB_Customers!$A:$D,4,0),"❌ Account Not Found"))</f>
        <v/>
      </c>
      <c r="C24" s="89" t="str">
        <f>IF(A24="","",IFERROR(VLOOKUP(A24,DB_Customers!$A:$N,14,0),""))</f>
        <v/>
      </c>
      <c r="D24" s="90" t="str">
        <f t="shared" ca="1" si="0"/>
        <v/>
      </c>
      <c r="E24" s="97"/>
      <c r="F24" s="25"/>
      <c r="G24" s="99" t="str">
        <f t="shared" si="1"/>
        <v/>
      </c>
      <c r="H24" s="27"/>
      <c r="I24" s="84"/>
      <c r="J24" s="92" t="str">
        <f>IF(AND(A24&lt;&gt;"",E24&lt;&gt;""),IF(I24="","⚠️ Enter Code",IF(IFERROR(VLOOKUP(H24,DB_Agents!$B:$I,8,0),"")=I24,IF(C24&gt;=E24,"Successful","Unsuccessful"),"🔒 BLOCKED — Wrong Code")),"—")</f>
        <v>—</v>
      </c>
      <c r="K24" s="93" t="str">
        <f t="shared" ca="1" si="2"/>
        <v>—</v>
      </c>
      <c r="L24" s="94"/>
    </row>
    <row r="25" spans="1:12" x14ac:dyDescent="0.25">
      <c r="A25" s="79"/>
      <c r="B25" s="21" t="str">
        <f>IF(A25="","",IFERROR(VLOOKUP(A25,DB_Customers!$A:$D,4,0),"❌ Account Not Found"))</f>
        <v/>
      </c>
      <c r="C25" s="80" t="str">
        <f>IF(A25="","",IFERROR(VLOOKUP(A25,DB_Customers!$A:$N,14,0),""))</f>
        <v/>
      </c>
      <c r="D25" s="81" t="str">
        <f t="shared" ca="1" si="0"/>
        <v/>
      </c>
      <c r="E25" s="97"/>
      <c r="F25" s="21"/>
      <c r="G25" s="98" t="str">
        <f t="shared" si="1"/>
        <v/>
      </c>
      <c r="H25" s="23"/>
      <c r="I25" s="84"/>
      <c r="J25" s="85" t="str">
        <f>IF(AND(A25&lt;&gt;"",E25&lt;&gt;""),IF(I25="","⚠️ Enter Code",IF(IFERROR(VLOOKUP(H25,DB_Agents!$B:$I,8,0),"")=I25,IF(C25&gt;=E25,"Successful","Unsuccessful"),"🔒 BLOCKED — Wrong Code")),"—")</f>
        <v>—</v>
      </c>
      <c r="K25" s="86" t="str">
        <f t="shared" ca="1" si="2"/>
        <v>—</v>
      </c>
      <c r="L25" s="87"/>
    </row>
    <row r="26" spans="1:12" x14ac:dyDescent="0.25">
      <c r="A26" s="88"/>
      <c r="B26" s="25" t="str">
        <f>IF(A26="","",IFERROR(VLOOKUP(A26,DB_Customers!$A:$D,4,0),"❌ Account Not Found"))</f>
        <v/>
      </c>
      <c r="C26" s="89" t="str">
        <f>IF(A26="","",IFERROR(VLOOKUP(A26,DB_Customers!$A:$N,14,0),""))</f>
        <v/>
      </c>
      <c r="D26" s="90" t="str">
        <f t="shared" ca="1" si="0"/>
        <v/>
      </c>
      <c r="E26" s="97"/>
      <c r="F26" s="25"/>
      <c r="G26" s="99" t="str">
        <f t="shared" si="1"/>
        <v/>
      </c>
      <c r="H26" s="27"/>
      <c r="I26" s="84"/>
      <c r="J26" s="92" t="str">
        <f>IF(AND(A26&lt;&gt;"",E26&lt;&gt;""),IF(I26="","⚠️ Enter Code",IF(IFERROR(VLOOKUP(H26,DB_Agents!$B:$I,8,0),"")=I26,IF(C26&gt;=E26,"Successful","Unsuccessful"),"🔒 BLOCKED — Wrong Code")),"—")</f>
        <v>—</v>
      </c>
      <c r="K26" s="93" t="str">
        <f t="shared" ca="1" si="2"/>
        <v>—</v>
      </c>
      <c r="L26" s="94"/>
    </row>
    <row r="27" spans="1:12" x14ac:dyDescent="0.25">
      <c r="A27" s="79"/>
      <c r="B27" s="21" t="str">
        <f>IF(A27="","",IFERROR(VLOOKUP(A27,DB_Customers!$A:$D,4,0),"❌ Account Not Found"))</f>
        <v/>
      </c>
      <c r="C27" s="80" t="str">
        <f>IF(A27="","",IFERROR(VLOOKUP(A27,DB_Customers!$A:$N,14,0),""))</f>
        <v/>
      </c>
      <c r="D27" s="81" t="str">
        <f t="shared" ca="1" si="0"/>
        <v/>
      </c>
      <c r="E27" s="97"/>
      <c r="F27" s="21"/>
      <c r="G27" s="98" t="str">
        <f t="shared" si="1"/>
        <v/>
      </c>
      <c r="H27" s="23"/>
      <c r="I27" s="84"/>
      <c r="J27" s="85" t="str">
        <f>IF(AND(A27&lt;&gt;"",E27&lt;&gt;""),IF(I27="","⚠️ Enter Code",IF(IFERROR(VLOOKUP(H27,DB_Agents!$B:$I,8,0),"")=I27,IF(C27&gt;=E27,"Successful","Unsuccessful"),"🔒 BLOCKED — Wrong Code")),"—")</f>
        <v>—</v>
      </c>
      <c r="K27" s="86" t="str">
        <f t="shared" ca="1" si="2"/>
        <v>—</v>
      </c>
      <c r="L27" s="87"/>
    </row>
    <row r="28" spans="1:12" x14ac:dyDescent="0.25">
      <c r="A28" s="88"/>
      <c r="B28" s="25" t="str">
        <f>IF(A28="","",IFERROR(VLOOKUP(A28,DB_Customers!$A:$D,4,0),"❌ Account Not Found"))</f>
        <v/>
      </c>
      <c r="C28" s="89" t="str">
        <f>IF(A28="","",IFERROR(VLOOKUP(A28,DB_Customers!$A:$N,14,0),""))</f>
        <v/>
      </c>
      <c r="D28" s="90" t="str">
        <f t="shared" ca="1" si="0"/>
        <v/>
      </c>
      <c r="E28" s="97"/>
      <c r="F28" s="25"/>
      <c r="G28" s="99" t="str">
        <f t="shared" si="1"/>
        <v/>
      </c>
      <c r="H28" s="27"/>
      <c r="I28" s="84"/>
      <c r="J28" s="92" t="str">
        <f>IF(AND(A28&lt;&gt;"",E28&lt;&gt;""),IF(I28="","⚠️ Enter Code",IF(IFERROR(VLOOKUP(H28,DB_Agents!$B:$I,8,0),"")=I28,IF(C28&gt;=E28,"Successful","Unsuccessful"),"🔒 BLOCKED — Wrong Code")),"—")</f>
        <v>—</v>
      </c>
      <c r="K28" s="93" t="str">
        <f t="shared" ca="1" si="2"/>
        <v>—</v>
      </c>
      <c r="L28" s="94"/>
    </row>
    <row r="29" spans="1:12" x14ac:dyDescent="0.25">
      <c r="A29" s="79"/>
      <c r="B29" s="21" t="str">
        <f>IF(A29="","",IFERROR(VLOOKUP(A29,DB_Customers!$A:$D,4,0),"❌ Account Not Found"))</f>
        <v/>
      </c>
      <c r="C29" s="80" t="str">
        <f>IF(A29="","",IFERROR(VLOOKUP(A29,DB_Customers!$A:$N,14,0),""))</f>
        <v/>
      </c>
      <c r="D29" s="81" t="str">
        <f t="shared" ca="1" si="0"/>
        <v/>
      </c>
      <c r="E29" s="97"/>
      <c r="F29" s="21"/>
      <c r="G29" s="98" t="str">
        <f t="shared" si="1"/>
        <v/>
      </c>
      <c r="H29" s="23"/>
      <c r="I29" s="84"/>
      <c r="J29" s="85" t="str">
        <f>IF(AND(A29&lt;&gt;"",E29&lt;&gt;""),IF(I29="","⚠️ Enter Code",IF(IFERROR(VLOOKUP(H29,DB_Agents!$B:$I,8,0),"")=I29,IF(C29&gt;=E29,"Successful","Unsuccessful"),"🔒 BLOCKED — Wrong Code")),"—")</f>
        <v>—</v>
      </c>
      <c r="K29" s="86" t="str">
        <f t="shared" ca="1" si="2"/>
        <v>—</v>
      </c>
      <c r="L29" s="87"/>
    </row>
    <row r="30" spans="1:12" x14ac:dyDescent="0.25">
      <c r="A30" s="88"/>
      <c r="B30" s="25" t="str">
        <f>IF(A30="","",IFERROR(VLOOKUP(A30,DB_Customers!$A:$D,4,0),"❌ Account Not Found"))</f>
        <v/>
      </c>
      <c r="C30" s="89" t="str">
        <f>IF(A30="","",IFERROR(VLOOKUP(A30,DB_Customers!$A:$N,14,0),""))</f>
        <v/>
      </c>
      <c r="D30" s="90" t="str">
        <f t="shared" ca="1" si="0"/>
        <v/>
      </c>
      <c r="E30" s="97"/>
      <c r="F30" s="25"/>
      <c r="G30" s="99" t="str">
        <f t="shared" si="1"/>
        <v/>
      </c>
      <c r="H30" s="27"/>
      <c r="I30" s="84"/>
      <c r="J30" s="92" t="str">
        <f>IF(AND(A30&lt;&gt;"",E30&lt;&gt;""),IF(I30="","⚠️ Enter Code",IF(IFERROR(VLOOKUP(H30,DB_Agents!$B:$I,8,0),"")=I30,IF(C30&gt;=E30,"Successful","Unsuccessful"),"🔒 BLOCKED — Wrong Code")),"—")</f>
        <v>—</v>
      </c>
      <c r="K30" s="93" t="str">
        <f t="shared" ca="1" si="2"/>
        <v>—</v>
      </c>
      <c r="L30" s="94"/>
    </row>
    <row r="31" spans="1:12" x14ac:dyDescent="0.25">
      <c r="A31" s="79"/>
      <c r="B31" s="21" t="str">
        <f>IF(A31="","",IFERROR(VLOOKUP(A31,DB_Customers!$A:$D,4,0),"❌ Account Not Found"))</f>
        <v/>
      </c>
      <c r="C31" s="80" t="str">
        <f>IF(A31="","",IFERROR(VLOOKUP(A31,DB_Customers!$A:$N,14,0),""))</f>
        <v/>
      </c>
      <c r="D31" s="81" t="str">
        <f t="shared" ca="1" si="0"/>
        <v/>
      </c>
      <c r="E31" s="97"/>
      <c r="F31" s="21"/>
      <c r="G31" s="98" t="str">
        <f t="shared" si="1"/>
        <v/>
      </c>
      <c r="H31" s="23"/>
      <c r="I31" s="84"/>
      <c r="J31" s="85" t="str">
        <f>IF(AND(A31&lt;&gt;"",E31&lt;&gt;""),IF(I31="","⚠️ Enter Code",IF(IFERROR(VLOOKUP(H31,DB_Agents!$B:$I,8,0),"")=I31,IF(C31&gt;=E31,"Successful","Unsuccessful"),"🔒 BLOCKED — Wrong Code")),"—")</f>
        <v>—</v>
      </c>
      <c r="K31" s="86" t="str">
        <f t="shared" ca="1" si="2"/>
        <v>—</v>
      </c>
      <c r="L31" s="87"/>
    </row>
    <row r="32" spans="1:12" x14ac:dyDescent="0.25">
      <c r="A32" s="88"/>
      <c r="B32" s="25" t="str">
        <f>IF(A32="","",IFERROR(VLOOKUP(A32,DB_Customers!$A:$D,4,0),"❌ Account Not Found"))</f>
        <v/>
      </c>
      <c r="C32" s="89" t="str">
        <f>IF(A32="","",IFERROR(VLOOKUP(A32,DB_Customers!$A:$N,14,0),""))</f>
        <v/>
      </c>
      <c r="D32" s="90" t="str">
        <f t="shared" ca="1" si="0"/>
        <v/>
      </c>
      <c r="E32" s="97"/>
      <c r="F32" s="25"/>
      <c r="G32" s="99" t="str">
        <f t="shared" si="1"/>
        <v/>
      </c>
      <c r="H32" s="27"/>
      <c r="I32" s="84"/>
      <c r="J32" s="92" t="str">
        <f>IF(AND(A32&lt;&gt;"",E32&lt;&gt;""),IF(I32="","⚠️ Enter Code",IF(IFERROR(VLOOKUP(H32,DB_Agents!$B:$I,8,0),"")=I32,IF(C32&gt;=E32,"Successful","Unsuccessful"),"🔒 BLOCKED — Wrong Code")),"—")</f>
        <v>—</v>
      </c>
      <c r="K32" s="93" t="str">
        <f t="shared" ca="1" si="2"/>
        <v>—</v>
      </c>
      <c r="L32" s="94"/>
    </row>
    <row r="33" spans="1:12" x14ac:dyDescent="0.25">
      <c r="A33" s="79"/>
      <c r="B33" s="21" t="str">
        <f>IF(A33="","",IFERROR(VLOOKUP(A33,DB_Customers!$A:$D,4,0),"❌ Account Not Found"))</f>
        <v/>
      </c>
      <c r="C33" s="80" t="str">
        <f>IF(A33="","",IFERROR(VLOOKUP(A33,DB_Customers!$A:$N,14,0),""))</f>
        <v/>
      </c>
      <c r="D33" s="81" t="str">
        <f t="shared" ca="1" si="0"/>
        <v/>
      </c>
      <c r="E33" s="97"/>
      <c r="F33" s="21"/>
      <c r="G33" s="98" t="str">
        <f t="shared" si="1"/>
        <v/>
      </c>
      <c r="H33" s="23"/>
      <c r="I33" s="84"/>
      <c r="J33" s="85" t="str">
        <f>IF(AND(A33&lt;&gt;"",E33&lt;&gt;""),IF(I33="","⚠️ Enter Code",IF(IFERROR(VLOOKUP(H33,DB_Agents!$B:$I,8,0),"")=I33,IF(C33&gt;=E33,"Successful","Unsuccessful"),"🔒 BLOCKED — Wrong Code")),"—")</f>
        <v>—</v>
      </c>
      <c r="K33" s="86" t="str">
        <f t="shared" ca="1" si="2"/>
        <v>—</v>
      </c>
      <c r="L33" s="87"/>
    </row>
    <row r="34" spans="1:12" x14ac:dyDescent="0.25">
      <c r="A34" s="88"/>
      <c r="B34" s="25" t="str">
        <f>IF(A34="","",IFERROR(VLOOKUP(A34,DB_Customers!$A:$D,4,0),"❌ Account Not Found"))</f>
        <v/>
      </c>
      <c r="C34" s="89" t="str">
        <f>IF(A34="","",IFERROR(VLOOKUP(A34,DB_Customers!$A:$N,14,0),""))</f>
        <v/>
      </c>
      <c r="D34" s="90" t="str">
        <f t="shared" ca="1" si="0"/>
        <v/>
      </c>
      <c r="E34" s="97"/>
      <c r="F34" s="25"/>
      <c r="G34" s="99" t="str">
        <f t="shared" si="1"/>
        <v/>
      </c>
      <c r="H34" s="27"/>
      <c r="I34" s="84"/>
      <c r="J34" s="92" t="str">
        <f>IF(AND(A34&lt;&gt;"",E34&lt;&gt;""),IF(I34="","⚠️ Enter Code",IF(IFERROR(VLOOKUP(H34,DB_Agents!$B:$I,8,0),"")=I34,IF(C34&gt;=E34,"Successful","Unsuccessful"),"🔒 BLOCKED — Wrong Code")),"—")</f>
        <v>—</v>
      </c>
      <c r="K34" s="93" t="str">
        <f t="shared" ca="1" si="2"/>
        <v>—</v>
      </c>
      <c r="L34" s="94"/>
    </row>
    <row r="35" spans="1:12" x14ac:dyDescent="0.25">
      <c r="A35" s="79"/>
      <c r="B35" s="21" t="str">
        <f>IF(A35="","",IFERROR(VLOOKUP(A35,DB_Customers!$A:$D,4,0),"❌ Account Not Found"))</f>
        <v/>
      </c>
      <c r="C35" s="80" t="str">
        <f>IF(A35="","",IFERROR(VLOOKUP(A35,DB_Customers!$A:$N,14,0),""))</f>
        <v/>
      </c>
      <c r="D35" s="81" t="str">
        <f t="shared" ca="1" si="0"/>
        <v/>
      </c>
      <c r="E35" s="97"/>
      <c r="F35" s="21"/>
      <c r="G35" s="98" t="str">
        <f t="shared" si="1"/>
        <v/>
      </c>
      <c r="H35" s="23"/>
      <c r="I35" s="84"/>
      <c r="J35" s="85" t="str">
        <f>IF(AND(A35&lt;&gt;"",E35&lt;&gt;""),IF(I35="","⚠️ Enter Code",IF(IFERROR(VLOOKUP(H35,DB_Agents!$B:$I,8,0),"")=I35,IF(C35&gt;=E35,"Successful","Unsuccessful"),"🔒 BLOCKED — Wrong Code")),"—")</f>
        <v>—</v>
      </c>
      <c r="K35" s="86" t="str">
        <f t="shared" ca="1" si="2"/>
        <v>—</v>
      </c>
      <c r="L35" s="87"/>
    </row>
    <row r="36" spans="1:12" x14ac:dyDescent="0.25">
      <c r="A36" s="88"/>
      <c r="B36" s="25" t="str">
        <f>IF(A36="","",IFERROR(VLOOKUP(A36,DB_Customers!$A:$D,4,0),"❌ Account Not Found"))</f>
        <v/>
      </c>
      <c r="C36" s="89" t="str">
        <f>IF(A36="","",IFERROR(VLOOKUP(A36,DB_Customers!$A:$N,14,0),""))</f>
        <v/>
      </c>
      <c r="D36" s="90" t="str">
        <f t="shared" ca="1" si="0"/>
        <v/>
      </c>
      <c r="E36" s="97"/>
      <c r="F36" s="25"/>
      <c r="G36" s="99" t="str">
        <f t="shared" si="1"/>
        <v/>
      </c>
      <c r="H36" s="27"/>
      <c r="I36" s="84"/>
      <c r="J36" s="92" t="str">
        <f>IF(AND(A36&lt;&gt;"",E36&lt;&gt;""),IF(I36="","⚠️ Enter Code",IF(IFERROR(VLOOKUP(H36,DB_Agents!$B:$I,8,0),"")=I36,IF(C36&gt;=E36,"Successful","Unsuccessful"),"🔒 BLOCKED — Wrong Code")),"—")</f>
        <v>—</v>
      </c>
      <c r="K36" s="93" t="str">
        <f t="shared" ca="1" si="2"/>
        <v>—</v>
      </c>
      <c r="L36" s="94"/>
    </row>
    <row r="37" spans="1:12" x14ac:dyDescent="0.25">
      <c r="A37" s="79"/>
      <c r="B37" s="21" t="str">
        <f>IF(A37="","",IFERROR(VLOOKUP(A37,DB_Customers!$A:$D,4,0),"❌ Account Not Found"))</f>
        <v/>
      </c>
      <c r="C37" s="80" t="str">
        <f>IF(A37="","",IFERROR(VLOOKUP(A37,DB_Customers!$A:$N,14,0),""))</f>
        <v/>
      </c>
      <c r="D37" s="81" t="str">
        <f t="shared" ca="1" si="0"/>
        <v/>
      </c>
      <c r="E37" s="97"/>
      <c r="F37" s="21"/>
      <c r="G37" s="98" t="str">
        <f t="shared" si="1"/>
        <v/>
      </c>
      <c r="H37" s="23"/>
      <c r="I37" s="84"/>
      <c r="J37" s="85" t="str">
        <f>IF(AND(A37&lt;&gt;"",E37&lt;&gt;""),IF(I37="","⚠️ Enter Code",IF(IFERROR(VLOOKUP(H37,DB_Agents!$B:$I,8,0),"")=I37,IF(C37&gt;=E37,"Successful","Unsuccessful"),"🔒 BLOCKED — Wrong Code")),"—")</f>
        <v>—</v>
      </c>
      <c r="K37" s="86" t="str">
        <f t="shared" ca="1" si="2"/>
        <v>—</v>
      </c>
      <c r="L37" s="87"/>
    </row>
    <row r="38" spans="1:12" x14ac:dyDescent="0.25">
      <c r="A38" s="88"/>
      <c r="B38" s="25" t="str">
        <f>IF(A38="","",IFERROR(VLOOKUP(A38,DB_Customers!$A:$D,4,0),"❌ Account Not Found"))</f>
        <v/>
      </c>
      <c r="C38" s="89" t="str">
        <f>IF(A38="","",IFERROR(VLOOKUP(A38,DB_Customers!$A:$N,14,0),""))</f>
        <v/>
      </c>
      <c r="D38" s="90" t="str">
        <f t="shared" ca="1" si="0"/>
        <v/>
      </c>
      <c r="E38" s="97"/>
      <c r="F38" s="25"/>
      <c r="G38" s="99" t="str">
        <f t="shared" si="1"/>
        <v/>
      </c>
      <c r="H38" s="27"/>
      <c r="I38" s="84"/>
      <c r="J38" s="92" t="str">
        <f>IF(AND(A38&lt;&gt;"",E38&lt;&gt;""),IF(I38="","⚠️ Enter Code",IF(IFERROR(VLOOKUP(H38,DB_Agents!$B:$I,8,0),"")=I38,IF(C38&gt;=E38,"Successful","Unsuccessful"),"🔒 BLOCKED — Wrong Code")),"—")</f>
        <v>—</v>
      </c>
      <c r="K38" s="93" t="str">
        <f t="shared" ca="1" si="2"/>
        <v>—</v>
      </c>
      <c r="L38" s="94"/>
    </row>
    <row r="39" spans="1:12" x14ac:dyDescent="0.25">
      <c r="A39" s="79"/>
      <c r="B39" s="21" t="str">
        <f>IF(A39="","",IFERROR(VLOOKUP(A39,DB_Customers!$A:$D,4,0),"❌ Account Not Found"))</f>
        <v/>
      </c>
      <c r="C39" s="80" t="str">
        <f>IF(A39="","",IFERROR(VLOOKUP(A39,DB_Customers!$A:$N,14,0),""))</f>
        <v/>
      </c>
      <c r="D39" s="81" t="str">
        <f t="shared" ca="1" si="0"/>
        <v/>
      </c>
      <c r="E39" s="97"/>
      <c r="F39" s="21"/>
      <c r="G39" s="98" t="str">
        <f t="shared" si="1"/>
        <v/>
      </c>
      <c r="H39" s="23"/>
      <c r="I39" s="84"/>
      <c r="J39" s="85" t="str">
        <f>IF(AND(A39&lt;&gt;"",E39&lt;&gt;""),IF(I39="","⚠️ Enter Code",IF(IFERROR(VLOOKUP(H39,DB_Agents!$B:$I,8,0),"")=I39,IF(C39&gt;=E39,"Successful","Unsuccessful"),"🔒 BLOCKED — Wrong Code")),"—")</f>
        <v>—</v>
      </c>
      <c r="K39" s="86" t="str">
        <f t="shared" ca="1" si="2"/>
        <v>—</v>
      </c>
      <c r="L39" s="87"/>
    </row>
    <row r="40" spans="1:12" x14ac:dyDescent="0.25">
      <c r="A40" s="88"/>
      <c r="B40" s="25" t="str">
        <f>IF(A40="","",IFERROR(VLOOKUP(A40,DB_Customers!$A:$D,4,0),"❌ Account Not Found"))</f>
        <v/>
      </c>
      <c r="C40" s="89" t="str">
        <f>IF(A40="","",IFERROR(VLOOKUP(A40,DB_Customers!$A:$N,14,0),""))</f>
        <v/>
      </c>
      <c r="D40" s="90" t="str">
        <f t="shared" ca="1" si="0"/>
        <v/>
      </c>
      <c r="E40" s="97"/>
      <c r="F40" s="25"/>
      <c r="G40" s="99" t="str">
        <f t="shared" si="1"/>
        <v/>
      </c>
      <c r="H40" s="27"/>
      <c r="I40" s="84"/>
      <c r="J40" s="92" t="str">
        <f>IF(AND(A40&lt;&gt;"",E40&lt;&gt;""),IF(I40="","⚠️ Enter Code",IF(IFERROR(VLOOKUP(H40,DB_Agents!$B:$I,8,0),"")=I40,IF(C40&gt;=E40,"Successful","Unsuccessful"),"🔒 BLOCKED — Wrong Code")),"—")</f>
        <v>—</v>
      </c>
      <c r="K40" s="93" t="str">
        <f t="shared" ca="1" si="2"/>
        <v>—</v>
      </c>
      <c r="L40" s="94"/>
    </row>
    <row r="41" spans="1:12" x14ac:dyDescent="0.25">
      <c r="A41" s="79"/>
      <c r="B41" s="21" t="str">
        <f>IF(A41="","",IFERROR(VLOOKUP(A41,DB_Customers!$A:$D,4,0),"❌ Account Not Found"))</f>
        <v/>
      </c>
      <c r="C41" s="80" t="str">
        <f>IF(A41="","",IFERROR(VLOOKUP(A41,DB_Customers!$A:$N,14,0),""))</f>
        <v/>
      </c>
      <c r="D41" s="81" t="str">
        <f t="shared" ref="D41:D72" ca="1" si="3">IF(A41="","",TODAY())</f>
        <v/>
      </c>
      <c r="E41" s="97"/>
      <c r="F41" s="21"/>
      <c r="G41" s="98" t="str">
        <f t="shared" ref="G41:G72" si="4">IF(OR(A41="",E41=""),"",IF(C41="","",C41-E41))</f>
        <v/>
      </c>
      <c r="H41" s="23"/>
      <c r="I41" s="84"/>
      <c r="J41" s="85" t="str">
        <f>IF(AND(A41&lt;&gt;"",E41&lt;&gt;""),IF(I41="","⚠️ Enter Code",IF(IFERROR(VLOOKUP(H41,DB_Agents!$B:$I,8,0),"")=I41,IF(C41&gt;=E41,"Successful","Unsuccessful"),"🔒 BLOCKED — Wrong Code")),"—")</f>
        <v>—</v>
      </c>
      <c r="K41" s="86" t="str">
        <f t="shared" ref="K41:K72" ca="1" si="5">IF(J41="Successful",TEXT(TODAY(),"YYYY-MM-DD")&amp;" Auto","—")</f>
        <v>—</v>
      </c>
      <c r="L41" s="87"/>
    </row>
    <row r="42" spans="1:12" x14ac:dyDescent="0.25">
      <c r="A42" s="88"/>
      <c r="B42" s="25" t="str">
        <f>IF(A42="","",IFERROR(VLOOKUP(A42,DB_Customers!$A:$D,4,0),"❌ Account Not Found"))</f>
        <v/>
      </c>
      <c r="C42" s="89" t="str">
        <f>IF(A42="","",IFERROR(VLOOKUP(A42,DB_Customers!$A:$N,14,0),""))</f>
        <v/>
      </c>
      <c r="D42" s="90" t="str">
        <f t="shared" ca="1" si="3"/>
        <v/>
      </c>
      <c r="E42" s="97"/>
      <c r="F42" s="25"/>
      <c r="G42" s="99" t="str">
        <f t="shared" si="4"/>
        <v/>
      </c>
      <c r="H42" s="27"/>
      <c r="I42" s="84"/>
      <c r="J42" s="92" t="str">
        <f>IF(AND(A42&lt;&gt;"",E42&lt;&gt;""),IF(I42="","⚠️ Enter Code",IF(IFERROR(VLOOKUP(H42,DB_Agents!$B:$I,8,0),"")=I42,IF(C42&gt;=E42,"Successful","Unsuccessful"),"🔒 BLOCKED — Wrong Code")),"—")</f>
        <v>—</v>
      </c>
      <c r="K42" s="93" t="str">
        <f t="shared" ca="1" si="5"/>
        <v>—</v>
      </c>
      <c r="L42" s="94"/>
    </row>
    <row r="43" spans="1:12" x14ac:dyDescent="0.25">
      <c r="A43" s="79"/>
      <c r="B43" s="21" t="str">
        <f>IF(A43="","",IFERROR(VLOOKUP(A43,DB_Customers!$A:$D,4,0),"❌ Account Not Found"))</f>
        <v/>
      </c>
      <c r="C43" s="80" t="str">
        <f>IF(A43="","",IFERROR(VLOOKUP(A43,DB_Customers!$A:$N,14,0),""))</f>
        <v/>
      </c>
      <c r="D43" s="81" t="str">
        <f t="shared" ca="1" si="3"/>
        <v/>
      </c>
      <c r="E43" s="97"/>
      <c r="F43" s="21"/>
      <c r="G43" s="98" t="str">
        <f t="shared" si="4"/>
        <v/>
      </c>
      <c r="H43" s="23"/>
      <c r="I43" s="84"/>
      <c r="J43" s="85" t="str">
        <f>IF(AND(A43&lt;&gt;"",E43&lt;&gt;""),IF(I43="","⚠️ Enter Code",IF(IFERROR(VLOOKUP(H43,DB_Agents!$B:$I,8,0),"")=I43,IF(C43&gt;=E43,"Successful","Unsuccessful"),"🔒 BLOCKED — Wrong Code")),"—")</f>
        <v>—</v>
      </c>
      <c r="K43" s="86" t="str">
        <f t="shared" ca="1" si="5"/>
        <v>—</v>
      </c>
      <c r="L43" s="87"/>
    </row>
    <row r="44" spans="1:12" x14ac:dyDescent="0.25">
      <c r="A44" s="88"/>
      <c r="B44" s="25" t="str">
        <f>IF(A44="","",IFERROR(VLOOKUP(A44,DB_Customers!$A:$D,4,0),"❌ Account Not Found"))</f>
        <v/>
      </c>
      <c r="C44" s="89" t="str">
        <f>IF(A44="","",IFERROR(VLOOKUP(A44,DB_Customers!$A:$N,14,0),""))</f>
        <v/>
      </c>
      <c r="D44" s="90" t="str">
        <f t="shared" ca="1" si="3"/>
        <v/>
      </c>
      <c r="E44" s="97"/>
      <c r="F44" s="25"/>
      <c r="G44" s="99" t="str">
        <f t="shared" si="4"/>
        <v/>
      </c>
      <c r="H44" s="27"/>
      <c r="I44" s="84"/>
      <c r="J44" s="92" t="str">
        <f>IF(AND(A44&lt;&gt;"",E44&lt;&gt;""),IF(I44="","⚠️ Enter Code",IF(IFERROR(VLOOKUP(H44,DB_Agents!$B:$I,8,0),"")=I44,IF(C44&gt;=E44,"Successful","Unsuccessful"),"🔒 BLOCKED — Wrong Code")),"—")</f>
        <v>—</v>
      </c>
      <c r="K44" s="93" t="str">
        <f t="shared" ca="1" si="5"/>
        <v>—</v>
      </c>
      <c r="L44" s="94"/>
    </row>
    <row r="45" spans="1:12" x14ac:dyDescent="0.25">
      <c r="A45" s="79"/>
      <c r="B45" s="21" t="str">
        <f>IF(A45="","",IFERROR(VLOOKUP(A45,DB_Customers!$A:$D,4,0),"❌ Account Not Found"))</f>
        <v/>
      </c>
      <c r="C45" s="80" t="str">
        <f>IF(A45="","",IFERROR(VLOOKUP(A45,DB_Customers!$A:$N,14,0),""))</f>
        <v/>
      </c>
      <c r="D45" s="81" t="str">
        <f t="shared" ca="1" si="3"/>
        <v/>
      </c>
      <c r="E45" s="97"/>
      <c r="F45" s="21"/>
      <c r="G45" s="98" t="str">
        <f t="shared" si="4"/>
        <v/>
      </c>
      <c r="H45" s="23"/>
      <c r="I45" s="84"/>
      <c r="J45" s="85" t="str">
        <f>IF(AND(A45&lt;&gt;"",E45&lt;&gt;""),IF(I45="","⚠️ Enter Code",IF(IFERROR(VLOOKUP(H45,DB_Agents!$B:$I,8,0),"")=I45,IF(C45&gt;=E45,"Successful","Unsuccessful"),"🔒 BLOCKED — Wrong Code")),"—")</f>
        <v>—</v>
      </c>
      <c r="K45" s="86" t="str">
        <f t="shared" ca="1" si="5"/>
        <v>—</v>
      </c>
      <c r="L45" s="87"/>
    </row>
    <row r="46" spans="1:12" x14ac:dyDescent="0.25">
      <c r="A46" s="88"/>
      <c r="B46" s="25" t="str">
        <f>IF(A46="","",IFERROR(VLOOKUP(A46,DB_Customers!$A:$D,4,0),"❌ Account Not Found"))</f>
        <v/>
      </c>
      <c r="C46" s="89" t="str">
        <f>IF(A46="","",IFERROR(VLOOKUP(A46,DB_Customers!$A:$N,14,0),""))</f>
        <v/>
      </c>
      <c r="D46" s="90" t="str">
        <f t="shared" ca="1" si="3"/>
        <v/>
      </c>
      <c r="E46" s="97"/>
      <c r="F46" s="25"/>
      <c r="G46" s="99" t="str">
        <f t="shared" si="4"/>
        <v/>
      </c>
      <c r="H46" s="27"/>
      <c r="I46" s="84"/>
      <c r="J46" s="92" t="str">
        <f>IF(AND(A46&lt;&gt;"",E46&lt;&gt;""),IF(I46="","⚠️ Enter Code",IF(IFERROR(VLOOKUP(H46,DB_Agents!$B:$I,8,0),"")=I46,IF(C46&gt;=E46,"Successful","Unsuccessful"),"🔒 BLOCKED — Wrong Code")),"—")</f>
        <v>—</v>
      </c>
      <c r="K46" s="93" t="str">
        <f t="shared" ca="1" si="5"/>
        <v>—</v>
      </c>
      <c r="L46" s="94"/>
    </row>
    <row r="47" spans="1:12" x14ac:dyDescent="0.25">
      <c r="A47" s="79"/>
      <c r="B47" s="21" t="str">
        <f>IF(A47="","",IFERROR(VLOOKUP(A47,DB_Customers!$A:$D,4,0),"❌ Account Not Found"))</f>
        <v/>
      </c>
      <c r="C47" s="80" t="str">
        <f>IF(A47="","",IFERROR(VLOOKUP(A47,DB_Customers!$A:$N,14,0),""))</f>
        <v/>
      </c>
      <c r="D47" s="81" t="str">
        <f t="shared" ca="1" si="3"/>
        <v/>
      </c>
      <c r="E47" s="97"/>
      <c r="F47" s="21"/>
      <c r="G47" s="98" t="str">
        <f t="shared" si="4"/>
        <v/>
      </c>
      <c r="H47" s="23"/>
      <c r="I47" s="84"/>
      <c r="J47" s="85" t="str">
        <f>IF(AND(A47&lt;&gt;"",E47&lt;&gt;""),IF(I47="","⚠️ Enter Code",IF(IFERROR(VLOOKUP(H47,DB_Agents!$B:$I,8,0),"")=I47,IF(C47&gt;=E47,"Successful","Unsuccessful"),"🔒 BLOCKED — Wrong Code")),"—")</f>
        <v>—</v>
      </c>
      <c r="K47" s="86" t="str">
        <f t="shared" ca="1" si="5"/>
        <v>—</v>
      </c>
      <c r="L47" s="87"/>
    </row>
    <row r="48" spans="1:12" x14ac:dyDescent="0.25">
      <c r="A48" s="88"/>
      <c r="B48" s="25" t="str">
        <f>IF(A48="","",IFERROR(VLOOKUP(A48,DB_Customers!$A:$D,4,0),"❌ Account Not Found"))</f>
        <v/>
      </c>
      <c r="C48" s="89" t="str">
        <f>IF(A48="","",IFERROR(VLOOKUP(A48,DB_Customers!$A:$N,14,0),""))</f>
        <v/>
      </c>
      <c r="D48" s="90" t="str">
        <f t="shared" ca="1" si="3"/>
        <v/>
      </c>
      <c r="E48" s="97"/>
      <c r="F48" s="25"/>
      <c r="G48" s="99" t="str">
        <f t="shared" si="4"/>
        <v/>
      </c>
      <c r="H48" s="27"/>
      <c r="I48" s="84"/>
      <c r="J48" s="92" t="str">
        <f>IF(AND(A48&lt;&gt;"",E48&lt;&gt;""),IF(I48="","⚠️ Enter Code",IF(IFERROR(VLOOKUP(H48,DB_Agents!$B:$I,8,0),"")=I48,IF(C48&gt;=E48,"Successful","Unsuccessful"),"🔒 BLOCKED — Wrong Code")),"—")</f>
        <v>—</v>
      </c>
      <c r="K48" s="93" t="str">
        <f t="shared" ca="1" si="5"/>
        <v>—</v>
      </c>
      <c r="L48" s="94"/>
    </row>
    <row r="49" spans="1:12" x14ac:dyDescent="0.25">
      <c r="A49" s="79"/>
      <c r="B49" s="21" t="str">
        <f>IF(A49="","",IFERROR(VLOOKUP(A49,DB_Customers!$A:$D,4,0),"❌ Account Not Found"))</f>
        <v/>
      </c>
      <c r="C49" s="80" t="str">
        <f>IF(A49="","",IFERROR(VLOOKUP(A49,DB_Customers!$A:$N,14,0),""))</f>
        <v/>
      </c>
      <c r="D49" s="81" t="str">
        <f t="shared" ca="1" si="3"/>
        <v/>
      </c>
      <c r="E49" s="97"/>
      <c r="F49" s="21"/>
      <c r="G49" s="98" t="str">
        <f t="shared" si="4"/>
        <v/>
      </c>
      <c r="H49" s="23"/>
      <c r="I49" s="84"/>
      <c r="J49" s="85" t="str">
        <f>IF(AND(A49&lt;&gt;"",E49&lt;&gt;""),IF(I49="","⚠️ Enter Code",IF(IFERROR(VLOOKUP(H49,DB_Agents!$B:$I,8,0),"")=I49,IF(C49&gt;=E49,"Successful","Unsuccessful"),"🔒 BLOCKED — Wrong Code")),"—")</f>
        <v>—</v>
      </c>
      <c r="K49" s="86" t="str">
        <f t="shared" ca="1" si="5"/>
        <v>—</v>
      </c>
      <c r="L49" s="87"/>
    </row>
    <row r="50" spans="1:12" x14ac:dyDescent="0.25">
      <c r="A50" s="88"/>
      <c r="B50" s="25" t="str">
        <f>IF(A50="","",IFERROR(VLOOKUP(A50,DB_Customers!$A:$D,4,0),"❌ Account Not Found"))</f>
        <v/>
      </c>
      <c r="C50" s="89" t="str">
        <f>IF(A50="","",IFERROR(VLOOKUP(A50,DB_Customers!$A:$N,14,0),""))</f>
        <v/>
      </c>
      <c r="D50" s="90" t="str">
        <f t="shared" ca="1" si="3"/>
        <v/>
      </c>
      <c r="E50" s="97"/>
      <c r="F50" s="25"/>
      <c r="G50" s="99" t="str">
        <f t="shared" si="4"/>
        <v/>
      </c>
      <c r="H50" s="27"/>
      <c r="I50" s="84"/>
      <c r="J50" s="92" t="str">
        <f>IF(AND(A50&lt;&gt;"",E50&lt;&gt;""),IF(I50="","⚠️ Enter Code",IF(IFERROR(VLOOKUP(H50,DB_Agents!$B:$I,8,0),"")=I50,IF(C50&gt;=E50,"Successful","Unsuccessful"),"🔒 BLOCKED — Wrong Code")),"—")</f>
        <v>—</v>
      </c>
      <c r="K50" s="93" t="str">
        <f t="shared" ca="1" si="5"/>
        <v>—</v>
      </c>
      <c r="L50" s="94"/>
    </row>
    <row r="51" spans="1:12" x14ac:dyDescent="0.25">
      <c r="A51" s="79"/>
      <c r="B51" s="21" t="str">
        <f>IF(A51="","",IFERROR(VLOOKUP(A51,DB_Customers!$A:$D,4,0),"❌ Account Not Found"))</f>
        <v/>
      </c>
      <c r="C51" s="80" t="str">
        <f>IF(A51="","",IFERROR(VLOOKUP(A51,DB_Customers!$A:$N,14,0),""))</f>
        <v/>
      </c>
      <c r="D51" s="81" t="str">
        <f t="shared" ca="1" si="3"/>
        <v/>
      </c>
      <c r="E51" s="97"/>
      <c r="F51" s="21"/>
      <c r="G51" s="98" t="str">
        <f t="shared" si="4"/>
        <v/>
      </c>
      <c r="H51" s="23"/>
      <c r="I51" s="84"/>
      <c r="J51" s="85" t="str">
        <f>IF(AND(A51&lt;&gt;"",E51&lt;&gt;""),IF(I51="","⚠️ Enter Code",IF(IFERROR(VLOOKUP(H51,DB_Agents!$B:$I,8,0),"")=I51,IF(C51&gt;=E51,"Successful","Unsuccessful"),"🔒 BLOCKED — Wrong Code")),"—")</f>
        <v>—</v>
      </c>
      <c r="K51" s="86" t="str">
        <f t="shared" ca="1" si="5"/>
        <v>—</v>
      </c>
      <c r="L51" s="87"/>
    </row>
    <row r="52" spans="1:12" x14ac:dyDescent="0.25">
      <c r="A52" s="88"/>
      <c r="B52" s="25" t="str">
        <f>IF(A52="","",IFERROR(VLOOKUP(A52,DB_Customers!$A:$D,4,0),"❌ Account Not Found"))</f>
        <v/>
      </c>
      <c r="C52" s="89" t="str">
        <f>IF(A52="","",IFERROR(VLOOKUP(A52,DB_Customers!$A:$N,14,0),""))</f>
        <v/>
      </c>
      <c r="D52" s="90" t="str">
        <f t="shared" ca="1" si="3"/>
        <v/>
      </c>
      <c r="E52" s="97"/>
      <c r="F52" s="25"/>
      <c r="G52" s="99" t="str">
        <f t="shared" si="4"/>
        <v/>
      </c>
      <c r="H52" s="27"/>
      <c r="I52" s="84"/>
      <c r="J52" s="92" t="str">
        <f>IF(AND(A52&lt;&gt;"",E52&lt;&gt;""),IF(I52="","⚠️ Enter Code",IF(IFERROR(VLOOKUP(H52,DB_Agents!$B:$I,8,0),"")=I52,IF(C52&gt;=E52,"Successful","Unsuccessful"),"🔒 BLOCKED — Wrong Code")),"—")</f>
        <v>—</v>
      </c>
      <c r="K52" s="93" t="str">
        <f t="shared" ca="1" si="5"/>
        <v>—</v>
      </c>
      <c r="L52" s="94"/>
    </row>
    <row r="53" spans="1:12" x14ac:dyDescent="0.25">
      <c r="A53" s="79"/>
      <c r="B53" s="21" t="str">
        <f>IF(A53="","",IFERROR(VLOOKUP(A53,DB_Customers!$A:$D,4,0),"❌ Account Not Found"))</f>
        <v/>
      </c>
      <c r="C53" s="80" t="str">
        <f>IF(A53="","",IFERROR(VLOOKUP(A53,DB_Customers!$A:$N,14,0),""))</f>
        <v/>
      </c>
      <c r="D53" s="81" t="str">
        <f t="shared" ca="1" si="3"/>
        <v/>
      </c>
      <c r="E53" s="97"/>
      <c r="F53" s="21"/>
      <c r="G53" s="98" t="str">
        <f t="shared" si="4"/>
        <v/>
      </c>
      <c r="H53" s="23"/>
      <c r="I53" s="84"/>
      <c r="J53" s="85" t="str">
        <f>IF(AND(A53&lt;&gt;"",E53&lt;&gt;""),IF(I53="","⚠️ Enter Code",IF(IFERROR(VLOOKUP(H53,DB_Agents!$B:$I,8,0),"")=I53,IF(C53&gt;=E53,"Successful","Unsuccessful"),"🔒 BLOCKED — Wrong Code")),"—")</f>
        <v>—</v>
      </c>
      <c r="K53" s="86" t="str">
        <f t="shared" ca="1" si="5"/>
        <v>—</v>
      </c>
      <c r="L53" s="87"/>
    </row>
    <row r="54" spans="1:12" x14ac:dyDescent="0.25">
      <c r="A54" s="88"/>
      <c r="B54" s="25" t="str">
        <f>IF(A54="","",IFERROR(VLOOKUP(A54,DB_Customers!$A:$D,4,0),"❌ Account Not Found"))</f>
        <v/>
      </c>
      <c r="C54" s="89" t="str">
        <f>IF(A54="","",IFERROR(VLOOKUP(A54,DB_Customers!$A:$N,14,0),""))</f>
        <v/>
      </c>
      <c r="D54" s="90" t="str">
        <f t="shared" ca="1" si="3"/>
        <v/>
      </c>
      <c r="E54" s="97"/>
      <c r="F54" s="25"/>
      <c r="G54" s="99" t="str">
        <f t="shared" si="4"/>
        <v/>
      </c>
      <c r="H54" s="27"/>
      <c r="I54" s="84"/>
      <c r="J54" s="92" t="str">
        <f>IF(AND(A54&lt;&gt;"",E54&lt;&gt;""),IF(I54="","⚠️ Enter Code",IF(IFERROR(VLOOKUP(H54,DB_Agents!$B:$I,8,0),"")=I54,IF(C54&gt;=E54,"Successful","Unsuccessful"),"🔒 BLOCKED — Wrong Code")),"—")</f>
        <v>—</v>
      </c>
      <c r="K54" s="93" t="str">
        <f t="shared" ca="1" si="5"/>
        <v>—</v>
      </c>
      <c r="L54" s="94"/>
    </row>
    <row r="55" spans="1:12" x14ac:dyDescent="0.25">
      <c r="A55" s="79"/>
      <c r="B55" s="21" t="str">
        <f>IF(A55="","",IFERROR(VLOOKUP(A55,DB_Customers!$A:$D,4,0),"❌ Account Not Found"))</f>
        <v/>
      </c>
      <c r="C55" s="80" t="str">
        <f>IF(A55="","",IFERROR(VLOOKUP(A55,DB_Customers!$A:$N,14,0),""))</f>
        <v/>
      </c>
      <c r="D55" s="81" t="str">
        <f t="shared" ca="1" si="3"/>
        <v/>
      </c>
      <c r="E55" s="97"/>
      <c r="F55" s="21"/>
      <c r="G55" s="98" t="str">
        <f t="shared" si="4"/>
        <v/>
      </c>
      <c r="H55" s="23"/>
      <c r="I55" s="84"/>
      <c r="J55" s="85" t="str">
        <f>IF(AND(A55&lt;&gt;"",E55&lt;&gt;""),IF(I55="","⚠️ Enter Code",IF(IFERROR(VLOOKUP(H55,DB_Agents!$B:$I,8,0),"")=I55,IF(C55&gt;=E55,"Successful","Unsuccessful"),"🔒 BLOCKED — Wrong Code")),"—")</f>
        <v>—</v>
      </c>
      <c r="K55" s="86" t="str">
        <f t="shared" ca="1" si="5"/>
        <v>—</v>
      </c>
      <c r="L55" s="87"/>
    </row>
    <row r="56" spans="1:12" x14ac:dyDescent="0.25">
      <c r="A56" s="88"/>
      <c r="B56" s="25" t="str">
        <f>IF(A56="","",IFERROR(VLOOKUP(A56,DB_Customers!$A:$D,4,0),"❌ Account Not Found"))</f>
        <v/>
      </c>
      <c r="C56" s="89" t="str">
        <f>IF(A56="","",IFERROR(VLOOKUP(A56,DB_Customers!$A:$N,14,0),""))</f>
        <v/>
      </c>
      <c r="D56" s="90" t="str">
        <f t="shared" ca="1" si="3"/>
        <v/>
      </c>
      <c r="E56" s="97"/>
      <c r="F56" s="25"/>
      <c r="G56" s="99" t="str">
        <f t="shared" si="4"/>
        <v/>
      </c>
      <c r="H56" s="27"/>
      <c r="I56" s="84"/>
      <c r="J56" s="92" t="str">
        <f>IF(AND(A56&lt;&gt;"",E56&lt;&gt;""),IF(I56="","⚠️ Enter Code",IF(IFERROR(VLOOKUP(H56,DB_Agents!$B:$I,8,0),"")=I56,IF(C56&gt;=E56,"Successful","Unsuccessful"),"🔒 BLOCKED — Wrong Code")),"—")</f>
        <v>—</v>
      </c>
      <c r="K56" s="93" t="str">
        <f t="shared" ca="1" si="5"/>
        <v>—</v>
      </c>
      <c r="L56" s="94"/>
    </row>
    <row r="57" spans="1:12" x14ac:dyDescent="0.25">
      <c r="A57" s="79"/>
      <c r="B57" s="21" t="str">
        <f>IF(A57="","",IFERROR(VLOOKUP(A57,DB_Customers!$A:$D,4,0),"❌ Account Not Found"))</f>
        <v/>
      </c>
      <c r="C57" s="80" t="str">
        <f>IF(A57="","",IFERROR(VLOOKUP(A57,DB_Customers!$A:$N,14,0),""))</f>
        <v/>
      </c>
      <c r="D57" s="81" t="str">
        <f t="shared" ca="1" si="3"/>
        <v/>
      </c>
      <c r="E57" s="97"/>
      <c r="F57" s="21"/>
      <c r="G57" s="98" t="str">
        <f t="shared" si="4"/>
        <v/>
      </c>
      <c r="H57" s="23"/>
      <c r="I57" s="84"/>
      <c r="J57" s="85" t="str">
        <f>IF(AND(A57&lt;&gt;"",E57&lt;&gt;""),IF(I57="","⚠️ Enter Code",IF(IFERROR(VLOOKUP(H57,DB_Agents!$B:$I,8,0),"")=I57,IF(C57&gt;=E57,"Successful","Unsuccessful"),"🔒 BLOCKED — Wrong Code")),"—")</f>
        <v>—</v>
      </c>
      <c r="K57" s="86" t="str">
        <f t="shared" ca="1" si="5"/>
        <v>—</v>
      </c>
      <c r="L57" s="87"/>
    </row>
    <row r="58" spans="1:12" x14ac:dyDescent="0.25">
      <c r="A58" s="88"/>
      <c r="B58" s="25" t="str">
        <f>IF(A58="","",IFERROR(VLOOKUP(A58,DB_Customers!$A:$D,4,0),"❌ Account Not Found"))</f>
        <v/>
      </c>
      <c r="C58" s="89" t="str">
        <f>IF(A58="","",IFERROR(VLOOKUP(A58,DB_Customers!$A:$N,14,0),""))</f>
        <v/>
      </c>
      <c r="D58" s="90" t="str">
        <f t="shared" ca="1" si="3"/>
        <v/>
      </c>
      <c r="E58" s="97"/>
      <c r="F58" s="25"/>
      <c r="G58" s="99" t="str">
        <f t="shared" si="4"/>
        <v/>
      </c>
      <c r="H58" s="27"/>
      <c r="I58" s="84"/>
      <c r="J58" s="92" t="str">
        <f>IF(AND(A58&lt;&gt;"",E58&lt;&gt;""),IF(I58="","⚠️ Enter Code",IF(IFERROR(VLOOKUP(H58,DB_Agents!$B:$I,8,0),"")=I58,IF(C58&gt;=E58,"Successful","Unsuccessful"),"🔒 BLOCKED — Wrong Code")),"—")</f>
        <v>—</v>
      </c>
      <c r="K58" s="93" t="str">
        <f t="shared" ca="1" si="5"/>
        <v>—</v>
      </c>
      <c r="L58" s="94"/>
    </row>
    <row r="59" spans="1:12" x14ac:dyDescent="0.25">
      <c r="A59" s="79"/>
      <c r="B59" s="21" t="str">
        <f>IF(A59="","",IFERROR(VLOOKUP(A59,DB_Customers!$A:$D,4,0),"❌ Account Not Found"))</f>
        <v/>
      </c>
      <c r="C59" s="80" t="str">
        <f>IF(A59="","",IFERROR(VLOOKUP(A59,DB_Customers!$A:$N,14,0),""))</f>
        <v/>
      </c>
      <c r="D59" s="81" t="str">
        <f t="shared" ca="1" si="3"/>
        <v/>
      </c>
      <c r="E59" s="97"/>
      <c r="F59" s="21"/>
      <c r="G59" s="98" t="str">
        <f t="shared" si="4"/>
        <v/>
      </c>
      <c r="H59" s="23"/>
      <c r="I59" s="84"/>
      <c r="J59" s="85" t="str">
        <f>IF(AND(A59&lt;&gt;"",E59&lt;&gt;""),IF(I59="","⚠️ Enter Code",IF(IFERROR(VLOOKUP(H59,DB_Agents!$B:$I,8,0),"")=I59,IF(C59&gt;=E59,"Successful","Unsuccessful"),"🔒 BLOCKED — Wrong Code")),"—")</f>
        <v>—</v>
      </c>
      <c r="K59" s="86" t="str">
        <f t="shared" ca="1" si="5"/>
        <v>—</v>
      </c>
      <c r="L59" s="87"/>
    </row>
    <row r="60" spans="1:12" x14ac:dyDescent="0.25">
      <c r="A60" s="88"/>
      <c r="B60" s="25" t="str">
        <f>IF(A60="","",IFERROR(VLOOKUP(A60,DB_Customers!$A:$D,4,0),"❌ Account Not Found"))</f>
        <v/>
      </c>
      <c r="C60" s="89" t="str">
        <f>IF(A60="","",IFERROR(VLOOKUP(A60,DB_Customers!$A:$N,14,0),""))</f>
        <v/>
      </c>
      <c r="D60" s="90" t="str">
        <f t="shared" ca="1" si="3"/>
        <v/>
      </c>
      <c r="E60" s="97"/>
      <c r="F60" s="25"/>
      <c r="G60" s="99" t="str">
        <f t="shared" si="4"/>
        <v/>
      </c>
      <c r="H60" s="27"/>
      <c r="I60" s="84"/>
      <c r="J60" s="92" t="str">
        <f>IF(AND(A60&lt;&gt;"",E60&lt;&gt;""),IF(I60="","⚠️ Enter Code",IF(IFERROR(VLOOKUP(H60,DB_Agents!$B:$I,8,0),"")=I60,IF(C60&gt;=E60,"Successful","Unsuccessful"),"🔒 BLOCKED — Wrong Code")),"—")</f>
        <v>—</v>
      </c>
      <c r="K60" s="93" t="str">
        <f t="shared" ca="1" si="5"/>
        <v>—</v>
      </c>
      <c r="L60" s="94"/>
    </row>
    <row r="61" spans="1:12" x14ac:dyDescent="0.25">
      <c r="A61" s="79"/>
      <c r="B61" s="21" t="str">
        <f>IF(A61="","",IFERROR(VLOOKUP(A61,DB_Customers!$A:$D,4,0),"❌ Account Not Found"))</f>
        <v/>
      </c>
      <c r="C61" s="80" t="str">
        <f>IF(A61="","",IFERROR(VLOOKUP(A61,DB_Customers!$A:$N,14,0),""))</f>
        <v/>
      </c>
      <c r="D61" s="81" t="str">
        <f t="shared" ca="1" si="3"/>
        <v/>
      </c>
      <c r="E61" s="97"/>
      <c r="F61" s="21"/>
      <c r="G61" s="98" t="str">
        <f t="shared" si="4"/>
        <v/>
      </c>
      <c r="H61" s="23"/>
      <c r="I61" s="84"/>
      <c r="J61" s="85" t="str">
        <f>IF(AND(A61&lt;&gt;"",E61&lt;&gt;""),IF(I61="","⚠️ Enter Code",IF(IFERROR(VLOOKUP(H61,DB_Agents!$B:$I,8,0),"")=I61,IF(C61&gt;=E61,"Successful","Unsuccessful"),"🔒 BLOCKED — Wrong Code")),"—")</f>
        <v>—</v>
      </c>
      <c r="K61" s="86" t="str">
        <f t="shared" ca="1" si="5"/>
        <v>—</v>
      </c>
      <c r="L61" s="87"/>
    </row>
    <row r="62" spans="1:12" x14ac:dyDescent="0.25">
      <c r="A62" s="88"/>
      <c r="B62" s="25" t="str">
        <f>IF(A62="","",IFERROR(VLOOKUP(A62,DB_Customers!$A:$D,4,0),"❌ Account Not Found"))</f>
        <v/>
      </c>
      <c r="C62" s="89" t="str">
        <f>IF(A62="","",IFERROR(VLOOKUP(A62,DB_Customers!$A:$N,14,0),""))</f>
        <v/>
      </c>
      <c r="D62" s="90" t="str">
        <f t="shared" ca="1" si="3"/>
        <v/>
      </c>
      <c r="E62" s="97"/>
      <c r="F62" s="25"/>
      <c r="G62" s="99" t="str">
        <f t="shared" si="4"/>
        <v/>
      </c>
      <c r="H62" s="27"/>
      <c r="I62" s="84"/>
      <c r="J62" s="92" t="str">
        <f>IF(AND(A62&lt;&gt;"",E62&lt;&gt;""),IF(I62="","⚠️ Enter Code",IF(IFERROR(VLOOKUP(H62,DB_Agents!$B:$I,8,0),"")=I62,IF(C62&gt;=E62,"Successful","Unsuccessful"),"🔒 BLOCKED — Wrong Code")),"—")</f>
        <v>—</v>
      </c>
      <c r="K62" s="93" t="str">
        <f t="shared" ca="1" si="5"/>
        <v>—</v>
      </c>
      <c r="L62" s="94"/>
    </row>
    <row r="63" spans="1:12" x14ac:dyDescent="0.25">
      <c r="A63" s="79"/>
      <c r="B63" s="21" t="str">
        <f>IF(A63="","",IFERROR(VLOOKUP(A63,DB_Customers!$A:$D,4,0),"❌ Account Not Found"))</f>
        <v/>
      </c>
      <c r="C63" s="80" t="str">
        <f>IF(A63="","",IFERROR(VLOOKUP(A63,DB_Customers!$A:$N,14,0),""))</f>
        <v/>
      </c>
      <c r="D63" s="81" t="str">
        <f t="shared" ca="1" si="3"/>
        <v/>
      </c>
      <c r="E63" s="97"/>
      <c r="F63" s="21"/>
      <c r="G63" s="98" t="str">
        <f t="shared" si="4"/>
        <v/>
      </c>
      <c r="H63" s="23"/>
      <c r="I63" s="84"/>
      <c r="J63" s="85" t="str">
        <f>IF(AND(A63&lt;&gt;"",E63&lt;&gt;""),IF(I63="","⚠️ Enter Code",IF(IFERROR(VLOOKUP(H63,DB_Agents!$B:$I,8,0),"")=I63,IF(C63&gt;=E63,"Successful","Unsuccessful"),"🔒 BLOCKED — Wrong Code")),"—")</f>
        <v>—</v>
      </c>
      <c r="K63" s="86" t="str">
        <f t="shared" ca="1" si="5"/>
        <v>—</v>
      </c>
      <c r="L63" s="87"/>
    </row>
    <row r="64" spans="1:12" x14ac:dyDescent="0.25">
      <c r="A64" s="88"/>
      <c r="B64" s="25" t="str">
        <f>IF(A64="","",IFERROR(VLOOKUP(A64,DB_Customers!$A:$D,4,0),"❌ Account Not Found"))</f>
        <v/>
      </c>
      <c r="C64" s="89" t="str">
        <f>IF(A64="","",IFERROR(VLOOKUP(A64,DB_Customers!$A:$N,14,0),""))</f>
        <v/>
      </c>
      <c r="D64" s="90" t="str">
        <f t="shared" ca="1" si="3"/>
        <v/>
      </c>
      <c r="E64" s="97"/>
      <c r="F64" s="25"/>
      <c r="G64" s="99" t="str">
        <f t="shared" si="4"/>
        <v/>
      </c>
      <c r="H64" s="27"/>
      <c r="I64" s="84"/>
      <c r="J64" s="92" t="str">
        <f>IF(AND(A64&lt;&gt;"",E64&lt;&gt;""),IF(I64="","⚠️ Enter Code",IF(IFERROR(VLOOKUP(H64,DB_Agents!$B:$I,8,0),"")=I64,IF(C64&gt;=E64,"Successful","Unsuccessful"),"🔒 BLOCKED — Wrong Code")),"—")</f>
        <v>—</v>
      </c>
      <c r="K64" s="93" t="str">
        <f t="shared" ca="1" si="5"/>
        <v>—</v>
      </c>
      <c r="L64" s="94"/>
    </row>
    <row r="65" spans="1:12" x14ac:dyDescent="0.25">
      <c r="A65" s="79"/>
      <c r="B65" s="21" t="str">
        <f>IF(A65="","",IFERROR(VLOOKUP(A65,DB_Customers!$A:$D,4,0),"❌ Account Not Found"))</f>
        <v/>
      </c>
      <c r="C65" s="80" t="str">
        <f>IF(A65="","",IFERROR(VLOOKUP(A65,DB_Customers!$A:$N,14,0),""))</f>
        <v/>
      </c>
      <c r="D65" s="81" t="str">
        <f t="shared" ca="1" si="3"/>
        <v/>
      </c>
      <c r="E65" s="97"/>
      <c r="F65" s="21"/>
      <c r="G65" s="98" t="str">
        <f t="shared" si="4"/>
        <v/>
      </c>
      <c r="H65" s="23"/>
      <c r="I65" s="84"/>
      <c r="J65" s="85" t="str">
        <f>IF(AND(A65&lt;&gt;"",E65&lt;&gt;""),IF(I65="","⚠️ Enter Code",IF(IFERROR(VLOOKUP(H65,DB_Agents!$B:$I,8,0),"")=I65,IF(C65&gt;=E65,"Successful","Unsuccessful"),"🔒 BLOCKED — Wrong Code")),"—")</f>
        <v>—</v>
      </c>
      <c r="K65" s="86" t="str">
        <f t="shared" ca="1" si="5"/>
        <v>—</v>
      </c>
      <c r="L65" s="87"/>
    </row>
    <row r="66" spans="1:12" x14ac:dyDescent="0.25">
      <c r="A66" s="88"/>
      <c r="B66" s="25" t="str">
        <f>IF(A66="","",IFERROR(VLOOKUP(A66,DB_Customers!$A:$D,4,0),"❌ Account Not Found"))</f>
        <v/>
      </c>
      <c r="C66" s="89" t="str">
        <f>IF(A66="","",IFERROR(VLOOKUP(A66,DB_Customers!$A:$N,14,0),""))</f>
        <v/>
      </c>
      <c r="D66" s="90" t="str">
        <f t="shared" ca="1" si="3"/>
        <v/>
      </c>
      <c r="E66" s="97"/>
      <c r="F66" s="25"/>
      <c r="G66" s="99" t="str">
        <f t="shared" si="4"/>
        <v/>
      </c>
      <c r="H66" s="27"/>
      <c r="I66" s="84"/>
      <c r="J66" s="92" t="str">
        <f>IF(AND(A66&lt;&gt;"",E66&lt;&gt;""),IF(I66="","⚠️ Enter Code",IF(IFERROR(VLOOKUP(H66,DB_Agents!$B:$I,8,0),"")=I66,IF(C66&gt;=E66,"Successful","Unsuccessful"),"🔒 BLOCKED — Wrong Code")),"—")</f>
        <v>—</v>
      </c>
      <c r="K66" s="93" t="str">
        <f t="shared" ca="1" si="5"/>
        <v>—</v>
      </c>
      <c r="L66" s="94"/>
    </row>
    <row r="67" spans="1:12" x14ac:dyDescent="0.25">
      <c r="A67" s="79"/>
      <c r="B67" s="21" t="str">
        <f>IF(A67="","",IFERROR(VLOOKUP(A67,DB_Customers!$A:$D,4,0),"❌ Account Not Found"))</f>
        <v/>
      </c>
      <c r="C67" s="80" t="str">
        <f>IF(A67="","",IFERROR(VLOOKUP(A67,DB_Customers!$A:$N,14,0),""))</f>
        <v/>
      </c>
      <c r="D67" s="81" t="str">
        <f t="shared" ca="1" si="3"/>
        <v/>
      </c>
      <c r="E67" s="97"/>
      <c r="F67" s="21"/>
      <c r="G67" s="98" t="str">
        <f t="shared" si="4"/>
        <v/>
      </c>
      <c r="H67" s="23"/>
      <c r="I67" s="84"/>
      <c r="J67" s="85" t="str">
        <f>IF(AND(A67&lt;&gt;"",E67&lt;&gt;""),IF(I67="","⚠️ Enter Code",IF(IFERROR(VLOOKUP(H67,DB_Agents!$B:$I,8,0),"")=I67,IF(C67&gt;=E67,"Successful","Unsuccessful"),"🔒 BLOCKED — Wrong Code")),"—")</f>
        <v>—</v>
      </c>
      <c r="K67" s="86" t="str">
        <f t="shared" ca="1" si="5"/>
        <v>—</v>
      </c>
      <c r="L67" s="87"/>
    </row>
    <row r="68" spans="1:12" x14ac:dyDescent="0.25">
      <c r="A68" s="88"/>
      <c r="B68" s="25" t="str">
        <f>IF(A68="","",IFERROR(VLOOKUP(A68,DB_Customers!$A:$D,4,0),"❌ Account Not Found"))</f>
        <v/>
      </c>
      <c r="C68" s="89" t="str">
        <f>IF(A68="","",IFERROR(VLOOKUP(A68,DB_Customers!$A:$N,14,0),""))</f>
        <v/>
      </c>
      <c r="D68" s="90" t="str">
        <f t="shared" ca="1" si="3"/>
        <v/>
      </c>
      <c r="E68" s="97"/>
      <c r="F68" s="25"/>
      <c r="G68" s="99" t="str">
        <f t="shared" si="4"/>
        <v/>
      </c>
      <c r="H68" s="27"/>
      <c r="I68" s="84"/>
      <c r="J68" s="92" t="str">
        <f>IF(AND(A68&lt;&gt;"",E68&lt;&gt;""),IF(I68="","⚠️ Enter Code",IF(IFERROR(VLOOKUP(H68,DB_Agents!$B:$I,8,0),"")=I68,IF(C68&gt;=E68,"Successful","Unsuccessful"),"🔒 BLOCKED — Wrong Code")),"—")</f>
        <v>—</v>
      </c>
      <c r="K68" s="93" t="str">
        <f t="shared" ca="1" si="5"/>
        <v>—</v>
      </c>
      <c r="L68" s="94"/>
    </row>
    <row r="69" spans="1:12" x14ac:dyDescent="0.25">
      <c r="A69" s="79"/>
      <c r="B69" s="21" t="str">
        <f>IF(A69="","",IFERROR(VLOOKUP(A69,DB_Customers!$A:$D,4,0),"❌ Account Not Found"))</f>
        <v/>
      </c>
      <c r="C69" s="80" t="str">
        <f>IF(A69="","",IFERROR(VLOOKUP(A69,DB_Customers!$A:$N,14,0),""))</f>
        <v/>
      </c>
      <c r="D69" s="81" t="str">
        <f t="shared" ca="1" si="3"/>
        <v/>
      </c>
      <c r="E69" s="97"/>
      <c r="F69" s="21"/>
      <c r="G69" s="98" t="str">
        <f t="shared" si="4"/>
        <v/>
      </c>
      <c r="H69" s="23"/>
      <c r="I69" s="84"/>
      <c r="J69" s="85" t="str">
        <f>IF(AND(A69&lt;&gt;"",E69&lt;&gt;""),IF(I69="","⚠️ Enter Code",IF(IFERROR(VLOOKUP(H69,DB_Agents!$B:$I,8,0),"")=I69,IF(C69&gt;=E69,"Successful","Unsuccessful"),"🔒 BLOCKED — Wrong Code")),"—")</f>
        <v>—</v>
      </c>
      <c r="K69" s="86" t="str">
        <f t="shared" ca="1" si="5"/>
        <v>—</v>
      </c>
      <c r="L69" s="87"/>
    </row>
    <row r="70" spans="1:12" x14ac:dyDescent="0.25">
      <c r="A70" s="88"/>
      <c r="B70" s="25" t="str">
        <f>IF(A70="","",IFERROR(VLOOKUP(A70,DB_Customers!$A:$D,4,0),"❌ Account Not Found"))</f>
        <v/>
      </c>
      <c r="C70" s="89" t="str">
        <f>IF(A70="","",IFERROR(VLOOKUP(A70,DB_Customers!$A:$N,14,0),""))</f>
        <v/>
      </c>
      <c r="D70" s="90" t="str">
        <f t="shared" ca="1" si="3"/>
        <v/>
      </c>
      <c r="E70" s="97"/>
      <c r="F70" s="25"/>
      <c r="G70" s="99" t="str">
        <f t="shared" si="4"/>
        <v/>
      </c>
      <c r="H70" s="27"/>
      <c r="I70" s="84"/>
      <c r="J70" s="92" t="str">
        <f>IF(AND(A70&lt;&gt;"",E70&lt;&gt;""),IF(I70="","⚠️ Enter Code",IF(IFERROR(VLOOKUP(H70,DB_Agents!$B:$I,8,0),"")=I70,IF(C70&gt;=E70,"Successful","Unsuccessful"),"🔒 BLOCKED — Wrong Code")),"—")</f>
        <v>—</v>
      </c>
      <c r="K70" s="93" t="str">
        <f t="shared" ca="1" si="5"/>
        <v>—</v>
      </c>
      <c r="L70" s="94"/>
    </row>
    <row r="71" spans="1:12" x14ac:dyDescent="0.25">
      <c r="A71" s="79"/>
      <c r="B71" s="21" t="str">
        <f>IF(A71="","",IFERROR(VLOOKUP(A71,DB_Customers!$A:$D,4,0),"❌ Account Not Found"))</f>
        <v/>
      </c>
      <c r="C71" s="80" t="str">
        <f>IF(A71="","",IFERROR(VLOOKUP(A71,DB_Customers!$A:$N,14,0),""))</f>
        <v/>
      </c>
      <c r="D71" s="81" t="str">
        <f t="shared" ca="1" si="3"/>
        <v/>
      </c>
      <c r="E71" s="97"/>
      <c r="F71" s="21"/>
      <c r="G71" s="98" t="str">
        <f t="shared" si="4"/>
        <v/>
      </c>
      <c r="H71" s="23"/>
      <c r="I71" s="84"/>
      <c r="J71" s="85" t="str">
        <f>IF(AND(A71&lt;&gt;"",E71&lt;&gt;""),IF(I71="","⚠️ Enter Code",IF(IFERROR(VLOOKUP(H71,DB_Agents!$B:$I,8,0),"")=I71,IF(C71&gt;=E71,"Successful","Unsuccessful"),"🔒 BLOCKED — Wrong Code")),"—")</f>
        <v>—</v>
      </c>
      <c r="K71" s="86" t="str">
        <f t="shared" ca="1" si="5"/>
        <v>—</v>
      </c>
      <c r="L71" s="87"/>
    </row>
    <row r="72" spans="1:12" x14ac:dyDescent="0.25">
      <c r="A72" s="88"/>
      <c r="B72" s="25" t="str">
        <f>IF(A72="","",IFERROR(VLOOKUP(A72,DB_Customers!$A:$D,4,0),"❌ Account Not Found"))</f>
        <v/>
      </c>
      <c r="C72" s="89" t="str">
        <f>IF(A72="","",IFERROR(VLOOKUP(A72,DB_Customers!$A:$N,14,0),""))</f>
        <v/>
      </c>
      <c r="D72" s="90" t="str">
        <f t="shared" ca="1" si="3"/>
        <v/>
      </c>
      <c r="E72" s="97"/>
      <c r="F72" s="25"/>
      <c r="G72" s="99" t="str">
        <f t="shared" si="4"/>
        <v/>
      </c>
      <c r="H72" s="27"/>
      <c r="I72" s="84"/>
      <c r="J72" s="92" t="str">
        <f>IF(AND(A72&lt;&gt;"",E72&lt;&gt;""),IF(I72="","⚠️ Enter Code",IF(IFERROR(VLOOKUP(H72,DB_Agents!$B:$I,8,0),"")=I72,IF(C72&gt;=E72,"Successful","Unsuccessful"),"🔒 BLOCKED — Wrong Code")),"—")</f>
        <v>—</v>
      </c>
      <c r="K72" s="93" t="str">
        <f t="shared" ca="1" si="5"/>
        <v>—</v>
      </c>
      <c r="L72" s="94"/>
    </row>
    <row r="73" spans="1:12" x14ac:dyDescent="0.25">
      <c r="A73" s="79"/>
      <c r="B73" s="21" t="str">
        <f>IF(A73="","",IFERROR(VLOOKUP(A73,DB_Customers!$A:$D,4,0),"❌ Account Not Found"))</f>
        <v/>
      </c>
      <c r="C73" s="80" t="str">
        <f>IF(A73="","",IFERROR(VLOOKUP(A73,DB_Customers!$A:$N,14,0),""))</f>
        <v/>
      </c>
      <c r="D73" s="81" t="str">
        <f t="shared" ref="D73:D104" ca="1" si="6">IF(A73="","",TODAY())</f>
        <v/>
      </c>
      <c r="E73" s="97"/>
      <c r="F73" s="21"/>
      <c r="G73" s="98" t="str">
        <f t="shared" ref="G73:G104" si="7">IF(OR(A73="",E73=""),"",IF(C73="","",C73-E73))</f>
        <v/>
      </c>
      <c r="H73" s="23"/>
      <c r="I73" s="84"/>
      <c r="J73" s="85" t="str">
        <f>IF(AND(A73&lt;&gt;"",E73&lt;&gt;""),IF(I73="","⚠️ Enter Code",IF(IFERROR(VLOOKUP(H73,DB_Agents!$B:$I,8,0),"")=I73,IF(C73&gt;=E73,"Successful","Unsuccessful"),"🔒 BLOCKED — Wrong Code")),"—")</f>
        <v>—</v>
      </c>
      <c r="K73" s="86" t="str">
        <f t="shared" ref="K73:K104" ca="1" si="8">IF(J73="Successful",TEXT(TODAY(),"YYYY-MM-DD")&amp;" Auto","—")</f>
        <v>—</v>
      </c>
      <c r="L73" s="87"/>
    </row>
    <row r="74" spans="1:12" x14ac:dyDescent="0.25">
      <c r="A74" s="88"/>
      <c r="B74" s="25" t="str">
        <f>IF(A74="","",IFERROR(VLOOKUP(A74,DB_Customers!$A:$D,4,0),"❌ Account Not Found"))</f>
        <v/>
      </c>
      <c r="C74" s="89" t="str">
        <f>IF(A74="","",IFERROR(VLOOKUP(A74,DB_Customers!$A:$N,14,0),""))</f>
        <v/>
      </c>
      <c r="D74" s="90" t="str">
        <f t="shared" ca="1" si="6"/>
        <v/>
      </c>
      <c r="E74" s="97"/>
      <c r="F74" s="25"/>
      <c r="G74" s="99" t="str">
        <f t="shared" si="7"/>
        <v/>
      </c>
      <c r="H74" s="27"/>
      <c r="I74" s="84"/>
      <c r="J74" s="92" t="str">
        <f>IF(AND(A74&lt;&gt;"",E74&lt;&gt;""),IF(I74="","⚠️ Enter Code",IF(IFERROR(VLOOKUP(H74,DB_Agents!$B:$I,8,0),"")=I74,IF(C74&gt;=E74,"Successful","Unsuccessful"),"🔒 BLOCKED — Wrong Code")),"—")</f>
        <v>—</v>
      </c>
      <c r="K74" s="93" t="str">
        <f t="shared" ca="1" si="8"/>
        <v>—</v>
      </c>
      <c r="L74" s="94"/>
    </row>
    <row r="75" spans="1:12" x14ac:dyDescent="0.25">
      <c r="A75" s="79"/>
      <c r="B75" s="21" t="str">
        <f>IF(A75="","",IFERROR(VLOOKUP(A75,DB_Customers!$A:$D,4,0),"❌ Account Not Found"))</f>
        <v/>
      </c>
      <c r="C75" s="80" t="str">
        <f>IF(A75="","",IFERROR(VLOOKUP(A75,DB_Customers!$A:$N,14,0),""))</f>
        <v/>
      </c>
      <c r="D75" s="81" t="str">
        <f t="shared" ca="1" si="6"/>
        <v/>
      </c>
      <c r="E75" s="97"/>
      <c r="F75" s="21"/>
      <c r="G75" s="98" t="str">
        <f t="shared" si="7"/>
        <v/>
      </c>
      <c r="H75" s="23"/>
      <c r="I75" s="84"/>
      <c r="J75" s="85" t="str">
        <f>IF(AND(A75&lt;&gt;"",E75&lt;&gt;""),IF(I75="","⚠️ Enter Code",IF(IFERROR(VLOOKUP(H75,DB_Agents!$B:$I,8,0),"")=I75,IF(C75&gt;=E75,"Successful","Unsuccessful"),"🔒 BLOCKED — Wrong Code")),"—")</f>
        <v>—</v>
      </c>
      <c r="K75" s="86" t="str">
        <f t="shared" ca="1" si="8"/>
        <v>—</v>
      </c>
      <c r="L75" s="87"/>
    </row>
    <row r="76" spans="1:12" x14ac:dyDescent="0.25">
      <c r="A76" s="88"/>
      <c r="B76" s="25" t="str">
        <f>IF(A76="","",IFERROR(VLOOKUP(A76,DB_Customers!$A:$D,4,0),"❌ Account Not Found"))</f>
        <v/>
      </c>
      <c r="C76" s="89" t="str">
        <f>IF(A76="","",IFERROR(VLOOKUP(A76,DB_Customers!$A:$N,14,0),""))</f>
        <v/>
      </c>
      <c r="D76" s="90" t="str">
        <f t="shared" ca="1" si="6"/>
        <v/>
      </c>
      <c r="E76" s="97"/>
      <c r="F76" s="25"/>
      <c r="G76" s="99" t="str">
        <f t="shared" si="7"/>
        <v/>
      </c>
      <c r="H76" s="27"/>
      <c r="I76" s="84"/>
      <c r="J76" s="92" t="str">
        <f>IF(AND(A76&lt;&gt;"",E76&lt;&gt;""),IF(I76="","⚠️ Enter Code",IF(IFERROR(VLOOKUP(H76,DB_Agents!$B:$I,8,0),"")=I76,IF(C76&gt;=E76,"Successful","Unsuccessful"),"🔒 BLOCKED — Wrong Code")),"—")</f>
        <v>—</v>
      </c>
      <c r="K76" s="93" t="str">
        <f t="shared" ca="1" si="8"/>
        <v>—</v>
      </c>
      <c r="L76" s="94"/>
    </row>
    <row r="77" spans="1:12" x14ac:dyDescent="0.25">
      <c r="A77" s="79"/>
      <c r="B77" s="21" t="str">
        <f>IF(A77="","",IFERROR(VLOOKUP(A77,DB_Customers!$A:$D,4,0),"❌ Account Not Found"))</f>
        <v/>
      </c>
      <c r="C77" s="80" t="str">
        <f>IF(A77="","",IFERROR(VLOOKUP(A77,DB_Customers!$A:$N,14,0),""))</f>
        <v/>
      </c>
      <c r="D77" s="81" t="str">
        <f t="shared" ca="1" si="6"/>
        <v/>
      </c>
      <c r="E77" s="97"/>
      <c r="F77" s="21"/>
      <c r="G77" s="98" t="str">
        <f t="shared" si="7"/>
        <v/>
      </c>
      <c r="H77" s="23"/>
      <c r="I77" s="84"/>
      <c r="J77" s="85" t="str">
        <f>IF(AND(A77&lt;&gt;"",E77&lt;&gt;""),IF(I77="","⚠️ Enter Code",IF(IFERROR(VLOOKUP(H77,DB_Agents!$B:$I,8,0),"")=I77,IF(C77&gt;=E77,"Successful","Unsuccessful"),"🔒 BLOCKED — Wrong Code")),"—")</f>
        <v>—</v>
      </c>
      <c r="K77" s="86" t="str">
        <f t="shared" ca="1" si="8"/>
        <v>—</v>
      </c>
      <c r="L77" s="87"/>
    </row>
    <row r="78" spans="1:12" x14ac:dyDescent="0.25">
      <c r="A78" s="88"/>
      <c r="B78" s="25" t="str">
        <f>IF(A78="","",IFERROR(VLOOKUP(A78,DB_Customers!$A:$D,4,0),"❌ Account Not Found"))</f>
        <v/>
      </c>
      <c r="C78" s="89" t="str">
        <f>IF(A78="","",IFERROR(VLOOKUP(A78,DB_Customers!$A:$N,14,0),""))</f>
        <v/>
      </c>
      <c r="D78" s="90" t="str">
        <f t="shared" ca="1" si="6"/>
        <v/>
      </c>
      <c r="E78" s="97"/>
      <c r="F78" s="25"/>
      <c r="G78" s="99" t="str">
        <f t="shared" si="7"/>
        <v/>
      </c>
      <c r="H78" s="27"/>
      <c r="I78" s="84"/>
      <c r="J78" s="92" t="str">
        <f>IF(AND(A78&lt;&gt;"",E78&lt;&gt;""),IF(I78="","⚠️ Enter Code",IF(IFERROR(VLOOKUP(H78,DB_Agents!$B:$I,8,0),"")=I78,IF(C78&gt;=E78,"Successful","Unsuccessful"),"🔒 BLOCKED — Wrong Code")),"—")</f>
        <v>—</v>
      </c>
      <c r="K78" s="93" t="str">
        <f t="shared" ca="1" si="8"/>
        <v>—</v>
      </c>
      <c r="L78" s="94"/>
    </row>
    <row r="79" spans="1:12" x14ac:dyDescent="0.25">
      <c r="A79" s="79"/>
      <c r="B79" s="21" t="str">
        <f>IF(A79="","",IFERROR(VLOOKUP(A79,DB_Customers!$A:$D,4,0),"❌ Account Not Found"))</f>
        <v/>
      </c>
      <c r="C79" s="80" t="str">
        <f>IF(A79="","",IFERROR(VLOOKUP(A79,DB_Customers!$A:$N,14,0),""))</f>
        <v/>
      </c>
      <c r="D79" s="81" t="str">
        <f t="shared" ca="1" si="6"/>
        <v/>
      </c>
      <c r="E79" s="97"/>
      <c r="F79" s="21"/>
      <c r="G79" s="98" t="str">
        <f t="shared" si="7"/>
        <v/>
      </c>
      <c r="H79" s="23"/>
      <c r="I79" s="84"/>
      <c r="J79" s="85" t="str">
        <f>IF(AND(A79&lt;&gt;"",E79&lt;&gt;""),IF(I79="","⚠️ Enter Code",IF(IFERROR(VLOOKUP(H79,DB_Agents!$B:$I,8,0),"")=I79,IF(C79&gt;=E79,"Successful","Unsuccessful"),"🔒 BLOCKED — Wrong Code")),"—")</f>
        <v>—</v>
      </c>
      <c r="K79" s="86" t="str">
        <f t="shared" ca="1" si="8"/>
        <v>—</v>
      </c>
      <c r="L79" s="87"/>
    </row>
    <row r="80" spans="1:12" x14ac:dyDescent="0.25">
      <c r="A80" s="88"/>
      <c r="B80" s="25" t="str">
        <f>IF(A80="","",IFERROR(VLOOKUP(A80,DB_Customers!$A:$D,4,0),"❌ Account Not Found"))</f>
        <v/>
      </c>
      <c r="C80" s="89" t="str">
        <f>IF(A80="","",IFERROR(VLOOKUP(A80,DB_Customers!$A:$N,14,0),""))</f>
        <v/>
      </c>
      <c r="D80" s="90" t="str">
        <f t="shared" ca="1" si="6"/>
        <v/>
      </c>
      <c r="E80" s="97"/>
      <c r="F80" s="25"/>
      <c r="G80" s="99" t="str">
        <f t="shared" si="7"/>
        <v/>
      </c>
      <c r="H80" s="27"/>
      <c r="I80" s="84"/>
      <c r="J80" s="92" t="str">
        <f>IF(AND(A80&lt;&gt;"",E80&lt;&gt;""),IF(I80="","⚠️ Enter Code",IF(IFERROR(VLOOKUP(H80,DB_Agents!$B:$I,8,0),"")=I80,IF(C80&gt;=E80,"Successful","Unsuccessful"),"🔒 BLOCKED — Wrong Code")),"—")</f>
        <v>—</v>
      </c>
      <c r="K80" s="93" t="str">
        <f t="shared" ca="1" si="8"/>
        <v>—</v>
      </c>
      <c r="L80" s="94"/>
    </row>
    <row r="81" spans="1:12" x14ac:dyDescent="0.25">
      <c r="A81" s="79"/>
      <c r="B81" s="21" t="str">
        <f>IF(A81="","",IFERROR(VLOOKUP(A81,DB_Customers!$A:$D,4,0),"❌ Account Not Found"))</f>
        <v/>
      </c>
      <c r="C81" s="80" t="str">
        <f>IF(A81="","",IFERROR(VLOOKUP(A81,DB_Customers!$A:$N,14,0),""))</f>
        <v/>
      </c>
      <c r="D81" s="81" t="str">
        <f t="shared" ca="1" si="6"/>
        <v/>
      </c>
      <c r="E81" s="97"/>
      <c r="F81" s="21"/>
      <c r="G81" s="98" t="str">
        <f t="shared" si="7"/>
        <v/>
      </c>
      <c r="H81" s="23"/>
      <c r="I81" s="84"/>
      <c r="J81" s="85" t="str">
        <f>IF(AND(A81&lt;&gt;"",E81&lt;&gt;""),IF(I81="","⚠️ Enter Code",IF(IFERROR(VLOOKUP(H81,DB_Agents!$B:$I,8,0),"")=I81,IF(C81&gt;=E81,"Successful","Unsuccessful"),"🔒 BLOCKED — Wrong Code")),"—")</f>
        <v>—</v>
      </c>
      <c r="K81" s="86" t="str">
        <f t="shared" ca="1" si="8"/>
        <v>—</v>
      </c>
      <c r="L81" s="87"/>
    </row>
    <row r="82" spans="1:12" x14ac:dyDescent="0.25">
      <c r="A82" s="88"/>
      <c r="B82" s="25" t="str">
        <f>IF(A82="","",IFERROR(VLOOKUP(A82,DB_Customers!$A:$D,4,0),"❌ Account Not Found"))</f>
        <v/>
      </c>
      <c r="C82" s="89" t="str">
        <f>IF(A82="","",IFERROR(VLOOKUP(A82,DB_Customers!$A:$N,14,0),""))</f>
        <v/>
      </c>
      <c r="D82" s="90" t="str">
        <f t="shared" ca="1" si="6"/>
        <v/>
      </c>
      <c r="E82" s="97"/>
      <c r="F82" s="25"/>
      <c r="G82" s="99" t="str">
        <f t="shared" si="7"/>
        <v/>
      </c>
      <c r="H82" s="27"/>
      <c r="I82" s="84"/>
      <c r="J82" s="92" t="str">
        <f>IF(AND(A82&lt;&gt;"",E82&lt;&gt;""),IF(I82="","⚠️ Enter Code",IF(IFERROR(VLOOKUP(H82,DB_Agents!$B:$I,8,0),"")=I82,IF(C82&gt;=E82,"Successful","Unsuccessful"),"🔒 BLOCKED — Wrong Code")),"—")</f>
        <v>—</v>
      </c>
      <c r="K82" s="93" t="str">
        <f t="shared" ca="1" si="8"/>
        <v>—</v>
      </c>
      <c r="L82" s="94"/>
    </row>
    <row r="83" spans="1:12" x14ac:dyDescent="0.25">
      <c r="A83" s="79"/>
      <c r="B83" s="21" t="str">
        <f>IF(A83="","",IFERROR(VLOOKUP(A83,DB_Customers!$A:$D,4,0),"❌ Account Not Found"))</f>
        <v/>
      </c>
      <c r="C83" s="80" t="str">
        <f>IF(A83="","",IFERROR(VLOOKUP(A83,DB_Customers!$A:$N,14,0),""))</f>
        <v/>
      </c>
      <c r="D83" s="81" t="str">
        <f t="shared" ca="1" si="6"/>
        <v/>
      </c>
      <c r="E83" s="97"/>
      <c r="F83" s="21"/>
      <c r="G83" s="98" t="str">
        <f t="shared" si="7"/>
        <v/>
      </c>
      <c r="H83" s="23"/>
      <c r="I83" s="84"/>
      <c r="J83" s="85" t="str">
        <f>IF(AND(A83&lt;&gt;"",E83&lt;&gt;""),IF(I83="","⚠️ Enter Code",IF(IFERROR(VLOOKUP(H83,DB_Agents!$B:$I,8,0),"")=I83,IF(C83&gt;=E83,"Successful","Unsuccessful"),"🔒 BLOCKED — Wrong Code")),"—")</f>
        <v>—</v>
      </c>
      <c r="K83" s="86" t="str">
        <f t="shared" ca="1" si="8"/>
        <v>—</v>
      </c>
      <c r="L83" s="87"/>
    </row>
    <row r="84" spans="1:12" x14ac:dyDescent="0.25">
      <c r="A84" s="88"/>
      <c r="B84" s="25" t="str">
        <f>IF(A84="","",IFERROR(VLOOKUP(A84,DB_Customers!$A:$D,4,0),"❌ Account Not Found"))</f>
        <v/>
      </c>
      <c r="C84" s="89" t="str">
        <f>IF(A84="","",IFERROR(VLOOKUP(A84,DB_Customers!$A:$N,14,0),""))</f>
        <v/>
      </c>
      <c r="D84" s="90" t="str">
        <f t="shared" ca="1" si="6"/>
        <v/>
      </c>
      <c r="E84" s="97"/>
      <c r="F84" s="25"/>
      <c r="G84" s="99" t="str">
        <f t="shared" si="7"/>
        <v/>
      </c>
      <c r="H84" s="27"/>
      <c r="I84" s="84"/>
      <c r="J84" s="92" t="str">
        <f>IF(AND(A84&lt;&gt;"",E84&lt;&gt;""),IF(I84="","⚠️ Enter Code",IF(IFERROR(VLOOKUP(H84,DB_Agents!$B:$I,8,0),"")=I84,IF(C84&gt;=E84,"Successful","Unsuccessful"),"🔒 BLOCKED — Wrong Code")),"—")</f>
        <v>—</v>
      </c>
      <c r="K84" s="93" t="str">
        <f t="shared" ca="1" si="8"/>
        <v>—</v>
      </c>
      <c r="L84" s="94"/>
    </row>
    <row r="85" spans="1:12" x14ac:dyDescent="0.25">
      <c r="A85" s="79"/>
      <c r="B85" s="21" t="str">
        <f>IF(A85="","",IFERROR(VLOOKUP(A85,DB_Customers!$A:$D,4,0),"❌ Account Not Found"))</f>
        <v/>
      </c>
      <c r="C85" s="80" t="str">
        <f>IF(A85="","",IFERROR(VLOOKUP(A85,DB_Customers!$A:$N,14,0),""))</f>
        <v/>
      </c>
      <c r="D85" s="81" t="str">
        <f t="shared" ca="1" si="6"/>
        <v/>
      </c>
      <c r="E85" s="97"/>
      <c r="F85" s="21"/>
      <c r="G85" s="98" t="str">
        <f t="shared" si="7"/>
        <v/>
      </c>
      <c r="H85" s="23"/>
      <c r="I85" s="84"/>
      <c r="J85" s="85" t="str">
        <f>IF(AND(A85&lt;&gt;"",E85&lt;&gt;""),IF(I85="","⚠️ Enter Code",IF(IFERROR(VLOOKUP(H85,DB_Agents!$B:$I,8,0),"")=I85,IF(C85&gt;=E85,"Successful","Unsuccessful"),"🔒 BLOCKED — Wrong Code")),"—")</f>
        <v>—</v>
      </c>
      <c r="K85" s="86" t="str">
        <f t="shared" ca="1" si="8"/>
        <v>—</v>
      </c>
      <c r="L85" s="87"/>
    </row>
    <row r="86" spans="1:12" x14ac:dyDescent="0.25">
      <c r="A86" s="88"/>
      <c r="B86" s="25" t="str">
        <f>IF(A86="","",IFERROR(VLOOKUP(A86,DB_Customers!$A:$D,4,0),"❌ Account Not Found"))</f>
        <v/>
      </c>
      <c r="C86" s="89" t="str">
        <f>IF(A86="","",IFERROR(VLOOKUP(A86,DB_Customers!$A:$N,14,0),""))</f>
        <v/>
      </c>
      <c r="D86" s="90" t="str">
        <f t="shared" ca="1" si="6"/>
        <v/>
      </c>
      <c r="E86" s="97"/>
      <c r="F86" s="25"/>
      <c r="G86" s="99" t="str">
        <f t="shared" si="7"/>
        <v/>
      </c>
      <c r="H86" s="27"/>
      <c r="I86" s="84"/>
      <c r="J86" s="92" t="str">
        <f>IF(AND(A86&lt;&gt;"",E86&lt;&gt;""),IF(I86="","⚠️ Enter Code",IF(IFERROR(VLOOKUP(H86,DB_Agents!$B:$I,8,0),"")=I86,IF(C86&gt;=E86,"Successful","Unsuccessful"),"🔒 BLOCKED — Wrong Code")),"—")</f>
        <v>—</v>
      </c>
      <c r="K86" s="93" t="str">
        <f t="shared" ca="1" si="8"/>
        <v>—</v>
      </c>
      <c r="L86" s="94"/>
    </row>
    <row r="87" spans="1:12" x14ac:dyDescent="0.25">
      <c r="A87" s="79"/>
      <c r="B87" s="21" t="str">
        <f>IF(A87="","",IFERROR(VLOOKUP(A87,DB_Customers!$A:$D,4,0),"❌ Account Not Found"))</f>
        <v/>
      </c>
      <c r="C87" s="80" t="str">
        <f>IF(A87="","",IFERROR(VLOOKUP(A87,DB_Customers!$A:$N,14,0),""))</f>
        <v/>
      </c>
      <c r="D87" s="81" t="str">
        <f t="shared" ca="1" si="6"/>
        <v/>
      </c>
      <c r="E87" s="97"/>
      <c r="F87" s="21"/>
      <c r="G87" s="98" t="str">
        <f t="shared" si="7"/>
        <v/>
      </c>
      <c r="H87" s="23"/>
      <c r="I87" s="84"/>
      <c r="J87" s="85" t="str">
        <f>IF(AND(A87&lt;&gt;"",E87&lt;&gt;""),IF(I87="","⚠️ Enter Code",IF(IFERROR(VLOOKUP(H87,DB_Agents!$B:$I,8,0),"")=I87,IF(C87&gt;=E87,"Successful","Unsuccessful"),"🔒 BLOCKED — Wrong Code")),"—")</f>
        <v>—</v>
      </c>
      <c r="K87" s="86" t="str">
        <f t="shared" ca="1" si="8"/>
        <v>—</v>
      </c>
      <c r="L87" s="87"/>
    </row>
    <row r="88" spans="1:12" x14ac:dyDescent="0.25">
      <c r="A88" s="88"/>
      <c r="B88" s="25" t="str">
        <f>IF(A88="","",IFERROR(VLOOKUP(A88,DB_Customers!$A:$D,4,0),"❌ Account Not Found"))</f>
        <v/>
      </c>
      <c r="C88" s="89" t="str">
        <f>IF(A88="","",IFERROR(VLOOKUP(A88,DB_Customers!$A:$N,14,0),""))</f>
        <v/>
      </c>
      <c r="D88" s="90" t="str">
        <f t="shared" ca="1" si="6"/>
        <v/>
      </c>
      <c r="E88" s="97"/>
      <c r="F88" s="25"/>
      <c r="G88" s="99" t="str">
        <f t="shared" si="7"/>
        <v/>
      </c>
      <c r="H88" s="27"/>
      <c r="I88" s="84"/>
      <c r="J88" s="92" t="str">
        <f>IF(AND(A88&lt;&gt;"",E88&lt;&gt;""),IF(I88="","⚠️ Enter Code",IF(IFERROR(VLOOKUP(H88,DB_Agents!$B:$I,8,0),"")=I88,IF(C88&gt;=E88,"Successful","Unsuccessful"),"🔒 BLOCKED — Wrong Code")),"—")</f>
        <v>—</v>
      </c>
      <c r="K88" s="93" t="str">
        <f t="shared" ca="1" si="8"/>
        <v>—</v>
      </c>
      <c r="L88" s="94"/>
    </row>
    <row r="89" spans="1:12" x14ac:dyDescent="0.25">
      <c r="A89" s="79"/>
      <c r="B89" s="21" t="str">
        <f>IF(A89="","",IFERROR(VLOOKUP(A89,DB_Customers!$A:$D,4,0),"❌ Account Not Found"))</f>
        <v/>
      </c>
      <c r="C89" s="80" t="str">
        <f>IF(A89="","",IFERROR(VLOOKUP(A89,DB_Customers!$A:$N,14,0),""))</f>
        <v/>
      </c>
      <c r="D89" s="81" t="str">
        <f t="shared" ca="1" si="6"/>
        <v/>
      </c>
      <c r="E89" s="97"/>
      <c r="F89" s="21"/>
      <c r="G89" s="98" t="str">
        <f t="shared" si="7"/>
        <v/>
      </c>
      <c r="H89" s="23"/>
      <c r="I89" s="84"/>
      <c r="J89" s="85" t="str">
        <f>IF(AND(A89&lt;&gt;"",E89&lt;&gt;""),IF(I89="","⚠️ Enter Code",IF(IFERROR(VLOOKUP(H89,DB_Agents!$B:$I,8,0),"")=I89,IF(C89&gt;=E89,"Successful","Unsuccessful"),"🔒 BLOCKED — Wrong Code")),"—")</f>
        <v>—</v>
      </c>
      <c r="K89" s="86" t="str">
        <f t="shared" ca="1" si="8"/>
        <v>—</v>
      </c>
      <c r="L89" s="87"/>
    </row>
    <row r="90" spans="1:12" x14ac:dyDescent="0.25">
      <c r="A90" s="88"/>
      <c r="B90" s="25" t="str">
        <f>IF(A90="","",IFERROR(VLOOKUP(A90,DB_Customers!$A:$D,4,0),"❌ Account Not Found"))</f>
        <v/>
      </c>
      <c r="C90" s="89" t="str">
        <f>IF(A90="","",IFERROR(VLOOKUP(A90,DB_Customers!$A:$N,14,0),""))</f>
        <v/>
      </c>
      <c r="D90" s="90" t="str">
        <f t="shared" ca="1" si="6"/>
        <v/>
      </c>
      <c r="E90" s="97"/>
      <c r="F90" s="25"/>
      <c r="G90" s="99" t="str">
        <f t="shared" si="7"/>
        <v/>
      </c>
      <c r="H90" s="27"/>
      <c r="I90" s="84"/>
      <c r="J90" s="92" t="str">
        <f>IF(AND(A90&lt;&gt;"",E90&lt;&gt;""),IF(I90="","⚠️ Enter Code",IF(IFERROR(VLOOKUP(H90,DB_Agents!$B:$I,8,0),"")=I90,IF(C90&gt;=E90,"Successful","Unsuccessful"),"🔒 BLOCKED — Wrong Code")),"—")</f>
        <v>—</v>
      </c>
      <c r="K90" s="93" t="str">
        <f t="shared" ca="1" si="8"/>
        <v>—</v>
      </c>
      <c r="L90" s="94"/>
    </row>
    <row r="91" spans="1:12" x14ac:dyDescent="0.25">
      <c r="A91" s="79"/>
      <c r="B91" s="21" t="str">
        <f>IF(A91="","",IFERROR(VLOOKUP(A91,DB_Customers!$A:$D,4,0),"❌ Account Not Found"))</f>
        <v/>
      </c>
      <c r="C91" s="80" t="str">
        <f>IF(A91="","",IFERROR(VLOOKUP(A91,DB_Customers!$A:$N,14,0),""))</f>
        <v/>
      </c>
      <c r="D91" s="81" t="str">
        <f t="shared" ca="1" si="6"/>
        <v/>
      </c>
      <c r="E91" s="97"/>
      <c r="F91" s="21"/>
      <c r="G91" s="98" t="str">
        <f t="shared" si="7"/>
        <v/>
      </c>
      <c r="H91" s="23"/>
      <c r="I91" s="84"/>
      <c r="J91" s="85" t="str">
        <f>IF(AND(A91&lt;&gt;"",E91&lt;&gt;""),IF(I91="","⚠️ Enter Code",IF(IFERROR(VLOOKUP(H91,DB_Agents!$B:$I,8,0),"")=I91,IF(C91&gt;=E91,"Successful","Unsuccessful"),"🔒 BLOCKED — Wrong Code")),"—")</f>
        <v>—</v>
      </c>
      <c r="K91" s="86" t="str">
        <f t="shared" ca="1" si="8"/>
        <v>—</v>
      </c>
      <c r="L91" s="87"/>
    </row>
    <row r="92" spans="1:12" x14ac:dyDescent="0.25">
      <c r="A92" s="88"/>
      <c r="B92" s="25" t="str">
        <f>IF(A92="","",IFERROR(VLOOKUP(A92,DB_Customers!$A:$D,4,0),"❌ Account Not Found"))</f>
        <v/>
      </c>
      <c r="C92" s="89" t="str">
        <f>IF(A92="","",IFERROR(VLOOKUP(A92,DB_Customers!$A:$N,14,0),""))</f>
        <v/>
      </c>
      <c r="D92" s="90" t="str">
        <f t="shared" ca="1" si="6"/>
        <v/>
      </c>
      <c r="E92" s="97"/>
      <c r="F92" s="25"/>
      <c r="G92" s="99" t="str">
        <f t="shared" si="7"/>
        <v/>
      </c>
      <c r="H92" s="27"/>
      <c r="I92" s="84"/>
      <c r="J92" s="92" t="str">
        <f>IF(AND(A92&lt;&gt;"",E92&lt;&gt;""),IF(I92="","⚠️ Enter Code",IF(IFERROR(VLOOKUP(H92,DB_Agents!$B:$I,8,0),"")=I92,IF(C92&gt;=E92,"Successful","Unsuccessful"),"🔒 BLOCKED — Wrong Code")),"—")</f>
        <v>—</v>
      </c>
      <c r="K92" s="93" t="str">
        <f t="shared" ca="1" si="8"/>
        <v>—</v>
      </c>
      <c r="L92" s="94"/>
    </row>
    <row r="93" spans="1:12" x14ac:dyDescent="0.25">
      <c r="A93" s="79"/>
      <c r="B93" s="21" t="str">
        <f>IF(A93="","",IFERROR(VLOOKUP(A93,DB_Customers!$A:$D,4,0),"❌ Account Not Found"))</f>
        <v/>
      </c>
      <c r="C93" s="80" t="str">
        <f>IF(A93="","",IFERROR(VLOOKUP(A93,DB_Customers!$A:$N,14,0),""))</f>
        <v/>
      </c>
      <c r="D93" s="81" t="str">
        <f t="shared" ca="1" si="6"/>
        <v/>
      </c>
      <c r="E93" s="97"/>
      <c r="F93" s="21"/>
      <c r="G93" s="98" t="str">
        <f t="shared" si="7"/>
        <v/>
      </c>
      <c r="H93" s="23"/>
      <c r="I93" s="84"/>
      <c r="J93" s="85" t="str">
        <f>IF(AND(A93&lt;&gt;"",E93&lt;&gt;""),IF(I93="","⚠️ Enter Code",IF(IFERROR(VLOOKUP(H93,DB_Agents!$B:$I,8,0),"")=I93,IF(C93&gt;=E93,"Successful","Unsuccessful"),"🔒 BLOCKED — Wrong Code")),"—")</f>
        <v>—</v>
      </c>
      <c r="K93" s="86" t="str">
        <f t="shared" ca="1" si="8"/>
        <v>—</v>
      </c>
      <c r="L93" s="87"/>
    </row>
    <row r="94" spans="1:12" x14ac:dyDescent="0.25">
      <c r="A94" s="88"/>
      <c r="B94" s="25" t="str">
        <f>IF(A94="","",IFERROR(VLOOKUP(A94,DB_Customers!$A:$D,4,0),"❌ Account Not Found"))</f>
        <v/>
      </c>
      <c r="C94" s="89" t="str">
        <f>IF(A94="","",IFERROR(VLOOKUP(A94,DB_Customers!$A:$N,14,0),""))</f>
        <v/>
      </c>
      <c r="D94" s="90" t="str">
        <f t="shared" ca="1" si="6"/>
        <v/>
      </c>
      <c r="E94" s="97"/>
      <c r="F94" s="25"/>
      <c r="G94" s="99" t="str">
        <f t="shared" si="7"/>
        <v/>
      </c>
      <c r="H94" s="27"/>
      <c r="I94" s="84"/>
      <c r="J94" s="92" t="str">
        <f>IF(AND(A94&lt;&gt;"",E94&lt;&gt;""),IF(I94="","⚠️ Enter Code",IF(IFERROR(VLOOKUP(H94,DB_Agents!$B:$I,8,0),"")=I94,IF(C94&gt;=E94,"Successful","Unsuccessful"),"🔒 BLOCKED — Wrong Code")),"—")</f>
        <v>—</v>
      </c>
      <c r="K94" s="93" t="str">
        <f t="shared" ca="1" si="8"/>
        <v>—</v>
      </c>
      <c r="L94" s="94"/>
    </row>
    <row r="95" spans="1:12" x14ac:dyDescent="0.25">
      <c r="A95" s="79"/>
      <c r="B95" s="21" t="str">
        <f>IF(A95="","",IFERROR(VLOOKUP(A95,DB_Customers!$A:$D,4,0),"❌ Account Not Found"))</f>
        <v/>
      </c>
      <c r="C95" s="80" t="str">
        <f>IF(A95="","",IFERROR(VLOOKUP(A95,DB_Customers!$A:$N,14,0),""))</f>
        <v/>
      </c>
      <c r="D95" s="81" t="str">
        <f t="shared" ca="1" si="6"/>
        <v/>
      </c>
      <c r="E95" s="97"/>
      <c r="F95" s="21"/>
      <c r="G95" s="98" t="str">
        <f t="shared" si="7"/>
        <v/>
      </c>
      <c r="H95" s="23"/>
      <c r="I95" s="84"/>
      <c r="J95" s="85" t="str">
        <f>IF(AND(A95&lt;&gt;"",E95&lt;&gt;""),IF(I95="","⚠️ Enter Code",IF(IFERROR(VLOOKUP(H95,DB_Agents!$B:$I,8,0),"")=I95,IF(C95&gt;=E95,"Successful","Unsuccessful"),"🔒 BLOCKED — Wrong Code")),"—")</f>
        <v>—</v>
      </c>
      <c r="K95" s="86" t="str">
        <f t="shared" ca="1" si="8"/>
        <v>—</v>
      </c>
      <c r="L95" s="87"/>
    </row>
    <row r="96" spans="1:12" x14ac:dyDescent="0.25">
      <c r="A96" s="88"/>
      <c r="B96" s="25" t="str">
        <f>IF(A96="","",IFERROR(VLOOKUP(A96,DB_Customers!$A:$D,4,0),"❌ Account Not Found"))</f>
        <v/>
      </c>
      <c r="C96" s="89" t="str">
        <f>IF(A96="","",IFERROR(VLOOKUP(A96,DB_Customers!$A:$N,14,0),""))</f>
        <v/>
      </c>
      <c r="D96" s="90" t="str">
        <f t="shared" ca="1" si="6"/>
        <v/>
      </c>
      <c r="E96" s="97"/>
      <c r="F96" s="25"/>
      <c r="G96" s="99" t="str">
        <f t="shared" si="7"/>
        <v/>
      </c>
      <c r="H96" s="27"/>
      <c r="I96" s="84"/>
      <c r="J96" s="92" t="str">
        <f>IF(AND(A96&lt;&gt;"",E96&lt;&gt;""),IF(I96="","⚠️ Enter Code",IF(IFERROR(VLOOKUP(H96,DB_Agents!$B:$I,8,0),"")=I96,IF(C96&gt;=E96,"Successful","Unsuccessful"),"🔒 BLOCKED — Wrong Code")),"—")</f>
        <v>—</v>
      </c>
      <c r="K96" s="93" t="str">
        <f t="shared" ca="1" si="8"/>
        <v>—</v>
      </c>
      <c r="L96" s="94"/>
    </row>
    <row r="97" spans="1:12" x14ac:dyDescent="0.25">
      <c r="A97" s="79"/>
      <c r="B97" s="21" t="str">
        <f>IF(A97="","",IFERROR(VLOOKUP(A97,DB_Customers!$A:$D,4,0),"❌ Account Not Found"))</f>
        <v/>
      </c>
      <c r="C97" s="80" t="str">
        <f>IF(A97="","",IFERROR(VLOOKUP(A97,DB_Customers!$A:$N,14,0),""))</f>
        <v/>
      </c>
      <c r="D97" s="81" t="str">
        <f t="shared" ca="1" si="6"/>
        <v/>
      </c>
      <c r="E97" s="97"/>
      <c r="F97" s="21"/>
      <c r="G97" s="98" t="str">
        <f t="shared" si="7"/>
        <v/>
      </c>
      <c r="H97" s="23"/>
      <c r="I97" s="84"/>
      <c r="J97" s="85" t="str">
        <f>IF(AND(A97&lt;&gt;"",E97&lt;&gt;""),IF(I97="","⚠️ Enter Code",IF(IFERROR(VLOOKUP(H97,DB_Agents!$B:$I,8,0),"")=I97,IF(C97&gt;=E97,"Successful","Unsuccessful"),"🔒 BLOCKED — Wrong Code")),"—")</f>
        <v>—</v>
      </c>
      <c r="K97" s="86" t="str">
        <f t="shared" ca="1" si="8"/>
        <v>—</v>
      </c>
      <c r="L97" s="87"/>
    </row>
    <row r="98" spans="1:12" x14ac:dyDescent="0.25">
      <c r="A98" s="88"/>
      <c r="B98" s="25" t="str">
        <f>IF(A98="","",IFERROR(VLOOKUP(A98,DB_Customers!$A:$D,4,0),"❌ Account Not Found"))</f>
        <v/>
      </c>
      <c r="C98" s="89" t="str">
        <f>IF(A98="","",IFERROR(VLOOKUP(A98,DB_Customers!$A:$N,14,0),""))</f>
        <v/>
      </c>
      <c r="D98" s="90" t="str">
        <f t="shared" ca="1" si="6"/>
        <v/>
      </c>
      <c r="E98" s="97"/>
      <c r="F98" s="25"/>
      <c r="G98" s="99" t="str">
        <f t="shared" si="7"/>
        <v/>
      </c>
      <c r="H98" s="27"/>
      <c r="I98" s="84"/>
      <c r="J98" s="92" t="str">
        <f>IF(AND(A98&lt;&gt;"",E98&lt;&gt;""),IF(I98="","⚠️ Enter Code",IF(IFERROR(VLOOKUP(H98,DB_Agents!$B:$I,8,0),"")=I98,IF(C98&gt;=E98,"Successful","Unsuccessful"),"🔒 BLOCKED — Wrong Code")),"—")</f>
        <v>—</v>
      </c>
      <c r="K98" s="93" t="str">
        <f t="shared" ca="1" si="8"/>
        <v>—</v>
      </c>
      <c r="L98" s="94"/>
    </row>
    <row r="99" spans="1:12" x14ac:dyDescent="0.25">
      <c r="A99" s="79"/>
      <c r="B99" s="21" t="str">
        <f>IF(A99="","",IFERROR(VLOOKUP(A99,DB_Customers!$A:$D,4,0),"❌ Account Not Found"))</f>
        <v/>
      </c>
      <c r="C99" s="80" t="str">
        <f>IF(A99="","",IFERROR(VLOOKUP(A99,DB_Customers!$A:$N,14,0),""))</f>
        <v/>
      </c>
      <c r="D99" s="81" t="str">
        <f t="shared" ca="1" si="6"/>
        <v/>
      </c>
      <c r="E99" s="97"/>
      <c r="F99" s="21"/>
      <c r="G99" s="98" t="str">
        <f t="shared" si="7"/>
        <v/>
      </c>
      <c r="H99" s="23"/>
      <c r="I99" s="84"/>
      <c r="J99" s="85" t="str">
        <f>IF(AND(A99&lt;&gt;"",E99&lt;&gt;""),IF(I99="","⚠️ Enter Code",IF(IFERROR(VLOOKUP(H99,DB_Agents!$B:$I,8,0),"")=I99,IF(C99&gt;=E99,"Successful","Unsuccessful"),"🔒 BLOCKED — Wrong Code")),"—")</f>
        <v>—</v>
      </c>
      <c r="K99" s="86" t="str">
        <f t="shared" ca="1" si="8"/>
        <v>—</v>
      </c>
      <c r="L99" s="87"/>
    </row>
    <row r="100" spans="1:12" x14ac:dyDescent="0.25">
      <c r="A100" s="88"/>
      <c r="B100" s="25" t="str">
        <f>IF(A100="","",IFERROR(VLOOKUP(A100,DB_Customers!$A:$D,4,0),"❌ Account Not Found"))</f>
        <v/>
      </c>
      <c r="C100" s="89" t="str">
        <f>IF(A100="","",IFERROR(VLOOKUP(A100,DB_Customers!$A:$N,14,0),""))</f>
        <v/>
      </c>
      <c r="D100" s="90" t="str">
        <f t="shared" ca="1" si="6"/>
        <v/>
      </c>
      <c r="E100" s="97"/>
      <c r="F100" s="25"/>
      <c r="G100" s="99" t="str">
        <f t="shared" si="7"/>
        <v/>
      </c>
      <c r="H100" s="27"/>
      <c r="I100" s="84"/>
      <c r="J100" s="92" t="str">
        <f>IF(AND(A100&lt;&gt;"",E100&lt;&gt;""),IF(I100="","⚠️ Enter Code",IF(IFERROR(VLOOKUP(H100,DB_Agents!$B:$I,8,0),"")=I100,IF(C100&gt;=E100,"Successful","Unsuccessful"),"🔒 BLOCKED — Wrong Code")),"—")</f>
        <v>—</v>
      </c>
      <c r="K100" s="93" t="str">
        <f t="shared" ca="1" si="8"/>
        <v>—</v>
      </c>
      <c r="L100" s="94"/>
    </row>
    <row r="101" spans="1:12" x14ac:dyDescent="0.25">
      <c r="A101" s="79"/>
      <c r="B101" s="21" t="str">
        <f>IF(A101="","",IFERROR(VLOOKUP(A101,DB_Customers!$A:$D,4,0),"❌ Account Not Found"))</f>
        <v/>
      </c>
      <c r="C101" s="80" t="str">
        <f>IF(A101="","",IFERROR(VLOOKUP(A101,DB_Customers!$A:$N,14,0),""))</f>
        <v/>
      </c>
      <c r="D101" s="81" t="str">
        <f t="shared" ca="1" si="6"/>
        <v/>
      </c>
      <c r="E101" s="97"/>
      <c r="F101" s="21"/>
      <c r="G101" s="98" t="str">
        <f t="shared" si="7"/>
        <v/>
      </c>
      <c r="H101" s="23"/>
      <c r="I101" s="84"/>
      <c r="J101" s="85" t="str">
        <f>IF(AND(A101&lt;&gt;"",E101&lt;&gt;""),IF(I101="","⚠️ Enter Code",IF(IFERROR(VLOOKUP(H101,DB_Agents!$B:$I,8,0),"")=I101,IF(C101&gt;=E101,"Successful","Unsuccessful"),"🔒 BLOCKED — Wrong Code")),"—")</f>
        <v>—</v>
      </c>
      <c r="K101" s="86" t="str">
        <f t="shared" ca="1" si="8"/>
        <v>—</v>
      </c>
      <c r="L101" s="87"/>
    </row>
    <row r="102" spans="1:12" x14ac:dyDescent="0.25">
      <c r="A102" s="88"/>
      <c r="B102" s="25" t="str">
        <f>IF(A102="","",IFERROR(VLOOKUP(A102,DB_Customers!$A:$D,4,0),"❌ Account Not Found"))</f>
        <v/>
      </c>
      <c r="C102" s="89" t="str">
        <f>IF(A102="","",IFERROR(VLOOKUP(A102,DB_Customers!$A:$N,14,0),""))</f>
        <v/>
      </c>
      <c r="D102" s="90" t="str">
        <f t="shared" ca="1" si="6"/>
        <v/>
      </c>
      <c r="E102" s="97"/>
      <c r="F102" s="25"/>
      <c r="G102" s="99" t="str">
        <f t="shared" si="7"/>
        <v/>
      </c>
      <c r="H102" s="27"/>
      <c r="I102" s="84"/>
      <c r="J102" s="92" t="str">
        <f>IF(AND(A102&lt;&gt;"",E102&lt;&gt;""),IF(I102="","⚠️ Enter Code",IF(IFERROR(VLOOKUP(H102,DB_Agents!$B:$I,8,0),"")=I102,IF(C102&gt;=E102,"Successful","Unsuccessful"),"🔒 BLOCKED — Wrong Code")),"—")</f>
        <v>—</v>
      </c>
      <c r="K102" s="93" t="str">
        <f t="shared" ca="1" si="8"/>
        <v>—</v>
      </c>
      <c r="L102" s="94"/>
    </row>
    <row r="103" spans="1:12" x14ac:dyDescent="0.25">
      <c r="A103" s="79"/>
      <c r="B103" s="21" t="str">
        <f>IF(A103="","",IFERROR(VLOOKUP(A103,DB_Customers!$A:$D,4,0),"❌ Account Not Found"))</f>
        <v/>
      </c>
      <c r="C103" s="80" t="str">
        <f>IF(A103="","",IFERROR(VLOOKUP(A103,DB_Customers!$A:$N,14,0),""))</f>
        <v/>
      </c>
      <c r="D103" s="81" t="str">
        <f t="shared" ca="1" si="6"/>
        <v/>
      </c>
      <c r="E103" s="97"/>
      <c r="F103" s="21"/>
      <c r="G103" s="98" t="str">
        <f t="shared" si="7"/>
        <v/>
      </c>
      <c r="H103" s="23"/>
      <c r="I103" s="84"/>
      <c r="J103" s="85" t="str">
        <f>IF(AND(A103&lt;&gt;"",E103&lt;&gt;""),IF(I103="","⚠️ Enter Code",IF(IFERROR(VLOOKUP(H103,DB_Agents!$B:$I,8,0),"")=I103,IF(C103&gt;=E103,"Successful","Unsuccessful"),"🔒 BLOCKED — Wrong Code")),"—")</f>
        <v>—</v>
      </c>
      <c r="K103" s="86" t="str">
        <f t="shared" ca="1" si="8"/>
        <v>—</v>
      </c>
      <c r="L103" s="87"/>
    </row>
    <row r="104" spans="1:12" x14ac:dyDescent="0.25">
      <c r="A104" s="88"/>
      <c r="B104" s="25" t="str">
        <f>IF(A104="","",IFERROR(VLOOKUP(A104,DB_Customers!$A:$D,4,0),"❌ Account Not Found"))</f>
        <v/>
      </c>
      <c r="C104" s="89" t="str">
        <f>IF(A104="","",IFERROR(VLOOKUP(A104,DB_Customers!$A:$N,14,0),""))</f>
        <v/>
      </c>
      <c r="D104" s="90" t="str">
        <f t="shared" ca="1" si="6"/>
        <v/>
      </c>
      <c r="E104" s="97"/>
      <c r="F104" s="25"/>
      <c r="G104" s="99" t="str">
        <f t="shared" si="7"/>
        <v/>
      </c>
      <c r="H104" s="27"/>
      <c r="I104" s="84"/>
      <c r="J104" s="92" t="str">
        <f>IF(AND(A104&lt;&gt;"",E104&lt;&gt;""),IF(I104="","⚠️ Enter Code",IF(IFERROR(VLOOKUP(H104,DB_Agents!$B:$I,8,0),"")=I104,IF(C104&gt;=E104,"Successful","Unsuccessful"),"🔒 BLOCKED — Wrong Code")),"—")</f>
        <v>—</v>
      </c>
      <c r="K104" s="93" t="str">
        <f t="shared" ca="1" si="8"/>
        <v>—</v>
      </c>
      <c r="L104" s="94"/>
    </row>
    <row r="105" spans="1:12" x14ac:dyDescent="0.25">
      <c r="A105" s="79"/>
      <c r="B105" s="21" t="str">
        <f>IF(A105="","",IFERROR(VLOOKUP(A105,DB_Customers!$A:$D,4,0),"❌ Account Not Found"))</f>
        <v/>
      </c>
      <c r="C105" s="80" t="str">
        <f>IF(A105="","",IFERROR(VLOOKUP(A105,DB_Customers!$A:$N,14,0),""))</f>
        <v/>
      </c>
      <c r="D105" s="81" t="str">
        <f t="shared" ref="D105:D136" ca="1" si="9">IF(A105="","",TODAY())</f>
        <v/>
      </c>
      <c r="E105" s="97"/>
      <c r="F105" s="21"/>
      <c r="G105" s="98" t="str">
        <f t="shared" ref="G105:G136" si="10">IF(OR(A105="",E105=""),"",IF(C105="","",C105-E105))</f>
        <v/>
      </c>
      <c r="H105" s="23"/>
      <c r="I105" s="84"/>
      <c r="J105" s="85" t="str">
        <f>IF(AND(A105&lt;&gt;"",E105&lt;&gt;""),IF(I105="","⚠️ Enter Code",IF(IFERROR(VLOOKUP(H105,DB_Agents!$B:$I,8,0),"")=I105,IF(C105&gt;=E105,"Successful","Unsuccessful"),"🔒 BLOCKED — Wrong Code")),"—")</f>
        <v>—</v>
      </c>
      <c r="K105" s="86" t="str">
        <f t="shared" ref="K105:K136" ca="1" si="11">IF(J105="Successful",TEXT(TODAY(),"YYYY-MM-DD")&amp;" Auto","—")</f>
        <v>—</v>
      </c>
      <c r="L105" s="87"/>
    </row>
    <row r="106" spans="1:12" x14ac:dyDescent="0.25">
      <c r="A106" s="88"/>
      <c r="B106" s="25" t="str">
        <f>IF(A106="","",IFERROR(VLOOKUP(A106,DB_Customers!$A:$D,4,0),"❌ Account Not Found"))</f>
        <v/>
      </c>
      <c r="C106" s="89" t="str">
        <f>IF(A106="","",IFERROR(VLOOKUP(A106,DB_Customers!$A:$N,14,0),""))</f>
        <v/>
      </c>
      <c r="D106" s="90" t="str">
        <f t="shared" ca="1" si="9"/>
        <v/>
      </c>
      <c r="E106" s="97"/>
      <c r="F106" s="25"/>
      <c r="G106" s="99" t="str">
        <f t="shared" si="10"/>
        <v/>
      </c>
      <c r="H106" s="27"/>
      <c r="I106" s="84"/>
      <c r="J106" s="92" t="str">
        <f>IF(AND(A106&lt;&gt;"",E106&lt;&gt;""),IF(I106="","⚠️ Enter Code",IF(IFERROR(VLOOKUP(H106,DB_Agents!$B:$I,8,0),"")=I106,IF(C106&gt;=E106,"Successful","Unsuccessful"),"🔒 BLOCKED — Wrong Code")),"—")</f>
        <v>—</v>
      </c>
      <c r="K106" s="93" t="str">
        <f t="shared" ca="1" si="11"/>
        <v>—</v>
      </c>
      <c r="L106" s="94"/>
    </row>
    <row r="107" spans="1:12" x14ac:dyDescent="0.25">
      <c r="A107" s="79"/>
      <c r="B107" s="21" t="str">
        <f>IF(A107="","",IFERROR(VLOOKUP(A107,DB_Customers!$A:$D,4,0),"❌ Account Not Found"))</f>
        <v/>
      </c>
      <c r="C107" s="80" t="str">
        <f>IF(A107="","",IFERROR(VLOOKUP(A107,DB_Customers!$A:$N,14,0),""))</f>
        <v/>
      </c>
      <c r="D107" s="81" t="str">
        <f t="shared" ca="1" si="9"/>
        <v/>
      </c>
      <c r="E107" s="97"/>
      <c r="F107" s="21"/>
      <c r="G107" s="98" t="str">
        <f t="shared" si="10"/>
        <v/>
      </c>
      <c r="H107" s="23"/>
      <c r="I107" s="84"/>
      <c r="J107" s="85" t="str">
        <f>IF(AND(A107&lt;&gt;"",E107&lt;&gt;""),IF(I107="","⚠️ Enter Code",IF(IFERROR(VLOOKUP(H107,DB_Agents!$B:$I,8,0),"")=I107,IF(C107&gt;=E107,"Successful","Unsuccessful"),"🔒 BLOCKED — Wrong Code")),"—")</f>
        <v>—</v>
      </c>
      <c r="K107" s="86" t="str">
        <f t="shared" ca="1" si="11"/>
        <v>—</v>
      </c>
      <c r="L107" s="87"/>
    </row>
    <row r="108" spans="1:12" x14ac:dyDescent="0.25">
      <c r="A108" s="88"/>
      <c r="B108" s="25" t="str">
        <f>IF(A108="","",IFERROR(VLOOKUP(A108,DB_Customers!$A:$D,4,0),"❌ Account Not Found"))</f>
        <v/>
      </c>
      <c r="C108" s="89" t="str">
        <f>IF(A108="","",IFERROR(VLOOKUP(A108,DB_Customers!$A:$N,14,0),""))</f>
        <v/>
      </c>
      <c r="D108" s="90" t="str">
        <f t="shared" ca="1" si="9"/>
        <v/>
      </c>
      <c r="E108" s="97"/>
      <c r="F108" s="25"/>
      <c r="G108" s="99" t="str">
        <f t="shared" si="10"/>
        <v/>
      </c>
      <c r="H108" s="27"/>
      <c r="I108" s="84"/>
      <c r="J108" s="92" t="str">
        <f>IF(AND(A108&lt;&gt;"",E108&lt;&gt;""),IF(I108="","⚠️ Enter Code",IF(IFERROR(VLOOKUP(H108,DB_Agents!$B:$I,8,0),"")=I108,IF(C108&gt;=E108,"Successful","Unsuccessful"),"🔒 BLOCKED — Wrong Code")),"—")</f>
        <v>—</v>
      </c>
      <c r="K108" s="93" t="str">
        <f t="shared" ca="1" si="11"/>
        <v>—</v>
      </c>
      <c r="L108" s="94"/>
    </row>
    <row r="109" spans="1:12" x14ac:dyDescent="0.25">
      <c r="A109" s="79"/>
      <c r="B109" s="21" t="str">
        <f>IF(A109="","",IFERROR(VLOOKUP(A109,DB_Customers!$A:$D,4,0),"❌ Account Not Found"))</f>
        <v/>
      </c>
      <c r="C109" s="80" t="str">
        <f>IF(A109="","",IFERROR(VLOOKUP(A109,DB_Customers!$A:$N,14,0),""))</f>
        <v/>
      </c>
      <c r="D109" s="81" t="str">
        <f t="shared" ca="1" si="9"/>
        <v/>
      </c>
      <c r="E109" s="97"/>
      <c r="F109" s="21"/>
      <c r="G109" s="98" t="str">
        <f t="shared" si="10"/>
        <v/>
      </c>
      <c r="H109" s="23"/>
      <c r="I109" s="84"/>
      <c r="J109" s="85" t="str">
        <f>IF(AND(A109&lt;&gt;"",E109&lt;&gt;""),IF(I109="","⚠️ Enter Code",IF(IFERROR(VLOOKUP(H109,DB_Agents!$B:$I,8,0),"")=I109,IF(C109&gt;=E109,"Successful","Unsuccessful"),"🔒 BLOCKED — Wrong Code")),"—")</f>
        <v>—</v>
      </c>
      <c r="K109" s="86" t="str">
        <f t="shared" ca="1" si="11"/>
        <v>—</v>
      </c>
      <c r="L109" s="87"/>
    </row>
    <row r="110" spans="1:12" x14ac:dyDescent="0.25">
      <c r="A110" s="88"/>
      <c r="B110" s="25" t="str">
        <f>IF(A110="","",IFERROR(VLOOKUP(A110,DB_Customers!$A:$D,4,0),"❌ Account Not Found"))</f>
        <v/>
      </c>
      <c r="C110" s="89" t="str">
        <f>IF(A110="","",IFERROR(VLOOKUP(A110,DB_Customers!$A:$N,14,0),""))</f>
        <v/>
      </c>
      <c r="D110" s="90" t="str">
        <f t="shared" ca="1" si="9"/>
        <v/>
      </c>
      <c r="E110" s="97"/>
      <c r="F110" s="25"/>
      <c r="G110" s="99" t="str">
        <f t="shared" si="10"/>
        <v/>
      </c>
      <c r="H110" s="27"/>
      <c r="I110" s="84"/>
      <c r="J110" s="92" t="str">
        <f>IF(AND(A110&lt;&gt;"",E110&lt;&gt;""),IF(I110="","⚠️ Enter Code",IF(IFERROR(VLOOKUP(H110,DB_Agents!$B:$I,8,0),"")=I110,IF(C110&gt;=E110,"Successful","Unsuccessful"),"🔒 BLOCKED — Wrong Code")),"—")</f>
        <v>—</v>
      </c>
      <c r="K110" s="93" t="str">
        <f t="shared" ca="1" si="11"/>
        <v>—</v>
      </c>
      <c r="L110" s="94"/>
    </row>
    <row r="111" spans="1:12" x14ac:dyDescent="0.25">
      <c r="A111" s="79"/>
      <c r="B111" s="21" t="str">
        <f>IF(A111="","",IFERROR(VLOOKUP(A111,DB_Customers!$A:$D,4,0),"❌ Account Not Found"))</f>
        <v/>
      </c>
      <c r="C111" s="80" t="str">
        <f>IF(A111="","",IFERROR(VLOOKUP(A111,DB_Customers!$A:$N,14,0),""))</f>
        <v/>
      </c>
      <c r="D111" s="81" t="str">
        <f t="shared" ca="1" si="9"/>
        <v/>
      </c>
      <c r="E111" s="97"/>
      <c r="F111" s="21"/>
      <c r="G111" s="98" t="str">
        <f t="shared" si="10"/>
        <v/>
      </c>
      <c r="H111" s="23"/>
      <c r="I111" s="84"/>
      <c r="J111" s="85" t="str">
        <f>IF(AND(A111&lt;&gt;"",E111&lt;&gt;""),IF(I111="","⚠️ Enter Code",IF(IFERROR(VLOOKUP(H111,DB_Agents!$B:$I,8,0),"")=I111,IF(C111&gt;=E111,"Successful","Unsuccessful"),"🔒 BLOCKED — Wrong Code")),"—")</f>
        <v>—</v>
      </c>
      <c r="K111" s="86" t="str">
        <f t="shared" ca="1" si="11"/>
        <v>—</v>
      </c>
      <c r="L111" s="87"/>
    </row>
    <row r="112" spans="1:12" x14ac:dyDescent="0.25">
      <c r="A112" s="88"/>
      <c r="B112" s="25" t="str">
        <f>IF(A112="","",IFERROR(VLOOKUP(A112,DB_Customers!$A:$D,4,0),"❌ Account Not Found"))</f>
        <v/>
      </c>
      <c r="C112" s="89" t="str">
        <f>IF(A112="","",IFERROR(VLOOKUP(A112,DB_Customers!$A:$N,14,0),""))</f>
        <v/>
      </c>
      <c r="D112" s="90" t="str">
        <f t="shared" ca="1" si="9"/>
        <v/>
      </c>
      <c r="E112" s="97"/>
      <c r="F112" s="25"/>
      <c r="G112" s="99" t="str">
        <f t="shared" si="10"/>
        <v/>
      </c>
      <c r="H112" s="27"/>
      <c r="I112" s="84"/>
      <c r="J112" s="92" t="str">
        <f>IF(AND(A112&lt;&gt;"",E112&lt;&gt;""),IF(I112="","⚠️ Enter Code",IF(IFERROR(VLOOKUP(H112,DB_Agents!$B:$I,8,0),"")=I112,IF(C112&gt;=E112,"Successful","Unsuccessful"),"🔒 BLOCKED — Wrong Code")),"—")</f>
        <v>—</v>
      </c>
      <c r="K112" s="93" t="str">
        <f t="shared" ca="1" si="11"/>
        <v>—</v>
      </c>
      <c r="L112" s="94"/>
    </row>
    <row r="113" spans="1:12" x14ac:dyDescent="0.25">
      <c r="A113" s="79"/>
      <c r="B113" s="21" t="str">
        <f>IF(A113="","",IFERROR(VLOOKUP(A113,DB_Customers!$A:$D,4,0),"❌ Account Not Found"))</f>
        <v/>
      </c>
      <c r="C113" s="80" t="str">
        <f>IF(A113="","",IFERROR(VLOOKUP(A113,DB_Customers!$A:$N,14,0),""))</f>
        <v/>
      </c>
      <c r="D113" s="81" t="str">
        <f t="shared" ca="1" si="9"/>
        <v/>
      </c>
      <c r="E113" s="97"/>
      <c r="F113" s="21"/>
      <c r="G113" s="98" t="str">
        <f t="shared" si="10"/>
        <v/>
      </c>
      <c r="H113" s="23"/>
      <c r="I113" s="84"/>
      <c r="J113" s="85" t="str">
        <f>IF(AND(A113&lt;&gt;"",E113&lt;&gt;""),IF(I113="","⚠️ Enter Code",IF(IFERROR(VLOOKUP(H113,DB_Agents!$B:$I,8,0),"")=I113,IF(C113&gt;=E113,"Successful","Unsuccessful"),"🔒 BLOCKED — Wrong Code")),"—")</f>
        <v>—</v>
      </c>
      <c r="K113" s="86" t="str">
        <f t="shared" ca="1" si="11"/>
        <v>—</v>
      </c>
      <c r="L113" s="87"/>
    </row>
    <row r="114" spans="1:12" x14ac:dyDescent="0.25">
      <c r="A114" s="88"/>
      <c r="B114" s="25" t="str">
        <f>IF(A114="","",IFERROR(VLOOKUP(A114,DB_Customers!$A:$D,4,0),"❌ Account Not Found"))</f>
        <v/>
      </c>
      <c r="C114" s="89" t="str">
        <f>IF(A114="","",IFERROR(VLOOKUP(A114,DB_Customers!$A:$N,14,0),""))</f>
        <v/>
      </c>
      <c r="D114" s="90" t="str">
        <f t="shared" ca="1" si="9"/>
        <v/>
      </c>
      <c r="E114" s="97"/>
      <c r="F114" s="25"/>
      <c r="G114" s="99" t="str">
        <f t="shared" si="10"/>
        <v/>
      </c>
      <c r="H114" s="27"/>
      <c r="I114" s="84"/>
      <c r="J114" s="92" t="str">
        <f>IF(AND(A114&lt;&gt;"",E114&lt;&gt;""),IF(I114="","⚠️ Enter Code",IF(IFERROR(VLOOKUP(H114,DB_Agents!$B:$I,8,0),"")=I114,IF(C114&gt;=E114,"Successful","Unsuccessful"),"🔒 BLOCKED — Wrong Code")),"—")</f>
        <v>—</v>
      </c>
      <c r="K114" s="93" t="str">
        <f t="shared" ca="1" si="11"/>
        <v>—</v>
      </c>
      <c r="L114" s="94"/>
    </row>
    <row r="115" spans="1:12" x14ac:dyDescent="0.25">
      <c r="A115" s="79"/>
      <c r="B115" s="21" t="str">
        <f>IF(A115="","",IFERROR(VLOOKUP(A115,DB_Customers!$A:$D,4,0),"❌ Account Not Found"))</f>
        <v/>
      </c>
      <c r="C115" s="80" t="str">
        <f>IF(A115="","",IFERROR(VLOOKUP(A115,DB_Customers!$A:$N,14,0),""))</f>
        <v/>
      </c>
      <c r="D115" s="81" t="str">
        <f t="shared" ca="1" si="9"/>
        <v/>
      </c>
      <c r="E115" s="97"/>
      <c r="F115" s="21"/>
      <c r="G115" s="98" t="str">
        <f t="shared" si="10"/>
        <v/>
      </c>
      <c r="H115" s="23"/>
      <c r="I115" s="84"/>
      <c r="J115" s="85" t="str">
        <f>IF(AND(A115&lt;&gt;"",E115&lt;&gt;""),IF(I115="","⚠️ Enter Code",IF(IFERROR(VLOOKUP(H115,DB_Agents!$B:$I,8,0),"")=I115,IF(C115&gt;=E115,"Successful","Unsuccessful"),"🔒 BLOCKED — Wrong Code")),"—")</f>
        <v>—</v>
      </c>
      <c r="K115" s="86" t="str">
        <f t="shared" ca="1" si="11"/>
        <v>—</v>
      </c>
      <c r="L115" s="87"/>
    </row>
    <row r="116" spans="1:12" x14ac:dyDescent="0.25">
      <c r="A116" s="88"/>
      <c r="B116" s="25" t="str">
        <f>IF(A116="","",IFERROR(VLOOKUP(A116,DB_Customers!$A:$D,4,0),"❌ Account Not Found"))</f>
        <v/>
      </c>
      <c r="C116" s="89" t="str">
        <f>IF(A116="","",IFERROR(VLOOKUP(A116,DB_Customers!$A:$N,14,0),""))</f>
        <v/>
      </c>
      <c r="D116" s="90" t="str">
        <f t="shared" ca="1" si="9"/>
        <v/>
      </c>
      <c r="E116" s="97"/>
      <c r="F116" s="25"/>
      <c r="G116" s="99" t="str">
        <f t="shared" si="10"/>
        <v/>
      </c>
      <c r="H116" s="27"/>
      <c r="I116" s="84"/>
      <c r="J116" s="92" t="str">
        <f>IF(AND(A116&lt;&gt;"",E116&lt;&gt;""),IF(I116="","⚠️ Enter Code",IF(IFERROR(VLOOKUP(H116,DB_Agents!$B:$I,8,0),"")=I116,IF(C116&gt;=E116,"Successful","Unsuccessful"),"🔒 BLOCKED — Wrong Code")),"—")</f>
        <v>—</v>
      </c>
      <c r="K116" s="93" t="str">
        <f t="shared" ca="1" si="11"/>
        <v>—</v>
      </c>
      <c r="L116" s="94"/>
    </row>
    <row r="117" spans="1:12" x14ac:dyDescent="0.25">
      <c r="A117" s="79"/>
      <c r="B117" s="21" t="str">
        <f>IF(A117="","",IFERROR(VLOOKUP(A117,DB_Customers!$A:$D,4,0),"❌ Account Not Found"))</f>
        <v/>
      </c>
      <c r="C117" s="80" t="str">
        <f>IF(A117="","",IFERROR(VLOOKUP(A117,DB_Customers!$A:$N,14,0),""))</f>
        <v/>
      </c>
      <c r="D117" s="81" t="str">
        <f t="shared" ca="1" si="9"/>
        <v/>
      </c>
      <c r="E117" s="97"/>
      <c r="F117" s="21"/>
      <c r="G117" s="98" t="str">
        <f t="shared" si="10"/>
        <v/>
      </c>
      <c r="H117" s="23"/>
      <c r="I117" s="84"/>
      <c r="J117" s="85" t="str">
        <f>IF(AND(A117&lt;&gt;"",E117&lt;&gt;""),IF(I117="","⚠️ Enter Code",IF(IFERROR(VLOOKUP(H117,DB_Agents!$B:$I,8,0),"")=I117,IF(C117&gt;=E117,"Successful","Unsuccessful"),"🔒 BLOCKED — Wrong Code")),"—")</f>
        <v>—</v>
      </c>
      <c r="K117" s="86" t="str">
        <f t="shared" ca="1" si="11"/>
        <v>—</v>
      </c>
      <c r="L117" s="87"/>
    </row>
    <row r="118" spans="1:12" x14ac:dyDescent="0.25">
      <c r="A118" s="88"/>
      <c r="B118" s="25" t="str">
        <f>IF(A118="","",IFERROR(VLOOKUP(A118,DB_Customers!$A:$D,4,0),"❌ Account Not Found"))</f>
        <v/>
      </c>
      <c r="C118" s="89" t="str">
        <f>IF(A118="","",IFERROR(VLOOKUP(A118,DB_Customers!$A:$N,14,0),""))</f>
        <v/>
      </c>
      <c r="D118" s="90" t="str">
        <f t="shared" ca="1" si="9"/>
        <v/>
      </c>
      <c r="E118" s="97"/>
      <c r="F118" s="25"/>
      <c r="G118" s="99" t="str">
        <f t="shared" si="10"/>
        <v/>
      </c>
      <c r="H118" s="27"/>
      <c r="I118" s="84"/>
      <c r="J118" s="92" t="str">
        <f>IF(AND(A118&lt;&gt;"",E118&lt;&gt;""),IF(I118="","⚠️ Enter Code",IF(IFERROR(VLOOKUP(H118,DB_Agents!$B:$I,8,0),"")=I118,IF(C118&gt;=E118,"Successful","Unsuccessful"),"🔒 BLOCKED — Wrong Code")),"—")</f>
        <v>—</v>
      </c>
      <c r="K118" s="93" t="str">
        <f t="shared" ca="1" si="11"/>
        <v>—</v>
      </c>
      <c r="L118" s="94"/>
    </row>
    <row r="119" spans="1:12" x14ac:dyDescent="0.25">
      <c r="A119" s="79"/>
      <c r="B119" s="21" t="str">
        <f>IF(A119="","",IFERROR(VLOOKUP(A119,DB_Customers!$A:$D,4,0),"❌ Account Not Found"))</f>
        <v/>
      </c>
      <c r="C119" s="80" t="str">
        <f>IF(A119="","",IFERROR(VLOOKUP(A119,DB_Customers!$A:$N,14,0),""))</f>
        <v/>
      </c>
      <c r="D119" s="81" t="str">
        <f t="shared" ca="1" si="9"/>
        <v/>
      </c>
      <c r="E119" s="97"/>
      <c r="F119" s="21"/>
      <c r="G119" s="98" t="str">
        <f t="shared" si="10"/>
        <v/>
      </c>
      <c r="H119" s="23"/>
      <c r="I119" s="84"/>
      <c r="J119" s="85" t="str">
        <f>IF(AND(A119&lt;&gt;"",E119&lt;&gt;""),IF(I119="","⚠️ Enter Code",IF(IFERROR(VLOOKUP(H119,DB_Agents!$B:$I,8,0),"")=I119,IF(C119&gt;=E119,"Successful","Unsuccessful"),"🔒 BLOCKED — Wrong Code")),"—")</f>
        <v>—</v>
      </c>
      <c r="K119" s="86" t="str">
        <f t="shared" ca="1" si="11"/>
        <v>—</v>
      </c>
      <c r="L119" s="87"/>
    </row>
    <row r="120" spans="1:12" x14ac:dyDescent="0.25">
      <c r="A120" s="88"/>
      <c r="B120" s="25" t="str">
        <f>IF(A120="","",IFERROR(VLOOKUP(A120,DB_Customers!$A:$D,4,0),"❌ Account Not Found"))</f>
        <v/>
      </c>
      <c r="C120" s="89" t="str">
        <f>IF(A120="","",IFERROR(VLOOKUP(A120,DB_Customers!$A:$N,14,0),""))</f>
        <v/>
      </c>
      <c r="D120" s="90" t="str">
        <f t="shared" ca="1" si="9"/>
        <v/>
      </c>
      <c r="E120" s="97"/>
      <c r="F120" s="25"/>
      <c r="G120" s="99" t="str">
        <f t="shared" si="10"/>
        <v/>
      </c>
      <c r="H120" s="27"/>
      <c r="I120" s="84"/>
      <c r="J120" s="92" t="str">
        <f>IF(AND(A120&lt;&gt;"",E120&lt;&gt;""),IF(I120="","⚠️ Enter Code",IF(IFERROR(VLOOKUP(H120,DB_Agents!$B:$I,8,0),"")=I120,IF(C120&gt;=E120,"Successful","Unsuccessful"),"🔒 BLOCKED — Wrong Code")),"—")</f>
        <v>—</v>
      </c>
      <c r="K120" s="93" t="str">
        <f t="shared" ca="1" si="11"/>
        <v>—</v>
      </c>
      <c r="L120" s="94"/>
    </row>
    <row r="121" spans="1:12" x14ac:dyDescent="0.25">
      <c r="A121" s="79"/>
      <c r="B121" s="21" t="str">
        <f>IF(A121="","",IFERROR(VLOOKUP(A121,DB_Customers!$A:$D,4,0),"❌ Account Not Found"))</f>
        <v/>
      </c>
      <c r="C121" s="80" t="str">
        <f>IF(A121="","",IFERROR(VLOOKUP(A121,DB_Customers!$A:$N,14,0),""))</f>
        <v/>
      </c>
      <c r="D121" s="81" t="str">
        <f t="shared" ca="1" si="9"/>
        <v/>
      </c>
      <c r="E121" s="97"/>
      <c r="F121" s="21"/>
      <c r="G121" s="98" t="str">
        <f t="shared" si="10"/>
        <v/>
      </c>
      <c r="H121" s="23"/>
      <c r="I121" s="84"/>
      <c r="J121" s="85" t="str">
        <f>IF(AND(A121&lt;&gt;"",E121&lt;&gt;""),IF(I121="","⚠️ Enter Code",IF(IFERROR(VLOOKUP(H121,DB_Agents!$B:$I,8,0),"")=I121,IF(C121&gt;=E121,"Successful","Unsuccessful"),"🔒 BLOCKED — Wrong Code")),"—")</f>
        <v>—</v>
      </c>
      <c r="K121" s="86" t="str">
        <f t="shared" ca="1" si="11"/>
        <v>—</v>
      </c>
      <c r="L121" s="87"/>
    </row>
    <row r="122" spans="1:12" x14ac:dyDescent="0.25">
      <c r="A122" s="88"/>
      <c r="B122" s="25" t="str">
        <f>IF(A122="","",IFERROR(VLOOKUP(A122,DB_Customers!$A:$D,4,0),"❌ Account Not Found"))</f>
        <v/>
      </c>
      <c r="C122" s="89" t="str">
        <f>IF(A122="","",IFERROR(VLOOKUP(A122,DB_Customers!$A:$N,14,0),""))</f>
        <v/>
      </c>
      <c r="D122" s="90" t="str">
        <f t="shared" ca="1" si="9"/>
        <v/>
      </c>
      <c r="E122" s="97"/>
      <c r="F122" s="25"/>
      <c r="G122" s="99" t="str">
        <f t="shared" si="10"/>
        <v/>
      </c>
      <c r="H122" s="27"/>
      <c r="I122" s="84"/>
      <c r="J122" s="92" t="str">
        <f>IF(AND(A122&lt;&gt;"",E122&lt;&gt;""),IF(I122="","⚠️ Enter Code",IF(IFERROR(VLOOKUP(H122,DB_Agents!$B:$I,8,0),"")=I122,IF(C122&gt;=E122,"Successful","Unsuccessful"),"🔒 BLOCKED — Wrong Code")),"—")</f>
        <v>—</v>
      </c>
      <c r="K122" s="93" t="str">
        <f t="shared" ca="1" si="11"/>
        <v>—</v>
      </c>
      <c r="L122" s="94"/>
    </row>
    <row r="123" spans="1:12" x14ac:dyDescent="0.25">
      <c r="A123" s="79"/>
      <c r="B123" s="21" t="str">
        <f>IF(A123="","",IFERROR(VLOOKUP(A123,DB_Customers!$A:$D,4,0),"❌ Account Not Found"))</f>
        <v/>
      </c>
      <c r="C123" s="80" t="str">
        <f>IF(A123="","",IFERROR(VLOOKUP(A123,DB_Customers!$A:$N,14,0),""))</f>
        <v/>
      </c>
      <c r="D123" s="81" t="str">
        <f t="shared" ca="1" si="9"/>
        <v/>
      </c>
      <c r="E123" s="97"/>
      <c r="F123" s="21"/>
      <c r="G123" s="98" t="str">
        <f t="shared" si="10"/>
        <v/>
      </c>
      <c r="H123" s="23"/>
      <c r="I123" s="84"/>
      <c r="J123" s="85" t="str">
        <f>IF(AND(A123&lt;&gt;"",E123&lt;&gt;""),IF(I123="","⚠️ Enter Code",IF(IFERROR(VLOOKUP(H123,DB_Agents!$B:$I,8,0),"")=I123,IF(C123&gt;=E123,"Successful","Unsuccessful"),"🔒 BLOCKED — Wrong Code")),"—")</f>
        <v>—</v>
      </c>
      <c r="K123" s="86" t="str">
        <f t="shared" ca="1" si="11"/>
        <v>—</v>
      </c>
      <c r="L123" s="87"/>
    </row>
    <row r="124" spans="1:12" x14ac:dyDescent="0.25">
      <c r="A124" s="88"/>
      <c r="B124" s="25" t="str">
        <f>IF(A124="","",IFERROR(VLOOKUP(A124,DB_Customers!$A:$D,4,0),"❌ Account Not Found"))</f>
        <v/>
      </c>
      <c r="C124" s="89" t="str">
        <f>IF(A124="","",IFERROR(VLOOKUP(A124,DB_Customers!$A:$N,14,0),""))</f>
        <v/>
      </c>
      <c r="D124" s="90" t="str">
        <f t="shared" ca="1" si="9"/>
        <v/>
      </c>
      <c r="E124" s="97"/>
      <c r="F124" s="25"/>
      <c r="G124" s="99" t="str">
        <f t="shared" si="10"/>
        <v/>
      </c>
      <c r="H124" s="27"/>
      <c r="I124" s="84"/>
      <c r="J124" s="92" t="str">
        <f>IF(AND(A124&lt;&gt;"",E124&lt;&gt;""),IF(I124="","⚠️ Enter Code",IF(IFERROR(VLOOKUP(H124,DB_Agents!$B:$I,8,0),"")=I124,IF(C124&gt;=E124,"Successful","Unsuccessful"),"🔒 BLOCKED — Wrong Code")),"—")</f>
        <v>—</v>
      </c>
      <c r="K124" s="93" t="str">
        <f t="shared" ca="1" si="11"/>
        <v>—</v>
      </c>
      <c r="L124" s="94"/>
    </row>
    <row r="125" spans="1:12" x14ac:dyDescent="0.25">
      <c r="A125" s="79"/>
      <c r="B125" s="21" t="str">
        <f>IF(A125="","",IFERROR(VLOOKUP(A125,DB_Customers!$A:$D,4,0),"❌ Account Not Found"))</f>
        <v/>
      </c>
      <c r="C125" s="80" t="str">
        <f>IF(A125="","",IFERROR(VLOOKUP(A125,DB_Customers!$A:$N,14,0),""))</f>
        <v/>
      </c>
      <c r="D125" s="81" t="str">
        <f t="shared" ca="1" si="9"/>
        <v/>
      </c>
      <c r="E125" s="97"/>
      <c r="F125" s="21"/>
      <c r="G125" s="98" t="str">
        <f t="shared" si="10"/>
        <v/>
      </c>
      <c r="H125" s="23"/>
      <c r="I125" s="84"/>
      <c r="J125" s="85" t="str">
        <f>IF(AND(A125&lt;&gt;"",E125&lt;&gt;""),IF(I125="","⚠️ Enter Code",IF(IFERROR(VLOOKUP(H125,DB_Agents!$B:$I,8,0),"")=I125,IF(C125&gt;=E125,"Successful","Unsuccessful"),"🔒 BLOCKED — Wrong Code")),"—")</f>
        <v>—</v>
      </c>
      <c r="K125" s="86" t="str">
        <f t="shared" ca="1" si="11"/>
        <v>—</v>
      </c>
      <c r="L125" s="87"/>
    </row>
    <row r="126" spans="1:12" x14ac:dyDescent="0.25">
      <c r="A126" s="88"/>
      <c r="B126" s="25" t="str">
        <f>IF(A126="","",IFERROR(VLOOKUP(A126,DB_Customers!$A:$D,4,0),"❌ Account Not Found"))</f>
        <v/>
      </c>
      <c r="C126" s="89" t="str">
        <f>IF(A126="","",IFERROR(VLOOKUP(A126,DB_Customers!$A:$N,14,0),""))</f>
        <v/>
      </c>
      <c r="D126" s="90" t="str">
        <f t="shared" ca="1" si="9"/>
        <v/>
      </c>
      <c r="E126" s="97"/>
      <c r="F126" s="25"/>
      <c r="G126" s="99" t="str">
        <f t="shared" si="10"/>
        <v/>
      </c>
      <c r="H126" s="27"/>
      <c r="I126" s="84"/>
      <c r="J126" s="92" t="str">
        <f>IF(AND(A126&lt;&gt;"",E126&lt;&gt;""),IF(I126="","⚠️ Enter Code",IF(IFERROR(VLOOKUP(H126,DB_Agents!$B:$I,8,0),"")=I126,IF(C126&gt;=E126,"Successful","Unsuccessful"),"🔒 BLOCKED — Wrong Code")),"—")</f>
        <v>—</v>
      </c>
      <c r="K126" s="93" t="str">
        <f t="shared" ca="1" si="11"/>
        <v>—</v>
      </c>
      <c r="L126" s="94"/>
    </row>
    <row r="127" spans="1:12" x14ac:dyDescent="0.25">
      <c r="A127" s="79"/>
      <c r="B127" s="21" t="str">
        <f>IF(A127="","",IFERROR(VLOOKUP(A127,DB_Customers!$A:$D,4,0),"❌ Account Not Found"))</f>
        <v/>
      </c>
      <c r="C127" s="80" t="str">
        <f>IF(A127="","",IFERROR(VLOOKUP(A127,DB_Customers!$A:$N,14,0),""))</f>
        <v/>
      </c>
      <c r="D127" s="81" t="str">
        <f t="shared" ca="1" si="9"/>
        <v/>
      </c>
      <c r="E127" s="97"/>
      <c r="F127" s="21"/>
      <c r="G127" s="98" t="str">
        <f t="shared" si="10"/>
        <v/>
      </c>
      <c r="H127" s="23"/>
      <c r="I127" s="84"/>
      <c r="J127" s="85" t="str">
        <f>IF(AND(A127&lt;&gt;"",E127&lt;&gt;""),IF(I127="","⚠️ Enter Code",IF(IFERROR(VLOOKUP(H127,DB_Agents!$B:$I,8,0),"")=I127,IF(C127&gt;=E127,"Successful","Unsuccessful"),"🔒 BLOCKED — Wrong Code")),"—")</f>
        <v>—</v>
      </c>
      <c r="K127" s="86" t="str">
        <f t="shared" ca="1" si="11"/>
        <v>—</v>
      </c>
      <c r="L127" s="87"/>
    </row>
    <row r="128" spans="1:12" x14ac:dyDescent="0.25">
      <c r="A128" s="88"/>
      <c r="B128" s="25" t="str">
        <f>IF(A128="","",IFERROR(VLOOKUP(A128,DB_Customers!$A:$D,4,0),"❌ Account Not Found"))</f>
        <v/>
      </c>
      <c r="C128" s="89" t="str">
        <f>IF(A128="","",IFERROR(VLOOKUP(A128,DB_Customers!$A:$N,14,0),""))</f>
        <v/>
      </c>
      <c r="D128" s="90" t="str">
        <f t="shared" ca="1" si="9"/>
        <v/>
      </c>
      <c r="E128" s="97"/>
      <c r="F128" s="25"/>
      <c r="G128" s="99" t="str">
        <f t="shared" si="10"/>
        <v/>
      </c>
      <c r="H128" s="27"/>
      <c r="I128" s="84"/>
      <c r="J128" s="92" t="str">
        <f>IF(AND(A128&lt;&gt;"",E128&lt;&gt;""),IF(I128="","⚠️ Enter Code",IF(IFERROR(VLOOKUP(H128,DB_Agents!$B:$I,8,0),"")=I128,IF(C128&gt;=E128,"Successful","Unsuccessful"),"🔒 BLOCKED — Wrong Code")),"—")</f>
        <v>—</v>
      </c>
      <c r="K128" s="93" t="str">
        <f t="shared" ca="1" si="11"/>
        <v>—</v>
      </c>
      <c r="L128" s="94"/>
    </row>
    <row r="129" spans="1:12" x14ac:dyDescent="0.25">
      <c r="A129" s="79"/>
      <c r="B129" s="21" t="str">
        <f>IF(A129="","",IFERROR(VLOOKUP(A129,DB_Customers!$A:$D,4,0),"❌ Account Not Found"))</f>
        <v/>
      </c>
      <c r="C129" s="80" t="str">
        <f>IF(A129="","",IFERROR(VLOOKUP(A129,DB_Customers!$A:$N,14,0),""))</f>
        <v/>
      </c>
      <c r="D129" s="81" t="str">
        <f t="shared" ca="1" si="9"/>
        <v/>
      </c>
      <c r="E129" s="97"/>
      <c r="F129" s="21"/>
      <c r="G129" s="98" t="str">
        <f t="shared" si="10"/>
        <v/>
      </c>
      <c r="H129" s="23"/>
      <c r="I129" s="84"/>
      <c r="J129" s="85" t="str">
        <f>IF(AND(A129&lt;&gt;"",E129&lt;&gt;""),IF(I129="","⚠️ Enter Code",IF(IFERROR(VLOOKUP(H129,DB_Agents!$B:$I,8,0),"")=I129,IF(C129&gt;=E129,"Successful","Unsuccessful"),"🔒 BLOCKED — Wrong Code")),"—")</f>
        <v>—</v>
      </c>
      <c r="K129" s="86" t="str">
        <f t="shared" ca="1" si="11"/>
        <v>—</v>
      </c>
      <c r="L129" s="87"/>
    </row>
    <row r="130" spans="1:12" x14ac:dyDescent="0.25">
      <c r="A130" s="88"/>
      <c r="B130" s="25" t="str">
        <f>IF(A130="","",IFERROR(VLOOKUP(A130,DB_Customers!$A:$D,4,0),"❌ Account Not Found"))</f>
        <v/>
      </c>
      <c r="C130" s="89" t="str">
        <f>IF(A130="","",IFERROR(VLOOKUP(A130,DB_Customers!$A:$N,14,0),""))</f>
        <v/>
      </c>
      <c r="D130" s="90" t="str">
        <f t="shared" ca="1" si="9"/>
        <v/>
      </c>
      <c r="E130" s="97"/>
      <c r="F130" s="25"/>
      <c r="G130" s="99" t="str">
        <f t="shared" si="10"/>
        <v/>
      </c>
      <c r="H130" s="27"/>
      <c r="I130" s="84"/>
      <c r="J130" s="92" t="str">
        <f>IF(AND(A130&lt;&gt;"",E130&lt;&gt;""),IF(I130="","⚠️ Enter Code",IF(IFERROR(VLOOKUP(H130,DB_Agents!$B:$I,8,0),"")=I130,IF(C130&gt;=E130,"Successful","Unsuccessful"),"🔒 BLOCKED — Wrong Code")),"—")</f>
        <v>—</v>
      </c>
      <c r="K130" s="93" t="str">
        <f t="shared" ca="1" si="11"/>
        <v>—</v>
      </c>
      <c r="L130" s="94"/>
    </row>
    <row r="131" spans="1:12" x14ac:dyDescent="0.25">
      <c r="A131" s="79"/>
      <c r="B131" s="21" t="str">
        <f>IF(A131="","",IFERROR(VLOOKUP(A131,DB_Customers!$A:$D,4,0),"❌ Account Not Found"))</f>
        <v/>
      </c>
      <c r="C131" s="80" t="str">
        <f>IF(A131="","",IFERROR(VLOOKUP(A131,DB_Customers!$A:$N,14,0),""))</f>
        <v/>
      </c>
      <c r="D131" s="81" t="str">
        <f t="shared" ca="1" si="9"/>
        <v/>
      </c>
      <c r="E131" s="97"/>
      <c r="F131" s="21"/>
      <c r="G131" s="98" t="str">
        <f t="shared" si="10"/>
        <v/>
      </c>
      <c r="H131" s="23"/>
      <c r="I131" s="84"/>
      <c r="J131" s="85" t="str">
        <f>IF(AND(A131&lt;&gt;"",E131&lt;&gt;""),IF(I131="","⚠️ Enter Code",IF(IFERROR(VLOOKUP(H131,DB_Agents!$B:$I,8,0),"")=I131,IF(C131&gt;=E131,"Successful","Unsuccessful"),"🔒 BLOCKED — Wrong Code")),"—")</f>
        <v>—</v>
      </c>
      <c r="K131" s="86" t="str">
        <f t="shared" ca="1" si="11"/>
        <v>—</v>
      </c>
      <c r="L131" s="87"/>
    </row>
    <row r="132" spans="1:12" x14ac:dyDescent="0.25">
      <c r="A132" s="88"/>
      <c r="B132" s="25" t="str">
        <f>IF(A132="","",IFERROR(VLOOKUP(A132,DB_Customers!$A:$D,4,0),"❌ Account Not Found"))</f>
        <v/>
      </c>
      <c r="C132" s="89" t="str">
        <f>IF(A132="","",IFERROR(VLOOKUP(A132,DB_Customers!$A:$N,14,0),""))</f>
        <v/>
      </c>
      <c r="D132" s="90" t="str">
        <f t="shared" ca="1" si="9"/>
        <v/>
      </c>
      <c r="E132" s="97"/>
      <c r="F132" s="25"/>
      <c r="G132" s="99" t="str">
        <f t="shared" si="10"/>
        <v/>
      </c>
      <c r="H132" s="27"/>
      <c r="I132" s="84"/>
      <c r="J132" s="92" t="str">
        <f>IF(AND(A132&lt;&gt;"",E132&lt;&gt;""),IF(I132="","⚠️ Enter Code",IF(IFERROR(VLOOKUP(H132,DB_Agents!$B:$I,8,0),"")=I132,IF(C132&gt;=E132,"Successful","Unsuccessful"),"🔒 BLOCKED — Wrong Code")),"—")</f>
        <v>—</v>
      </c>
      <c r="K132" s="93" t="str">
        <f t="shared" ca="1" si="11"/>
        <v>—</v>
      </c>
      <c r="L132" s="94"/>
    </row>
    <row r="133" spans="1:12" x14ac:dyDescent="0.25">
      <c r="A133" s="79"/>
      <c r="B133" s="21" t="str">
        <f>IF(A133="","",IFERROR(VLOOKUP(A133,DB_Customers!$A:$D,4,0),"❌ Account Not Found"))</f>
        <v/>
      </c>
      <c r="C133" s="80" t="str">
        <f>IF(A133="","",IFERROR(VLOOKUP(A133,DB_Customers!$A:$N,14,0),""))</f>
        <v/>
      </c>
      <c r="D133" s="81" t="str">
        <f t="shared" ca="1" si="9"/>
        <v/>
      </c>
      <c r="E133" s="97"/>
      <c r="F133" s="21"/>
      <c r="G133" s="98" t="str">
        <f t="shared" si="10"/>
        <v/>
      </c>
      <c r="H133" s="23"/>
      <c r="I133" s="84"/>
      <c r="J133" s="85" t="str">
        <f>IF(AND(A133&lt;&gt;"",E133&lt;&gt;""),IF(I133="","⚠️ Enter Code",IF(IFERROR(VLOOKUP(H133,DB_Agents!$B:$I,8,0),"")=I133,IF(C133&gt;=E133,"Successful","Unsuccessful"),"🔒 BLOCKED — Wrong Code")),"—")</f>
        <v>—</v>
      </c>
      <c r="K133" s="86" t="str">
        <f t="shared" ca="1" si="11"/>
        <v>—</v>
      </c>
      <c r="L133" s="87"/>
    </row>
    <row r="134" spans="1:12" x14ac:dyDescent="0.25">
      <c r="A134" s="88"/>
      <c r="B134" s="25" t="str">
        <f>IF(A134="","",IFERROR(VLOOKUP(A134,DB_Customers!$A:$D,4,0),"❌ Account Not Found"))</f>
        <v/>
      </c>
      <c r="C134" s="89" t="str">
        <f>IF(A134="","",IFERROR(VLOOKUP(A134,DB_Customers!$A:$N,14,0),""))</f>
        <v/>
      </c>
      <c r="D134" s="90" t="str">
        <f t="shared" ca="1" si="9"/>
        <v/>
      </c>
      <c r="E134" s="97"/>
      <c r="F134" s="25"/>
      <c r="G134" s="99" t="str">
        <f t="shared" si="10"/>
        <v/>
      </c>
      <c r="H134" s="27"/>
      <c r="I134" s="84"/>
      <c r="J134" s="92" t="str">
        <f>IF(AND(A134&lt;&gt;"",E134&lt;&gt;""),IF(I134="","⚠️ Enter Code",IF(IFERROR(VLOOKUP(H134,DB_Agents!$B:$I,8,0),"")=I134,IF(C134&gt;=E134,"Successful","Unsuccessful"),"🔒 BLOCKED — Wrong Code")),"—")</f>
        <v>—</v>
      </c>
      <c r="K134" s="93" t="str">
        <f t="shared" ca="1" si="11"/>
        <v>—</v>
      </c>
      <c r="L134" s="94"/>
    </row>
    <row r="135" spans="1:12" x14ac:dyDescent="0.25">
      <c r="A135" s="79"/>
      <c r="B135" s="21" t="str">
        <f>IF(A135="","",IFERROR(VLOOKUP(A135,DB_Customers!$A:$D,4,0),"❌ Account Not Found"))</f>
        <v/>
      </c>
      <c r="C135" s="80" t="str">
        <f>IF(A135="","",IFERROR(VLOOKUP(A135,DB_Customers!$A:$N,14,0),""))</f>
        <v/>
      </c>
      <c r="D135" s="81" t="str">
        <f t="shared" ca="1" si="9"/>
        <v/>
      </c>
      <c r="E135" s="97"/>
      <c r="F135" s="21"/>
      <c r="G135" s="98" t="str">
        <f t="shared" si="10"/>
        <v/>
      </c>
      <c r="H135" s="23"/>
      <c r="I135" s="84"/>
      <c r="J135" s="85" t="str">
        <f>IF(AND(A135&lt;&gt;"",E135&lt;&gt;""),IF(I135="","⚠️ Enter Code",IF(IFERROR(VLOOKUP(H135,DB_Agents!$B:$I,8,0),"")=I135,IF(C135&gt;=E135,"Successful","Unsuccessful"),"🔒 BLOCKED — Wrong Code")),"—")</f>
        <v>—</v>
      </c>
      <c r="K135" s="86" t="str">
        <f t="shared" ca="1" si="11"/>
        <v>—</v>
      </c>
      <c r="L135" s="87"/>
    </row>
    <row r="136" spans="1:12" x14ac:dyDescent="0.25">
      <c r="A136" s="88"/>
      <c r="B136" s="25" t="str">
        <f>IF(A136="","",IFERROR(VLOOKUP(A136,DB_Customers!$A:$D,4,0),"❌ Account Not Found"))</f>
        <v/>
      </c>
      <c r="C136" s="89" t="str">
        <f>IF(A136="","",IFERROR(VLOOKUP(A136,DB_Customers!$A:$N,14,0),""))</f>
        <v/>
      </c>
      <c r="D136" s="90" t="str">
        <f t="shared" ca="1" si="9"/>
        <v/>
      </c>
      <c r="E136" s="97"/>
      <c r="F136" s="25"/>
      <c r="G136" s="99" t="str">
        <f t="shared" si="10"/>
        <v/>
      </c>
      <c r="H136" s="27"/>
      <c r="I136" s="84"/>
      <c r="J136" s="92" t="str">
        <f>IF(AND(A136&lt;&gt;"",E136&lt;&gt;""),IF(I136="","⚠️ Enter Code",IF(IFERROR(VLOOKUP(H136,DB_Agents!$B:$I,8,0),"")=I136,IF(C136&gt;=E136,"Successful","Unsuccessful"),"🔒 BLOCKED — Wrong Code")),"—")</f>
        <v>—</v>
      </c>
      <c r="K136" s="93" t="str">
        <f t="shared" ca="1" si="11"/>
        <v>—</v>
      </c>
      <c r="L136" s="94"/>
    </row>
    <row r="137" spans="1:12" x14ac:dyDescent="0.25">
      <c r="A137" s="79"/>
      <c r="B137" s="21" t="str">
        <f>IF(A137="","",IFERROR(VLOOKUP(A137,DB_Customers!$A:$D,4,0),"❌ Account Not Found"))</f>
        <v/>
      </c>
      <c r="C137" s="80" t="str">
        <f>IF(A137="","",IFERROR(VLOOKUP(A137,DB_Customers!$A:$N,14,0),""))</f>
        <v/>
      </c>
      <c r="D137" s="81" t="str">
        <f t="shared" ref="D137:D168" ca="1" si="12">IF(A137="","",TODAY())</f>
        <v/>
      </c>
      <c r="E137" s="97"/>
      <c r="F137" s="21"/>
      <c r="G137" s="98" t="str">
        <f t="shared" ref="G137:G168" si="13">IF(OR(A137="",E137=""),"",IF(C137="","",C137-E137))</f>
        <v/>
      </c>
      <c r="H137" s="23"/>
      <c r="I137" s="84"/>
      <c r="J137" s="85" t="str">
        <f>IF(AND(A137&lt;&gt;"",E137&lt;&gt;""),IF(I137="","⚠️ Enter Code",IF(IFERROR(VLOOKUP(H137,DB_Agents!$B:$I,8,0),"")=I137,IF(C137&gt;=E137,"Successful","Unsuccessful"),"🔒 BLOCKED — Wrong Code")),"—")</f>
        <v>—</v>
      </c>
      <c r="K137" s="86" t="str">
        <f t="shared" ref="K137:K168" ca="1" si="14">IF(J137="Successful",TEXT(TODAY(),"YYYY-MM-DD")&amp;" Auto","—")</f>
        <v>—</v>
      </c>
      <c r="L137" s="87"/>
    </row>
    <row r="138" spans="1:12" x14ac:dyDescent="0.25">
      <c r="A138" s="88"/>
      <c r="B138" s="25" t="str">
        <f>IF(A138="","",IFERROR(VLOOKUP(A138,DB_Customers!$A:$D,4,0),"❌ Account Not Found"))</f>
        <v/>
      </c>
      <c r="C138" s="89" t="str">
        <f>IF(A138="","",IFERROR(VLOOKUP(A138,DB_Customers!$A:$N,14,0),""))</f>
        <v/>
      </c>
      <c r="D138" s="90" t="str">
        <f t="shared" ca="1" si="12"/>
        <v/>
      </c>
      <c r="E138" s="97"/>
      <c r="F138" s="25"/>
      <c r="G138" s="99" t="str">
        <f t="shared" si="13"/>
        <v/>
      </c>
      <c r="H138" s="27"/>
      <c r="I138" s="84"/>
      <c r="J138" s="92" t="str">
        <f>IF(AND(A138&lt;&gt;"",E138&lt;&gt;""),IF(I138="","⚠️ Enter Code",IF(IFERROR(VLOOKUP(H138,DB_Agents!$B:$I,8,0),"")=I138,IF(C138&gt;=E138,"Successful","Unsuccessful"),"🔒 BLOCKED — Wrong Code")),"—")</f>
        <v>—</v>
      </c>
      <c r="K138" s="93" t="str">
        <f t="shared" ca="1" si="14"/>
        <v>—</v>
      </c>
      <c r="L138" s="94"/>
    </row>
    <row r="139" spans="1:12" x14ac:dyDescent="0.25">
      <c r="A139" s="79"/>
      <c r="B139" s="21" t="str">
        <f>IF(A139="","",IFERROR(VLOOKUP(A139,DB_Customers!$A:$D,4,0),"❌ Account Not Found"))</f>
        <v/>
      </c>
      <c r="C139" s="80" t="str">
        <f>IF(A139="","",IFERROR(VLOOKUP(A139,DB_Customers!$A:$N,14,0),""))</f>
        <v/>
      </c>
      <c r="D139" s="81" t="str">
        <f t="shared" ca="1" si="12"/>
        <v/>
      </c>
      <c r="E139" s="97"/>
      <c r="F139" s="21"/>
      <c r="G139" s="98" t="str">
        <f t="shared" si="13"/>
        <v/>
      </c>
      <c r="H139" s="23"/>
      <c r="I139" s="84"/>
      <c r="J139" s="85" t="str">
        <f>IF(AND(A139&lt;&gt;"",E139&lt;&gt;""),IF(I139="","⚠️ Enter Code",IF(IFERROR(VLOOKUP(H139,DB_Agents!$B:$I,8,0),"")=I139,IF(C139&gt;=E139,"Successful","Unsuccessful"),"🔒 BLOCKED — Wrong Code")),"—")</f>
        <v>—</v>
      </c>
      <c r="K139" s="86" t="str">
        <f t="shared" ca="1" si="14"/>
        <v>—</v>
      </c>
      <c r="L139" s="87"/>
    </row>
    <row r="140" spans="1:12" x14ac:dyDescent="0.25">
      <c r="A140" s="88"/>
      <c r="B140" s="25" t="str">
        <f>IF(A140="","",IFERROR(VLOOKUP(A140,DB_Customers!$A:$D,4,0),"❌ Account Not Found"))</f>
        <v/>
      </c>
      <c r="C140" s="89" t="str">
        <f>IF(A140="","",IFERROR(VLOOKUP(A140,DB_Customers!$A:$N,14,0),""))</f>
        <v/>
      </c>
      <c r="D140" s="90" t="str">
        <f t="shared" ca="1" si="12"/>
        <v/>
      </c>
      <c r="E140" s="97"/>
      <c r="F140" s="25"/>
      <c r="G140" s="99" t="str">
        <f t="shared" si="13"/>
        <v/>
      </c>
      <c r="H140" s="27"/>
      <c r="I140" s="84"/>
      <c r="J140" s="92" t="str">
        <f>IF(AND(A140&lt;&gt;"",E140&lt;&gt;""),IF(I140="","⚠️ Enter Code",IF(IFERROR(VLOOKUP(H140,DB_Agents!$B:$I,8,0),"")=I140,IF(C140&gt;=E140,"Successful","Unsuccessful"),"🔒 BLOCKED — Wrong Code")),"—")</f>
        <v>—</v>
      </c>
      <c r="K140" s="93" t="str">
        <f t="shared" ca="1" si="14"/>
        <v>—</v>
      </c>
      <c r="L140" s="94"/>
    </row>
    <row r="141" spans="1:12" x14ac:dyDescent="0.25">
      <c r="A141" s="79"/>
      <c r="B141" s="21" t="str">
        <f>IF(A141="","",IFERROR(VLOOKUP(A141,DB_Customers!$A:$D,4,0),"❌ Account Not Found"))</f>
        <v/>
      </c>
      <c r="C141" s="80" t="str">
        <f>IF(A141="","",IFERROR(VLOOKUP(A141,DB_Customers!$A:$N,14,0),""))</f>
        <v/>
      </c>
      <c r="D141" s="81" t="str">
        <f t="shared" ca="1" si="12"/>
        <v/>
      </c>
      <c r="E141" s="97"/>
      <c r="F141" s="21"/>
      <c r="G141" s="98" t="str">
        <f t="shared" si="13"/>
        <v/>
      </c>
      <c r="H141" s="23"/>
      <c r="I141" s="84"/>
      <c r="J141" s="85" t="str">
        <f>IF(AND(A141&lt;&gt;"",E141&lt;&gt;""),IF(I141="","⚠️ Enter Code",IF(IFERROR(VLOOKUP(H141,DB_Agents!$B:$I,8,0),"")=I141,IF(C141&gt;=E141,"Successful","Unsuccessful"),"🔒 BLOCKED — Wrong Code")),"—")</f>
        <v>—</v>
      </c>
      <c r="K141" s="86" t="str">
        <f t="shared" ca="1" si="14"/>
        <v>—</v>
      </c>
      <c r="L141" s="87"/>
    </row>
    <row r="142" spans="1:12" x14ac:dyDescent="0.25">
      <c r="A142" s="88"/>
      <c r="B142" s="25" t="str">
        <f>IF(A142="","",IFERROR(VLOOKUP(A142,DB_Customers!$A:$D,4,0),"❌ Account Not Found"))</f>
        <v/>
      </c>
      <c r="C142" s="89" t="str">
        <f>IF(A142="","",IFERROR(VLOOKUP(A142,DB_Customers!$A:$N,14,0),""))</f>
        <v/>
      </c>
      <c r="D142" s="90" t="str">
        <f t="shared" ca="1" si="12"/>
        <v/>
      </c>
      <c r="E142" s="97"/>
      <c r="F142" s="25"/>
      <c r="G142" s="99" t="str">
        <f t="shared" si="13"/>
        <v/>
      </c>
      <c r="H142" s="27"/>
      <c r="I142" s="84"/>
      <c r="J142" s="92" t="str">
        <f>IF(AND(A142&lt;&gt;"",E142&lt;&gt;""),IF(I142="","⚠️ Enter Code",IF(IFERROR(VLOOKUP(H142,DB_Agents!$B:$I,8,0),"")=I142,IF(C142&gt;=E142,"Successful","Unsuccessful"),"🔒 BLOCKED — Wrong Code")),"—")</f>
        <v>—</v>
      </c>
      <c r="K142" s="93" t="str">
        <f t="shared" ca="1" si="14"/>
        <v>—</v>
      </c>
      <c r="L142" s="94"/>
    </row>
    <row r="143" spans="1:12" x14ac:dyDescent="0.25">
      <c r="A143" s="79"/>
      <c r="B143" s="21" t="str">
        <f>IF(A143="","",IFERROR(VLOOKUP(A143,DB_Customers!$A:$D,4,0),"❌ Account Not Found"))</f>
        <v/>
      </c>
      <c r="C143" s="80" t="str">
        <f>IF(A143="","",IFERROR(VLOOKUP(A143,DB_Customers!$A:$N,14,0),""))</f>
        <v/>
      </c>
      <c r="D143" s="81" t="str">
        <f t="shared" ca="1" si="12"/>
        <v/>
      </c>
      <c r="E143" s="97"/>
      <c r="F143" s="21"/>
      <c r="G143" s="98" t="str">
        <f t="shared" si="13"/>
        <v/>
      </c>
      <c r="H143" s="23"/>
      <c r="I143" s="84"/>
      <c r="J143" s="85" t="str">
        <f>IF(AND(A143&lt;&gt;"",E143&lt;&gt;""),IF(I143="","⚠️ Enter Code",IF(IFERROR(VLOOKUP(H143,DB_Agents!$B:$I,8,0),"")=I143,IF(C143&gt;=E143,"Successful","Unsuccessful"),"🔒 BLOCKED — Wrong Code")),"—")</f>
        <v>—</v>
      </c>
      <c r="K143" s="86" t="str">
        <f t="shared" ca="1" si="14"/>
        <v>—</v>
      </c>
      <c r="L143" s="87"/>
    </row>
    <row r="144" spans="1:12" x14ac:dyDescent="0.25">
      <c r="A144" s="88"/>
      <c r="B144" s="25" t="str">
        <f>IF(A144="","",IFERROR(VLOOKUP(A144,DB_Customers!$A:$D,4,0),"❌ Account Not Found"))</f>
        <v/>
      </c>
      <c r="C144" s="89" t="str">
        <f>IF(A144="","",IFERROR(VLOOKUP(A144,DB_Customers!$A:$N,14,0),""))</f>
        <v/>
      </c>
      <c r="D144" s="90" t="str">
        <f t="shared" ca="1" si="12"/>
        <v/>
      </c>
      <c r="E144" s="97"/>
      <c r="F144" s="25"/>
      <c r="G144" s="99" t="str">
        <f t="shared" si="13"/>
        <v/>
      </c>
      <c r="H144" s="27"/>
      <c r="I144" s="84"/>
      <c r="J144" s="92" t="str">
        <f>IF(AND(A144&lt;&gt;"",E144&lt;&gt;""),IF(I144="","⚠️ Enter Code",IF(IFERROR(VLOOKUP(H144,DB_Agents!$B:$I,8,0),"")=I144,IF(C144&gt;=E144,"Successful","Unsuccessful"),"🔒 BLOCKED — Wrong Code")),"—")</f>
        <v>—</v>
      </c>
      <c r="K144" s="93" t="str">
        <f t="shared" ca="1" si="14"/>
        <v>—</v>
      </c>
      <c r="L144" s="94"/>
    </row>
    <row r="145" spans="1:12" x14ac:dyDescent="0.25">
      <c r="A145" s="79"/>
      <c r="B145" s="21" t="str">
        <f>IF(A145="","",IFERROR(VLOOKUP(A145,DB_Customers!$A:$D,4,0),"❌ Account Not Found"))</f>
        <v/>
      </c>
      <c r="C145" s="80" t="str">
        <f>IF(A145="","",IFERROR(VLOOKUP(A145,DB_Customers!$A:$N,14,0),""))</f>
        <v/>
      </c>
      <c r="D145" s="81" t="str">
        <f t="shared" ca="1" si="12"/>
        <v/>
      </c>
      <c r="E145" s="97"/>
      <c r="F145" s="21"/>
      <c r="G145" s="98" t="str">
        <f t="shared" si="13"/>
        <v/>
      </c>
      <c r="H145" s="23"/>
      <c r="I145" s="84"/>
      <c r="J145" s="85" t="str">
        <f>IF(AND(A145&lt;&gt;"",E145&lt;&gt;""),IF(I145="","⚠️ Enter Code",IF(IFERROR(VLOOKUP(H145,DB_Agents!$B:$I,8,0),"")=I145,IF(C145&gt;=E145,"Successful","Unsuccessful"),"🔒 BLOCKED — Wrong Code")),"—")</f>
        <v>—</v>
      </c>
      <c r="K145" s="86" t="str">
        <f t="shared" ca="1" si="14"/>
        <v>—</v>
      </c>
      <c r="L145" s="87"/>
    </row>
    <row r="146" spans="1:12" x14ac:dyDescent="0.25">
      <c r="A146" s="88"/>
      <c r="B146" s="25" t="str">
        <f>IF(A146="","",IFERROR(VLOOKUP(A146,DB_Customers!$A:$D,4,0),"❌ Account Not Found"))</f>
        <v/>
      </c>
      <c r="C146" s="89" t="str">
        <f>IF(A146="","",IFERROR(VLOOKUP(A146,DB_Customers!$A:$N,14,0),""))</f>
        <v/>
      </c>
      <c r="D146" s="90" t="str">
        <f t="shared" ca="1" si="12"/>
        <v/>
      </c>
      <c r="E146" s="97"/>
      <c r="F146" s="25"/>
      <c r="G146" s="99" t="str">
        <f t="shared" si="13"/>
        <v/>
      </c>
      <c r="H146" s="27"/>
      <c r="I146" s="84"/>
      <c r="J146" s="92" t="str">
        <f>IF(AND(A146&lt;&gt;"",E146&lt;&gt;""),IF(I146="","⚠️ Enter Code",IF(IFERROR(VLOOKUP(H146,DB_Agents!$B:$I,8,0),"")=I146,IF(C146&gt;=E146,"Successful","Unsuccessful"),"🔒 BLOCKED — Wrong Code")),"—")</f>
        <v>—</v>
      </c>
      <c r="K146" s="93" t="str">
        <f t="shared" ca="1" si="14"/>
        <v>—</v>
      </c>
      <c r="L146" s="94"/>
    </row>
    <row r="147" spans="1:12" x14ac:dyDescent="0.25">
      <c r="A147" s="79"/>
      <c r="B147" s="21" t="str">
        <f>IF(A147="","",IFERROR(VLOOKUP(A147,DB_Customers!$A:$D,4,0),"❌ Account Not Found"))</f>
        <v/>
      </c>
      <c r="C147" s="80" t="str">
        <f>IF(A147="","",IFERROR(VLOOKUP(A147,DB_Customers!$A:$N,14,0),""))</f>
        <v/>
      </c>
      <c r="D147" s="81" t="str">
        <f t="shared" ca="1" si="12"/>
        <v/>
      </c>
      <c r="E147" s="97"/>
      <c r="F147" s="21"/>
      <c r="G147" s="98" t="str">
        <f t="shared" si="13"/>
        <v/>
      </c>
      <c r="H147" s="23"/>
      <c r="I147" s="84"/>
      <c r="J147" s="85" t="str">
        <f>IF(AND(A147&lt;&gt;"",E147&lt;&gt;""),IF(I147="","⚠️ Enter Code",IF(IFERROR(VLOOKUP(H147,DB_Agents!$B:$I,8,0),"")=I147,IF(C147&gt;=E147,"Successful","Unsuccessful"),"🔒 BLOCKED — Wrong Code")),"—")</f>
        <v>—</v>
      </c>
      <c r="K147" s="86" t="str">
        <f t="shared" ca="1" si="14"/>
        <v>—</v>
      </c>
      <c r="L147" s="87"/>
    </row>
    <row r="148" spans="1:12" x14ac:dyDescent="0.25">
      <c r="A148" s="88"/>
      <c r="B148" s="25" t="str">
        <f>IF(A148="","",IFERROR(VLOOKUP(A148,DB_Customers!$A:$D,4,0),"❌ Account Not Found"))</f>
        <v/>
      </c>
      <c r="C148" s="89" t="str">
        <f>IF(A148="","",IFERROR(VLOOKUP(A148,DB_Customers!$A:$N,14,0),""))</f>
        <v/>
      </c>
      <c r="D148" s="90" t="str">
        <f t="shared" ca="1" si="12"/>
        <v/>
      </c>
      <c r="E148" s="97"/>
      <c r="F148" s="25"/>
      <c r="G148" s="99" t="str">
        <f t="shared" si="13"/>
        <v/>
      </c>
      <c r="H148" s="27"/>
      <c r="I148" s="84"/>
      <c r="J148" s="92" t="str">
        <f>IF(AND(A148&lt;&gt;"",E148&lt;&gt;""),IF(I148="","⚠️ Enter Code",IF(IFERROR(VLOOKUP(H148,DB_Agents!$B:$I,8,0),"")=I148,IF(C148&gt;=E148,"Successful","Unsuccessful"),"🔒 BLOCKED — Wrong Code")),"—")</f>
        <v>—</v>
      </c>
      <c r="K148" s="93" t="str">
        <f t="shared" ca="1" si="14"/>
        <v>—</v>
      </c>
      <c r="L148" s="94"/>
    </row>
    <row r="149" spans="1:12" x14ac:dyDescent="0.25">
      <c r="A149" s="79"/>
      <c r="B149" s="21" t="str">
        <f>IF(A149="","",IFERROR(VLOOKUP(A149,DB_Customers!$A:$D,4,0),"❌ Account Not Found"))</f>
        <v/>
      </c>
      <c r="C149" s="80" t="str">
        <f>IF(A149="","",IFERROR(VLOOKUP(A149,DB_Customers!$A:$N,14,0),""))</f>
        <v/>
      </c>
      <c r="D149" s="81" t="str">
        <f t="shared" ca="1" si="12"/>
        <v/>
      </c>
      <c r="E149" s="97"/>
      <c r="F149" s="21"/>
      <c r="G149" s="98" t="str">
        <f t="shared" si="13"/>
        <v/>
      </c>
      <c r="H149" s="23"/>
      <c r="I149" s="84"/>
      <c r="J149" s="85" t="str">
        <f>IF(AND(A149&lt;&gt;"",E149&lt;&gt;""),IF(I149="","⚠️ Enter Code",IF(IFERROR(VLOOKUP(H149,DB_Agents!$B:$I,8,0),"")=I149,IF(C149&gt;=E149,"Successful","Unsuccessful"),"🔒 BLOCKED — Wrong Code")),"—")</f>
        <v>—</v>
      </c>
      <c r="K149" s="86" t="str">
        <f t="shared" ca="1" si="14"/>
        <v>—</v>
      </c>
      <c r="L149" s="87"/>
    </row>
    <row r="150" spans="1:12" x14ac:dyDescent="0.25">
      <c r="A150" s="88"/>
      <c r="B150" s="25" t="str">
        <f>IF(A150="","",IFERROR(VLOOKUP(A150,DB_Customers!$A:$D,4,0),"❌ Account Not Found"))</f>
        <v/>
      </c>
      <c r="C150" s="89" t="str">
        <f>IF(A150="","",IFERROR(VLOOKUP(A150,DB_Customers!$A:$N,14,0),""))</f>
        <v/>
      </c>
      <c r="D150" s="90" t="str">
        <f t="shared" ca="1" si="12"/>
        <v/>
      </c>
      <c r="E150" s="97"/>
      <c r="F150" s="25"/>
      <c r="G150" s="99" t="str">
        <f t="shared" si="13"/>
        <v/>
      </c>
      <c r="H150" s="27"/>
      <c r="I150" s="84"/>
      <c r="J150" s="92" t="str">
        <f>IF(AND(A150&lt;&gt;"",E150&lt;&gt;""),IF(I150="","⚠️ Enter Code",IF(IFERROR(VLOOKUP(H150,DB_Agents!$B:$I,8,0),"")=I150,IF(C150&gt;=E150,"Successful","Unsuccessful"),"🔒 BLOCKED — Wrong Code")),"—")</f>
        <v>—</v>
      </c>
      <c r="K150" s="93" t="str">
        <f t="shared" ca="1" si="14"/>
        <v>—</v>
      </c>
      <c r="L150" s="94"/>
    </row>
    <row r="151" spans="1:12" x14ac:dyDescent="0.25">
      <c r="A151" s="79"/>
      <c r="B151" s="21" t="str">
        <f>IF(A151="","",IFERROR(VLOOKUP(A151,DB_Customers!$A:$D,4,0),"❌ Account Not Found"))</f>
        <v/>
      </c>
      <c r="C151" s="80" t="str">
        <f>IF(A151="","",IFERROR(VLOOKUP(A151,DB_Customers!$A:$N,14,0),""))</f>
        <v/>
      </c>
      <c r="D151" s="81" t="str">
        <f t="shared" ca="1" si="12"/>
        <v/>
      </c>
      <c r="E151" s="97"/>
      <c r="F151" s="21"/>
      <c r="G151" s="98" t="str">
        <f t="shared" si="13"/>
        <v/>
      </c>
      <c r="H151" s="23"/>
      <c r="I151" s="84"/>
      <c r="J151" s="85" t="str">
        <f>IF(AND(A151&lt;&gt;"",E151&lt;&gt;""),IF(I151="","⚠️ Enter Code",IF(IFERROR(VLOOKUP(H151,DB_Agents!$B:$I,8,0),"")=I151,IF(C151&gt;=E151,"Successful","Unsuccessful"),"🔒 BLOCKED — Wrong Code")),"—")</f>
        <v>—</v>
      </c>
      <c r="K151" s="86" t="str">
        <f t="shared" ca="1" si="14"/>
        <v>—</v>
      </c>
      <c r="L151" s="87"/>
    </row>
    <row r="152" spans="1:12" x14ac:dyDescent="0.25">
      <c r="A152" s="88"/>
      <c r="B152" s="25" t="str">
        <f>IF(A152="","",IFERROR(VLOOKUP(A152,DB_Customers!$A:$D,4,0),"❌ Account Not Found"))</f>
        <v/>
      </c>
      <c r="C152" s="89" t="str">
        <f>IF(A152="","",IFERROR(VLOOKUP(A152,DB_Customers!$A:$N,14,0),""))</f>
        <v/>
      </c>
      <c r="D152" s="90" t="str">
        <f t="shared" ca="1" si="12"/>
        <v/>
      </c>
      <c r="E152" s="97"/>
      <c r="F152" s="25"/>
      <c r="G152" s="99" t="str">
        <f t="shared" si="13"/>
        <v/>
      </c>
      <c r="H152" s="27"/>
      <c r="I152" s="84"/>
      <c r="J152" s="92" t="str">
        <f>IF(AND(A152&lt;&gt;"",E152&lt;&gt;""),IF(I152="","⚠️ Enter Code",IF(IFERROR(VLOOKUP(H152,DB_Agents!$B:$I,8,0),"")=I152,IF(C152&gt;=E152,"Successful","Unsuccessful"),"🔒 BLOCKED — Wrong Code")),"—")</f>
        <v>—</v>
      </c>
      <c r="K152" s="93" t="str">
        <f t="shared" ca="1" si="14"/>
        <v>—</v>
      </c>
      <c r="L152" s="94"/>
    </row>
    <row r="153" spans="1:12" x14ac:dyDescent="0.25">
      <c r="A153" s="79"/>
      <c r="B153" s="21" t="str">
        <f>IF(A153="","",IFERROR(VLOOKUP(A153,DB_Customers!$A:$D,4,0),"❌ Account Not Found"))</f>
        <v/>
      </c>
      <c r="C153" s="80" t="str">
        <f>IF(A153="","",IFERROR(VLOOKUP(A153,DB_Customers!$A:$N,14,0),""))</f>
        <v/>
      </c>
      <c r="D153" s="81" t="str">
        <f t="shared" ca="1" si="12"/>
        <v/>
      </c>
      <c r="E153" s="97"/>
      <c r="F153" s="21"/>
      <c r="G153" s="98" t="str">
        <f t="shared" si="13"/>
        <v/>
      </c>
      <c r="H153" s="23"/>
      <c r="I153" s="84"/>
      <c r="J153" s="85" t="str">
        <f>IF(AND(A153&lt;&gt;"",E153&lt;&gt;""),IF(I153="","⚠️ Enter Code",IF(IFERROR(VLOOKUP(H153,DB_Agents!$B:$I,8,0),"")=I153,IF(C153&gt;=E153,"Successful","Unsuccessful"),"🔒 BLOCKED — Wrong Code")),"—")</f>
        <v>—</v>
      </c>
      <c r="K153" s="86" t="str">
        <f t="shared" ca="1" si="14"/>
        <v>—</v>
      </c>
      <c r="L153" s="87"/>
    </row>
    <row r="154" spans="1:12" x14ac:dyDescent="0.25">
      <c r="A154" s="88"/>
      <c r="B154" s="25" t="str">
        <f>IF(A154="","",IFERROR(VLOOKUP(A154,DB_Customers!$A:$D,4,0),"❌ Account Not Found"))</f>
        <v/>
      </c>
      <c r="C154" s="89" t="str">
        <f>IF(A154="","",IFERROR(VLOOKUP(A154,DB_Customers!$A:$N,14,0),""))</f>
        <v/>
      </c>
      <c r="D154" s="90" t="str">
        <f t="shared" ca="1" si="12"/>
        <v/>
      </c>
      <c r="E154" s="97"/>
      <c r="F154" s="25"/>
      <c r="G154" s="99" t="str">
        <f t="shared" si="13"/>
        <v/>
      </c>
      <c r="H154" s="27"/>
      <c r="I154" s="84"/>
      <c r="J154" s="92" t="str">
        <f>IF(AND(A154&lt;&gt;"",E154&lt;&gt;""),IF(I154="","⚠️ Enter Code",IF(IFERROR(VLOOKUP(H154,DB_Agents!$B:$I,8,0),"")=I154,IF(C154&gt;=E154,"Successful","Unsuccessful"),"🔒 BLOCKED — Wrong Code")),"—")</f>
        <v>—</v>
      </c>
      <c r="K154" s="93" t="str">
        <f t="shared" ca="1" si="14"/>
        <v>—</v>
      </c>
      <c r="L154" s="94"/>
    </row>
    <row r="155" spans="1:12" x14ac:dyDescent="0.25">
      <c r="A155" s="79"/>
      <c r="B155" s="21" t="str">
        <f>IF(A155="","",IFERROR(VLOOKUP(A155,DB_Customers!$A:$D,4,0),"❌ Account Not Found"))</f>
        <v/>
      </c>
      <c r="C155" s="80" t="str">
        <f>IF(A155="","",IFERROR(VLOOKUP(A155,DB_Customers!$A:$N,14,0),""))</f>
        <v/>
      </c>
      <c r="D155" s="81" t="str">
        <f t="shared" ca="1" si="12"/>
        <v/>
      </c>
      <c r="E155" s="97"/>
      <c r="F155" s="21"/>
      <c r="G155" s="98" t="str">
        <f t="shared" si="13"/>
        <v/>
      </c>
      <c r="H155" s="23"/>
      <c r="I155" s="84"/>
      <c r="J155" s="85" t="str">
        <f>IF(AND(A155&lt;&gt;"",E155&lt;&gt;""),IF(I155="","⚠️ Enter Code",IF(IFERROR(VLOOKUP(H155,DB_Agents!$B:$I,8,0),"")=I155,IF(C155&gt;=E155,"Successful","Unsuccessful"),"🔒 BLOCKED — Wrong Code")),"—")</f>
        <v>—</v>
      </c>
      <c r="K155" s="86" t="str">
        <f t="shared" ca="1" si="14"/>
        <v>—</v>
      </c>
      <c r="L155" s="87"/>
    </row>
    <row r="156" spans="1:12" x14ac:dyDescent="0.25">
      <c r="A156" s="88"/>
      <c r="B156" s="25" t="str">
        <f>IF(A156="","",IFERROR(VLOOKUP(A156,DB_Customers!$A:$D,4,0),"❌ Account Not Found"))</f>
        <v/>
      </c>
      <c r="C156" s="89" t="str">
        <f>IF(A156="","",IFERROR(VLOOKUP(A156,DB_Customers!$A:$N,14,0),""))</f>
        <v/>
      </c>
      <c r="D156" s="90" t="str">
        <f t="shared" ca="1" si="12"/>
        <v/>
      </c>
      <c r="E156" s="97"/>
      <c r="F156" s="25"/>
      <c r="G156" s="99" t="str">
        <f t="shared" si="13"/>
        <v/>
      </c>
      <c r="H156" s="27"/>
      <c r="I156" s="84"/>
      <c r="J156" s="92" t="str">
        <f>IF(AND(A156&lt;&gt;"",E156&lt;&gt;""),IF(I156="","⚠️ Enter Code",IF(IFERROR(VLOOKUP(H156,DB_Agents!$B:$I,8,0),"")=I156,IF(C156&gt;=E156,"Successful","Unsuccessful"),"🔒 BLOCKED — Wrong Code")),"—")</f>
        <v>—</v>
      </c>
      <c r="K156" s="93" t="str">
        <f t="shared" ca="1" si="14"/>
        <v>—</v>
      </c>
      <c r="L156" s="94"/>
    </row>
    <row r="157" spans="1:12" x14ac:dyDescent="0.25">
      <c r="A157" s="79"/>
      <c r="B157" s="21" t="str">
        <f>IF(A157="","",IFERROR(VLOOKUP(A157,DB_Customers!$A:$D,4,0),"❌ Account Not Found"))</f>
        <v/>
      </c>
      <c r="C157" s="80" t="str">
        <f>IF(A157="","",IFERROR(VLOOKUP(A157,DB_Customers!$A:$N,14,0),""))</f>
        <v/>
      </c>
      <c r="D157" s="81" t="str">
        <f t="shared" ca="1" si="12"/>
        <v/>
      </c>
      <c r="E157" s="97"/>
      <c r="F157" s="21"/>
      <c r="G157" s="98" t="str">
        <f t="shared" si="13"/>
        <v/>
      </c>
      <c r="H157" s="23"/>
      <c r="I157" s="84"/>
      <c r="J157" s="85" t="str">
        <f>IF(AND(A157&lt;&gt;"",E157&lt;&gt;""),IF(I157="","⚠️ Enter Code",IF(IFERROR(VLOOKUP(H157,DB_Agents!$B:$I,8,0),"")=I157,IF(C157&gt;=E157,"Successful","Unsuccessful"),"🔒 BLOCKED — Wrong Code")),"—")</f>
        <v>—</v>
      </c>
      <c r="K157" s="86" t="str">
        <f t="shared" ca="1" si="14"/>
        <v>—</v>
      </c>
      <c r="L157" s="87"/>
    </row>
    <row r="158" spans="1:12" x14ac:dyDescent="0.25">
      <c r="A158" s="88"/>
      <c r="B158" s="25" t="str">
        <f>IF(A158="","",IFERROR(VLOOKUP(A158,DB_Customers!$A:$D,4,0),"❌ Account Not Found"))</f>
        <v/>
      </c>
      <c r="C158" s="89" t="str">
        <f>IF(A158="","",IFERROR(VLOOKUP(A158,DB_Customers!$A:$N,14,0),""))</f>
        <v/>
      </c>
      <c r="D158" s="90" t="str">
        <f t="shared" ca="1" si="12"/>
        <v/>
      </c>
      <c r="E158" s="97"/>
      <c r="F158" s="25"/>
      <c r="G158" s="99" t="str">
        <f t="shared" si="13"/>
        <v/>
      </c>
      <c r="H158" s="27"/>
      <c r="I158" s="84"/>
      <c r="J158" s="92" t="str">
        <f>IF(AND(A158&lt;&gt;"",E158&lt;&gt;""),IF(I158="","⚠️ Enter Code",IF(IFERROR(VLOOKUP(H158,DB_Agents!$B:$I,8,0),"")=I158,IF(C158&gt;=E158,"Successful","Unsuccessful"),"🔒 BLOCKED — Wrong Code")),"—")</f>
        <v>—</v>
      </c>
      <c r="K158" s="93" t="str">
        <f t="shared" ca="1" si="14"/>
        <v>—</v>
      </c>
      <c r="L158" s="94"/>
    </row>
    <row r="159" spans="1:12" x14ac:dyDescent="0.25">
      <c r="A159" s="79"/>
      <c r="B159" s="21" t="str">
        <f>IF(A159="","",IFERROR(VLOOKUP(A159,DB_Customers!$A:$D,4,0),"❌ Account Not Found"))</f>
        <v/>
      </c>
      <c r="C159" s="80" t="str">
        <f>IF(A159="","",IFERROR(VLOOKUP(A159,DB_Customers!$A:$N,14,0),""))</f>
        <v/>
      </c>
      <c r="D159" s="81" t="str">
        <f t="shared" ca="1" si="12"/>
        <v/>
      </c>
      <c r="E159" s="97"/>
      <c r="F159" s="21"/>
      <c r="G159" s="98" t="str">
        <f t="shared" si="13"/>
        <v/>
      </c>
      <c r="H159" s="23"/>
      <c r="I159" s="84"/>
      <c r="J159" s="85" t="str">
        <f>IF(AND(A159&lt;&gt;"",E159&lt;&gt;""),IF(I159="","⚠️ Enter Code",IF(IFERROR(VLOOKUP(H159,DB_Agents!$B:$I,8,0),"")=I159,IF(C159&gt;=E159,"Successful","Unsuccessful"),"🔒 BLOCKED — Wrong Code")),"—")</f>
        <v>—</v>
      </c>
      <c r="K159" s="86" t="str">
        <f t="shared" ca="1" si="14"/>
        <v>—</v>
      </c>
      <c r="L159" s="87"/>
    </row>
    <row r="160" spans="1:12" x14ac:dyDescent="0.25">
      <c r="A160" s="88"/>
      <c r="B160" s="25" t="str">
        <f>IF(A160="","",IFERROR(VLOOKUP(A160,DB_Customers!$A:$D,4,0),"❌ Account Not Found"))</f>
        <v/>
      </c>
      <c r="C160" s="89" t="str">
        <f>IF(A160="","",IFERROR(VLOOKUP(A160,DB_Customers!$A:$N,14,0),""))</f>
        <v/>
      </c>
      <c r="D160" s="90" t="str">
        <f t="shared" ca="1" si="12"/>
        <v/>
      </c>
      <c r="E160" s="97"/>
      <c r="F160" s="25"/>
      <c r="G160" s="99" t="str">
        <f t="shared" si="13"/>
        <v/>
      </c>
      <c r="H160" s="27"/>
      <c r="I160" s="84"/>
      <c r="J160" s="92" t="str">
        <f>IF(AND(A160&lt;&gt;"",E160&lt;&gt;""),IF(I160="","⚠️ Enter Code",IF(IFERROR(VLOOKUP(H160,DB_Agents!$B:$I,8,0),"")=I160,IF(C160&gt;=E160,"Successful","Unsuccessful"),"🔒 BLOCKED — Wrong Code")),"—")</f>
        <v>—</v>
      </c>
      <c r="K160" s="93" t="str">
        <f t="shared" ca="1" si="14"/>
        <v>—</v>
      </c>
      <c r="L160" s="94"/>
    </row>
    <row r="161" spans="1:12" x14ac:dyDescent="0.25">
      <c r="A161" s="79"/>
      <c r="B161" s="21" t="str">
        <f>IF(A161="","",IFERROR(VLOOKUP(A161,DB_Customers!$A:$D,4,0),"❌ Account Not Found"))</f>
        <v/>
      </c>
      <c r="C161" s="80" t="str">
        <f>IF(A161="","",IFERROR(VLOOKUP(A161,DB_Customers!$A:$N,14,0),""))</f>
        <v/>
      </c>
      <c r="D161" s="81" t="str">
        <f t="shared" ca="1" si="12"/>
        <v/>
      </c>
      <c r="E161" s="97"/>
      <c r="F161" s="21"/>
      <c r="G161" s="98" t="str">
        <f t="shared" si="13"/>
        <v/>
      </c>
      <c r="H161" s="23"/>
      <c r="I161" s="84"/>
      <c r="J161" s="85" t="str">
        <f>IF(AND(A161&lt;&gt;"",E161&lt;&gt;""),IF(I161="","⚠️ Enter Code",IF(IFERROR(VLOOKUP(H161,DB_Agents!$B:$I,8,0),"")=I161,IF(C161&gt;=E161,"Successful","Unsuccessful"),"🔒 BLOCKED — Wrong Code")),"—")</f>
        <v>—</v>
      </c>
      <c r="K161" s="86" t="str">
        <f t="shared" ca="1" si="14"/>
        <v>—</v>
      </c>
      <c r="L161" s="87"/>
    </row>
    <row r="162" spans="1:12" x14ac:dyDescent="0.25">
      <c r="A162" s="88"/>
      <c r="B162" s="25" t="str">
        <f>IF(A162="","",IFERROR(VLOOKUP(A162,DB_Customers!$A:$D,4,0),"❌ Account Not Found"))</f>
        <v/>
      </c>
      <c r="C162" s="89" t="str">
        <f>IF(A162="","",IFERROR(VLOOKUP(A162,DB_Customers!$A:$N,14,0),""))</f>
        <v/>
      </c>
      <c r="D162" s="90" t="str">
        <f t="shared" ca="1" si="12"/>
        <v/>
      </c>
      <c r="E162" s="97"/>
      <c r="F162" s="25"/>
      <c r="G162" s="99" t="str">
        <f t="shared" si="13"/>
        <v/>
      </c>
      <c r="H162" s="27"/>
      <c r="I162" s="84"/>
      <c r="J162" s="92" t="str">
        <f>IF(AND(A162&lt;&gt;"",E162&lt;&gt;""),IF(I162="","⚠️ Enter Code",IF(IFERROR(VLOOKUP(H162,DB_Agents!$B:$I,8,0),"")=I162,IF(C162&gt;=E162,"Successful","Unsuccessful"),"🔒 BLOCKED — Wrong Code")),"—")</f>
        <v>—</v>
      </c>
      <c r="K162" s="93" t="str">
        <f t="shared" ca="1" si="14"/>
        <v>—</v>
      </c>
      <c r="L162" s="94"/>
    </row>
    <row r="163" spans="1:12" x14ac:dyDescent="0.25">
      <c r="A163" s="79"/>
      <c r="B163" s="21" t="str">
        <f>IF(A163="","",IFERROR(VLOOKUP(A163,DB_Customers!$A:$D,4,0),"❌ Account Not Found"))</f>
        <v/>
      </c>
      <c r="C163" s="80" t="str">
        <f>IF(A163="","",IFERROR(VLOOKUP(A163,DB_Customers!$A:$N,14,0),""))</f>
        <v/>
      </c>
      <c r="D163" s="81" t="str">
        <f t="shared" ca="1" si="12"/>
        <v/>
      </c>
      <c r="E163" s="97"/>
      <c r="F163" s="21"/>
      <c r="G163" s="98" t="str">
        <f t="shared" si="13"/>
        <v/>
      </c>
      <c r="H163" s="23"/>
      <c r="I163" s="84"/>
      <c r="J163" s="85" t="str">
        <f>IF(AND(A163&lt;&gt;"",E163&lt;&gt;""),IF(I163="","⚠️ Enter Code",IF(IFERROR(VLOOKUP(H163,DB_Agents!$B:$I,8,0),"")=I163,IF(C163&gt;=E163,"Successful","Unsuccessful"),"🔒 BLOCKED — Wrong Code")),"—")</f>
        <v>—</v>
      </c>
      <c r="K163" s="86" t="str">
        <f t="shared" ca="1" si="14"/>
        <v>—</v>
      </c>
      <c r="L163" s="87"/>
    </row>
    <row r="164" spans="1:12" x14ac:dyDescent="0.25">
      <c r="A164" s="88"/>
      <c r="B164" s="25" t="str">
        <f>IF(A164="","",IFERROR(VLOOKUP(A164,DB_Customers!$A:$D,4,0),"❌ Account Not Found"))</f>
        <v/>
      </c>
      <c r="C164" s="89" t="str">
        <f>IF(A164="","",IFERROR(VLOOKUP(A164,DB_Customers!$A:$N,14,0),""))</f>
        <v/>
      </c>
      <c r="D164" s="90" t="str">
        <f t="shared" ca="1" si="12"/>
        <v/>
      </c>
      <c r="E164" s="97"/>
      <c r="F164" s="25"/>
      <c r="G164" s="99" t="str">
        <f t="shared" si="13"/>
        <v/>
      </c>
      <c r="H164" s="27"/>
      <c r="I164" s="84"/>
      <c r="J164" s="92" t="str">
        <f>IF(AND(A164&lt;&gt;"",E164&lt;&gt;""),IF(I164="","⚠️ Enter Code",IF(IFERROR(VLOOKUP(H164,DB_Agents!$B:$I,8,0),"")=I164,IF(C164&gt;=E164,"Successful","Unsuccessful"),"🔒 BLOCKED — Wrong Code")),"—")</f>
        <v>—</v>
      </c>
      <c r="K164" s="93" t="str">
        <f t="shared" ca="1" si="14"/>
        <v>—</v>
      </c>
      <c r="L164" s="94"/>
    </row>
    <row r="165" spans="1:12" x14ac:dyDescent="0.25">
      <c r="A165" s="79"/>
      <c r="B165" s="21" t="str">
        <f>IF(A165="","",IFERROR(VLOOKUP(A165,DB_Customers!$A:$D,4,0),"❌ Account Not Found"))</f>
        <v/>
      </c>
      <c r="C165" s="80" t="str">
        <f>IF(A165="","",IFERROR(VLOOKUP(A165,DB_Customers!$A:$N,14,0),""))</f>
        <v/>
      </c>
      <c r="D165" s="81" t="str">
        <f t="shared" ca="1" si="12"/>
        <v/>
      </c>
      <c r="E165" s="97"/>
      <c r="F165" s="21"/>
      <c r="G165" s="98" t="str">
        <f t="shared" si="13"/>
        <v/>
      </c>
      <c r="H165" s="23"/>
      <c r="I165" s="84"/>
      <c r="J165" s="85" t="str">
        <f>IF(AND(A165&lt;&gt;"",E165&lt;&gt;""),IF(I165="","⚠️ Enter Code",IF(IFERROR(VLOOKUP(H165,DB_Agents!$B:$I,8,0),"")=I165,IF(C165&gt;=E165,"Successful","Unsuccessful"),"🔒 BLOCKED — Wrong Code")),"—")</f>
        <v>—</v>
      </c>
      <c r="K165" s="86" t="str">
        <f t="shared" ca="1" si="14"/>
        <v>—</v>
      </c>
      <c r="L165" s="87"/>
    </row>
    <row r="166" spans="1:12" x14ac:dyDescent="0.25">
      <c r="A166" s="88"/>
      <c r="B166" s="25" t="str">
        <f>IF(A166="","",IFERROR(VLOOKUP(A166,DB_Customers!$A:$D,4,0),"❌ Account Not Found"))</f>
        <v/>
      </c>
      <c r="C166" s="89" t="str">
        <f>IF(A166="","",IFERROR(VLOOKUP(A166,DB_Customers!$A:$N,14,0),""))</f>
        <v/>
      </c>
      <c r="D166" s="90" t="str">
        <f t="shared" ca="1" si="12"/>
        <v/>
      </c>
      <c r="E166" s="97"/>
      <c r="F166" s="25"/>
      <c r="G166" s="99" t="str">
        <f t="shared" si="13"/>
        <v/>
      </c>
      <c r="H166" s="27"/>
      <c r="I166" s="84"/>
      <c r="J166" s="92" t="str">
        <f>IF(AND(A166&lt;&gt;"",E166&lt;&gt;""),IF(I166="","⚠️ Enter Code",IF(IFERROR(VLOOKUP(H166,DB_Agents!$B:$I,8,0),"")=I166,IF(C166&gt;=E166,"Successful","Unsuccessful"),"🔒 BLOCKED — Wrong Code")),"—")</f>
        <v>—</v>
      </c>
      <c r="K166" s="93" t="str">
        <f t="shared" ca="1" si="14"/>
        <v>—</v>
      </c>
      <c r="L166" s="94"/>
    </row>
    <row r="167" spans="1:12" x14ac:dyDescent="0.25">
      <c r="A167" s="79"/>
      <c r="B167" s="21" t="str">
        <f>IF(A167="","",IFERROR(VLOOKUP(A167,DB_Customers!$A:$D,4,0),"❌ Account Not Found"))</f>
        <v/>
      </c>
      <c r="C167" s="80" t="str">
        <f>IF(A167="","",IFERROR(VLOOKUP(A167,DB_Customers!$A:$N,14,0),""))</f>
        <v/>
      </c>
      <c r="D167" s="81" t="str">
        <f t="shared" ca="1" si="12"/>
        <v/>
      </c>
      <c r="E167" s="97"/>
      <c r="F167" s="21"/>
      <c r="G167" s="98" t="str">
        <f t="shared" si="13"/>
        <v/>
      </c>
      <c r="H167" s="23"/>
      <c r="I167" s="84"/>
      <c r="J167" s="85" t="str">
        <f>IF(AND(A167&lt;&gt;"",E167&lt;&gt;""),IF(I167="","⚠️ Enter Code",IF(IFERROR(VLOOKUP(H167,DB_Agents!$B:$I,8,0),"")=I167,IF(C167&gt;=E167,"Successful","Unsuccessful"),"🔒 BLOCKED — Wrong Code")),"—")</f>
        <v>—</v>
      </c>
      <c r="K167" s="86" t="str">
        <f t="shared" ca="1" si="14"/>
        <v>—</v>
      </c>
      <c r="L167" s="87"/>
    </row>
    <row r="168" spans="1:12" x14ac:dyDescent="0.25">
      <c r="A168" s="88"/>
      <c r="B168" s="25" t="str">
        <f>IF(A168="","",IFERROR(VLOOKUP(A168,DB_Customers!$A:$D,4,0),"❌ Account Not Found"))</f>
        <v/>
      </c>
      <c r="C168" s="89" t="str">
        <f>IF(A168="","",IFERROR(VLOOKUP(A168,DB_Customers!$A:$N,14,0),""))</f>
        <v/>
      </c>
      <c r="D168" s="90" t="str">
        <f t="shared" ca="1" si="12"/>
        <v/>
      </c>
      <c r="E168" s="97"/>
      <c r="F168" s="25"/>
      <c r="G168" s="99" t="str">
        <f t="shared" si="13"/>
        <v/>
      </c>
      <c r="H168" s="27"/>
      <c r="I168" s="84"/>
      <c r="J168" s="92" t="str">
        <f>IF(AND(A168&lt;&gt;"",E168&lt;&gt;""),IF(I168="","⚠️ Enter Code",IF(IFERROR(VLOOKUP(H168,DB_Agents!$B:$I,8,0),"")=I168,IF(C168&gt;=E168,"Successful","Unsuccessful"),"🔒 BLOCKED — Wrong Code")),"—")</f>
        <v>—</v>
      </c>
      <c r="K168" s="93" t="str">
        <f t="shared" ca="1" si="14"/>
        <v>—</v>
      </c>
      <c r="L168" s="94"/>
    </row>
    <row r="169" spans="1:12" x14ac:dyDescent="0.25">
      <c r="A169" s="79"/>
      <c r="B169" s="21" t="str">
        <f>IF(A169="","",IFERROR(VLOOKUP(A169,DB_Customers!$A:$D,4,0),"❌ Account Not Found"))</f>
        <v/>
      </c>
      <c r="C169" s="80" t="str">
        <f>IF(A169="","",IFERROR(VLOOKUP(A169,DB_Customers!$A:$N,14,0),""))</f>
        <v/>
      </c>
      <c r="D169" s="81" t="str">
        <f t="shared" ref="D169:D200" ca="1" si="15">IF(A169="","",TODAY())</f>
        <v/>
      </c>
      <c r="E169" s="97"/>
      <c r="F169" s="21"/>
      <c r="G169" s="98" t="str">
        <f t="shared" ref="G169:G200" si="16">IF(OR(A169="",E169=""),"",IF(C169="","",C169-E169))</f>
        <v/>
      </c>
      <c r="H169" s="23"/>
      <c r="I169" s="84"/>
      <c r="J169" s="85" t="str">
        <f>IF(AND(A169&lt;&gt;"",E169&lt;&gt;""),IF(I169="","⚠️ Enter Code",IF(IFERROR(VLOOKUP(H169,DB_Agents!$B:$I,8,0),"")=I169,IF(C169&gt;=E169,"Successful","Unsuccessful"),"🔒 BLOCKED — Wrong Code")),"—")</f>
        <v>—</v>
      </c>
      <c r="K169" s="86" t="str">
        <f t="shared" ref="K169:K200" ca="1" si="17">IF(J169="Successful",TEXT(TODAY(),"YYYY-MM-DD")&amp;" Auto","—")</f>
        <v>—</v>
      </c>
      <c r="L169" s="87"/>
    </row>
    <row r="170" spans="1:12" x14ac:dyDescent="0.25">
      <c r="A170" s="88"/>
      <c r="B170" s="25" t="str">
        <f>IF(A170="","",IFERROR(VLOOKUP(A170,DB_Customers!$A:$D,4,0),"❌ Account Not Found"))</f>
        <v/>
      </c>
      <c r="C170" s="89" t="str">
        <f>IF(A170="","",IFERROR(VLOOKUP(A170,DB_Customers!$A:$N,14,0),""))</f>
        <v/>
      </c>
      <c r="D170" s="90" t="str">
        <f t="shared" ca="1" si="15"/>
        <v/>
      </c>
      <c r="E170" s="97"/>
      <c r="F170" s="25"/>
      <c r="G170" s="99" t="str">
        <f t="shared" si="16"/>
        <v/>
      </c>
      <c r="H170" s="27"/>
      <c r="I170" s="84"/>
      <c r="J170" s="92" t="str">
        <f>IF(AND(A170&lt;&gt;"",E170&lt;&gt;""),IF(I170="","⚠️ Enter Code",IF(IFERROR(VLOOKUP(H170,DB_Agents!$B:$I,8,0),"")=I170,IF(C170&gt;=E170,"Successful","Unsuccessful"),"🔒 BLOCKED — Wrong Code")),"—")</f>
        <v>—</v>
      </c>
      <c r="K170" s="93" t="str">
        <f t="shared" ca="1" si="17"/>
        <v>—</v>
      </c>
      <c r="L170" s="94"/>
    </row>
    <row r="171" spans="1:12" x14ac:dyDescent="0.25">
      <c r="A171" s="79"/>
      <c r="B171" s="21" t="str">
        <f>IF(A171="","",IFERROR(VLOOKUP(A171,DB_Customers!$A:$D,4,0),"❌ Account Not Found"))</f>
        <v/>
      </c>
      <c r="C171" s="80" t="str">
        <f>IF(A171="","",IFERROR(VLOOKUP(A171,DB_Customers!$A:$N,14,0),""))</f>
        <v/>
      </c>
      <c r="D171" s="81" t="str">
        <f t="shared" ca="1" si="15"/>
        <v/>
      </c>
      <c r="E171" s="97"/>
      <c r="F171" s="21"/>
      <c r="G171" s="98" t="str">
        <f t="shared" si="16"/>
        <v/>
      </c>
      <c r="H171" s="23"/>
      <c r="I171" s="84"/>
      <c r="J171" s="85" t="str">
        <f>IF(AND(A171&lt;&gt;"",E171&lt;&gt;""),IF(I171="","⚠️ Enter Code",IF(IFERROR(VLOOKUP(H171,DB_Agents!$B:$I,8,0),"")=I171,IF(C171&gt;=E171,"Successful","Unsuccessful"),"🔒 BLOCKED — Wrong Code")),"—")</f>
        <v>—</v>
      </c>
      <c r="K171" s="86" t="str">
        <f t="shared" ca="1" si="17"/>
        <v>—</v>
      </c>
      <c r="L171" s="87"/>
    </row>
    <row r="172" spans="1:12" x14ac:dyDescent="0.25">
      <c r="A172" s="88"/>
      <c r="B172" s="25" t="str">
        <f>IF(A172="","",IFERROR(VLOOKUP(A172,DB_Customers!$A:$D,4,0),"❌ Account Not Found"))</f>
        <v/>
      </c>
      <c r="C172" s="89" t="str">
        <f>IF(A172="","",IFERROR(VLOOKUP(A172,DB_Customers!$A:$N,14,0),""))</f>
        <v/>
      </c>
      <c r="D172" s="90" t="str">
        <f t="shared" ca="1" si="15"/>
        <v/>
      </c>
      <c r="E172" s="97"/>
      <c r="F172" s="25"/>
      <c r="G172" s="99" t="str">
        <f t="shared" si="16"/>
        <v/>
      </c>
      <c r="H172" s="27"/>
      <c r="I172" s="84"/>
      <c r="J172" s="92" t="str">
        <f>IF(AND(A172&lt;&gt;"",E172&lt;&gt;""),IF(I172="","⚠️ Enter Code",IF(IFERROR(VLOOKUP(H172,DB_Agents!$B:$I,8,0),"")=I172,IF(C172&gt;=E172,"Successful","Unsuccessful"),"🔒 BLOCKED — Wrong Code")),"—")</f>
        <v>—</v>
      </c>
      <c r="K172" s="93" t="str">
        <f t="shared" ca="1" si="17"/>
        <v>—</v>
      </c>
      <c r="L172" s="94"/>
    </row>
    <row r="173" spans="1:12" x14ac:dyDescent="0.25">
      <c r="A173" s="79"/>
      <c r="B173" s="21" t="str">
        <f>IF(A173="","",IFERROR(VLOOKUP(A173,DB_Customers!$A:$D,4,0),"❌ Account Not Found"))</f>
        <v/>
      </c>
      <c r="C173" s="80" t="str">
        <f>IF(A173="","",IFERROR(VLOOKUP(A173,DB_Customers!$A:$N,14,0),""))</f>
        <v/>
      </c>
      <c r="D173" s="81" t="str">
        <f t="shared" ca="1" si="15"/>
        <v/>
      </c>
      <c r="E173" s="97"/>
      <c r="F173" s="21"/>
      <c r="G173" s="98" t="str">
        <f t="shared" si="16"/>
        <v/>
      </c>
      <c r="H173" s="23"/>
      <c r="I173" s="84"/>
      <c r="J173" s="85" t="str">
        <f>IF(AND(A173&lt;&gt;"",E173&lt;&gt;""),IF(I173="","⚠️ Enter Code",IF(IFERROR(VLOOKUP(H173,DB_Agents!$B:$I,8,0),"")=I173,IF(C173&gt;=E173,"Successful","Unsuccessful"),"🔒 BLOCKED — Wrong Code")),"—")</f>
        <v>—</v>
      </c>
      <c r="K173" s="86" t="str">
        <f t="shared" ca="1" si="17"/>
        <v>—</v>
      </c>
      <c r="L173" s="87"/>
    </row>
    <row r="174" spans="1:12" x14ac:dyDescent="0.25">
      <c r="A174" s="88"/>
      <c r="B174" s="25" t="str">
        <f>IF(A174="","",IFERROR(VLOOKUP(A174,DB_Customers!$A:$D,4,0),"❌ Account Not Found"))</f>
        <v/>
      </c>
      <c r="C174" s="89" t="str">
        <f>IF(A174="","",IFERROR(VLOOKUP(A174,DB_Customers!$A:$N,14,0),""))</f>
        <v/>
      </c>
      <c r="D174" s="90" t="str">
        <f t="shared" ca="1" si="15"/>
        <v/>
      </c>
      <c r="E174" s="97"/>
      <c r="F174" s="25"/>
      <c r="G174" s="99" t="str">
        <f t="shared" si="16"/>
        <v/>
      </c>
      <c r="H174" s="27"/>
      <c r="I174" s="84"/>
      <c r="J174" s="92" t="str">
        <f>IF(AND(A174&lt;&gt;"",E174&lt;&gt;""),IF(I174="","⚠️ Enter Code",IF(IFERROR(VLOOKUP(H174,DB_Agents!$B:$I,8,0),"")=I174,IF(C174&gt;=E174,"Successful","Unsuccessful"),"🔒 BLOCKED — Wrong Code")),"—")</f>
        <v>—</v>
      </c>
      <c r="K174" s="93" t="str">
        <f t="shared" ca="1" si="17"/>
        <v>—</v>
      </c>
      <c r="L174" s="94"/>
    </row>
    <row r="175" spans="1:12" x14ac:dyDescent="0.25">
      <c r="A175" s="79"/>
      <c r="B175" s="21" t="str">
        <f>IF(A175="","",IFERROR(VLOOKUP(A175,DB_Customers!$A:$D,4,0),"❌ Account Not Found"))</f>
        <v/>
      </c>
      <c r="C175" s="80" t="str">
        <f>IF(A175="","",IFERROR(VLOOKUP(A175,DB_Customers!$A:$N,14,0),""))</f>
        <v/>
      </c>
      <c r="D175" s="81" t="str">
        <f t="shared" ca="1" si="15"/>
        <v/>
      </c>
      <c r="E175" s="97"/>
      <c r="F175" s="21"/>
      <c r="G175" s="98" t="str">
        <f t="shared" si="16"/>
        <v/>
      </c>
      <c r="H175" s="23"/>
      <c r="I175" s="84"/>
      <c r="J175" s="85" t="str">
        <f>IF(AND(A175&lt;&gt;"",E175&lt;&gt;""),IF(I175="","⚠️ Enter Code",IF(IFERROR(VLOOKUP(H175,DB_Agents!$B:$I,8,0),"")=I175,IF(C175&gt;=E175,"Successful","Unsuccessful"),"🔒 BLOCKED — Wrong Code")),"—")</f>
        <v>—</v>
      </c>
      <c r="K175" s="86" t="str">
        <f t="shared" ca="1" si="17"/>
        <v>—</v>
      </c>
      <c r="L175" s="87"/>
    </row>
    <row r="176" spans="1:12" x14ac:dyDescent="0.25">
      <c r="A176" s="88"/>
      <c r="B176" s="25" t="str">
        <f>IF(A176="","",IFERROR(VLOOKUP(A176,DB_Customers!$A:$D,4,0),"❌ Account Not Found"))</f>
        <v/>
      </c>
      <c r="C176" s="89" t="str">
        <f>IF(A176="","",IFERROR(VLOOKUP(A176,DB_Customers!$A:$N,14,0),""))</f>
        <v/>
      </c>
      <c r="D176" s="90" t="str">
        <f t="shared" ca="1" si="15"/>
        <v/>
      </c>
      <c r="E176" s="97"/>
      <c r="F176" s="25"/>
      <c r="G176" s="99" t="str">
        <f t="shared" si="16"/>
        <v/>
      </c>
      <c r="H176" s="27"/>
      <c r="I176" s="84"/>
      <c r="J176" s="92" t="str">
        <f>IF(AND(A176&lt;&gt;"",E176&lt;&gt;""),IF(I176="","⚠️ Enter Code",IF(IFERROR(VLOOKUP(H176,DB_Agents!$B:$I,8,0),"")=I176,IF(C176&gt;=E176,"Successful","Unsuccessful"),"🔒 BLOCKED — Wrong Code")),"—")</f>
        <v>—</v>
      </c>
      <c r="K176" s="93" t="str">
        <f t="shared" ca="1" si="17"/>
        <v>—</v>
      </c>
      <c r="L176" s="94"/>
    </row>
    <row r="177" spans="1:12" x14ac:dyDescent="0.25">
      <c r="A177" s="79"/>
      <c r="B177" s="21" t="str">
        <f>IF(A177="","",IFERROR(VLOOKUP(A177,DB_Customers!$A:$D,4,0),"❌ Account Not Found"))</f>
        <v/>
      </c>
      <c r="C177" s="80" t="str">
        <f>IF(A177="","",IFERROR(VLOOKUP(A177,DB_Customers!$A:$N,14,0),""))</f>
        <v/>
      </c>
      <c r="D177" s="81" t="str">
        <f t="shared" ca="1" si="15"/>
        <v/>
      </c>
      <c r="E177" s="97"/>
      <c r="F177" s="21"/>
      <c r="G177" s="98" t="str">
        <f t="shared" si="16"/>
        <v/>
      </c>
      <c r="H177" s="23"/>
      <c r="I177" s="84"/>
      <c r="J177" s="85" t="str">
        <f>IF(AND(A177&lt;&gt;"",E177&lt;&gt;""),IF(I177="","⚠️ Enter Code",IF(IFERROR(VLOOKUP(H177,DB_Agents!$B:$I,8,0),"")=I177,IF(C177&gt;=E177,"Successful","Unsuccessful"),"🔒 BLOCKED — Wrong Code")),"—")</f>
        <v>—</v>
      </c>
      <c r="K177" s="86" t="str">
        <f t="shared" ca="1" si="17"/>
        <v>—</v>
      </c>
      <c r="L177" s="87"/>
    </row>
    <row r="178" spans="1:12" x14ac:dyDescent="0.25">
      <c r="A178" s="88"/>
      <c r="B178" s="25" t="str">
        <f>IF(A178="","",IFERROR(VLOOKUP(A178,DB_Customers!$A:$D,4,0),"❌ Account Not Found"))</f>
        <v/>
      </c>
      <c r="C178" s="89" t="str">
        <f>IF(A178="","",IFERROR(VLOOKUP(A178,DB_Customers!$A:$N,14,0),""))</f>
        <v/>
      </c>
      <c r="D178" s="90" t="str">
        <f t="shared" ca="1" si="15"/>
        <v/>
      </c>
      <c r="E178" s="97"/>
      <c r="F178" s="25"/>
      <c r="G178" s="99" t="str">
        <f t="shared" si="16"/>
        <v/>
      </c>
      <c r="H178" s="27"/>
      <c r="I178" s="84"/>
      <c r="J178" s="92" t="str">
        <f>IF(AND(A178&lt;&gt;"",E178&lt;&gt;""),IF(I178="","⚠️ Enter Code",IF(IFERROR(VLOOKUP(H178,DB_Agents!$B:$I,8,0),"")=I178,IF(C178&gt;=E178,"Successful","Unsuccessful"),"🔒 BLOCKED — Wrong Code")),"—")</f>
        <v>—</v>
      </c>
      <c r="K178" s="93" t="str">
        <f t="shared" ca="1" si="17"/>
        <v>—</v>
      </c>
      <c r="L178" s="94"/>
    </row>
    <row r="179" spans="1:12" x14ac:dyDescent="0.25">
      <c r="A179" s="79"/>
      <c r="B179" s="21" t="str">
        <f>IF(A179="","",IFERROR(VLOOKUP(A179,DB_Customers!$A:$D,4,0),"❌ Account Not Found"))</f>
        <v/>
      </c>
      <c r="C179" s="80" t="str">
        <f>IF(A179="","",IFERROR(VLOOKUP(A179,DB_Customers!$A:$N,14,0),""))</f>
        <v/>
      </c>
      <c r="D179" s="81" t="str">
        <f t="shared" ca="1" si="15"/>
        <v/>
      </c>
      <c r="E179" s="97"/>
      <c r="F179" s="21"/>
      <c r="G179" s="98" t="str">
        <f t="shared" si="16"/>
        <v/>
      </c>
      <c r="H179" s="23"/>
      <c r="I179" s="84"/>
      <c r="J179" s="85" t="str">
        <f>IF(AND(A179&lt;&gt;"",E179&lt;&gt;""),IF(I179="","⚠️ Enter Code",IF(IFERROR(VLOOKUP(H179,DB_Agents!$B:$I,8,0),"")=I179,IF(C179&gt;=E179,"Successful","Unsuccessful"),"🔒 BLOCKED — Wrong Code")),"—")</f>
        <v>—</v>
      </c>
      <c r="K179" s="86" t="str">
        <f t="shared" ca="1" si="17"/>
        <v>—</v>
      </c>
      <c r="L179" s="87"/>
    </row>
    <row r="180" spans="1:12" x14ac:dyDescent="0.25">
      <c r="A180" s="88"/>
      <c r="B180" s="25" t="str">
        <f>IF(A180="","",IFERROR(VLOOKUP(A180,DB_Customers!$A:$D,4,0),"❌ Account Not Found"))</f>
        <v/>
      </c>
      <c r="C180" s="89" t="str">
        <f>IF(A180="","",IFERROR(VLOOKUP(A180,DB_Customers!$A:$N,14,0),""))</f>
        <v/>
      </c>
      <c r="D180" s="90" t="str">
        <f t="shared" ca="1" si="15"/>
        <v/>
      </c>
      <c r="E180" s="97"/>
      <c r="F180" s="25"/>
      <c r="G180" s="99" t="str">
        <f t="shared" si="16"/>
        <v/>
      </c>
      <c r="H180" s="27"/>
      <c r="I180" s="84"/>
      <c r="J180" s="92" t="str">
        <f>IF(AND(A180&lt;&gt;"",E180&lt;&gt;""),IF(I180="","⚠️ Enter Code",IF(IFERROR(VLOOKUP(H180,DB_Agents!$B:$I,8,0),"")=I180,IF(C180&gt;=E180,"Successful","Unsuccessful"),"🔒 BLOCKED — Wrong Code")),"—")</f>
        <v>—</v>
      </c>
      <c r="K180" s="93" t="str">
        <f t="shared" ca="1" si="17"/>
        <v>—</v>
      </c>
      <c r="L180" s="94"/>
    </row>
    <row r="181" spans="1:12" x14ac:dyDescent="0.25">
      <c r="A181" s="79"/>
      <c r="B181" s="21" t="str">
        <f>IF(A181="","",IFERROR(VLOOKUP(A181,DB_Customers!$A:$D,4,0),"❌ Account Not Found"))</f>
        <v/>
      </c>
      <c r="C181" s="80" t="str">
        <f>IF(A181="","",IFERROR(VLOOKUP(A181,DB_Customers!$A:$N,14,0),""))</f>
        <v/>
      </c>
      <c r="D181" s="81" t="str">
        <f t="shared" ca="1" si="15"/>
        <v/>
      </c>
      <c r="E181" s="97"/>
      <c r="F181" s="21"/>
      <c r="G181" s="98" t="str">
        <f t="shared" si="16"/>
        <v/>
      </c>
      <c r="H181" s="23"/>
      <c r="I181" s="84"/>
      <c r="J181" s="85" t="str">
        <f>IF(AND(A181&lt;&gt;"",E181&lt;&gt;""),IF(I181="","⚠️ Enter Code",IF(IFERROR(VLOOKUP(H181,DB_Agents!$B:$I,8,0),"")=I181,IF(C181&gt;=E181,"Successful","Unsuccessful"),"🔒 BLOCKED — Wrong Code")),"—")</f>
        <v>—</v>
      </c>
      <c r="K181" s="86" t="str">
        <f t="shared" ca="1" si="17"/>
        <v>—</v>
      </c>
      <c r="L181" s="87"/>
    </row>
    <row r="182" spans="1:12" x14ac:dyDescent="0.25">
      <c r="A182" s="88"/>
      <c r="B182" s="25" t="str">
        <f>IF(A182="","",IFERROR(VLOOKUP(A182,DB_Customers!$A:$D,4,0),"❌ Account Not Found"))</f>
        <v/>
      </c>
      <c r="C182" s="89" t="str">
        <f>IF(A182="","",IFERROR(VLOOKUP(A182,DB_Customers!$A:$N,14,0),""))</f>
        <v/>
      </c>
      <c r="D182" s="90" t="str">
        <f t="shared" ca="1" si="15"/>
        <v/>
      </c>
      <c r="E182" s="97"/>
      <c r="F182" s="25"/>
      <c r="G182" s="99" t="str">
        <f t="shared" si="16"/>
        <v/>
      </c>
      <c r="H182" s="27"/>
      <c r="I182" s="84"/>
      <c r="J182" s="92" t="str">
        <f>IF(AND(A182&lt;&gt;"",E182&lt;&gt;""),IF(I182="","⚠️ Enter Code",IF(IFERROR(VLOOKUP(H182,DB_Agents!$B:$I,8,0),"")=I182,IF(C182&gt;=E182,"Successful","Unsuccessful"),"🔒 BLOCKED — Wrong Code")),"—")</f>
        <v>—</v>
      </c>
      <c r="K182" s="93" t="str">
        <f t="shared" ca="1" si="17"/>
        <v>—</v>
      </c>
      <c r="L182" s="94"/>
    </row>
    <row r="183" spans="1:12" x14ac:dyDescent="0.25">
      <c r="A183" s="79"/>
      <c r="B183" s="21" t="str">
        <f>IF(A183="","",IFERROR(VLOOKUP(A183,DB_Customers!$A:$D,4,0),"❌ Account Not Found"))</f>
        <v/>
      </c>
      <c r="C183" s="80" t="str">
        <f>IF(A183="","",IFERROR(VLOOKUP(A183,DB_Customers!$A:$N,14,0),""))</f>
        <v/>
      </c>
      <c r="D183" s="81" t="str">
        <f t="shared" ca="1" si="15"/>
        <v/>
      </c>
      <c r="E183" s="97"/>
      <c r="F183" s="21"/>
      <c r="G183" s="98" t="str">
        <f t="shared" si="16"/>
        <v/>
      </c>
      <c r="H183" s="23"/>
      <c r="I183" s="84"/>
      <c r="J183" s="85" t="str">
        <f>IF(AND(A183&lt;&gt;"",E183&lt;&gt;""),IF(I183="","⚠️ Enter Code",IF(IFERROR(VLOOKUP(H183,DB_Agents!$B:$I,8,0),"")=I183,IF(C183&gt;=E183,"Successful","Unsuccessful"),"🔒 BLOCKED — Wrong Code")),"—")</f>
        <v>—</v>
      </c>
      <c r="K183" s="86" t="str">
        <f t="shared" ca="1" si="17"/>
        <v>—</v>
      </c>
      <c r="L183" s="87"/>
    </row>
    <row r="184" spans="1:12" x14ac:dyDescent="0.25">
      <c r="A184" s="88"/>
      <c r="B184" s="25" t="str">
        <f>IF(A184="","",IFERROR(VLOOKUP(A184,DB_Customers!$A:$D,4,0),"❌ Account Not Found"))</f>
        <v/>
      </c>
      <c r="C184" s="89" t="str">
        <f>IF(A184="","",IFERROR(VLOOKUP(A184,DB_Customers!$A:$N,14,0),""))</f>
        <v/>
      </c>
      <c r="D184" s="90" t="str">
        <f t="shared" ca="1" si="15"/>
        <v/>
      </c>
      <c r="E184" s="97"/>
      <c r="F184" s="25"/>
      <c r="G184" s="99" t="str">
        <f t="shared" si="16"/>
        <v/>
      </c>
      <c r="H184" s="27"/>
      <c r="I184" s="84"/>
      <c r="J184" s="92" t="str">
        <f>IF(AND(A184&lt;&gt;"",E184&lt;&gt;""),IF(I184="","⚠️ Enter Code",IF(IFERROR(VLOOKUP(H184,DB_Agents!$B:$I,8,0),"")=I184,IF(C184&gt;=E184,"Successful","Unsuccessful"),"🔒 BLOCKED — Wrong Code")),"—")</f>
        <v>—</v>
      </c>
      <c r="K184" s="93" t="str">
        <f t="shared" ca="1" si="17"/>
        <v>—</v>
      </c>
      <c r="L184" s="94"/>
    </row>
    <row r="185" spans="1:12" x14ac:dyDescent="0.25">
      <c r="A185" s="79"/>
      <c r="B185" s="21" t="str">
        <f>IF(A185="","",IFERROR(VLOOKUP(A185,DB_Customers!$A:$D,4,0),"❌ Account Not Found"))</f>
        <v/>
      </c>
      <c r="C185" s="80" t="str">
        <f>IF(A185="","",IFERROR(VLOOKUP(A185,DB_Customers!$A:$N,14,0),""))</f>
        <v/>
      </c>
      <c r="D185" s="81" t="str">
        <f t="shared" ca="1" si="15"/>
        <v/>
      </c>
      <c r="E185" s="97"/>
      <c r="F185" s="21"/>
      <c r="G185" s="98" t="str">
        <f t="shared" si="16"/>
        <v/>
      </c>
      <c r="H185" s="23"/>
      <c r="I185" s="84"/>
      <c r="J185" s="85" t="str">
        <f>IF(AND(A185&lt;&gt;"",E185&lt;&gt;""),IF(I185="","⚠️ Enter Code",IF(IFERROR(VLOOKUP(H185,DB_Agents!$B:$I,8,0),"")=I185,IF(C185&gt;=E185,"Successful","Unsuccessful"),"🔒 BLOCKED — Wrong Code")),"—")</f>
        <v>—</v>
      </c>
      <c r="K185" s="86" t="str">
        <f t="shared" ca="1" si="17"/>
        <v>—</v>
      </c>
      <c r="L185" s="87"/>
    </row>
    <row r="186" spans="1:12" x14ac:dyDescent="0.25">
      <c r="A186" s="88"/>
      <c r="B186" s="25" t="str">
        <f>IF(A186="","",IFERROR(VLOOKUP(A186,DB_Customers!$A:$D,4,0),"❌ Account Not Found"))</f>
        <v/>
      </c>
      <c r="C186" s="89" t="str">
        <f>IF(A186="","",IFERROR(VLOOKUP(A186,DB_Customers!$A:$N,14,0),""))</f>
        <v/>
      </c>
      <c r="D186" s="90" t="str">
        <f t="shared" ca="1" si="15"/>
        <v/>
      </c>
      <c r="E186" s="97"/>
      <c r="F186" s="25"/>
      <c r="G186" s="99" t="str">
        <f t="shared" si="16"/>
        <v/>
      </c>
      <c r="H186" s="27"/>
      <c r="I186" s="84"/>
      <c r="J186" s="92" t="str">
        <f>IF(AND(A186&lt;&gt;"",E186&lt;&gt;""),IF(I186="","⚠️ Enter Code",IF(IFERROR(VLOOKUP(H186,DB_Agents!$B:$I,8,0),"")=I186,IF(C186&gt;=E186,"Successful","Unsuccessful"),"🔒 BLOCKED — Wrong Code")),"—")</f>
        <v>—</v>
      </c>
      <c r="K186" s="93" t="str">
        <f t="shared" ca="1" si="17"/>
        <v>—</v>
      </c>
      <c r="L186" s="94"/>
    </row>
    <row r="187" spans="1:12" x14ac:dyDescent="0.25">
      <c r="A187" s="79"/>
      <c r="B187" s="21" t="str">
        <f>IF(A187="","",IFERROR(VLOOKUP(A187,DB_Customers!$A:$D,4,0),"❌ Account Not Found"))</f>
        <v/>
      </c>
      <c r="C187" s="80" t="str">
        <f>IF(A187="","",IFERROR(VLOOKUP(A187,DB_Customers!$A:$N,14,0),""))</f>
        <v/>
      </c>
      <c r="D187" s="81" t="str">
        <f t="shared" ca="1" si="15"/>
        <v/>
      </c>
      <c r="E187" s="97"/>
      <c r="F187" s="21"/>
      <c r="G187" s="98" t="str">
        <f t="shared" si="16"/>
        <v/>
      </c>
      <c r="H187" s="23"/>
      <c r="I187" s="84"/>
      <c r="J187" s="85" t="str">
        <f>IF(AND(A187&lt;&gt;"",E187&lt;&gt;""),IF(I187="","⚠️ Enter Code",IF(IFERROR(VLOOKUP(H187,DB_Agents!$B:$I,8,0),"")=I187,IF(C187&gt;=E187,"Successful","Unsuccessful"),"🔒 BLOCKED — Wrong Code")),"—")</f>
        <v>—</v>
      </c>
      <c r="K187" s="86" t="str">
        <f t="shared" ca="1" si="17"/>
        <v>—</v>
      </c>
      <c r="L187" s="87"/>
    </row>
    <row r="188" spans="1:12" x14ac:dyDescent="0.25">
      <c r="A188" s="88"/>
      <c r="B188" s="25" t="str">
        <f>IF(A188="","",IFERROR(VLOOKUP(A188,DB_Customers!$A:$D,4,0),"❌ Account Not Found"))</f>
        <v/>
      </c>
      <c r="C188" s="89" t="str">
        <f>IF(A188="","",IFERROR(VLOOKUP(A188,DB_Customers!$A:$N,14,0),""))</f>
        <v/>
      </c>
      <c r="D188" s="90" t="str">
        <f t="shared" ca="1" si="15"/>
        <v/>
      </c>
      <c r="E188" s="97"/>
      <c r="F188" s="25"/>
      <c r="G188" s="99" t="str">
        <f t="shared" si="16"/>
        <v/>
      </c>
      <c r="H188" s="27"/>
      <c r="I188" s="84"/>
      <c r="J188" s="92" t="str">
        <f>IF(AND(A188&lt;&gt;"",E188&lt;&gt;""),IF(I188="","⚠️ Enter Code",IF(IFERROR(VLOOKUP(H188,DB_Agents!$B:$I,8,0),"")=I188,IF(C188&gt;=E188,"Successful","Unsuccessful"),"🔒 BLOCKED — Wrong Code")),"—")</f>
        <v>—</v>
      </c>
      <c r="K188" s="93" t="str">
        <f t="shared" ca="1" si="17"/>
        <v>—</v>
      </c>
      <c r="L188" s="94"/>
    </row>
    <row r="189" spans="1:12" x14ac:dyDescent="0.25">
      <c r="A189" s="79"/>
      <c r="B189" s="21" t="str">
        <f>IF(A189="","",IFERROR(VLOOKUP(A189,DB_Customers!$A:$D,4,0),"❌ Account Not Found"))</f>
        <v/>
      </c>
      <c r="C189" s="80" t="str">
        <f>IF(A189="","",IFERROR(VLOOKUP(A189,DB_Customers!$A:$N,14,0),""))</f>
        <v/>
      </c>
      <c r="D189" s="81" t="str">
        <f t="shared" ca="1" si="15"/>
        <v/>
      </c>
      <c r="E189" s="97"/>
      <c r="F189" s="21"/>
      <c r="G189" s="98" t="str">
        <f t="shared" si="16"/>
        <v/>
      </c>
      <c r="H189" s="23"/>
      <c r="I189" s="84"/>
      <c r="J189" s="85" t="str">
        <f>IF(AND(A189&lt;&gt;"",E189&lt;&gt;""),IF(I189="","⚠️ Enter Code",IF(IFERROR(VLOOKUP(H189,DB_Agents!$B:$I,8,0),"")=I189,IF(C189&gt;=E189,"Successful","Unsuccessful"),"🔒 BLOCKED — Wrong Code")),"—")</f>
        <v>—</v>
      </c>
      <c r="K189" s="86" t="str">
        <f t="shared" ca="1" si="17"/>
        <v>—</v>
      </c>
      <c r="L189" s="87"/>
    </row>
    <row r="190" spans="1:12" x14ac:dyDescent="0.25">
      <c r="A190" s="88"/>
      <c r="B190" s="25" t="str">
        <f>IF(A190="","",IFERROR(VLOOKUP(A190,DB_Customers!$A:$D,4,0),"❌ Account Not Found"))</f>
        <v/>
      </c>
      <c r="C190" s="89" t="str">
        <f>IF(A190="","",IFERROR(VLOOKUP(A190,DB_Customers!$A:$N,14,0),""))</f>
        <v/>
      </c>
      <c r="D190" s="90" t="str">
        <f t="shared" ca="1" si="15"/>
        <v/>
      </c>
      <c r="E190" s="97"/>
      <c r="F190" s="25"/>
      <c r="G190" s="99" t="str">
        <f t="shared" si="16"/>
        <v/>
      </c>
      <c r="H190" s="27"/>
      <c r="I190" s="84"/>
      <c r="J190" s="92" t="str">
        <f>IF(AND(A190&lt;&gt;"",E190&lt;&gt;""),IF(I190="","⚠️ Enter Code",IF(IFERROR(VLOOKUP(H190,DB_Agents!$B:$I,8,0),"")=I190,IF(C190&gt;=E190,"Successful","Unsuccessful"),"🔒 BLOCKED — Wrong Code")),"—")</f>
        <v>—</v>
      </c>
      <c r="K190" s="93" t="str">
        <f t="shared" ca="1" si="17"/>
        <v>—</v>
      </c>
      <c r="L190" s="94"/>
    </row>
    <row r="191" spans="1:12" x14ac:dyDescent="0.25">
      <c r="A191" s="79"/>
      <c r="B191" s="21" t="str">
        <f>IF(A191="","",IFERROR(VLOOKUP(A191,DB_Customers!$A:$D,4,0),"❌ Account Not Found"))</f>
        <v/>
      </c>
      <c r="C191" s="80" t="str">
        <f>IF(A191="","",IFERROR(VLOOKUP(A191,DB_Customers!$A:$N,14,0),""))</f>
        <v/>
      </c>
      <c r="D191" s="81" t="str">
        <f t="shared" ca="1" si="15"/>
        <v/>
      </c>
      <c r="E191" s="97"/>
      <c r="F191" s="21"/>
      <c r="G191" s="98" t="str">
        <f t="shared" si="16"/>
        <v/>
      </c>
      <c r="H191" s="23"/>
      <c r="I191" s="84"/>
      <c r="J191" s="85" t="str">
        <f>IF(AND(A191&lt;&gt;"",E191&lt;&gt;""),IF(I191="","⚠️ Enter Code",IF(IFERROR(VLOOKUP(H191,DB_Agents!$B:$I,8,0),"")=I191,IF(C191&gt;=E191,"Successful","Unsuccessful"),"🔒 BLOCKED — Wrong Code")),"—")</f>
        <v>—</v>
      </c>
      <c r="K191" s="86" t="str">
        <f t="shared" ca="1" si="17"/>
        <v>—</v>
      </c>
      <c r="L191" s="87"/>
    </row>
    <row r="192" spans="1:12" x14ac:dyDescent="0.25">
      <c r="A192" s="88"/>
      <c r="B192" s="25" t="str">
        <f>IF(A192="","",IFERROR(VLOOKUP(A192,DB_Customers!$A:$D,4,0),"❌ Account Not Found"))</f>
        <v/>
      </c>
      <c r="C192" s="89" t="str">
        <f>IF(A192="","",IFERROR(VLOOKUP(A192,DB_Customers!$A:$N,14,0),""))</f>
        <v/>
      </c>
      <c r="D192" s="90" t="str">
        <f t="shared" ca="1" si="15"/>
        <v/>
      </c>
      <c r="E192" s="97"/>
      <c r="F192" s="25"/>
      <c r="G192" s="99" t="str">
        <f t="shared" si="16"/>
        <v/>
      </c>
      <c r="H192" s="27"/>
      <c r="I192" s="84"/>
      <c r="J192" s="92" t="str">
        <f>IF(AND(A192&lt;&gt;"",E192&lt;&gt;""),IF(I192="","⚠️ Enter Code",IF(IFERROR(VLOOKUP(H192,DB_Agents!$B:$I,8,0),"")=I192,IF(C192&gt;=E192,"Successful","Unsuccessful"),"🔒 BLOCKED — Wrong Code")),"—")</f>
        <v>—</v>
      </c>
      <c r="K192" s="93" t="str">
        <f t="shared" ca="1" si="17"/>
        <v>—</v>
      </c>
      <c r="L192" s="94"/>
    </row>
    <row r="193" spans="1:12" x14ac:dyDescent="0.25">
      <c r="A193" s="79"/>
      <c r="B193" s="21" t="str">
        <f>IF(A193="","",IFERROR(VLOOKUP(A193,DB_Customers!$A:$D,4,0),"❌ Account Not Found"))</f>
        <v/>
      </c>
      <c r="C193" s="80" t="str">
        <f>IF(A193="","",IFERROR(VLOOKUP(A193,DB_Customers!$A:$N,14,0),""))</f>
        <v/>
      </c>
      <c r="D193" s="81" t="str">
        <f t="shared" ca="1" si="15"/>
        <v/>
      </c>
      <c r="E193" s="97"/>
      <c r="F193" s="21"/>
      <c r="G193" s="98" t="str">
        <f t="shared" si="16"/>
        <v/>
      </c>
      <c r="H193" s="23"/>
      <c r="I193" s="84"/>
      <c r="J193" s="85" t="str">
        <f>IF(AND(A193&lt;&gt;"",E193&lt;&gt;""),IF(I193="","⚠️ Enter Code",IF(IFERROR(VLOOKUP(H193,DB_Agents!$B:$I,8,0),"")=I193,IF(C193&gt;=E193,"Successful","Unsuccessful"),"🔒 BLOCKED — Wrong Code")),"—")</f>
        <v>—</v>
      </c>
      <c r="K193" s="86" t="str">
        <f t="shared" ca="1" si="17"/>
        <v>—</v>
      </c>
      <c r="L193" s="87"/>
    </row>
    <row r="194" spans="1:12" x14ac:dyDescent="0.25">
      <c r="A194" s="88"/>
      <c r="B194" s="25" t="str">
        <f>IF(A194="","",IFERROR(VLOOKUP(A194,DB_Customers!$A:$D,4,0),"❌ Account Not Found"))</f>
        <v/>
      </c>
      <c r="C194" s="89" t="str">
        <f>IF(A194="","",IFERROR(VLOOKUP(A194,DB_Customers!$A:$N,14,0),""))</f>
        <v/>
      </c>
      <c r="D194" s="90" t="str">
        <f t="shared" ca="1" si="15"/>
        <v/>
      </c>
      <c r="E194" s="97"/>
      <c r="F194" s="25"/>
      <c r="G194" s="99" t="str">
        <f t="shared" si="16"/>
        <v/>
      </c>
      <c r="H194" s="27"/>
      <c r="I194" s="84"/>
      <c r="J194" s="92" t="str">
        <f>IF(AND(A194&lt;&gt;"",E194&lt;&gt;""),IF(I194="","⚠️ Enter Code",IF(IFERROR(VLOOKUP(H194,DB_Agents!$B:$I,8,0),"")=I194,IF(C194&gt;=E194,"Successful","Unsuccessful"),"🔒 BLOCKED — Wrong Code")),"—")</f>
        <v>—</v>
      </c>
      <c r="K194" s="93" t="str">
        <f t="shared" ca="1" si="17"/>
        <v>—</v>
      </c>
      <c r="L194" s="94"/>
    </row>
    <row r="195" spans="1:12" x14ac:dyDescent="0.25">
      <c r="A195" s="79"/>
      <c r="B195" s="21" t="str">
        <f>IF(A195="","",IFERROR(VLOOKUP(A195,DB_Customers!$A:$D,4,0),"❌ Account Not Found"))</f>
        <v/>
      </c>
      <c r="C195" s="80" t="str">
        <f>IF(A195="","",IFERROR(VLOOKUP(A195,DB_Customers!$A:$N,14,0),""))</f>
        <v/>
      </c>
      <c r="D195" s="81" t="str">
        <f t="shared" ca="1" si="15"/>
        <v/>
      </c>
      <c r="E195" s="97"/>
      <c r="F195" s="21"/>
      <c r="G195" s="98" t="str">
        <f t="shared" si="16"/>
        <v/>
      </c>
      <c r="H195" s="23"/>
      <c r="I195" s="84"/>
      <c r="J195" s="85" t="str">
        <f>IF(AND(A195&lt;&gt;"",E195&lt;&gt;""),IF(I195="","⚠️ Enter Code",IF(IFERROR(VLOOKUP(H195,DB_Agents!$B:$I,8,0),"")=I195,IF(C195&gt;=E195,"Successful","Unsuccessful"),"🔒 BLOCKED — Wrong Code")),"—")</f>
        <v>—</v>
      </c>
      <c r="K195" s="86" t="str">
        <f t="shared" ca="1" si="17"/>
        <v>—</v>
      </c>
      <c r="L195" s="87"/>
    </row>
    <row r="196" spans="1:12" x14ac:dyDescent="0.25">
      <c r="A196" s="88"/>
      <c r="B196" s="25" t="str">
        <f>IF(A196="","",IFERROR(VLOOKUP(A196,DB_Customers!$A:$D,4,0),"❌ Account Not Found"))</f>
        <v/>
      </c>
      <c r="C196" s="89" t="str">
        <f>IF(A196="","",IFERROR(VLOOKUP(A196,DB_Customers!$A:$N,14,0),""))</f>
        <v/>
      </c>
      <c r="D196" s="90" t="str">
        <f t="shared" ca="1" si="15"/>
        <v/>
      </c>
      <c r="E196" s="97"/>
      <c r="F196" s="25"/>
      <c r="G196" s="99" t="str">
        <f t="shared" si="16"/>
        <v/>
      </c>
      <c r="H196" s="27"/>
      <c r="I196" s="84"/>
      <c r="J196" s="92" t="str">
        <f>IF(AND(A196&lt;&gt;"",E196&lt;&gt;""),IF(I196="","⚠️ Enter Code",IF(IFERROR(VLOOKUP(H196,DB_Agents!$B:$I,8,0),"")=I196,IF(C196&gt;=E196,"Successful","Unsuccessful"),"🔒 BLOCKED — Wrong Code")),"—")</f>
        <v>—</v>
      </c>
      <c r="K196" s="93" t="str">
        <f t="shared" ca="1" si="17"/>
        <v>—</v>
      </c>
      <c r="L196" s="94"/>
    </row>
    <row r="197" spans="1:12" x14ac:dyDescent="0.25">
      <c r="A197" s="79"/>
      <c r="B197" s="21" t="str">
        <f>IF(A197="","",IFERROR(VLOOKUP(A197,DB_Customers!$A:$D,4,0),"❌ Account Not Found"))</f>
        <v/>
      </c>
      <c r="C197" s="80" t="str">
        <f>IF(A197="","",IFERROR(VLOOKUP(A197,DB_Customers!$A:$N,14,0),""))</f>
        <v/>
      </c>
      <c r="D197" s="81" t="str">
        <f t="shared" ca="1" si="15"/>
        <v/>
      </c>
      <c r="E197" s="97"/>
      <c r="F197" s="21"/>
      <c r="G197" s="98" t="str">
        <f t="shared" si="16"/>
        <v/>
      </c>
      <c r="H197" s="23"/>
      <c r="I197" s="84"/>
      <c r="J197" s="85" t="str">
        <f>IF(AND(A197&lt;&gt;"",E197&lt;&gt;""),IF(I197="","⚠️ Enter Code",IF(IFERROR(VLOOKUP(H197,DB_Agents!$B:$I,8,0),"")=I197,IF(C197&gt;=E197,"Successful","Unsuccessful"),"🔒 BLOCKED — Wrong Code")),"—")</f>
        <v>—</v>
      </c>
      <c r="K197" s="86" t="str">
        <f t="shared" ca="1" si="17"/>
        <v>—</v>
      </c>
      <c r="L197" s="87"/>
    </row>
    <row r="198" spans="1:12" x14ac:dyDescent="0.25">
      <c r="A198" s="88"/>
      <c r="B198" s="25" t="str">
        <f>IF(A198="","",IFERROR(VLOOKUP(A198,DB_Customers!$A:$D,4,0),"❌ Account Not Found"))</f>
        <v/>
      </c>
      <c r="C198" s="89" t="str">
        <f>IF(A198="","",IFERROR(VLOOKUP(A198,DB_Customers!$A:$N,14,0),""))</f>
        <v/>
      </c>
      <c r="D198" s="90" t="str">
        <f t="shared" ca="1" si="15"/>
        <v/>
      </c>
      <c r="E198" s="97"/>
      <c r="F198" s="25"/>
      <c r="G198" s="99" t="str">
        <f t="shared" si="16"/>
        <v/>
      </c>
      <c r="H198" s="27"/>
      <c r="I198" s="84"/>
      <c r="J198" s="92" t="str">
        <f>IF(AND(A198&lt;&gt;"",E198&lt;&gt;""),IF(I198="","⚠️ Enter Code",IF(IFERROR(VLOOKUP(H198,DB_Agents!$B:$I,8,0),"")=I198,IF(C198&gt;=E198,"Successful","Unsuccessful"),"🔒 BLOCKED — Wrong Code")),"—")</f>
        <v>—</v>
      </c>
      <c r="K198" s="93" t="str">
        <f t="shared" ca="1" si="17"/>
        <v>—</v>
      </c>
      <c r="L198" s="94"/>
    </row>
    <row r="199" spans="1:12" x14ac:dyDescent="0.25">
      <c r="A199" s="79"/>
      <c r="B199" s="21" t="str">
        <f>IF(A199="","",IFERROR(VLOOKUP(A199,DB_Customers!$A:$D,4,0),"❌ Account Not Found"))</f>
        <v/>
      </c>
      <c r="C199" s="80" t="str">
        <f>IF(A199="","",IFERROR(VLOOKUP(A199,DB_Customers!$A:$N,14,0),""))</f>
        <v/>
      </c>
      <c r="D199" s="81" t="str">
        <f t="shared" ca="1" si="15"/>
        <v/>
      </c>
      <c r="E199" s="97"/>
      <c r="F199" s="21"/>
      <c r="G199" s="98" t="str">
        <f t="shared" si="16"/>
        <v/>
      </c>
      <c r="H199" s="23"/>
      <c r="I199" s="84"/>
      <c r="J199" s="85" t="str">
        <f>IF(AND(A199&lt;&gt;"",E199&lt;&gt;""),IF(I199="","⚠️ Enter Code",IF(IFERROR(VLOOKUP(H199,DB_Agents!$B:$I,8,0),"")=I199,IF(C199&gt;=E199,"Successful","Unsuccessful"),"🔒 BLOCKED — Wrong Code")),"—")</f>
        <v>—</v>
      </c>
      <c r="K199" s="86" t="str">
        <f t="shared" ca="1" si="17"/>
        <v>—</v>
      </c>
      <c r="L199" s="87"/>
    </row>
    <row r="200" spans="1:12" x14ac:dyDescent="0.25">
      <c r="A200" s="88"/>
      <c r="B200" s="25" t="str">
        <f>IF(A200="","",IFERROR(VLOOKUP(A200,DB_Customers!$A:$D,4,0),"❌ Account Not Found"))</f>
        <v/>
      </c>
      <c r="C200" s="89" t="str">
        <f>IF(A200="","",IFERROR(VLOOKUP(A200,DB_Customers!$A:$N,14,0),""))</f>
        <v/>
      </c>
      <c r="D200" s="90" t="str">
        <f t="shared" ca="1" si="15"/>
        <v/>
      </c>
      <c r="E200" s="97"/>
      <c r="F200" s="25"/>
      <c r="G200" s="99" t="str">
        <f t="shared" si="16"/>
        <v/>
      </c>
      <c r="H200" s="27"/>
      <c r="I200" s="84"/>
      <c r="J200" s="92" t="str">
        <f>IF(AND(A200&lt;&gt;"",E200&lt;&gt;""),IF(I200="","⚠️ Enter Code",IF(IFERROR(VLOOKUP(H200,DB_Agents!$B:$I,8,0),"")=I200,IF(C200&gt;=E200,"Successful","Unsuccessful"),"🔒 BLOCKED — Wrong Code")),"—")</f>
        <v>—</v>
      </c>
      <c r="K200" s="93" t="str">
        <f t="shared" ca="1" si="17"/>
        <v>—</v>
      </c>
      <c r="L200" s="94"/>
    </row>
    <row r="201" spans="1:12" x14ac:dyDescent="0.25">
      <c r="A201" s="79"/>
      <c r="B201" s="21" t="str">
        <f>IF(A201="","",IFERROR(VLOOKUP(A201,DB_Customers!$A:$D,4,0),"❌ Account Not Found"))</f>
        <v/>
      </c>
      <c r="C201" s="80" t="str">
        <f>IF(A201="","",IFERROR(VLOOKUP(A201,DB_Customers!$A:$N,14,0),""))</f>
        <v/>
      </c>
      <c r="D201" s="81" t="str">
        <f t="shared" ref="D201:D208" ca="1" si="18">IF(A201="","",TODAY())</f>
        <v/>
      </c>
      <c r="E201" s="97"/>
      <c r="F201" s="21"/>
      <c r="G201" s="98" t="str">
        <f t="shared" ref="G201:G208" si="19">IF(OR(A201="",E201=""),"",IF(C201="","",C201-E201))</f>
        <v/>
      </c>
      <c r="H201" s="23"/>
      <c r="I201" s="84"/>
      <c r="J201" s="85" t="str">
        <f>IF(AND(A201&lt;&gt;"",E201&lt;&gt;""),IF(I201="","⚠️ Enter Code",IF(IFERROR(VLOOKUP(H201,DB_Agents!$B:$I,8,0),"")=I201,IF(C201&gt;=E201,"Successful","Unsuccessful"),"🔒 BLOCKED — Wrong Code")),"—")</f>
        <v>—</v>
      </c>
      <c r="K201" s="86" t="str">
        <f t="shared" ref="K201:K232" ca="1" si="20">IF(J201="Successful",TEXT(TODAY(),"YYYY-MM-DD")&amp;" Auto","—")</f>
        <v>—</v>
      </c>
      <c r="L201" s="87"/>
    </row>
    <row r="202" spans="1:12" x14ac:dyDescent="0.25">
      <c r="A202" s="88"/>
      <c r="B202" s="25" t="str">
        <f>IF(A202="","",IFERROR(VLOOKUP(A202,DB_Customers!$A:$D,4,0),"❌ Account Not Found"))</f>
        <v/>
      </c>
      <c r="C202" s="89" t="str">
        <f>IF(A202="","",IFERROR(VLOOKUP(A202,DB_Customers!$A:$N,14,0),""))</f>
        <v/>
      </c>
      <c r="D202" s="90" t="str">
        <f t="shared" ca="1" si="18"/>
        <v/>
      </c>
      <c r="E202" s="97"/>
      <c r="F202" s="25"/>
      <c r="G202" s="99" t="str">
        <f t="shared" si="19"/>
        <v/>
      </c>
      <c r="H202" s="27"/>
      <c r="I202" s="84"/>
      <c r="J202" s="92" t="str">
        <f>IF(AND(A202&lt;&gt;"",E202&lt;&gt;""),IF(I202="","⚠️ Enter Code",IF(IFERROR(VLOOKUP(H202,DB_Agents!$B:$I,8,0),"")=I202,IF(C202&gt;=E202,"Successful","Unsuccessful"),"🔒 BLOCKED — Wrong Code")),"—")</f>
        <v>—</v>
      </c>
      <c r="K202" s="93" t="str">
        <f t="shared" ca="1" si="20"/>
        <v>—</v>
      </c>
      <c r="L202" s="94"/>
    </row>
    <row r="203" spans="1:12" x14ac:dyDescent="0.25">
      <c r="A203" s="79"/>
      <c r="B203" s="21" t="str">
        <f>IF(A203="","",IFERROR(VLOOKUP(A203,DB_Customers!$A:$D,4,0),"❌ Account Not Found"))</f>
        <v/>
      </c>
      <c r="C203" s="80" t="str">
        <f>IF(A203="","",IFERROR(VLOOKUP(A203,DB_Customers!$A:$N,14,0),""))</f>
        <v/>
      </c>
      <c r="D203" s="81" t="str">
        <f t="shared" ca="1" si="18"/>
        <v/>
      </c>
      <c r="E203" s="97"/>
      <c r="F203" s="21"/>
      <c r="G203" s="98" t="str">
        <f t="shared" si="19"/>
        <v/>
      </c>
      <c r="H203" s="23"/>
      <c r="I203" s="84"/>
      <c r="J203" s="85" t="str">
        <f>IF(AND(A203&lt;&gt;"",E203&lt;&gt;""),IF(I203="","⚠️ Enter Code",IF(IFERROR(VLOOKUP(H203,DB_Agents!$B:$I,8,0),"")=I203,IF(C203&gt;=E203,"Successful","Unsuccessful"),"🔒 BLOCKED — Wrong Code")),"—")</f>
        <v>—</v>
      </c>
      <c r="K203" s="86" t="str">
        <f t="shared" ca="1" si="20"/>
        <v>—</v>
      </c>
      <c r="L203" s="87"/>
    </row>
    <row r="204" spans="1:12" x14ac:dyDescent="0.25">
      <c r="A204" s="88"/>
      <c r="B204" s="25" t="str">
        <f>IF(A204="","",IFERROR(VLOOKUP(A204,DB_Customers!$A:$D,4,0),"❌ Account Not Found"))</f>
        <v/>
      </c>
      <c r="C204" s="89" t="str">
        <f>IF(A204="","",IFERROR(VLOOKUP(A204,DB_Customers!$A:$N,14,0),""))</f>
        <v/>
      </c>
      <c r="D204" s="90" t="str">
        <f t="shared" ca="1" si="18"/>
        <v/>
      </c>
      <c r="E204" s="97"/>
      <c r="F204" s="25"/>
      <c r="G204" s="99" t="str">
        <f t="shared" si="19"/>
        <v/>
      </c>
      <c r="H204" s="27"/>
      <c r="I204" s="84"/>
      <c r="J204" s="92" t="str">
        <f>IF(AND(A204&lt;&gt;"",E204&lt;&gt;""),IF(I204="","⚠️ Enter Code",IF(IFERROR(VLOOKUP(H204,DB_Agents!$B:$I,8,0),"")=I204,IF(C204&gt;=E204,"Successful","Unsuccessful"),"🔒 BLOCKED — Wrong Code")),"—")</f>
        <v>—</v>
      </c>
      <c r="K204" s="93" t="str">
        <f t="shared" ca="1" si="20"/>
        <v>—</v>
      </c>
      <c r="L204" s="94"/>
    </row>
    <row r="205" spans="1:12" x14ac:dyDescent="0.25">
      <c r="A205" s="79"/>
      <c r="B205" s="21" t="str">
        <f>IF(A205="","",IFERROR(VLOOKUP(A205,DB_Customers!$A:$D,4,0),"❌ Account Not Found"))</f>
        <v/>
      </c>
      <c r="C205" s="80" t="str">
        <f>IF(A205="","",IFERROR(VLOOKUP(A205,DB_Customers!$A:$N,14,0),""))</f>
        <v/>
      </c>
      <c r="D205" s="81" t="str">
        <f t="shared" ca="1" si="18"/>
        <v/>
      </c>
      <c r="E205" s="97"/>
      <c r="F205" s="21"/>
      <c r="G205" s="98" t="str">
        <f t="shared" si="19"/>
        <v/>
      </c>
      <c r="H205" s="23"/>
      <c r="I205" s="84"/>
      <c r="J205" s="85" t="str">
        <f>IF(AND(A205&lt;&gt;"",E205&lt;&gt;""),IF(I205="","⚠️ Enter Code",IF(IFERROR(VLOOKUP(H205,DB_Agents!$B:$I,8,0),"")=I205,IF(C205&gt;=E205,"Successful","Unsuccessful"),"🔒 BLOCKED — Wrong Code")),"—")</f>
        <v>—</v>
      </c>
      <c r="K205" s="86" t="str">
        <f t="shared" ca="1" si="20"/>
        <v>—</v>
      </c>
      <c r="L205" s="87"/>
    </row>
    <row r="206" spans="1:12" x14ac:dyDescent="0.25">
      <c r="A206" s="88"/>
      <c r="B206" s="25" t="str">
        <f>IF(A206="","",IFERROR(VLOOKUP(A206,DB_Customers!$A:$D,4,0),"❌ Account Not Found"))</f>
        <v/>
      </c>
      <c r="C206" s="89" t="str">
        <f>IF(A206="","",IFERROR(VLOOKUP(A206,DB_Customers!$A:$N,14,0),""))</f>
        <v/>
      </c>
      <c r="D206" s="90" t="str">
        <f t="shared" ca="1" si="18"/>
        <v/>
      </c>
      <c r="E206" s="97"/>
      <c r="F206" s="25"/>
      <c r="G206" s="99" t="str">
        <f t="shared" si="19"/>
        <v/>
      </c>
      <c r="H206" s="27"/>
      <c r="I206" s="84"/>
      <c r="J206" s="92" t="str">
        <f>IF(AND(A206&lt;&gt;"",E206&lt;&gt;""),IF(I206="","⚠️ Enter Code",IF(IFERROR(VLOOKUP(H206,DB_Agents!$B:$I,8,0),"")=I206,IF(C206&gt;=E206,"Successful","Unsuccessful"),"🔒 BLOCKED — Wrong Code")),"—")</f>
        <v>—</v>
      </c>
      <c r="K206" s="93" t="str">
        <f t="shared" ca="1" si="20"/>
        <v>—</v>
      </c>
      <c r="L206" s="94"/>
    </row>
    <row r="207" spans="1:12" x14ac:dyDescent="0.25">
      <c r="A207" s="79"/>
      <c r="B207" s="21" t="str">
        <f>IF(A207="","",IFERROR(VLOOKUP(A207,DB_Customers!$A:$D,4,0),"❌ Account Not Found"))</f>
        <v/>
      </c>
      <c r="C207" s="80" t="str">
        <f>IF(A207="","",IFERROR(VLOOKUP(A207,DB_Customers!$A:$N,14,0),""))</f>
        <v/>
      </c>
      <c r="D207" s="81" t="str">
        <f t="shared" ca="1" si="18"/>
        <v/>
      </c>
      <c r="E207" s="97"/>
      <c r="F207" s="21"/>
      <c r="G207" s="98" t="str">
        <f t="shared" si="19"/>
        <v/>
      </c>
      <c r="H207" s="23"/>
      <c r="I207" s="84"/>
      <c r="J207" s="85" t="str">
        <f>IF(AND(A207&lt;&gt;"",E207&lt;&gt;""),IF(I207="","⚠️ Enter Code",IF(IFERROR(VLOOKUP(H207,DB_Agents!$B:$I,8,0),"")=I207,IF(C207&gt;=E207,"Successful","Unsuccessful"),"🔒 BLOCKED — Wrong Code")),"—")</f>
        <v>—</v>
      </c>
      <c r="K207" s="86" t="str">
        <f t="shared" ca="1" si="20"/>
        <v>—</v>
      </c>
      <c r="L207" s="87"/>
    </row>
    <row r="208" spans="1:12" x14ac:dyDescent="0.25">
      <c r="A208" s="88"/>
      <c r="B208" s="25" t="str">
        <f>IF(A208="","",IFERROR(VLOOKUP(A208,DB_Customers!$A:$D,4,0),"❌ Account Not Found"))</f>
        <v/>
      </c>
      <c r="C208" s="89" t="str">
        <f>IF(A208="","",IFERROR(VLOOKUP(A208,DB_Customers!$A:$N,14,0),""))</f>
        <v/>
      </c>
      <c r="D208" s="90" t="str">
        <f t="shared" ca="1" si="18"/>
        <v/>
      </c>
      <c r="E208" s="97"/>
      <c r="F208" s="25"/>
      <c r="G208" s="99" t="str">
        <f t="shared" si="19"/>
        <v/>
      </c>
      <c r="H208" s="27"/>
      <c r="I208" s="84"/>
      <c r="J208" s="92" t="str">
        <f>IF(AND(A208&lt;&gt;"",E208&lt;&gt;""),IF(I208="","⚠️ Enter Code",IF(IFERROR(VLOOKUP(H208,DB_Agents!$B:$I,8,0),"")=I208,IF(C208&gt;=E208,"Successful","Unsuccessful"),"🔒 BLOCKED — Wrong Code")),"—")</f>
        <v>—</v>
      </c>
      <c r="K208" s="93" t="str">
        <f t="shared" ca="1" si="20"/>
        <v>—</v>
      </c>
      <c r="L208" s="94"/>
    </row>
  </sheetData>
  <mergeCells count="8">
    <mergeCell ref="A5:M5"/>
    <mergeCell ref="A7:M7"/>
    <mergeCell ref="A1:M1"/>
    <mergeCell ref="A2:M2"/>
    <mergeCell ref="A3:C3"/>
    <mergeCell ref="D3:F3"/>
    <mergeCell ref="A4:C4"/>
    <mergeCell ref="D4:F4"/>
  </mergeCells>
  <conditionalFormatting sqref="I9:I208">
    <cfRule type="cellIs" dxfId="29" priority="2" operator="equal">
      <formula>"Successful"</formula>
    </cfRule>
    <cfRule type="cellIs" dxfId="28" priority="3" operator="equal">
      <formula>"Unsuccessful"</formula>
    </cfRule>
  </conditionalFormatting>
  <conditionalFormatting sqref="A9:K208">
    <cfRule type="expression" dxfId="27" priority="4">
      <formula>$I9="Unsuccessful"</formula>
    </cfRule>
  </conditionalFormatting>
  <conditionalFormatting sqref="G9:G208">
    <cfRule type="cellIs" dxfId="26" priority="5" operator="lessThan">
      <formula>0</formula>
    </cfRule>
  </conditionalFormatting>
  <dataValidations count="1">
    <dataValidation type="list" sqref="H9:H208" xr:uid="{00000000-0002-0000-1B00-000000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tabColor rgb="FFE67E22"/>
  </sheetPr>
  <dimension ref="A1:N213"/>
  <sheetViews>
    <sheetView zoomScaleNormal="100" workbookViewId="0">
      <pane ySplit="13" topLeftCell="A14" activePane="bottomLeft" state="frozen"/>
      <selection pane="bottomLeft"/>
    </sheetView>
  </sheetViews>
  <sheetFormatPr defaultColWidth="8.7109375" defaultRowHeight="15" x14ac:dyDescent="0.25"/>
  <cols>
    <col min="1" max="1" width="22" customWidth="1"/>
    <col min="2" max="2" width="16" customWidth="1"/>
    <col min="3" max="3" width="22" customWidth="1"/>
    <col min="4" max="4" width="13" customWidth="1"/>
    <col min="5" max="5" width="14" customWidth="1"/>
    <col min="6" max="6" width="22" customWidth="1"/>
    <col min="7" max="7" width="9" customWidth="1"/>
    <col min="8" max="8" width="8" customWidth="1"/>
    <col min="9" max="9" width="16" customWidth="1"/>
    <col min="10" max="10" width="15" customWidth="1"/>
    <col min="11" max="11" width="14" customWidth="1"/>
    <col min="12" max="12" width="12" customWidth="1"/>
    <col min="13" max="13" width="14" customWidth="1"/>
  </cols>
  <sheetData>
    <row r="1" spans="1:14" ht="31.5" customHeight="1" x14ac:dyDescent="0.25">
      <c r="A1" s="216" t="s">
        <v>229</v>
      </c>
      <c r="B1" s="216"/>
      <c r="C1" s="216"/>
      <c r="D1" s="216"/>
      <c r="E1" s="216"/>
      <c r="F1" s="216"/>
      <c r="G1" s="216"/>
      <c r="H1" s="216"/>
      <c r="I1" s="216"/>
      <c r="J1" s="216"/>
      <c r="K1" s="216"/>
      <c r="L1" s="216"/>
      <c r="M1" s="216"/>
      <c r="N1" s="216"/>
    </row>
    <row r="2" spans="1:14" ht="19.5" customHeight="1" x14ac:dyDescent="0.25">
      <c r="A2" s="217" t="s">
        <v>189</v>
      </c>
      <c r="B2" s="217"/>
      <c r="C2" s="217"/>
      <c r="D2" s="217"/>
      <c r="E2" s="217"/>
      <c r="F2" s="217"/>
      <c r="G2" s="217"/>
      <c r="H2" s="217"/>
      <c r="I2" s="217"/>
      <c r="J2" s="217"/>
      <c r="K2" s="217"/>
      <c r="L2" s="217"/>
      <c r="M2" s="217"/>
      <c r="N2" s="217"/>
    </row>
    <row r="4" spans="1:14" ht="21.75" customHeight="1" x14ac:dyDescent="0.25">
      <c r="A4" s="218" t="s">
        <v>190</v>
      </c>
      <c r="B4" s="218"/>
      <c r="C4" s="218"/>
      <c r="D4" s="218"/>
    </row>
    <row r="5" spans="1:14" ht="19.5" customHeight="1" x14ac:dyDescent="0.25">
      <c r="A5" s="101" t="s">
        <v>191</v>
      </c>
      <c r="B5" s="219"/>
      <c r="C5" s="219"/>
      <c r="D5" s="219"/>
    </row>
    <row r="6" spans="1:14" ht="19.5" customHeight="1" x14ac:dyDescent="0.25">
      <c r="A6" s="101" t="s">
        <v>192</v>
      </c>
      <c r="B6" s="219"/>
      <c r="C6" s="219"/>
      <c r="D6" s="219"/>
    </row>
    <row r="7" spans="1:14" ht="19.5" customHeight="1" x14ac:dyDescent="0.25">
      <c r="A7" s="102" t="s">
        <v>193</v>
      </c>
      <c r="B7" s="220">
        <v>2.5</v>
      </c>
      <c r="C7" s="220"/>
      <c r="D7" s="220"/>
    </row>
    <row r="8" spans="1:14" ht="19.5" customHeight="1" x14ac:dyDescent="0.25">
      <c r="A8" s="102" t="s">
        <v>194</v>
      </c>
      <c r="B8" s="221" t="str">
        <f>IF(B5="","",B5*B7/100*B6)</f>
        <v/>
      </c>
      <c r="C8" s="221"/>
      <c r="D8" s="221"/>
    </row>
    <row r="9" spans="1:14" ht="19.5" customHeight="1" x14ac:dyDescent="0.25">
      <c r="A9" s="102"/>
      <c r="B9" s="222" t="str">
        <f>IF(B5="","",B5+(B5*B7/100*B6))</f>
        <v/>
      </c>
      <c r="C9" s="222"/>
      <c r="D9" s="222"/>
    </row>
    <row r="10" spans="1:14" ht="19.5" customHeight="1" x14ac:dyDescent="0.25">
      <c r="A10" s="102"/>
      <c r="B10" s="222" t="str">
        <f>IFERROR(B9/B6,"")</f>
        <v/>
      </c>
      <c r="C10" s="222"/>
      <c r="D10" s="222"/>
    </row>
    <row r="11" spans="1:14" ht="7.5" customHeight="1" x14ac:dyDescent="0.25"/>
    <row r="12" spans="1:14" ht="21.75" customHeight="1" x14ac:dyDescent="0.25">
      <c r="A12" s="223"/>
      <c r="B12" s="223"/>
      <c r="C12" s="223"/>
      <c r="D12" s="223"/>
      <c r="E12" s="223"/>
      <c r="F12" s="223"/>
      <c r="G12" s="223"/>
      <c r="H12" s="223"/>
      <c r="I12" s="223"/>
      <c r="J12" s="223"/>
      <c r="K12" s="223"/>
      <c r="L12" s="223"/>
      <c r="M12" s="223"/>
      <c r="N12" s="223"/>
    </row>
    <row r="13" spans="1:14" ht="19.5" customHeight="1" x14ac:dyDescent="0.25">
      <c r="A13" s="103"/>
      <c r="B13" s="103"/>
      <c r="C13" s="103"/>
      <c r="D13" s="103"/>
      <c r="E13" s="103"/>
      <c r="F13" s="103"/>
      <c r="G13" s="103"/>
      <c r="H13" s="103"/>
      <c r="I13" s="103"/>
      <c r="J13" s="103"/>
      <c r="K13" s="103"/>
      <c r="L13" s="103" t="s">
        <v>32</v>
      </c>
      <c r="M13" s="78"/>
      <c r="N13" s="103"/>
    </row>
    <row r="14" spans="1:14" x14ac:dyDescent="0.25">
      <c r="A14" s="92" t="str">
        <f t="shared" ref="A14:A45" si="0">IF(B14="","",IF(C14="❌ Account Not Found","INVALID","LN"&amp;TEXT(D14,"YYYYMMDD")&amp;TEXT(ROW()-13,"0000")))</f>
        <v/>
      </c>
      <c r="B14" s="88"/>
      <c r="C14" s="25" t="str">
        <f>IF(B14="","",IFERROR(VLOOKUP(B14,DB_Customers!$A:$D,4,0),"❌ Account Not Found"))</f>
        <v/>
      </c>
      <c r="D14" s="90" t="str">
        <f t="shared" ref="D14:D45" ca="1" si="1">IF(B14="","",TODAY())</f>
        <v/>
      </c>
      <c r="E14" s="104"/>
      <c r="F14" s="25"/>
      <c r="G14" s="105"/>
      <c r="H14" s="106"/>
      <c r="I14" s="107" t="str">
        <f t="shared" ref="I14:I45" si="2">IF(E14="","",E14+(E14*H14/100*G14))</f>
        <v/>
      </c>
      <c r="J14" s="108" t="str">
        <f t="shared" ref="J14:J45" si="3">IFERROR(I14/G14,"")</f>
        <v/>
      </c>
      <c r="K14" s="109" t="str">
        <f>IF(B14="","Pending",IF(M14="","⚠️ Enter Code",IF(IFERROR(VLOOKUP(L14,DB_Agents!$B:$I,8,0),"")=M14,"Pending","🔒 BLOCKED — Wrong Code")))</f>
        <v>Pending</v>
      </c>
      <c r="L14" s="27" t="s">
        <v>48</v>
      </c>
      <c r="M14" s="84"/>
      <c r="N14" s="94"/>
    </row>
    <row r="15" spans="1:14" x14ac:dyDescent="0.25">
      <c r="A15" s="85" t="str">
        <f t="shared" si="0"/>
        <v/>
      </c>
      <c r="B15" s="79"/>
      <c r="C15" s="21" t="str">
        <f>IF(B15="","",IFERROR(VLOOKUP(B15,DB_Customers!$A:$D,4,0),"❌ Account Not Found"))</f>
        <v/>
      </c>
      <c r="D15" s="81" t="str">
        <f t="shared" ca="1" si="1"/>
        <v/>
      </c>
      <c r="E15" s="104"/>
      <c r="F15" s="21"/>
      <c r="G15" s="110"/>
      <c r="H15" s="111"/>
      <c r="I15" s="107" t="str">
        <f t="shared" si="2"/>
        <v/>
      </c>
      <c r="J15" s="112" t="str">
        <f t="shared" si="3"/>
        <v/>
      </c>
      <c r="K15" s="113" t="str">
        <f>IF(B15="","Pending",IF(M15="","⚠️ Enter Code",IF(IFERROR(VLOOKUP(L15,DB_Agents!$B:$I,8,0),"")=M15,"Pending","🔒 BLOCKED — Wrong Code")))</f>
        <v>Pending</v>
      </c>
      <c r="L15" s="23" t="s">
        <v>48</v>
      </c>
      <c r="M15" s="84"/>
      <c r="N15" s="87"/>
    </row>
    <row r="16" spans="1:14" x14ac:dyDescent="0.25">
      <c r="A16" s="92" t="str">
        <f t="shared" si="0"/>
        <v/>
      </c>
      <c r="B16" s="88"/>
      <c r="C16" s="25" t="str">
        <f>IF(B16="","",IFERROR(VLOOKUP(B16,DB_Customers!$A:$D,4,0),"❌ Account Not Found"))</f>
        <v/>
      </c>
      <c r="D16" s="90" t="str">
        <f t="shared" ca="1" si="1"/>
        <v/>
      </c>
      <c r="E16" s="104"/>
      <c r="F16" s="25"/>
      <c r="G16" s="105"/>
      <c r="H16" s="106"/>
      <c r="I16" s="107" t="str">
        <f t="shared" si="2"/>
        <v/>
      </c>
      <c r="J16" s="108" t="str">
        <f t="shared" si="3"/>
        <v/>
      </c>
      <c r="K16" s="109" t="str">
        <f>IF(B16="","Pending",IF(M16="","⚠️ Enter Code",IF(IFERROR(VLOOKUP(L16,DB_Agents!$B:$I,8,0),"")=M16,"Pending","🔒 BLOCKED — Wrong Code")))</f>
        <v>Pending</v>
      </c>
      <c r="L16" s="27" t="s">
        <v>48</v>
      </c>
      <c r="M16" s="84"/>
      <c r="N16" s="94"/>
    </row>
    <row r="17" spans="1:14" x14ac:dyDescent="0.25">
      <c r="A17" s="85" t="str">
        <f t="shared" si="0"/>
        <v/>
      </c>
      <c r="B17" s="79"/>
      <c r="C17" s="21" t="str">
        <f>IF(B17="","",IFERROR(VLOOKUP(B17,DB_Customers!$A:$D,4,0),"❌ Account Not Found"))</f>
        <v/>
      </c>
      <c r="D17" s="81" t="str">
        <f t="shared" ca="1" si="1"/>
        <v/>
      </c>
      <c r="E17" s="104"/>
      <c r="F17" s="21"/>
      <c r="G17" s="110"/>
      <c r="H17" s="111"/>
      <c r="I17" s="107" t="str">
        <f t="shared" si="2"/>
        <v/>
      </c>
      <c r="J17" s="112" t="str">
        <f t="shared" si="3"/>
        <v/>
      </c>
      <c r="K17" s="113" t="str">
        <f>IF(B17="","Pending",IF(M17="","⚠️ Enter Code",IF(IFERROR(VLOOKUP(L17,DB_Agents!$B:$I,8,0),"")=M17,"Pending","🔒 BLOCKED — Wrong Code")))</f>
        <v>Pending</v>
      </c>
      <c r="L17" s="23" t="s">
        <v>48</v>
      </c>
      <c r="M17" s="84"/>
      <c r="N17" s="87"/>
    </row>
    <row r="18" spans="1:14" x14ac:dyDescent="0.25">
      <c r="A18" s="92" t="str">
        <f t="shared" si="0"/>
        <v/>
      </c>
      <c r="B18" s="88"/>
      <c r="C18" s="25" t="str">
        <f>IF(B18="","",IFERROR(VLOOKUP(B18,DB_Customers!$A:$D,4,0),"❌ Account Not Found"))</f>
        <v/>
      </c>
      <c r="D18" s="90" t="str">
        <f t="shared" ca="1" si="1"/>
        <v/>
      </c>
      <c r="E18" s="104"/>
      <c r="F18" s="25"/>
      <c r="G18" s="105"/>
      <c r="H18" s="106"/>
      <c r="I18" s="107" t="str">
        <f t="shared" si="2"/>
        <v/>
      </c>
      <c r="J18" s="108" t="str">
        <f t="shared" si="3"/>
        <v/>
      </c>
      <c r="K18" s="109" t="str">
        <f>IF(B18="","Pending",IF(M18="","⚠️ Enter Code",IF(IFERROR(VLOOKUP(L18,DB_Agents!$B:$I,8,0),"")=M18,"Pending","🔒 BLOCKED — Wrong Code")))</f>
        <v>Pending</v>
      </c>
      <c r="L18" s="27" t="s">
        <v>48</v>
      </c>
      <c r="M18" s="84"/>
      <c r="N18" s="94"/>
    </row>
    <row r="19" spans="1:14" x14ac:dyDescent="0.25">
      <c r="A19" s="85" t="str">
        <f t="shared" si="0"/>
        <v/>
      </c>
      <c r="B19" s="79"/>
      <c r="C19" s="21" t="str">
        <f>IF(B19="","",IFERROR(VLOOKUP(B19,DB_Customers!$A:$D,4,0),"❌ Account Not Found"))</f>
        <v/>
      </c>
      <c r="D19" s="81" t="str">
        <f t="shared" ca="1" si="1"/>
        <v/>
      </c>
      <c r="E19" s="104"/>
      <c r="F19" s="21"/>
      <c r="G19" s="110"/>
      <c r="H19" s="111"/>
      <c r="I19" s="107" t="str">
        <f t="shared" si="2"/>
        <v/>
      </c>
      <c r="J19" s="112" t="str">
        <f t="shared" si="3"/>
        <v/>
      </c>
      <c r="K19" s="113" t="str">
        <f>IF(B19="","Pending",IF(M19="","⚠️ Enter Code",IF(IFERROR(VLOOKUP(L19,DB_Agents!$B:$I,8,0),"")=M19,"Pending","🔒 BLOCKED — Wrong Code")))</f>
        <v>Pending</v>
      </c>
      <c r="L19" s="23"/>
      <c r="M19" s="84"/>
      <c r="N19" s="87"/>
    </row>
    <row r="20" spans="1:14" x14ac:dyDescent="0.25">
      <c r="A20" s="92" t="str">
        <f t="shared" si="0"/>
        <v/>
      </c>
      <c r="B20" s="88"/>
      <c r="C20" s="25" t="str">
        <f>IF(B20="","",IFERROR(VLOOKUP(B20,DB_Customers!$A:$D,4,0),"❌ Account Not Found"))</f>
        <v/>
      </c>
      <c r="D20" s="90" t="str">
        <f t="shared" ca="1" si="1"/>
        <v/>
      </c>
      <c r="E20" s="104"/>
      <c r="F20" s="25"/>
      <c r="G20" s="105"/>
      <c r="H20" s="106"/>
      <c r="I20" s="107" t="str">
        <f t="shared" si="2"/>
        <v/>
      </c>
      <c r="J20" s="108" t="str">
        <f t="shared" si="3"/>
        <v/>
      </c>
      <c r="K20" s="109" t="str">
        <f>IF(B20="","Pending",IF(M20="","⚠️ Enter Code",IF(IFERROR(VLOOKUP(L20,DB_Agents!$B:$I,8,0),"")=M20,"Pending","🔒 BLOCKED — Wrong Code")))</f>
        <v>Pending</v>
      </c>
      <c r="L20" s="27"/>
      <c r="M20" s="84"/>
      <c r="N20" s="94"/>
    </row>
    <row r="21" spans="1:14" x14ac:dyDescent="0.25">
      <c r="A21" s="85" t="str">
        <f t="shared" si="0"/>
        <v/>
      </c>
      <c r="B21" s="79"/>
      <c r="C21" s="21" t="str">
        <f>IF(B21="","",IFERROR(VLOOKUP(B21,DB_Customers!$A:$D,4,0),"❌ Account Not Found"))</f>
        <v/>
      </c>
      <c r="D21" s="81" t="str">
        <f t="shared" ca="1" si="1"/>
        <v/>
      </c>
      <c r="E21" s="104"/>
      <c r="F21" s="21"/>
      <c r="G21" s="110"/>
      <c r="H21" s="111"/>
      <c r="I21" s="107" t="str">
        <f t="shared" si="2"/>
        <v/>
      </c>
      <c r="J21" s="112" t="str">
        <f t="shared" si="3"/>
        <v/>
      </c>
      <c r="K21" s="113" t="str">
        <f>IF(B21="","Pending",IF(M21="","⚠️ Enter Code",IF(IFERROR(VLOOKUP(L21,DB_Agents!$B:$I,8,0),"")=M21,"Pending","🔒 BLOCKED — Wrong Code")))</f>
        <v>Pending</v>
      </c>
      <c r="L21" s="23"/>
      <c r="M21" s="84"/>
      <c r="N21" s="87"/>
    </row>
    <row r="22" spans="1:14" x14ac:dyDescent="0.25">
      <c r="A22" s="92" t="str">
        <f t="shared" si="0"/>
        <v/>
      </c>
      <c r="B22" s="88"/>
      <c r="C22" s="25" t="str">
        <f>IF(B22="","",IFERROR(VLOOKUP(B22,DB_Customers!$A:$D,4,0),"❌ Account Not Found"))</f>
        <v/>
      </c>
      <c r="D22" s="90" t="str">
        <f t="shared" ca="1" si="1"/>
        <v/>
      </c>
      <c r="E22" s="104"/>
      <c r="F22" s="25"/>
      <c r="G22" s="105"/>
      <c r="H22" s="106"/>
      <c r="I22" s="107" t="str">
        <f t="shared" si="2"/>
        <v/>
      </c>
      <c r="J22" s="108" t="str">
        <f t="shared" si="3"/>
        <v/>
      </c>
      <c r="K22" s="109" t="str">
        <f>IF(B22="","Pending",IF(M22="","⚠️ Enter Code",IF(IFERROR(VLOOKUP(L22,DB_Agents!$B:$I,8,0),"")=M22,"Pending","🔒 BLOCKED — Wrong Code")))</f>
        <v>Pending</v>
      </c>
      <c r="L22" s="27"/>
      <c r="M22" s="84"/>
      <c r="N22" s="94"/>
    </row>
    <row r="23" spans="1:14" x14ac:dyDescent="0.25">
      <c r="A23" s="85" t="str">
        <f t="shared" si="0"/>
        <v/>
      </c>
      <c r="B23" s="79"/>
      <c r="C23" s="21" t="str">
        <f>IF(B23="","",IFERROR(VLOOKUP(B23,DB_Customers!$A:$D,4,0),"❌ Account Not Found"))</f>
        <v/>
      </c>
      <c r="D23" s="81" t="str">
        <f t="shared" ca="1" si="1"/>
        <v/>
      </c>
      <c r="E23" s="104"/>
      <c r="F23" s="21"/>
      <c r="G23" s="110"/>
      <c r="H23" s="111"/>
      <c r="I23" s="107" t="str">
        <f t="shared" si="2"/>
        <v/>
      </c>
      <c r="J23" s="112" t="str">
        <f t="shared" si="3"/>
        <v/>
      </c>
      <c r="K23" s="113" t="str">
        <f>IF(B23="","Pending",IF(M23="","⚠️ Enter Code",IF(IFERROR(VLOOKUP(L23,DB_Agents!$B:$I,8,0),"")=M23,"Pending","🔒 BLOCKED — Wrong Code")))</f>
        <v>Pending</v>
      </c>
      <c r="L23" s="23"/>
      <c r="M23" s="84"/>
      <c r="N23" s="87"/>
    </row>
    <row r="24" spans="1:14" x14ac:dyDescent="0.25">
      <c r="A24" s="92" t="str">
        <f t="shared" si="0"/>
        <v/>
      </c>
      <c r="B24" s="88"/>
      <c r="C24" s="25" t="str">
        <f>IF(B24="","",IFERROR(VLOOKUP(B24,DB_Customers!$A:$D,4,0),"❌ Account Not Found"))</f>
        <v/>
      </c>
      <c r="D24" s="90" t="str">
        <f t="shared" ca="1" si="1"/>
        <v/>
      </c>
      <c r="E24" s="104"/>
      <c r="F24" s="25"/>
      <c r="G24" s="105"/>
      <c r="H24" s="106"/>
      <c r="I24" s="107" t="str">
        <f t="shared" si="2"/>
        <v/>
      </c>
      <c r="J24" s="108" t="str">
        <f t="shared" si="3"/>
        <v/>
      </c>
      <c r="K24" s="109" t="str">
        <f>IF(B24="","Pending",IF(M24="","⚠️ Enter Code",IF(IFERROR(VLOOKUP(L24,DB_Agents!$B:$I,8,0),"")=M24,"Pending","🔒 BLOCKED — Wrong Code")))</f>
        <v>Pending</v>
      </c>
      <c r="L24" s="27"/>
      <c r="M24" s="84"/>
      <c r="N24" s="94"/>
    </row>
    <row r="25" spans="1:14" x14ac:dyDescent="0.25">
      <c r="A25" s="85" t="str">
        <f t="shared" si="0"/>
        <v/>
      </c>
      <c r="B25" s="79"/>
      <c r="C25" s="21" t="str">
        <f>IF(B25="","",IFERROR(VLOOKUP(B25,DB_Customers!$A:$D,4,0),"❌ Account Not Found"))</f>
        <v/>
      </c>
      <c r="D25" s="81" t="str">
        <f t="shared" ca="1" si="1"/>
        <v/>
      </c>
      <c r="E25" s="104"/>
      <c r="F25" s="21"/>
      <c r="G25" s="110"/>
      <c r="H25" s="111"/>
      <c r="I25" s="107" t="str">
        <f t="shared" si="2"/>
        <v/>
      </c>
      <c r="J25" s="112" t="str">
        <f t="shared" si="3"/>
        <v/>
      </c>
      <c r="K25" s="113" t="str">
        <f>IF(B25="","Pending",IF(M25="","⚠️ Enter Code",IF(IFERROR(VLOOKUP(L25,DB_Agents!$B:$I,8,0),"")=M25,"Pending","🔒 BLOCKED — Wrong Code")))</f>
        <v>Pending</v>
      </c>
      <c r="L25" s="23"/>
      <c r="M25" s="84"/>
      <c r="N25" s="87"/>
    </row>
    <row r="26" spans="1:14" x14ac:dyDescent="0.25">
      <c r="A26" s="92" t="str">
        <f t="shared" si="0"/>
        <v/>
      </c>
      <c r="B26" s="88"/>
      <c r="C26" s="25" t="str">
        <f>IF(B26="","",IFERROR(VLOOKUP(B26,DB_Customers!$A:$D,4,0),"❌ Account Not Found"))</f>
        <v/>
      </c>
      <c r="D26" s="90" t="str">
        <f t="shared" ca="1" si="1"/>
        <v/>
      </c>
      <c r="E26" s="104"/>
      <c r="F26" s="25"/>
      <c r="G26" s="105"/>
      <c r="H26" s="106"/>
      <c r="I26" s="107" t="str">
        <f t="shared" si="2"/>
        <v/>
      </c>
      <c r="J26" s="108" t="str">
        <f t="shared" si="3"/>
        <v/>
      </c>
      <c r="K26" s="109" t="str">
        <f>IF(B26="","Pending",IF(M26="","⚠️ Enter Code",IF(IFERROR(VLOOKUP(L26,DB_Agents!$B:$I,8,0),"")=M26,"Pending","🔒 BLOCKED — Wrong Code")))</f>
        <v>Pending</v>
      </c>
      <c r="L26" s="27"/>
      <c r="M26" s="84"/>
      <c r="N26" s="94"/>
    </row>
    <row r="27" spans="1:14" x14ac:dyDescent="0.25">
      <c r="A27" s="85" t="str">
        <f t="shared" si="0"/>
        <v/>
      </c>
      <c r="B27" s="79"/>
      <c r="C27" s="21" t="str">
        <f>IF(B27="","",IFERROR(VLOOKUP(B27,DB_Customers!$A:$D,4,0),"❌ Account Not Found"))</f>
        <v/>
      </c>
      <c r="D27" s="81" t="str">
        <f t="shared" ca="1" si="1"/>
        <v/>
      </c>
      <c r="E27" s="104"/>
      <c r="F27" s="21"/>
      <c r="G27" s="110"/>
      <c r="H27" s="111"/>
      <c r="I27" s="107" t="str">
        <f t="shared" si="2"/>
        <v/>
      </c>
      <c r="J27" s="112" t="str">
        <f t="shared" si="3"/>
        <v/>
      </c>
      <c r="K27" s="113" t="str">
        <f>IF(B27="","Pending",IF(M27="","⚠️ Enter Code",IF(IFERROR(VLOOKUP(L27,DB_Agents!$B:$I,8,0),"")=M27,"Pending","🔒 BLOCKED — Wrong Code")))</f>
        <v>Pending</v>
      </c>
      <c r="L27" s="23"/>
      <c r="M27" s="84"/>
      <c r="N27" s="87"/>
    </row>
    <row r="28" spans="1:14" x14ac:dyDescent="0.25">
      <c r="A28" s="92" t="str">
        <f t="shared" si="0"/>
        <v/>
      </c>
      <c r="B28" s="88"/>
      <c r="C28" s="25" t="str">
        <f>IF(B28="","",IFERROR(VLOOKUP(B28,DB_Customers!$A:$D,4,0),"❌ Account Not Found"))</f>
        <v/>
      </c>
      <c r="D28" s="90" t="str">
        <f t="shared" ca="1" si="1"/>
        <v/>
      </c>
      <c r="E28" s="104"/>
      <c r="F28" s="25"/>
      <c r="G28" s="105"/>
      <c r="H28" s="106"/>
      <c r="I28" s="107" t="str">
        <f t="shared" si="2"/>
        <v/>
      </c>
      <c r="J28" s="108" t="str">
        <f t="shared" si="3"/>
        <v/>
      </c>
      <c r="K28" s="109" t="str">
        <f>IF(B28="","Pending",IF(M28="","⚠️ Enter Code",IF(IFERROR(VLOOKUP(L28,DB_Agents!$B:$I,8,0),"")=M28,"Pending","🔒 BLOCKED — Wrong Code")))</f>
        <v>Pending</v>
      </c>
      <c r="L28" s="27"/>
      <c r="M28" s="84"/>
      <c r="N28" s="94"/>
    </row>
    <row r="29" spans="1:14" x14ac:dyDescent="0.25">
      <c r="A29" s="85" t="str">
        <f t="shared" si="0"/>
        <v/>
      </c>
      <c r="B29" s="79"/>
      <c r="C29" s="21" t="str">
        <f>IF(B29="","",IFERROR(VLOOKUP(B29,DB_Customers!$A:$D,4,0),"❌ Account Not Found"))</f>
        <v/>
      </c>
      <c r="D29" s="81" t="str">
        <f t="shared" ca="1" si="1"/>
        <v/>
      </c>
      <c r="E29" s="104"/>
      <c r="F29" s="21"/>
      <c r="G29" s="110"/>
      <c r="H29" s="111"/>
      <c r="I29" s="107" t="str">
        <f t="shared" si="2"/>
        <v/>
      </c>
      <c r="J29" s="112" t="str">
        <f t="shared" si="3"/>
        <v/>
      </c>
      <c r="K29" s="113" t="str">
        <f>IF(B29="","Pending",IF(M29="","⚠️ Enter Code",IF(IFERROR(VLOOKUP(L29,DB_Agents!$B:$I,8,0),"")=M29,"Pending","🔒 BLOCKED — Wrong Code")))</f>
        <v>Pending</v>
      </c>
      <c r="L29" s="23"/>
      <c r="M29" s="84"/>
      <c r="N29" s="87"/>
    </row>
    <row r="30" spans="1:14" x14ac:dyDescent="0.25">
      <c r="A30" s="92" t="str">
        <f t="shared" si="0"/>
        <v/>
      </c>
      <c r="B30" s="88"/>
      <c r="C30" s="25" t="str">
        <f>IF(B30="","",IFERROR(VLOOKUP(B30,DB_Customers!$A:$D,4,0),"❌ Account Not Found"))</f>
        <v/>
      </c>
      <c r="D30" s="90" t="str">
        <f t="shared" ca="1" si="1"/>
        <v/>
      </c>
      <c r="E30" s="104"/>
      <c r="F30" s="25"/>
      <c r="G30" s="105"/>
      <c r="H30" s="106"/>
      <c r="I30" s="107" t="str">
        <f t="shared" si="2"/>
        <v/>
      </c>
      <c r="J30" s="108" t="str">
        <f t="shared" si="3"/>
        <v/>
      </c>
      <c r="K30" s="109" t="str">
        <f>IF(B30="","Pending",IF(M30="","⚠️ Enter Code",IF(IFERROR(VLOOKUP(L30,DB_Agents!$B:$I,8,0),"")=M30,"Pending","🔒 BLOCKED — Wrong Code")))</f>
        <v>Pending</v>
      </c>
      <c r="L30" s="27"/>
      <c r="M30" s="84"/>
      <c r="N30" s="94"/>
    </row>
    <row r="31" spans="1:14" x14ac:dyDescent="0.25">
      <c r="A31" s="85" t="str">
        <f t="shared" si="0"/>
        <v/>
      </c>
      <c r="B31" s="79"/>
      <c r="C31" s="21" t="str">
        <f>IF(B31="","",IFERROR(VLOOKUP(B31,DB_Customers!$A:$D,4,0),"❌ Account Not Found"))</f>
        <v/>
      </c>
      <c r="D31" s="81" t="str">
        <f t="shared" ca="1" si="1"/>
        <v/>
      </c>
      <c r="E31" s="104"/>
      <c r="F31" s="21"/>
      <c r="G31" s="110"/>
      <c r="H31" s="111"/>
      <c r="I31" s="107" t="str">
        <f t="shared" si="2"/>
        <v/>
      </c>
      <c r="J31" s="112" t="str">
        <f t="shared" si="3"/>
        <v/>
      </c>
      <c r="K31" s="113" t="str">
        <f>IF(B31="","Pending",IF(M31="","⚠️ Enter Code",IF(IFERROR(VLOOKUP(L31,DB_Agents!$B:$I,8,0),"")=M31,"Pending","🔒 BLOCKED — Wrong Code")))</f>
        <v>Pending</v>
      </c>
      <c r="L31" s="23"/>
      <c r="M31" s="84"/>
      <c r="N31" s="87"/>
    </row>
    <row r="32" spans="1:14" x14ac:dyDescent="0.25">
      <c r="A32" s="92" t="str">
        <f t="shared" si="0"/>
        <v/>
      </c>
      <c r="B32" s="88"/>
      <c r="C32" s="25" t="str">
        <f>IF(B32="","",IFERROR(VLOOKUP(B32,DB_Customers!$A:$D,4,0),"❌ Account Not Found"))</f>
        <v/>
      </c>
      <c r="D32" s="90" t="str">
        <f t="shared" ca="1" si="1"/>
        <v/>
      </c>
      <c r="E32" s="104"/>
      <c r="F32" s="25"/>
      <c r="G32" s="105"/>
      <c r="H32" s="106"/>
      <c r="I32" s="107" t="str">
        <f t="shared" si="2"/>
        <v/>
      </c>
      <c r="J32" s="108" t="str">
        <f t="shared" si="3"/>
        <v/>
      </c>
      <c r="K32" s="109" t="str">
        <f>IF(B32="","Pending",IF(M32="","⚠️ Enter Code",IF(IFERROR(VLOOKUP(L32,DB_Agents!$B:$I,8,0),"")=M32,"Pending","🔒 BLOCKED — Wrong Code")))</f>
        <v>Pending</v>
      </c>
      <c r="L32" s="27"/>
      <c r="M32" s="84"/>
      <c r="N32" s="94"/>
    </row>
    <row r="33" spans="1:14" x14ac:dyDescent="0.25">
      <c r="A33" s="85" t="str">
        <f t="shared" si="0"/>
        <v/>
      </c>
      <c r="B33" s="79"/>
      <c r="C33" s="21" t="str">
        <f>IF(B33="","",IFERROR(VLOOKUP(B33,DB_Customers!$A:$D,4,0),"❌ Account Not Found"))</f>
        <v/>
      </c>
      <c r="D33" s="81" t="str">
        <f t="shared" ca="1" si="1"/>
        <v/>
      </c>
      <c r="E33" s="104"/>
      <c r="F33" s="21"/>
      <c r="G33" s="110"/>
      <c r="H33" s="111"/>
      <c r="I33" s="107" t="str">
        <f t="shared" si="2"/>
        <v/>
      </c>
      <c r="J33" s="112" t="str">
        <f t="shared" si="3"/>
        <v/>
      </c>
      <c r="K33" s="113" t="str">
        <f>IF(B33="","Pending",IF(M33="","⚠️ Enter Code",IF(IFERROR(VLOOKUP(L33,DB_Agents!$B:$I,8,0),"")=M33,"Pending","🔒 BLOCKED — Wrong Code")))</f>
        <v>Pending</v>
      </c>
      <c r="L33" s="23"/>
      <c r="M33" s="84"/>
      <c r="N33" s="87"/>
    </row>
    <row r="34" spans="1:14" x14ac:dyDescent="0.25">
      <c r="A34" s="92" t="str">
        <f t="shared" si="0"/>
        <v/>
      </c>
      <c r="B34" s="88"/>
      <c r="C34" s="25" t="str">
        <f>IF(B34="","",IFERROR(VLOOKUP(B34,DB_Customers!$A:$D,4,0),"❌ Account Not Found"))</f>
        <v/>
      </c>
      <c r="D34" s="90" t="str">
        <f t="shared" ca="1" si="1"/>
        <v/>
      </c>
      <c r="E34" s="104"/>
      <c r="F34" s="25"/>
      <c r="G34" s="105"/>
      <c r="H34" s="106"/>
      <c r="I34" s="107" t="str">
        <f t="shared" si="2"/>
        <v/>
      </c>
      <c r="J34" s="108" t="str">
        <f t="shared" si="3"/>
        <v/>
      </c>
      <c r="K34" s="109" t="str">
        <f>IF(B34="","Pending",IF(M34="","⚠️ Enter Code",IF(IFERROR(VLOOKUP(L34,DB_Agents!$B:$I,8,0),"")=M34,"Pending","🔒 BLOCKED — Wrong Code")))</f>
        <v>Pending</v>
      </c>
      <c r="L34" s="27"/>
      <c r="M34" s="84"/>
      <c r="N34" s="94"/>
    </row>
    <row r="35" spans="1:14" x14ac:dyDescent="0.25">
      <c r="A35" s="85" t="str">
        <f t="shared" si="0"/>
        <v/>
      </c>
      <c r="B35" s="79"/>
      <c r="C35" s="21" t="str">
        <f>IF(B35="","",IFERROR(VLOOKUP(B35,DB_Customers!$A:$D,4,0),"❌ Account Not Found"))</f>
        <v/>
      </c>
      <c r="D35" s="81" t="str">
        <f t="shared" ca="1" si="1"/>
        <v/>
      </c>
      <c r="E35" s="104"/>
      <c r="F35" s="21"/>
      <c r="G35" s="110"/>
      <c r="H35" s="111"/>
      <c r="I35" s="107" t="str">
        <f t="shared" si="2"/>
        <v/>
      </c>
      <c r="J35" s="112" t="str">
        <f t="shared" si="3"/>
        <v/>
      </c>
      <c r="K35" s="113" t="str">
        <f>IF(B35="","Pending",IF(M35="","⚠️ Enter Code",IF(IFERROR(VLOOKUP(L35,DB_Agents!$B:$I,8,0),"")=M35,"Pending","🔒 BLOCKED — Wrong Code")))</f>
        <v>Pending</v>
      </c>
      <c r="L35" s="23"/>
      <c r="M35" s="84"/>
      <c r="N35" s="87"/>
    </row>
    <row r="36" spans="1:14" x14ac:dyDescent="0.25">
      <c r="A36" s="92" t="str">
        <f t="shared" si="0"/>
        <v/>
      </c>
      <c r="B36" s="88"/>
      <c r="C36" s="25" t="str">
        <f>IF(B36="","",IFERROR(VLOOKUP(B36,DB_Customers!$A:$D,4,0),"❌ Account Not Found"))</f>
        <v/>
      </c>
      <c r="D36" s="90" t="str">
        <f t="shared" ca="1" si="1"/>
        <v/>
      </c>
      <c r="E36" s="104"/>
      <c r="F36" s="25"/>
      <c r="G36" s="105"/>
      <c r="H36" s="106"/>
      <c r="I36" s="107" t="str">
        <f t="shared" si="2"/>
        <v/>
      </c>
      <c r="J36" s="108" t="str">
        <f t="shared" si="3"/>
        <v/>
      </c>
      <c r="K36" s="109" t="str">
        <f>IF(B36="","Pending",IF(M36="","⚠️ Enter Code",IF(IFERROR(VLOOKUP(L36,DB_Agents!$B:$I,8,0),"")=M36,"Pending","🔒 BLOCKED — Wrong Code")))</f>
        <v>Pending</v>
      </c>
      <c r="L36" s="27"/>
      <c r="M36" s="84"/>
      <c r="N36" s="94"/>
    </row>
    <row r="37" spans="1:14" x14ac:dyDescent="0.25">
      <c r="A37" s="85" t="str">
        <f t="shared" si="0"/>
        <v/>
      </c>
      <c r="B37" s="79"/>
      <c r="C37" s="21" t="str">
        <f>IF(B37="","",IFERROR(VLOOKUP(B37,DB_Customers!$A:$D,4,0),"❌ Account Not Found"))</f>
        <v/>
      </c>
      <c r="D37" s="81" t="str">
        <f t="shared" ca="1" si="1"/>
        <v/>
      </c>
      <c r="E37" s="104"/>
      <c r="F37" s="21"/>
      <c r="G37" s="110"/>
      <c r="H37" s="111"/>
      <c r="I37" s="107" t="str">
        <f t="shared" si="2"/>
        <v/>
      </c>
      <c r="J37" s="112" t="str">
        <f t="shared" si="3"/>
        <v/>
      </c>
      <c r="K37" s="113" t="str">
        <f>IF(B37="","Pending",IF(M37="","⚠️ Enter Code",IF(IFERROR(VLOOKUP(L37,DB_Agents!$B:$I,8,0),"")=M37,"Pending","🔒 BLOCKED — Wrong Code")))</f>
        <v>Pending</v>
      </c>
      <c r="L37" s="23"/>
      <c r="M37" s="84"/>
      <c r="N37" s="87"/>
    </row>
    <row r="38" spans="1:14" x14ac:dyDescent="0.25">
      <c r="A38" s="92" t="str">
        <f t="shared" si="0"/>
        <v/>
      </c>
      <c r="B38" s="88"/>
      <c r="C38" s="25" t="str">
        <f>IF(B38="","",IFERROR(VLOOKUP(B38,DB_Customers!$A:$D,4,0),"❌ Account Not Found"))</f>
        <v/>
      </c>
      <c r="D38" s="90" t="str">
        <f t="shared" ca="1" si="1"/>
        <v/>
      </c>
      <c r="E38" s="104"/>
      <c r="F38" s="25"/>
      <c r="G38" s="105"/>
      <c r="H38" s="106"/>
      <c r="I38" s="107" t="str">
        <f t="shared" si="2"/>
        <v/>
      </c>
      <c r="J38" s="108" t="str">
        <f t="shared" si="3"/>
        <v/>
      </c>
      <c r="K38" s="109" t="str">
        <f>IF(B38="","Pending",IF(M38="","⚠️ Enter Code",IF(IFERROR(VLOOKUP(L38,DB_Agents!$B:$I,8,0),"")=M38,"Pending","🔒 BLOCKED — Wrong Code")))</f>
        <v>Pending</v>
      </c>
      <c r="L38" s="27"/>
      <c r="M38" s="84"/>
      <c r="N38" s="94"/>
    </row>
    <row r="39" spans="1:14" x14ac:dyDescent="0.25">
      <c r="A39" s="85" t="str">
        <f t="shared" si="0"/>
        <v/>
      </c>
      <c r="B39" s="79"/>
      <c r="C39" s="21" t="str">
        <f>IF(B39="","",IFERROR(VLOOKUP(B39,DB_Customers!$A:$D,4,0),"❌ Account Not Found"))</f>
        <v/>
      </c>
      <c r="D39" s="81" t="str">
        <f t="shared" ca="1" si="1"/>
        <v/>
      </c>
      <c r="E39" s="104"/>
      <c r="F39" s="21"/>
      <c r="G39" s="110"/>
      <c r="H39" s="111"/>
      <c r="I39" s="107" t="str">
        <f t="shared" si="2"/>
        <v/>
      </c>
      <c r="J39" s="112" t="str">
        <f t="shared" si="3"/>
        <v/>
      </c>
      <c r="K39" s="113" t="str">
        <f>IF(B39="","Pending",IF(M39="","⚠️ Enter Code",IF(IFERROR(VLOOKUP(L39,DB_Agents!$B:$I,8,0),"")=M39,"Pending","🔒 BLOCKED — Wrong Code")))</f>
        <v>Pending</v>
      </c>
      <c r="L39" s="23"/>
      <c r="M39" s="84"/>
      <c r="N39" s="87"/>
    </row>
    <row r="40" spans="1:14" x14ac:dyDescent="0.25">
      <c r="A40" s="92" t="str">
        <f t="shared" si="0"/>
        <v/>
      </c>
      <c r="B40" s="88"/>
      <c r="C40" s="25" t="str">
        <f>IF(B40="","",IFERROR(VLOOKUP(B40,DB_Customers!$A:$D,4,0),"❌ Account Not Found"))</f>
        <v/>
      </c>
      <c r="D40" s="90" t="str">
        <f t="shared" ca="1" si="1"/>
        <v/>
      </c>
      <c r="E40" s="104"/>
      <c r="F40" s="25"/>
      <c r="G40" s="105"/>
      <c r="H40" s="106"/>
      <c r="I40" s="107" t="str">
        <f t="shared" si="2"/>
        <v/>
      </c>
      <c r="J40" s="108" t="str">
        <f t="shared" si="3"/>
        <v/>
      </c>
      <c r="K40" s="109" t="str">
        <f>IF(B40="","Pending",IF(M40="","⚠️ Enter Code",IF(IFERROR(VLOOKUP(L40,DB_Agents!$B:$I,8,0),"")=M40,"Pending","🔒 BLOCKED — Wrong Code")))</f>
        <v>Pending</v>
      </c>
      <c r="L40" s="27"/>
      <c r="M40" s="84"/>
      <c r="N40" s="94"/>
    </row>
    <row r="41" spans="1:14" x14ac:dyDescent="0.25">
      <c r="A41" s="85" t="str">
        <f t="shared" si="0"/>
        <v/>
      </c>
      <c r="B41" s="79"/>
      <c r="C41" s="21" t="str">
        <f>IF(B41="","",IFERROR(VLOOKUP(B41,DB_Customers!$A:$D,4,0),"❌ Account Not Found"))</f>
        <v/>
      </c>
      <c r="D41" s="81" t="str">
        <f t="shared" ca="1" si="1"/>
        <v/>
      </c>
      <c r="E41" s="104"/>
      <c r="F41" s="21"/>
      <c r="G41" s="110"/>
      <c r="H41" s="111"/>
      <c r="I41" s="107" t="str">
        <f t="shared" si="2"/>
        <v/>
      </c>
      <c r="J41" s="112" t="str">
        <f t="shared" si="3"/>
        <v/>
      </c>
      <c r="K41" s="113" t="str">
        <f>IF(B41="","Pending",IF(M41="","⚠️ Enter Code",IF(IFERROR(VLOOKUP(L41,DB_Agents!$B:$I,8,0),"")=M41,"Pending","🔒 BLOCKED — Wrong Code")))</f>
        <v>Pending</v>
      </c>
      <c r="L41" s="23"/>
      <c r="M41" s="84"/>
      <c r="N41" s="87"/>
    </row>
    <row r="42" spans="1:14" x14ac:dyDescent="0.25">
      <c r="A42" s="92" t="str">
        <f t="shared" si="0"/>
        <v/>
      </c>
      <c r="B42" s="88"/>
      <c r="C42" s="25" t="str">
        <f>IF(B42="","",IFERROR(VLOOKUP(B42,DB_Customers!$A:$D,4,0),"❌ Account Not Found"))</f>
        <v/>
      </c>
      <c r="D42" s="90" t="str">
        <f t="shared" ca="1" si="1"/>
        <v/>
      </c>
      <c r="E42" s="104"/>
      <c r="F42" s="25"/>
      <c r="G42" s="105"/>
      <c r="H42" s="106"/>
      <c r="I42" s="107" t="str">
        <f t="shared" si="2"/>
        <v/>
      </c>
      <c r="J42" s="108" t="str">
        <f t="shared" si="3"/>
        <v/>
      </c>
      <c r="K42" s="109" t="str">
        <f>IF(B42="","Pending",IF(M42="","⚠️ Enter Code",IF(IFERROR(VLOOKUP(L42,DB_Agents!$B:$I,8,0),"")=M42,"Pending","🔒 BLOCKED — Wrong Code")))</f>
        <v>Pending</v>
      </c>
      <c r="L42" s="27"/>
      <c r="M42" s="84"/>
      <c r="N42" s="94"/>
    </row>
    <row r="43" spans="1:14" x14ac:dyDescent="0.25">
      <c r="A43" s="85" t="str">
        <f t="shared" si="0"/>
        <v/>
      </c>
      <c r="B43" s="79"/>
      <c r="C43" s="21" t="str">
        <f>IF(B43="","",IFERROR(VLOOKUP(B43,DB_Customers!$A:$D,4,0),"❌ Account Not Found"))</f>
        <v/>
      </c>
      <c r="D43" s="81" t="str">
        <f t="shared" ca="1" si="1"/>
        <v/>
      </c>
      <c r="E43" s="104"/>
      <c r="F43" s="21"/>
      <c r="G43" s="110"/>
      <c r="H43" s="111"/>
      <c r="I43" s="107" t="str">
        <f t="shared" si="2"/>
        <v/>
      </c>
      <c r="J43" s="112" t="str">
        <f t="shared" si="3"/>
        <v/>
      </c>
      <c r="K43" s="113" t="str">
        <f>IF(B43="","Pending",IF(M43="","⚠️ Enter Code",IF(IFERROR(VLOOKUP(L43,DB_Agents!$B:$I,8,0),"")=M43,"Pending","🔒 BLOCKED — Wrong Code")))</f>
        <v>Pending</v>
      </c>
      <c r="L43" s="23"/>
      <c r="M43" s="84"/>
      <c r="N43" s="87"/>
    </row>
    <row r="44" spans="1:14" x14ac:dyDescent="0.25">
      <c r="A44" s="92" t="str">
        <f t="shared" si="0"/>
        <v/>
      </c>
      <c r="B44" s="88"/>
      <c r="C44" s="25" t="str">
        <f>IF(B44="","",IFERROR(VLOOKUP(B44,DB_Customers!$A:$D,4,0),"❌ Account Not Found"))</f>
        <v/>
      </c>
      <c r="D44" s="90" t="str">
        <f t="shared" ca="1" si="1"/>
        <v/>
      </c>
      <c r="E44" s="104"/>
      <c r="F44" s="25"/>
      <c r="G44" s="105"/>
      <c r="H44" s="106"/>
      <c r="I44" s="107" t="str">
        <f t="shared" si="2"/>
        <v/>
      </c>
      <c r="J44" s="108" t="str">
        <f t="shared" si="3"/>
        <v/>
      </c>
      <c r="K44" s="109" t="str">
        <f>IF(B44="","Pending",IF(M44="","⚠️ Enter Code",IF(IFERROR(VLOOKUP(L44,DB_Agents!$B:$I,8,0),"")=M44,"Pending","🔒 BLOCKED — Wrong Code")))</f>
        <v>Pending</v>
      </c>
      <c r="L44" s="27"/>
      <c r="M44" s="84"/>
      <c r="N44" s="94"/>
    </row>
    <row r="45" spans="1:14" x14ac:dyDescent="0.25">
      <c r="A45" s="85" t="str">
        <f t="shared" si="0"/>
        <v/>
      </c>
      <c r="B45" s="79"/>
      <c r="C45" s="21" t="str">
        <f>IF(B45="","",IFERROR(VLOOKUP(B45,DB_Customers!$A:$D,4,0),"❌ Account Not Found"))</f>
        <v/>
      </c>
      <c r="D45" s="81" t="str">
        <f t="shared" ca="1" si="1"/>
        <v/>
      </c>
      <c r="E45" s="104"/>
      <c r="F45" s="21"/>
      <c r="G45" s="110"/>
      <c r="H45" s="111"/>
      <c r="I45" s="107" t="str">
        <f t="shared" si="2"/>
        <v/>
      </c>
      <c r="J45" s="112" t="str">
        <f t="shared" si="3"/>
        <v/>
      </c>
      <c r="K45" s="113" t="str">
        <f>IF(B45="","Pending",IF(M45="","⚠️ Enter Code",IF(IFERROR(VLOOKUP(L45,DB_Agents!$B:$I,8,0),"")=M45,"Pending","🔒 BLOCKED — Wrong Code")))</f>
        <v>Pending</v>
      </c>
      <c r="L45" s="23"/>
      <c r="M45" s="84"/>
      <c r="N45" s="87"/>
    </row>
    <row r="46" spans="1:14" x14ac:dyDescent="0.25">
      <c r="A46" s="92" t="str">
        <f t="shared" ref="A46:A77" si="4">IF(B46="","",IF(C46="❌ Account Not Found","INVALID","LN"&amp;TEXT(D46,"YYYYMMDD")&amp;TEXT(ROW()-13,"0000")))</f>
        <v/>
      </c>
      <c r="B46" s="88"/>
      <c r="C46" s="25" t="str">
        <f>IF(B46="","",IFERROR(VLOOKUP(B46,DB_Customers!$A:$D,4,0),"❌ Account Not Found"))</f>
        <v/>
      </c>
      <c r="D46" s="90" t="str">
        <f t="shared" ref="D46:D77" ca="1" si="5">IF(B46="","",TODAY())</f>
        <v/>
      </c>
      <c r="E46" s="104"/>
      <c r="F46" s="25"/>
      <c r="G46" s="105"/>
      <c r="H46" s="106"/>
      <c r="I46" s="107" t="str">
        <f t="shared" ref="I46:I77" si="6">IF(E46="","",E46+(E46*H46/100*G46))</f>
        <v/>
      </c>
      <c r="J46" s="108" t="str">
        <f t="shared" ref="J46:J77" si="7">IFERROR(I46/G46,"")</f>
        <v/>
      </c>
      <c r="K46" s="109" t="str">
        <f>IF(B46="","Pending",IF(M46="","⚠️ Enter Code",IF(IFERROR(VLOOKUP(L46,DB_Agents!$B:$I,8,0),"")=M46,"Pending","🔒 BLOCKED — Wrong Code")))</f>
        <v>Pending</v>
      </c>
      <c r="L46" s="27"/>
      <c r="M46" s="84"/>
      <c r="N46" s="94"/>
    </row>
    <row r="47" spans="1:14" x14ac:dyDescent="0.25">
      <c r="A47" s="85" t="str">
        <f t="shared" si="4"/>
        <v/>
      </c>
      <c r="B47" s="79"/>
      <c r="C47" s="21" t="str">
        <f>IF(B47="","",IFERROR(VLOOKUP(B47,DB_Customers!$A:$D,4,0),"❌ Account Not Found"))</f>
        <v/>
      </c>
      <c r="D47" s="81" t="str">
        <f t="shared" ca="1" si="5"/>
        <v/>
      </c>
      <c r="E47" s="104"/>
      <c r="F47" s="21"/>
      <c r="G47" s="110"/>
      <c r="H47" s="111"/>
      <c r="I47" s="107" t="str">
        <f t="shared" si="6"/>
        <v/>
      </c>
      <c r="J47" s="112" t="str">
        <f t="shared" si="7"/>
        <v/>
      </c>
      <c r="K47" s="113" t="str">
        <f>IF(B47="","Pending",IF(M47="","⚠️ Enter Code",IF(IFERROR(VLOOKUP(L47,DB_Agents!$B:$I,8,0),"")=M47,"Pending","🔒 BLOCKED — Wrong Code")))</f>
        <v>Pending</v>
      </c>
      <c r="L47" s="23"/>
      <c r="M47" s="84"/>
      <c r="N47" s="87"/>
    </row>
    <row r="48" spans="1:14" x14ac:dyDescent="0.25">
      <c r="A48" s="92" t="str">
        <f t="shared" si="4"/>
        <v/>
      </c>
      <c r="B48" s="88"/>
      <c r="C48" s="25" t="str">
        <f>IF(B48="","",IFERROR(VLOOKUP(B48,DB_Customers!$A:$D,4,0),"❌ Account Not Found"))</f>
        <v/>
      </c>
      <c r="D48" s="90" t="str">
        <f t="shared" ca="1" si="5"/>
        <v/>
      </c>
      <c r="E48" s="104"/>
      <c r="F48" s="25"/>
      <c r="G48" s="105"/>
      <c r="H48" s="106"/>
      <c r="I48" s="107" t="str">
        <f t="shared" si="6"/>
        <v/>
      </c>
      <c r="J48" s="108" t="str">
        <f t="shared" si="7"/>
        <v/>
      </c>
      <c r="K48" s="109" t="str">
        <f>IF(B48="","Pending",IF(M48="","⚠️ Enter Code",IF(IFERROR(VLOOKUP(L48,DB_Agents!$B:$I,8,0),"")=M48,"Pending","🔒 BLOCKED — Wrong Code")))</f>
        <v>Pending</v>
      </c>
      <c r="L48" s="27"/>
      <c r="M48" s="84"/>
      <c r="N48" s="94"/>
    </row>
    <row r="49" spans="1:14" x14ac:dyDescent="0.25">
      <c r="A49" s="85" t="str">
        <f t="shared" si="4"/>
        <v/>
      </c>
      <c r="B49" s="79"/>
      <c r="C49" s="21" t="str">
        <f>IF(B49="","",IFERROR(VLOOKUP(B49,DB_Customers!$A:$D,4,0),"❌ Account Not Found"))</f>
        <v/>
      </c>
      <c r="D49" s="81" t="str">
        <f t="shared" ca="1" si="5"/>
        <v/>
      </c>
      <c r="E49" s="104"/>
      <c r="F49" s="21"/>
      <c r="G49" s="110"/>
      <c r="H49" s="111"/>
      <c r="I49" s="107" t="str">
        <f t="shared" si="6"/>
        <v/>
      </c>
      <c r="J49" s="112" t="str">
        <f t="shared" si="7"/>
        <v/>
      </c>
      <c r="K49" s="113" t="str">
        <f>IF(B49="","Pending",IF(M49="","⚠️ Enter Code",IF(IFERROR(VLOOKUP(L49,DB_Agents!$B:$I,8,0),"")=M49,"Pending","🔒 BLOCKED — Wrong Code")))</f>
        <v>Pending</v>
      </c>
      <c r="L49" s="23"/>
      <c r="M49" s="84"/>
      <c r="N49" s="87"/>
    </row>
    <row r="50" spans="1:14" x14ac:dyDescent="0.25">
      <c r="A50" s="92" t="str">
        <f t="shared" si="4"/>
        <v/>
      </c>
      <c r="B50" s="88"/>
      <c r="C50" s="25" t="str">
        <f>IF(B50="","",IFERROR(VLOOKUP(B50,DB_Customers!$A:$D,4,0),"❌ Account Not Found"))</f>
        <v/>
      </c>
      <c r="D50" s="90" t="str">
        <f t="shared" ca="1" si="5"/>
        <v/>
      </c>
      <c r="E50" s="104"/>
      <c r="F50" s="25"/>
      <c r="G50" s="105"/>
      <c r="H50" s="106"/>
      <c r="I50" s="107" t="str">
        <f t="shared" si="6"/>
        <v/>
      </c>
      <c r="J50" s="108" t="str">
        <f t="shared" si="7"/>
        <v/>
      </c>
      <c r="K50" s="109" t="str">
        <f>IF(B50="","Pending",IF(M50="","⚠️ Enter Code",IF(IFERROR(VLOOKUP(L50,DB_Agents!$B:$I,8,0),"")=M50,"Pending","🔒 BLOCKED — Wrong Code")))</f>
        <v>Pending</v>
      </c>
      <c r="L50" s="27"/>
      <c r="M50" s="84"/>
      <c r="N50" s="94"/>
    </row>
    <row r="51" spans="1:14" x14ac:dyDescent="0.25">
      <c r="A51" s="85" t="str">
        <f t="shared" si="4"/>
        <v/>
      </c>
      <c r="B51" s="79"/>
      <c r="C51" s="21" t="str">
        <f>IF(B51="","",IFERROR(VLOOKUP(B51,DB_Customers!$A:$D,4,0),"❌ Account Not Found"))</f>
        <v/>
      </c>
      <c r="D51" s="81" t="str">
        <f t="shared" ca="1" si="5"/>
        <v/>
      </c>
      <c r="E51" s="104"/>
      <c r="F51" s="21"/>
      <c r="G51" s="110"/>
      <c r="H51" s="111"/>
      <c r="I51" s="107" t="str">
        <f t="shared" si="6"/>
        <v/>
      </c>
      <c r="J51" s="112" t="str">
        <f t="shared" si="7"/>
        <v/>
      </c>
      <c r="K51" s="113" t="str">
        <f>IF(B51="","Pending",IF(M51="","⚠️ Enter Code",IF(IFERROR(VLOOKUP(L51,DB_Agents!$B:$I,8,0),"")=M51,"Pending","🔒 BLOCKED — Wrong Code")))</f>
        <v>Pending</v>
      </c>
      <c r="L51" s="23"/>
      <c r="M51" s="84"/>
      <c r="N51" s="87"/>
    </row>
    <row r="52" spans="1:14" x14ac:dyDescent="0.25">
      <c r="A52" s="92" t="str">
        <f t="shared" si="4"/>
        <v/>
      </c>
      <c r="B52" s="88"/>
      <c r="C52" s="25" t="str">
        <f>IF(B52="","",IFERROR(VLOOKUP(B52,DB_Customers!$A:$D,4,0),"❌ Account Not Found"))</f>
        <v/>
      </c>
      <c r="D52" s="90" t="str">
        <f t="shared" ca="1" si="5"/>
        <v/>
      </c>
      <c r="E52" s="104"/>
      <c r="F52" s="25"/>
      <c r="G52" s="105"/>
      <c r="H52" s="106"/>
      <c r="I52" s="107" t="str">
        <f t="shared" si="6"/>
        <v/>
      </c>
      <c r="J52" s="108" t="str">
        <f t="shared" si="7"/>
        <v/>
      </c>
      <c r="K52" s="109" t="str">
        <f>IF(B52="","Pending",IF(M52="","⚠️ Enter Code",IF(IFERROR(VLOOKUP(L52,DB_Agents!$B:$I,8,0),"")=M52,"Pending","🔒 BLOCKED — Wrong Code")))</f>
        <v>Pending</v>
      </c>
      <c r="L52" s="27"/>
      <c r="M52" s="84"/>
      <c r="N52" s="94"/>
    </row>
    <row r="53" spans="1:14" x14ac:dyDescent="0.25">
      <c r="A53" s="85" t="str">
        <f t="shared" si="4"/>
        <v/>
      </c>
      <c r="B53" s="79"/>
      <c r="C53" s="21" t="str">
        <f>IF(B53="","",IFERROR(VLOOKUP(B53,DB_Customers!$A:$D,4,0),"❌ Account Not Found"))</f>
        <v/>
      </c>
      <c r="D53" s="81" t="str">
        <f t="shared" ca="1" si="5"/>
        <v/>
      </c>
      <c r="E53" s="104"/>
      <c r="F53" s="21"/>
      <c r="G53" s="110"/>
      <c r="H53" s="111"/>
      <c r="I53" s="107" t="str">
        <f t="shared" si="6"/>
        <v/>
      </c>
      <c r="J53" s="112" t="str">
        <f t="shared" si="7"/>
        <v/>
      </c>
      <c r="K53" s="113" t="str">
        <f>IF(B53="","Pending",IF(M53="","⚠️ Enter Code",IF(IFERROR(VLOOKUP(L53,DB_Agents!$B:$I,8,0),"")=M53,"Pending","🔒 BLOCKED — Wrong Code")))</f>
        <v>Pending</v>
      </c>
      <c r="L53" s="23"/>
      <c r="M53" s="84"/>
      <c r="N53" s="87"/>
    </row>
    <row r="54" spans="1:14" x14ac:dyDescent="0.25">
      <c r="A54" s="92" t="str">
        <f t="shared" si="4"/>
        <v/>
      </c>
      <c r="B54" s="88"/>
      <c r="C54" s="25" t="str">
        <f>IF(B54="","",IFERROR(VLOOKUP(B54,DB_Customers!$A:$D,4,0),"❌ Account Not Found"))</f>
        <v/>
      </c>
      <c r="D54" s="90" t="str">
        <f t="shared" ca="1" si="5"/>
        <v/>
      </c>
      <c r="E54" s="104"/>
      <c r="F54" s="25"/>
      <c r="G54" s="105"/>
      <c r="H54" s="106"/>
      <c r="I54" s="107" t="str">
        <f t="shared" si="6"/>
        <v/>
      </c>
      <c r="J54" s="108" t="str">
        <f t="shared" si="7"/>
        <v/>
      </c>
      <c r="K54" s="109" t="str">
        <f>IF(B54="","Pending",IF(M54="","⚠️ Enter Code",IF(IFERROR(VLOOKUP(L54,DB_Agents!$B:$I,8,0),"")=M54,"Pending","🔒 BLOCKED — Wrong Code")))</f>
        <v>Pending</v>
      </c>
      <c r="L54" s="27"/>
      <c r="M54" s="84"/>
      <c r="N54" s="94"/>
    </row>
    <row r="55" spans="1:14" x14ac:dyDescent="0.25">
      <c r="A55" s="85" t="str">
        <f t="shared" si="4"/>
        <v/>
      </c>
      <c r="B55" s="79"/>
      <c r="C55" s="21" t="str">
        <f>IF(B55="","",IFERROR(VLOOKUP(B55,DB_Customers!$A:$D,4,0),"❌ Account Not Found"))</f>
        <v/>
      </c>
      <c r="D55" s="81" t="str">
        <f t="shared" ca="1" si="5"/>
        <v/>
      </c>
      <c r="E55" s="104"/>
      <c r="F55" s="21"/>
      <c r="G55" s="110"/>
      <c r="H55" s="111"/>
      <c r="I55" s="107" t="str">
        <f t="shared" si="6"/>
        <v/>
      </c>
      <c r="J55" s="112" t="str">
        <f t="shared" si="7"/>
        <v/>
      </c>
      <c r="K55" s="113" t="str">
        <f>IF(B55="","Pending",IF(M55="","⚠️ Enter Code",IF(IFERROR(VLOOKUP(L55,DB_Agents!$B:$I,8,0),"")=M55,"Pending","🔒 BLOCKED — Wrong Code")))</f>
        <v>Pending</v>
      </c>
      <c r="L55" s="23"/>
      <c r="M55" s="84"/>
      <c r="N55" s="87"/>
    </row>
    <row r="56" spans="1:14" x14ac:dyDescent="0.25">
      <c r="A56" s="92" t="str">
        <f t="shared" si="4"/>
        <v/>
      </c>
      <c r="B56" s="88"/>
      <c r="C56" s="25" t="str">
        <f>IF(B56="","",IFERROR(VLOOKUP(B56,DB_Customers!$A:$D,4,0),"❌ Account Not Found"))</f>
        <v/>
      </c>
      <c r="D56" s="90" t="str">
        <f t="shared" ca="1" si="5"/>
        <v/>
      </c>
      <c r="E56" s="104"/>
      <c r="F56" s="25"/>
      <c r="G56" s="105"/>
      <c r="H56" s="106"/>
      <c r="I56" s="107" t="str">
        <f t="shared" si="6"/>
        <v/>
      </c>
      <c r="J56" s="108" t="str">
        <f t="shared" si="7"/>
        <v/>
      </c>
      <c r="K56" s="109" t="str">
        <f>IF(B56="","Pending",IF(M56="","⚠️ Enter Code",IF(IFERROR(VLOOKUP(L56,DB_Agents!$B:$I,8,0),"")=M56,"Pending","🔒 BLOCKED — Wrong Code")))</f>
        <v>Pending</v>
      </c>
      <c r="L56" s="27"/>
      <c r="M56" s="84"/>
      <c r="N56" s="94"/>
    </row>
    <row r="57" spans="1:14" x14ac:dyDescent="0.25">
      <c r="A57" s="85" t="str">
        <f t="shared" si="4"/>
        <v/>
      </c>
      <c r="B57" s="79"/>
      <c r="C57" s="21" t="str">
        <f>IF(B57="","",IFERROR(VLOOKUP(B57,DB_Customers!$A:$D,4,0),"❌ Account Not Found"))</f>
        <v/>
      </c>
      <c r="D57" s="81" t="str">
        <f t="shared" ca="1" si="5"/>
        <v/>
      </c>
      <c r="E57" s="104"/>
      <c r="F57" s="21"/>
      <c r="G57" s="110"/>
      <c r="H57" s="111"/>
      <c r="I57" s="107" t="str">
        <f t="shared" si="6"/>
        <v/>
      </c>
      <c r="J57" s="112" t="str">
        <f t="shared" si="7"/>
        <v/>
      </c>
      <c r="K57" s="113" t="str">
        <f>IF(B57="","Pending",IF(M57="","⚠️ Enter Code",IF(IFERROR(VLOOKUP(L57,DB_Agents!$B:$I,8,0),"")=M57,"Pending","🔒 BLOCKED — Wrong Code")))</f>
        <v>Pending</v>
      </c>
      <c r="L57" s="23"/>
      <c r="M57" s="84"/>
      <c r="N57" s="87"/>
    </row>
    <row r="58" spans="1:14" x14ac:dyDescent="0.25">
      <c r="A58" s="92" t="str">
        <f t="shared" si="4"/>
        <v/>
      </c>
      <c r="B58" s="88"/>
      <c r="C58" s="25" t="str">
        <f>IF(B58="","",IFERROR(VLOOKUP(B58,DB_Customers!$A:$D,4,0),"❌ Account Not Found"))</f>
        <v/>
      </c>
      <c r="D58" s="90" t="str">
        <f t="shared" ca="1" si="5"/>
        <v/>
      </c>
      <c r="E58" s="104"/>
      <c r="F58" s="25"/>
      <c r="G58" s="105"/>
      <c r="H58" s="106"/>
      <c r="I58" s="107" t="str">
        <f t="shared" si="6"/>
        <v/>
      </c>
      <c r="J58" s="108" t="str">
        <f t="shared" si="7"/>
        <v/>
      </c>
      <c r="K58" s="109" t="str">
        <f>IF(B58="","Pending",IF(M58="","⚠️ Enter Code",IF(IFERROR(VLOOKUP(L58,DB_Agents!$B:$I,8,0),"")=M58,"Pending","🔒 BLOCKED — Wrong Code")))</f>
        <v>Pending</v>
      </c>
      <c r="L58" s="27"/>
      <c r="M58" s="84"/>
      <c r="N58" s="94"/>
    </row>
    <row r="59" spans="1:14" x14ac:dyDescent="0.25">
      <c r="A59" s="85" t="str">
        <f t="shared" si="4"/>
        <v/>
      </c>
      <c r="B59" s="79"/>
      <c r="C59" s="21" t="str">
        <f>IF(B59="","",IFERROR(VLOOKUP(B59,DB_Customers!$A:$D,4,0),"❌ Account Not Found"))</f>
        <v/>
      </c>
      <c r="D59" s="81" t="str">
        <f t="shared" ca="1" si="5"/>
        <v/>
      </c>
      <c r="E59" s="104"/>
      <c r="F59" s="21"/>
      <c r="G59" s="110"/>
      <c r="H59" s="111"/>
      <c r="I59" s="107" t="str">
        <f t="shared" si="6"/>
        <v/>
      </c>
      <c r="J59" s="112" t="str">
        <f t="shared" si="7"/>
        <v/>
      </c>
      <c r="K59" s="113" t="str">
        <f>IF(B59="","Pending",IF(M59="","⚠️ Enter Code",IF(IFERROR(VLOOKUP(L59,DB_Agents!$B:$I,8,0),"")=M59,"Pending","🔒 BLOCKED — Wrong Code")))</f>
        <v>Pending</v>
      </c>
      <c r="L59" s="23"/>
      <c r="M59" s="84"/>
      <c r="N59" s="87"/>
    </row>
    <row r="60" spans="1:14" x14ac:dyDescent="0.25">
      <c r="A60" s="92" t="str">
        <f t="shared" si="4"/>
        <v/>
      </c>
      <c r="B60" s="88"/>
      <c r="C60" s="25" t="str">
        <f>IF(B60="","",IFERROR(VLOOKUP(B60,DB_Customers!$A:$D,4,0),"❌ Account Not Found"))</f>
        <v/>
      </c>
      <c r="D60" s="90" t="str">
        <f t="shared" ca="1" si="5"/>
        <v/>
      </c>
      <c r="E60" s="104"/>
      <c r="F60" s="25"/>
      <c r="G60" s="105"/>
      <c r="H60" s="106"/>
      <c r="I60" s="107" t="str">
        <f t="shared" si="6"/>
        <v/>
      </c>
      <c r="J60" s="108" t="str">
        <f t="shared" si="7"/>
        <v/>
      </c>
      <c r="K60" s="109" t="str">
        <f>IF(B60="","Pending",IF(M60="","⚠️ Enter Code",IF(IFERROR(VLOOKUP(L60,DB_Agents!$B:$I,8,0),"")=M60,"Pending","🔒 BLOCKED — Wrong Code")))</f>
        <v>Pending</v>
      </c>
      <c r="L60" s="27"/>
      <c r="M60" s="84"/>
      <c r="N60" s="94"/>
    </row>
    <row r="61" spans="1:14" x14ac:dyDescent="0.25">
      <c r="A61" s="85" t="str">
        <f t="shared" si="4"/>
        <v/>
      </c>
      <c r="B61" s="79"/>
      <c r="C61" s="21" t="str">
        <f>IF(B61="","",IFERROR(VLOOKUP(B61,DB_Customers!$A:$D,4,0),"❌ Account Not Found"))</f>
        <v/>
      </c>
      <c r="D61" s="81" t="str">
        <f t="shared" ca="1" si="5"/>
        <v/>
      </c>
      <c r="E61" s="104"/>
      <c r="F61" s="21"/>
      <c r="G61" s="110"/>
      <c r="H61" s="111"/>
      <c r="I61" s="107" t="str">
        <f t="shared" si="6"/>
        <v/>
      </c>
      <c r="J61" s="112" t="str">
        <f t="shared" si="7"/>
        <v/>
      </c>
      <c r="K61" s="113" t="str">
        <f>IF(B61="","Pending",IF(M61="","⚠️ Enter Code",IF(IFERROR(VLOOKUP(L61,DB_Agents!$B:$I,8,0),"")=M61,"Pending","🔒 BLOCKED — Wrong Code")))</f>
        <v>Pending</v>
      </c>
      <c r="L61" s="23"/>
      <c r="M61" s="84"/>
      <c r="N61" s="87"/>
    </row>
    <row r="62" spans="1:14" x14ac:dyDescent="0.25">
      <c r="A62" s="92" t="str">
        <f t="shared" si="4"/>
        <v/>
      </c>
      <c r="B62" s="88"/>
      <c r="C62" s="25" t="str">
        <f>IF(B62="","",IFERROR(VLOOKUP(B62,DB_Customers!$A:$D,4,0),"❌ Account Not Found"))</f>
        <v/>
      </c>
      <c r="D62" s="90" t="str">
        <f t="shared" ca="1" si="5"/>
        <v/>
      </c>
      <c r="E62" s="104"/>
      <c r="F62" s="25"/>
      <c r="G62" s="105"/>
      <c r="H62" s="106"/>
      <c r="I62" s="107" t="str">
        <f t="shared" si="6"/>
        <v/>
      </c>
      <c r="J62" s="108" t="str">
        <f t="shared" si="7"/>
        <v/>
      </c>
      <c r="K62" s="109" t="str">
        <f>IF(B62="","Pending",IF(M62="","⚠️ Enter Code",IF(IFERROR(VLOOKUP(L62,DB_Agents!$B:$I,8,0),"")=M62,"Pending","🔒 BLOCKED — Wrong Code")))</f>
        <v>Pending</v>
      </c>
      <c r="L62" s="27"/>
      <c r="M62" s="84"/>
      <c r="N62" s="94"/>
    </row>
    <row r="63" spans="1:14" x14ac:dyDescent="0.25">
      <c r="A63" s="85" t="str">
        <f t="shared" si="4"/>
        <v/>
      </c>
      <c r="B63" s="79"/>
      <c r="C63" s="21" t="str">
        <f>IF(B63="","",IFERROR(VLOOKUP(B63,DB_Customers!$A:$D,4,0),"❌ Account Not Found"))</f>
        <v/>
      </c>
      <c r="D63" s="81" t="str">
        <f t="shared" ca="1" si="5"/>
        <v/>
      </c>
      <c r="E63" s="104"/>
      <c r="F63" s="21"/>
      <c r="G63" s="110"/>
      <c r="H63" s="111"/>
      <c r="I63" s="107" t="str">
        <f t="shared" si="6"/>
        <v/>
      </c>
      <c r="J63" s="112" t="str">
        <f t="shared" si="7"/>
        <v/>
      </c>
      <c r="K63" s="113" t="str">
        <f>IF(B63="","Pending",IF(M63="","⚠️ Enter Code",IF(IFERROR(VLOOKUP(L63,DB_Agents!$B:$I,8,0),"")=M63,"Pending","🔒 BLOCKED — Wrong Code")))</f>
        <v>Pending</v>
      </c>
      <c r="L63" s="23"/>
      <c r="M63" s="84"/>
      <c r="N63" s="87"/>
    </row>
    <row r="64" spans="1:14" x14ac:dyDescent="0.25">
      <c r="A64" s="92" t="str">
        <f t="shared" si="4"/>
        <v/>
      </c>
      <c r="B64" s="88"/>
      <c r="C64" s="25" t="str">
        <f>IF(B64="","",IFERROR(VLOOKUP(B64,DB_Customers!$A:$D,4,0),"❌ Account Not Found"))</f>
        <v/>
      </c>
      <c r="D64" s="90" t="str">
        <f t="shared" ca="1" si="5"/>
        <v/>
      </c>
      <c r="E64" s="104"/>
      <c r="F64" s="25"/>
      <c r="G64" s="105"/>
      <c r="H64" s="106"/>
      <c r="I64" s="107" t="str">
        <f t="shared" si="6"/>
        <v/>
      </c>
      <c r="J64" s="108" t="str">
        <f t="shared" si="7"/>
        <v/>
      </c>
      <c r="K64" s="109" t="str">
        <f>IF(B64="","Pending",IF(M64="","⚠️ Enter Code",IF(IFERROR(VLOOKUP(L64,DB_Agents!$B:$I,8,0),"")=M64,"Pending","🔒 BLOCKED — Wrong Code")))</f>
        <v>Pending</v>
      </c>
      <c r="L64" s="27"/>
      <c r="M64" s="84"/>
      <c r="N64" s="94"/>
    </row>
    <row r="65" spans="1:14" x14ac:dyDescent="0.25">
      <c r="A65" s="85" t="str">
        <f t="shared" si="4"/>
        <v/>
      </c>
      <c r="B65" s="79"/>
      <c r="C65" s="21" t="str">
        <f>IF(B65="","",IFERROR(VLOOKUP(B65,DB_Customers!$A:$D,4,0),"❌ Account Not Found"))</f>
        <v/>
      </c>
      <c r="D65" s="81" t="str">
        <f t="shared" ca="1" si="5"/>
        <v/>
      </c>
      <c r="E65" s="104"/>
      <c r="F65" s="21"/>
      <c r="G65" s="110"/>
      <c r="H65" s="111"/>
      <c r="I65" s="107" t="str">
        <f t="shared" si="6"/>
        <v/>
      </c>
      <c r="J65" s="112" t="str">
        <f t="shared" si="7"/>
        <v/>
      </c>
      <c r="K65" s="113" t="str">
        <f>IF(B65="","Pending",IF(M65="","⚠️ Enter Code",IF(IFERROR(VLOOKUP(L65,DB_Agents!$B:$I,8,0),"")=M65,"Pending","🔒 BLOCKED — Wrong Code")))</f>
        <v>Pending</v>
      </c>
      <c r="L65" s="23"/>
      <c r="M65" s="84"/>
      <c r="N65" s="87"/>
    </row>
    <row r="66" spans="1:14" x14ac:dyDescent="0.25">
      <c r="A66" s="92" t="str">
        <f t="shared" si="4"/>
        <v/>
      </c>
      <c r="B66" s="88"/>
      <c r="C66" s="25" t="str">
        <f>IF(B66="","",IFERROR(VLOOKUP(B66,DB_Customers!$A:$D,4,0),"❌ Account Not Found"))</f>
        <v/>
      </c>
      <c r="D66" s="90" t="str">
        <f t="shared" ca="1" si="5"/>
        <v/>
      </c>
      <c r="E66" s="104"/>
      <c r="F66" s="25"/>
      <c r="G66" s="105"/>
      <c r="H66" s="106"/>
      <c r="I66" s="107" t="str">
        <f t="shared" si="6"/>
        <v/>
      </c>
      <c r="J66" s="108" t="str">
        <f t="shared" si="7"/>
        <v/>
      </c>
      <c r="K66" s="109" t="str">
        <f>IF(B66="","Pending",IF(M66="","⚠️ Enter Code",IF(IFERROR(VLOOKUP(L66,DB_Agents!$B:$I,8,0),"")=M66,"Pending","🔒 BLOCKED — Wrong Code")))</f>
        <v>Pending</v>
      </c>
      <c r="L66" s="27"/>
      <c r="M66" s="84"/>
      <c r="N66" s="94"/>
    </row>
    <row r="67" spans="1:14" x14ac:dyDescent="0.25">
      <c r="A67" s="85" t="str">
        <f t="shared" si="4"/>
        <v/>
      </c>
      <c r="B67" s="79"/>
      <c r="C67" s="21" t="str">
        <f>IF(B67="","",IFERROR(VLOOKUP(B67,DB_Customers!$A:$D,4,0),"❌ Account Not Found"))</f>
        <v/>
      </c>
      <c r="D67" s="81" t="str">
        <f t="shared" ca="1" si="5"/>
        <v/>
      </c>
      <c r="E67" s="104"/>
      <c r="F67" s="21"/>
      <c r="G67" s="110"/>
      <c r="H67" s="111"/>
      <c r="I67" s="107" t="str">
        <f t="shared" si="6"/>
        <v/>
      </c>
      <c r="J67" s="112" t="str">
        <f t="shared" si="7"/>
        <v/>
      </c>
      <c r="K67" s="113" t="str">
        <f>IF(B67="","Pending",IF(M67="","⚠️ Enter Code",IF(IFERROR(VLOOKUP(L67,DB_Agents!$B:$I,8,0),"")=M67,"Pending","🔒 BLOCKED — Wrong Code")))</f>
        <v>Pending</v>
      </c>
      <c r="L67" s="23"/>
      <c r="M67" s="84"/>
      <c r="N67" s="87"/>
    </row>
    <row r="68" spans="1:14" x14ac:dyDescent="0.25">
      <c r="A68" s="92" t="str">
        <f t="shared" si="4"/>
        <v/>
      </c>
      <c r="B68" s="88"/>
      <c r="C68" s="25" t="str">
        <f>IF(B68="","",IFERROR(VLOOKUP(B68,DB_Customers!$A:$D,4,0),"❌ Account Not Found"))</f>
        <v/>
      </c>
      <c r="D68" s="90" t="str">
        <f t="shared" ca="1" si="5"/>
        <v/>
      </c>
      <c r="E68" s="104"/>
      <c r="F68" s="25"/>
      <c r="G68" s="105"/>
      <c r="H68" s="106"/>
      <c r="I68" s="107" t="str">
        <f t="shared" si="6"/>
        <v/>
      </c>
      <c r="J68" s="108" t="str">
        <f t="shared" si="7"/>
        <v/>
      </c>
      <c r="K68" s="109" t="str">
        <f>IF(B68="","Pending",IF(M68="","⚠️ Enter Code",IF(IFERROR(VLOOKUP(L68,DB_Agents!$B:$I,8,0),"")=M68,"Pending","🔒 BLOCKED — Wrong Code")))</f>
        <v>Pending</v>
      </c>
      <c r="L68" s="27"/>
      <c r="M68" s="84"/>
      <c r="N68" s="94"/>
    </row>
    <row r="69" spans="1:14" x14ac:dyDescent="0.25">
      <c r="A69" s="85" t="str">
        <f t="shared" si="4"/>
        <v/>
      </c>
      <c r="B69" s="79"/>
      <c r="C69" s="21" t="str">
        <f>IF(B69="","",IFERROR(VLOOKUP(B69,DB_Customers!$A:$D,4,0),"❌ Account Not Found"))</f>
        <v/>
      </c>
      <c r="D69" s="81" t="str">
        <f t="shared" ca="1" si="5"/>
        <v/>
      </c>
      <c r="E69" s="104"/>
      <c r="F69" s="21"/>
      <c r="G69" s="110"/>
      <c r="H69" s="111"/>
      <c r="I69" s="107" t="str">
        <f t="shared" si="6"/>
        <v/>
      </c>
      <c r="J69" s="112" t="str">
        <f t="shared" si="7"/>
        <v/>
      </c>
      <c r="K69" s="113" t="str">
        <f>IF(B69="","Pending",IF(M69="","⚠️ Enter Code",IF(IFERROR(VLOOKUP(L69,DB_Agents!$B:$I,8,0),"")=M69,"Pending","🔒 BLOCKED — Wrong Code")))</f>
        <v>Pending</v>
      </c>
      <c r="L69" s="23"/>
      <c r="M69" s="84"/>
      <c r="N69" s="87"/>
    </row>
    <row r="70" spans="1:14" x14ac:dyDescent="0.25">
      <c r="A70" s="92" t="str">
        <f t="shared" si="4"/>
        <v/>
      </c>
      <c r="B70" s="88"/>
      <c r="C70" s="25" t="str">
        <f>IF(B70="","",IFERROR(VLOOKUP(B70,DB_Customers!$A:$D,4,0),"❌ Account Not Found"))</f>
        <v/>
      </c>
      <c r="D70" s="90" t="str">
        <f t="shared" ca="1" si="5"/>
        <v/>
      </c>
      <c r="E70" s="104"/>
      <c r="F70" s="25"/>
      <c r="G70" s="105"/>
      <c r="H70" s="106"/>
      <c r="I70" s="107" t="str">
        <f t="shared" si="6"/>
        <v/>
      </c>
      <c r="J70" s="108" t="str">
        <f t="shared" si="7"/>
        <v/>
      </c>
      <c r="K70" s="109" t="str">
        <f>IF(B70="","Pending",IF(M70="","⚠️ Enter Code",IF(IFERROR(VLOOKUP(L70,DB_Agents!$B:$I,8,0),"")=M70,"Pending","🔒 BLOCKED — Wrong Code")))</f>
        <v>Pending</v>
      </c>
      <c r="L70" s="27"/>
      <c r="M70" s="84"/>
      <c r="N70" s="94"/>
    </row>
    <row r="71" spans="1:14" x14ac:dyDescent="0.25">
      <c r="A71" s="85" t="str">
        <f t="shared" si="4"/>
        <v/>
      </c>
      <c r="B71" s="79"/>
      <c r="C71" s="21" t="str">
        <f>IF(B71="","",IFERROR(VLOOKUP(B71,DB_Customers!$A:$D,4,0),"❌ Account Not Found"))</f>
        <v/>
      </c>
      <c r="D71" s="81" t="str">
        <f t="shared" ca="1" si="5"/>
        <v/>
      </c>
      <c r="E71" s="104"/>
      <c r="F71" s="21"/>
      <c r="G71" s="110"/>
      <c r="H71" s="111"/>
      <c r="I71" s="107" t="str">
        <f t="shared" si="6"/>
        <v/>
      </c>
      <c r="J71" s="112" t="str">
        <f t="shared" si="7"/>
        <v/>
      </c>
      <c r="K71" s="113" t="str">
        <f>IF(B71="","Pending",IF(M71="","⚠️ Enter Code",IF(IFERROR(VLOOKUP(L71,DB_Agents!$B:$I,8,0),"")=M71,"Pending","🔒 BLOCKED — Wrong Code")))</f>
        <v>Pending</v>
      </c>
      <c r="L71" s="23"/>
      <c r="M71" s="84"/>
      <c r="N71" s="87"/>
    </row>
    <row r="72" spans="1:14" x14ac:dyDescent="0.25">
      <c r="A72" s="92" t="str">
        <f t="shared" si="4"/>
        <v/>
      </c>
      <c r="B72" s="88"/>
      <c r="C72" s="25" t="str">
        <f>IF(B72="","",IFERROR(VLOOKUP(B72,DB_Customers!$A:$D,4,0),"❌ Account Not Found"))</f>
        <v/>
      </c>
      <c r="D72" s="90" t="str">
        <f t="shared" ca="1" si="5"/>
        <v/>
      </c>
      <c r="E72" s="104"/>
      <c r="F72" s="25"/>
      <c r="G72" s="105"/>
      <c r="H72" s="106"/>
      <c r="I72" s="107" t="str">
        <f t="shared" si="6"/>
        <v/>
      </c>
      <c r="J72" s="108" t="str">
        <f t="shared" si="7"/>
        <v/>
      </c>
      <c r="K72" s="109" t="str">
        <f>IF(B72="","Pending",IF(M72="","⚠️ Enter Code",IF(IFERROR(VLOOKUP(L72,DB_Agents!$B:$I,8,0),"")=M72,"Pending","🔒 BLOCKED — Wrong Code")))</f>
        <v>Pending</v>
      </c>
      <c r="L72" s="27"/>
      <c r="M72" s="84"/>
      <c r="N72" s="94"/>
    </row>
    <row r="73" spans="1:14" x14ac:dyDescent="0.25">
      <c r="A73" s="85" t="str">
        <f t="shared" si="4"/>
        <v/>
      </c>
      <c r="B73" s="79"/>
      <c r="C73" s="21" t="str">
        <f>IF(B73="","",IFERROR(VLOOKUP(B73,DB_Customers!$A:$D,4,0),"❌ Account Not Found"))</f>
        <v/>
      </c>
      <c r="D73" s="81" t="str">
        <f t="shared" ca="1" si="5"/>
        <v/>
      </c>
      <c r="E73" s="104"/>
      <c r="F73" s="21"/>
      <c r="G73" s="110"/>
      <c r="H73" s="111"/>
      <c r="I73" s="107" t="str">
        <f t="shared" si="6"/>
        <v/>
      </c>
      <c r="J73" s="112" t="str">
        <f t="shared" si="7"/>
        <v/>
      </c>
      <c r="K73" s="113" t="str">
        <f>IF(B73="","Pending",IF(M73="","⚠️ Enter Code",IF(IFERROR(VLOOKUP(L73,DB_Agents!$B:$I,8,0),"")=M73,"Pending","🔒 BLOCKED — Wrong Code")))</f>
        <v>Pending</v>
      </c>
      <c r="L73" s="23"/>
      <c r="M73" s="84"/>
      <c r="N73" s="87"/>
    </row>
    <row r="74" spans="1:14" x14ac:dyDescent="0.25">
      <c r="A74" s="92" t="str">
        <f t="shared" si="4"/>
        <v/>
      </c>
      <c r="B74" s="88"/>
      <c r="C74" s="25" t="str">
        <f>IF(B74="","",IFERROR(VLOOKUP(B74,DB_Customers!$A:$D,4,0),"❌ Account Not Found"))</f>
        <v/>
      </c>
      <c r="D74" s="90" t="str">
        <f t="shared" ca="1" si="5"/>
        <v/>
      </c>
      <c r="E74" s="104"/>
      <c r="F74" s="25"/>
      <c r="G74" s="105"/>
      <c r="H74" s="106"/>
      <c r="I74" s="107" t="str">
        <f t="shared" si="6"/>
        <v/>
      </c>
      <c r="J74" s="108" t="str">
        <f t="shared" si="7"/>
        <v/>
      </c>
      <c r="K74" s="109" t="str">
        <f>IF(B74="","Pending",IF(M74="","⚠️ Enter Code",IF(IFERROR(VLOOKUP(L74,DB_Agents!$B:$I,8,0),"")=M74,"Pending","🔒 BLOCKED — Wrong Code")))</f>
        <v>Pending</v>
      </c>
      <c r="L74" s="27"/>
      <c r="M74" s="84"/>
      <c r="N74" s="94"/>
    </row>
    <row r="75" spans="1:14" x14ac:dyDescent="0.25">
      <c r="A75" s="85" t="str">
        <f t="shared" si="4"/>
        <v/>
      </c>
      <c r="B75" s="79"/>
      <c r="C75" s="21" t="str">
        <f>IF(B75="","",IFERROR(VLOOKUP(B75,DB_Customers!$A:$D,4,0),"❌ Account Not Found"))</f>
        <v/>
      </c>
      <c r="D75" s="81" t="str">
        <f t="shared" ca="1" si="5"/>
        <v/>
      </c>
      <c r="E75" s="104"/>
      <c r="F75" s="21"/>
      <c r="G75" s="110"/>
      <c r="H75" s="111"/>
      <c r="I75" s="107" t="str">
        <f t="shared" si="6"/>
        <v/>
      </c>
      <c r="J75" s="112" t="str">
        <f t="shared" si="7"/>
        <v/>
      </c>
      <c r="K75" s="113" t="str">
        <f>IF(B75="","Pending",IF(M75="","⚠️ Enter Code",IF(IFERROR(VLOOKUP(L75,DB_Agents!$B:$I,8,0),"")=M75,"Pending","🔒 BLOCKED — Wrong Code")))</f>
        <v>Pending</v>
      </c>
      <c r="L75" s="23"/>
      <c r="M75" s="84"/>
      <c r="N75" s="87"/>
    </row>
    <row r="76" spans="1:14" x14ac:dyDescent="0.25">
      <c r="A76" s="92" t="str">
        <f t="shared" si="4"/>
        <v/>
      </c>
      <c r="B76" s="88"/>
      <c r="C76" s="25" t="str">
        <f>IF(B76="","",IFERROR(VLOOKUP(B76,DB_Customers!$A:$D,4,0),"❌ Account Not Found"))</f>
        <v/>
      </c>
      <c r="D76" s="90" t="str">
        <f t="shared" ca="1" si="5"/>
        <v/>
      </c>
      <c r="E76" s="104"/>
      <c r="F76" s="25"/>
      <c r="G76" s="105"/>
      <c r="H76" s="106"/>
      <c r="I76" s="107" t="str">
        <f t="shared" si="6"/>
        <v/>
      </c>
      <c r="J76" s="108" t="str">
        <f t="shared" si="7"/>
        <v/>
      </c>
      <c r="K76" s="109" t="str">
        <f>IF(B76="","Pending",IF(M76="","⚠️ Enter Code",IF(IFERROR(VLOOKUP(L76,DB_Agents!$B:$I,8,0),"")=M76,"Pending","🔒 BLOCKED — Wrong Code")))</f>
        <v>Pending</v>
      </c>
      <c r="L76" s="27"/>
      <c r="M76" s="84"/>
      <c r="N76" s="94"/>
    </row>
    <row r="77" spans="1:14" x14ac:dyDescent="0.25">
      <c r="A77" s="85" t="str">
        <f t="shared" si="4"/>
        <v/>
      </c>
      <c r="B77" s="79"/>
      <c r="C77" s="21" t="str">
        <f>IF(B77="","",IFERROR(VLOOKUP(B77,DB_Customers!$A:$D,4,0),"❌ Account Not Found"))</f>
        <v/>
      </c>
      <c r="D77" s="81" t="str">
        <f t="shared" ca="1" si="5"/>
        <v/>
      </c>
      <c r="E77" s="104"/>
      <c r="F77" s="21"/>
      <c r="G77" s="110"/>
      <c r="H77" s="111"/>
      <c r="I77" s="107" t="str">
        <f t="shared" si="6"/>
        <v/>
      </c>
      <c r="J77" s="112" t="str">
        <f t="shared" si="7"/>
        <v/>
      </c>
      <c r="K77" s="113" t="str">
        <f>IF(B77="","Pending",IF(M77="","⚠️ Enter Code",IF(IFERROR(VLOOKUP(L77,DB_Agents!$B:$I,8,0),"")=M77,"Pending","🔒 BLOCKED — Wrong Code")))</f>
        <v>Pending</v>
      </c>
      <c r="L77" s="23"/>
      <c r="M77" s="84"/>
      <c r="N77" s="87"/>
    </row>
    <row r="78" spans="1:14" x14ac:dyDescent="0.25">
      <c r="A78" s="92" t="str">
        <f t="shared" ref="A78:A109" si="8">IF(B78="","",IF(C78="❌ Account Not Found","INVALID","LN"&amp;TEXT(D78,"YYYYMMDD")&amp;TEXT(ROW()-13,"0000")))</f>
        <v/>
      </c>
      <c r="B78" s="88"/>
      <c r="C78" s="25" t="str">
        <f>IF(B78="","",IFERROR(VLOOKUP(B78,DB_Customers!$A:$D,4,0),"❌ Account Not Found"))</f>
        <v/>
      </c>
      <c r="D78" s="90" t="str">
        <f t="shared" ref="D78:D113" ca="1" si="9">IF(B78="","",TODAY())</f>
        <v/>
      </c>
      <c r="E78" s="104"/>
      <c r="F78" s="25"/>
      <c r="G78" s="105"/>
      <c r="H78" s="106"/>
      <c r="I78" s="107" t="str">
        <f t="shared" ref="I78:I109" si="10">IF(E78="","",E78+(E78*H78/100*G78))</f>
        <v/>
      </c>
      <c r="J78" s="108" t="str">
        <f t="shared" ref="J78:J109" si="11">IFERROR(I78/G78,"")</f>
        <v/>
      </c>
      <c r="K78" s="109" t="str">
        <f>IF(B78="","Pending",IF(M78="","⚠️ Enter Code",IF(IFERROR(VLOOKUP(L78,DB_Agents!$B:$I,8,0),"")=M78,"Pending","🔒 BLOCKED — Wrong Code")))</f>
        <v>Pending</v>
      </c>
      <c r="L78" s="27"/>
      <c r="M78" s="84"/>
      <c r="N78" s="94"/>
    </row>
    <row r="79" spans="1:14" x14ac:dyDescent="0.25">
      <c r="A79" s="85" t="str">
        <f t="shared" si="8"/>
        <v/>
      </c>
      <c r="B79" s="79"/>
      <c r="C79" s="21" t="str">
        <f>IF(B79="","",IFERROR(VLOOKUP(B79,DB_Customers!$A:$D,4,0),"❌ Account Not Found"))</f>
        <v/>
      </c>
      <c r="D79" s="81" t="str">
        <f t="shared" ca="1" si="9"/>
        <v/>
      </c>
      <c r="E79" s="104"/>
      <c r="F79" s="21"/>
      <c r="G79" s="110"/>
      <c r="H79" s="111"/>
      <c r="I79" s="107" t="str">
        <f t="shared" si="10"/>
        <v/>
      </c>
      <c r="J79" s="112" t="str">
        <f t="shared" si="11"/>
        <v/>
      </c>
      <c r="K79" s="113" t="str">
        <f>IF(B79="","Pending",IF(M79="","⚠️ Enter Code",IF(IFERROR(VLOOKUP(L79,DB_Agents!$B:$I,8,0),"")=M79,"Pending","🔒 BLOCKED — Wrong Code")))</f>
        <v>Pending</v>
      </c>
      <c r="L79" s="23"/>
      <c r="M79" s="84"/>
      <c r="N79" s="87"/>
    </row>
    <row r="80" spans="1:14" x14ac:dyDescent="0.25">
      <c r="A80" s="92" t="str">
        <f t="shared" si="8"/>
        <v/>
      </c>
      <c r="B80" s="88"/>
      <c r="C80" s="25" t="str">
        <f>IF(B80="","",IFERROR(VLOOKUP(B80,DB_Customers!$A:$D,4,0),"❌ Account Not Found"))</f>
        <v/>
      </c>
      <c r="D80" s="90" t="str">
        <f t="shared" ca="1" si="9"/>
        <v/>
      </c>
      <c r="E80" s="104"/>
      <c r="F80" s="25"/>
      <c r="G80" s="105"/>
      <c r="H80" s="106"/>
      <c r="I80" s="107" t="str">
        <f t="shared" si="10"/>
        <v/>
      </c>
      <c r="J80" s="108" t="str">
        <f t="shared" si="11"/>
        <v/>
      </c>
      <c r="K80" s="109" t="str">
        <f>IF(B80="","Pending",IF(M80="","⚠️ Enter Code",IF(IFERROR(VLOOKUP(L80,DB_Agents!$B:$I,8,0),"")=M80,"Pending","🔒 BLOCKED — Wrong Code")))</f>
        <v>Pending</v>
      </c>
      <c r="L80" s="27"/>
      <c r="M80" s="84"/>
      <c r="N80" s="94"/>
    </row>
    <row r="81" spans="1:14" x14ac:dyDescent="0.25">
      <c r="A81" s="85" t="str">
        <f t="shared" si="8"/>
        <v/>
      </c>
      <c r="B81" s="79"/>
      <c r="C81" s="21" t="str">
        <f>IF(B81="","",IFERROR(VLOOKUP(B81,DB_Customers!$A:$D,4,0),"❌ Account Not Found"))</f>
        <v/>
      </c>
      <c r="D81" s="81" t="str">
        <f t="shared" ca="1" si="9"/>
        <v/>
      </c>
      <c r="E81" s="104"/>
      <c r="F81" s="21"/>
      <c r="G81" s="110"/>
      <c r="H81" s="111"/>
      <c r="I81" s="107" t="str">
        <f t="shared" si="10"/>
        <v/>
      </c>
      <c r="J81" s="112" t="str">
        <f t="shared" si="11"/>
        <v/>
      </c>
      <c r="K81" s="113" t="str">
        <f>IF(B81="","Pending",IF(M81="","⚠️ Enter Code",IF(IFERROR(VLOOKUP(L81,DB_Agents!$B:$I,8,0),"")=M81,"Pending","🔒 BLOCKED — Wrong Code")))</f>
        <v>Pending</v>
      </c>
      <c r="L81" s="23"/>
      <c r="M81" s="84"/>
      <c r="N81" s="87"/>
    </row>
    <row r="82" spans="1:14" x14ac:dyDescent="0.25">
      <c r="A82" s="92" t="str">
        <f t="shared" si="8"/>
        <v/>
      </c>
      <c r="B82" s="88"/>
      <c r="C82" s="25" t="str">
        <f>IF(B82="","",IFERROR(VLOOKUP(B82,DB_Customers!$A:$D,4,0),"❌ Account Not Found"))</f>
        <v/>
      </c>
      <c r="D82" s="90" t="str">
        <f t="shared" ca="1" si="9"/>
        <v/>
      </c>
      <c r="E82" s="104"/>
      <c r="F82" s="25"/>
      <c r="G82" s="105"/>
      <c r="H82" s="106"/>
      <c r="I82" s="107" t="str">
        <f t="shared" si="10"/>
        <v/>
      </c>
      <c r="J82" s="108" t="str">
        <f t="shared" si="11"/>
        <v/>
      </c>
      <c r="K82" s="109" t="str">
        <f>IF(B82="","Pending",IF(M82="","⚠️ Enter Code",IF(IFERROR(VLOOKUP(L82,DB_Agents!$B:$I,8,0),"")=M82,"Pending","🔒 BLOCKED — Wrong Code")))</f>
        <v>Pending</v>
      </c>
      <c r="L82" s="27"/>
      <c r="M82" s="84"/>
      <c r="N82" s="94"/>
    </row>
    <row r="83" spans="1:14" x14ac:dyDescent="0.25">
      <c r="A83" s="85" t="str">
        <f t="shared" si="8"/>
        <v/>
      </c>
      <c r="B83" s="79"/>
      <c r="C83" s="21" t="str">
        <f>IF(B83="","",IFERROR(VLOOKUP(B83,DB_Customers!$A:$D,4,0),"❌ Account Not Found"))</f>
        <v/>
      </c>
      <c r="D83" s="81" t="str">
        <f t="shared" ca="1" si="9"/>
        <v/>
      </c>
      <c r="E83" s="104"/>
      <c r="F83" s="21"/>
      <c r="G83" s="110"/>
      <c r="H83" s="111"/>
      <c r="I83" s="107" t="str">
        <f t="shared" si="10"/>
        <v/>
      </c>
      <c r="J83" s="112" t="str">
        <f t="shared" si="11"/>
        <v/>
      </c>
      <c r="K83" s="113" t="str">
        <f>IF(B83="","Pending",IF(M83="","⚠️ Enter Code",IF(IFERROR(VLOOKUP(L83,DB_Agents!$B:$I,8,0),"")=M83,"Pending","🔒 BLOCKED — Wrong Code")))</f>
        <v>Pending</v>
      </c>
      <c r="L83" s="23"/>
      <c r="M83" s="84"/>
      <c r="N83" s="87"/>
    </row>
    <row r="84" spans="1:14" x14ac:dyDescent="0.25">
      <c r="A84" s="92" t="str">
        <f t="shared" si="8"/>
        <v/>
      </c>
      <c r="B84" s="88"/>
      <c r="C84" s="25" t="str">
        <f>IF(B84="","",IFERROR(VLOOKUP(B84,DB_Customers!$A:$D,4,0),"❌ Account Not Found"))</f>
        <v/>
      </c>
      <c r="D84" s="90" t="str">
        <f t="shared" ca="1" si="9"/>
        <v/>
      </c>
      <c r="E84" s="104"/>
      <c r="F84" s="25"/>
      <c r="G84" s="105"/>
      <c r="H84" s="106"/>
      <c r="I84" s="107" t="str">
        <f t="shared" si="10"/>
        <v/>
      </c>
      <c r="J84" s="108" t="str">
        <f t="shared" si="11"/>
        <v/>
      </c>
      <c r="K84" s="109" t="str">
        <f>IF(B84="","Pending",IF(M84="","⚠️ Enter Code",IF(IFERROR(VLOOKUP(L84,DB_Agents!$B:$I,8,0),"")=M84,"Pending","🔒 BLOCKED — Wrong Code")))</f>
        <v>Pending</v>
      </c>
      <c r="L84" s="27"/>
      <c r="M84" s="84"/>
      <c r="N84" s="94"/>
    </row>
    <row r="85" spans="1:14" x14ac:dyDescent="0.25">
      <c r="A85" s="85" t="str">
        <f t="shared" si="8"/>
        <v/>
      </c>
      <c r="B85" s="79"/>
      <c r="C85" s="21" t="str">
        <f>IF(B85="","",IFERROR(VLOOKUP(B85,DB_Customers!$A:$D,4,0),"❌ Account Not Found"))</f>
        <v/>
      </c>
      <c r="D85" s="81" t="str">
        <f t="shared" ca="1" si="9"/>
        <v/>
      </c>
      <c r="E85" s="104"/>
      <c r="F85" s="21"/>
      <c r="G85" s="110"/>
      <c r="H85" s="111"/>
      <c r="I85" s="107" t="str">
        <f t="shared" si="10"/>
        <v/>
      </c>
      <c r="J85" s="112" t="str">
        <f t="shared" si="11"/>
        <v/>
      </c>
      <c r="K85" s="113" t="str">
        <f>IF(B85="","Pending",IF(M85="","⚠️ Enter Code",IF(IFERROR(VLOOKUP(L85,DB_Agents!$B:$I,8,0),"")=M85,"Pending","🔒 BLOCKED — Wrong Code")))</f>
        <v>Pending</v>
      </c>
      <c r="L85" s="23"/>
      <c r="M85" s="84"/>
      <c r="N85" s="87"/>
    </row>
    <row r="86" spans="1:14" x14ac:dyDescent="0.25">
      <c r="A86" s="92" t="str">
        <f t="shared" si="8"/>
        <v/>
      </c>
      <c r="B86" s="88"/>
      <c r="C86" s="25" t="str">
        <f>IF(B86="","",IFERROR(VLOOKUP(B86,DB_Customers!$A:$D,4,0),"❌ Account Not Found"))</f>
        <v/>
      </c>
      <c r="D86" s="90" t="str">
        <f t="shared" ca="1" si="9"/>
        <v/>
      </c>
      <c r="E86" s="104"/>
      <c r="F86" s="25"/>
      <c r="G86" s="105"/>
      <c r="H86" s="106"/>
      <c r="I86" s="107" t="str">
        <f t="shared" si="10"/>
        <v/>
      </c>
      <c r="J86" s="108" t="str">
        <f t="shared" si="11"/>
        <v/>
      </c>
      <c r="K86" s="109" t="str">
        <f>IF(B86="","Pending",IF(M86="","⚠️ Enter Code",IF(IFERROR(VLOOKUP(L86,DB_Agents!$B:$I,8,0),"")=M86,"Pending","🔒 BLOCKED — Wrong Code")))</f>
        <v>Pending</v>
      </c>
      <c r="L86" s="27"/>
      <c r="M86" s="84"/>
      <c r="N86" s="94"/>
    </row>
    <row r="87" spans="1:14" x14ac:dyDescent="0.25">
      <c r="A87" s="85" t="str">
        <f t="shared" si="8"/>
        <v/>
      </c>
      <c r="B87" s="79"/>
      <c r="C87" s="21" t="str">
        <f>IF(B87="","",IFERROR(VLOOKUP(B87,DB_Customers!$A:$D,4,0),"❌ Account Not Found"))</f>
        <v/>
      </c>
      <c r="D87" s="81" t="str">
        <f t="shared" ca="1" si="9"/>
        <v/>
      </c>
      <c r="E87" s="104"/>
      <c r="F87" s="21"/>
      <c r="G87" s="110"/>
      <c r="H87" s="111"/>
      <c r="I87" s="107" t="str">
        <f t="shared" si="10"/>
        <v/>
      </c>
      <c r="J87" s="112" t="str">
        <f t="shared" si="11"/>
        <v/>
      </c>
      <c r="K87" s="113" t="str">
        <f>IF(B87="","Pending",IF(M87="","⚠️ Enter Code",IF(IFERROR(VLOOKUP(L87,DB_Agents!$B:$I,8,0),"")=M87,"Pending","🔒 BLOCKED — Wrong Code")))</f>
        <v>Pending</v>
      </c>
      <c r="L87" s="23"/>
      <c r="M87" s="84"/>
      <c r="N87" s="87"/>
    </row>
    <row r="88" spans="1:14" x14ac:dyDescent="0.25">
      <c r="A88" s="92" t="str">
        <f t="shared" si="8"/>
        <v/>
      </c>
      <c r="B88" s="88"/>
      <c r="C88" s="25" t="str">
        <f>IF(B88="","",IFERROR(VLOOKUP(B88,DB_Customers!$A:$D,4,0),"❌ Account Not Found"))</f>
        <v/>
      </c>
      <c r="D88" s="90" t="str">
        <f t="shared" ca="1" si="9"/>
        <v/>
      </c>
      <c r="E88" s="104"/>
      <c r="F88" s="25"/>
      <c r="G88" s="105"/>
      <c r="H88" s="106"/>
      <c r="I88" s="107" t="str">
        <f t="shared" si="10"/>
        <v/>
      </c>
      <c r="J88" s="108" t="str">
        <f t="shared" si="11"/>
        <v/>
      </c>
      <c r="K88" s="109" t="str">
        <f>IF(B88="","Pending",IF(M88="","⚠️ Enter Code",IF(IFERROR(VLOOKUP(L88,DB_Agents!$B:$I,8,0),"")=M88,"Pending","🔒 BLOCKED — Wrong Code")))</f>
        <v>Pending</v>
      </c>
      <c r="L88" s="27"/>
      <c r="M88" s="84"/>
      <c r="N88" s="94"/>
    </row>
    <row r="89" spans="1:14" x14ac:dyDescent="0.25">
      <c r="A89" s="85" t="str">
        <f t="shared" si="8"/>
        <v/>
      </c>
      <c r="B89" s="79"/>
      <c r="C89" s="21" t="str">
        <f>IF(B89="","",IFERROR(VLOOKUP(B89,DB_Customers!$A:$D,4,0),"❌ Account Not Found"))</f>
        <v/>
      </c>
      <c r="D89" s="81" t="str">
        <f t="shared" ca="1" si="9"/>
        <v/>
      </c>
      <c r="E89" s="104"/>
      <c r="F89" s="21"/>
      <c r="G89" s="110"/>
      <c r="H89" s="111"/>
      <c r="I89" s="107" t="str">
        <f t="shared" si="10"/>
        <v/>
      </c>
      <c r="J89" s="112" t="str">
        <f t="shared" si="11"/>
        <v/>
      </c>
      <c r="K89" s="113" t="str">
        <f>IF(B89="","Pending",IF(M89="","⚠️ Enter Code",IF(IFERROR(VLOOKUP(L89,DB_Agents!$B:$I,8,0),"")=M89,"Pending","🔒 BLOCKED — Wrong Code")))</f>
        <v>Pending</v>
      </c>
      <c r="L89" s="23"/>
      <c r="M89" s="84"/>
      <c r="N89" s="87"/>
    </row>
    <row r="90" spans="1:14" x14ac:dyDescent="0.25">
      <c r="A90" s="92" t="str">
        <f t="shared" si="8"/>
        <v/>
      </c>
      <c r="B90" s="88"/>
      <c r="C90" s="25" t="str">
        <f>IF(B90="","",IFERROR(VLOOKUP(B90,DB_Customers!$A:$D,4,0),"❌ Account Not Found"))</f>
        <v/>
      </c>
      <c r="D90" s="90" t="str">
        <f t="shared" ca="1" si="9"/>
        <v/>
      </c>
      <c r="E90" s="104"/>
      <c r="F90" s="25"/>
      <c r="G90" s="105"/>
      <c r="H90" s="106"/>
      <c r="I90" s="107" t="str">
        <f t="shared" si="10"/>
        <v/>
      </c>
      <c r="J90" s="108" t="str">
        <f t="shared" si="11"/>
        <v/>
      </c>
      <c r="K90" s="109" t="str">
        <f>IF(B90="","Pending",IF(M90="","⚠️ Enter Code",IF(IFERROR(VLOOKUP(L90,DB_Agents!$B:$I,8,0),"")=M90,"Pending","🔒 BLOCKED — Wrong Code")))</f>
        <v>Pending</v>
      </c>
      <c r="L90" s="27"/>
      <c r="M90" s="84"/>
      <c r="N90" s="94"/>
    </row>
    <row r="91" spans="1:14" x14ac:dyDescent="0.25">
      <c r="A91" s="85" t="str">
        <f t="shared" si="8"/>
        <v/>
      </c>
      <c r="B91" s="79"/>
      <c r="C91" s="21" t="str">
        <f>IF(B91="","",IFERROR(VLOOKUP(B91,DB_Customers!$A:$D,4,0),"❌ Account Not Found"))</f>
        <v/>
      </c>
      <c r="D91" s="81" t="str">
        <f t="shared" ca="1" si="9"/>
        <v/>
      </c>
      <c r="E91" s="104"/>
      <c r="F91" s="21"/>
      <c r="G91" s="110"/>
      <c r="H91" s="111"/>
      <c r="I91" s="107" t="str">
        <f t="shared" si="10"/>
        <v/>
      </c>
      <c r="J91" s="112" t="str">
        <f t="shared" si="11"/>
        <v/>
      </c>
      <c r="K91" s="113" t="str">
        <f>IF(B91="","Pending",IF(M91="","⚠️ Enter Code",IF(IFERROR(VLOOKUP(L91,DB_Agents!$B:$I,8,0),"")=M91,"Pending","🔒 BLOCKED — Wrong Code")))</f>
        <v>Pending</v>
      </c>
      <c r="L91" s="23"/>
      <c r="M91" s="84"/>
      <c r="N91" s="87"/>
    </row>
    <row r="92" spans="1:14" x14ac:dyDescent="0.25">
      <c r="A92" s="92" t="str">
        <f t="shared" si="8"/>
        <v/>
      </c>
      <c r="B92" s="88"/>
      <c r="C92" s="25" t="str">
        <f>IF(B92="","",IFERROR(VLOOKUP(B92,DB_Customers!$A:$D,4,0),"❌ Account Not Found"))</f>
        <v/>
      </c>
      <c r="D92" s="90" t="str">
        <f t="shared" ca="1" si="9"/>
        <v/>
      </c>
      <c r="E92" s="104"/>
      <c r="F92" s="25"/>
      <c r="G92" s="105"/>
      <c r="H92" s="106"/>
      <c r="I92" s="107" t="str">
        <f t="shared" si="10"/>
        <v/>
      </c>
      <c r="J92" s="108" t="str">
        <f t="shared" si="11"/>
        <v/>
      </c>
      <c r="K92" s="109" t="str">
        <f>IF(B92="","Pending",IF(M92="","⚠️ Enter Code",IF(IFERROR(VLOOKUP(L92,DB_Agents!$B:$I,8,0),"")=M92,"Pending","🔒 BLOCKED — Wrong Code")))</f>
        <v>Pending</v>
      </c>
      <c r="L92" s="27"/>
      <c r="M92" s="84"/>
      <c r="N92" s="94"/>
    </row>
    <row r="93" spans="1:14" x14ac:dyDescent="0.25">
      <c r="A93" s="85" t="str">
        <f t="shared" si="8"/>
        <v/>
      </c>
      <c r="B93" s="79"/>
      <c r="C93" s="21" t="str">
        <f>IF(B93="","",IFERROR(VLOOKUP(B93,DB_Customers!$A:$D,4,0),"❌ Account Not Found"))</f>
        <v/>
      </c>
      <c r="D93" s="81" t="str">
        <f t="shared" ca="1" si="9"/>
        <v/>
      </c>
      <c r="E93" s="104"/>
      <c r="F93" s="21"/>
      <c r="G93" s="110"/>
      <c r="H93" s="111"/>
      <c r="I93" s="107" t="str">
        <f t="shared" si="10"/>
        <v/>
      </c>
      <c r="J93" s="112" t="str">
        <f t="shared" si="11"/>
        <v/>
      </c>
      <c r="K93" s="113" t="str">
        <f>IF(B93="","Pending",IF(M93="","⚠️ Enter Code",IF(IFERROR(VLOOKUP(L93,DB_Agents!$B:$I,8,0),"")=M93,"Pending","🔒 BLOCKED — Wrong Code")))</f>
        <v>Pending</v>
      </c>
      <c r="L93" s="23"/>
      <c r="M93" s="84"/>
      <c r="N93" s="87"/>
    </row>
    <row r="94" spans="1:14" x14ac:dyDescent="0.25">
      <c r="A94" s="92" t="str">
        <f t="shared" si="8"/>
        <v/>
      </c>
      <c r="B94" s="88"/>
      <c r="C94" s="25" t="str">
        <f>IF(B94="","",IFERROR(VLOOKUP(B94,DB_Customers!$A:$D,4,0),"❌ Account Not Found"))</f>
        <v/>
      </c>
      <c r="D94" s="90" t="str">
        <f t="shared" ca="1" si="9"/>
        <v/>
      </c>
      <c r="E94" s="104"/>
      <c r="F94" s="25"/>
      <c r="G94" s="105"/>
      <c r="H94" s="106"/>
      <c r="I94" s="107" t="str">
        <f t="shared" si="10"/>
        <v/>
      </c>
      <c r="J94" s="108" t="str">
        <f t="shared" si="11"/>
        <v/>
      </c>
      <c r="K94" s="109" t="str">
        <f>IF(B94="","Pending",IF(M94="","⚠️ Enter Code",IF(IFERROR(VLOOKUP(L94,DB_Agents!$B:$I,8,0),"")=M94,"Pending","🔒 BLOCKED — Wrong Code")))</f>
        <v>Pending</v>
      </c>
      <c r="L94" s="27"/>
      <c r="M94" s="84"/>
      <c r="N94" s="94"/>
    </row>
    <row r="95" spans="1:14" x14ac:dyDescent="0.25">
      <c r="A95" s="85" t="str">
        <f t="shared" si="8"/>
        <v/>
      </c>
      <c r="B95" s="79"/>
      <c r="C95" s="21" t="str">
        <f>IF(B95="","",IFERROR(VLOOKUP(B95,DB_Customers!$A:$D,4,0),"❌ Account Not Found"))</f>
        <v/>
      </c>
      <c r="D95" s="81" t="str">
        <f t="shared" ca="1" si="9"/>
        <v/>
      </c>
      <c r="E95" s="104"/>
      <c r="F95" s="21"/>
      <c r="G95" s="110"/>
      <c r="H95" s="111"/>
      <c r="I95" s="107" t="str">
        <f t="shared" si="10"/>
        <v/>
      </c>
      <c r="J95" s="112" t="str">
        <f t="shared" si="11"/>
        <v/>
      </c>
      <c r="K95" s="113" t="str">
        <f>IF(B95="","Pending",IF(M95="","⚠️ Enter Code",IF(IFERROR(VLOOKUP(L95,DB_Agents!$B:$I,8,0),"")=M95,"Pending","🔒 BLOCKED — Wrong Code")))</f>
        <v>Pending</v>
      </c>
      <c r="L95" s="23"/>
      <c r="M95" s="84"/>
      <c r="N95" s="87"/>
    </row>
    <row r="96" spans="1:14" x14ac:dyDescent="0.25">
      <c r="A96" s="92" t="str">
        <f t="shared" si="8"/>
        <v/>
      </c>
      <c r="B96" s="88"/>
      <c r="C96" s="25" t="str">
        <f>IF(B96="","",IFERROR(VLOOKUP(B96,DB_Customers!$A:$D,4,0),"❌ Account Not Found"))</f>
        <v/>
      </c>
      <c r="D96" s="90" t="str">
        <f t="shared" ca="1" si="9"/>
        <v/>
      </c>
      <c r="E96" s="104"/>
      <c r="F96" s="25"/>
      <c r="G96" s="105"/>
      <c r="H96" s="106"/>
      <c r="I96" s="107" t="str">
        <f t="shared" si="10"/>
        <v/>
      </c>
      <c r="J96" s="108" t="str">
        <f t="shared" si="11"/>
        <v/>
      </c>
      <c r="K96" s="109" t="str">
        <f>IF(B96="","Pending",IF(M96="","⚠️ Enter Code",IF(IFERROR(VLOOKUP(L96,DB_Agents!$B:$I,8,0),"")=M96,"Pending","🔒 BLOCKED — Wrong Code")))</f>
        <v>Pending</v>
      </c>
      <c r="L96" s="27"/>
      <c r="M96" s="84"/>
      <c r="N96" s="94"/>
    </row>
    <row r="97" spans="1:14" x14ac:dyDescent="0.25">
      <c r="A97" s="85" t="str">
        <f t="shared" si="8"/>
        <v/>
      </c>
      <c r="B97" s="79"/>
      <c r="C97" s="21" t="str">
        <f>IF(B97="","",IFERROR(VLOOKUP(B97,DB_Customers!$A:$D,4,0),"❌ Account Not Found"))</f>
        <v/>
      </c>
      <c r="D97" s="81" t="str">
        <f t="shared" ca="1" si="9"/>
        <v/>
      </c>
      <c r="E97" s="104"/>
      <c r="F97" s="21"/>
      <c r="G97" s="110"/>
      <c r="H97" s="111"/>
      <c r="I97" s="107" t="str">
        <f t="shared" si="10"/>
        <v/>
      </c>
      <c r="J97" s="112" t="str">
        <f t="shared" si="11"/>
        <v/>
      </c>
      <c r="K97" s="113" t="str">
        <f>IF(B97="","Pending",IF(M97="","⚠️ Enter Code",IF(IFERROR(VLOOKUP(L97,DB_Agents!$B:$I,8,0),"")=M97,"Pending","🔒 BLOCKED — Wrong Code")))</f>
        <v>Pending</v>
      </c>
      <c r="L97" s="23"/>
      <c r="M97" s="84"/>
      <c r="N97" s="87"/>
    </row>
    <row r="98" spans="1:14" x14ac:dyDescent="0.25">
      <c r="A98" s="92" t="str">
        <f t="shared" si="8"/>
        <v/>
      </c>
      <c r="B98" s="88"/>
      <c r="C98" s="25" t="str">
        <f>IF(B98="","",IFERROR(VLOOKUP(B98,DB_Customers!$A:$D,4,0),"❌ Account Not Found"))</f>
        <v/>
      </c>
      <c r="D98" s="90" t="str">
        <f t="shared" ca="1" si="9"/>
        <v/>
      </c>
      <c r="E98" s="104"/>
      <c r="F98" s="25"/>
      <c r="G98" s="105"/>
      <c r="H98" s="106"/>
      <c r="I98" s="107" t="str">
        <f t="shared" si="10"/>
        <v/>
      </c>
      <c r="J98" s="108" t="str">
        <f t="shared" si="11"/>
        <v/>
      </c>
      <c r="K98" s="109" t="str">
        <f>IF(B98="","Pending",IF(M98="","⚠️ Enter Code",IF(IFERROR(VLOOKUP(L98,DB_Agents!$B:$I,8,0),"")=M98,"Pending","🔒 BLOCKED — Wrong Code")))</f>
        <v>Pending</v>
      </c>
      <c r="L98" s="27"/>
      <c r="M98" s="84"/>
      <c r="N98" s="94"/>
    </row>
    <row r="99" spans="1:14" x14ac:dyDescent="0.25">
      <c r="A99" s="85" t="str">
        <f t="shared" si="8"/>
        <v/>
      </c>
      <c r="B99" s="79"/>
      <c r="C99" s="21" t="str">
        <f>IF(B99="","",IFERROR(VLOOKUP(B99,DB_Customers!$A:$D,4,0),"❌ Account Not Found"))</f>
        <v/>
      </c>
      <c r="D99" s="81" t="str">
        <f t="shared" ca="1" si="9"/>
        <v/>
      </c>
      <c r="E99" s="104"/>
      <c r="F99" s="21"/>
      <c r="G99" s="110"/>
      <c r="H99" s="111"/>
      <c r="I99" s="107" t="str">
        <f t="shared" si="10"/>
        <v/>
      </c>
      <c r="J99" s="112" t="str">
        <f t="shared" si="11"/>
        <v/>
      </c>
      <c r="K99" s="113" t="str">
        <f>IF(B99="","Pending",IF(M99="","⚠️ Enter Code",IF(IFERROR(VLOOKUP(L99,DB_Agents!$B:$I,8,0),"")=M99,"Pending","🔒 BLOCKED — Wrong Code")))</f>
        <v>Pending</v>
      </c>
      <c r="L99" s="23"/>
      <c r="M99" s="84"/>
      <c r="N99" s="87"/>
    </row>
    <row r="100" spans="1:14" x14ac:dyDescent="0.25">
      <c r="A100" s="92" t="str">
        <f t="shared" si="8"/>
        <v/>
      </c>
      <c r="B100" s="88"/>
      <c r="C100" s="25" t="str">
        <f>IF(B100="","",IFERROR(VLOOKUP(B100,DB_Customers!$A:$D,4,0),"❌ Account Not Found"))</f>
        <v/>
      </c>
      <c r="D100" s="90" t="str">
        <f t="shared" ca="1" si="9"/>
        <v/>
      </c>
      <c r="E100" s="104"/>
      <c r="F100" s="25"/>
      <c r="G100" s="105"/>
      <c r="H100" s="106"/>
      <c r="I100" s="107" t="str">
        <f t="shared" si="10"/>
        <v/>
      </c>
      <c r="J100" s="108" t="str">
        <f t="shared" si="11"/>
        <v/>
      </c>
      <c r="K100" s="109" t="str">
        <f>IF(B100="","Pending",IF(M100="","⚠️ Enter Code",IF(IFERROR(VLOOKUP(L100,DB_Agents!$B:$I,8,0),"")=M100,"Pending","🔒 BLOCKED — Wrong Code")))</f>
        <v>Pending</v>
      </c>
      <c r="L100" s="27"/>
      <c r="M100" s="84"/>
      <c r="N100" s="94"/>
    </row>
    <row r="101" spans="1:14" x14ac:dyDescent="0.25">
      <c r="A101" s="85" t="str">
        <f t="shared" si="8"/>
        <v/>
      </c>
      <c r="B101" s="79"/>
      <c r="C101" s="21" t="str">
        <f>IF(B101="","",IFERROR(VLOOKUP(B101,DB_Customers!$A:$D,4,0),"❌ Account Not Found"))</f>
        <v/>
      </c>
      <c r="D101" s="81" t="str">
        <f t="shared" ca="1" si="9"/>
        <v/>
      </c>
      <c r="E101" s="104"/>
      <c r="F101" s="21"/>
      <c r="G101" s="110"/>
      <c r="H101" s="111"/>
      <c r="I101" s="107" t="str">
        <f t="shared" si="10"/>
        <v/>
      </c>
      <c r="J101" s="112" t="str">
        <f t="shared" si="11"/>
        <v/>
      </c>
      <c r="K101" s="113" t="str">
        <f>IF(B101="","Pending",IF(M101="","⚠️ Enter Code",IF(IFERROR(VLOOKUP(L101,DB_Agents!$B:$I,8,0),"")=M101,"Pending","🔒 BLOCKED — Wrong Code")))</f>
        <v>Pending</v>
      </c>
      <c r="L101" s="23"/>
      <c r="M101" s="84"/>
      <c r="N101" s="87"/>
    </row>
    <row r="102" spans="1:14" x14ac:dyDescent="0.25">
      <c r="A102" s="92" t="str">
        <f t="shared" si="8"/>
        <v/>
      </c>
      <c r="B102" s="88"/>
      <c r="C102" s="25" t="str">
        <f>IF(B102="","",IFERROR(VLOOKUP(B102,DB_Customers!$A:$D,4,0),"❌ Account Not Found"))</f>
        <v/>
      </c>
      <c r="D102" s="90" t="str">
        <f t="shared" ca="1" si="9"/>
        <v/>
      </c>
      <c r="E102" s="104"/>
      <c r="F102" s="25"/>
      <c r="G102" s="105"/>
      <c r="H102" s="106"/>
      <c r="I102" s="107" t="str">
        <f t="shared" si="10"/>
        <v/>
      </c>
      <c r="J102" s="108" t="str">
        <f t="shared" si="11"/>
        <v/>
      </c>
      <c r="K102" s="109" t="str">
        <f>IF(B102="","Pending",IF(M102="","⚠️ Enter Code",IF(IFERROR(VLOOKUP(L102,DB_Agents!$B:$I,8,0),"")=M102,"Pending","🔒 BLOCKED — Wrong Code")))</f>
        <v>Pending</v>
      </c>
      <c r="L102" s="27"/>
      <c r="M102" s="84"/>
      <c r="N102" s="94"/>
    </row>
    <row r="103" spans="1:14" x14ac:dyDescent="0.25">
      <c r="A103" s="85" t="str">
        <f t="shared" si="8"/>
        <v/>
      </c>
      <c r="B103" s="79"/>
      <c r="C103" s="21" t="str">
        <f>IF(B103="","",IFERROR(VLOOKUP(B103,DB_Customers!$A:$D,4,0),"❌ Account Not Found"))</f>
        <v/>
      </c>
      <c r="D103" s="81" t="str">
        <f t="shared" ca="1" si="9"/>
        <v/>
      </c>
      <c r="E103" s="104"/>
      <c r="F103" s="21"/>
      <c r="G103" s="110"/>
      <c r="H103" s="111"/>
      <c r="I103" s="107" t="str">
        <f t="shared" si="10"/>
        <v/>
      </c>
      <c r="J103" s="112" t="str">
        <f t="shared" si="11"/>
        <v/>
      </c>
      <c r="K103" s="113" t="str">
        <f>IF(B103="","Pending",IF(M103="","⚠️ Enter Code",IF(IFERROR(VLOOKUP(L103,DB_Agents!$B:$I,8,0),"")=M103,"Pending","🔒 BLOCKED — Wrong Code")))</f>
        <v>Pending</v>
      </c>
      <c r="L103" s="23"/>
      <c r="M103" s="84"/>
      <c r="N103" s="87"/>
    </row>
    <row r="104" spans="1:14" x14ac:dyDescent="0.25">
      <c r="A104" s="92" t="str">
        <f t="shared" si="8"/>
        <v/>
      </c>
      <c r="B104" s="88"/>
      <c r="C104" s="25" t="str">
        <f>IF(B104="","",IFERROR(VLOOKUP(B104,DB_Customers!$A:$D,4,0),"❌ Account Not Found"))</f>
        <v/>
      </c>
      <c r="D104" s="90" t="str">
        <f t="shared" ca="1" si="9"/>
        <v/>
      </c>
      <c r="E104" s="104"/>
      <c r="F104" s="25"/>
      <c r="G104" s="105"/>
      <c r="H104" s="106"/>
      <c r="I104" s="107" t="str">
        <f t="shared" si="10"/>
        <v/>
      </c>
      <c r="J104" s="108" t="str">
        <f t="shared" si="11"/>
        <v/>
      </c>
      <c r="K104" s="109" t="str">
        <f>IF(B104="","Pending",IF(M104="","⚠️ Enter Code",IF(IFERROR(VLOOKUP(L104,DB_Agents!$B:$I,8,0),"")=M104,"Pending","🔒 BLOCKED — Wrong Code")))</f>
        <v>Pending</v>
      </c>
      <c r="L104" s="27"/>
      <c r="M104" s="84"/>
      <c r="N104" s="94"/>
    </row>
    <row r="105" spans="1:14" x14ac:dyDescent="0.25">
      <c r="A105" s="85" t="str">
        <f t="shared" si="8"/>
        <v/>
      </c>
      <c r="B105" s="79"/>
      <c r="C105" s="21" t="str">
        <f>IF(B105="","",IFERROR(VLOOKUP(B105,DB_Customers!$A:$D,4,0),"❌ Account Not Found"))</f>
        <v/>
      </c>
      <c r="D105" s="81" t="str">
        <f t="shared" ca="1" si="9"/>
        <v/>
      </c>
      <c r="E105" s="104"/>
      <c r="F105" s="21"/>
      <c r="G105" s="110"/>
      <c r="H105" s="111"/>
      <c r="I105" s="107" t="str">
        <f t="shared" si="10"/>
        <v/>
      </c>
      <c r="J105" s="112" t="str">
        <f t="shared" si="11"/>
        <v/>
      </c>
      <c r="K105" s="113" t="str">
        <f>IF(B105="","Pending",IF(M105="","⚠️ Enter Code",IF(IFERROR(VLOOKUP(L105,DB_Agents!$B:$I,8,0),"")=M105,"Pending","🔒 BLOCKED — Wrong Code")))</f>
        <v>Pending</v>
      </c>
      <c r="L105" s="23"/>
      <c r="M105" s="84"/>
      <c r="N105" s="87"/>
    </row>
    <row r="106" spans="1:14" x14ac:dyDescent="0.25">
      <c r="A106" s="92" t="str">
        <f t="shared" si="8"/>
        <v/>
      </c>
      <c r="B106" s="88"/>
      <c r="C106" s="25" t="str">
        <f>IF(B106="","",IFERROR(VLOOKUP(B106,DB_Customers!$A:$D,4,0),"❌ Account Not Found"))</f>
        <v/>
      </c>
      <c r="D106" s="90" t="str">
        <f t="shared" ca="1" si="9"/>
        <v/>
      </c>
      <c r="E106" s="104"/>
      <c r="F106" s="25"/>
      <c r="G106" s="105"/>
      <c r="H106" s="106"/>
      <c r="I106" s="107" t="str">
        <f t="shared" si="10"/>
        <v/>
      </c>
      <c r="J106" s="108" t="str">
        <f t="shared" si="11"/>
        <v/>
      </c>
      <c r="K106" s="109" t="str">
        <f>IF(B106="","Pending",IF(M106="","⚠️ Enter Code",IF(IFERROR(VLOOKUP(L106,DB_Agents!$B:$I,8,0),"")=M106,"Pending","🔒 BLOCKED — Wrong Code")))</f>
        <v>Pending</v>
      </c>
      <c r="L106" s="27"/>
      <c r="M106" s="84"/>
      <c r="N106" s="94"/>
    </row>
    <row r="107" spans="1:14" x14ac:dyDescent="0.25">
      <c r="A107" s="85" t="str">
        <f t="shared" si="8"/>
        <v/>
      </c>
      <c r="B107" s="79"/>
      <c r="C107" s="21" t="str">
        <f>IF(B107="","",IFERROR(VLOOKUP(B107,DB_Customers!$A:$D,4,0),"❌ Account Not Found"))</f>
        <v/>
      </c>
      <c r="D107" s="81" t="str">
        <f t="shared" ca="1" si="9"/>
        <v/>
      </c>
      <c r="E107" s="104"/>
      <c r="F107" s="21"/>
      <c r="G107" s="110"/>
      <c r="H107" s="111"/>
      <c r="I107" s="107" t="str">
        <f t="shared" si="10"/>
        <v/>
      </c>
      <c r="J107" s="112" t="str">
        <f t="shared" si="11"/>
        <v/>
      </c>
      <c r="K107" s="113" t="str">
        <f>IF(B107="","Pending",IF(M107="","⚠️ Enter Code",IF(IFERROR(VLOOKUP(L107,DB_Agents!$B:$I,8,0),"")=M107,"Pending","🔒 BLOCKED — Wrong Code")))</f>
        <v>Pending</v>
      </c>
      <c r="L107" s="23"/>
      <c r="M107" s="84"/>
      <c r="N107" s="87"/>
    </row>
    <row r="108" spans="1:14" x14ac:dyDescent="0.25">
      <c r="A108" s="92" t="str">
        <f t="shared" si="8"/>
        <v/>
      </c>
      <c r="B108" s="88"/>
      <c r="C108" s="25" t="str">
        <f>IF(B108="","",IFERROR(VLOOKUP(B108,DB_Customers!$A:$D,4,0),"❌ Account Not Found"))</f>
        <v/>
      </c>
      <c r="D108" s="90" t="str">
        <f t="shared" ca="1" si="9"/>
        <v/>
      </c>
      <c r="E108" s="104"/>
      <c r="F108" s="25"/>
      <c r="G108" s="105"/>
      <c r="H108" s="106"/>
      <c r="I108" s="107" t="str">
        <f t="shared" si="10"/>
        <v/>
      </c>
      <c r="J108" s="108" t="str">
        <f t="shared" si="11"/>
        <v/>
      </c>
      <c r="K108" s="109" t="str">
        <f>IF(B108="","Pending",IF(M108="","⚠️ Enter Code",IF(IFERROR(VLOOKUP(L108,DB_Agents!$B:$I,8,0),"")=M108,"Pending","🔒 BLOCKED — Wrong Code")))</f>
        <v>Pending</v>
      </c>
      <c r="L108" s="27"/>
      <c r="M108" s="84"/>
      <c r="N108" s="94"/>
    </row>
    <row r="109" spans="1:14" x14ac:dyDescent="0.25">
      <c r="A109" s="85" t="str">
        <f t="shared" si="8"/>
        <v/>
      </c>
      <c r="B109" s="79"/>
      <c r="C109" s="21" t="str">
        <f>IF(B109="","",IFERROR(VLOOKUP(B109,DB_Customers!$A:$D,4,0),"❌ Account Not Found"))</f>
        <v/>
      </c>
      <c r="D109" s="81" t="str">
        <f t="shared" ca="1" si="9"/>
        <v/>
      </c>
      <c r="E109" s="104"/>
      <c r="F109" s="21"/>
      <c r="G109" s="110"/>
      <c r="H109" s="111"/>
      <c r="I109" s="107" t="str">
        <f t="shared" si="10"/>
        <v/>
      </c>
      <c r="J109" s="112" t="str">
        <f t="shared" si="11"/>
        <v/>
      </c>
      <c r="K109" s="113" t="str">
        <f>IF(B109="","Pending",IF(M109="","⚠️ Enter Code",IF(IFERROR(VLOOKUP(L109,DB_Agents!$B:$I,8,0),"")=M109,"Pending","🔒 BLOCKED — Wrong Code")))</f>
        <v>Pending</v>
      </c>
      <c r="L109" s="23"/>
      <c r="M109" s="84"/>
      <c r="N109" s="87"/>
    </row>
    <row r="110" spans="1:14" x14ac:dyDescent="0.25">
      <c r="A110" s="92" t="str">
        <f t="shared" ref="A110:A141" si="12">IF(B110="","",IF(C110="❌ Account Not Found","INVALID","LN"&amp;TEXT(D110,"YYYYMMDD")&amp;TEXT(ROW()-13,"0000")))</f>
        <v/>
      </c>
      <c r="B110" s="88"/>
      <c r="C110" s="25" t="str">
        <f>IF(B110="","",IFERROR(VLOOKUP(B110,DB_Customers!$A:$D,4,0),"❌ Account Not Found"))</f>
        <v/>
      </c>
      <c r="D110" s="90" t="str">
        <f t="shared" ca="1" si="9"/>
        <v/>
      </c>
      <c r="E110" s="104"/>
      <c r="F110" s="25"/>
      <c r="G110" s="105"/>
      <c r="H110" s="106"/>
      <c r="I110" s="107" t="str">
        <f t="shared" ref="I110:I141" si="13">IF(E110="","",E110+(E110*H110/100*G110))</f>
        <v/>
      </c>
      <c r="J110" s="108" t="str">
        <f t="shared" ref="J110:J141" si="14">IFERROR(I110/G110,"")</f>
        <v/>
      </c>
      <c r="K110" s="109" t="str">
        <f>IF(B110="","Pending",IF(M110="","⚠️ Enter Code",IF(IFERROR(VLOOKUP(L110,DB_Agents!$B:$I,8,0),"")=M110,"Pending","🔒 BLOCKED — Wrong Code")))</f>
        <v>Pending</v>
      </c>
      <c r="L110" s="27"/>
      <c r="M110" s="84"/>
      <c r="N110" s="94"/>
    </row>
    <row r="111" spans="1:14" x14ac:dyDescent="0.25">
      <c r="A111" s="85" t="str">
        <f t="shared" si="12"/>
        <v/>
      </c>
      <c r="B111" s="79"/>
      <c r="C111" s="21" t="str">
        <f>IF(B111="","",IFERROR(VLOOKUP(B111,DB_Customers!$A:$D,4,0),"❌ Account Not Found"))</f>
        <v/>
      </c>
      <c r="D111" s="81" t="str">
        <f t="shared" ca="1" si="9"/>
        <v/>
      </c>
      <c r="E111" s="104"/>
      <c r="F111" s="21"/>
      <c r="G111" s="110"/>
      <c r="H111" s="111"/>
      <c r="I111" s="107" t="str">
        <f t="shared" si="13"/>
        <v/>
      </c>
      <c r="J111" s="112" t="str">
        <f t="shared" si="14"/>
        <v/>
      </c>
      <c r="K111" s="113" t="str">
        <f>IF(B111="","Pending",IF(M111="","⚠️ Enter Code",IF(IFERROR(VLOOKUP(L111,DB_Agents!$B:$I,8,0),"")=M111,"Pending","🔒 BLOCKED — Wrong Code")))</f>
        <v>Pending</v>
      </c>
      <c r="L111" s="23"/>
      <c r="M111" s="84"/>
      <c r="N111" s="87"/>
    </row>
    <row r="112" spans="1:14" x14ac:dyDescent="0.25">
      <c r="A112" s="92" t="str">
        <f t="shared" si="12"/>
        <v/>
      </c>
      <c r="B112" s="88"/>
      <c r="C112" s="25" t="str">
        <f>IF(B112="","",IFERROR(VLOOKUP(B112,DB_Customers!$A:$D,4,0),"❌ Account Not Found"))</f>
        <v/>
      </c>
      <c r="D112" s="90" t="str">
        <f t="shared" ca="1" si="9"/>
        <v/>
      </c>
      <c r="E112" s="104"/>
      <c r="F112" s="25"/>
      <c r="G112" s="105"/>
      <c r="H112" s="106"/>
      <c r="I112" s="107" t="str">
        <f t="shared" si="13"/>
        <v/>
      </c>
      <c r="J112" s="108" t="str">
        <f t="shared" si="14"/>
        <v/>
      </c>
      <c r="K112" s="109" t="str">
        <f>IF(B112="","Pending",IF(M112="","⚠️ Enter Code",IF(IFERROR(VLOOKUP(L112,DB_Agents!$B:$I,8,0),"")=M112,"Pending","🔒 BLOCKED — Wrong Code")))</f>
        <v>Pending</v>
      </c>
      <c r="L112" s="27"/>
      <c r="M112" s="84"/>
      <c r="N112" s="94"/>
    </row>
    <row r="113" spans="1:14" x14ac:dyDescent="0.25">
      <c r="A113" s="85" t="str">
        <f t="shared" si="12"/>
        <v/>
      </c>
      <c r="B113" s="79"/>
      <c r="C113" s="21" t="str">
        <f>IF(B113="","",IFERROR(VLOOKUP(B113,DB_Customers!$A:$D,4,0),"❌ Account Not Found"))</f>
        <v/>
      </c>
      <c r="D113" s="81" t="str">
        <f t="shared" ca="1" si="9"/>
        <v/>
      </c>
      <c r="E113" s="104"/>
      <c r="F113" s="21"/>
      <c r="G113" s="110"/>
      <c r="H113" s="111"/>
      <c r="I113" s="107" t="str">
        <f t="shared" si="13"/>
        <v/>
      </c>
      <c r="J113" s="112" t="str">
        <f t="shared" si="14"/>
        <v/>
      </c>
      <c r="K113" s="113" t="str">
        <f>IF(B113="","Pending",IF(M113="","⚠️ Enter Code",IF(IFERROR(VLOOKUP(L113,DB_Agents!$B:$I,8,0),"")=M113,"Pending","🔒 BLOCKED — Wrong Code")))</f>
        <v>Pending</v>
      </c>
      <c r="L113" s="23"/>
      <c r="M113" s="84"/>
      <c r="N113" s="87"/>
    </row>
    <row r="114" spans="1:14" x14ac:dyDescent="0.25">
      <c r="H114" s="114"/>
      <c r="K114" s="115" t="str">
        <f>IF(B114="","Pending",IF(M114="","⚠️ Enter Code",IF(IFERROR(VLOOKUP(L114,DB_Agents!$B:$I,8,0),"")=M114,"Pending","🔒 BLOCKED — Wrong Code")))</f>
        <v>Pending</v>
      </c>
      <c r="M114" s="84"/>
    </row>
    <row r="115" spans="1:14" x14ac:dyDescent="0.25">
      <c r="H115" s="114"/>
      <c r="K115" s="15" t="str">
        <f>IF(B115="","Pending",IF(M115="","⚠️ Enter Code",IF(IFERROR(VLOOKUP(L115,DB_Agents!$B:$I,8,0),"")=M115,"Pending","🔒 BLOCKED — Wrong Code")))</f>
        <v>Pending</v>
      </c>
      <c r="M115" s="84"/>
    </row>
    <row r="116" spans="1:14" x14ac:dyDescent="0.25">
      <c r="H116" s="114"/>
      <c r="K116" s="115" t="str">
        <f>IF(B116="","Pending",IF(M116="","⚠️ Enter Code",IF(IFERROR(VLOOKUP(L116,DB_Agents!$B:$I,8,0),"")=M116,"Pending","🔒 BLOCKED — Wrong Code")))</f>
        <v>Pending</v>
      </c>
      <c r="M116" s="84"/>
    </row>
    <row r="117" spans="1:14" x14ac:dyDescent="0.25">
      <c r="H117" s="114"/>
      <c r="K117" s="15" t="str">
        <f>IF(B117="","Pending",IF(M117="","⚠️ Enter Code",IF(IFERROR(VLOOKUP(L117,DB_Agents!$B:$I,8,0),"")=M117,"Pending","🔒 BLOCKED — Wrong Code")))</f>
        <v>Pending</v>
      </c>
      <c r="M117" s="84"/>
    </row>
    <row r="118" spans="1:14" x14ac:dyDescent="0.25">
      <c r="H118" s="114"/>
      <c r="K118" s="115" t="str">
        <f>IF(B118="","Pending",IF(M118="","⚠️ Enter Code",IF(IFERROR(VLOOKUP(L118,DB_Agents!$B:$I,8,0),"")=M118,"Pending","🔒 BLOCKED — Wrong Code")))</f>
        <v>Pending</v>
      </c>
      <c r="M118" s="84"/>
    </row>
    <row r="119" spans="1:14" x14ac:dyDescent="0.25">
      <c r="H119" s="114"/>
      <c r="K119" s="15" t="str">
        <f>IF(B119="","Pending",IF(M119="","⚠️ Enter Code",IF(IFERROR(VLOOKUP(L119,DB_Agents!$B:$I,8,0),"")=M119,"Pending","🔒 BLOCKED — Wrong Code")))</f>
        <v>Pending</v>
      </c>
      <c r="M119" s="84"/>
    </row>
    <row r="120" spans="1:14" x14ac:dyDescent="0.25">
      <c r="H120" s="114"/>
      <c r="K120" s="115" t="str">
        <f>IF(B120="","Pending",IF(M120="","⚠️ Enter Code",IF(IFERROR(VLOOKUP(L120,DB_Agents!$B:$I,8,0),"")=M120,"Pending","🔒 BLOCKED — Wrong Code")))</f>
        <v>Pending</v>
      </c>
      <c r="M120" s="84"/>
    </row>
    <row r="121" spans="1:14" x14ac:dyDescent="0.25">
      <c r="H121" s="114"/>
      <c r="K121" s="15" t="str">
        <f>IF(B121="","Pending",IF(M121="","⚠️ Enter Code",IF(IFERROR(VLOOKUP(L121,DB_Agents!$B:$I,8,0),"")=M121,"Pending","🔒 BLOCKED — Wrong Code")))</f>
        <v>Pending</v>
      </c>
      <c r="M121" s="84"/>
    </row>
    <row r="122" spans="1:14" x14ac:dyDescent="0.25">
      <c r="H122" s="114"/>
      <c r="K122" s="115" t="str">
        <f>IF(B122="","Pending",IF(M122="","⚠️ Enter Code",IF(IFERROR(VLOOKUP(L122,DB_Agents!$B:$I,8,0),"")=M122,"Pending","🔒 BLOCKED — Wrong Code")))</f>
        <v>Pending</v>
      </c>
      <c r="M122" s="84"/>
    </row>
    <row r="123" spans="1:14" x14ac:dyDescent="0.25">
      <c r="H123" s="114"/>
      <c r="K123" s="15" t="str">
        <f>IF(B123="","Pending",IF(M123="","⚠️ Enter Code",IF(IFERROR(VLOOKUP(L123,DB_Agents!$B:$I,8,0),"")=M123,"Pending","🔒 BLOCKED — Wrong Code")))</f>
        <v>Pending</v>
      </c>
      <c r="M123" s="84"/>
    </row>
    <row r="124" spans="1:14" x14ac:dyDescent="0.25">
      <c r="H124" s="114"/>
      <c r="K124" s="115" t="str">
        <f>IF(B124="","Pending",IF(M124="","⚠️ Enter Code",IF(IFERROR(VLOOKUP(L124,DB_Agents!$B:$I,8,0),"")=M124,"Pending","🔒 BLOCKED — Wrong Code")))</f>
        <v>Pending</v>
      </c>
      <c r="M124" s="84"/>
    </row>
    <row r="125" spans="1:14" x14ac:dyDescent="0.25">
      <c r="H125" s="114"/>
      <c r="K125" s="15" t="str">
        <f>IF(B125="","Pending",IF(M125="","⚠️ Enter Code",IF(IFERROR(VLOOKUP(L125,DB_Agents!$B:$I,8,0),"")=M125,"Pending","🔒 BLOCKED — Wrong Code")))</f>
        <v>Pending</v>
      </c>
      <c r="M125" s="84"/>
    </row>
    <row r="126" spans="1:14" x14ac:dyDescent="0.25">
      <c r="H126" s="114"/>
      <c r="K126" s="115" t="str">
        <f>IF(B126="","Pending",IF(M126="","⚠️ Enter Code",IF(IFERROR(VLOOKUP(L126,DB_Agents!$B:$I,8,0),"")=M126,"Pending","🔒 BLOCKED — Wrong Code")))</f>
        <v>Pending</v>
      </c>
      <c r="M126" s="84"/>
    </row>
    <row r="127" spans="1:14" x14ac:dyDescent="0.25">
      <c r="H127" s="114"/>
      <c r="K127" s="15" t="str">
        <f>IF(B127="","Pending",IF(M127="","⚠️ Enter Code",IF(IFERROR(VLOOKUP(L127,DB_Agents!$B:$I,8,0),"")=M127,"Pending","🔒 BLOCKED — Wrong Code")))</f>
        <v>Pending</v>
      </c>
      <c r="M127" s="84"/>
    </row>
    <row r="128" spans="1:14" x14ac:dyDescent="0.25">
      <c r="H128" s="114"/>
      <c r="K128" s="115" t="str">
        <f>IF(B128="","Pending",IF(M128="","⚠️ Enter Code",IF(IFERROR(VLOOKUP(L128,DB_Agents!$B:$I,8,0),"")=M128,"Pending","🔒 BLOCKED — Wrong Code")))</f>
        <v>Pending</v>
      </c>
      <c r="M128" s="84"/>
    </row>
    <row r="129" spans="8:13" x14ac:dyDescent="0.25">
      <c r="H129" s="114"/>
      <c r="K129" s="15" t="str">
        <f>IF(B129="","Pending",IF(M129="","⚠️ Enter Code",IF(IFERROR(VLOOKUP(L129,DB_Agents!$B:$I,8,0),"")=M129,"Pending","🔒 BLOCKED — Wrong Code")))</f>
        <v>Pending</v>
      </c>
      <c r="M129" s="84"/>
    </row>
    <row r="130" spans="8:13" x14ac:dyDescent="0.25">
      <c r="H130" s="114"/>
      <c r="K130" s="115" t="str">
        <f>IF(B130="","Pending",IF(M130="","⚠️ Enter Code",IF(IFERROR(VLOOKUP(L130,DB_Agents!$B:$I,8,0),"")=M130,"Pending","🔒 BLOCKED — Wrong Code")))</f>
        <v>Pending</v>
      </c>
      <c r="M130" s="84"/>
    </row>
    <row r="131" spans="8:13" x14ac:dyDescent="0.25">
      <c r="H131" s="114"/>
      <c r="K131" s="15" t="str">
        <f>IF(B131="","Pending",IF(M131="","⚠️ Enter Code",IF(IFERROR(VLOOKUP(L131,DB_Agents!$B:$I,8,0),"")=M131,"Pending","🔒 BLOCKED — Wrong Code")))</f>
        <v>Pending</v>
      </c>
      <c r="M131" s="84"/>
    </row>
    <row r="132" spans="8:13" x14ac:dyDescent="0.25">
      <c r="H132" s="114"/>
      <c r="K132" s="115" t="str">
        <f>IF(B132="","Pending",IF(M132="","⚠️ Enter Code",IF(IFERROR(VLOOKUP(L132,DB_Agents!$B:$I,8,0),"")=M132,"Pending","🔒 BLOCKED — Wrong Code")))</f>
        <v>Pending</v>
      </c>
      <c r="M132" s="84"/>
    </row>
    <row r="133" spans="8:13" x14ac:dyDescent="0.25">
      <c r="H133" s="114"/>
      <c r="K133" s="15" t="str">
        <f>IF(B133="","Pending",IF(M133="","⚠️ Enter Code",IF(IFERROR(VLOOKUP(L133,DB_Agents!$B:$I,8,0),"")=M133,"Pending","🔒 BLOCKED — Wrong Code")))</f>
        <v>Pending</v>
      </c>
      <c r="M133" s="84"/>
    </row>
    <row r="134" spans="8:13" x14ac:dyDescent="0.25">
      <c r="H134" s="114"/>
      <c r="K134" s="115" t="str">
        <f>IF(B134="","Pending",IF(M134="","⚠️ Enter Code",IF(IFERROR(VLOOKUP(L134,DB_Agents!$B:$I,8,0),"")=M134,"Pending","🔒 BLOCKED — Wrong Code")))</f>
        <v>Pending</v>
      </c>
      <c r="M134" s="84"/>
    </row>
    <row r="135" spans="8:13" x14ac:dyDescent="0.25">
      <c r="H135" s="114"/>
      <c r="K135" s="15" t="str">
        <f>IF(B135="","Pending",IF(M135="","⚠️ Enter Code",IF(IFERROR(VLOOKUP(L135,DB_Agents!$B:$I,8,0),"")=M135,"Pending","🔒 BLOCKED — Wrong Code")))</f>
        <v>Pending</v>
      </c>
      <c r="M135" s="84"/>
    </row>
    <row r="136" spans="8:13" x14ac:dyDescent="0.25">
      <c r="H136" s="114"/>
      <c r="K136" s="115" t="str">
        <f>IF(B136="","Pending",IF(M136="","⚠️ Enter Code",IF(IFERROR(VLOOKUP(L136,DB_Agents!$B:$I,8,0),"")=M136,"Pending","🔒 BLOCKED — Wrong Code")))</f>
        <v>Pending</v>
      </c>
      <c r="M136" s="84"/>
    </row>
    <row r="137" spans="8:13" x14ac:dyDescent="0.25">
      <c r="H137" s="114"/>
      <c r="K137" s="15" t="str">
        <f>IF(B137="","Pending",IF(M137="","⚠️ Enter Code",IF(IFERROR(VLOOKUP(L137,DB_Agents!$B:$I,8,0),"")=M137,"Pending","🔒 BLOCKED — Wrong Code")))</f>
        <v>Pending</v>
      </c>
      <c r="M137" s="84"/>
    </row>
    <row r="138" spans="8:13" x14ac:dyDescent="0.25">
      <c r="H138" s="114"/>
      <c r="K138" s="115" t="str">
        <f>IF(B138="","Pending",IF(M138="","⚠️ Enter Code",IF(IFERROR(VLOOKUP(L138,DB_Agents!$B:$I,8,0),"")=M138,"Pending","🔒 BLOCKED — Wrong Code")))</f>
        <v>Pending</v>
      </c>
      <c r="M138" s="84"/>
    </row>
    <row r="139" spans="8:13" x14ac:dyDescent="0.25">
      <c r="H139" s="114"/>
      <c r="K139" s="15" t="str">
        <f>IF(B139="","Pending",IF(M139="","⚠️ Enter Code",IF(IFERROR(VLOOKUP(L139,DB_Agents!$B:$I,8,0),"")=M139,"Pending","🔒 BLOCKED — Wrong Code")))</f>
        <v>Pending</v>
      </c>
      <c r="M139" s="84"/>
    </row>
    <row r="140" spans="8:13" x14ac:dyDescent="0.25">
      <c r="H140" s="114"/>
      <c r="K140" s="115" t="str">
        <f>IF(B140="","Pending",IF(M140="","⚠️ Enter Code",IF(IFERROR(VLOOKUP(L140,DB_Agents!$B:$I,8,0),"")=M140,"Pending","🔒 BLOCKED — Wrong Code")))</f>
        <v>Pending</v>
      </c>
      <c r="M140" s="84"/>
    </row>
    <row r="141" spans="8:13" x14ac:dyDescent="0.25">
      <c r="H141" s="114"/>
      <c r="K141" s="15" t="str">
        <f>IF(B141="","Pending",IF(M141="","⚠️ Enter Code",IF(IFERROR(VLOOKUP(L141,DB_Agents!$B:$I,8,0),"")=M141,"Pending","🔒 BLOCKED — Wrong Code")))</f>
        <v>Pending</v>
      </c>
      <c r="M141" s="84"/>
    </row>
    <row r="142" spans="8:13" x14ac:dyDescent="0.25">
      <c r="H142" s="114"/>
      <c r="K142" s="115" t="str">
        <f>IF(B142="","Pending",IF(M142="","⚠️ Enter Code",IF(IFERROR(VLOOKUP(L142,DB_Agents!$B:$I,8,0),"")=M142,"Pending","🔒 BLOCKED — Wrong Code")))</f>
        <v>Pending</v>
      </c>
      <c r="M142" s="84"/>
    </row>
    <row r="143" spans="8:13" x14ac:dyDescent="0.25">
      <c r="H143" s="114"/>
      <c r="K143" s="15" t="str">
        <f>IF(B143="","Pending",IF(M143="","⚠️ Enter Code",IF(IFERROR(VLOOKUP(L143,DB_Agents!$B:$I,8,0),"")=M143,"Pending","🔒 BLOCKED — Wrong Code")))</f>
        <v>Pending</v>
      </c>
      <c r="M143" s="84"/>
    </row>
    <row r="144" spans="8:13" x14ac:dyDescent="0.25">
      <c r="H144" s="114"/>
      <c r="K144" s="115" t="str">
        <f>IF(B144="","Pending",IF(M144="","⚠️ Enter Code",IF(IFERROR(VLOOKUP(L144,DB_Agents!$B:$I,8,0),"")=M144,"Pending","🔒 BLOCKED — Wrong Code")))</f>
        <v>Pending</v>
      </c>
      <c r="M144" s="84"/>
    </row>
    <row r="145" spans="8:13" x14ac:dyDescent="0.25">
      <c r="H145" s="114"/>
      <c r="K145" s="15" t="str">
        <f>IF(B145="","Pending",IF(M145="","⚠️ Enter Code",IF(IFERROR(VLOOKUP(L145,DB_Agents!$B:$I,8,0),"")=M145,"Pending","🔒 BLOCKED — Wrong Code")))</f>
        <v>Pending</v>
      </c>
      <c r="M145" s="84"/>
    </row>
    <row r="146" spans="8:13" x14ac:dyDescent="0.25">
      <c r="H146" s="114"/>
      <c r="K146" s="115" t="str">
        <f>IF(B146="","Pending",IF(M146="","⚠️ Enter Code",IF(IFERROR(VLOOKUP(L146,DB_Agents!$B:$I,8,0),"")=M146,"Pending","🔒 BLOCKED — Wrong Code")))</f>
        <v>Pending</v>
      </c>
      <c r="M146" s="84"/>
    </row>
    <row r="147" spans="8:13" x14ac:dyDescent="0.25">
      <c r="H147" s="114"/>
      <c r="K147" s="15" t="str">
        <f>IF(B147="","Pending",IF(M147="","⚠️ Enter Code",IF(IFERROR(VLOOKUP(L147,DB_Agents!$B:$I,8,0),"")=M147,"Pending","🔒 BLOCKED — Wrong Code")))</f>
        <v>Pending</v>
      </c>
      <c r="M147" s="84"/>
    </row>
    <row r="148" spans="8:13" x14ac:dyDescent="0.25">
      <c r="H148" s="114"/>
      <c r="K148" s="115" t="str">
        <f>IF(B148="","Pending",IF(M148="","⚠️ Enter Code",IF(IFERROR(VLOOKUP(L148,DB_Agents!$B:$I,8,0),"")=M148,"Pending","🔒 BLOCKED — Wrong Code")))</f>
        <v>Pending</v>
      </c>
      <c r="M148" s="84"/>
    </row>
    <row r="149" spans="8:13" x14ac:dyDescent="0.25">
      <c r="H149" s="114"/>
      <c r="K149" s="15" t="str">
        <f>IF(B149="","Pending",IF(M149="","⚠️ Enter Code",IF(IFERROR(VLOOKUP(L149,DB_Agents!$B:$I,8,0),"")=M149,"Pending","🔒 BLOCKED — Wrong Code")))</f>
        <v>Pending</v>
      </c>
      <c r="M149" s="84"/>
    </row>
    <row r="150" spans="8:13" x14ac:dyDescent="0.25">
      <c r="H150" s="114"/>
      <c r="K150" s="115" t="str">
        <f>IF(B150="","Pending",IF(M150="","⚠️ Enter Code",IF(IFERROR(VLOOKUP(L150,DB_Agents!$B:$I,8,0),"")=M150,"Pending","🔒 BLOCKED — Wrong Code")))</f>
        <v>Pending</v>
      </c>
      <c r="M150" s="84"/>
    </row>
    <row r="151" spans="8:13" x14ac:dyDescent="0.25">
      <c r="H151" s="114"/>
      <c r="K151" s="15" t="str">
        <f>IF(B151="","Pending",IF(M151="","⚠️ Enter Code",IF(IFERROR(VLOOKUP(L151,DB_Agents!$B:$I,8,0),"")=M151,"Pending","🔒 BLOCKED — Wrong Code")))</f>
        <v>Pending</v>
      </c>
      <c r="M151" s="84"/>
    </row>
    <row r="152" spans="8:13" x14ac:dyDescent="0.25">
      <c r="H152" s="114"/>
      <c r="K152" s="115" t="str">
        <f>IF(B152="","Pending",IF(M152="","⚠️ Enter Code",IF(IFERROR(VLOOKUP(L152,DB_Agents!$B:$I,8,0),"")=M152,"Pending","🔒 BLOCKED — Wrong Code")))</f>
        <v>Pending</v>
      </c>
      <c r="M152" s="84"/>
    </row>
    <row r="153" spans="8:13" x14ac:dyDescent="0.25">
      <c r="H153" s="114"/>
      <c r="K153" s="15" t="str">
        <f>IF(B153="","Pending",IF(M153="","⚠️ Enter Code",IF(IFERROR(VLOOKUP(L153,DB_Agents!$B:$I,8,0),"")=M153,"Pending","🔒 BLOCKED — Wrong Code")))</f>
        <v>Pending</v>
      </c>
      <c r="M153" s="84"/>
    </row>
    <row r="154" spans="8:13" x14ac:dyDescent="0.25">
      <c r="H154" s="114"/>
      <c r="K154" s="115" t="str">
        <f>IF(B154="","Pending",IF(M154="","⚠️ Enter Code",IF(IFERROR(VLOOKUP(L154,DB_Agents!$B:$I,8,0),"")=M154,"Pending","🔒 BLOCKED — Wrong Code")))</f>
        <v>Pending</v>
      </c>
      <c r="M154" s="84"/>
    </row>
    <row r="155" spans="8:13" x14ac:dyDescent="0.25">
      <c r="H155" s="114"/>
      <c r="K155" s="15" t="str">
        <f>IF(B155="","Pending",IF(M155="","⚠️ Enter Code",IF(IFERROR(VLOOKUP(L155,DB_Agents!$B:$I,8,0),"")=M155,"Pending","🔒 BLOCKED — Wrong Code")))</f>
        <v>Pending</v>
      </c>
      <c r="M155" s="84"/>
    </row>
    <row r="156" spans="8:13" x14ac:dyDescent="0.25">
      <c r="H156" s="114"/>
      <c r="K156" s="115" t="str">
        <f>IF(B156="","Pending",IF(M156="","⚠️ Enter Code",IF(IFERROR(VLOOKUP(L156,DB_Agents!$B:$I,8,0),"")=M156,"Pending","🔒 BLOCKED — Wrong Code")))</f>
        <v>Pending</v>
      </c>
      <c r="M156" s="84"/>
    </row>
    <row r="157" spans="8:13" x14ac:dyDescent="0.25">
      <c r="H157" s="114"/>
      <c r="K157" s="15" t="str">
        <f>IF(B157="","Pending",IF(M157="","⚠️ Enter Code",IF(IFERROR(VLOOKUP(L157,DB_Agents!$B:$I,8,0),"")=M157,"Pending","🔒 BLOCKED — Wrong Code")))</f>
        <v>Pending</v>
      </c>
      <c r="M157" s="84"/>
    </row>
    <row r="158" spans="8:13" x14ac:dyDescent="0.25">
      <c r="H158" s="114"/>
      <c r="K158" s="115" t="str">
        <f>IF(B158="","Pending",IF(M158="","⚠️ Enter Code",IF(IFERROR(VLOOKUP(L158,DB_Agents!$B:$I,8,0),"")=M158,"Pending","🔒 BLOCKED — Wrong Code")))</f>
        <v>Pending</v>
      </c>
      <c r="M158" s="84"/>
    </row>
    <row r="159" spans="8:13" x14ac:dyDescent="0.25">
      <c r="H159" s="114"/>
      <c r="K159" s="15" t="str">
        <f>IF(B159="","Pending",IF(M159="","⚠️ Enter Code",IF(IFERROR(VLOOKUP(L159,DB_Agents!$B:$I,8,0),"")=M159,"Pending","🔒 BLOCKED — Wrong Code")))</f>
        <v>Pending</v>
      </c>
      <c r="M159" s="84"/>
    </row>
    <row r="160" spans="8:13" x14ac:dyDescent="0.25">
      <c r="H160" s="114"/>
      <c r="K160" s="115" t="str">
        <f>IF(B160="","Pending",IF(M160="","⚠️ Enter Code",IF(IFERROR(VLOOKUP(L160,DB_Agents!$B:$I,8,0),"")=M160,"Pending","🔒 BLOCKED — Wrong Code")))</f>
        <v>Pending</v>
      </c>
      <c r="M160" s="84"/>
    </row>
    <row r="161" spans="8:13" x14ac:dyDescent="0.25">
      <c r="H161" s="114"/>
      <c r="K161" s="15" t="str">
        <f>IF(B161="","Pending",IF(M161="","⚠️ Enter Code",IF(IFERROR(VLOOKUP(L161,DB_Agents!$B:$I,8,0),"")=M161,"Pending","🔒 BLOCKED — Wrong Code")))</f>
        <v>Pending</v>
      </c>
      <c r="M161" s="84"/>
    </row>
    <row r="162" spans="8:13" x14ac:dyDescent="0.25">
      <c r="H162" s="114"/>
      <c r="K162" s="115" t="str">
        <f>IF(B162="","Pending",IF(M162="","⚠️ Enter Code",IF(IFERROR(VLOOKUP(L162,DB_Agents!$B:$I,8,0),"")=M162,"Pending","🔒 BLOCKED — Wrong Code")))</f>
        <v>Pending</v>
      </c>
      <c r="M162" s="84"/>
    </row>
    <row r="163" spans="8:13" x14ac:dyDescent="0.25">
      <c r="H163" s="114"/>
      <c r="K163" s="15" t="str">
        <f>IF(B163="","Pending",IF(M163="","⚠️ Enter Code",IF(IFERROR(VLOOKUP(L163,DB_Agents!$B:$I,8,0),"")=M163,"Pending","🔒 BLOCKED — Wrong Code")))</f>
        <v>Pending</v>
      </c>
      <c r="M163" s="84"/>
    </row>
    <row r="164" spans="8:13" x14ac:dyDescent="0.25">
      <c r="H164" s="114"/>
      <c r="K164" s="115" t="str">
        <f>IF(B164="","Pending",IF(M164="","⚠️ Enter Code",IF(IFERROR(VLOOKUP(L164,DB_Agents!$B:$I,8,0),"")=M164,"Pending","🔒 BLOCKED — Wrong Code")))</f>
        <v>Pending</v>
      </c>
      <c r="M164" s="84"/>
    </row>
    <row r="165" spans="8:13" x14ac:dyDescent="0.25">
      <c r="H165" s="114"/>
      <c r="K165" s="15" t="str">
        <f>IF(B165="","Pending",IF(M165="","⚠️ Enter Code",IF(IFERROR(VLOOKUP(L165,DB_Agents!$B:$I,8,0),"")=M165,"Pending","🔒 BLOCKED — Wrong Code")))</f>
        <v>Pending</v>
      </c>
      <c r="M165" s="84"/>
    </row>
    <row r="166" spans="8:13" x14ac:dyDescent="0.25">
      <c r="H166" s="114"/>
      <c r="K166" s="115" t="str">
        <f>IF(B166="","Pending",IF(M166="","⚠️ Enter Code",IF(IFERROR(VLOOKUP(L166,DB_Agents!$B:$I,8,0),"")=M166,"Pending","🔒 BLOCKED — Wrong Code")))</f>
        <v>Pending</v>
      </c>
      <c r="M166" s="84"/>
    </row>
    <row r="167" spans="8:13" x14ac:dyDescent="0.25">
      <c r="H167" s="114"/>
      <c r="K167" s="15" t="str">
        <f>IF(B167="","Pending",IF(M167="","⚠️ Enter Code",IF(IFERROR(VLOOKUP(L167,DB_Agents!$B:$I,8,0),"")=M167,"Pending","🔒 BLOCKED — Wrong Code")))</f>
        <v>Pending</v>
      </c>
      <c r="M167" s="84"/>
    </row>
    <row r="168" spans="8:13" x14ac:dyDescent="0.25">
      <c r="H168" s="114"/>
      <c r="K168" s="115" t="str">
        <f>IF(B168="","Pending",IF(M168="","⚠️ Enter Code",IF(IFERROR(VLOOKUP(L168,DB_Agents!$B:$I,8,0),"")=M168,"Pending","🔒 BLOCKED — Wrong Code")))</f>
        <v>Pending</v>
      </c>
      <c r="M168" s="84"/>
    </row>
    <row r="169" spans="8:13" x14ac:dyDescent="0.25">
      <c r="H169" s="114"/>
      <c r="K169" s="15" t="str">
        <f>IF(B169="","Pending",IF(M169="","⚠️ Enter Code",IF(IFERROR(VLOOKUP(L169,DB_Agents!$B:$I,8,0),"")=M169,"Pending","🔒 BLOCKED — Wrong Code")))</f>
        <v>Pending</v>
      </c>
      <c r="M169" s="84"/>
    </row>
    <row r="170" spans="8:13" x14ac:dyDescent="0.25">
      <c r="H170" s="114"/>
      <c r="K170" s="115" t="str">
        <f>IF(B170="","Pending",IF(M170="","⚠️ Enter Code",IF(IFERROR(VLOOKUP(L170,DB_Agents!$B:$I,8,0),"")=M170,"Pending","🔒 BLOCKED — Wrong Code")))</f>
        <v>Pending</v>
      </c>
      <c r="M170" s="84"/>
    </row>
    <row r="171" spans="8:13" x14ac:dyDescent="0.25">
      <c r="H171" s="114"/>
      <c r="K171" s="15" t="str">
        <f>IF(B171="","Pending",IF(M171="","⚠️ Enter Code",IF(IFERROR(VLOOKUP(L171,DB_Agents!$B:$I,8,0),"")=M171,"Pending","🔒 BLOCKED — Wrong Code")))</f>
        <v>Pending</v>
      </c>
      <c r="M171" s="84"/>
    </row>
    <row r="172" spans="8:13" x14ac:dyDescent="0.25">
      <c r="H172" s="114"/>
      <c r="K172" s="115" t="str">
        <f>IF(B172="","Pending",IF(M172="","⚠️ Enter Code",IF(IFERROR(VLOOKUP(L172,DB_Agents!$B:$I,8,0),"")=M172,"Pending","🔒 BLOCKED — Wrong Code")))</f>
        <v>Pending</v>
      </c>
      <c r="M172" s="84"/>
    </row>
    <row r="173" spans="8:13" x14ac:dyDescent="0.25">
      <c r="H173" s="114"/>
      <c r="K173" s="15" t="str">
        <f>IF(B173="","Pending",IF(M173="","⚠️ Enter Code",IF(IFERROR(VLOOKUP(L173,DB_Agents!$B:$I,8,0),"")=M173,"Pending","🔒 BLOCKED — Wrong Code")))</f>
        <v>Pending</v>
      </c>
      <c r="M173" s="84"/>
    </row>
    <row r="174" spans="8:13" x14ac:dyDescent="0.25">
      <c r="H174" s="114"/>
      <c r="K174" s="115" t="str">
        <f>IF(B174="","Pending",IF(M174="","⚠️ Enter Code",IF(IFERROR(VLOOKUP(L174,DB_Agents!$B:$I,8,0),"")=M174,"Pending","🔒 BLOCKED — Wrong Code")))</f>
        <v>Pending</v>
      </c>
      <c r="M174" s="84"/>
    </row>
    <row r="175" spans="8:13" x14ac:dyDescent="0.25">
      <c r="H175" s="114"/>
      <c r="K175" s="15" t="str">
        <f>IF(B175="","Pending",IF(M175="","⚠️ Enter Code",IF(IFERROR(VLOOKUP(L175,DB_Agents!$B:$I,8,0),"")=M175,"Pending","🔒 BLOCKED — Wrong Code")))</f>
        <v>Pending</v>
      </c>
      <c r="M175" s="84"/>
    </row>
    <row r="176" spans="8:13" x14ac:dyDescent="0.25">
      <c r="H176" s="114"/>
      <c r="K176" s="115" t="str">
        <f>IF(B176="","Pending",IF(M176="","⚠️ Enter Code",IF(IFERROR(VLOOKUP(L176,DB_Agents!$B:$I,8,0),"")=M176,"Pending","🔒 BLOCKED — Wrong Code")))</f>
        <v>Pending</v>
      </c>
      <c r="M176" s="84"/>
    </row>
    <row r="177" spans="8:13" x14ac:dyDescent="0.25">
      <c r="H177" s="114"/>
      <c r="K177" s="15" t="str">
        <f>IF(B177="","Pending",IF(M177="","⚠️ Enter Code",IF(IFERROR(VLOOKUP(L177,DB_Agents!$B:$I,8,0),"")=M177,"Pending","🔒 BLOCKED — Wrong Code")))</f>
        <v>Pending</v>
      </c>
      <c r="M177" s="84"/>
    </row>
    <row r="178" spans="8:13" x14ac:dyDescent="0.25">
      <c r="H178" s="114"/>
      <c r="K178" s="115" t="str">
        <f>IF(B178="","Pending",IF(M178="","⚠️ Enter Code",IF(IFERROR(VLOOKUP(L178,DB_Agents!$B:$I,8,0),"")=M178,"Pending","🔒 BLOCKED — Wrong Code")))</f>
        <v>Pending</v>
      </c>
      <c r="M178" s="84"/>
    </row>
    <row r="179" spans="8:13" x14ac:dyDescent="0.25">
      <c r="H179" s="114"/>
      <c r="K179" s="15" t="str">
        <f>IF(B179="","Pending",IF(M179="","⚠️ Enter Code",IF(IFERROR(VLOOKUP(L179,DB_Agents!$B:$I,8,0),"")=M179,"Pending","🔒 BLOCKED — Wrong Code")))</f>
        <v>Pending</v>
      </c>
      <c r="M179" s="84"/>
    </row>
    <row r="180" spans="8:13" x14ac:dyDescent="0.25">
      <c r="H180" s="114"/>
      <c r="K180" s="115" t="str">
        <f>IF(B180="","Pending",IF(M180="","⚠️ Enter Code",IF(IFERROR(VLOOKUP(L180,DB_Agents!$B:$I,8,0),"")=M180,"Pending","🔒 BLOCKED — Wrong Code")))</f>
        <v>Pending</v>
      </c>
      <c r="M180" s="84"/>
    </row>
    <row r="181" spans="8:13" x14ac:dyDescent="0.25">
      <c r="H181" s="114"/>
      <c r="K181" s="15" t="str">
        <f>IF(B181="","Pending",IF(M181="","⚠️ Enter Code",IF(IFERROR(VLOOKUP(L181,DB_Agents!$B:$I,8,0),"")=M181,"Pending","🔒 BLOCKED — Wrong Code")))</f>
        <v>Pending</v>
      </c>
      <c r="M181" s="84"/>
    </row>
    <row r="182" spans="8:13" x14ac:dyDescent="0.25">
      <c r="H182" s="114"/>
      <c r="K182" s="115" t="str">
        <f>IF(B182="","Pending",IF(M182="","⚠️ Enter Code",IF(IFERROR(VLOOKUP(L182,DB_Agents!$B:$I,8,0),"")=M182,"Pending","🔒 BLOCKED — Wrong Code")))</f>
        <v>Pending</v>
      </c>
      <c r="M182" s="84"/>
    </row>
    <row r="183" spans="8:13" x14ac:dyDescent="0.25">
      <c r="H183" s="114"/>
      <c r="K183" s="15" t="str">
        <f>IF(B183="","Pending",IF(M183="","⚠️ Enter Code",IF(IFERROR(VLOOKUP(L183,DB_Agents!$B:$I,8,0),"")=M183,"Pending","🔒 BLOCKED — Wrong Code")))</f>
        <v>Pending</v>
      </c>
      <c r="M183" s="84"/>
    </row>
    <row r="184" spans="8:13" x14ac:dyDescent="0.25">
      <c r="H184" s="114"/>
      <c r="K184" s="115" t="str">
        <f>IF(B184="","Pending",IF(M184="","⚠️ Enter Code",IF(IFERROR(VLOOKUP(L184,DB_Agents!$B:$I,8,0),"")=M184,"Pending","🔒 BLOCKED — Wrong Code")))</f>
        <v>Pending</v>
      </c>
      <c r="M184" s="84"/>
    </row>
    <row r="185" spans="8:13" x14ac:dyDescent="0.25">
      <c r="H185" s="114"/>
      <c r="K185" s="15" t="str">
        <f>IF(B185="","Pending",IF(M185="","⚠️ Enter Code",IF(IFERROR(VLOOKUP(L185,DB_Agents!$B:$I,8,0),"")=M185,"Pending","🔒 BLOCKED — Wrong Code")))</f>
        <v>Pending</v>
      </c>
      <c r="M185" s="84"/>
    </row>
    <row r="186" spans="8:13" x14ac:dyDescent="0.25">
      <c r="H186" s="114"/>
      <c r="K186" s="115" t="str">
        <f>IF(B186="","Pending",IF(M186="","⚠️ Enter Code",IF(IFERROR(VLOOKUP(L186,DB_Agents!$B:$I,8,0),"")=M186,"Pending","🔒 BLOCKED — Wrong Code")))</f>
        <v>Pending</v>
      </c>
      <c r="M186" s="84"/>
    </row>
    <row r="187" spans="8:13" x14ac:dyDescent="0.25">
      <c r="H187" s="114"/>
      <c r="K187" s="15" t="str">
        <f>IF(B187="","Pending",IF(M187="","⚠️ Enter Code",IF(IFERROR(VLOOKUP(L187,DB_Agents!$B:$I,8,0),"")=M187,"Pending","🔒 BLOCKED — Wrong Code")))</f>
        <v>Pending</v>
      </c>
      <c r="M187" s="84"/>
    </row>
    <row r="188" spans="8:13" x14ac:dyDescent="0.25">
      <c r="H188" s="114"/>
      <c r="K188" s="115" t="str">
        <f>IF(B188="","Pending",IF(M188="","⚠️ Enter Code",IF(IFERROR(VLOOKUP(L188,DB_Agents!$B:$I,8,0),"")=M188,"Pending","🔒 BLOCKED — Wrong Code")))</f>
        <v>Pending</v>
      </c>
      <c r="M188" s="84"/>
    </row>
    <row r="189" spans="8:13" x14ac:dyDescent="0.25">
      <c r="H189" s="114"/>
      <c r="K189" s="15" t="str">
        <f>IF(B189="","Pending",IF(M189="","⚠️ Enter Code",IF(IFERROR(VLOOKUP(L189,DB_Agents!$B:$I,8,0),"")=M189,"Pending","🔒 BLOCKED — Wrong Code")))</f>
        <v>Pending</v>
      </c>
      <c r="M189" s="84"/>
    </row>
    <row r="190" spans="8:13" x14ac:dyDescent="0.25">
      <c r="H190" s="114"/>
      <c r="K190" s="115" t="str">
        <f>IF(B190="","Pending",IF(M190="","⚠️ Enter Code",IF(IFERROR(VLOOKUP(L190,DB_Agents!$B:$I,8,0),"")=M190,"Pending","🔒 BLOCKED — Wrong Code")))</f>
        <v>Pending</v>
      </c>
      <c r="M190" s="84"/>
    </row>
    <row r="191" spans="8:13" x14ac:dyDescent="0.25">
      <c r="H191" s="114"/>
      <c r="K191" s="15" t="str">
        <f>IF(B191="","Pending",IF(M191="","⚠️ Enter Code",IF(IFERROR(VLOOKUP(L191,DB_Agents!$B:$I,8,0),"")=M191,"Pending","🔒 BLOCKED — Wrong Code")))</f>
        <v>Pending</v>
      </c>
      <c r="M191" s="84"/>
    </row>
    <row r="192" spans="8:13" x14ac:dyDescent="0.25">
      <c r="H192" s="114"/>
      <c r="K192" s="115" t="str">
        <f>IF(B192="","Pending",IF(M192="","⚠️ Enter Code",IF(IFERROR(VLOOKUP(L192,DB_Agents!$B:$I,8,0),"")=M192,"Pending","🔒 BLOCKED — Wrong Code")))</f>
        <v>Pending</v>
      </c>
      <c r="M192" s="84"/>
    </row>
    <row r="193" spans="8:13" x14ac:dyDescent="0.25">
      <c r="H193" s="114"/>
      <c r="K193" s="15" t="str">
        <f>IF(B193="","Pending",IF(M193="","⚠️ Enter Code",IF(IFERROR(VLOOKUP(L193,DB_Agents!$B:$I,8,0),"")=M193,"Pending","🔒 BLOCKED — Wrong Code")))</f>
        <v>Pending</v>
      </c>
      <c r="M193" s="84"/>
    </row>
    <row r="194" spans="8:13" x14ac:dyDescent="0.25">
      <c r="H194" s="114"/>
      <c r="K194" s="115" t="str">
        <f>IF(B194="","Pending",IF(M194="","⚠️ Enter Code",IF(IFERROR(VLOOKUP(L194,DB_Agents!$B:$I,8,0),"")=M194,"Pending","🔒 BLOCKED — Wrong Code")))</f>
        <v>Pending</v>
      </c>
      <c r="M194" s="84"/>
    </row>
    <row r="195" spans="8:13" x14ac:dyDescent="0.25">
      <c r="H195" s="114"/>
      <c r="K195" s="15" t="str">
        <f>IF(B195="","Pending",IF(M195="","⚠️ Enter Code",IF(IFERROR(VLOOKUP(L195,DB_Agents!$B:$I,8,0),"")=M195,"Pending","🔒 BLOCKED — Wrong Code")))</f>
        <v>Pending</v>
      </c>
      <c r="M195" s="84"/>
    </row>
    <row r="196" spans="8:13" x14ac:dyDescent="0.25">
      <c r="H196" s="114"/>
      <c r="K196" s="115" t="str">
        <f>IF(B196="","Pending",IF(M196="","⚠️ Enter Code",IF(IFERROR(VLOOKUP(L196,DB_Agents!$B:$I,8,0),"")=M196,"Pending","🔒 BLOCKED — Wrong Code")))</f>
        <v>Pending</v>
      </c>
      <c r="M196" s="84"/>
    </row>
    <row r="197" spans="8:13" x14ac:dyDescent="0.25">
      <c r="H197" s="114"/>
      <c r="K197" s="15" t="str">
        <f>IF(B197="","Pending",IF(M197="","⚠️ Enter Code",IF(IFERROR(VLOOKUP(L197,DB_Agents!$B:$I,8,0),"")=M197,"Pending","🔒 BLOCKED — Wrong Code")))</f>
        <v>Pending</v>
      </c>
      <c r="M197" s="84"/>
    </row>
    <row r="198" spans="8:13" x14ac:dyDescent="0.25">
      <c r="H198" s="114"/>
      <c r="K198" s="115" t="str">
        <f>IF(B198="","Pending",IF(M198="","⚠️ Enter Code",IF(IFERROR(VLOOKUP(L198,DB_Agents!$B:$I,8,0),"")=M198,"Pending","🔒 BLOCKED — Wrong Code")))</f>
        <v>Pending</v>
      </c>
      <c r="M198" s="84"/>
    </row>
    <row r="199" spans="8:13" x14ac:dyDescent="0.25">
      <c r="H199" s="114"/>
      <c r="K199" s="15" t="str">
        <f>IF(B199="","Pending",IF(M199="","⚠️ Enter Code",IF(IFERROR(VLOOKUP(L199,DB_Agents!$B:$I,8,0),"")=M199,"Pending","🔒 BLOCKED — Wrong Code")))</f>
        <v>Pending</v>
      </c>
      <c r="M199" s="84"/>
    </row>
    <row r="200" spans="8:13" x14ac:dyDescent="0.25">
      <c r="H200" s="114"/>
      <c r="K200" s="115" t="str">
        <f>IF(B200="","Pending",IF(M200="","⚠️ Enter Code",IF(IFERROR(VLOOKUP(L200,DB_Agents!$B:$I,8,0),"")=M200,"Pending","🔒 BLOCKED — Wrong Code")))</f>
        <v>Pending</v>
      </c>
      <c r="M200" s="84"/>
    </row>
    <row r="201" spans="8:13" x14ac:dyDescent="0.25">
      <c r="K201" s="15" t="str">
        <f>IF(B201="","Pending",IF(M201="","⚠️ Enter Code",IF(IFERROR(VLOOKUP(L201,DB_Agents!$B:$I,8,0),"")=M201,"Pending","🔒 BLOCKED — Wrong Code")))</f>
        <v>Pending</v>
      </c>
      <c r="M201" s="84"/>
    </row>
    <row r="202" spans="8:13" x14ac:dyDescent="0.25">
      <c r="K202" s="115" t="str">
        <f>IF(B202="","Pending",IF(M202="","⚠️ Enter Code",IF(IFERROR(VLOOKUP(L202,DB_Agents!$B:$I,8,0),"")=M202,"Pending","🔒 BLOCKED — Wrong Code")))</f>
        <v>Pending</v>
      </c>
      <c r="M202" s="84"/>
    </row>
    <row r="203" spans="8:13" x14ac:dyDescent="0.25">
      <c r="K203" s="15" t="str">
        <f>IF(B203="","Pending",IF(M203="","⚠️ Enter Code",IF(IFERROR(VLOOKUP(L203,DB_Agents!$B:$I,8,0),"")=M203,"Pending","🔒 BLOCKED — Wrong Code")))</f>
        <v>Pending</v>
      </c>
      <c r="M203" s="84"/>
    </row>
    <row r="204" spans="8:13" x14ac:dyDescent="0.25">
      <c r="K204" s="115" t="str">
        <f>IF(B204="","Pending",IF(M204="","⚠️ Enter Code",IF(IFERROR(VLOOKUP(L204,DB_Agents!$B:$I,8,0),"")=M204,"Pending","🔒 BLOCKED — Wrong Code")))</f>
        <v>Pending</v>
      </c>
      <c r="M204" s="84"/>
    </row>
    <row r="205" spans="8:13" x14ac:dyDescent="0.25">
      <c r="K205" s="15" t="str">
        <f>IF(B205="","Pending",IF(M205="","⚠️ Enter Code",IF(IFERROR(VLOOKUP(L205,DB_Agents!$B:$I,8,0),"")=M205,"Pending","🔒 BLOCKED — Wrong Code")))</f>
        <v>Pending</v>
      </c>
      <c r="M205" s="84"/>
    </row>
    <row r="206" spans="8:13" x14ac:dyDescent="0.25">
      <c r="K206" s="115" t="str">
        <f>IF(B206="","Pending",IF(M206="","⚠️ Enter Code",IF(IFERROR(VLOOKUP(L206,DB_Agents!$B:$I,8,0),"")=M206,"Pending","🔒 BLOCKED — Wrong Code")))</f>
        <v>Pending</v>
      </c>
      <c r="M206" s="84"/>
    </row>
    <row r="207" spans="8:13" x14ac:dyDescent="0.25">
      <c r="K207" s="15" t="str">
        <f>IF(B207="","Pending",IF(M207="","⚠️ Enter Code",IF(IFERROR(VLOOKUP(L207,DB_Agents!$B:$I,8,0),"")=M207,"Pending","🔒 BLOCKED — Wrong Code")))</f>
        <v>Pending</v>
      </c>
      <c r="M207" s="84"/>
    </row>
    <row r="208" spans="8:13" x14ac:dyDescent="0.25">
      <c r="K208" s="115" t="str">
        <f>IF(B208="","Pending",IF(M208="","⚠️ Enter Code",IF(IFERROR(VLOOKUP(L208,DB_Agents!$B:$I,8,0),"")=M208,"Pending","🔒 BLOCKED — Wrong Code")))</f>
        <v>Pending</v>
      </c>
      <c r="M208" s="84"/>
    </row>
    <row r="209" spans="11:13" x14ac:dyDescent="0.25">
      <c r="K209" s="15" t="str">
        <f>IF(B209="","Pending",IF(M209="","⚠️ Enter Code",IF(IFERROR(VLOOKUP(L209,DB_Agents!$B:$I,8,0),"")=M209,"Pending","🔒 BLOCKED — Wrong Code")))</f>
        <v>Pending</v>
      </c>
      <c r="M209" s="84"/>
    </row>
    <row r="210" spans="11:13" x14ac:dyDescent="0.25">
      <c r="K210" s="115" t="str">
        <f>IF(B210="","Pending",IF(M210="","⚠️ Enter Code",IF(IFERROR(VLOOKUP(L210,DB_Agents!$B:$I,8,0),"")=M210,"Pending","🔒 BLOCKED — Wrong Code")))</f>
        <v>Pending</v>
      </c>
      <c r="M210" s="84"/>
    </row>
    <row r="211" spans="11:13" x14ac:dyDescent="0.25">
      <c r="K211" s="15" t="str">
        <f>IF(B211="","Pending",IF(M211="","⚠️ Enter Code",IF(IFERROR(VLOOKUP(L211,DB_Agents!$B:$I,8,0),"")=M211,"Pending","🔒 BLOCKED — Wrong Code")))</f>
        <v>Pending</v>
      </c>
      <c r="M211" s="84"/>
    </row>
    <row r="212" spans="11:13" x14ac:dyDescent="0.25">
      <c r="K212" s="115" t="str">
        <f>IF(B212="","Pending",IF(M212="","⚠️ Enter Code",IF(IFERROR(VLOOKUP(L212,DB_Agents!$B:$I,8,0),"")=M212,"Pending","🔒 BLOCKED — Wrong Code")))</f>
        <v>Pending</v>
      </c>
      <c r="M212" s="84"/>
    </row>
    <row r="213" spans="11:13" x14ac:dyDescent="0.25">
      <c r="K213" s="15" t="str">
        <f>IF(B213="","Pending",IF(M213="","⚠️ Enter Code",IF(IFERROR(VLOOKUP(L213,DB_Agents!$B:$I,8,0),"")=M213,"Pending","🔒 BLOCKED — Wrong Code")))</f>
        <v>Pending</v>
      </c>
      <c r="M213" s="84"/>
    </row>
  </sheetData>
  <mergeCells count="10">
    <mergeCell ref="B7:D7"/>
    <mergeCell ref="B8:D8"/>
    <mergeCell ref="B9:D9"/>
    <mergeCell ref="B10:D10"/>
    <mergeCell ref="A12:N12"/>
    <mergeCell ref="A1:N1"/>
    <mergeCell ref="A2:N2"/>
    <mergeCell ref="A4:D4"/>
    <mergeCell ref="B5:D5"/>
    <mergeCell ref="B6:D6"/>
  </mergeCells>
  <conditionalFormatting sqref="K14:K113">
    <cfRule type="cellIs" dxfId="25" priority="2" operator="equal">
      <formula>"Approved"</formula>
    </cfRule>
    <cfRule type="cellIs" dxfId="24" priority="3" operator="equal">
      <formula>"Pending"</formula>
    </cfRule>
    <cfRule type="cellIs" dxfId="23" priority="4" operator="equal">
      <formula>"Rejected"</formula>
    </cfRule>
  </conditionalFormatting>
  <dataValidations count="2">
    <dataValidation type="whole" showErrorMessage="1" error="Enter 1-36 months" sqref="G14:G113" xr:uid="{00000000-0002-0000-1C00-000000000000}">
      <formula1>1</formula1>
      <formula2>36</formula2>
    </dataValidation>
    <dataValidation type="list" sqref="L14:L113" xr:uid="{00000000-0002-0000-1C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tabColor rgb="FF27AE60"/>
  </sheetPr>
  <dimension ref="A1:L208"/>
  <sheetViews>
    <sheetView zoomScaleNormal="100" workbookViewId="0">
      <pane ySplit="8" topLeftCell="A9" activePane="bottomLeft" state="frozen"/>
      <selection pane="bottomLeft"/>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2" customWidth="1"/>
    <col min="8" max="8" width="14" customWidth="1"/>
    <col min="9" max="10" width="22" customWidth="1"/>
  </cols>
  <sheetData>
    <row r="1" spans="1:12" ht="31.5" customHeight="1" x14ac:dyDescent="0.25">
      <c r="A1" s="14" t="s">
        <v>230</v>
      </c>
      <c r="B1" s="14"/>
      <c r="C1" s="14"/>
      <c r="D1" s="14"/>
      <c r="E1" s="14"/>
      <c r="F1" s="14"/>
      <c r="G1" s="14"/>
      <c r="H1" s="14"/>
      <c r="I1" s="14"/>
      <c r="J1" s="14"/>
      <c r="K1" s="14"/>
      <c r="L1" s="14"/>
    </row>
    <row r="2" spans="1:12" ht="19.5" customHeight="1" x14ac:dyDescent="0.25">
      <c r="A2" s="204" t="s">
        <v>231</v>
      </c>
      <c r="B2" s="204"/>
      <c r="C2" s="204"/>
      <c r="D2" s="204"/>
      <c r="E2" s="204"/>
      <c r="F2" s="204"/>
      <c r="G2" s="204"/>
      <c r="H2" s="204"/>
      <c r="I2" s="204"/>
      <c r="J2" s="204"/>
      <c r="K2" s="204"/>
      <c r="L2" s="204"/>
    </row>
    <row r="3" spans="1:12" ht="18" customHeight="1" x14ac:dyDescent="0.25">
      <c r="A3" s="177" t="s">
        <v>167</v>
      </c>
      <c r="B3" s="177"/>
      <c r="C3" s="177"/>
      <c r="D3" s="180" t="s">
        <v>168</v>
      </c>
      <c r="E3" s="180"/>
      <c r="F3" s="180"/>
      <c r="G3" s="154" t="s">
        <v>169</v>
      </c>
      <c r="H3" s="154"/>
      <c r="I3" s="154"/>
      <c r="J3" s="2"/>
      <c r="K3" s="2"/>
      <c r="L3" s="2"/>
    </row>
    <row r="4" spans="1:12" ht="27.75" customHeight="1" x14ac:dyDescent="0.25">
      <c r="A4" s="205">
        <f ca="1">SUMIFS(DB_Savings!$F:$F,DB_Savings!$G:$G,"Agent 09",DB_Savings!$E:$E,TODAY())</f>
        <v>0</v>
      </c>
      <c r="B4" s="205"/>
      <c r="C4" s="205"/>
      <c r="D4" s="206">
        <f ca="1">COUNTIFS(DB_Savings!$G:$G,"Agent 09",DB_Savings!$E:$E,TODAY())</f>
        <v>0</v>
      </c>
      <c r="E4" s="206"/>
      <c r="F4" s="206"/>
      <c r="G4" s="207" t="str">
        <f ca="1">TEXT(TODAY(),"DDDD, DD MMMM YYYY")</f>
        <v>Sunday, 19 April 2026</v>
      </c>
      <c r="H4" s="207"/>
      <c r="I4" s="207"/>
      <c r="J4" s="2"/>
      <c r="K4" s="2"/>
      <c r="L4" s="2"/>
    </row>
    <row r="5" spans="1:12" ht="21.75" customHeight="1" x14ac:dyDescent="0.25">
      <c r="A5" s="208" t="str">
        <f ca="1">IF(SUMIFS(DB_Savings!$F:$F,DB_Savings!$G:$G,"Agent 09",DB_Savings!$E:$E,TODAY())&gt;=J4,"✅ DAILY TARGET ACHIEVED! Well done Agent 09!","⏳ Collection in progress — Keep going! Remaining: GHC "&amp;TEXT(J4-SUMIFS(DB_Savings!$F:$F,DB_Savings!$G:$G,"Agent 09",DB_Savings!$E:$E,TODAY()),"#,##0.00"))</f>
        <v>✅ DAILY TARGET ACHIEVED! Well done Agent 09!</v>
      </c>
      <c r="B5" s="208"/>
      <c r="C5" s="208"/>
      <c r="D5" s="208"/>
      <c r="E5" s="208"/>
      <c r="F5" s="208"/>
      <c r="G5" s="208"/>
      <c r="H5" s="208"/>
      <c r="I5" s="208"/>
      <c r="J5" s="208"/>
      <c r="K5" s="208"/>
      <c r="L5" s="208"/>
    </row>
    <row r="6" spans="1:12" ht="7.5" customHeight="1" x14ac:dyDescent="0.25"/>
    <row r="7" spans="1:12" ht="19.5" customHeight="1" x14ac:dyDescent="0.25">
      <c r="A7" s="209" t="s">
        <v>170</v>
      </c>
      <c r="B7" s="209"/>
      <c r="C7" s="209"/>
      <c r="D7" s="209"/>
      <c r="E7" s="209"/>
      <c r="F7" s="209"/>
      <c r="G7" s="209"/>
      <c r="H7" s="209"/>
      <c r="I7" s="209"/>
      <c r="J7" s="209"/>
      <c r="K7" s="209"/>
      <c r="L7" s="209"/>
    </row>
    <row r="8" spans="1:12" ht="19.5" customHeight="1" x14ac:dyDescent="0.25">
      <c r="A8" s="20" t="s">
        <v>171</v>
      </c>
      <c r="B8" s="20" t="s">
        <v>118</v>
      </c>
      <c r="C8" s="20" t="s">
        <v>172</v>
      </c>
      <c r="D8" s="20" t="s">
        <v>111</v>
      </c>
      <c r="E8" s="20" t="s">
        <v>173</v>
      </c>
      <c r="F8" s="20" t="s">
        <v>174</v>
      </c>
      <c r="G8" s="20" t="s">
        <v>32</v>
      </c>
      <c r="H8" s="78" t="s">
        <v>175</v>
      </c>
      <c r="I8" s="20" t="s">
        <v>155</v>
      </c>
      <c r="J8" s="20" t="s">
        <v>176</v>
      </c>
      <c r="K8" s="20" t="s">
        <v>177</v>
      </c>
    </row>
    <row r="9" spans="1:12" x14ac:dyDescent="0.25">
      <c r="A9" s="79"/>
      <c r="B9" s="21" t="str">
        <f>IF(A9="","",IFERROR(VLOOKUP(A9,DB_Customers!$A:$D,4,0),"❌ Account Not Found"))</f>
        <v/>
      </c>
      <c r="C9" s="80" t="str">
        <f>IF(A9="","",IFERROR(VLOOKUP(A9,DB_Customers!$A:$N,14,0),""))</f>
        <v/>
      </c>
      <c r="D9" s="81" t="str">
        <f t="shared" ref="D9:D40" ca="1" si="0">IF(A9="","",TODAY())</f>
        <v/>
      </c>
      <c r="E9" s="82"/>
      <c r="F9" s="83" t="str">
        <f t="shared" ref="F9:F40" si="1">IF(OR(A9="",E9=""),"",IF(C9="","",C9+E9))</f>
        <v/>
      </c>
      <c r="G9" s="23" t="s">
        <v>49</v>
      </c>
      <c r="H9" s="84"/>
      <c r="I9" s="85" t="str">
        <f>IF(A9="","Pending",IF(H9="","⚠️ Enter Code",IF(IFERROR(VLOOKUP(G9,DB_Agents!$B:$I,8,0),"")=H9,IF(AND(A9&lt;&gt;"",E9&lt;&gt;""),"Saved","Pending"),"🔒 BLOCKED — Wrong Code")))</f>
        <v>Pending</v>
      </c>
      <c r="J9" s="86" t="str">
        <f t="shared" ref="J9:J40" ca="1" si="2">IF(I9="Saved",TEXT(TODAY(),"YYYY-MM-DD")&amp;" Auto","—")</f>
        <v>—</v>
      </c>
      <c r="K9" s="87"/>
    </row>
    <row r="10" spans="1:12" x14ac:dyDescent="0.25">
      <c r="A10" s="88"/>
      <c r="B10" s="25" t="str">
        <f>IF(A10="","",IFERROR(VLOOKUP(A10,DB_Customers!$A:$D,4,0),"❌ Account Not Found"))</f>
        <v/>
      </c>
      <c r="C10" s="89" t="str">
        <f>IF(A10="","",IFERROR(VLOOKUP(A10,DB_Customers!$A:$N,14,0),""))</f>
        <v/>
      </c>
      <c r="D10" s="90" t="str">
        <f t="shared" ca="1" si="0"/>
        <v/>
      </c>
      <c r="E10" s="82"/>
      <c r="F10" s="91" t="str">
        <f t="shared" si="1"/>
        <v/>
      </c>
      <c r="G10" s="27" t="s">
        <v>49</v>
      </c>
      <c r="H10" s="84"/>
      <c r="I10" s="92" t="str">
        <f>IF(A10="","Pending",IF(H10="","⚠️ Enter Code",IF(IFERROR(VLOOKUP(G10,DB_Agents!$B:$I,8,0),"")=H10,IF(AND(A10&lt;&gt;"",E10&lt;&gt;""),"Saved","Pending"),"🔒 BLOCKED — Wrong Code")))</f>
        <v>Pending</v>
      </c>
      <c r="J10" s="93" t="str">
        <f t="shared" ca="1" si="2"/>
        <v>—</v>
      </c>
      <c r="K10" s="94"/>
    </row>
    <row r="11" spans="1:12" x14ac:dyDescent="0.25">
      <c r="A11" s="79"/>
      <c r="B11" s="21" t="str">
        <f>IF(A11="","",IFERROR(VLOOKUP(A11,DB_Customers!$A:$D,4,0),"❌ Account Not Found"))</f>
        <v/>
      </c>
      <c r="C11" s="80" t="str">
        <f>IF(A11="","",IFERROR(VLOOKUP(A11,DB_Customers!$A:$N,14,0),""))</f>
        <v/>
      </c>
      <c r="D11" s="81" t="str">
        <f t="shared" ca="1" si="0"/>
        <v/>
      </c>
      <c r="E11" s="82"/>
      <c r="F11" s="83" t="str">
        <f t="shared" si="1"/>
        <v/>
      </c>
      <c r="G11" s="23" t="s">
        <v>49</v>
      </c>
      <c r="H11" s="84"/>
      <c r="I11" s="85" t="str">
        <f>IF(A11="","Pending",IF(H11="","⚠️ Enter Code",IF(IFERROR(VLOOKUP(G11,DB_Agents!$B:$I,8,0),"")=H11,IF(AND(A11&lt;&gt;"",E11&lt;&gt;""),"Saved","Pending"),"🔒 BLOCKED — Wrong Code")))</f>
        <v>Pending</v>
      </c>
      <c r="J11" s="86" t="str">
        <f t="shared" ca="1" si="2"/>
        <v>—</v>
      </c>
      <c r="K11" s="87"/>
    </row>
    <row r="12" spans="1:12" x14ac:dyDescent="0.25">
      <c r="A12" s="88"/>
      <c r="B12" s="25" t="str">
        <f>IF(A12="","",IFERROR(VLOOKUP(A12,DB_Customers!$A:$D,4,0),"❌ Account Not Found"))</f>
        <v/>
      </c>
      <c r="C12" s="89" t="str">
        <f>IF(A12="","",IFERROR(VLOOKUP(A12,DB_Customers!$A:$N,14,0),""))</f>
        <v/>
      </c>
      <c r="D12" s="90" t="str">
        <f t="shared" ca="1" si="0"/>
        <v/>
      </c>
      <c r="E12" s="82"/>
      <c r="F12" s="91" t="str">
        <f t="shared" si="1"/>
        <v/>
      </c>
      <c r="G12" s="27" t="s">
        <v>49</v>
      </c>
      <c r="H12" s="84"/>
      <c r="I12" s="92" t="str">
        <f>IF(A12="","Pending",IF(H12="","⚠️ Enter Code",IF(IFERROR(VLOOKUP(G12,DB_Agents!$B:$I,8,0),"")=H12,IF(AND(A12&lt;&gt;"",E12&lt;&gt;""),"Saved","Pending"),"🔒 BLOCKED — Wrong Code")))</f>
        <v>Pending</v>
      </c>
      <c r="J12" s="93" t="str">
        <f t="shared" ca="1" si="2"/>
        <v>—</v>
      </c>
      <c r="K12" s="94"/>
    </row>
    <row r="13" spans="1:12" x14ac:dyDescent="0.25">
      <c r="A13" s="79"/>
      <c r="B13" s="21" t="str">
        <f>IF(A13="","",IFERROR(VLOOKUP(A13,DB_Customers!$A:$D,4,0),"❌ Account Not Found"))</f>
        <v/>
      </c>
      <c r="C13" s="80" t="str">
        <f>IF(A13="","",IFERROR(VLOOKUP(A13,DB_Customers!$A:$N,14,0),""))</f>
        <v/>
      </c>
      <c r="D13" s="81" t="str">
        <f t="shared" ca="1" si="0"/>
        <v/>
      </c>
      <c r="E13" s="82"/>
      <c r="F13" s="83" t="str">
        <f t="shared" si="1"/>
        <v/>
      </c>
      <c r="G13" s="23" t="s">
        <v>49</v>
      </c>
      <c r="H13" s="84"/>
      <c r="I13" s="85" t="str">
        <f>IF(A13="","Pending",IF(H13="","⚠️ Enter Code",IF(IFERROR(VLOOKUP(G13,DB_Agents!$B:$I,8,0),"")=H13,IF(AND(A13&lt;&gt;"",E13&lt;&gt;""),"Saved","Pending"),"🔒 BLOCKED — Wrong Code")))</f>
        <v>Pending</v>
      </c>
      <c r="J13" s="86" t="str">
        <f t="shared" ca="1" si="2"/>
        <v>—</v>
      </c>
      <c r="K13" s="87"/>
    </row>
    <row r="14" spans="1:12" x14ac:dyDescent="0.25">
      <c r="A14" s="88"/>
      <c r="B14" s="25" t="str">
        <f>IF(A14="","",IFERROR(VLOOKUP(A14,DB_Customers!$A:$D,4,0),"❌ Account Not Found"))</f>
        <v/>
      </c>
      <c r="C14" s="89" t="str">
        <f>IF(A14="","",IFERROR(VLOOKUP(A14,DB_Customers!$A:$N,14,0),""))</f>
        <v/>
      </c>
      <c r="D14" s="90" t="str">
        <f t="shared" ca="1" si="0"/>
        <v/>
      </c>
      <c r="E14" s="82"/>
      <c r="F14" s="91" t="str">
        <f t="shared" si="1"/>
        <v/>
      </c>
      <c r="G14" s="27"/>
      <c r="H14" s="84"/>
      <c r="I14" s="92" t="str">
        <f>IF(A14="","Pending",IF(H14="","⚠️ Enter Code",IF(IFERROR(VLOOKUP(G14,DB_Agents!$B:$I,8,0),"")=H14,IF(AND(A14&lt;&gt;"",E14&lt;&gt;""),"Saved","Pending"),"🔒 BLOCKED — Wrong Code")))</f>
        <v>Pending</v>
      </c>
      <c r="J14" s="93" t="str">
        <f t="shared" ca="1" si="2"/>
        <v>—</v>
      </c>
      <c r="K14" s="94"/>
    </row>
    <row r="15" spans="1:12" x14ac:dyDescent="0.25">
      <c r="A15" s="79"/>
      <c r="B15" s="21" t="str">
        <f>IF(A15="","",IFERROR(VLOOKUP(A15,DB_Customers!$A:$D,4,0),"❌ Account Not Found"))</f>
        <v/>
      </c>
      <c r="C15" s="80" t="str">
        <f>IF(A15="","",IFERROR(VLOOKUP(A15,DB_Customers!$A:$N,14,0),""))</f>
        <v/>
      </c>
      <c r="D15" s="81" t="str">
        <f t="shared" ca="1" si="0"/>
        <v/>
      </c>
      <c r="E15" s="82"/>
      <c r="F15" s="83" t="str">
        <f t="shared" si="1"/>
        <v/>
      </c>
      <c r="G15" s="23"/>
      <c r="H15" s="84"/>
      <c r="I15" s="85" t="str">
        <f>IF(A15="","Pending",IF(H15="","⚠️ Enter Code",IF(IFERROR(VLOOKUP(G15,DB_Agents!$B:$I,8,0),"")=H15,IF(AND(A15&lt;&gt;"",E15&lt;&gt;""),"Saved","Pending"),"🔒 BLOCKED — Wrong Code")))</f>
        <v>Pending</v>
      </c>
      <c r="J15" s="86" t="str">
        <f t="shared" ca="1" si="2"/>
        <v>—</v>
      </c>
      <c r="K15" s="87"/>
    </row>
    <row r="16" spans="1:12" x14ac:dyDescent="0.25">
      <c r="A16" s="88"/>
      <c r="B16" s="25" t="str">
        <f>IF(A16="","",IFERROR(VLOOKUP(A16,DB_Customers!$A:$D,4,0),"❌ Account Not Found"))</f>
        <v/>
      </c>
      <c r="C16" s="89" t="str">
        <f>IF(A16="","",IFERROR(VLOOKUP(A16,DB_Customers!$A:$N,14,0),""))</f>
        <v/>
      </c>
      <c r="D16" s="90" t="str">
        <f t="shared" ca="1" si="0"/>
        <v/>
      </c>
      <c r="E16" s="82"/>
      <c r="F16" s="91" t="str">
        <f t="shared" si="1"/>
        <v/>
      </c>
      <c r="G16" s="27"/>
      <c r="H16" s="84"/>
      <c r="I16" s="92" t="str">
        <f>IF(A16="","Pending",IF(H16="","⚠️ Enter Code",IF(IFERROR(VLOOKUP(G16,DB_Agents!$B:$I,8,0),"")=H16,IF(AND(A16&lt;&gt;"",E16&lt;&gt;""),"Saved","Pending"),"🔒 BLOCKED — Wrong Code")))</f>
        <v>Pending</v>
      </c>
      <c r="J16" s="93" t="str">
        <f t="shared" ca="1" si="2"/>
        <v>—</v>
      </c>
      <c r="K16" s="94"/>
    </row>
    <row r="17" spans="1:11" x14ac:dyDescent="0.25">
      <c r="A17" s="79"/>
      <c r="B17" s="21" t="str">
        <f>IF(A17="","",IFERROR(VLOOKUP(A17,DB_Customers!$A:$D,4,0),"❌ Account Not Found"))</f>
        <v/>
      </c>
      <c r="C17" s="80" t="str">
        <f>IF(A17="","",IFERROR(VLOOKUP(A17,DB_Customers!$A:$N,14,0),""))</f>
        <v/>
      </c>
      <c r="D17" s="81" t="str">
        <f t="shared" ca="1" si="0"/>
        <v/>
      </c>
      <c r="E17" s="82"/>
      <c r="F17" s="83" t="str">
        <f t="shared" si="1"/>
        <v/>
      </c>
      <c r="G17" s="23"/>
      <c r="H17" s="84"/>
      <c r="I17" s="85" t="str">
        <f>IF(A17="","Pending",IF(H17="","⚠️ Enter Code",IF(IFERROR(VLOOKUP(G17,DB_Agents!$B:$I,8,0),"")=H17,IF(AND(A17&lt;&gt;"",E17&lt;&gt;""),"Saved","Pending"),"🔒 BLOCKED — Wrong Code")))</f>
        <v>Pending</v>
      </c>
      <c r="J17" s="86" t="str">
        <f t="shared" ca="1" si="2"/>
        <v>—</v>
      </c>
      <c r="K17" s="87"/>
    </row>
    <row r="18" spans="1:11" x14ac:dyDescent="0.25">
      <c r="A18" s="88"/>
      <c r="B18" s="25" t="str">
        <f>IF(A18="","",IFERROR(VLOOKUP(A18,DB_Customers!$A:$D,4,0),"❌ Account Not Found"))</f>
        <v/>
      </c>
      <c r="C18" s="89" t="str">
        <f>IF(A18="","",IFERROR(VLOOKUP(A18,DB_Customers!$A:$N,14,0),""))</f>
        <v/>
      </c>
      <c r="D18" s="90" t="str">
        <f t="shared" ca="1" si="0"/>
        <v/>
      </c>
      <c r="E18" s="82"/>
      <c r="F18" s="91" t="str">
        <f t="shared" si="1"/>
        <v/>
      </c>
      <c r="G18" s="27"/>
      <c r="H18" s="84"/>
      <c r="I18" s="92" t="str">
        <f>IF(A18="","Pending",IF(H18="","⚠️ Enter Code",IF(IFERROR(VLOOKUP(G18,DB_Agents!$B:$I,8,0),"")=H18,IF(AND(A18&lt;&gt;"",E18&lt;&gt;""),"Saved","Pending"),"🔒 BLOCKED — Wrong Code")))</f>
        <v>Pending</v>
      </c>
      <c r="J18" s="93" t="str">
        <f t="shared" ca="1" si="2"/>
        <v>—</v>
      </c>
      <c r="K18" s="94"/>
    </row>
    <row r="19" spans="1:11" x14ac:dyDescent="0.25">
      <c r="A19" s="79"/>
      <c r="B19" s="21" t="str">
        <f>IF(A19="","",IFERROR(VLOOKUP(A19,DB_Customers!$A:$D,4,0),"❌ Account Not Found"))</f>
        <v/>
      </c>
      <c r="C19" s="80" t="str">
        <f>IF(A19="","",IFERROR(VLOOKUP(A19,DB_Customers!$A:$N,14,0),""))</f>
        <v/>
      </c>
      <c r="D19" s="81" t="str">
        <f t="shared" ca="1" si="0"/>
        <v/>
      </c>
      <c r="E19" s="82"/>
      <c r="F19" s="83" t="str">
        <f t="shared" si="1"/>
        <v/>
      </c>
      <c r="G19" s="23"/>
      <c r="H19" s="84"/>
      <c r="I19" s="85" t="str">
        <f>IF(A19="","Pending",IF(H19="","⚠️ Enter Code",IF(IFERROR(VLOOKUP(G19,DB_Agents!$B:$I,8,0),"")=H19,IF(AND(A19&lt;&gt;"",E19&lt;&gt;""),"Saved","Pending"),"🔒 BLOCKED — Wrong Code")))</f>
        <v>Pending</v>
      </c>
      <c r="J19" s="86" t="str">
        <f t="shared" ca="1" si="2"/>
        <v>—</v>
      </c>
      <c r="K19" s="87"/>
    </row>
    <row r="20" spans="1:11" x14ac:dyDescent="0.25">
      <c r="A20" s="88"/>
      <c r="B20" s="25" t="str">
        <f>IF(A20="","",IFERROR(VLOOKUP(A20,DB_Customers!$A:$D,4,0),"❌ Account Not Found"))</f>
        <v/>
      </c>
      <c r="C20" s="89" t="str">
        <f>IF(A20="","",IFERROR(VLOOKUP(A20,DB_Customers!$A:$N,14,0),""))</f>
        <v/>
      </c>
      <c r="D20" s="90" t="str">
        <f t="shared" ca="1" si="0"/>
        <v/>
      </c>
      <c r="E20" s="82"/>
      <c r="F20" s="91" t="str">
        <f t="shared" si="1"/>
        <v/>
      </c>
      <c r="G20" s="27"/>
      <c r="H20" s="84"/>
      <c r="I20" s="92" t="str">
        <f>IF(A20="","Pending",IF(H20="","⚠️ Enter Code",IF(IFERROR(VLOOKUP(G20,DB_Agents!$B:$I,8,0),"")=H20,IF(AND(A20&lt;&gt;"",E20&lt;&gt;""),"Saved","Pending"),"🔒 BLOCKED — Wrong Code")))</f>
        <v>Pending</v>
      </c>
      <c r="J20" s="93" t="str">
        <f t="shared" ca="1" si="2"/>
        <v>—</v>
      </c>
      <c r="K20" s="94"/>
    </row>
    <row r="21" spans="1:11" x14ac:dyDescent="0.25">
      <c r="A21" s="79"/>
      <c r="B21" s="21" t="str">
        <f>IF(A21="","",IFERROR(VLOOKUP(A21,DB_Customers!$A:$D,4,0),"❌ Account Not Found"))</f>
        <v/>
      </c>
      <c r="C21" s="80" t="str">
        <f>IF(A21="","",IFERROR(VLOOKUP(A21,DB_Customers!$A:$N,14,0),""))</f>
        <v/>
      </c>
      <c r="D21" s="81" t="str">
        <f t="shared" ca="1" si="0"/>
        <v/>
      </c>
      <c r="E21" s="82"/>
      <c r="F21" s="83" t="str">
        <f t="shared" si="1"/>
        <v/>
      </c>
      <c r="G21" s="23"/>
      <c r="H21" s="84"/>
      <c r="I21" s="85" t="str">
        <f>IF(A21="","Pending",IF(H21="","⚠️ Enter Code",IF(IFERROR(VLOOKUP(G21,DB_Agents!$B:$I,8,0),"")=H21,IF(AND(A21&lt;&gt;"",E21&lt;&gt;""),"Saved","Pending"),"🔒 BLOCKED — Wrong Code")))</f>
        <v>Pending</v>
      </c>
      <c r="J21" s="86" t="str">
        <f t="shared" ca="1" si="2"/>
        <v>—</v>
      </c>
      <c r="K21" s="87"/>
    </row>
    <row r="22" spans="1:11" x14ac:dyDescent="0.25">
      <c r="A22" s="88"/>
      <c r="B22" s="25" t="str">
        <f>IF(A22="","",IFERROR(VLOOKUP(A22,DB_Customers!$A:$D,4,0),"❌ Account Not Found"))</f>
        <v/>
      </c>
      <c r="C22" s="89" t="str">
        <f>IF(A22="","",IFERROR(VLOOKUP(A22,DB_Customers!$A:$N,14,0),""))</f>
        <v/>
      </c>
      <c r="D22" s="90" t="str">
        <f t="shared" ca="1" si="0"/>
        <v/>
      </c>
      <c r="E22" s="82"/>
      <c r="F22" s="91" t="str">
        <f t="shared" si="1"/>
        <v/>
      </c>
      <c r="G22" s="27"/>
      <c r="H22" s="84"/>
      <c r="I22" s="92" t="str">
        <f>IF(A22="","Pending",IF(H22="","⚠️ Enter Code",IF(IFERROR(VLOOKUP(G22,DB_Agents!$B:$I,8,0),"")=H22,IF(AND(A22&lt;&gt;"",E22&lt;&gt;""),"Saved","Pending"),"🔒 BLOCKED — Wrong Code")))</f>
        <v>Pending</v>
      </c>
      <c r="J22" s="93" t="str">
        <f t="shared" ca="1" si="2"/>
        <v>—</v>
      </c>
      <c r="K22" s="94"/>
    </row>
    <row r="23" spans="1:11" x14ac:dyDescent="0.25">
      <c r="A23" s="79"/>
      <c r="B23" s="21" t="str">
        <f>IF(A23="","",IFERROR(VLOOKUP(A23,DB_Customers!$A:$D,4,0),"❌ Account Not Found"))</f>
        <v/>
      </c>
      <c r="C23" s="80" t="str">
        <f>IF(A23="","",IFERROR(VLOOKUP(A23,DB_Customers!$A:$N,14,0),""))</f>
        <v/>
      </c>
      <c r="D23" s="81" t="str">
        <f t="shared" ca="1" si="0"/>
        <v/>
      </c>
      <c r="E23" s="82"/>
      <c r="F23" s="83" t="str">
        <f t="shared" si="1"/>
        <v/>
      </c>
      <c r="G23" s="23"/>
      <c r="H23" s="84"/>
      <c r="I23" s="85" t="str">
        <f>IF(A23="","Pending",IF(H23="","⚠️ Enter Code",IF(IFERROR(VLOOKUP(G23,DB_Agents!$B:$I,8,0),"")=H23,IF(AND(A23&lt;&gt;"",E23&lt;&gt;""),"Saved","Pending"),"🔒 BLOCKED — Wrong Code")))</f>
        <v>Pending</v>
      </c>
      <c r="J23" s="86" t="str">
        <f t="shared" ca="1" si="2"/>
        <v>—</v>
      </c>
      <c r="K23" s="87"/>
    </row>
    <row r="24" spans="1:11" x14ac:dyDescent="0.25">
      <c r="A24" s="88"/>
      <c r="B24" s="25" t="str">
        <f>IF(A24="","",IFERROR(VLOOKUP(A24,DB_Customers!$A:$D,4,0),"❌ Account Not Found"))</f>
        <v/>
      </c>
      <c r="C24" s="89" t="str">
        <f>IF(A24="","",IFERROR(VLOOKUP(A24,DB_Customers!$A:$N,14,0),""))</f>
        <v/>
      </c>
      <c r="D24" s="90" t="str">
        <f t="shared" ca="1" si="0"/>
        <v/>
      </c>
      <c r="E24" s="82"/>
      <c r="F24" s="91" t="str">
        <f t="shared" si="1"/>
        <v/>
      </c>
      <c r="G24" s="27"/>
      <c r="H24" s="84"/>
      <c r="I24" s="92" t="str">
        <f>IF(A24="","Pending",IF(H24="","⚠️ Enter Code",IF(IFERROR(VLOOKUP(G24,DB_Agents!$B:$I,8,0),"")=H24,IF(AND(A24&lt;&gt;"",E24&lt;&gt;""),"Saved","Pending"),"🔒 BLOCKED — Wrong Code")))</f>
        <v>Pending</v>
      </c>
      <c r="J24" s="93" t="str">
        <f t="shared" ca="1" si="2"/>
        <v>—</v>
      </c>
      <c r="K24" s="94"/>
    </row>
    <row r="25" spans="1:11" x14ac:dyDescent="0.25">
      <c r="A25" s="79"/>
      <c r="B25" s="21" t="str">
        <f>IF(A25="","",IFERROR(VLOOKUP(A25,DB_Customers!$A:$D,4,0),"❌ Account Not Found"))</f>
        <v/>
      </c>
      <c r="C25" s="80" t="str">
        <f>IF(A25="","",IFERROR(VLOOKUP(A25,DB_Customers!$A:$N,14,0),""))</f>
        <v/>
      </c>
      <c r="D25" s="81" t="str">
        <f t="shared" ca="1" si="0"/>
        <v/>
      </c>
      <c r="E25" s="82"/>
      <c r="F25" s="83" t="str">
        <f t="shared" si="1"/>
        <v/>
      </c>
      <c r="G25" s="23"/>
      <c r="H25" s="84"/>
      <c r="I25" s="85" t="str">
        <f>IF(A25="","Pending",IF(H25="","⚠️ Enter Code",IF(IFERROR(VLOOKUP(G25,DB_Agents!$B:$I,8,0),"")=H25,IF(AND(A25&lt;&gt;"",E25&lt;&gt;""),"Saved","Pending"),"🔒 BLOCKED — Wrong Code")))</f>
        <v>Pending</v>
      </c>
      <c r="J25" s="86" t="str">
        <f t="shared" ca="1" si="2"/>
        <v>—</v>
      </c>
      <c r="K25" s="87"/>
    </row>
    <row r="26" spans="1:11" x14ac:dyDescent="0.25">
      <c r="A26" s="88"/>
      <c r="B26" s="25" t="str">
        <f>IF(A26="","",IFERROR(VLOOKUP(A26,DB_Customers!$A:$D,4,0),"❌ Account Not Found"))</f>
        <v/>
      </c>
      <c r="C26" s="89" t="str">
        <f>IF(A26="","",IFERROR(VLOOKUP(A26,DB_Customers!$A:$N,14,0),""))</f>
        <v/>
      </c>
      <c r="D26" s="90" t="str">
        <f t="shared" ca="1" si="0"/>
        <v/>
      </c>
      <c r="E26" s="82"/>
      <c r="F26" s="91" t="str">
        <f t="shared" si="1"/>
        <v/>
      </c>
      <c r="G26" s="27"/>
      <c r="H26" s="84"/>
      <c r="I26" s="92" t="str">
        <f>IF(A26="","Pending",IF(H26="","⚠️ Enter Code",IF(IFERROR(VLOOKUP(G26,DB_Agents!$B:$I,8,0),"")=H26,IF(AND(A26&lt;&gt;"",E26&lt;&gt;""),"Saved","Pending"),"🔒 BLOCKED — Wrong Code")))</f>
        <v>Pending</v>
      </c>
      <c r="J26" s="93" t="str">
        <f t="shared" ca="1" si="2"/>
        <v>—</v>
      </c>
      <c r="K26" s="94"/>
    </row>
    <row r="27" spans="1:11" x14ac:dyDescent="0.25">
      <c r="A27" s="79"/>
      <c r="B27" s="21" t="str">
        <f>IF(A27="","",IFERROR(VLOOKUP(A27,DB_Customers!$A:$D,4,0),"❌ Account Not Found"))</f>
        <v/>
      </c>
      <c r="C27" s="80" t="str">
        <f>IF(A27="","",IFERROR(VLOOKUP(A27,DB_Customers!$A:$N,14,0),""))</f>
        <v/>
      </c>
      <c r="D27" s="81" t="str">
        <f t="shared" ca="1" si="0"/>
        <v/>
      </c>
      <c r="E27" s="82"/>
      <c r="F27" s="83" t="str">
        <f t="shared" si="1"/>
        <v/>
      </c>
      <c r="G27" s="23"/>
      <c r="H27" s="84"/>
      <c r="I27" s="85" t="str">
        <f>IF(A27="","Pending",IF(H27="","⚠️ Enter Code",IF(IFERROR(VLOOKUP(G27,DB_Agents!$B:$I,8,0),"")=H27,IF(AND(A27&lt;&gt;"",E27&lt;&gt;""),"Saved","Pending"),"🔒 BLOCKED — Wrong Code")))</f>
        <v>Pending</v>
      </c>
      <c r="J27" s="86" t="str">
        <f t="shared" ca="1" si="2"/>
        <v>—</v>
      </c>
      <c r="K27" s="87"/>
    </row>
    <row r="28" spans="1:11" x14ac:dyDescent="0.25">
      <c r="A28" s="88"/>
      <c r="B28" s="25" t="str">
        <f>IF(A28="","",IFERROR(VLOOKUP(A28,DB_Customers!$A:$D,4,0),"❌ Account Not Found"))</f>
        <v/>
      </c>
      <c r="C28" s="89" t="str">
        <f>IF(A28="","",IFERROR(VLOOKUP(A28,DB_Customers!$A:$N,14,0),""))</f>
        <v/>
      </c>
      <c r="D28" s="90" t="str">
        <f t="shared" ca="1" si="0"/>
        <v/>
      </c>
      <c r="E28" s="82"/>
      <c r="F28" s="91" t="str">
        <f t="shared" si="1"/>
        <v/>
      </c>
      <c r="G28" s="27"/>
      <c r="H28" s="84"/>
      <c r="I28" s="92" t="str">
        <f>IF(A28="","Pending",IF(H28="","⚠️ Enter Code",IF(IFERROR(VLOOKUP(G28,DB_Agents!$B:$I,8,0),"")=H28,IF(AND(A28&lt;&gt;"",E28&lt;&gt;""),"Saved","Pending"),"🔒 BLOCKED — Wrong Code")))</f>
        <v>Pending</v>
      </c>
      <c r="J28" s="93" t="str">
        <f t="shared" ca="1" si="2"/>
        <v>—</v>
      </c>
      <c r="K28" s="94"/>
    </row>
    <row r="29" spans="1:11" x14ac:dyDescent="0.25">
      <c r="A29" s="79"/>
      <c r="B29" s="21" t="str">
        <f>IF(A29="","",IFERROR(VLOOKUP(A29,DB_Customers!$A:$D,4,0),"❌ Account Not Found"))</f>
        <v/>
      </c>
      <c r="C29" s="80" t="str">
        <f>IF(A29="","",IFERROR(VLOOKUP(A29,DB_Customers!$A:$N,14,0),""))</f>
        <v/>
      </c>
      <c r="D29" s="81" t="str">
        <f t="shared" ca="1" si="0"/>
        <v/>
      </c>
      <c r="E29" s="82"/>
      <c r="F29" s="83" t="str">
        <f t="shared" si="1"/>
        <v/>
      </c>
      <c r="G29" s="23"/>
      <c r="H29" s="84"/>
      <c r="I29" s="85" t="str">
        <f>IF(A29="","Pending",IF(H29="","⚠️ Enter Code",IF(IFERROR(VLOOKUP(G29,DB_Agents!$B:$I,8,0),"")=H29,IF(AND(A29&lt;&gt;"",E29&lt;&gt;""),"Saved","Pending"),"🔒 BLOCKED — Wrong Code")))</f>
        <v>Pending</v>
      </c>
      <c r="J29" s="86" t="str">
        <f t="shared" ca="1" si="2"/>
        <v>—</v>
      </c>
      <c r="K29" s="87"/>
    </row>
    <row r="30" spans="1:11" x14ac:dyDescent="0.25">
      <c r="A30" s="88"/>
      <c r="B30" s="25" t="str">
        <f>IF(A30="","",IFERROR(VLOOKUP(A30,DB_Customers!$A:$D,4,0),"❌ Account Not Found"))</f>
        <v/>
      </c>
      <c r="C30" s="89" t="str">
        <f>IF(A30="","",IFERROR(VLOOKUP(A30,DB_Customers!$A:$N,14,0),""))</f>
        <v/>
      </c>
      <c r="D30" s="90" t="str">
        <f t="shared" ca="1" si="0"/>
        <v/>
      </c>
      <c r="E30" s="82"/>
      <c r="F30" s="91" t="str">
        <f t="shared" si="1"/>
        <v/>
      </c>
      <c r="G30" s="27"/>
      <c r="H30" s="84"/>
      <c r="I30" s="92" t="str">
        <f>IF(A30="","Pending",IF(H30="","⚠️ Enter Code",IF(IFERROR(VLOOKUP(G30,DB_Agents!$B:$I,8,0),"")=H30,IF(AND(A30&lt;&gt;"",E30&lt;&gt;""),"Saved","Pending"),"🔒 BLOCKED — Wrong Code")))</f>
        <v>Pending</v>
      </c>
      <c r="J30" s="93" t="str">
        <f t="shared" ca="1" si="2"/>
        <v>—</v>
      </c>
      <c r="K30" s="94"/>
    </row>
    <row r="31" spans="1:11" x14ac:dyDescent="0.25">
      <c r="A31" s="79"/>
      <c r="B31" s="21" t="str">
        <f>IF(A31="","",IFERROR(VLOOKUP(A31,DB_Customers!$A:$D,4,0),"❌ Account Not Found"))</f>
        <v/>
      </c>
      <c r="C31" s="80" t="str">
        <f>IF(A31="","",IFERROR(VLOOKUP(A31,DB_Customers!$A:$N,14,0),""))</f>
        <v/>
      </c>
      <c r="D31" s="81" t="str">
        <f t="shared" ca="1" si="0"/>
        <v/>
      </c>
      <c r="E31" s="82"/>
      <c r="F31" s="83" t="str">
        <f t="shared" si="1"/>
        <v/>
      </c>
      <c r="G31" s="23"/>
      <c r="H31" s="84"/>
      <c r="I31" s="85" t="str">
        <f>IF(A31="","Pending",IF(H31="","⚠️ Enter Code",IF(IFERROR(VLOOKUP(G31,DB_Agents!$B:$I,8,0),"")=H31,IF(AND(A31&lt;&gt;"",E31&lt;&gt;""),"Saved","Pending"),"🔒 BLOCKED — Wrong Code")))</f>
        <v>Pending</v>
      </c>
      <c r="J31" s="86" t="str">
        <f t="shared" ca="1" si="2"/>
        <v>—</v>
      </c>
      <c r="K31" s="87"/>
    </row>
    <row r="32" spans="1:11" x14ac:dyDescent="0.25">
      <c r="A32" s="88"/>
      <c r="B32" s="25" t="str">
        <f>IF(A32="","",IFERROR(VLOOKUP(A32,DB_Customers!$A:$D,4,0),"❌ Account Not Found"))</f>
        <v/>
      </c>
      <c r="C32" s="89" t="str">
        <f>IF(A32="","",IFERROR(VLOOKUP(A32,DB_Customers!$A:$N,14,0),""))</f>
        <v/>
      </c>
      <c r="D32" s="90" t="str">
        <f t="shared" ca="1" si="0"/>
        <v/>
      </c>
      <c r="E32" s="82"/>
      <c r="F32" s="91" t="str">
        <f t="shared" si="1"/>
        <v/>
      </c>
      <c r="G32" s="27"/>
      <c r="H32" s="84"/>
      <c r="I32" s="92" t="str">
        <f>IF(A32="","Pending",IF(H32="","⚠️ Enter Code",IF(IFERROR(VLOOKUP(G32,DB_Agents!$B:$I,8,0),"")=H32,IF(AND(A32&lt;&gt;"",E32&lt;&gt;""),"Saved","Pending"),"🔒 BLOCKED — Wrong Code")))</f>
        <v>Pending</v>
      </c>
      <c r="J32" s="93" t="str">
        <f t="shared" ca="1" si="2"/>
        <v>—</v>
      </c>
      <c r="K32" s="94"/>
    </row>
    <row r="33" spans="1:11" x14ac:dyDescent="0.25">
      <c r="A33" s="79"/>
      <c r="B33" s="21" t="str">
        <f>IF(A33="","",IFERROR(VLOOKUP(A33,DB_Customers!$A:$D,4,0),"❌ Account Not Found"))</f>
        <v/>
      </c>
      <c r="C33" s="80" t="str">
        <f>IF(A33="","",IFERROR(VLOOKUP(A33,DB_Customers!$A:$N,14,0),""))</f>
        <v/>
      </c>
      <c r="D33" s="81" t="str">
        <f t="shared" ca="1" si="0"/>
        <v/>
      </c>
      <c r="E33" s="82"/>
      <c r="F33" s="83" t="str">
        <f t="shared" si="1"/>
        <v/>
      </c>
      <c r="G33" s="23"/>
      <c r="H33" s="84"/>
      <c r="I33" s="85" t="str">
        <f>IF(A33="","Pending",IF(H33="","⚠️ Enter Code",IF(IFERROR(VLOOKUP(G33,DB_Agents!$B:$I,8,0),"")=H33,IF(AND(A33&lt;&gt;"",E33&lt;&gt;""),"Saved","Pending"),"🔒 BLOCKED — Wrong Code")))</f>
        <v>Pending</v>
      </c>
      <c r="J33" s="86" t="str">
        <f t="shared" ca="1" si="2"/>
        <v>—</v>
      </c>
      <c r="K33" s="87"/>
    </row>
    <row r="34" spans="1:11" x14ac:dyDescent="0.25">
      <c r="A34" s="88"/>
      <c r="B34" s="25" t="str">
        <f>IF(A34="","",IFERROR(VLOOKUP(A34,DB_Customers!$A:$D,4,0),"❌ Account Not Found"))</f>
        <v/>
      </c>
      <c r="C34" s="89" t="str">
        <f>IF(A34="","",IFERROR(VLOOKUP(A34,DB_Customers!$A:$N,14,0),""))</f>
        <v/>
      </c>
      <c r="D34" s="90" t="str">
        <f t="shared" ca="1" si="0"/>
        <v/>
      </c>
      <c r="E34" s="82"/>
      <c r="F34" s="91" t="str">
        <f t="shared" si="1"/>
        <v/>
      </c>
      <c r="G34" s="27"/>
      <c r="H34" s="84"/>
      <c r="I34" s="92" t="str">
        <f>IF(A34="","Pending",IF(H34="","⚠️ Enter Code",IF(IFERROR(VLOOKUP(G34,DB_Agents!$B:$I,8,0),"")=H34,IF(AND(A34&lt;&gt;"",E34&lt;&gt;""),"Saved","Pending"),"🔒 BLOCKED — Wrong Code")))</f>
        <v>Pending</v>
      </c>
      <c r="J34" s="93" t="str">
        <f t="shared" ca="1" si="2"/>
        <v>—</v>
      </c>
      <c r="K34" s="94"/>
    </row>
    <row r="35" spans="1:11" x14ac:dyDescent="0.25">
      <c r="A35" s="79"/>
      <c r="B35" s="21" t="str">
        <f>IF(A35="","",IFERROR(VLOOKUP(A35,DB_Customers!$A:$D,4,0),"❌ Account Not Found"))</f>
        <v/>
      </c>
      <c r="C35" s="80" t="str">
        <f>IF(A35="","",IFERROR(VLOOKUP(A35,DB_Customers!$A:$N,14,0),""))</f>
        <v/>
      </c>
      <c r="D35" s="81" t="str">
        <f t="shared" ca="1" si="0"/>
        <v/>
      </c>
      <c r="E35" s="82"/>
      <c r="F35" s="83" t="str">
        <f t="shared" si="1"/>
        <v/>
      </c>
      <c r="G35" s="23"/>
      <c r="H35" s="84"/>
      <c r="I35" s="85" t="str">
        <f>IF(A35="","Pending",IF(H35="","⚠️ Enter Code",IF(IFERROR(VLOOKUP(G35,DB_Agents!$B:$I,8,0),"")=H35,IF(AND(A35&lt;&gt;"",E35&lt;&gt;""),"Saved","Pending"),"🔒 BLOCKED — Wrong Code")))</f>
        <v>Pending</v>
      </c>
      <c r="J35" s="86" t="str">
        <f t="shared" ca="1" si="2"/>
        <v>—</v>
      </c>
      <c r="K35" s="87"/>
    </row>
    <row r="36" spans="1:11" x14ac:dyDescent="0.25">
      <c r="A36" s="88"/>
      <c r="B36" s="25" t="str">
        <f>IF(A36="","",IFERROR(VLOOKUP(A36,DB_Customers!$A:$D,4,0),"❌ Account Not Found"))</f>
        <v/>
      </c>
      <c r="C36" s="89" t="str">
        <f>IF(A36="","",IFERROR(VLOOKUP(A36,DB_Customers!$A:$N,14,0),""))</f>
        <v/>
      </c>
      <c r="D36" s="90" t="str">
        <f t="shared" ca="1" si="0"/>
        <v/>
      </c>
      <c r="E36" s="82"/>
      <c r="F36" s="91" t="str">
        <f t="shared" si="1"/>
        <v/>
      </c>
      <c r="G36" s="27"/>
      <c r="H36" s="84"/>
      <c r="I36" s="92" t="str">
        <f>IF(A36="","Pending",IF(H36="","⚠️ Enter Code",IF(IFERROR(VLOOKUP(G36,DB_Agents!$B:$I,8,0),"")=H36,IF(AND(A36&lt;&gt;"",E36&lt;&gt;""),"Saved","Pending"),"🔒 BLOCKED — Wrong Code")))</f>
        <v>Pending</v>
      </c>
      <c r="J36" s="93" t="str">
        <f t="shared" ca="1" si="2"/>
        <v>—</v>
      </c>
      <c r="K36" s="94"/>
    </row>
    <row r="37" spans="1:11" x14ac:dyDescent="0.25">
      <c r="A37" s="79"/>
      <c r="B37" s="21" t="str">
        <f>IF(A37="","",IFERROR(VLOOKUP(A37,DB_Customers!$A:$D,4,0),"❌ Account Not Found"))</f>
        <v/>
      </c>
      <c r="C37" s="80" t="str">
        <f>IF(A37="","",IFERROR(VLOOKUP(A37,DB_Customers!$A:$N,14,0),""))</f>
        <v/>
      </c>
      <c r="D37" s="81" t="str">
        <f t="shared" ca="1" si="0"/>
        <v/>
      </c>
      <c r="E37" s="82"/>
      <c r="F37" s="83" t="str">
        <f t="shared" si="1"/>
        <v/>
      </c>
      <c r="G37" s="23"/>
      <c r="H37" s="84"/>
      <c r="I37" s="85" t="str">
        <f>IF(A37="","Pending",IF(H37="","⚠️ Enter Code",IF(IFERROR(VLOOKUP(G37,DB_Agents!$B:$I,8,0),"")=H37,IF(AND(A37&lt;&gt;"",E37&lt;&gt;""),"Saved","Pending"),"🔒 BLOCKED — Wrong Code")))</f>
        <v>Pending</v>
      </c>
      <c r="J37" s="86" t="str">
        <f t="shared" ca="1" si="2"/>
        <v>—</v>
      </c>
      <c r="K37" s="87"/>
    </row>
    <row r="38" spans="1:11" x14ac:dyDescent="0.25">
      <c r="A38" s="88"/>
      <c r="B38" s="25" t="str">
        <f>IF(A38="","",IFERROR(VLOOKUP(A38,DB_Customers!$A:$D,4,0),"❌ Account Not Found"))</f>
        <v/>
      </c>
      <c r="C38" s="89" t="str">
        <f>IF(A38="","",IFERROR(VLOOKUP(A38,DB_Customers!$A:$N,14,0),""))</f>
        <v/>
      </c>
      <c r="D38" s="90" t="str">
        <f t="shared" ca="1" si="0"/>
        <v/>
      </c>
      <c r="E38" s="82"/>
      <c r="F38" s="91" t="str">
        <f t="shared" si="1"/>
        <v/>
      </c>
      <c r="G38" s="27"/>
      <c r="H38" s="84"/>
      <c r="I38" s="92" t="str">
        <f>IF(A38="","Pending",IF(H38="","⚠️ Enter Code",IF(IFERROR(VLOOKUP(G38,DB_Agents!$B:$I,8,0),"")=H38,IF(AND(A38&lt;&gt;"",E38&lt;&gt;""),"Saved","Pending"),"🔒 BLOCKED — Wrong Code")))</f>
        <v>Pending</v>
      </c>
      <c r="J38" s="93" t="str">
        <f t="shared" ca="1" si="2"/>
        <v>—</v>
      </c>
      <c r="K38" s="94"/>
    </row>
    <row r="39" spans="1:11" x14ac:dyDescent="0.25">
      <c r="A39" s="79"/>
      <c r="B39" s="21" t="str">
        <f>IF(A39="","",IFERROR(VLOOKUP(A39,DB_Customers!$A:$D,4,0),"❌ Account Not Found"))</f>
        <v/>
      </c>
      <c r="C39" s="80" t="str">
        <f>IF(A39="","",IFERROR(VLOOKUP(A39,DB_Customers!$A:$N,14,0),""))</f>
        <v/>
      </c>
      <c r="D39" s="81" t="str">
        <f t="shared" ca="1" si="0"/>
        <v/>
      </c>
      <c r="E39" s="82"/>
      <c r="F39" s="83" t="str">
        <f t="shared" si="1"/>
        <v/>
      </c>
      <c r="G39" s="23"/>
      <c r="H39" s="84"/>
      <c r="I39" s="85" t="str">
        <f>IF(A39="","Pending",IF(H39="","⚠️ Enter Code",IF(IFERROR(VLOOKUP(G39,DB_Agents!$B:$I,8,0),"")=H39,IF(AND(A39&lt;&gt;"",E39&lt;&gt;""),"Saved","Pending"),"🔒 BLOCKED — Wrong Code")))</f>
        <v>Pending</v>
      </c>
      <c r="J39" s="86" t="str">
        <f t="shared" ca="1" si="2"/>
        <v>—</v>
      </c>
      <c r="K39" s="87"/>
    </row>
    <row r="40" spans="1:11" x14ac:dyDescent="0.25">
      <c r="A40" s="88"/>
      <c r="B40" s="25" t="str">
        <f>IF(A40="","",IFERROR(VLOOKUP(A40,DB_Customers!$A:$D,4,0),"❌ Account Not Found"))</f>
        <v/>
      </c>
      <c r="C40" s="89" t="str">
        <f>IF(A40="","",IFERROR(VLOOKUP(A40,DB_Customers!$A:$N,14,0),""))</f>
        <v/>
      </c>
      <c r="D40" s="90" t="str">
        <f t="shared" ca="1" si="0"/>
        <v/>
      </c>
      <c r="E40" s="82"/>
      <c r="F40" s="91" t="str">
        <f t="shared" si="1"/>
        <v/>
      </c>
      <c r="G40" s="27"/>
      <c r="H40" s="84"/>
      <c r="I40" s="92" t="str">
        <f>IF(A40="","Pending",IF(H40="","⚠️ Enter Code",IF(IFERROR(VLOOKUP(G40,DB_Agents!$B:$I,8,0),"")=H40,IF(AND(A40&lt;&gt;"",E40&lt;&gt;""),"Saved","Pending"),"🔒 BLOCKED — Wrong Code")))</f>
        <v>Pending</v>
      </c>
      <c r="J40" s="93" t="str">
        <f t="shared" ca="1" si="2"/>
        <v>—</v>
      </c>
      <c r="K40" s="94"/>
    </row>
    <row r="41" spans="1:11" x14ac:dyDescent="0.25">
      <c r="A41" s="79"/>
      <c r="B41" s="21" t="str">
        <f>IF(A41="","",IFERROR(VLOOKUP(A41,DB_Customers!$A:$D,4,0),"❌ Account Not Found"))</f>
        <v/>
      </c>
      <c r="C41" s="80" t="str">
        <f>IF(A41="","",IFERROR(VLOOKUP(A41,DB_Customers!$A:$N,14,0),""))</f>
        <v/>
      </c>
      <c r="D41" s="81" t="str">
        <f t="shared" ref="D41:D72" ca="1" si="3">IF(A41="","",TODAY())</f>
        <v/>
      </c>
      <c r="E41" s="82"/>
      <c r="F41" s="83" t="str">
        <f t="shared" ref="F41:F72" si="4">IF(OR(A41="",E41=""),"",IF(C41="","",C41+E41))</f>
        <v/>
      </c>
      <c r="G41" s="23"/>
      <c r="H41" s="84"/>
      <c r="I41" s="85" t="str">
        <f>IF(A41="","Pending",IF(H41="","⚠️ Enter Code",IF(IFERROR(VLOOKUP(G41,DB_Agents!$B:$I,8,0),"")=H41,IF(AND(A41&lt;&gt;"",E41&lt;&gt;""),"Saved","Pending"),"🔒 BLOCKED — Wrong Code")))</f>
        <v>Pending</v>
      </c>
      <c r="J41" s="86" t="str">
        <f t="shared" ref="J41:J72" ca="1" si="5">IF(I41="Saved",TEXT(TODAY(),"YYYY-MM-DD")&amp;" Auto","—")</f>
        <v>—</v>
      </c>
      <c r="K41" s="87"/>
    </row>
    <row r="42" spans="1:11" x14ac:dyDescent="0.25">
      <c r="A42" s="88"/>
      <c r="B42" s="25" t="str">
        <f>IF(A42="","",IFERROR(VLOOKUP(A42,DB_Customers!$A:$D,4,0),"❌ Account Not Found"))</f>
        <v/>
      </c>
      <c r="C42" s="89" t="str">
        <f>IF(A42="","",IFERROR(VLOOKUP(A42,DB_Customers!$A:$N,14,0),""))</f>
        <v/>
      </c>
      <c r="D42" s="90" t="str">
        <f t="shared" ca="1" si="3"/>
        <v/>
      </c>
      <c r="E42" s="82"/>
      <c r="F42" s="91" t="str">
        <f t="shared" si="4"/>
        <v/>
      </c>
      <c r="G42" s="27"/>
      <c r="H42" s="84"/>
      <c r="I42" s="92" t="str">
        <f>IF(A42="","Pending",IF(H42="","⚠️ Enter Code",IF(IFERROR(VLOOKUP(G42,DB_Agents!$B:$I,8,0),"")=H42,IF(AND(A42&lt;&gt;"",E42&lt;&gt;""),"Saved","Pending"),"🔒 BLOCKED — Wrong Code")))</f>
        <v>Pending</v>
      </c>
      <c r="J42" s="93" t="str">
        <f t="shared" ca="1" si="5"/>
        <v>—</v>
      </c>
      <c r="K42" s="94"/>
    </row>
    <row r="43" spans="1:11" x14ac:dyDescent="0.25">
      <c r="A43" s="79"/>
      <c r="B43" s="21" t="str">
        <f>IF(A43="","",IFERROR(VLOOKUP(A43,DB_Customers!$A:$D,4,0),"❌ Account Not Found"))</f>
        <v/>
      </c>
      <c r="C43" s="80" t="str">
        <f>IF(A43="","",IFERROR(VLOOKUP(A43,DB_Customers!$A:$N,14,0),""))</f>
        <v/>
      </c>
      <c r="D43" s="81" t="str">
        <f t="shared" ca="1" si="3"/>
        <v/>
      </c>
      <c r="E43" s="82"/>
      <c r="F43" s="83" t="str">
        <f t="shared" si="4"/>
        <v/>
      </c>
      <c r="G43" s="23"/>
      <c r="H43" s="84"/>
      <c r="I43" s="85" t="str">
        <f>IF(A43="","Pending",IF(H43="","⚠️ Enter Code",IF(IFERROR(VLOOKUP(G43,DB_Agents!$B:$I,8,0),"")=H43,IF(AND(A43&lt;&gt;"",E43&lt;&gt;""),"Saved","Pending"),"🔒 BLOCKED — Wrong Code")))</f>
        <v>Pending</v>
      </c>
      <c r="J43" s="86" t="str">
        <f t="shared" ca="1" si="5"/>
        <v>—</v>
      </c>
      <c r="K43" s="87"/>
    </row>
    <row r="44" spans="1:11" x14ac:dyDescent="0.25">
      <c r="A44" s="88"/>
      <c r="B44" s="25" t="str">
        <f>IF(A44="","",IFERROR(VLOOKUP(A44,DB_Customers!$A:$D,4,0),"❌ Account Not Found"))</f>
        <v/>
      </c>
      <c r="C44" s="89" t="str">
        <f>IF(A44="","",IFERROR(VLOOKUP(A44,DB_Customers!$A:$N,14,0),""))</f>
        <v/>
      </c>
      <c r="D44" s="90" t="str">
        <f t="shared" ca="1" si="3"/>
        <v/>
      </c>
      <c r="E44" s="82"/>
      <c r="F44" s="91" t="str">
        <f t="shared" si="4"/>
        <v/>
      </c>
      <c r="G44" s="27"/>
      <c r="H44" s="84"/>
      <c r="I44" s="92" t="str">
        <f>IF(A44="","Pending",IF(H44="","⚠️ Enter Code",IF(IFERROR(VLOOKUP(G44,DB_Agents!$B:$I,8,0),"")=H44,IF(AND(A44&lt;&gt;"",E44&lt;&gt;""),"Saved","Pending"),"🔒 BLOCKED — Wrong Code")))</f>
        <v>Pending</v>
      </c>
      <c r="J44" s="93" t="str">
        <f t="shared" ca="1" si="5"/>
        <v>—</v>
      </c>
      <c r="K44" s="94"/>
    </row>
    <row r="45" spans="1:11" x14ac:dyDescent="0.25">
      <c r="A45" s="79"/>
      <c r="B45" s="21" t="str">
        <f>IF(A45="","",IFERROR(VLOOKUP(A45,DB_Customers!$A:$D,4,0),"❌ Account Not Found"))</f>
        <v/>
      </c>
      <c r="C45" s="80" t="str">
        <f>IF(A45="","",IFERROR(VLOOKUP(A45,DB_Customers!$A:$N,14,0),""))</f>
        <v/>
      </c>
      <c r="D45" s="81" t="str">
        <f t="shared" ca="1" si="3"/>
        <v/>
      </c>
      <c r="E45" s="82"/>
      <c r="F45" s="83" t="str">
        <f t="shared" si="4"/>
        <v/>
      </c>
      <c r="G45" s="23"/>
      <c r="H45" s="84"/>
      <c r="I45" s="85" t="str">
        <f>IF(A45="","Pending",IF(H45="","⚠️ Enter Code",IF(IFERROR(VLOOKUP(G45,DB_Agents!$B:$I,8,0),"")=H45,IF(AND(A45&lt;&gt;"",E45&lt;&gt;""),"Saved","Pending"),"🔒 BLOCKED — Wrong Code")))</f>
        <v>Pending</v>
      </c>
      <c r="J45" s="86" t="str">
        <f t="shared" ca="1" si="5"/>
        <v>—</v>
      </c>
      <c r="K45" s="87"/>
    </row>
    <row r="46" spans="1:11" x14ac:dyDescent="0.25">
      <c r="A46" s="88"/>
      <c r="B46" s="25" t="str">
        <f>IF(A46="","",IFERROR(VLOOKUP(A46,DB_Customers!$A:$D,4,0),"❌ Account Not Found"))</f>
        <v/>
      </c>
      <c r="C46" s="89" t="str">
        <f>IF(A46="","",IFERROR(VLOOKUP(A46,DB_Customers!$A:$N,14,0),""))</f>
        <v/>
      </c>
      <c r="D46" s="90" t="str">
        <f t="shared" ca="1" si="3"/>
        <v/>
      </c>
      <c r="E46" s="82"/>
      <c r="F46" s="91" t="str">
        <f t="shared" si="4"/>
        <v/>
      </c>
      <c r="G46" s="27"/>
      <c r="H46" s="84"/>
      <c r="I46" s="92" t="str">
        <f>IF(A46="","Pending",IF(H46="","⚠️ Enter Code",IF(IFERROR(VLOOKUP(G46,DB_Agents!$B:$I,8,0),"")=H46,IF(AND(A46&lt;&gt;"",E46&lt;&gt;""),"Saved","Pending"),"🔒 BLOCKED — Wrong Code")))</f>
        <v>Pending</v>
      </c>
      <c r="J46" s="93" t="str">
        <f t="shared" ca="1" si="5"/>
        <v>—</v>
      </c>
      <c r="K46" s="94"/>
    </row>
    <row r="47" spans="1:11" x14ac:dyDescent="0.25">
      <c r="A47" s="79"/>
      <c r="B47" s="21" t="str">
        <f>IF(A47="","",IFERROR(VLOOKUP(A47,DB_Customers!$A:$D,4,0),"❌ Account Not Found"))</f>
        <v/>
      </c>
      <c r="C47" s="80" t="str">
        <f>IF(A47="","",IFERROR(VLOOKUP(A47,DB_Customers!$A:$N,14,0),""))</f>
        <v/>
      </c>
      <c r="D47" s="81" t="str">
        <f t="shared" ca="1" si="3"/>
        <v/>
      </c>
      <c r="E47" s="82"/>
      <c r="F47" s="83" t="str">
        <f t="shared" si="4"/>
        <v/>
      </c>
      <c r="G47" s="23"/>
      <c r="H47" s="84"/>
      <c r="I47" s="85" t="str">
        <f>IF(A47="","Pending",IF(H47="","⚠️ Enter Code",IF(IFERROR(VLOOKUP(G47,DB_Agents!$B:$I,8,0),"")=H47,IF(AND(A47&lt;&gt;"",E47&lt;&gt;""),"Saved","Pending"),"🔒 BLOCKED — Wrong Code")))</f>
        <v>Pending</v>
      </c>
      <c r="J47" s="86" t="str">
        <f t="shared" ca="1" si="5"/>
        <v>—</v>
      </c>
      <c r="K47" s="87"/>
    </row>
    <row r="48" spans="1:11" x14ac:dyDescent="0.25">
      <c r="A48" s="88"/>
      <c r="B48" s="25" t="str">
        <f>IF(A48="","",IFERROR(VLOOKUP(A48,DB_Customers!$A:$D,4,0),"❌ Account Not Found"))</f>
        <v/>
      </c>
      <c r="C48" s="89" t="str">
        <f>IF(A48="","",IFERROR(VLOOKUP(A48,DB_Customers!$A:$N,14,0),""))</f>
        <v/>
      </c>
      <c r="D48" s="90" t="str">
        <f t="shared" ca="1" si="3"/>
        <v/>
      </c>
      <c r="E48" s="82"/>
      <c r="F48" s="91" t="str">
        <f t="shared" si="4"/>
        <v/>
      </c>
      <c r="G48" s="27"/>
      <c r="H48" s="84"/>
      <c r="I48" s="92" t="str">
        <f>IF(A48="","Pending",IF(H48="","⚠️ Enter Code",IF(IFERROR(VLOOKUP(G48,DB_Agents!$B:$I,8,0),"")=H48,IF(AND(A48&lt;&gt;"",E48&lt;&gt;""),"Saved","Pending"),"🔒 BLOCKED — Wrong Code")))</f>
        <v>Pending</v>
      </c>
      <c r="J48" s="93" t="str">
        <f t="shared" ca="1" si="5"/>
        <v>—</v>
      </c>
      <c r="K48" s="94"/>
    </row>
    <row r="49" spans="1:11" x14ac:dyDescent="0.25">
      <c r="A49" s="79"/>
      <c r="B49" s="21" t="str">
        <f>IF(A49="","",IFERROR(VLOOKUP(A49,DB_Customers!$A:$D,4,0),"❌ Account Not Found"))</f>
        <v/>
      </c>
      <c r="C49" s="80" t="str">
        <f>IF(A49="","",IFERROR(VLOOKUP(A49,DB_Customers!$A:$N,14,0),""))</f>
        <v/>
      </c>
      <c r="D49" s="81" t="str">
        <f t="shared" ca="1" si="3"/>
        <v/>
      </c>
      <c r="E49" s="82"/>
      <c r="F49" s="83" t="str">
        <f t="shared" si="4"/>
        <v/>
      </c>
      <c r="G49" s="23"/>
      <c r="H49" s="84"/>
      <c r="I49" s="85" t="str">
        <f>IF(A49="","Pending",IF(H49="","⚠️ Enter Code",IF(IFERROR(VLOOKUP(G49,DB_Agents!$B:$I,8,0),"")=H49,IF(AND(A49&lt;&gt;"",E49&lt;&gt;""),"Saved","Pending"),"🔒 BLOCKED — Wrong Code")))</f>
        <v>Pending</v>
      </c>
      <c r="J49" s="86" t="str">
        <f t="shared" ca="1" si="5"/>
        <v>—</v>
      </c>
      <c r="K49" s="87"/>
    </row>
    <row r="50" spans="1:11" x14ac:dyDescent="0.25">
      <c r="A50" s="88"/>
      <c r="B50" s="25" t="str">
        <f>IF(A50="","",IFERROR(VLOOKUP(A50,DB_Customers!$A:$D,4,0),"❌ Account Not Found"))</f>
        <v/>
      </c>
      <c r="C50" s="89" t="str">
        <f>IF(A50="","",IFERROR(VLOOKUP(A50,DB_Customers!$A:$N,14,0),""))</f>
        <v/>
      </c>
      <c r="D50" s="90" t="str">
        <f t="shared" ca="1" si="3"/>
        <v/>
      </c>
      <c r="E50" s="82"/>
      <c r="F50" s="91" t="str">
        <f t="shared" si="4"/>
        <v/>
      </c>
      <c r="G50" s="27"/>
      <c r="H50" s="84"/>
      <c r="I50" s="92" t="str">
        <f>IF(A50="","Pending",IF(H50="","⚠️ Enter Code",IF(IFERROR(VLOOKUP(G50,DB_Agents!$B:$I,8,0),"")=H50,IF(AND(A50&lt;&gt;"",E50&lt;&gt;""),"Saved","Pending"),"🔒 BLOCKED — Wrong Code")))</f>
        <v>Pending</v>
      </c>
      <c r="J50" s="93" t="str">
        <f t="shared" ca="1" si="5"/>
        <v>—</v>
      </c>
      <c r="K50" s="94"/>
    </row>
    <row r="51" spans="1:11" x14ac:dyDescent="0.25">
      <c r="A51" s="79"/>
      <c r="B51" s="21" t="str">
        <f>IF(A51="","",IFERROR(VLOOKUP(A51,DB_Customers!$A:$D,4,0),"❌ Account Not Found"))</f>
        <v/>
      </c>
      <c r="C51" s="80" t="str">
        <f>IF(A51="","",IFERROR(VLOOKUP(A51,DB_Customers!$A:$N,14,0),""))</f>
        <v/>
      </c>
      <c r="D51" s="81" t="str">
        <f t="shared" ca="1" si="3"/>
        <v/>
      </c>
      <c r="E51" s="82"/>
      <c r="F51" s="83" t="str">
        <f t="shared" si="4"/>
        <v/>
      </c>
      <c r="G51" s="23"/>
      <c r="H51" s="84"/>
      <c r="I51" s="85" t="str">
        <f>IF(A51="","Pending",IF(H51="","⚠️ Enter Code",IF(IFERROR(VLOOKUP(G51,DB_Agents!$B:$I,8,0),"")=H51,IF(AND(A51&lt;&gt;"",E51&lt;&gt;""),"Saved","Pending"),"🔒 BLOCKED — Wrong Code")))</f>
        <v>Pending</v>
      </c>
      <c r="J51" s="86" t="str">
        <f t="shared" ca="1" si="5"/>
        <v>—</v>
      </c>
      <c r="K51" s="87"/>
    </row>
    <row r="52" spans="1:11" x14ac:dyDescent="0.25">
      <c r="A52" s="88"/>
      <c r="B52" s="25" t="str">
        <f>IF(A52="","",IFERROR(VLOOKUP(A52,DB_Customers!$A:$D,4,0),"❌ Account Not Found"))</f>
        <v/>
      </c>
      <c r="C52" s="89" t="str">
        <f>IF(A52="","",IFERROR(VLOOKUP(A52,DB_Customers!$A:$N,14,0),""))</f>
        <v/>
      </c>
      <c r="D52" s="90" t="str">
        <f t="shared" ca="1" si="3"/>
        <v/>
      </c>
      <c r="E52" s="82"/>
      <c r="F52" s="91" t="str">
        <f t="shared" si="4"/>
        <v/>
      </c>
      <c r="G52" s="27"/>
      <c r="H52" s="84"/>
      <c r="I52" s="92" t="str">
        <f>IF(A52="","Pending",IF(H52="","⚠️ Enter Code",IF(IFERROR(VLOOKUP(G52,DB_Agents!$B:$I,8,0),"")=H52,IF(AND(A52&lt;&gt;"",E52&lt;&gt;""),"Saved","Pending"),"🔒 BLOCKED — Wrong Code")))</f>
        <v>Pending</v>
      </c>
      <c r="J52" s="93" t="str">
        <f t="shared" ca="1" si="5"/>
        <v>—</v>
      </c>
      <c r="K52" s="94"/>
    </row>
    <row r="53" spans="1:11" x14ac:dyDescent="0.25">
      <c r="A53" s="79"/>
      <c r="B53" s="21" t="str">
        <f>IF(A53="","",IFERROR(VLOOKUP(A53,DB_Customers!$A:$D,4,0),"❌ Account Not Found"))</f>
        <v/>
      </c>
      <c r="C53" s="80" t="str">
        <f>IF(A53="","",IFERROR(VLOOKUP(A53,DB_Customers!$A:$N,14,0),""))</f>
        <v/>
      </c>
      <c r="D53" s="81" t="str">
        <f t="shared" ca="1" si="3"/>
        <v/>
      </c>
      <c r="E53" s="82"/>
      <c r="F53" s="83" t="str">
        <f t="shared" si="4"/>
        <v/>
      </c>
      <c r="G53" s="23"/>
      <c r="H53" s="84"/>
      <c r="I53" s="85" t="str">
        <f>IF(A53="","Pending",IF(H53="","⚠️ Enter Code",IF(IFERROR(VLOOKUP(G53,DB_Agents!$B:$I,8,0),"")=H53,IF(AND(A53&lt;&gt;"",E53&lt;&gt;""),"Saved","Pending"),"🔒 BLOCKED — Wrong Code")))</f>
        <v>Pending</v>
      </c>
      <c r="J53" s="86" t="str">
        <f t="shared" ca="1" si="5"/>
        <v>—</v>
      </c>
      <c r="K53" s="87"/>
    </row>
    <row r="54" spans="1:11" x14ac:dyDescent="0.25">
      <c r="A54" s="88"/>
      <c r="B54" s="25" t="str">
        <f>IF(A54="","",IFERROR(VLOOKUP(A54,DB_Customers!$A:$D,4,0),"❌ Account Not Found"))</f>
        <v/>
      </c>
      <c r="C54" s="89" t="str">
        <f>IF(A54="","",IFERROR(VLOOKUP(A54,DB_Customers!$A:$N,14,0),""))</f>
        <v/>
      </c>
      <c r="D54" s="90" t="str">
        <f t="shared" ca="1" si="3"/>
        <v/>
      </c>
      <c r="E54" s="82"/>
      <c r="F54" s="91" t="str">
        <f t="shared" si="4"/>
        <v/>
      </c>
      <c r="G54" s="27"/>
      <c r="H54" s="84"/>
      <c r="I54" s="92" t="str">
        <f>IF(A54="","Pending",IF(H54="","⚠️ Enter Code",IF(IFERROR(VLOOKUP(G54,DB_Agents!$B:$I,8,0),"")=H54,IF(AND(A54&lt;&gt;"",E54&lt;&gt;""),"Saved","Pending"),"🔒 BLOCKED — Wrong Code")))</f>
        <v>Pending</v>
      </c>
      <c r="J54" s="93" t="str">
        <f t="shared" ca="1" si="5"/>
        <v>—</v>
      </c>
      <c r="K54" s="94"/>
    </row>
    <row r="55" spans="1:11" x14ac:dyDescent="0.25">
      <c r="A55" s="79"/>
      <c r="B55" s="21" t="str">
        <f>IF(A55="","",IFERROR(VLOOKUP(A55,DB_Customers!$A:$D,4,0),"❌ Account Not Found"))</f>
        <v/>
      </c>
      <c r="C55" s="80" t="str">
        <f>IF(A55="","",IFERROR(VLOOKUP(A55,DB_Customers!$A:$N,14,0),""))</f>
        <v/>
      </c>
      <c r="D55" s="81" t="str">
        <f t="shared" ca="1" si="3"/>
        <v/>
      </c>
      <c r="E55" s="82"/>
      <c r="F55" s="83" t="str">
        <f t="shared" si="4"/>
        <v/>
      </c>
      <c r="G55" s="23"/>
      <c r="H55" s="84"/>
      <c r="I55" s="85" t="str">
        <f>IF(A55="","Pending",IF(H55="","⚠️ Enter Code",IF(IFERROR(VLOOKUP(G55,DB_Agents!$B:$I,8,0),"")=H55,IF(AND(A55&lt;&gt;"",E55&lt;&gt;""),"Saved","Pending"),"🔒 BLOCKED — Wrong Code")))</f>
        <v>Pending</v>
      </c>
      <c r="J55" s="86" t="str">
        <f t="shared" ca="1" si="5"/>
        <v>—</v>
      </c>
      <c r="K55" s="87"/>
    </row>
    <row r="56" spans="1:11" x14ac:dyDescent="0.25">
      <c r="A56" s="88"/>
      <c r="B56" s="25" t="str">
        <f>IF(A56="","",IFERROR(VLOOKUP(A56,DB_Customers!$A:$D,4,0),"❌ Account Not Found"))</f>
        <v/>
      </c>
      <c r="C56" s="89" t="str">
        <f>IF(A56="","",IFERROR(VLOOKUP(A56,DB_Customers!$A:$N,14,0),""))</f>
        <v/>
      </c>
      <c r="D56" s="90" t="str">
        <f t="shared" ca="1" si="3"/>
        <v/>
      </c>
      <c r="E56" s="82"/>
      <c r="F56" s="91" t="str">
        <f t="shared" si="4"/>
        <v/>
      </c>
      <c r="G56" s="27"/>
      <c r="H56" s="84"/>
      <c r="I56" s="92" t="str">
        <f>IF(A56="","Pending",IF(H56="","⚠️ Enter Code",IF(IFERROR(VLOOKUP(G56,DB_Agents!$B:$I,8,0),"")=H56,IF(AND(A56&lt;&gt;"",E56&lt;&gt;""),"Saved","Pending"),"🔒 BLOCKED — Wrong Code")))</f>
        <v>Pending</v>
      </c>
      <c r="J56" s="93" t="str">
        <f t="shared" ca="1" si="5"/>
        <v>—</v>
      </c>
      <c r="K56" s="94"/>
    </row>
    <row r="57" spans="1:11" x14ac:dyDescent="0.25">
      <c r="A57" s="79"/>
      <c r="B57" s="21" t="str">
        <f>IF(A57="","",IFERROR(VLOOKUP(A57,DB_Customers!$A:$D,4,0),"❌ Account Not Found"))</f>
        <v/>
      </c>
      <c r="C57" s="80" t="str">
        <f>IF(A57="","",IFERROR(VLOOKUP(A57,DB_Customers!$A:$N,14,0),""))</f>
        <v/>
      </c>
      <c r="D57" s="81" t="str">
        <f t="shared" ca="1" si="3"/>
        <v/>
      </c>
      <c r="E57" s="82"/>
      <c r="F57" s="83" t="str">
        <f t="shared" si="4"/>
        <v/>
      </c>
      <c r="G57" s="23"/>
      <c r="H57" s="84"/>
      <c r="I57" s="85" t="str">
        <f>IF(A57="","Pending",IF(H57="","⚠️ Enter Code",IF(IFERROR(VLOOKUP(G57,DB_Agents!$B:$I,8,0),"")=H57,IF(AND(A57&lt;&gt;"",E57&lt;&gt;""),"Saved","Pending"),"🔒 BLOCKED — Wrong Code")))</f>
        <v>Pending</v>
      </c>
      <c r="J57" s="86" t="str">
        <f t="shared" ca="1" si="5"/>
        <v>—</v>
      </c>
      <c r="K57" s="87"/>
    </row>
    <row r="58" spans="1:11" x14ac:dyDescent="0.25">
      <c r="A58" s="88"/>
      <c r="B58" s="25" t="str">
        <f>IF(A58="","",IFERROR(VLOOKUP(A58,DB_Customers!$A:$D,4,0),"❌ Account Not Found"))</f>
        <v/>
      </c>
      <c r="C58" s="89" t="str">
        <f>IF(A58="","",IFERROR(VLOOKUP(A58,DB_Customers!$A:$N,14,0),""))</f>
        <v/>
      </c>
      <c r="D58" s="90" t="str">
        <f t="shared" ca="1" si="3"/>
        <v/>
      </c>
      <c r="E58" s="82"/>
      <c r="F58" s="91" t="str">
        <f t="shared" si="4"/>
        <v/>
      </c>
      <c r="G58" s="27"/>
      <c r="H58" s="84"/>
      <c r="I58" s="92" t="str">
        <f>IF(A58="","Pending",IF(H58="","⚠️ Enter Code",IF(IFERROR(VLOOKUP(G58,DB_Agents!$B:$I,8,0),"")=H58,IF(AND(A58&lt;&gt;"",E58&lt;&gt;""),"Saved","Pending"),"🔒 BLOCKED — Wrong Code")))</f>
        <v>Pending</v>
      </c>
      <c r="J58" s="93" t="str">
        <f t="shared" ca="1" si="5"/>
        <v>—</v>
      </c>
      <c r="K58" s="94"/>
    </row>
    <row r="59" spans="1:11" x14ac:dyDescent="0.25">
      <c r="A59" s="79"/>
      <c r="B59" s="21" t="str">
        <f>IF(A59="","",IFERROR(VLOOKUP(A59,DB_Customers!$A:$D,4,0),"❌ Account Not Found"))</f>
        <v/>
      </c>
      <c r="C59" s="80" t="str">
        <f>IF(A59="","",IFERROR(VLOOKUP(A59,DB_Customers!$A:$N,14,0),""))</f>
        <v/>
      </c>
      <c r="D59" s="81" t="str">
        <f t="shared" ca="1" si="3"/>
        <v/>
      </c>
      <c r="E59" s="82"/>
      <c r="F59" s="83" t="str">
        <f t="shared" si="4"/>
        <v/>
      </c>
      <c r="G59" s="23"/>
      <c r="H59" s="84"/>
      <c r="I59" s="85" t="str">
        <f>IF(A59="","Pending",IF(H59="","⚠️ Enter Code",IF(IFERROR(VLOOKUP(G59,DB_Agents!$B:$I,8,0),"")=H59,IF(AND(A59&lt;&gt;"",E59&lt;&gt;""),"Saved","Pending"),"🔒 BLOCKED — Wrong Code")))</f>
        <v>Pending</v>
      </c>
      <c r="J59" s="86" t="str">
        <f t="shared" ca="1" si="5"/>
        <v>—</v>
      </c>
      <c r="K59" s="87"/>
    </row>
    <row r="60" spans="1:11" x14ac:dyDescent="0.25">
      <c r="A60" s="88"/>
      <c r="B60" s="25" t="str">
        <f>IF(A60="","",IFERROR(VLOOKUP(A60,DB_Customers!$A:$D,4,0),"❌ Account Not Found"))</f>
        <v/>
      </c>
      <c r="C60" s="89" t="str">
        <f>IF(A60="","",IFERROR(VLOOKUP(A60,DB_Customers!$A:$N,14,0),""))</f>
        <v/>
      </c>
      <c r="D60" s="90" t="str">
        <f t="shared" ca="1" si="3"/>
        <v/>
      </c>
      <c r="E60" s="82"/>
      <c r="F60" s="91" t="str">
        <f t="shared" si="4"/>
        <v/>
      </c>
      <c r="G60" s="27"/>
      <c r="H60" s="84"/>
      <c r="I60" s="92" t="str">
        <f>IF(A60="","Pending",IF(H60="","⚠️ Enter Code",IF(IFERROR(VLOOKUP(G60,DB_Agents!$B:$I,8,0),"")=H60,IF(AND(A60&lt;&gt;"",E60&lt;&gt;""),"Saved","Pending"),"🔒 BLOCKED — Wrong Code")))</f>
        <v>Pending</v>
      </c>
      <c r="J60" s="93" t="str">
        <f t="shared" ca="1" si="5"/>
        <v>—</v>
      </c>
      <c r="K60" s="94"/>
    </row>
    <row r="61" spans="1:11" x14ac:dyDescent="0.25">
      <c r="A61" s="79"/>
      <c r="B61" s="21" t="str">
        <f>IF(A61="","",IFERROR(VLOOKUP(A61,DB_Customers!$A:$D,4,0),"❌ Account Not Found"))</f>
        <v/>
      </c>
      <c r="C61" s="80" t="str">
        <f>IF(A61="","",IFERROR(VLOOKUP(A61,DB_Customers!$A:$N,14,0),""))</f>
        <v/>
      </c>
      <c r="D61" s="81" t="str">
        <f t="shared" ca="1" si="3"/>
        <v/>
      </c>
      <c r="E61" s="82"/>
      <c r="F61" s="83" t="str">
        <f t="shared" si="4"/>
        <v/>
      </c>
      <c r="G61" s="23"/>
      <c r="H61" s="84"/>
      <c r="I61" s="85" t="str">
        <f>IF(A61="","Pending",IF(H61="","⚠️ Enter Code",IF(IFERROR(VLOOKUP(G61,DB_Agents!$B:$I,8,0),"")=H61,IF(AND(A61&lt;&gt;"",E61&lt;&gt;""),"Saved","Pending"),"🔒 BLOCKED — Wrong Code")))</f>
        <v>Pending</v>
      </c>
      <c r="J61" s="86" t="str">
        <f t="shared" ca="1" si="5"/>
        <v>—</v>
      </c>
      <c r="K61" s="87"/>
    </row>
    <row r="62" spans="1:11" x14ac:dyDescent="0.25">
      <c r="A62" s="88"/>
      <c r="B62" s="25" t="str">
        <f>IF(A62="","",IFERROR(VLOOKUP(A62,DB_Customers!$A:$D,4,0),"❌ Account Not Found"))</f>
        <v/>
      </c>
      <c r="C62" s="89" t="str">
        <f>IF(A62="","",IFERROR(VLOOKUP(A62,DB_Customers!$A:$N,14,0),""))</f>
        <v/>
      </c>
      <c r="D62" s="90" t="str">
        <f t="shared" ca="1" si="3"/>
        <v/>
      </c>
      <c r="E62" s="82"/>
      <c r="F62" s="91" t="str">
        <f t="shared" si="4"/>
        <v/>
      </c>
      <c r="G62" s="27"/>
      <c r="H62" s="84"/>
      <c r="I62" s="92" t="str">
        <f>IF(A62="","Pending",IF(H62="","⚠️ Enter Code",IF(IFERROR(VLOOKUP(G62,DB_Agents!$B:$I,8,0),"")=H62,IF(AND(A62&lt;&gt;"",E62&lt;&gt;""),"Saved","Pending"),"🔒 BLOCKED — Wrong Code")))</f>
        <v>Pending</v>
      </c>
      <c r="J62" s="93" t="str">
        <f t="shared" ca="1" si="5"/>
        <v>—</v>
      </c>
      <c r="K62" s="94"/>
    </row>
    <row r="63" spans="1:11" x14ac:dyDescent="0.25">
      <c r="A63" s="79"/>
      <c r="B63" s="21" t="str">
        <f>IF(A63="","",IFERROR(VLOOKUP(A63,DB_Customers!$A:$D,4,0),"❌ Account Not Found"))</f>
        <v/>
      </c>
      <c r="C63" s="80" t="str">
        <f>IF(A63="","",IFERROR(VLOOKUP(A63,DB_Customers!$A:$N,14,0),""))</f>
        <v/>
      </c>
      <c r="D63" s="81" t="str">
        <f t="shared" ca="1" si="3"/>
        <v/>
      </c>
      <c r="E63" s="82"/>
      <c r="F63" s="83" t="str">
        <f t="shared" si="4"/>
        <v/>
      </c>
      <c r="G63" s="23"/>
      <c r="H63" s="84"/>
      <c r="I63" s="85" t="str">
        <f>IF(A63="","Pending",IF(H63="","⚠️ Enter Code",IF(IFERROR(VLOOKUP(G63,DB_Agents!$B:$I,8,0),"")=H63,IF(AND(A63&lt;&gt;"",E63&lt;&gt;""),"Saved","Pending"),"🔒 BLOCKED — Wrong Code")))</f>
        <v>Pending</v>
      </c>
      <c r="J63" s="86" t="str">
        <f t="shared" ca="1" si="5"/>
        <v>—</v>
      </c>
      <c r="K63" s="87"/>
    </row>
    <row r="64" spans="1:11" x14ac:dyDescent="0.25">
      <c r="A64" s="88"/>
      <c r="B64" s="25" t="str">
        <f>IF(A64="","",IFERROR(VLOOKUP(A64,DB_Customers!$A:$D,4,0),"❌ Account Not Found"))</f>
        <v/>
      </c>
      <c r="C64" s="89" t="str">
        <f>IF(A64="","",IFERROR(VLOOKUP(A64,DB_Customers!$A:$N,14,0),""))</f>
        <v/>
      </c>
      <c r="D64" s="90" t="str">
        <f t="shared" ca="1" si="3"/>
        <v/>
      </c>
      <c r="E64" s="82"/>
      <c r="F64" s="91" t="str">
        <f t="shared" si="4"/>
        <v/>
      </c>
      <c r="G64" s="27"/>
      <c r="H64" s="84"/>
      <c r="I64" s="92" t="str">
        <f>IF(A64="","Pending",IF(H64="","⚠️ Enter Code",IF(IFERROR(VLOOKUP(G64,DB_Agents!$B:$I,8,0),"")=H64,IF(AND(A64&lt;&gt;"",E64&lt;&gt;""),"Saved","Pending"),"🔒 BLOCKED — Wrong Code")))</f>
        <v>Pending</v>
      </c>
      <c r="J64" s="93" t="str">
        <f t="shared" ca="1" si="5"/>
        <v>—</v>
      </c>
      <c r="K64" s="94"/>
    </row>
    <row r="65" spans="1:11" x14ac:dyDescent="0.25">
      <c r="A65" s="79"/>
      <c r="B65" s="21" t="str">
        <f>IF(A65="","",IFERROR(VLOOKUP(A65,DB_Customers!$A:$D,4,0),"❌ Account Not Found"))</f>
        <v/>
      </c>
      <c r="C65" s="80" t="str">
        <f>IF(A65="","",IFERROR(VLOOKUP(A65,DB_Customers!$A:$N,14,0),""))</f>
        <v/>
      </c>
      <c r="D65" s="81" t="str">
        <f t="shared" ca="1" si="3"/>
        <v/>
      </c>
      <c r="E65" s="82"/>
      <c r="F65" s="83" t="str">
        <f t="shared" si="4"/>
        <v/>
      </c>
      <c r="G65" s="23"/>
      <c r="H65" s="84"/>
      <c r="I65" s="85" t="str">
        <f>IF(A65="","Pending",IF(H65="","⚠️ Enter Code",IF(IFERROR(VLOOKUP(G65,DB_Agents!$B:$I,8,0),"")=H65,IF(AND(A65&lt;&gt;"",E65&lt;&gt;""),"Saved","Pending"),"🔒 BLOCKED — Wrong Code")))</f>
        <v>Pending</v>
      </c>
      <c r="J65" s="86" t="str">
        <f t="shared" ca="1" si="5"/>
        <v>—</v>
      </c>
      <c r="K65" s="87"/>
    </row>
    <row r="66" spans="1:11" x14ac:dyDescent="0.25">
      <c r="A66" s="88"/>
      <c r="B66" s="25" t="str">
        <f>IF(A66="","",IFERROR(VLOOKUP(A66,DB_Customers!$A:$D,4,0),"❌ Account Not Found"))</f>
        <v/>
      </c>
      <c r="C66" s="89" t="str">
        <f>IF(A66="","",IFERROR(VLOOKUP(A66,DB_Customers!$A:$N,14,0),""))</f>
        <v/>
      </c>
      <c r="D66" s="90" t="str">
        <f t="shared" ca="1" si="3"/>
        <v/>
      </c>
      <c r="E66" s="82"/>
      <c r="F66" s="91" t="str">
        <f t="shared" si="4"/>
        <v/>
      </c>
      <c r="G66" s="27"/>
      <c r="H66" s="84"/>
      <c r="I66" s="92" t="str">
        <f>IF(A66="","Pending",IF(H66="","⚠️ Enter Code",IF(IFERROR(VLOOKUP(G66,DB_Agents!$B:$I,8,0),"")=H66,IF(AND(A66&lt;&gt;"",E66&lt;&gt;""),"Saved","Pending"),"🔒 BLOCKED — Wrong Code")))</f>
        <v>Pending</v>
      </c>
      <c r="J66" s="93" t="str">
        <f t="shared" ca="1" si="5"/>
        <v>—</v>
      </c>
      <c r="K66" s="94"/>
    </row>
    <row r="67" spans="1:11" x14ac:dyDescent="0.25">
      <c r="A67" s="79"/>
      <c r="B67" s="21" t="str">
        <f>IF(A67="","",IFERROR(VLOOKUP(A67,DB_Customers!$A:$D,4,0),"❌ Account Not Found"))</f>
        <v/>
      </c>
      <c r="C67" s="80" t="str">
        <f>IF(A67="","",IFERROR(VLOOKUP(A67,DB_Customers!$A:$N,14,0),""))</f>
        <v/>
      </c>
      <c r="D67" s="81" t="str">
        <f t="shared" ca="1" si="3"/>
        <v/>
      </c>
      <c r="E67" s="82"/>
      <c r="F67" s="83" t="str">
        <f t="shared" si="4"/>
        <v/>
      </c>
      <c r="G67" s="23"/>
      <c r="H67" s="84"/>
      <c r="I67" s="85" t="str">
        <f>IF(A67="","Pending",IF(H67="","⚠️ Enter Code",IF(IFERROR(VLOOKUP(G67,DB_Agents!$B:$I,8,0),"")=H67,IF(AND(A67&lt;&gt;"",E67&lt;&gt;""),"Saved","Pending"),"🔒 BLOCKED — Wrong Code")))</f>
        <v>Pending</v>
      </c>
      <c r="J67" s="86" t="str">
        <f t="shared" ca="1" si="5"/>
        <v>—</v>
      </c>
      <c r="K67" s="87"/>
    </row>
    <row r="68" spans="1:11" x14ac:dyDescent="0.25">
      <c r="A68" s="88"/>
      <c r="B68" s="25" t="str">
        <f>IF(A68="","",IFERROR(VLOOKUP(A68,DB_Customers!$A:$D,4,0),"❌ Account Not Found"))</f>
        <v/>
      </c>
      <c r="C68" s="89" t="str">
        <f>IF(A68="","",IFERROR(VLOOKUP(A68,DB_Customers!$A:$N,14,0),""))</f>
        <v/>
      </c>
      <c r="D68" s="90" t="str">
        <f t="shared" ca="1" si="3"/>
        <v/>
      </c>
      <c r="E68" s="82"/>
      <c r="F68" s="91" t="str">
        <f t="shared" si="4"/>
        <v/>
      </c>
      <c r="G68" s="27"/>
      <c r="H68" s="84"/>
      <c r="I68" s="92" t="str">
        <f>IF(A68="","Pending",IF(H68="","⚠️ Enter Code",IF(IFERROR(VLOOKUP(G68,DB_Agents!$B:$I,8,0),"")=H68,IF(AND(A68&lt;&gt;"",E68&lt;&gt;""),"Saved","Pending"),"🔒 BLOCKED — Wrong Code")))</f>
        <v>Pending</v>
      </c>
      <c r="J68" s="93" t="str">
        <f t="shared" ca="1" si="5"/>
        <v>—</v>
      </c>
      <c r="K68" s="94"/>
    </row>
    <row r="69" spans="1:11" x14ac:dyDescent="0.25">
      <c r="A69" s="79"/>
      <c r="B69" s="21" t="str">
        <f>IF(A69="","",IFERROR(VLOOKUP(A69,DB_Customers!$A:$D,4,0),"❌ Account Not Found"))</f>
        <v/>
      </c>
      <c r="C69" s="80" t="str">
        <f>IF(A69="","",IFERROR(VLOOKUP(A69,DB_Customers!$A:$N,14,0),""))</f>
        <v/>
      </c>
      <c r="D69" s="81" t="str">
        <f t="shared" ca="1" si="3"/>
        <v/>
      </c>
      <c r="E69" s="82"/>
      <c r="F69" s="83" t="str">
        <f t="shared" si="4"/>
        <v/>
      </c>
      <c r="G69" s="23"/>
      <c r="H69" s="84"/>
      <c r="I69" s="85" t="str">
        <f>IF(A69="","Pending",IF(H69="","⚠️ Enter Code",IF(IFERROR(VLOOKUP(G69,DB_Agents!$B:$I,8,0),"")=H69,IF(AND(A69&lt;&gt;"",E69&lt;&gt;""),"Saved","Pending"),"🔒 BLOCKED — Wrong Code")))</f>
        <v>Pending</v>
      </c>
      <c r="J69" s="86" t="str">
        <f t="shared" ca="1" si="5"/>
        <v>—</v>
      </c>
      <c r="K69" s="87"/>
    </row>
    <row r="70" spans="1:11" x14ac:dyDescent="0.25">
      <c r="A70" s="88"/>
      <c r="B70" s="25" t="str">
        <f>IF(A70="","",IFERROR(VLOOKUP(A70,DB_Customers!$A:$D,4,0),"❌ Account Not Found"))</f>
        <v/>
      </c>
      <c r="C70" s="89" t="str">
        <f>IF(A70="","",IFERROR(VLOOKUP(A70,DB_Customers!$A:$N,14,0),""))</f>
        <v/>
      </c>
      <c r="D70" s="90" t="str">
        <f t="shared" ca="1" si="3"/>
        <v/>
      </c>
      <c r="E70" s="82"/>
      <c r="F70" s="91" t="str">
        <f t="shared" si="4"/>
        <v/>
      </c>
      <c r="G70" s="27"/>
      <c r="H70" s="84"/>
      <c r="I70" s="92" t="str">
        <f>IF(A70="","Pending",IF(H70="","⚠️ Enter Code",IF(IFERROR(VLOOKUP(G70,DB_Agents!$B:$I,8,0),"")=H70,IF(AND(A70&lt;&gt;"",E70&lt;&gt;""),"Saved","Pending"),"🔒 BLOCKED — Wrong Code")))</f>
        <v>Pending</v>
      </c>
      <c r="J70" s="93" t="str">
        <f t="shared" ca="1" si="5"/>
        <v>—</v>
      </c>
      <c r="K70" s="94"/>
    </row>
    <row r="71" spans="1:11" x14ac:dyDescent="0.25">
      <c r="A71" s="79"/>
      <c r="B71" s="21" t="str">
        <f>IF(A71="","",IFERROR(VLOOKUP(A71,DB_Customers!$A:$D,4,0),"❌ Account Not Found"))</f>
        <v/>
      </c>
      <c r="C71" s="80" t="str">
        <f>IF(A71="","",IFERROR(VLOOKUP(A71,DB_Customers!$A:$N,14,0),""))</f>
        <v/>
      </c>
      <c r="D71" s="81" t="str">
        <f t="shared" ca="1" si="3"/>
        <v/>
      </c>
      <c r="E71" s="82"/>
      <c r="F71" s="83" t="str">
        <f t="shared" si="4"/>
        <v/>
      </c>
      <c r="G71" s="23"/>
      <c r="H71" s="84"/>
      <c r="I71" s="85" t="str">
        <f>IF(A71="","Pending",IF(H71="","⚠️ Enter Code",IF(IFERROR(VLOOKUP(G71,DB_Agents!$B:$I,8,0),"")=H71,IF(AND(A71&lt;&gt;"",E71&lt;&gt;""),"Saved","Pending"),"🔒 BLOCKED — Wrong Code")))</f>
        <v>Pending</v>
      </c>
      <c r="J71" s="86" t="str">
        <f t="shared" ca="1" si="5"/>
        <v>—</v>
      </c>
      <c r="K71" s="87"/>
    </row>
    <row r="72" spans="1:11" x14ac:dyDescent="0.25">
      <c r="A72" s="88"/>
      <c r="B72" s="25" t="str">
        <f>IF(A72="","",IFERROR(VLOOKUP(A72,DB_Customers!$A:$D,4,0),"❌ Account Not Found"))</f>
        <v/>
      </c>
      <c r="C72" s="89" t="str">
        <f>IF(A72="","",IFERROR(VLOOKUP(A72,DB_Customers!$A:$N,14,0),""))</f>
        <v/>
      </c>
      <c r="D72" s="90" t="str">
        <f t="shared" ca="1" si="3"/>
        <v/>
      </c>
      <c r="E72" s="82"/>
      <c r="F72" s="91" t="str">
        <f t="shared" si="4"/>
        <v/>
      </c>
      <c r="G72" s="27"/>
      <c r="H72" s="84"/>
      <c r="I72" s="92" t="str">
        <f>IF(A72="","Pending",IF(H72="","⚠️ Enter Code",IF(IFERROR(VLOOKUP(G72,DB_Agents!$B:$I,8,0),"")=H72,IF(AND(A72&lt;&gt;"",E72&lt;&gt;""),"Saved","Pending"),"🔒 BLOCKED — Wrong Code")))</f>
        <v>Pending</v>
      </c>
      <c r="J72" s="93" t="str">
        <f t="shared" ca="1" si="5"/>
        <v>—</v>
      </c>
      <c r="K72" s="94"/>
    </row>
    <row r="73" spans="1:11" x14ac:dyDescent="0.25">
      <c r="A73" s="79"/>
      <c r="B73" s="21" t="str">
        <f>IF(A73="","",IFERROR(VLOOKUP(A73,DB_Customers!$A:$D,4,0),"❌ Account Not Found"))</f>
        <v/>
      </c>
      <c r="C73" s="80" t="str">
        <f>IF(A73="","",IFERROR(VLOOKUP(A73,DB_Customers!$A:$N,14,0),""))</f>
        <v/>
      </c>
      <c r="D73" s="81" t="str">
        <f t="shared" ref="D73:D104" ca="1" si="6">IF(A73="","",TODAY())</f>
        <v/>
      </c>
      <c r="E73" s="82"/>
      <c r="F73" s="83" t="str">
        <f t="shared" ref="F73:F104" si="7">IF(OR(A73="",E73=""),"",IF(C73="","",C73+E73))</f>
        <v/>
      </c>
      <c r="G73" s="23"/>
      <c r="H73" s="84"/>
      <c r="I73" s="85" t="str">
        <f>IF(A73="","Pending",IF(H73="","⚠️ Enter Code",IF(IFERROR(VLOOKUP(G73,DB_Agents!$B:$I,8,0),"")=H73,IF(AND(A73&lt;&gt;"",E73&lt;&gt;""),"Saved","Pending"),"🔒 BLOCKED — Wrong Code")))</f>
        <v>Pending</v>
      </c>
      <c r="J73" s="86" t="str">
        <f t="shared" ref="J73:J104" ca="1" si="8">IF(I73="Saved",TEXT(TODAY(),"YYYY-MM-DD")&amp;" Auto","—")</f>
        <v>—</v>
      </c>
      <c r="K73" s="87"/>
    </row>
    <row r="74" spans="1:11" x14ac:dyDescent="0.25">
      <c r="A74" s="88"/>
      <c r="B74" s="25" t="str">
        <f>IF(A74="","",IFERROR(VLOOKUP(A74,DB_Customers!$A:$D,4,0),"❌ Account Not Found"))</f>
        <v/>
      </c>
      <c r="C74" s="89" t="str">
        <f>IF(A74="","",IFERROR(VLOOKUP(A74,DB_Customers!$A:$N,14,0),""))</f>
        <v/>
      </c>
      <c r="D74" s="90" t="str">
        <f t="shared" ca="1" si="6"/>
        <v/>
      </c>
      <c r="E74" s="82"/>
      <c r="F74" s="91" t="str">
        <f t="shared" si="7"/>
        <v/>
      </c>
      <c r="G74" s="27"/>
      <c r="H74" s="84"/>
      <c r="I74" s="92" t="str">
        <f>IF(A74="","Pending",IF(H74="","⚠️ Enter Code",IF(IFERROR(VLOOKUP(G74,DB_Agents!$B:$I,8,0),"")=H74,IF(AND(A74&lt;&gt;"",E74&lt;&gt;""),"Saved","Pending"),"🔒 BLOCKED — Wrong Code")))</f>
        <v>Pending</v>
      </c>
      <c r="J74" s="93" t="str">
        <f t="shared" ca="1" si="8"/>
        <v>—</v>
      </c>
      <c r="K74" s="94"/>
    </row>
    <row r="75" spans="1:11" x14ac:dyDescent="0.25">
      <c r="A75" s="79"/>
      <c r="B75" s="21" t="str">
        <f>IF(A75="","",IFERROR(VLOOKUP(A75,DB_Customers!$A:$D,4,0),"❌ Account Not Found"))</f>
        <v/>
      </c>
      <c r="C75" s="80" t="str">
        <f>IF(A75="","",IFERROR(VLOOKUP(A75,DB_Customers!$A:$N,14,0),""))</f>
        <v/>
      </c>
      <c r="D75" s="81" t="str">
        <f t="shared" ca="1" si="6"/>
        <v/>
      </c>
      <c r="E75" s="82"/>
      <c r="F75" s="83" t="str">
        <f t="shared" si="7"/>
        <v/>
      </c>
      <c r="G75" s="23"/>
      <c r="H75" s="84"/>
      <c r="I75" s="85" t="str">
        <f>IF(A75="","Pending",IF(H75="","⚠️ Enter Code",IF(IFERROR(VLOOKUP(G75,DB_Agents!$B:$I,8,0),"")=H75,IF(AND(A75&lt;&gt;"",E75&lt;&gt;""),"Saved","Pending"),"🔒 BLOCKED — Wrong Code")))</f>
        <v>Pending</v>
      </c>
      <c r="J75" s="86" t="str">
        <f t="shared" ca="1" si="8"/>
        <v>—</v>
      </c>
      <c r="K75" s="87"/>
    </row>
    <row r="76" spans="1:11" x14ac:dyDescent="0.25">
      <c r="A76" s="88"/>
      <c r="B76" s="25" t="str">
        <f>IF(A76="","",IFERROR(VLOOKUP(A76,DB_Customers!$A:$D,4,0),"❌ Account Not Found"))</f>
        <v/>
      </c>
      <c r="C76" s="89" t="str">
        <f>IF(A76="","",IFERROR(VLOOKUP(A76,DB_Customers!$A:$N,14,0),""))</f>
        <v/>
      </c>
      <c r="D76" s="90" t="str">
        <f t="shared" ca="1" si="6"/>
        <v/>
      </c>
      <c r="E76" s="82"/>
      <c r="F76" s="91" t="str">
        <f t="shared" si="7"/>
        <v/>
      </c>
      <c r="G76" s="27"/>
      <c r="H76" s="84"/>
      <c r="I76" s="92" t="str">
        <f>IF(A76="","Pending",IF(H76="","⚠️ Enter Code",IF(IFERROR(VLOOKUP(G76,DB_Agents!$B:$I,8,0),"")=H76,IF(AND(A76&lt;&gt;"",E76&lt;&gt;""),"Saved","Pending"),"🔒 BLOCKED — Wrong Code")))</f>
        <v>Pending</v>
      </c>
      <c r="J76" s="93" t="str">
        <f t="shared" ca="1" si="8"/>
        <v>—</v>
      </c>
      <c r="K76" s="94"/>
    </row>
    <row r="77" spans="1:11" x14ac:dyDescent="0.25">
      <c r="A77" s="79"/>
      <c r="B77" s="21" t="str">
        <f>IF(A77="","",IFERROR(VLOOKUP(A77,DB_Customers!$A:$D,4,0),"❌ Account Not Found"))</f>
        <v/>
      </c>
      <c r="C77" s="80" t="str">
        <f>IF(A77="","",IFERROR(VLOOKUP(A77,DB_Customers!$A:$N,14,0),""))</f>
        <v/>
      </c>
      <c r="D77" s="81" t="str">
        <f t="shared" ca="1" si="6"/>
        <v/>
      </c>
      <c r="E77" s="82"/>
      <c r="F77" s="83" t="str">
        <f t="shared" si="7"/>
        <v/>
      </c>
      <c r="G77" s="23"/>
      <c r="H77" s="84"/>
      <c r="I77" s="85" t="str">
        <f>IF(A77="","Pending",IF(H77="","⚠️ Enter Code",IF(IFERROR(VLOOKUP(G77,DB_Agents!$B:$I,8,0),"")=H77,IF(AND(A77&lt;&gt;"",E77&lt;&gt;""),"Saved","Pending"),"🔒 BLOCKED — Wrong Code")))</f>
        <v>Pending</v>
      </c>
      <c r="J77" s="86" t="str">
        <f t="shared" ca="1" si="8"/>
        <v>—</v>
      </c>
      <c r="K77" s="87"/>
    </row>
    <row r="78" spans="1:11" x14ac:dyDescent="0.25">
      <c r="A78" s="88"/>
      <c r="B78" s="25" t="str">
        <f>IF(A78="","",IFERROR(VLOOKUP(A78,DB_Customers!$A:$D,4,0),"❌ Account Not Found"))</f>
        <v/>
      </c>
      <c r="C78" s="89" t="str">
        <f>IF(A78="","",IFERROR(VLOOKUP(A78,DB_Customers!$A:$N,14,0),""))</f>
        <v/>
      </c>
      <c r="D78" s="90" t="str">
        <f t="shared" ca="1" si="6"/>
        <v/>
      </c>
      <c r="E78" s="82"/>
      <c r="F78" s="91" t="str">
        <f t="shared" si="7"/>
        <v/>
      </c>
      <c r="G78" s="27"/>
      <c r="H78" s="84"/>
      <c r="I78" s="92" t="str">
        <f>IF(A78="","Pending",IF(H78="","⚠️ Enter Code",IF(IFERROR(VLOOKUP(G78,DB_Agents!$B:$I,8,0),"")=H78,IF(AND(A78&lt;&gt;"",E78&lt;&gt;""),"Saved","Pending"),"🔒 BLOCKED — Wrong Code")))</f>
        <v>Pending</v>
      </c>
      <c r="J78" s="93" t="str">
        <f t="shared" ca="1" si="8"/>
        <v>—</v>
      </c>
      <c r="K78" s="94"/>
    </row>
    <row r="79" spans="1:11" x14ac:dyDescent="0.25">
      <c r="A79" s="79"/>
      <c r="B79" s="21" t="str">
        <f>IF(A79="","",IFERROR(VLOOKUP(A79,DB_Customers!$A:$D,4,0),"❌ Account Not Found"))</f>
        <v/>
      </c>
      <c r="C79" s="80" t="str">
        <f>IF(A79="","",IFERROR(VLOOKUP(A79,DB_Customers!$A:$N,14,0),""))</f>
        <v/>
      </c>
      <c r="D79" s="81" t="str">
        <f t="shared" ca="1" si="6"/>
        <v/>
      </c>
      <c r="E79" s="82"/>
      <c r="F79" s="83" t="str">
        <f t="shared" si="7"/>
        <v/>
      </c>
      <c r="G79" s="23"/>
      <c r="H79" s="84"/>
      <c r="I79" s="85" t="str">
        <f>IF(A79="","Pending",IF(H79="","⚠️ Enter Code",IF(IFERROR(VLOOKUP(G79,DB_Agents!$B:$I,8,0),"")=H79,IF(AND(A79&lt;&gt;"",E79&lt;&gt;""),"Saved","Pending"),"🔒 BLOCKED — Wrong Code")))</f>
        <v>Pending</v>
      </c>
      <c r="J79" s="86" t="str">
        <f t="shared" ca="1" si="8"/>
        <v>—</v>
      </c>
      <c r="K79" s="87"/>
    </row>
    <row r="80" spans="1:11" x14ac:dyDescent="0.25">
      <c r="A80" s="88"/>
      <c r="B80" s="25" t="str">
        <f>IF(A80="","",IFERROR(VLOOKUP(A80,DB_Customers!$A:$D,4,0),"❌ Account Not Found"))</f>
        <v/>
      </c>
      <c r="C80" s="89" t="str">
        <f>IF(A80="","",IFERROR(VLOOKUP(A80,DB_Customers!$A:$N,14,0),""))</f>
        <v/>
      </c>
      <c r="D80" s="90" t="str">
        <f t="shared" ca="1" si="6"/>
        <v/>
      </c>
      <c r="E80" s="82"/>
      <c r="F80" s="91" t="str">
        <f t="shared" si="7"/>
        <v/>
      </c>
      <c r="G80" s="27"/>
      <c r="H80" s="84"/>
      <c r="I80" s="92" t="str">
        <f>IF(A80="","Pending",IF(H80="","⚠️ Enter Code",IF(IFERROR(VLOOKUP(G80,DB_Agents!$B:$I,8,0),"")=H80,IF(AND(A80&lt;&gt;"",E80&lt;&gt;""),"Saved","Pending"),"🔒 BLOCKED — Wrong Code")))</f>
        <v>Pending</v>
      </c>
      <c r="J80" s="93" t="str">
        <f t="shared" ca="1" si="8"/>
        <v>—</v>
      </c>
      <c r="K80" s="94"/>
    </row>
    <row r="81" spans="1:11" x14ac:dyDescent="0.25">
      <c r="A81" s="79"/>
      <c r="B81" s="21" t="str">
        <f>IF(A81="","",IFERROR(VLOOKUP(A81,DB_Customers!$A:$D,4,0),"❌ Account Not Found"))</f>
        <v/>
      </c>
      <c r="C81" s="80" t="str">
        <f>IF(A81="","",IFERROR(VLOOKUP(A81,DB_Customers!$A:$N,14,0),""))</f>
        <v/>
      </c>
      <c r="D81" s="81" t="str">
        <f t="shared" ca="1" si="6"/>
        <v/>
      </c>
      <c r="E81" s="82"/>
      <c r="F81" s="83" t="str">
        <f t="shared" si="7"/>
        <v/>
      </c>
      <c r="G81" s="23"/>
      <c r="H81" s="84"/>
      <c r="I81" s="85" t="str">
        <f>IF(A81="","Pending",IF(H81="","⚠️ Enter Code",IF(IFERROR(VLOOKUP(G81,DB_Agents!$B:$I,8,0),"")=H81,IF(AND(A81&lt;&gt;"",E81&lt;&gt;""),"Saved","Pending"),"🔒 BLOCKED — Wrong Code")))</f>
        <v>Pending</v>
      </c>
      <c r="J81" s="86" t="str">
        <f t="shared" ca="1" si="8"/>
        <v>—</v>
      </c>
      <c r="K81" s="87"/>
    </row>
    <row r="82" spans="1:11" x14ac:dyDescent="0.25">
      <c r="A82" s="88"/>
      <c r="B82" s="25" t="str">
        <f>IF(A82="","",IFERROR(VLOOKUP(A82,DB_Customers!$A:$D,4,0),"❌ Account Not Found"))</f>
        <v/>
      </c>
      <c r="C82" s="89" t="str">
        <f>IF(A82="","",IFERROR(VLOOKUP(A82,DB_Customers!$A:$N,14,0),""))</f>
        <v/>
      </c>
      <c r="D82" s="90" t="str">
        <f t="shared" ca="1" si="6"/>
        <v/>
      </c>
      <c r="E82" s="82"/>
      <c r="F82" s="91" t="str">
        <f t="shared" si="7"/>
        <v/>
      </c>
      <c r="G82" s="27"/>
      <c r="H82" s="84"/>
      <c r="I82" s="92" t="str">
        <f>IF(A82="","Pending",IF(H82="","⚠️ Enter Code",IF(IFERROR(VLOOKUP(G82,DB_Agents!$B:$I,8,0),"")=H82,IF(AND(A82&lt;&gt;"",E82&lt;&gt;""),"Saved","Pending"),"🔒 BLOCKED — Wrong Code")))</f>
        <v>Pending</v>
      </c>
      <c r="J82" s="93" t="str">
        <f t="shared" ca="1" si="8"/>
        <v>—</v>
      </c>
      <c r="K82" s="94"/>
    </row>
    <row r="83" spans="1:11" x14ac:dyDescent="0.25">
      <c r="A83" s="79"/>
      <c r="B83" s="21" t="str">
        <f>IF(A83="","",IFERROR(VLOOKUP(A83,DB_Customers!$A:$D,4,0),"❌ Account Not Found"))</f>
        <v/>
      </c>
      <c r="C83" s="80" t="str">
        <f>IF(A83="","",IFERROR(VLOOKUP(A83,DB_Customers!$A:$N,14,0),""))</f>
        <v/>
      </c>
      <c r="D83" s="81" t="str">
        <f t="shared" ca="1" si="6"/>
        <v/>
      </c>
      <c r="E83" s="82"/>
      <c r="F83" s="83" t="str">
        <f t="shared" si="7"/>
        <v/>
      </c>
      <c r="G83" s="23"/>
      <c r="H83" s="84"/>
      <c r="I83" s="85" t="str">
        <f>IF(A83="","Pending",IF(H83="","⚠️ Enter Code",IF(IFERROR(VLOOKUP(G83,DB_Agents!$B:$I,8,0),"")=H83,IF(AND(A83&lt;&gt;"",E83&lt;&gt;""),"Saved","Pending"),"🔒 BLOCKED — Wrong Code")))</f>
        <v>Pending</v>
      </c>
      <c r="J83" s="86" t="str">
        <f t="shared" ca="1" si="8"/>
        <v>—</v>
      </c>
      <c r="K83" s="87"/>
    </row>
    <row r="84" spans="1:11" x14ac:dyDescent="0.25">
      <c r="A84" s="88"/>
      <c r="B84" s="25" t="str">
        <f>IF(A84="","",IFERROR(VLOOKUP(A84,DB_Customers!$A:$D,4,0),"❌ Account Not Found"))</f>
        <v/>
      </c>
      <c r="C84" s="89" t="str">
        <f>IF(A84="","",IFERROR(VLOOKUP(A84,DB_Customers!$A:$N,14,0),""))</f>
        <v/>
      </c>
      <c r="D84" s="90" t="str">
        <f t="shared" ca="1" si="6"/>
        <v/>
      </c>
      <c r="E84" s="82"/>
      <c r="F84" s="91" t="str">
        <f t="shared" si="7"/>
        <v/>
      </c>
      <c r="G84" s="27"/>
      <c r="H84" s="84"/>
      <c r="I84" s="92" t="str">
        <f>IF(A84="","Pending",IF(H84="","⚠️ Enter Code",IF(IFERROR(VLOOKUP(G84,DB_Agents!$B:$I,8,0),"")=H84,IF(AND(A84&lt;&gt;"",E84&lt;&gt;""),"Saved","Pending"),"🔒 BLOCKED — Wrong Code")))</f>
        <v>Pending</v>
      </c>
      <c r="J84" s="93" t="str">
        <f t="shared" ca="1" si="8"/>
        <v>—</v>
      </c>
      <c r="K84" s="94"/>
    </row>
    <row r="85" spans="1:11" x14ac:dyDescent="0.25">
      <c r="A85" s="79"/>
      <c r="B85" s="21" t="str">
        <f>IF(A85="","",IFERROR(VLOOKUP(A85,DB_Customers!$A:$D,4,0),"❌ Account Not Found"))</f>
        <v/>
      </c>
      <c r="C85" s="80" t="str">
        <f>IF(A85="","",IFERROR(VLOOKUP(A85,DB_Customers!$A:$N,14,0),""))</f>
        <v/>
      </c>
      <c r="D85" s="81" t="str">
        <f t="shared" ca="1" si="6"/>
        <v/>
      </c>
      <c r="E85" s="82"/>
      <c r="F85" s="83" t="str">
        <f t="shared" si="7"/>
        <v/>
      </c>
      <c r="G85" s="23"/>
      <c r="H85" s="84"/>
      <c r="I85" s="85" t="str">
        <f>IF(A85="","Pending",IF(H85="","⚠️ Enter Code",IF(IFERROR(VLOOKUP(G85,DB_Agents!$B:$I,8,0),"")=H85,IF(AND(A85&lt;&gt;"",E85&lt;&gt;""),"Saved","Pending"),"🔒 BLOCKED — Wrong Code")))</f>
        <v>Pending</v>
      </c>
      <c r="J85" s="86" t="str">
        <f t="shared" ca="1" si="8"/>
        <v>—</v>
      </c>
      <c r="K85" s="87"/>
    </row>
    <row r="86" spans="1:11" x14ac:dyDescent="0.25">
      <c r="A86" s="88"/>
      <c r="B86" s="25" t="str">
        <f>IF(A86="","",IFERROR(VLOOKUP(A86,DB_Customers!$A:$D,4,0),"❌ Account Not Found"))</f>
        <v/>
      </c>
      <c r="C86" s="89" t="str">
        <f>IF(A86="","",IFERROR(VLOOKUP(A86,DB_Customers!$A:$N,14,0),""))</f>
        <v/>
      </c>
      <c r="D86" s="90" t="str">
        <f t="shared" ca="1" si="6"/>
        <v/>
      </c>
      <c r="E86" s="82"/>
      <c r="F86" s="91" t="str">
        <f t="shared" si="7"/>
        <v/>
      </c>
      <c r="G86" s="27"/>
      <c r="H86" s="84"/>
      <c r="I86" s="92" t="str">
        <f>IF(A86="","Pending",IF(H86="","⚠️ Enter Code",IF(IFERROR(VLOOKUP(G86,DB_Agents!$B:$I,8,0),"")=H86,IF(AND(A86&lt;&gt;"",E86&lt;&gt;""),"Saved","Pending"),"🔒 BLOCKED — Wrong Code")))</f>
        <v>Pending</v>
      </c>
      <c r="J86" s="93" t="str">
        <f t="shared" ca="1" si="8"/>
        <v>—</v>
      </c>
      <c r="K86" s="94"/>
    </row>
    <row r="87" spans="1:11" x14ac:dyDescent="0.25">
      <c r="A87" s="79"/>
      <c r="B87" s="21" t="str">
        <f>IF(A87="","",IFERROR(VLOOKUP(A87,DB_Customers!$A:$D,4,0),"❌ Account Not Found"))</f>
        <v/>
      </c>
      <c r="C87" s="80" t="str">
        <f>IF(A87="","",IFERROR(VLOOKUP(A87,DB_Customers!$A:$N,14,0),""))</f>
        <v/>
      </c>
      <c r="D87" s="81" t="str">
        <f t="shared" ca="1" si="6"/>
        <v/>
      </c>
      <c r="E87" s="82"/>
      <c r="F87" s="83" t="str">
        <f t="shared" si="7"/>
        <v/>
      </c>
      <c r="G87" s="23"/>
      <c r="H87" s="84"/>
      <c r="I87" s="85" t="str">
        <f>IF(A87="","Pending",IF(H87="","⚠️ Enter Code",IF(IFERROR(VLOOKUP(G87,DB_Agents!$B:$I,8,0),"")=H87,IF(AND(A87&lt;&gt;"",E87&lt;&gt;""),"Saved","Pending"),"🔒 BLOCKED — Wrong Code")))</f>
        <v>Pending</v>
      </c>
      <c r="J87" s="86" t="str">
        <f t="shared" ca="1" si="8"/>
        <v>—</v>
      </c>
      <c r="K87" s="87"/>
    </row>
    <row r="88" spans="1:11" x14ac:dyDescent="0.25">
      <c r="A88" s="88"/>
      <c r="B88" s="25" t="str">
        <f>IF(A88="","",IFERROR(VLOOKUP(A88,DB_Customers!$A:$D,4,0),"❌ Account Not Found"))</f>
        <v/>
      </c>
      <c r="C88" s="89" t="str">
        <f>IF(A88="","",IFERROR(VLOOKUP(A88,DB_Customers!$A:$N,14,0),""))</f>
        <v/>
      </c>
      <c r="D88" s="90" t="str">
        <f t="shared" ca="1" si="6"/>
        <v/>
      </c>
      <c r="E88" s="82"/>
      <c r="F88" s="91" t="str">
        <f t="shared" si="7"/>
        <v/>
      </c>
      <c r="G88" s="27"/>
      <c r="H88" s="84"/>
      <c r="I88" s="92" t="str">
        <f>IF(A88="","Pending",IF(H88="","⚠️ Enter Code",IF(IFERROR(VLOOKUP(G88,DB_Agents!$B:$I,8,0),"")=H88,IF(AND(A88&lt;&gt;"",E88&lt;&gt;""),"Saved","Pending"),"🔒 BLOCKED — Wrong Code")))</f>
        <v>Pending</v>
      </c>
      <c r="J88" s="93" t="str">
        <f t="shared" ca="1" si="8"/>
        <v>—</v>
      </c>
      <c r="K88" s="94"/>
    </row>
    <row r="89" spans="1:11" x14ac:dyDescent="0.25">
      <c r="A89" s="79"/>
      <c r="B89" s="21" t="str">
        <f>IF(A89="","",IFERROR(VLOOKUP(A89,DB_Customers!$A:$D,4,0),"❌ Account Not Found"))</f>
        <v/>
      </c>
      <c r="C89" s="80" t="str">
        <f>IF(A89="","",IFERROR(VLOOKUP(A89,DB_Customers!$A:$N,14,0),""))</f>
        <v/>
      </c>
      <c r="D89" s="81" t="str">
        <f t="shared" ca="1" si="6"/>
        <v/>
      </c>
      <c r="E89" s="82"/>
      <c r="F89" s="83" t="str">
        <f t="shared" si="7"/>
        <v/>
      </c>
      <c r="G89" s="23"/>
      <c r="H89" s="84"/>
      <c r="I89" s="85" t="str">
        <f>IF(A89="","Pending",IF(H89="","⚠️ Enter Code",IF(IFERROR(VLOOKUP(G89,DB_Agents!$B:$I,8,0),"")=H89,IF(AND(A89&lt;&gt;"",E89&lt;&gt;""),"Saved","Pending"),"🔒 BLOCKED — Wrong Code")))</f>
        <v>Pending</v>
      </c>
      <c r="J89" s="86" t="str">
        <f t="shared" ca="1" si="8"/>
        <v>—</v>
      </c>
      <c r="K89" s="87"/>
    </row>
    <row r="90" spans="1:11" x14ac:dyDescent="0.25">
      <c r="A90" s="88"/>
      <c r="B90" s="25" t="str">
        <f>IF(A90="","",IFERROR(VLOOKUP(A90,DB_Customers!$A:$D,4,0),"❌ Account Not Found"))</f>
        <v/>
      </c>
      <c r="C90" s="89" t="str">
        <f>IF(A90="","",IFERROR(VLOOKUP(A90,DB_Customers!$A:$N,14,0),""))</f>
        <v/>
      </c>
      <c r="D90" s="90" t="str">
        <f t="shared" ca="1" si="6"/>
        <v/>
      </c>
      <c r="E90" s="82"/>
      <c r="F90" s="91" t="str">
        <f t="shared" si="7"/>
        <v/>
      </c>
      <c r="G90" s="27"/>
      <c r="H90" s="84"/>
      <c r="I90" s="92" t="str">
        <f>IF(A90="","Pending",IF(H90="","⚠️ Enter Code",IF(IFERROR(VLOOKUP(G90,DB_Agents!$B:$I,8,0),"")=H90,IF(AND(A90&lt;&gt;"",E90&lt;&gt;""),"Saved","Pending"),"🔒 BLOCKED — Wrong Code")))</f>
        <v>Pending</v>
      </c>
      <c r="J90" s="93" t="str">
        <f t="shared" ca="1" si="8"/>
        <v>—</v>
      </c>
      <c r="K90" s="94"/>
    </row>
    <row r="91" spans="1:11" x14ac:dyDescent="0.25">
      <c r="A91" s="79"/>
      <c r="B91" s="21" t="str">
        <f>IF(A91="","",IFERROR(VLOOKUP(A91,DB_Customers!$A:$D,4,0),"❌ Account Not Found"))</f>
        <v/>
      </c>
      <c r="C91" s="80" t="str">
        <f>IF(A91="","",IFERROR(VLOOKUP(A91,DB_Customers!$A:$N,14,0),""))</f>
        <v/>
      </c>
      <c r="D91" s="81" t="str">
        <f t="shared" ca="1" si="6"/>
        <v/>
      </c>
      <c r="E91" s="82"/>
      <c r="F91" s="83" t="str">
        <f t="shared" si="7"/>
        <v/>
      </c>
      <c r="G91" s="23"/>
      <c r="H91" s="84"/>
      <c r="I91" s="85" t="str">
        <f>IF(A91="","Pending",IF(H91="","⚠️ Enter Code",IF(IFERROR(VLOOKUP(G91,DB_Agents!$B:$I,8,0),"")=H91,IF(AND(A91&lt;&gt;"",E91&lt;&gt;""),"Saved","Pending"),"🔒 BLOCKED — Wrong Code")))</f>
        <v>Pending</v>
      </c>
      <c r="J91" s="86" t="str">
        <f t="shared" ca="1" si="8"/>
        <v>—</v>
      </c>
      <c r="K91" s="87"/>
    </row>
    <row r="92" spans="1:11" x14ac:dyDescent="0.25">
      <c r="A92" s="88"/>
      <c r="B92" s="25" t="str">
        <f>IF(A92="","",IFERROR(VLOOKUP(A92,DB_Customers!$A:$D,4,0),"❌ Account Not Found"))</f>
        <v/>
      </c>
      <c r="C92" s="89" t="str">
        <f>IF(A92="","",IFERROR(VLOOKUP(A92,DB_Customers!$A:$N,14,0),""))</f>
        <v/>
      </c>
      <c r="D92" s="90" t="str">
        <f t="shared" ca="1" si="6"/>
        <v/>
      </c>
      <c r="E92" s="82"/>
      <c r="F92" s="91" t="str">
        <f t="shared" si="7"/>
        <v/>
      </c>
      <c r="G92" s="27"/>
      <c r="H92" s="84"/>
      <c r="I92" s="92" t="str">
        <f>IF(A92="","Pending",IF(H92="","⚠️ Enter Code",IF(IFERROR(VLOOKUP(G92,DB_Agents!$B:$I,8,0),"")=H92,IF(AND(A92&lt;&gt;"",E92&lt;&gt;""),"Saved","Pending"),"🔒 BLOCKED — Wrong Code")))</f>
        <v>Pending</v>
      </c>
      <c r="J92" s="93" t="str">
        <f t="shared" ca="1" si="8"/>
        <v>—</v>
      </c>
      <c r="K92" s="94"/>
    </row>
    <row r="93" spans="1:11" x14ac:dyDescent="0.25">
      <c r="A93" s="79"/>
      <c r="B93" s="21" t="str">
        <f>IF(A93="","",IFERROR(VLOOKUP(A93,DB_Customers!$A:$D,4,0),"❌ Account Not Found"))</f>
        <v/>
      </c>
      <c r="C93" s="80" t="str">
        <f>IF(A93="","",IFERROR(VLOOKUP(A93,DB_Customers!$A:$N,14,0),""))</f>
        <v/>
      </c>
      <c r="D93" s="81" t="str">
        <f t="shared" ca="1" si="6"/>
        <v/>
      </c>
      <c r="E93" s="82"/>
      <c r="F93" s="83" t="str">
        <f t="shared" si="7"/>
        <v/>
      </c>
      <c r="G93" s="23"/>
      <c r="H93" s="84"/>
      <c r="I93" s="85" t="str">
        <f>IF(A93="","Pending",IF(H93="","⚠️ Enter Code",IF(IFERROR(VLOOKUP(G93,DB_Agents!$B:$I,8,0),"")=H93,IF(AND(A93&lt;&gt;"",E93&lt;&gt;""),"Saved","Pending"),"🔒 BLOCKED — Wrong Code")))</f>
        <v>Pending</v>
      </c>
      <c r="J93" s="86" t="str">
        <f t="shared" ca="1" si="8"/>
        <v>—</v>
      </c>
      <c r="K93" s="87"/>
    </row>
    <row r="94" spans="1:11" x14ac:dyDescent="0.25">
      <c r="A94" s="88"/>
      <c r="B94" s="25" t="str">
        <f>IF(A94="","",IFERROR(VLOOKUP(A94,DB_Customers!$A:$D,4,0),"❌ Account Not Found"))</f>
        <v/>
      </c>
      <c r="C94" s="89" t="str">
        <f>IF(A94="","",IFERROR(VLOOKUP(A94,DB_Customers!$A:$N,14,0),""))</f>
        <v/>
      </c>
      <c r="D94" s="90" t="str">
        <f t="shared" ca="1" si="6"/>
        <v/>
      </c>
      <c r="E94" s="82"/>
      <c r="F94" s="91" t="str">
        <f t="shared" si="7"/>
        <v/>
      </c>
      <c r="G94" s="27"/>
      <c r="H94" s="84"/>
      <c r="I94" s="92" t="str">
        <f>IF(A94="","Pending",IF(H94="","⚠️ Enter Code",IF(IFERROR(VLOOKUP(G94,DB_Agents!$B:$I,8,0),"")=H94,IF(AND(A94&lt;&gt;"",E94&lt;&gt;""),"Saved","Pending"),"🔒 BLOCKED — Wrong Code")))</f>
        <v>Pending</v>
      </c>
      <c r="J94" s="93" t="str">
        <f t="shared" ca="1" si="8"/>
        <v>—</v>
      </c>
      <c r="K94" s="94"/>
    </row>
    <row r="95" spans="1:11" x14ac:dyDescent="0.25">
      <c r="A95" s="79"/>
      <c r="B95" s="21" t="str">
        <f>IF(A95="","",IFERROR(VLOOKUP(A95,DB_Customers!$A:$D,4,0),"❌ Account Not Found"))</f>
        <v/>
      </c>
      <c r="C95" s="80" t="str">
        <f>IF(A95="","",IFERROR(VLOOKUP(A95,DB_Customers!$A:$N,14,0),""))</f>
        <v/>
      </c>
      <c r="D95" s="81" t="str">
        <f t="shared" ca="1" si="6"/>
        <v/>
      </c>
      <c r="E95" s="82"/>
      <c r="F95" s="83" t="str">
        <f t="shared" si="7"/>
        <v/>
      </c>
      <c r="G95" s="23"/>
      <c r="H95" s="84"/>
      <c r="I95" s="85" t="str">
        <f>IF(A95="","Pending",IF(H95="","⚠️ Enter Code",IF(IFERROR(VLOOKUP(G95,DB_Agents!$B:$I,8,0),"")=H95,IF(AND(A95&lt;&gt;"",E95&lt;&gt;""),"Saved","Pending"),"🔒 BLOCKED — Wrong Code")))</f>
        <v>Pending</v>
      </c>
      <c r="J95" s="86" t="str">
        <f t="shared" ca="1" si="8"/>
        <v>—</v>
      </c>
      <c r="K95" s="87"/>
    </row>
    <row r="96" spans="1:11" x14ac:dyDescent="0.25">
      <c r="A96" s="88"/>
      <c r="B96" s="25" t="str">
        <f>IF(A96="","",IFERROR(VLOOKUP(A96,DB_Customers!$A:$D,4,0),"❌ Account Not Found"))</f>
        <v/>
      </c>
      <c r="C96" s="89" t="str">
        <f>IF(A96="","",IFERROR(VLOOKUP(A96,DB_Customers!$A:$N,14,0),""))</f>
        <v/>
      </c>
      <c r="D96" s="90" t="str">
        <f t="shared" ca="1" si="6"/>
        <v/>
      </c>
      <c r="E96" s="82"/>
      <c r="F96" s="91" t="str">
        <f t="shared" si="7"/>
        <v/>
      </c>
      <c r="G96" s="27"/>
      <c r="H96" s="84"/>
      <c r="I96" s="92" t="str">
        <f>IF(A96="","Pending",IF(H96="","⚠️ Enter Code",IF(IFERROR(VLOOKUP(G96,DB_Agents!$B:$I,8,0),"")=H96,IF(AND(A96&lt;&gt;"",E96&lt;&gt;""),"Saved","Pending"),"🔒 BLOCKED — Wrong Code")))</f>
        <v>Pending</v>
      </c>
      <c r="J96" s="93" t="str">
        <f t="shared" ca="1" si="8"/>
        <v>—</v>
      </c>
      <c r="K96" s="94"/>
    </row>
    <row r="97" spans="1:11" x14ac:dyDescent="0.25">
      <c r="A97" s="79"/>
      <c r="B97" s="21" t="str">
        <f>IF(A97="","",IFERROR(VLOOKUP(A97,DB_Customers!$A:$D,4,0),"❌ Account Not Found"))</f>
        <v/>
      </c>
      <c r="C97" s="80" t="str">
        <f>IF(A97="","",IFERROR(VLOOKUP(A97,DB_Customers!$A:$N,14,0),""))</f>
        <v/>
      </c>
      <c r="D97" s="81" t="str">
        <f t="shared" ca="1" si="6"/>
        <v/>
      </c>
      <c r="E97" s="82"/>
      <c r="F97" s="83" t="str">
        <f t="shared" si="7"/>
        <v/>
      </c>
      <c r="G97" s="23"/>
      <c r="H97" s="84"/>
      <c r="I97" s="85" t="str">
        <f>IF(A97="","Pending",IF(H97="","⚠️ Enter Code",IF(IFERROR(VLOOKUP(G97,DB_Agents!$B:$I,8,0),"")=H97,IF(AND(A97&lt;&gt;"",E97&lt;&gt;""),"Saved","Pending"),"🔒 BLOCKED — Wrong Code")))</f>
        <v>Pending</v>
      </c>
      <c r="J97" s="86" t="str">
        <f t="shared" ca="1" si="8"/>
        <v>—</v>
      </c>
      <c r="K97" s="87"/>
    </row>
    <row r="98" spans="1:11" x14ac:dyDescent="0.25">
      <c r="A98" s="88"/>
      <c r="B98" s="25" t="str">
        <f>IF(A98="","",IFERROR(VLOOKUP(A98,DB_Customers!$A:$D,4,0),"❌ Account Not Found"))</f>
        <v/>
      </c>
      <c r="C98" s="89" t="str">
        <f>IF(A98="","",IFERROR(VLOOKUP(A98,DB_Customers!$A:$N,14,0),""))</f>
        <v/>
      </c>
      <c r="D98" s="90" t="str">
        <f t="shared" ca="1" si="6"/>
        <v/>
      </c>
      <c r="E98" s="82"/>
      <c r="F98" s="91" t="str">
        <f t="shared" si="7"/>
        <v/>
      </c>
      <c r="G98" s="27"/>
      <c r="H98" s="84"/>
      <c r="I98" s="92" t="str">
        <f>IF(A98="","Pending",IF(H98="","⚠️ Enter Code",IF(IFERROR(VLOOKUP(G98,DB_Agents!$B:$I,8,0),"")=H98,IF(AND(A98&lt;&gt;"",E98&lt;&gt;""),"Saved","Pending"),"🔒 BLOCKED — Wrong Code")))</f>
        <v>Pending</v>
      </c>
      <c r="J98" s="93" t="str">
        <f t="shared" ca="1" si="8"/>
        <v>—</v>
      </c>
      <c r="K98" s="94"/>
    </row>
    <row r="99" spans="1:11" x14ac:dyDescent="0.25">
      <c r="A99" s="79"/>
      <c r="B99" s="21" t="str">
        <f>IF(A99="","",IFERROR(VLOOKUP(A99,DB_Customers!$A:$D,4,0),"❌ Account Not Found"))</f>
        <v/>
      </c>
      <c r="C99" s="80" t="str">
        <f>IF(A99="","",IFERROR(VLOOKUP(A99,DB_Customers!$A:$N,14,0),""))</f>
        <v/>
      </c>
      <c r="D99" s="81" t="str">
        <f t="shared" ca="1" si="6"/>
        <v/>
      </c>
      <c r="E99" s="82"/>
      <c r="F99" s="83" t="str">
        <f t="shared" si="7"/>
        <v/>
      </c>
      <c r="G99" s="23"/>
      <c r="H99" s="84"/>
      <c r="I99" s="85" t="str">
        <f>IF(A99="","Pending",IF(H99="","⚠️ Enter Code",IF(IFERROR(VLOOKUP(G99,DB_Agents!$B:$I,8,0),"")=H99,IF(AND(A99&lt;&gt;"",E99&lt;&gt;""),"Saved","Pending"),"🔒 BLOCKED — Wrong Code")))</f>
        <v>Pending</v>
      </c>
      <c r="J99" s="86" t="str">
        <f t="shared" ca="1" si="8"/>
        <v>—</v>
      </c>
      <c r="K99" s="87"/>
    </row>
    <row r="100" spans="1:11" x14ac:dyDescent="0.25">
      <c r="A100" s="88"/>
      <c r="B100" s="25" t="str">
        <f>IF(A100="","",IFERROR(VLOOKUP(A100,DB_Customers!$A:$D,4,0),"❌ Account Not Found"))</f>
        <v/>
      </c>
      <c r="C100" s="89" t="str">
        <f>IF(A100="","",IFERROR(VLOOKUP(A100,DB_Customers!$A:$N,14,0),""))</f>
        <v/>
      </c>
      <c r="D100" s="90" t="str">
        <f t="shared" ca="1" si="6"/>
        <v/>
      </c>
      <c r="E100" s="82"/>
      <c r="F100" s="91" t="str">
        <f t="shared" si="7"/>
        <v/>
      </c>
      <c r="G100" s="27"/>
      <c r="H100" s="84"/>
      <c r="I100" s="92" t="str">
        <f>IF(A100="","Pending",IF(H100="","⚠️ Enter Code",IF(IFERROR(VLOOKUP(G100,DB_Agents!$B:$I,8,0),"")=H100,IF(AND(A100&lt;&gt;"",E100&lt;&gt;""),"Saved","Pending"),"🔒 BLOCKED — Wrong Code")))</f>
        <v>Pending</v>
      </c>
      <c r="J100" s="93" t="str">
        <f t="shared" ca="1" si="8"/>
        <v>—</v>
      </c>
      <c r="K100" s="94"/>
    </row>
    <row r="101" spans="1:11" x14ac:dyDescent="0.25">
      <c r="A101" s="79"/>
      <c r="B101" s="21" t="str">
        <f>IF(A101="","",IFERROR(VLOOKUP(A101,DB_Customers!$A:$D,4,0),"❌ Account Not Found"))</f>
        <v/>
      </c>
      <c r="C101" s="80" t="str">
        <f>IF(A101="","",IFERROR(VLOOKUP(A101,DB_Customers!$A:$N,14,0),""))</f>
        <v/>
      </c>
      <c r="D101" s="81" t="str">
        <f t="shared" ca="1" si="6"/>
        <v/>
      </c>
      <c r="E101" s="82"/>
      <c r="F101" s="83" t="str">
        <f t="shared" si="7"/>
        <v/>
      </c>
      <c r="G101" s="23"/>
      <c r="H101" s="84"/>
      <c r="I101" s="85" t="str">
        <f>IF(A101="","Pending",IF(H101="","⚠️ Enter Code",IF(IFERROR(VLOOKUP(G101,DB_Agents!$B:$I,8,0),"")=H101,IF(AND(A101&lt;&gt;"",E101&lt;&gt;""),"Saved","Pending"),"🔒 BLOCKED — Wrong Code")))</f>
        <v>Pending</v>
      </c>
      <c r="J101" s="86" t="str">
        <f t="shared" ca="1" si="8"/>
        <v>—</v>
      </c>
      <c r="K101" s="87"/>
    </row>
    <row r="102" spans="1:11" x14ac:dyDescent="0.25">
      <c r="A102" s="88"/>
      <c r="B102" s="25" t="str">
        <f>IF(A102="","",IFERROR(VLOOKUP(A102,DB_Customers!$A:$D,4,0),"❌ Account Not Found"))</f>
        <v/>
      </c>
      <c r="C102" s="89" t="str">
        <f>IF(A102="","",IFERROR(VLOOKUP(A102,DB_Customers!$A:$N,14,0),""))</f>
        <v/>
      </c>
      <c r="D102" s="90" t="str">
        <f t="shared" ca="1" si="6"/>
        <v/>
      </c>
      <c r="E102" s="82"/>
      <c r="F102" s="91" t="str">
        <f t="shared" si="7"/>
        <v/>
      </c>
      <c r="G102" s="27"/>
      <c r="H102" s="84"/>
      <c r="I102" s="92" t="str">
        <f>IF(A102="","Pending",IF(H102="","⚠️ Enter Code",IF(IFERROR(VLOOKUP(G102,DB_Agents!$B:$I,8,0),"")=H102,IF(AND(A102&lt;&gt;"",E102&lt;&gt;""),"Saved","Pending"),"🔒 BLOCKED — Wrong Code")))</f>
        <v>Pending</v>
      </c>
      <c r="J102" s="93" t="str">
        <f t="shared" ca="1" si="8"/>
        <v>—</v>
      </c>
      <c r="K102" s="94"/>
    </row>
    <row r="103" spans="1:11" x14ac:dyDescent="0.25">
      <c r="A103" s="79"/>
      <c r="B103" s="21" t="str">
        <f>IF(A103="","",IFERROR(VLOOKUP(A103,DB_Customers!$A:$D,4,0),"❌ Account Not Found"))</f>
        <v/>
      </c>
      <c r="C103" s="80" t="str">
        <f>IF(A103="","",IFERROR(VLOOKUP(A103,DB_Customers!$A:$N,14,0),""))</f>
        <v/>
      </c>
      <c r="D103" s="81" t="str">
        <f t="shared" ca="1" si="6"/>
        <v/>
      </c>
      <c r="E103" s="82"/>
      <c r="F103" s="83" t="str">
        <f t="shared" si="7"/>
        <v/>
      </c>
      <c r="G103" s="23"/>
      <c r="H103" s="84"/>
      <c r="I103" s="85" t="str">
        <f>IF(A103="","Pending",IF(H103="","⚠️ Enter Code",IF(IFERROR(VLOOKUP(G103,DB_Agents!$B:$I,8,0),"")=H103,IF(AND(A103&lt;&gt;"",E103&lt;&gt;""),"Saved","Pending"),"🔒 BLOCKED — Wrong Code")))</f>
        <v>Pending</v>
      </c>
      <c r="J103" s="86" t="str">
        <f t="shared" ca="1" si="8"/>
        <v>—</v>
      </c>
      <c r="K103" s="87"/>
    </row>
    <row r="104" spans="1:11" x14ac:dyDescent="0.25">
      <c r="A104" s="88"/>
      <c r="B104" s="25" t="str">
        <f>IF(A104="","",IFERROR(VLOOKUP(A104,DB_Customers!$A:$D,4,0),"❌ Account Not Found"))</f>
        <v/>
      </c>
      <c r="C104" s="89" t="str">
        <f>IF(A104="","",IFERROR(VLOOKUP(A104,DB_Customers!$A:$N,14,0),""))</f>
        <v/>
      </c>
      <c r="D104" s="90" t="str">
        <f t="shared" ca="1" si="6"/>
        <v/>
      </c>
      <c r="E104" s="82"/>
      <c r="F104" s="91" t="str">
        <f t="shared" si="7"/>
        <v/>
      </c>
      <c r="G104" s="27"/>
      <c r="H104" s="84"/>
      <c r="I104" s="92" t="str">
        <f>IF(A104="","Pending",IF(H104="","⚠️ Enter Code",IF(IFERROR(VLOOKUP(G104,DB_Agents!$B:$I,8,0),"")=H104,IF(AND(A104&lt;&gt;"",E104&lt;&gt;""),"Saved","Pending"),"🔒 BLOCKED — Wrong Code")))</f>
        <v>Pending</v>
      </c>
      <c r="J104" s="93" t="str">
        <f t="shared" ca="1" si="8"/>
        <v>—</v>
      </c>
      <c r="K104" s="94"/>
    </row>
    <row r="105" spans="1:11" x14ac:dyDescent="0.25">
      <c r="A105" s="79"/>
      <c r="B105" s="21" t="str">
        <f>IF(A105="","",IFERROR(VLOOKUP(A105,DB_Customers!$A:$D,4,0),"❌ Account Not Found"))</f>
        <v/>
      </c>
      <c r="C105" s="80" t="str">
        <f>IF(A105="","",IFERROR(VLOOKUP(A105,DB_Customers!$A:$N,14,0),""))</f>
        <v/>
      </c>
      <c r="D105" s="81" t="str">
        <f t="shared" ref="D105:D136" ca="1" si="9">IF(A105="","",TODAY())</f>
        <v/>
      </c>
      <c r="E105" s="82"/>
      <c r="F105" s="83" t="str">
        <f t="shared" ref="F105:F136" si="10">IF(OR(A105="",E105=""),"",IF(C105="","",C105+E105))</f>
        <v/>
      </c>
      <c r="G105" s="23"/>
      <c r="H105" s="84"/>
      <c r="I105" s="85" t="str">
        <f>IF(A105="","Pending",IF(H105="","⚠️ Enter Code",IF(IFERROR(VLOOKUP(G105,DB_Agents!$B:$I,8,0),"")=H105,IF(AND(A105&lt;&gt;"",E105&lt;&gt;""),"Saved","Pending"),"🔒 BLOCKED — Wrong Code")))</f>
        <v>Pending</v>
      </c>
      <c r="J105" s="86" t="str">
        <f t="shared" ref="J105:J136" ca="1" si="11">IF(I105="Saved",TEXT(TODAY(),"YYYY-MM-DD")&amp;" Auto","—")</f>
        <v>—</v>
      </c>
      <c r="K105" s="87"/>
    </row>
    <row r="106" spans="1:11" x14ac:dyDescent="0.25">
      <c r="A106" s="88"/>
      <c r="B106" s="25" t="str">
        <f>IF(A106="","",IFERROR(VLOOKUP(A106,DB_Customers!$A:$D,4,0),"❌ Account Not Found"))</f>
        <v/>
      </c>
      <c r="C106" s="89" t="str">
        <f>IF(A106="","",IFERROR(VLOOKUP(A106,DB_Customers!$A:$N,14,0),""))</f>
        <v/>
      </c>
      <c r="D106" s="90" t="str">
        <f t="shared" ca="1" si="9"/>
        <v/>
      </c>
      <c r="E106" s="82"/>
      <c r="F106" s="91" t="str">
        <f t="shared" si="10"/>
        <v/>
      </c>
      <c r="G106" s="27"/>
      <c r="H106" s="84"/>
      <c r="I106" s="92" t="str">
        <f>IF(A106="","Pending",IF(H106="","⚠️ Enter Code",IF(IFERROR(VLOOKUP(G106,DB_Agents!$B:$I,8,0),"")=H106,IF(AND(A106&lt;&gt;"",E106&lt;&gt;""),"Saved","Pending"),"🔒 BLOCKED — Wrong Code")))</f>
        <v>Pending</v>
      </c>
      <c r="J106" s="93" t="str">
        <f t="shared" ca="1" si="11"/>
        <v>—</v>
      </c>
      <c r="K106" s="94"/>
    </row>
    <row r="107" spans="1:11" x14ac:dyDescent="0.25">
      <c r="A107" s="79"/>
      <c r="B107" s="21" t="str">
        <f>IF(A107="","",IFERROR(VLOOKUP(A107,DB_Customers!$A:$D,4,0),"❌ Account Not Found"))</f>
        <v/>
      </c>
      <c r="C107" s="80" t="str">
        <f>IF(A107="","",IFERROR(VLOOKUP(A107,DB_Customers!$A:$N,14,0),""))</f>
        <v/>
      </c>
      <c r="D107" s="81" t="str">
        <f t="shared" ca="1" si="9"/>
        <v/>
      </c>
      <c r="E107" s="82"/>
      <c r="F107" s="83" t="str">
        <f t="shared" si="10"/>
        <v/>
      </c>
      <c r="G107" s="23"/>
      <c r="H107" s="84"/>
      <c r="I107" s="85" t="str">
        <f>IF(A107="","Pending",IF(H107="","⚠️ Enter Code",IF(IFERROR(VLOOKUP(G107,DB_Agents!$B:$I,8,0),"")=H107,IF(AND(A107&lt;&gt;"",E107&lt;&gt;""),"Saved","Pending"),"🔒 BLOCKED — Wrong Code")))</f>
        <v>Pending</v>
      </c>
      <c r="J107" s="86" t="str">
        <f t="shared" ca="1" si="11"/>
        <v>—</v>
      </c>
      <c r="K107" s="87"/>
    </row>
    <row r="108" spans="1:11" x14ac:dyDescent="0.25">
      <c r="A108" s="88"/>
      <c r="B108" s="25" t="str">
        <f>IF(A108="","",IFERROR(VLOOKUP(A108,DB_Customers!$A:$D,4,0),"❌ Account Not Found"))</f>
        <v/>
      </c>
      <c r="C108" s="89" t="str">
        <f>IF(A108="","",IFERROR(VLOOKUP(A108,DB_Customers!$A:$N,14,0),""))</f>
        <v/>
      </c>
      <c r="D108" s="90" t="str">
        <f t="shared" ca="1" si="9"/>
        <v/>
      </c>
      <c r="E108" s="82"/>
      <c r="F108" s="91" t="str">
        <f t="shared" si="10"/>
        <v/>
      </c>
      <c r="G108" s="27"/>
      <c r="H108" s="84"/>
      <c r="I108" s="92" t="str">
        <f>IF(A108="","Pending",IF(H108="","⚠️ Enter Code",IF(IFERROR(VLOOKUP(G108,DB_Agents!$B:$I,8,0),"")=H108,IF(AND(A108&lt;&gt;"",E108&lt;&gt;""),"Saved","Pending"),"🔒 BLOCKED — Wrong Code")))</f>
        <v>Pending</v>
      </c>
      <c r="J108" s="93" t="str">
        <f t="shared" ca="1" si="11"/>
        <v>—</v>
      </c>
      <c r="K108" s="94"/>
    </row>
    <row r="109" spans="1:11" x14ac:dyDescent="0.25">
      <c r="A109" s="79"/>
      <c r="B109" s="21" t="str">
        <f>IF(A109="","",IFERROR(VLOOKUP(A109,DB_Customers!$A:$D,4,0),"❌ Account Not Found"))</f>
        <v/>
      </c>
      <c r="C109" s="80" t="str">
        <f>IF(A109="","",IFERROR(VLOOKUP(A109,DB_Customers!$A:$N,14,0),""))</f>
        <v/>
      </c>
      <c r="D109" s="81" t="str">
        <f t="shared" ca="1" si="9"/>
        <v/>
      </c>
      <c r="E109" s="82"/>
      <c r="F109" s="83" t="str">
        <f t="shared" si="10"/>
        <v/>
      </c>
      <c r="G109" s="23"/>
      <c r="H109" s="84"/>
      <c r="I109" s="85" t="str">
        <f>IF(A109="","Pending",IF(H109="","⚠️ Enter Code",IF(IFERROR(VLOOKUP(G109,DB_Agents!$B:$I,8,0),"")=H109,IF(AND(A109&lt;&gt;"",E109&lt;&gt;""),"Saved","Pending"),"🔒 BLOCKED — Wrong Code")))</f>
        <v>Pending</v>
      </c>
      <c r="J109" s="86" t="str">
        <f t="shared" ca="1" si="11"/>
        <v>—</v>
      </c>
      <c r="K109" s="87"/>
    </row>
    <row r="110" spans="1:11" x14ac:dyDescent="0.25">
      <c r="A110" s="88"/>
      <c r="B110" s="25" t="str">
        <f>IF(A110="","",IFERROR(VLOOKUP(A110,DB_Customers!$A:$D,4,0),"❌ Account Not Found"))</f>
        <v/>
      </c>
      <c r="C110" s="89" t="str">
        <f>IF(A110="","",IFERROR(VLOOKUP(A110,DB_Customers!$A:$N,14,0),""))</f>
        <v/>
      </c>
      <c r="D110" s="90" t="str">
        <f t="shared" ca="1" si="9"/>
        <v/>
      </c>
      <c r="E110" s="82"/>
      <c r="F110" s="91" t="str">
        <f t="shared" si="10"/>
        <v/>
      </c>
      <c r="G110" s="27"/>
      <c r="H110" s="84"/>
      <c r="I110" s="92" t="str">
        <f>IF(A110="","Pending",IF(H110="","⚠️ Enter Code",IF(IFERROR(VLOOKUP(G110,DB_Agents!$B:$I,8,0),"")=H110,IF(AND(A110&lt;&gt;"",E110&lt;&gt;""),"Saved","Pending"),"🔒 BLOCKED — Wrong Code")))</f>
        <v>Pending</v>
      </c>
      <c r="J110" s="93" t="str">
        <f t="shared" ca="1" si="11"/>
        <v>—</v>
      </c>
      <c r="K110" s="94"/>
    </row>
    <row r="111" spans="1:11" x14ac:dyDescent="0.25">
      <c r="A111" s="79"/>
      <c r="B111" s="21" t="str">
        <f>IF(A111="","",IFERROR(VLOOKUP(A111,DB_Customers!$A:$D,4,0),"❌ Account Not Found"))</f>
        <v/>
      </c>
      <c r="C111" s="80" t="str">
        <f>IF(A111="","",IFERROR(VLOOKUP(A111,DB_Customers!$A:$N,14,0),""))</f>
        <v/>
      </c>
      <c r="D111" s="81" t="str">
        <f t="shared" ca="1" si="9"/>
        <v/>
      </c>
      <c r="E111" s="82"/>
      <c r="F111" s="83" t="str">
        <f t="shared" si="10"/>
        <v/>
      </c>
      <c r="G111" s="23"/>
      <c r="H111" s="84"/>
      <c r="I111" s="85" t="str">
        <f>IF(A111="","Pending",IF(H111="","⚠️ Enter Code",IF(IFERROR(VLOOKUP(G111,DB_Agents!$B:$I,8,0),"")=H111,IF(AND(A111&lt;&gt;"",E111&lt;&gt;""),"Saved","Pending"),"🔒 BLOCKED — Wrong Code")))</f>
        <v>Pending</v>
      </c>
      <c r="J111" s="86" t="str">
        <f t="shared" ca="1" si="11"/>
        <v>—</v>
      </c>
      <c r="K111" s="87"/>
    </row>
    <row r="112" spans="1:11" x14ac:dyDescent="0.25">
      <c r="A112" s="88"/>
      <c r="B112" s="25" t="str">
        <f>IF(A112="","",IFERROR(VLOOKUP(A112,DB_Customers!$A:$D,4,0),"❌ Account Not Found"))</f>
        <v/>
      </c>
      <c r="C112" s="89" t="str">
        <f>IF(A112="","",IFERROR(VLOOKUP(A112,DB_Customers!$A:$N,14,0),""))</f>
        <v/>
      </c>
      <c r="D112" s="90" t="str">
        <f t="shared" ca="1" si="9"/>
        <v/>
      </c>
      <c r="E112" s="82"/>
      <c r="F112" s="91" t="str">
        <f t="shared" si="10"/>
        <v/>
      </c>
      <c r="G112" s="27"/>
      <c r="H112" s="84"/>
      <c r="I112" s="92" t="str">
        <f>IF(A112="","Pending",IF(H112="","⚠️ Enter Code",IF(IFERROR(VLOOKUP(G112,DB_Agents!$B:$I,8,0),"")=H112,IF(AND(A112&lt;&gt;"",E112&lt;&gt;""),"Saved","Pending"),"🔒 BLOCKED — Wrong Code")))</f>
        <v>Pending</v>
      </c>
      <c r="J112" s="93" t="str">
        <f t="shared" ca="1" si="11"/>
        <v>—</v>
      </c>
      <c r="K112" s="94"/>
    </row>
    <row r="113" spans="1:11" x14ac:dyDescent="0.25">
      <c r="A113" s="79"/>
      <c r="B113" s="21" t="str">
        <f>IF(A113="","",IFERROR(VLOOKUP(A113,DB_Customers!$A:$D,4,0),"❌ Account Not Found"))</f>
        <v/>
      </c>
      <c r="C113" s="80" t="str">
        <f>IF(A113="","",IFERROR(VLOOKUP(A113,DB_Customers!$A:$N,14,0),""))</f>
        <v/>
      </c>
      <c r="D113" s="81" t="str">
        <f t="shared" ca="1" si="9"/>
        <v/>
      </c>
      <c r="E113" s="82"/>
      <c r="F113" s="83" t="str">
        <f t="shared" si="10"/>
        <v/>
      </c>
      <c r="G113" s="23"/>
      <c r="H113" s="84"/>
      <c r="I113" s="85" t="str">
        <f>IF(A113="","Pending",IF(H113="","⚠️ Enter Code",IF(IFERROR(VLOOKUP(G113,DB_Agents!$B:$I,8,0),"")=H113,IF(AND(A113&lt;&gt;"",E113&lt;&gt;""),"Saved","Pending"),"🔒 BLOCKED — Wrong Code")))</f>
        <v>Pending</v>
      </c>
      <c r="J113" s="86" t="str">
        <f t="shared" ca="1" si="11"/>
        <v>—</v>
      </c>
      <c r="K113" s="87"/>
    </row>
    <row r="114" spans="1:11" x14ac:dyDescent="0.25">
      <c r="A114" s="88"/>
      <c r="B114" s="25" t="str">
        <f>IF(A114="","",IFERROR(VLOOKUP(A114,DB_Customers!$A:$D,4,0),"❌ Account Not Found"))</f>
        <v/>
      </c>
      <c r="C114" s="89" t="str">
        <f>IF(A114="","",IFERROR(VLOOKUP(A114,DB_Customers!$A:$N,14,0),""))</f>
        <v/>
      </c>
      <c r="D114" s="90" t="str">
        <f t="shared" ca="1" si="9"/>
        <v/>
      </c>
      <c r="E114" s="82"/>
      <c r="F114" s="91" t="str">
        <f t="shared" si="10"/>
        <v/>
      </c>
      <c r="G114" s="27"/>
      <c r="H114" s="84"/>
      <c r="I114" s="92" t="str">
        <f>IF(A114="","Pending",IF(H114="","⚠️ Enter Code",IF(IFERROR(VLOOKUP(G114,DB_Agents!$B:$I,8,0),"")=H114,IF(AND(A114&lt;&gt;"",E114&lt;&gt;""),"Saved","Pending"),"🔒 BLOCKED — Wrong Code")))</f>
        <v>Pending</v>
      </c>
      <c r="J114" s="93" t="str">
        <f t="shared" ca="1" si="11"/>
        <v>—</v>
      </c>
      <c r="K114" s="94"/>
    </row>
    <row r="115" spans="1:11" x14ac:dyDescent="0.25">
      <c r="A115" s="79"/>
      <c r="B115" s="21" t="str">
        <f>IF(A115="","",IFERROR(VLOOKUP(A115,DB_Customers!$A:$D,4,0),"❌ Account Not Found"))</f>
        <v/>
      </c>
      <c r="C115" s="80" t="str">
        <f>IF(A115="","",IFERROR(VLOOKUP(A115,DB_Customers!$A:$N,14,0),""))</f>
        <v/>
      </c>
      <c r="D115" s="81" t="str">
        <f t="shared" ca="1" si="9"/>
        <v/>
      </c>
      <c r="E115" s="82"/>
      <c r="F115" s="83" t="str">
        <f t="shared" si="10"/>
        <v/>
      </c>
      <c r="G115" s="23"/>
      <c r="H115" s="84"/>
      <c r="I115" s="85" t="str">
        <f>IF(A115="","Pending",IF(H115="","⚠️ Enter Code",IF(IFERROR(VLOOKUP(G115,DB_Agents!$B:$I,8,0),"")=H115,IF(AND(A115&lt;&gt;"",E115&lt;&gt;""),"Saved","Pending"),"🔒 BLOCKED — Wrong Code")))</f>
        <v>Pending</v>
      </c>
      <c r="J115" s="86" t="str">
        <f t="shared" ca="1" si="11"/>
        <v>—</v>
      </c>
      <c r="K115" s="87"/>
    </row>
    <row r="116" spans="1:11" x14ac:dyDescent="0.25">
      <c r="A116" s="88"/>
      <c r="B116" s="25" t="str">
        <f>IF(A116="","",IFERROR(VLOOKUP(A116,DB_Customers!$A:$D,4,0),"❌ Account Not Found"))</f>
        <v/>
      </c>
      <c r="C116" s="89" t="str">
        <f>IF(A116="","",IFERROR(VLOOKUP(A116,DB_Customers!$A:$N,14,0),""))</f>
        <v/>
      </c>
      <c r="D116" s="90" t="str">
        <f t="shared" ca="1" si="9"/>
        <v/>
      </c>
      <c r="E116" s="82"/>
      <c r="F116" s="91" t="str">
        <f t="shared" si="10"/>
        <v/>
      </c>
      <c r="G116" s="27"/>
      <c r="H116" s="84"/>
      <c r="I116" s="92" t="str">
        <f>IF(A116="","Pending",IF(H116="","⚠️ Enter Code",IF(IFERROR(VLOOKUP(G116,DB_Agents!$B:$I,8,0),"")=H116,IF(AND(A116&lt;&gt;"",E116&lt;&gt;""),"Saved","Pending"),"🔒 BLOCKED — Wrong Code")))</f>
        <v>Pending</v>
      </c>
      <c r="J116" s="93" t="str">
        <f t="shared" ca="1" si="11"/>
        <v>—</v>
      </c>
      <c r="K116" s="94"/>
    </row>
    <row r="117" spans="1:11" x14ac:dyDescent="0.25">
      <c r="A117" s="79"/>
      <c r="B117" s="21" t="str">
        <f>IF(A117="","",IFERROR(VLOOKUP(A117,DB_Customers!$A:$D,4,0),"❌ Account Not Found"))</f>
        <v/>
      </c>
      <c r="C117" s="80" t="str">
        <f>IF(A117="","",IFERROR(VLOOKUP(A117,DB_Customers!$A:$N,14,0),""))</f>
        <v/>
      </c>
      <c r="D117" s="81" t="str">
        <f t="shared" ca="1" si="9"/>
        <v/>
      </c>
      <c r="E117" s="82"/>
      <c r="F117" s="83" t="str">
        <f t="shared" si="10"/>
        <v/>
      </c>
      <c r="G117" s="23"/>
      <c r="H117" s="84"/>
      <c r="I117" s="85" t="str">
        <f>IF(A117="","Pending",IF(H117="","⚠️ Enter Code",IF(IFERROR(VLOOKUP(G117,DB_Agents!$B:$I,8,0),"")=H117,IF(AND(A117&lt;&gt;"",E117&lt;&gt;""),"Saved","Pending"),"🔒 BLOCKED — Wrong Code")))</f>
        <v>Pending</v>
      </c>
      <c r="J117" s="86" t="str">
        <f t="shared" ca="1" si="11"/>
        <v>—</v>
      </c>
      <c r="K117" s="87"/>
    </row>
    <row r="118" spans="1:11" x14ac:dyDescent="0.25">
      <c r="A118" s="88"/>
      <c r="B118" s="25" t="str">
        <f>IF(A118="","",IFERROR(VLOOKUP(A118,DB_Customers!$A:$D,4,0),"❌ Account Not Found"))</f>
        <v/>
      </c>
      <c r="C118" s="89" t="str">
        <f>IF(A118="","",IFERROR(VLOOKUP(A118,DB_Customers!$A:$N,14,0),""))</f>
        <v/>
      </c>
      <c r="D118" s="90" t="str">
        <f t="shared" ca="1" si="9"/>
        <v/>
      </c>
      <c r="E118" s="82"/>
      <c r="F118" s="91" t="str">
        <f t="shared" si="10"/>
        <v/>
      </c>
      <c r="G118" s="27"/>
      <c r="H118" s="84"/>
      <c r="I118" s="92" t="str">
        <f>IF(A118="","Pending",IF(H118="","⚠️ Enter Code",IF(IFERROR(VLOOKUP(G118,DB_Agents!$B:$I,8,0),"")=H118,IF(AND(A118&lt;&gt;"",E118&lt;&gt;""),"Saved","Pending"),"🔒 BLOCKED — Wrong Code")))</f>
        <v>Pending</v>
      </c>
      <c r="J118" s="93" t="str">
        <f t="shared" ca="1" si="11"/>
        <v>—</v>
      </c>
      <c r="K118" s="94"/>
    </row>
    <row r="119" spans="1:11" x14ac:dyDescent="0.25">
      <c r="A119" s="79"/>
      <c r="B119" s="21" t="str">
        <f>IF(A119="","",IFERROR(VLOOKUP(A119,DB_Customers!$A:$D,4,0),"❌ Account Not Found"))</f>
        <v/>
      </c>
      <c r="C119" s="80" t="str">
        <f>IF(A119="","",IFERROR(VLOOKUP(A119,DB_Customers!$A:$N,14,0),""))</f>
        <v/>
      </c>
      <c r="D119" s="81" t="str">
        <f t="shared" ca="1" si="9"/>
        <v/>
      </c>
      <c r="E119" s="82"/>
      <c r="F119" s="83" t="str">
        <f t="shared" si="10"/>
        <v/>
      </c>
      <c r="G119" s="23"/>
      <c r="H119" s="84"/>
      <c r="I119" s="85" t="str">
        <f>IF(A119="","Pending",IF(H119="","⚠️ Enter Code",IF(IFERROR(VLOOKUP(G119,DB_Agents!$B:$I,8,0),"")=H119,IF(AND(A119&lt;&gt;"",E119&lt;&gt;""),"Saved","Pending"),"🔒 BLOCKED — Wrong Code")))</f>
        <v>Pending</v>
      </c>
      <c r="J119" s="86" t="str">
        <f t="shared" ca="1" si="11"/>
        <v>—</v>
      </c>
      <c r="K119" s="87"/>
    </row>
    <row r="120" spans="1:11" x14ac:dyDescent="0.25">
      <c r="A120" s="88"/>
      <c r="B120" s="25" t="str">
        <f>IF(A120="","",IFERROR(VLOOKUP(A120,DB_Customers!$A:$D,4,0),"❌ Account Not Found"))</f>
        <v/>
      </c>
      <c r="C120" s="89" t="str">
        <f>IF(A120="","",IFERROR(VLOOKUP(A120,DB_Customers!$A:$N,14,0),""))</f>
        <v/>
      </c>
      <c r="D120" s="90" t="str">
        <f t="shared" ca="1" si="9"/>
        <v/>
      </c>
      <c r="E120" s="82"/>
      <c r="F120" s="91" t="str">
        <f t="shared" si="10"/>
        <v/>
      </c>
      <c r="G120" s="27"/>
      <c r="H120" s="84"/>
      <c r="I120" s="92" t="str">
        <f>IF(A120="","Pending",IF(H120="","⚠️ Enter Code",IF(IFERROR(VLOOKUP(G120,DB_Agents!$B:$I,8,0),"")=H120,IF(AND(A120&lt;&gt;"",E120&lt;&gt;""),"Saved","Pending"),"🔒 BLOCKED — Wrong Code")))</f>
        <v>Pending</v>
      </c>
      <c r="J120" s="93" t="str">
        <f t="shared" ca="1" si="11"/>
        <v>—</v>
      </c>
      <c r="K120" s="94"/>
    </row>
    <row r="121" spans="1:11" x14ac:dyDescent="0.25">
      <c r="A121" s="79"/>
      <c r="B121" s="21" t="str">
        <f>IF(A121="","",IFERROR(VLOOKUP(A121,DB_Customers!$A:$D,4,0),"❌ Account Not Found"))</f>
        <v/>
      </c>
      <c r="C121" s="80" t="str">
        <f>IF(A121="","",IFERROR(VLOOKUP(A121,DB_Customers!$A:$N,14,0),""))</f>
        <v/>
      </c>
      <c r="D121" s="81" t="str">
        <f t="shared" ca="1" si="9"/>
        <v/>
      </c>
      <c r="E121" s="82"/>
      <c r="F121" s="83" t="str">
        <f t="shared" si="10"/>
        <v/>
      </c>
      <c r="G121" s="23"/>
      <c r="H121" s="84"/>
      <c r="I121" s="85" t="str">
        <f>IF(A121="","Pending",IF(H121="","⚠️ Enter Code",IF(IFERROR(VLOOKUP(G121,DB_Agents!$B:$I,8,0),"")=H121,IF(AND(A121&lt;&gt;"",E121&lt;&gt;""),"Saved","Pending"),"🔒 BLOCKED — Wrong Code")))</f>
        <v>Pending</v>
      </c>
      <c r="J121" s="86" t="str">
        <f t="shared" ca="1" si="11"/>
        <v>—</v>
      </c>
      <c r="K121" s="87"/>
    </row>
    <row r="122" spans="1:11" x14ac:dyDescent="0.25">
      <c r="A122" s="88"/>
      <c r="B122" s="25" t="str">
        <f>IF(A122="","",IFERROR(VLOOKUP(A122,DB_Customers!$A:$D,4,0),"❌ Account Not Found"))</f>
        <v/>
      </c>
      <c r="C122" s="89" t="str">
        <f>IF(A122="","",IFERROR(VLOOKUP(A122,DB_Customers!$A:$N,14,0),""))</f>
        <v/>
      </c>
      <c r="D122" s="90" t="str">
        <f t="shared" ca="1" si="9"/>
        <v/>
      </c>
      <c r="E122" s="82"/>
      <c r="F122" s="91" t="str">
        <f t="shared" si="10"/>
        <v/>
      </c>
      <c r="G122" s="27"/>
      <c r="H122" s="84"/>
      <c r="I122" s="92" t="str">
        <f>IF(A122="","Pending",IF(H122="","⚠️ Enter Code",IF(IFERROR(VLOOKUP(G122,DB_Agents!$B:$I,8,0),"")=H122,IF(AND(A122&lt;&gt;"",E122&lt;&gt;""),"Saved","Pending"),"🔒 BLOCKED — Wrong Code")))</f>
        <v>Pending</v>
      </c>
      <c r="J122" s="93" t="str">
        <f t="shared" ca="1" si="11"/>
        <v>—</v>
      </c>
      <c r="K122" s="94"/>
    </row>
    <row r="123" spans="1:11" x14ac:dyDescent="0.25">
      <c r="A123" s="79"/>
      <c r="B123" s="21" t="str">
        <f>IF(A123="","",IFERROR(VLOOKUP(A123,DB_Customers!$A:$D,4,0),"❌ Account Not Found"))</f>
        <v/>
      </c>
      <c r="C123" s="80" t="str">
        <f>IF(A123="","",IFERROR(VLOOKUP(A123,DB_Customers!$A:$N,14,0),""))</f>
        <v/>
      </c>
      <c r="D123" s="81" t="str">
        <f t="shared" ca="1" si="9"/>
        <v/>
      </c>
      <c r="E123" s="82"/>
      <c r="F123" s="83" t="str">
        <f t="shared" si="10"/>
        <v/>
      </c>
      <c r="G123" s="23"/>
      <c r="H123" s="84"/>
      <c r="I123" s="85" t="str">
        <f>IF(A123="","Pending",IF(H123="","⚠️ Enter Code",IF(IFERROR(VLOOKUP(G123,DB_Agents!$B:$I,8,0),"")=H123,IF(AND(A123&lt;&gt;"",E123&lt;&gt;""),"Saved","Pending"),"🔒 BLOCKED — Wrong Code")))</f>
        <v>Pending</v>
      </c>
      <c r="J123" s="86" t="str">
        <f t="shared" ca="1" si="11"/>
        <v>—</v>
      </c>
      <c r="K123" s="87"/>
    </row>
    <row r="124" spans="1:11" x14ac:dyDescent="0.25">
      <c r="A124" s="88"/>
      <c r="B124" s="25" t="str">
        <f>IF(A124="","",IFERROR(VLOOKUP(A124,DB_Customers!$A:$D,4,0),"❌ Account Not Found"))</f>
        <v/>
      </c>
      <c r="C124" s="89" t="str">
        <f>IF(A124="","",IFERROR(VLOOKUP(A124,DB_Customers!$A:$N,14,0),""))</f>
        <v/>
      </c>
      <c r="D124" s="90" t="str">
        <f t="shared" ca="1" si="9"/>
        <v/>
      </c>
      <c r="E124" s="82"/>
      <c r="F124" s="91" t="str">
        <f t="shared" si="10"/>
        <v/>
      </c>
      <c r="G124" s="27"/>
      <c r="H124" s="84"/>
      <c r="I124" s="92" t="str">
        <f>IF(A124="","Pending",IF(H124="","⚠️ Enter Code",IF(IFERROR(VLOOKUP(G124,DB_Agents!$B:$I,8,0),"")=H124,IF(AND(A124&lt;&gt;"",E124&lt;&gt;""),"Saved","Pending"),"🔒 BLOCKED — Wrong Code")))</f>
        <v>Pending</v>
      </c>
      <c r="J124" s="93" t="str">
        <f t="shared" ca="1" si="11"/>
        <v>—</v>
      </c>
      <c r="K124" s="94"/>
    </row>
    <row r="125" spans="1:11" x14ac:dyDescent="0.25">
      <c r="A125" s="79"/>
      <c r="B125" s="21" t="str">
        <f>IF(A125="","",IFERROR(VLOOKUP(A125,DB_Customers!$A:$D,4,0),"❌ Account Not Found"))</f>
        <v/>
      </c>
      <c r="C125" s="80" t="str">
        <f>IF(A125="","",IFERROR(VLOOKUP(A125,DB_Customers!$A:$N,14,0),""))</f>
        <v/>
      </c>
      <c r="D125" s="81" t="str">
        <f t="shared" ca="1" si="9"/>
        <v/>
      </c>
      <c r="E125" s="82"/>
      <c r="F125" s="83" t="str">
        <f t="shared" si="10"/>
        <v/>
      </c>
      <c r="G125" s="23"/>
      <c r="H125" s="84"/>
      <c r="I125" s="85" t="str">
        <f>IF(A125="","Pending",IF(H125="","⚠️ Enter Code",IF(IFERROR(VLOOKUP(G125,DB_Agents!$B:$I,8,0),"")=H125,IF(AND(A125&lt;&gt;"",E125&lt;&gt;""),"Saved","Pending"),"🔒 BLOCKED — Wrong Code")))</f>
        <v>Pending</v>
      </c>
      <c r="J125" s="86" t="str">
        <f t="shared" ca="1" si="11"/>
        <v>—</v>
      </c>
      <c r="K125" s="87"/>
    </row>
    <row r="126" spans="1:11" x14ac:dyDescent="0.25">
      <c r="A126" s="88"/>
      <c r="B126" s="25" t="str">
        <f>IF(A126="","",IFERROR(VLOOKUP(A126,DB_Customers!$A:$D,4,0),"❌ Account Not Found"))</f>
        <v/>
      </c>
      <c r="C126" s="89" t="str">
        <f>IF(A126="","",IFERROR(VLOOKUP(A126,DB_Customers!$A:$N,14,0),""))</f>
        <v/>
      </c>
      <c r="D126" s="90" t="str">
        <f t="shared" ca="1" si="9"/>
        <v/>
      </c>
      <c r="E126" s="82"/>
      <c r="F126" s="91" t="str">
        <f t="shared" si="10"/>
        <v/>
      </c>
      <c r="G126" s="27"/>
      <c r="H126" s="84"/>
      <c r="I126" s="92" t="str">
        <f>IF(A126="","Pending",IF(H126="","⚠️ Enter Code",IF(IFERROR(VLOOKUP(G126,DB_Agents!$B:$I,8,0),"")=H126,IF(AND(A126&lt;&gt;"",E126&lt;&gt;""),"Saved","Pending"),"🔒 BLOCKED — Wrong Code")))</f>
        <v>Pending</v>
      </c>
      <c r="J126" s="93" t="str">
        <f t="shared" ca="1" si="11"/>
        <v>—</v>
      </c>
      <c r="K126" s="94"/>
    </row>
    <row r="127" spans="1:11" x14ac:dyDescent="0.25">
      <c r="A127" s="79"/>
      <c r="B127" s="21" t="str">
        <f>IF(A127="","",IFERROR(VLOOKUP(A127,DB_Customers!$A:$D,4,0),"❌ Account Not Found"))</f>
        <v/>
      </c>
      <c r="C127" s="80" t="str">
        <f>IF(A127="","",IFERROR(VLOOKUP(A127,DB_Customers!$A:$N,14,0),""))</f>
        <v/>
      </c>
      <c r="D127" s="81" t="str">
        <f t="shared" ca="1" si="9"/>
        <v/>
      </c>
      <c r="E127" s="82"/>
      <c r="F127" s="83" t="str">
        <f t="shared" si="10"/>
        <v/>
      </c>
      <c r="G127" s="23"/>
      <c r="H127" s="84"/>
      <c r="I127" s="85" t="str">
        <f>IF(A127="","Pending",IF(H127="","⚠️ Enter Code",IF(IFERROR(VLOOKUP(G127,DB_Agents!$B:$I,8,0),"")=H127,IF(AND(A127&lt;&gt;"",E127&lt;&gt;""),"Saved","Pending"),"🔒 BLOCKED — Wrong Code")))</f>
        <v>Pending</v>
      </c>
      <c r="J127" s="86" t="str">
        <f t="shared" ca="1" si="11"/>
        <v>—</v>
      </c>
      <c r="K127" s="87"/>
    </row>
    <row r="128" spans="1:11" x14ac:dyDescent="0.25">
      <c r="A128" s="88"/>
      <c r="B128" s="25" t="str">
        <f>IF(A128="","",IFERROR(VLOOKUP(A128,DB_Customers!$A:$D,4,0),"❌ Account Not Found"))</f>
        <v/>
      </c>
      <c r="C128" s="89" t="str">
        <f>IF(A128="","",IFERROR(VLOOKUP(A128,DB_Customers!$A:$N,14,0),""))</f>
        <v/>
      </c>
      <c r="D128" s="90" t="str">
        <f t="shared" ca="1" si="9"/>
        <v/>
      </c>
      <c r="E128" s="82"/>
      <c r="F128" s="91" t="str">
        <f t="shared" si="10"/>
        <v/>
      </c>
      <c r="G128" s="27"/>
      <c r="H128" s="84"/>
      <c r="I128" s="92" t="str">
        <f>IF(A128="","Pending",IF(H128="","⚠️ Enter Code",IF(IFERROR(VLOOKUP(G128,DB_Agents!$B:$I,8,0),"")=H128,IF(AND(A128&lt;&gt;"",E128&lt;&gt;""),"Saved","Pending"),"🔒 BLOCKED — Wrong Code")))</f>
        <v>Pending</v>
      </c>
      <c r="J128" s="93" t="str">
        <f t="shared" ca="1" si="11"/>
        <v>—</v>
      </c>
      <c r="K128" s="94"/>
    </row>
    <row r="129" spans="1:11" x14ac:dyDescent="0.25">
      <c r="A129" s="79"/>
      <c r="B129" s="21" t="str">
        <f>IF(A129="","",IFERROR(VLOOKUP(A129,DB_Customers!$A:$D,4,0),"❌ Account Not Found"))</f>
        <v/>
      </c>
      <c r="C129" s="80" t="str">
        <f>IF(A129="","",IFERROR(VLOOKUP(A129,DB_Customers!$A:$N,14,0),""))</f>
        <v/>
      </c>
      <c r="D129" s="81" t="str">
        <f t="shared" ca="1" si="9"/>
        <v/>
      </c>
      <c r="E129" s="82"/>
      <c r="F129" s="83" t="str">
        <f t="shared" si="10"/>
        <v/>
      </c>
      <c r="G129" s="23"/>
      <c r="H129" s="84"/>
      <c r="I129" s="85" t="str">
        <f>IF(A129="","Pending",IF(H129="","⚠️ Enter Code",IF(IFERROR(VLOOKUP(G129,DB_Agents!$B:$I,8,0),"")=H129,IF(AND(A129&lt;&gt;"",E129&lt;&gt;""),"Saved","Pending"),"🔒 BLOCKED — Wrong Code")))</f>
        <v>Pending</v>
      </c>
      <c r="J129" s="86" t="str">
        <f t="shared" ca="1" si="11"/>
        <v>—</v>
      </c>
      <c r="K129" s="87"/>
    </row>
    <row r="130" spans="1:11" x14ac:dyDescent="0.25">
      <c r="A130" s="88"/>
      <c r="B130" s="25" t="str">
        <f>IF(A130="","",IFERROR(VLOOKUP(A130,DB_Customers!$A:$D,4,0),"❌ Account Not Found"))</f>
        <v/>
      </c>
      <c r="C130" s="89" t="str">
        <f>IF(A130="","",IFERROR(VLOOKUP(A130,DB_Customers!$A:$N,14,0),""))</f>
        <v/>
      </c>
      <c r="D130" s="90" t="str">
        <f t="shared" ca="1" si="9"/>
        <v/>
      </c>
      <c r="E130" s="82"/>
      <c r="F130" s="91" t="str">
        <f t="shared" si="10"/>
        <v/>
      </c>
      <c r="G130" s="27"/>
      <c r="H130" s="84"/>
      <c r="I130" s="92" t="str">
        <f>IF(A130="","Pending",IF(H130="","⚠️ Enter Code",IF(IFERROR(VLOOKUP(G130,DB_Agents!$B:$I,8,0),"")=H130,IF(AND(A130&lt;&gt;"",E130&lt;&gt;""),"Saved","Pending"),"🔒 BLOCKED — Wrong Code")))</f>
        <v>Pending</v>
      </c>
      <c r="J130" s="93" t="str">
        <f t="shared" ca="1" si="11"/>
        <v>—</v>
      </c>
      <c r="K130" s="94"/>
    </row>
    <row r="131" spans="1:11" x14ac:dyDescent="0.25">
      <c r="A131" s="79"/>
      <c r="B131" s="21" t="str">
        <f>IF(A131="","",IFERROR(VLOOKUP(A131,DB_Customers!$A:$D,4,0),"❌ Account Not Found"))</f>
        <v/>
      </c>
      <c r="C131" s="80" t="str">
        <f>IF(A131="","",IFERROR(VLOOKUP(A131,DB_Customers!$A:$N,14,0),""))</f>
        <v/>
      </c>
      <c r="D131" s="81" t="str">
        <f t="shared" ca="1" si="9"/>
        <v/>
      </c>
      <c r="E131" s="82"/>
      <c r="F131" s="83" t="str">
        <f t="shared" si="10"/>
        <v/>
      </c>
      <c r="G131" s="23"/>
      <c r="H131" s="84"/>
      <c r="I131" s="85" t="str">
        <f>IF(A131="","Pending",IF(H131="","⚠️ Enter Code",IF(IFERROR(VLOOKUP(G131,DB_Agents!$B:$I,8,0),"")=H131,IF(AND(A131&lt;&gt;"",E131&lt;&gt;""),"Saved","Pending"),"🔒 BLOCKED — Wrong Code")))</f>
        <v>Pending</v>
      </c>
      <c r="J131" s="86" t="str">
        <f t="shared" ca="1" si="11"/>
        <v>—</v>
      </c>
      <c r="K131" s="87"/>
    </row>
    <row r="132" spans="1:11" x14ac:dyDescent="0.25">
      <c r="A132" s="88"/>
      <c r="B132" s="25" t="str">
        <f>IF(A132="","",IFERROR(VLOOKUP(A132,DB_Customers!$A:$D,4,0),"❌ Account Not Found"))</f>
        <v/>
      </c>
      <c r="C132" s="89" t="str">
        <f>IF(A132="","",IFERROR(VLOOKUP(A132,DB_Customers!$A:$N,14,0),""))</f>
        <v/>
      </c>
      <c r="D132" s="90" t="str">
        <f t="shared" ca="1" si="9"/>
        <v/>
      </c>
      <c r="E132" s="82"/>
      <c r="F132" s="91" t="str">
        <f t="shared" si="10"/>
        <v/>
      </c>
      <c r="G132" s="27"/>
      <c r="H132" s="84"/>
      <c r="I132" s="92" t="str">
        <f>IF(A132="","Pending",IF(H132="","⚠️ Enter Code",IF(IFERROR(VLOOKUP(G132,DB_Agents!$B:$I,8,0),"")=H132,IF(AND(A132&lt;&gt;"",E132&lt;&gt;""),"Saved","Pending"),"🔒 BLOCKED — Wrong Code")))</f>
        <v>Pending</v>
      </c>
      <c r="J132" s="93" t="str">
        <f t="shared" ca="1" si="11"/>
        <v>—</v>
      </c>
      <c r="K132" s="94"/>
    </row>
    <row r="133" spans="1:11" x14ac:dyDescent="0.25">
      <c r="A133" s="79"/>
      <c r="B133" s="21" t="str">
        <f>IF(A133="","",IFERROR(VLOOKUP(A133,DB_Customers!$A:$D,4,0),"❌ Account Not Found"))</f>
        <v/>
      </c>
      <c r="C133" s="80" t="str">
        <f>IF(A133="","",IFERROR(VLOOKUP(A133,DB_Customers!$A:$N,14,0),""))</f>
        <v/>
      </c>
      <c r="D133" s="81" t="str">
        <f t="shared" ca="1" si="9"/>
        <v/>
      </c>
      <c r="E133" s="82"/>
      <c r="F133" s="83" t="str">
        <f t="shared" si="10"/>
        <v/>
      </c>
      <c r="G133" s="23"/>
      <c r="H133" s="84"/>
      <c r="I133" s="85" t="str">
        <f>IF(A133="","Pending",IF(H133="","⚠️ Enter Code",IF(IFERROR(VLOOKUP(G133,DB_Agents!$B:$I,8,0),"")=H133,IF(AND(A133&lt;&gt;"",E133&lt;&gt;""),"Saved","Pending"),"🔒 BLOCKED — Wrong Code")))</f>
        <v>Pending</v>
      </c>
      <c r="J133" s="86" t="str">
        <f t="shared" ca="1" si="11"/>
        <v>—</v>
      </c>
      <c r="K133" s="87"/>
    </row>
    <row r="134" spans="1:11" x14ac:dyDescent="0.25">
      <c r="A134" s="88"/>
      <c r="B134" s="25" t="str">
        <f>IF(A134="","",IFERROR(VLOOKUP(A134,DB_Customers!$A:$D,4,0),"❌ Account Not Found"))</f>
        <v/>
      </c>
      <c r="C134" s="89" t="str">
        <f>IF(A134="","",IFERROR(VLOOKUP(A134,DB_Customers!$A:$N,14,0),""))</f>
        <v/>
      </c>
      <c r="D134" s="90" t="str">
        <f t="shared" ca="1" si="9"/>
        <v/>
      </c>
      <c r="E134" s="82"/>
      <c r="F134" s="91" t="str">
        <f t="shared" si="10"/>
        <v/>
      </c>
      <c r="G134" s="27"/>
      <c r="H134" s="84"/>
      <c r="I134" s="92" t="str">
        <f>IF(A134="","Pending",IF(H134="","⚠️ Enter Code",IF(IFERROR(VLOOKUP(G134,DB_Agents!$B:$I,8,0),"")=H134,IF(AND(A134&lt;&gt;"",E134&lt;&gt;""),"Saved","Pending"),"🔒 BLOCKED — Wrong Code")))</f>
        <v>Pending</v>
      </c>
      <c r="J134" s="93" t="str">
        <f t="shared" ca="1" si="11"/>
        <v>—</v>
      </c>
      <c r="K134" s="94"/>
    </row>
    <row r="135" spans="1:11" x14ac:dyDescent="0.25">
      <c r="A135" s="79"/>
      <c r="B135" s="21" t="str">
        <f>IF(A135="","",IFERROR(VLOOKUP(A135,DB_Customers!$A:$D,4,0),"❌ Account Not Found"))</f>
        <v/>
      </c>
      <c r="C135" s="80" t="str">
        <f>IF(A135="","",IFERROR(VLOOKUP(A135,DB_Customers!$A:$N,14,0),""))</f>
        <v/>
      </c>
      <c r="D135" s="81" t="str">
        <f t="shared" ca="1" si="9"/>
        <v/>
      </c>
      <c r="E135" s="82"/>
      <c r="F135" s="83" t="str">
        <f t="shared" si="10"/>
        <v/>
      </c>
      <c r="G135" s="23"/>
      <c r="H135" s="84"/>
      <c r="I135" s="85" t="str">
        <f>IF(A135="","Pending",IF(H135="","⚠️ Enter Code",IF(IFERROR(VLOOKUP(G135,DB_Agents!$B:$I,8,0),"")=H135,IF(AND(A135&lt;&gt;"",E135&lt;&gt;""),"Saved","Pending"),"🔒 BLOCKED — Wrong Code")))</f>
        <v>Pending</v>
      </c>
      <c r="J135" s="86" t="str">
        <f t="shared" ca="1" si="11"/>
        <v>—</v>
      </c>
      <c r="K135" s="87"/>
    </row>
    <row r="136" spans="1:11" x14ac:dyDescent="0.25">
      <c r="A136" s="88"/>
      <c r="B136" s="25" t="str">
        <f>IF(A136="","",IFERROR(VLOOKUP(A136,DB_Customers!$A:$D,4,0),"❌ Account Not Found"))</f>
        <v/>
      </c>
      <c r="C136" s="89" t="str">
        <f>IF(A136="","",IFERROR(VLOOKUP(A136,DB_Customers!$A:$N,14,0),""))</f>
        <v/>
      </c>
      <c r="D136" s="90" t="str">
        <f t="shared" ca="1" si="9"/>
        <v/>
      </c>
      <c r="E136" s="82"/>
      <c r="F136" s="91" t="str">
        <f t="shared" si="10"/>
        <v/>
      </c>
      <c r="G136" s="27"/>
      <c r="H136" s="84"/>
      <c r="I136" s="92" t="str">
        <f>IF(A136="","Pending",IF(H136="","⚠️ Enter Code",IF(IFERROR(VLOOKUP(G136,DB_Agents!$B:$I,8,0),"")=H136,IF(AND(A136&lt;&gt;"",E136&lt;&gt;""),"Saved","Pending"),"🔒 BLOCKED — Wrong Code")))</f>
        <v>Pending</v>
      </c>
      <c r="J136" s="93" t="str">
        <f t="shared" ca="1" si="11"/>
        <v>—</v>
      </c>
      <c r="K136" s="94"/>
    </row>
    <row r="137" spans="1:11" x14ac:dyDescent="0.25">
      <c r="A137" s="79"/>
      <c r="B137" s="21" t="str">
        <f>IF(A137="","",IFERROR(VLOOKUP(A137,DB_Customers!$A:$D,4,0),"❌ Account Not Found"))</f>
        <v/>
      </c>
      <c r="C137" s="80" t="str">
        <f>IF(A137="","",IFERROR(VLOOKUP(A137,DB_Customers!$A:$N,14,0),""))</f>
        <v/>
      </c>
      <c r="D137" s="81" t="str">
        <f t="shared" ref="D137:D168" ca="1" si="12">IF(A137="","",TODAY())</f>
        <v/>
      </c>
      <c r="E137" s="82"/>
      <c r="F137" s="83" t="str">
        <f t="shared" ref="F137:F168" si="13">IF(OR(A137="",E137=""),"",IF(C137="","",C137+E137))</f>
        <v/>
      </c>
      <c r="G137" s="23"/>
      <c r="H137" s="84"/>
      <c r="I137" s="85" t="str">
        <f>IF(A137="","Pending",IF(H137="","⚠️ Enter Code",IF(IFERROR(VLOOKUP(G137,DB_Agents!$B:$I,8,0),"")=H137,IF(AND(A137&lt;&gt;"",E137&lt;&gt;""),"Saved","Pending"),"🔒 BLOCKED — Wrong Code")))</f>
        <v>Pending</v>
      </c>
      <c r="J137" s="86" t="str">
        <f t="shared" ref="J137:J168" ca="1" si="14">IF(I137="Saved",TEXT(TODAY(),"YYYY-MM-DD")&amp;" Auto","—")</f>
        <v>—</v>
      </c>
      <c r="K137" s="87"/>
    </row>
    <row r="138" spans="1:11" x14ac:dyDescent="0.25">
      <c r="A138" s="88"/>
      <c r="B138" s="25" t="str">
        <f>IF(A138="","",IFERROR(VLOOKUP(A138,DB_Customers!$A:$D,4,0),"❌ Account Not Found"))</f>
        <v/>
      </c>
      <c r="C138" s="89" t="str">
        <f>IF(A138="","",IFERROR(VLOOKUP(A138,DB_Customers!$A:$N,14,0),""))</f>
        <v/>
      </c>
      <c r="D138" s="90" t="str">
        <f t="shared" ca="1" si="12"/>
        <v/>
      </c>
      <c r="E138" s="82"/>
      <c r="F138" s="91" t="str">
        <f t="shared" si="13"/>
        <v/>
      </c>
      <c r="G138" s="27"/>
      <c r="H138" s="84"/>
      <c r="I138" s="92" t="str">
        <f>IF(A138="","Pending",IF(H138="","⚠️ Enter Code",IF(IFERROR(VLOOKUP(G138,DB_Agents!$B:$I,8,0),"")=H138,IF(AND(A138&lt;&gt;"",E138&lt;&gt;""),"Saved","Pending"),"🔒 BLOCKED — Wrong Code")))</f>
        <v>Pending</v>
      </c>
      <c r="J138" s="93" t="str">
        <f t="shared" ca="1" si="14"/>
        <v>—</v>
      </c>
      <c r="K138" s="94"/>
    </row>
    <row r="139" spans="1:11" x14ac:dyDescent="0.25">
      <c r="A139" s="79"/>
      <c r="B139" s="21" t="str">
        <f>IF(A139="","",IFERROR(VLOOKUP(A139,DB_Customers!$A:$D,4,0),"❌ Account Not Found"))</f>
        <v/>
      </c>
      <c r="C139" s="80" t="str">
        <f>IF(A139="","",IFERROR(VLOOKUP(A139,DB_Customers!$A:$N,14,0),""))</f>
        <v/>
      </c>
      <c r="D139" s="81" t="str">
        <f t="shared" ca="1" si="12"/>
        <v/>
      </c>
      <c r="E139" s="82"/>
      <c r="F139" s="83" t="str">
        <f t="shared" si="13"/>
        <v/>
      </c>
      <c r="G139" s="23"/>
      <c r="H139" s="84"/>
      <c r="I139" s="85" t="str">
        <f>IF(A139="","Pending",IF(H139="","⚠️ Enter Code",IF(IFERROR(VLOOKUP(G139,DB_Agents!$B:$I,8,0),"")=H139,IF(AND(A139&lt;&gt;"",E139&lt;&gt;""),"Saved","Pending"),"🔒 BLOCKED — Wrong Code")))</f>
        <v>Pending</v>
      </c>
      <c r="J139" s="86" t="str">
        <f t="shared" ca="1" si="14"/>
        <v>—</v>
      </c>
      <c r="K139" s="87"/>
    </row>
    <row r="140" spans="1:11" x14ac:dyDescent="0.25">
      <c r="A140" s="88"/>
      <c r="B140" s="25" t="str">
        <f>IF(A140="","",IFERROR(VLOOKUP(A140,DB_Customers!$A:$D,4,0),"❌ Account Not Found"))</f>
        <v/>
      </c>
      <c r="C140" s="89" t="str">
        <f>IF(A140="","",IFERROR(VLOOKUP(A140,DB_Customers!$A:$N,14,0),""))</f>
        <v/>
      </c>
      <c r="D140" s="90" t="str">
        <f t="shared" ca="1" si="12"/>
        <v/>
      </c>
      <c r="E140" s="82"/>
      <c r="F140" s="91" t="str">
        <f t="shared" si="13"/>
        <v/>
      </c>
      <c r="G140" s="27"/>
      <c r="H140" s="84"/>
      <c r="I140" s="92" t="str">
        <f>IF(A140="","Pending",IF(H140="","⚠️ Enter Code",IF(IFERROR(VLOOKUP(G140,DB_Agents!$B:$I,8,0),"")=H140,IF(AND(A140&lt;&gt;"",E140&lt;&gt;""),"Saved","Pending"),"🔒 BLOCKED — Wrong Code")))</f>
        <v>Pending</v>
      </c>
      <c r="J140" s="93" t="str">
        <f t="shared" ca="1" si="14"/>
        <v>—</v>
      </c>
      <c r="K140" s="94"/>
    </row>
    <row r="141" spans="1:11" x14ac:dyDescent="0.25">
      <c r="A141" s="79"/>
      <c r="B141" s="21" t="str">
        <f>IF(A141="","",IFERROR(VLOOKUP(A141,DB_Customers!$A:$D,4,0),"❌ Account Not Found"))</f>
        <v/>
      </c>
      <c r="C141" s="80" t="str">
        <f>IF(A141="","",IFERROR(VLOOKUP(A141,DB_Customers!$A:$N,14,0),""))</f>
        <v/>
      </c>
      <c r="D141" s="81" t="str">
        <f t="shared" ca="1" si="12"/>
        <v/>
      </c>
      <c r="E141" s="82"/>
      <c r="F141" s="83" t="str">
        <f t="shared" si="13"/>
        <v/>
      </c>
      <c r="G141" s="23"/>
      <c r="H141" s="84"/>
      <c r="I141" s="85" t="str">
        <f>IF(A141="","Pending",IF(H141="","⚠️ Enter Code",IF(IFERROR(VLOOKUP(G141,DB_Agents!$B:$I,8,0),"")=H141,IF(AND(A141&lt;&gt;"",E141&lt;&gt;""),"Saved","Pending"),"🔒 BLOCKED — Wrong Code")))</f>
        <v>Pending</v>
      </c>
      <c r="J141" s="86" t="str">
        <f t="shared" ca="1" si="14"/>
        <v>—</v>
      </c>
      <c r="K141" s="87"/>
    </row>
    <row r="142" spans="1:11" x14ac:dyDescent="0.25">
      <c r="A142" s="88"/>
      <c r="B142" s="25" t="str">
        <f>IF(A142="","",IFERROR(VLOOKUP(A142,DB_Customers!$A:$D,4,0),"❌ Account Not Found"))</f>
        <v/>
      </c>
      <c r="C142" s="89" t="str">
        <f>IF(A142="","",IFERROR(VLOOKUP(A142,DB_Customers!$A:$N,14,0),""))</f>
        <v/>
      </c>
      <c r="D142" s="90" t="str">
        <f t="shared" ca="1" si="12"/>
        <v/>
      </c>
      <c r="E142" s="82"/>
      <c r="F142" s="91" t="str">
        <f t="shared" si="13"/>
        <v/>
      </c>
      <c r="G142" s="27"/>
      <c r="H142" s="84"/>
      <c r="I142" s="92" t="str">
        <f>IF(A142="","Pending",IF(H142="","⚠️ Enter Code",IF(IFERROR(VLOOKUP(G142,DB_Agents!$B:$I,8,0),"")=H142,IF(AND(A142&lt;&gt;"",E142&lt;&gt;""),"Saved","Pending"),"🔒 BLOCKED — Wrong Code")))</f>
        <v>Pending</v>
      </c>
      <c r="J142" s="93" t="str">
        <f t="shared" ca="1" si="14"/>
        <v>—</v>
      </c>
      <c r="K142" s="94"/>
    </row>
    <row r="143" spans="1:11" x14ac:dyDescent="0.25">
      <c r="A143" s="79"/>
      <c r="B143" s="21" t="str">
        <f>IF(A143="","",IFERROR(VLOOKUP(A143,DB_Customers!$A:$D,4,0),"❌ Account Not Found"))</f>
        <v/>
      </c>
      <c r="C143" s="80" t="str">
        <f>IF(A143="","",IFERROR(VLOOKUP(A143,DB_Customers!$A:$N,14,0),""))</f>
        <v/>
      </c>
      <c r="D143" s="81" t="str">
        <f t="shared" ca="1" si="12"/>
        <v/>
      </c>
      <c r="E143" s="82"/>
      <c r="F143" s="83" t="str">
        <f t="shared" si="13"/>
        <v/>
      </c>
      <c r="G143" s="23"/>
      <c r="H143" s="84"/>
      <c r="I143" s="85" t="str">
        <f>IF(A143="","Pending",IF(H143="","⚠️ Enter Code",IF(IFERROR(VLOOKUP(G143,DB_Agents!$B:$I,8,0),"")=H143,IF(AND(A143&lt;&gt;"",E143&lt;&gt;""),"Saved","Pending"),"🔒 BLOCKED — Wrong Code")))</f>
        <v>Pending</v>
      </c>
      <c r="J143" s="86" t="str">
        <f t="shared" ca="1" si="14"/>
        <v>—</v>
      </c>
      <c r="K143" s="87"/>
    </row>
    <row r="144" spans="1:11" x14ac:dyDescent="0.25">
      <c r="A144" s="88"/>
      <c r="B144" s="25" t="str">
        <f>IF(A144="","",IFERROR(VLOOKUP(A144,DB_Customers!$A:$D,4,0),"❌ Account Not Found"))</f>
        <v/>
      </c>
      <c r="C144" s="89" t="str">
        <f>IF(A144="","",IFERROR(VLOOKUP(A144,DB_Customers!$A:$N,14,0),""))</f>
        <v/>
      </c>
      <c r="D144" s="90" t="str">
        <f t="shared" ca="1" si="12"/>
        <v/>
      </c>
      <c r="E144" s="82"/>
      <c r="F144" s="91" t="str">
        <f t="shared" si="13"/>
        <v/>
      </c>
      <c r="G144" s="27"/>
      <c r="H144" s="84"/>
      <c r="I144" s="92" t="str">
        <f>IF(A144="","Pending",IF(H144="","⚠️ Enter Code",IF(IFERROR(VLOOKUP(G144,DB_Agents!$B:$I,8,0),"")=H144,IF(AND(A144&lt;&gt;"",E144&lt;&gt;""),"Saved","Pending"),"🔒 BLOCKED — Wrong Code")))</f>
        <v>Pending</v>
      </c>
      <c r="J144" s="93" t="str">
        <f t="shared" ca="1" si="14"/>
        <v>—</v>
      </c>
      <c r="K144" s="94"/>
    </row>
    <row r="145" spans="1:11" x14ac:dyDescent="0.25">
      <c r="A145" s="79"/>
      <c r="B145" s="21" t="str">
        <f>IF(A145="","",IFERROR(VLOOKUP(A145,DB_Customers!$A:$D,4,0),"❌ Account Not Found"))</f>
        <v/>
      </c>
      <c r="C145" s="80" t="str">
        <f>IF(A145="","",IFERROR(VLOOKUP(A145,DB_Customers!$A:$N,14,0),""))</f>
        <v/>
      </c>
      <c r="D145" s="81" t="str">
        <f t="shared" ca="1" si="12"/>
        <v/>
      </c>
      <c r="E145" s="82"/>
      <c r="F145" s="83" t="str">
        <f t="shared" si="13"/>
        <v/>
      </c>
      <c r="G145" s="23"/>
      <c r="H145" s="84"/>
      <c r="I145" s="85" t="str">
        <f>IF(A145="","Pending",IF(H145="","⚠️ Enter Code",IF(IFERROR(VLOOKUP(G145,DB_Agents!$B:$I,8,0),"")=H145,IF(AND(A145&lt;&gt;"",E145&lt;&gt;""),"Saved","Pending"),"🔒 BLOCKED — Wrong Code")))</f>
        <v>Pending</v>
      </c>
      <c r="J145" s="86" t="str">
        <f t="shared" ca="1" si="14"/>
        <v>—</v>
      </c>
      <c r="K145" s="87"/>
    </row>
    <row r="146" spans="1:11" x14ac:dyDescent="0.25">
      <c r="A146" s="88"/>
      <c r="B146" s="25" t="str">
        <f>IF(A146="","",IFERROR(VLOOKUP(A146,DB_Customers!$A:$D,4,0),"❌ Account Not Found"))</f>
        <v/>
      </c>
      <c r="C146" s="89" t="str">
        <f>IF(A146="","",IFERROR(VLOOKUP(A146,DB_Customers!$A:$N,14,0),""))</f>
        <v/>
      </c>
      <c r="D146" s="90" t="str">
        <f t="shared" ca="1" si="12"/>
        <v/>
      </c>
      <c r="E146" s="82"/>
      <c r="F146" s="91" t="str">
        <f t="shared" si="13"/>
        <v/>
      </c>
      <c r="G146" s="27"/>
      <c r="H146" s="84"/>
      <c r="I146" s="92" t="str">
        <f>IF(A146="","Pending",IF(H146="","⚠️ Enter Code",IF(IFERROR(VLOOKUP(G146,DB_Agents!$B:$I,8,0),"")=H146,IF(AND(A146&lt;&gt;"",E146&lt;&gt;""),"Saved","Pending"),"🔒 BLOCKED — Wrong Code")))</f>
        <v>Pending</v>
      </c>
      <c r="J146" s="93" t="str">
        <f t="shared" ca="1" si="14"/>
        <v>—</v>
      </c>
      <c r="K146" s="94"/>
    </row>
    <row r="147" spans="1:11" x14ac:dyDescent="0.25">
      <c r="A147" s="79"/>
      <c r="B147" s="21" t="str">
        <f>IF(A147="","",IFERROR(VLOOKUP(A147,DB_Customers!$A:$D,4,0),"❌ Account Not Found"))</f>
        <v/>
      </c>
      <c r="C147" s="80" t="str">
        <f>IF(A147="","",IFERROR(VLOOKUP(A147,DB_Customers!$A:$N,14,0),""))</f>
        <v/>
      </c>
      <c r="D147" s="81" t="str">
        <f t="shared" ca="1" si="12"/>
        <v/>
      </c>
      <c r="E147" s="82"/>
      <c r="F147" s="83" t="str">
        <f t="shared" si="13"/>
        <v/>
      </c>
      <c r="G147" s="23"/>
      <c r="H147" s="84"/>
      <c r="I147" s="85" t="str">
        <f>IF(A147="","Pending",IF(H147="","⚠️ Enter Code",IF(IFERROR(VLOOKUP(G147,DB_Agents!$B:$I,8,0),"")=H147,IF(AND(A147&lt;&gt;"",E147&lt;&gt;""),"Saved","Pending"),"🔒 BLOCKED — Wrong Code")))</f>
        <v>Pending</v>
      </c>
      <c r="J147" s="86" t="str">
        <f t="shared" ca="1" si="14"/>
        <v>—</v>
      </c>
      <c r="K147" s="87"/>
    </row>
    <row r="148" spans="1:11" x14ac:dyDescent="0.25">
      <c r="A148" s="88"/>
      <c r="B148" s="25" t="str">
        <f>IF(A148="","",IFERROR(VLOOKUP(A148,DB_Customers!$A:$D,4,0),"❌ Account Not Found"))</f>
        <v/>
      </c>
      <c r="C148" s="89" t="str">
        <f>IF(A148="","",IFERROR(VLOOKUP(A148,DB_Customers!$A:$N,14,0),""))</f>
        <v/>
      </c>
      <c r="D148" s="90" t="str">
        <f t="shared" ca="1" si="12"/>
        <v/>
      </c>
      <c r="E148" s="82"/>
      <c r="F148" s="91" t="str">
        <f t="shared" si="13"/>
        <v/>
      </c>
      <c r="G148" s="27"/>
      <c r="H148" s="84"/>
      <c r="I148" s="92" t="str">
        <f>IF(A148="","Pending",IF(H148="","⚠️ Enter Code",IF(IFERROR(VLOOKUP(G148,DB_Agents!$B:$I,8,0),"")=H148,IF(AND(A148&lt;&gt;"",E148&lt;&gt;""),"Saved","Pending"),"🔒 BLOCKED — Wrong Code")))</f>
        <v>Pending</v>
      </c>
      <c r="J148" s="93" t="str">
        <f t="shared" ca="1" si="14"/>
        <v>—</v>
      </c>
      <c r="K148" s="94"/>
    </row>
    <row r="149" spans="1:11" x14ac:dyDescent="0.25">
      <c r="A149" s="79"/>
      <c r="B149" s="21" t="str">
        <f>IF(A149="","",IFERROR(VLOOKUP(A149,DB_Customers!$A:$D,4,0),"❌ Account Not Found"))</f>
        <v/>
      </c>
      <c r="C149" s="80" t="str">
        <f>IF(A149="","",IFERROR(VLOOKUP(A149,DB_Customers!$A:$N,14,0),""))</f>
        <v/>
      </c>
      <c r="D149" s="81" t="str">
        <f t="shared" ca="1" si="12"/>
        <v/>
      </c>
      <c r="E149" s="82"/>
      <c r="F149" s="83" t="str">
        <f t="shared" si="13"/>
        <v/>
      </c>
      <c r="G149" s="23"/>
      <c r="H149" s="84"/>
      <c r="I149" s="85" t="str">
        <f>IF(A149="","Pending",IF(H149="","⚠️ Enter Code",IF(IFERROR(VLOOKUP(G149,DB_Agents!$B:$I,8,0),"")=H149,IF(AND(A149&lt;&gt;"",E149&lt;&gt;""),"Saved","Pending"),"🔒 BLOCKED — Wrong Code")))</f>
        <v>Pending</v>
      </c>
      <c r="J149" s="86" t="str">
        <f t="shared" ca="1" si="14"/>
        <v>—</v>
      </c>
      <c r="K149" s="87"/>
    </row>
    <row r="150" spans="1:11" x14ac:dyDescent="0.25">
      <c r="A150" s="88"/>
      <c r="B150" s="25" t="str">
        <f>IF(A150="","",IFERROR(VLOOKUP(A150,DB_Customers!$A:$D,4,0),"❌ Account Not Found"))</f>
        <v/>
      </c>
      <c r="C150" s="89" t="str">
        <f>IF(A150="","",IFERROR(VLOOKUP(A150,DB_Customers!$A:$N,14,0),""))</f>
        <v/>
      </c>
      <c r="D150" s="90" t="str">
        <f t="shared" ca="1" si="12"/>
        <v/>
      </c>
      <c r="E150" s="82"/>
      <c r="F150" s="91" t="str">
        <f t="shared" si="13"/>
        <v/>
      </c>
      <c r="G150" s="27"/>
      <c r="H150" s="84"/>
      <c r="I150" s="92" t="str">
        <f>IF(A150="","Pending",IF(H150="","⚠️ Enter Code",IF(IFERROR(VLOOKUP(G150,DB_Agents!$B:$I,8,0),"")=H150,IF(AND(A150&lt;&gt;"",E150&lt;&gt;""),"Saved","Pending"),"🔒 BLOCKED — Wrong Code")))</f>
        <v>Pending</v>
      </c>
      <c r="J150" s="93" t="str">
        <f t="shared" ca="1" si="14"/>
        <v>—</v>
      </c>
      <c r="K150" s="94"/>
    </row>
    <row r="151" spans="1:11" x14ac:dyDescent="0.25">
      <c r="A151" s="79"/>
      <c r="B151" s="21" t="str">
        <f>IF(A151="","",IFERROR(VLOOKUP(A151,DB_Customers!$A:$D,4,0),"❌ Account Not Found"))</f>
        <v/>
      </c>
      <c r="C151" s="80" t="str">
        <f>IF(A151="","",IFERROR(VLOOKUP(A151,DB_Customers!$A:$N,14,0),""))</f>
        <v/>
      </c>
      <c r="D151" s="81" t="str">
        <f t="shared" ca="1" si="12"/>
        <v/>
      </c>
      <c r="E151" s="82"/>
      <c r="F151" s="83" t="str">
        <f t="shared" si="13"/>
        <v/>
      </c>
      <c r="G151" s="23"/>
      <c r="H151" s="84"/>
      <c r="I151" s="85" t="str">
        <f>IF(A151="","Pending",IF(H151="","⚠️ Enter Code",IF(IFERROR(VLOOKUP(G151,DB_Agents!$B:$I,8,0),"")=H151,IF(AND(A151&lt;&gt;"",E151&lt;&gt;""),"Saved","Pending"),"🔒 BLOCKED — Wrong Code")))</f>
        <v>Pending</v>
      </c>
      <c r="J151" s="86" t="str">
        <f t="shared" ca="1" si="14"/>
        <v>—</v>
      </c>
      <c r="K151" s="87"/>
    </row>
    <row r="152" spans="1:11" x14ac:dyDescent="0.25">
      <c r="A152" s="88"/>
      <c r="B152" s="25" t="str">
        <f>IF(A152="","",IFERROR(VLOOKUP(A152,DB_Customers!$A:$D,4,0),"❌ Account Not Found"))</f>
        <v/>
      </c>
      <c r="C152" s="89" t="str">
        <f>IF(A152="","",IFERROR(VLOOKUP(A152,DB_Customers!$A:$N,14,0),""))</f>
        <v/>
      </c>
      <c r="D152" s="90" t="str">
        <f t="shared" ca="1" si="12"/>
        <v/>
      </c>
      <c r="E152" s="82"/>
      <c r="F152" s="91" t="str">
        <f t="shared" si="13"/>
        <v/>
      </c>
      <c r="G152" s="27"/>
      <c r="H152" s="84"/>
      <c r="I152" s="92" t="str">
        <f>IF(A152="","Pending",IF(H152="","⚠️ Enter Code",IF(IFERROR(VLOOKUP(G152,DB_Agents!$B:$I,8,0),"")=H152,IF(AND(A152&lt;&gt;"",E152&lt;&gt;""),"Saved","Pending"),"🔒 BLOCKED — Wrong Code")))</f>
        <v>Pending</v>
      </c>
      <c r="J152" s="93" t="str">
        <f t="shared" ca="1" si="14"/>
        <v>—</v>
      </c>
      <c r="K152" s="94"/>
    </row>
    <row r="153" spans="1:11" x14ac:dyDescent="0.25">
      <c r="A153" s="79"/>
      <c r="B153" s="21" t="str">
        <f>IF(A153="","",IFERROR(VLOOKUP(A153,DB_Customers!$A:$D,4,0),"❌ Account Not Found"))</f>
        <v/>
      </c>
      <c r="C153" s="80" t="str">
        <f>IF(A153="","",IFERROR(VLOOKUP(A153,DB_Customers!$A:$N,14,0),""))</f>
        <v/>
      </c>
      <c r="D153" s="81" t="str">
        <f t="shared" ca="1" si="12"/>
        <v/>
      </c>
      <c r="E153" s="82"/>
      <c r="F153" s="83" t="str">
        <f t="shared" si="13"/>
        <v/>
      </c>
      <c r="G153" s="23"/>
      <c r="H153" s="84"/>
      <c r="I153" s="85" t="str">
        <f>IF(A153="","Pending",IF(H153="","⚠️ Enter Code",IF(IFERROR(VLOOKUP(G153,DB_Agents!$B:$I,8,0),"")=H153,IF(AND(A153&lt;&gt;"",E153&lt;&gt;""),"Saved","Pending"),"🔒 BLOCKED — Wrong Code")))</f>
        <v>Pending</v>
      </c>
      <c r="J153" s="86" t="str">
        <f t="shared" ca="1" si="14"/>
        <v>—</v>
      </c>
      <c r="K153" s="87"/>
    </row>
    <row r="154" spans="1:11" x14ac:dyDescent="0.25">
      <c r="A154" s="88"/>
      <c r="B154" s="25" t="str">
        <f>IF(A154="","",IFERROR(VLOOKUP(A154,DB_Customers!$A:$D,4,0),"❌ Account Not Found"))</f>
        <v/>
      </c>
      <c r="C154" s="89" t="str">
        <f>IF(A154="","",IFERROR(VLOOKUP(A154,DB_Customers!$A:$N,14,0),""))</f>
        <v/>
      </c>
      <c r="D154" s="90" t="str">
        <f t="shared" ca="1" si="12"/>
        <v/>
      </c>
      <c r="E154" s="82"/>
      <c r="F154" s="91" t="str">
        <f t="shared" si="13"/>
        <v/>
      </c>
      <c r="G154" s="27"/>
      <c r="H154" s="84"/>
      <c r="I154" s="92" t="str">
        <f>IF(A154="","Pending",IF(H154="","⚠️ Enter Code",IF(IFERROR(VLOOKUP(G154,DB_Agents!$B:$I,8,0),"")=H154,IF(AND(A154&lt;&gt;"",E154&lt;&gt;""),"Saved","Pending"),"🔒 BLOCKED — Wrong Code")))</f>
        <v>Pending</v>
      </c>
      <c r="J154" s="93" t="str">
        <f t="shared" ca="1" si="14"/>
        <v>—</v>
      </c>
      <c r="K154" s="94"/>
    </row>
    <row r="155" spans="1:11" x14ac:dyDescent="0.25">
      <c r="A155" s="79"/>
      <c r="B155" s="21" t="str">
        <f>IF(A155="","",IFERROR(VLOOKUP(A155,DB_Customers!$A:$D,4,0),"❌ Account Not Found"))</f>
        <v/>
      </c>
      <c r="C155" s="80" t="str">
        <f>IF(A155="","",IFERROR(VLOOKUP(A155,DB_Customers!$A:$N,14,0),""))</f>
        <v/>
      </c>
      <c r="D155" s="81" t="str">
        <f t="shared" ca="1" si="12"/>
        <v/>
      </c>
      <c r="E155" s="82"/>
      <c r="F155" s="83" t="str">
        <f t="shared" si="13"/>
        <v/>
      </c>
      <c r="G155" s="23"/>
      <c r="H155" s="84"/>
      <c r="I155" s="85" t="str">
        <f>IF(A155="","Pending",IF(H155="","⚠️ Enter Code",IF(IFERROR(VLOOKUP(G155,DB_Agents!$B:$I,8,0),"")=H155,IF(AND(A155&lt;&gt;"",E155&lt;&gt;""),"Saved","Pending"),"🔒 BLOCKED — Wrong Code")))</f>
        <v>Pending</v>
      </c>
      <c r="J155" s="86" t="str">
        <f t="shared" ca="1" si="14"/>
        <v>—</v>
      </c>
      <c r="K155" s="87"/>
    </row>
    <row r="156" spans="1:11" x14ac:dyDescent="0.25">
      <c r="A156" s="88"/>
      <c r="B156" s="25" t="str">
        <f>IF(A156="","",IFERROR(VLOOKUP(A156,DB_Customers!$A:$D,4,0),"❌ Account Not Found"))</f>
        <v/>
      </c>
      <c r="C156" s="89" t="str">
        <f>IF(A156="","",IFERROR(VLOOKUP(A156,DB_Customers!$A:$N,14,0),""))</f>
        <v/>
      </c>
      <c r="D156" s="90" t="str">
        <f t="shared" ca="1" si="12"/>
        <v/>
      </c>
      <c r="E156" s="82"/>
      <c r="F156" s="91" t="str">
        <f t="shared" si="13"/>
        <v/>
      </c>
      <c r="G156" s="27"/>
      <c r="H156" s="84"/>
      <c r="I156" s="92" t="str">
        <f>IF(A156="","Pending",IF(H156="","⚠️ Enter Code",IF(IFERROR(VLOOKUP(G156,DB_Agents!$B:$I,8,0),"")=H156,IF(AND(A156&lt;&gt;"",E156&lt;&gt;""),"Saved","Pending"),"🔒 BLOCKED — Wrong Code")))</f>
        <v>Pending</v>
      </c>
      <c r="J156" s="93" t="str">
        <f t="shared" ca="1" si="14"/>
        <v>—</v>
      </c>
      <c r="K156" s="94"/>
    </row>
    <row r="157" spans="1:11" x14ac:dyDescent="0.25">
      <c r="A157" s="79"/>
      <c r="B157" s="21" t="str">
        <f>IF(A157="","",IFERROR(VLOOKUP(A157,DB_Customers!$A:$D,4,0),"❌ Account Not Found"))</f>
        <v/>
      </c>
      <c r="C157" s="80" t="str">
        <f>IF(A157="","",IFERROR(VLOOKUP(A157,DB_Customers!$A:$N,14,0),""))</f>
        <v/>
      </c>
      <c r="D157" s="81" t="str">
        <f t="shared" ca="1" si="12"/>
        <v/>
      </c>
      <c r="E157" s="82"/>
      <c r="F157" s="83" t="str">
        <f t="shared" si="13"/>
        <v/>
      </c>
      <c r="G157" s="23"/>
      <c r="H157" s="84"/>
      <c r="I157" s="85" t="str">
        <f>IF(A157="","Pending",IF(H157="","⚠️ Enter Code",IF(IFERROR(VLOOKUP(G157,DB_Agents!$B:$I,8,0),"")=H157,IF(AND(A157&lt;&gt;"",E157&lt;&gt;""),"Saved","Pending"),"🔒 BLOCKED — Wrong Code")))</f>
        <v>Pending</v>
      </c>
      <c r="J157" s="86" t="str">
        <f t="shared" ca="1" si="14"/>
        <v>—</v>
      </c>
      <c r="K157" s="87"/>
    </row>
    <row r="158" spans="1:11" x14ac:dyDescent="0.25">
      <c r="A158" s="88"/>
      <c r="B158" s="25" t="str">
        <f>IF(A158="","",IFERROR(VLOOKUP(A158,DB_Customers!$A:$D,4,0),"❌ Account Not Found"))</f>
        <v/>
      </c>
      <c r="C158" s="89" t="str">
        <f>IF(A158="","",IFERROR(VLOOKUP(A158,DB_Customers!$A:$N,14,0),""))</f>
        <v/>
      </c>
      <c r="D158" s="90" t="str">
        <f t="shared" ca="1" si="12"/>
        <v/>
      </c>
      <c r="E158" s="82"/>
      <c r="F158" s="91" t="str">
        <f t="shared" si="13"/>
        <v/>
      </c>
      <c r="G158" s="27"/>
      <c r="H158" s="84"/>
      <c r="I158" s="92" t="str">
        <f>IF(A158="","Pending",IF(H158="","⚠️ Enter Code",IF(IFERROR(VLOOKUP(G158,DB_Agents!$B:$I,8,0),"")=H158,IF(AND(A158&lt;&gt;"",E158&lt;&gt;""),"Saved","Pending"),"🔒 BLOCKED — Wrong Code")))</f>
        <v>Pending</v>
      </c>
      <c r="J158" s="93" t="str">
        <f t="shared" ca="1" si="14"/>
        <v>—</v>
      </c>
      <c r="K158" s="94"/>
    </row>
    <row r="159" spans="1:11" x14ac:dyDescent="0.25">
      <c r="A159" s="79"/>
      <c r="B159" s="21" t="str">
        <f>IF(A159="","",IFERROR(VLOOKUP(A159,DB_Customers!$A:$D,4,0),"❌ Account Not Found"))</f>
        <v/>
      </c>
      <c r="C159" s="80" t="str">
        <f>IF(A159="","",IFERROR(VLOOKUP(A159,DB_Customers!$A:$N,14,0),""))</f>
        <v/>
      </c>
      <c r="D159" s="81" t="str">
        <f t="shared" ca="1" si="12"/>
        <v/>
      </c>
      <c r="E159" s="82"/>
      <c r="F159" s="83" t="str">
        <f t="shared" si="13"/>
        <v/>
      </c>
      <c r="G159" s="23"/>
      <c r="H159" s="84"/>
      <c r="I159" s="85" t="str">
        <f>IF(A159="","Pending",IF(H159="","⚠️ Enter Code",IF(IFERROR(VLOOKUP(G159,DB_Agents!$B:$I,8,0),"")=H159,IF(AND(A159&lt;&gt;"",E159&lt;&gt;""),"Saved","Pending"),"🔒 BLOCKED — Wrong Code")))</f>
        <v>Pending</v>
      </c>
      <c r="J159" s="86" t="str">
        <f t="shared" ca="1" si="14"/>
        <v>—</v>
      </c>
      <c r="K159" s="87"/>
    </row>
    <row r="160" spans="1:11" x14ac:dyDescent="0.25">
      <c r="A160" s="88"/>
      <c r="B160" s="25" t="str">
        <f>IF(A160="","",IFERROR(VLOOKUP(A160,DB_Customers!$A:$D,4,0),"❌ Account Not Found"))</f>
        <v/>
      </c>
      <c r="C160" s="89" t="str">
        <f>IF(A160="","",IFERROR(VLOOKUP(A160,DB_Customers!$A:$N,14,0),""))</f>
        <v/>
      </c>
      <c r="D160" s="90" t="str">
        <f t="shared" ca="1" si="12"/>
        <v/>
      </c>
      <c r="E160" s="82"/>
      <c r="F160" s="91" t="str">
        <f t="shared" si="13"/>
        <v/>
      </c>
      <c r="G160" s="27"/>
      <c r="H160" s="84"/>
      <c r="I160" s="92" t="str">
        <f>IF(A160="","Pending",IF(H160="","⚠️ Enter Code",IF(IFERROR(VLOOKUP(G160,DB_Agents!$B:$I,8,0),"")=H160,IF(AND(A160&lt;&gt;"",E160&lt;&gt;""),"Saved","Pending"),"🔒 BLOCKED — Wrong Code")))</f>
        <v>Pending</v>
      </c>
      <c r="J160" s="93" t="str">
        <f t="shared" ca="1" si="14"/>
        <v>—</v>
      </c>
      <c r="K160" s="94"/>
    </row>
    <row r="161" spans="1:11" x14ac:dyDescent="0.25">
      <c r="A161" s="79"/>
      <c r="B161" s="21" t="str">
        <f>IF(A161="","",IFERROR(VLOOKUP(A161,DB_Customers!$A:$D,4,0),"❌ Account Not Found"))</f>
        <v/>
      </c>
      <c r="C161" s="80" t="str">
        <f>IF(A161="","",IFERROR(VLOOKUP(A161,DB_Customers!$A:$N,14,0),""))</f>
        <v/>
      </c>
      <c r="D161" s="81" t="str">
        <f t="shared" ca="1" si="12"/>
        <v/>
      </c>
      <c r="E161" s="82"/>
      <c r="F161" s="83" t="str">
        <f t="shared" si="13"/>
        <v/>
      </c>
      <c r="G161" s="23"/>
      <c r="H161" s="84"/>
      <c r="I161" s="85" t="str">
        <f>IF(A161="","Pending",IF(H161="","⚠️ Enter Code",IF(IFERROR(VLOOKUP(G161,DB_Agents!$B:$I,8,0),"")=H161,IF(AND(A161&lt;&gt;"",E161&lt;&gt;""),"Saved","Pending"),"🔒 BLOCKED — Wrong Code")))</f>
        <v>Pending</v>
      </c>
      <c r="J161" s="86" t="str">
        <f t="shared" ca="1" si="14"/>
        <v>—</v>
      </c>
      <c r="K161" s="87"/>
    </row>
    <row r="162" spans="1:11" x14ac:dyDescent="0.25">
      <c r="A162" s="88"/>
      <c r="B162" s="25" t="str">
        <f>IF(A162="","",IFERROR(VLOOKUP(A162,DB_Customers!$A:$D,4,0),"❌ Account Not Found"))</f>
        <v/>
      </c>
      <c r="C162" s="89" t="str">
        <f>IF(A162="","",IFERROR(VLOOKUP(A162,DB_Customers!$A:$N,14,0),""))</f>
        <v/>
      </c>
      <c r="D162" s="90" t="str">
        <f t="shared" ca="1" si="12"/>
        <v/>
      </c>
      <c r="E162" s="82"/>
      <c r="F162" s="91" t="str">
        <f t="shared" si="13"/>
        <v/>
      </c>
      <c r="G162" s="27"/>
      <c r="H162" s="84"/>
      <c r="I162" s="92" t="str">
        <f>IF(A162="","Pending",IF(H162="","⚠️ Enter Code",IF(IFERROR(VLOOKUP(G162,DB_Agents!$B:$I,8,0),"")=H162,IF(AND(A162&lt;&gt;"",E162&lt;&gt;""),"Saved","Pending"),"🔒 BLOCKED — Wrong Code")))</f>
        <v>Pending</v>
      </c>
      <c r="J162" s="93" t="str">
        <f t="shared" ca="1" si="14"/>
        <v>—</v>
      </c>
      <c r="K162" s="94"/>
    </row>
    <row r="163" spans="1:11" x14ac:dyDescent="0.25">
      <c r="A163" s="79"/>
      <c r="B163" s="21" t="str">
        <f>IF(A163="","",IFERROR(VLOOKUP(A163,DB_Customers!$A:$D,4,0),"❌ Account Not Found"))</f>
        <v/>
      </c>
      <c r="C163" s="80" t="str">
        <f>IF(A163="","",IFERROR(VLOOKUP(A163,DB_Customers!$A:$N,14,0),""))</f>
        <v/>
      </c>
      <c r="D163" s="81" t="str">
        <f t="shared" ca="1" si="12"/>
        <v/>
      </c>
      <c r="E163" s="82"/>
      <c r="F163" s="83" t="str">
        <f t="shared" si="13"/>
        <v/>
      </c>
      <c r="G163" s="23"/>
      <c r="H163" s="84"/>
      <c r="I163" s="85" t="str">
        <f>IF(A163="","Pending",IF(H163="","⚠️ Enter Code",IF(IFERROR(VLOOKUP(G163,DB_Agents!$B:$I,8,0),"")=H163,IF(AND(A163&lt;&gt;"",E163&lt;&gt;""),"Saved","Pending"),"🔒 BLOCKED — Wrong Code")))</f>
        <v>Pending</v>
      </c>
      <c r="J163" s="86" t="str">
        <f t="shared" ca="1" si="14"/>
        <v>—</v>
      </c>
      <c r="K163" s="87"/>
    </row>
    <row r="164" spans="1:11" x14ac:dyDescent="0.25">
      <c r="A164" s="88"/>
      <c r="B164" s="25" t="str">
        <f>IF(A164="","",IFERROR(VLOOKUP(A164,DB_Customers!$A:$D,4,0),"❌ Account Not Found"))</f>
        <v/>
      </c>
      <c r="C164" s="89" t="str">
        <f>IF(A164="","",IFERROR(VLOOKUP(A164,DB_Customers!$A:$N,14,0),""))</f>
        <v/>
      </c>
      <c r="D164" s="90" t="str">
        <f t="shared" ca="1" si="12"/>
        <v/>
      </c>
      <c r="E164" s="82"/>
      <c r="F164" s="91" t="str">
        <f t="shared" si="13"/>
        <v/>
      </c>
      <c r="G164" s="27"/>
      <c r="H164" s="84"/>
      <c r="I164" s="92" t="str">
        <f>IF(A164="","Pending",IF(H164="","⚠️ Enter Code",IF(IFERROR(VLOOKUP(G164,DB_Agents!$B:$I,8,0),"")=H164,IF(AND(A164&lt;&gt;"",E164&lt;&gt;""),"Saved","Pending"),"🔒 BLOCKED — Wrong Code")))</f>
        <v>Pending</v>
      </c>
      <c r="J164" s="93" t="str">
        <f t="shared" ca="1" si="14"/>
        <v>—</v>
      </c>
      <c r="K164" s="94"/>
    </row>
    <row r="165" spans="1:11" x14ac:dyDescent="0.25">
      <c r="A165" s="79"/>
      <c r="B165" s="21" t="str">
        <f>IF(A165="","",IFERROR(VLOOKUP(A165,DB_Customers!$A:$D,4,0),"❌ Account Not Found"))</f>
        <v/>
      </c>
      <c r="C165" s="80" t="str">
        <f>IF(A165="","",IFERROR(VLOOKUP(A165,DB_Customers!$A:$N,14,0),""))</f>
        <v/>
      </c>
      <c r="D165" s="81" t="str">
        <f t="shared" ca="1" si="12"/>
        <v/>
      </c>
      <c r="E165" s="82"/>
      <c r="F165" s="83" t="str">
        <f t="shared" si="13"/>
        <v/>
      </c>
      <c r="G165" s="23"/>
      <c r="H165" s="84"/>
      <c r="I165" s="85" t="str">
        <f>IF(A165="","Pending",IF(H165="","⚠️ Enter Code",IF(IFERROR(VLOOKUP(G165,DB_Agents!$B:$I,8,0),"")=H165,IF(AND(A165&lt;&gt;"",E165&lt;&gt;""),"Saved","Pending"),"🔒 BLOCKED — Wrong Code")))</f>
        <v>Pending</v>
      </c>
      <c r="J165" s="86" t="str">
        <f t="shared" ca="1" si="14"/>
        <v>—</v>
      </c>
      <c r="K165" s="87"/>
    </row>
    <row r="166" spans="1:11" x14ac:dyDescent="0.25">
      <c r="A166" s="88"/>
      <c r="B166" s="25" t="str">
        <f>IF(A166="","",IFERROR(VLOOKUP(A166,DB_Customers!$A:$D,4,0),"❌ Account Not Found"))</f>
        <v/>
      </c>
      <c r="C166" s="89" t="str">
        <f>IF(A166="","",IFERROR(VLOOKUP(A166,DB_Customers!$A:$N,14,0),""))</f>
        <v/>
      </c>
      <c r="D166" s="90" t="str">
        <f t="shared" ca="1" si="12"/>
        <v/>
      </c>
      <c r="E166" s="82"/>
      <c r="F166" s="91" t="str">
        <f t="shared" si="13"/>
        <v/>
      </c>
      <c r="G166" s="27"/>
      <c r="H166" s="84"/>
      <c r="I166" s="92" t="str">
        <f>IF(A166="","Pending",IF(H166="","⚠️ Enter Code",IF(IFERROR(VLOOKUP(G166,DB_Agents!$B:$I,8,0),"")=H166,IF(AND(A166&lt;&gt;"",E166&lt;&gt;""),"Saved","Pending"),"🔒 BLOCKED — Wrong Code")))</f>
        <v>Pending</v>
      </c>
      <c r="J166" s="93" t="str">
        <f t="shared" ca="1" si="14"/>
        <v>—</v>
      </c>
      <c r="K166" s="94"/>
    </row>
    <row r="167" spans="1:11" x14ac:dyDescent="0.25">
      <c r="A167" s="79"/>
      <c r="B167" s="21" t="str">
        <f>IF(A167="","",IFERROR(VLOOKUP(A167,DB_Customers!$A:$D,4,0),"❌ Account Not Found"))</f>
        <v/>
      </c>
      <c r="C167" s="80" t="str">
        <f>IF(A167="","",IFERROR(VLOOKUP(A167,DB_Customers!$A:$N,14,0),""))</f>
        <v/>
      </c>
      <c r="D167" s="81" t="str">
        <f t="shared" ca="1" si="12"/>
        <v/>
      </c>
      <c r="E167" s="82"/>
      <c r="F167" s="83" t="str">
        <f t="shared" si="13"/>
        <v/>
      </c>
      <c r="G167" s="23"/>
      <c r="H167" s="84"/>
      <c r="I167" s="85" t="str">
        <f>IF(A167="","Pending",IF(H167="","⚠️ Enter Code",IF(IFERROR(VLOOKUP(G167,DB_Agents!$B:$I,8,0),"")=H167,IF(AND(A167&lt;&gt;"",E167&lt;&gt;""),"Saved","Pending"),"🔒 BLOCKED — Wrong Code")))</f>
        <v>Pending</v>
      </c>
      <c r="J167" s="86" t="str">
        <f t="shared" ca="1" si="14"/>
        <v>—</v>
      </c>
      <c r="K167" s="87"/>
    </row>
    <row r="168" spans="1:11" x14ac:dyDescent="0.25">
      <c r="A168" s="88"/>
      <c r="B168" s="25" t="str">
        <f>IF(A168="","",IFERROR(VLOOKUP(A168,DB_Customers!$A:$D,4,0),"❌ Account Not Found"))</f>
        <v/>
      </c>
      <c r="C168" s="89" t="str">
        <f>IF(A168="","",IFERROR(VLOOKUP(A168,DB_Customers!$A:$N,14,0),""))</f>
        <v/>
      </c>
      <c r="D168" s="90" t="str">
        <f t="shared" ca="1" si="12"/>
        <v/>
      </c>
      <c r="E168" s="82"/>
      <c r="F168" s="91" t="str">
        <f t="shared" si="13"/>
        <v/>
      </c>
      <c r="G168" s="27"/>
      <c r="H168" s="84"/>
      <c r="I168" s="92" t="str">
        <f>IF(A168="","Pending",IF(H168="","⚠️ Enter Code",IF(IFERROR(VLOOKUP(G168,DB_Agents!$B:$I,8,0),"")=H168,IF(AND(A168&lt;&gt;"",E168&lt;&gt;""),"Saved","Pending"),"🔒 BLOCKED — Wrong Code")))</f>
        <v>Pending</v>
      </c>
      <c r="J168" s="93" t="str">
        <f t="shared" ca="1" si="14"/>
        <v>—</v>
      </c>
      <c r="K168" s="94"/>
    </row>
    <row r="169" spans="1:11" x14ac:dyDescent="0.25">
      <c r="A169" s="79"/>
      <c r="B169" s="21" t="str">
        <f>IF(A169="","",IFERROR(VLOOKUP(A169,DB_Customers!$A:$D,4,0),"❌ Account Not Found"))</f>
        <v/>
      </c>
      <c r="C169" s="80" t="str">
        <f>IF(A169="","",IFERROR(VLOOKUP(A169,DB_Customers!$A:$N,14,0),""))</f>
        <v/>
      </c>
      <c r="D169" s="81" t="str">
        <f t="shared" ref="D169:D200" ca="1" si="15">IF(A169="","",TODAY())</f>
        <v/>
      </c>
      <c r="E169" s="82"/>
      <c r="F169" s="83" t="str">
        <f t="shared" ref="F169:F200" si="16">IF(OR(A169="",E169=""),"",IF(C169="","",C169+E169))</f>
        <v/>
      </c>
      <c r="G169" s="23"/>
      <c r="H169" s="84"/>
      <c r="I169" s="85" t="str">
        <f>IF(A169="","Pending",IF(H169="","⚠️ Enter Code",IF(IFERROR(VLOOKUP(G169,DB_Agents!$B:$I,8,0),"")=H169,IF(AND(A169&lt;&gt;"",E169&lt;&gt;""),"Saved","Pending"),"🔒 BLOCKED — Wrong Code")))</f>
        <v>Pending</v>
      </c>
      <c r="J169" s="86" t="str">
        <f t="shared" ref="J169:J200" ca="1" si="17">IF(I169="Saved",TEXT(TODAY(),"YYYY-MM-DD")&amp;" Auto","—")</f>
        <v>—</v>
      </c>
      <c r="K169" s="87"/>
    </row>
    <row r="170" spans="1:11" x14ac:dyDescent="0.25">
      <c r="A170" s="88"/>
      <c r="B170" s="25" t="str">
        <f>IF(A170="","",IFERROR(VLOOKUP(A170,DB_Customers!$A:$D,4,0),"❌ Account Not Found"))</f>
        <v/>
      </c>
      <c r="C170" s="89" t="str">
        <f>IF(A170="","",IFERROR(VLOOKUP(A170,DB_Customers!$A:$N,14,0),""))</f>
        <v/>
      </c>
      <c r="D170" s="90" t="str">
        <f t="shared" ca="1" si="15"/>
        <v/>
      </c>
      <c r="E170" s="82"/>
      <c r="F170" s="91" t="str">
        <f t="shared" si="16"/>
        <v/>
      </c>
      <c r="G170" s="27"/>
      <c r="H170" s="84"/>
      <c r="I170" s="92" t="str">
        <f>IF(A170="","Pending",IF(H170="","⚠️ Enter Code",IF(IFERROR(VLOOKUP(G170,DB_Agents!$B:$I,8,0),"")=H170,IF(AND(A170&lt;&gt;"",E170&lt;&gt;""),"Saved","Pending"),"🔒 BLOCKED — Wrong Code")))</f>
        <v>Pending</v>
      </c>
      <c r="J170" s="93" t="str">
        <f t="shared" ca="1" si="17"/>
        <v>—</v>
      </c>
      <c r="K170" s="94"/>
    </row>
    <row r="171" spans="1:11" x14ac:dyDescent="0.25">
      <c r="A171" s="79"/>
      <c r="B171" s="21" t="str">
        <f>IF(A171="","",IFERROR(VLOOKUP(A171,DB_Customers!$A:$D,4,0),"❌ Account Not Found"))</f>
        <v/>
      </c>
      <c r="C171" s="80" t="str">
        <f>IF(A171="","",IFERROR(VLOOKUP(A171,DB_Customers!$A:$N,14,0),""))</f>
        <v/>
      </c>
      <c r="D171" s="81" t="str">
        <f t="shared" ca="1" si="15"/>
        <v/>
      </c>
      <c r="E171" s="82"/>
      <c r="F171" s="83" t="str">
        <f t="shared" si="16"/>
        <v/>
      </c>
      <c r="G171" s="23"/>
      <c r="H171" s="84"/>
      <c r="I171" s="85" t="str">
        <f>IF(A171="","Pending",IF(H171="","⚠️ Enter Code",IF(IFERROR(VLOOKUP(G171,DB_Agents!$B:$I,8,0),"")=H171,IF(AND(A171&lt;&gt;"",E171&lt;&gt;""),"Saved","Pending"),"🔒 BLOCKED — Wrong Code")))</f>
        <v>Pending</v>
      </c>
      <c r="J171" s="86" t="str">
        <f t="shared" ca="1" si="17"/>
        <v>—</v>
      </c>
      <c r="K171" s="87"/>
    </row>
    <row r="172" spans="1:11" x14ac:dyDescent="0.25">
      <c r="A172" s="88"/>
      <c r="B172" s="25" t="str">
        <f>IF(A172="","",IFERROR(VLOOKUP(A172,DB_Customers!$A:$D,4,0),"❌ Account Not Found"))</f>
        <v/>
      </c>
      <c r="C172" s="89" t="str">
        <f>IF(A172="","",IFERROR(VLOOKUP(A172,DB_Customers!$A:$N,14,0),""))</f>
        <v/>
      </c>
      <c r="D172" s="90" t="str">
        <f t="shared" ca="1" si="15"/>
        <v/>
      </c>
      <c r="E172" s="82"/>
      <c r="F172" s="91" t="str">
        <f t="shared" si="16"/>
        <v/>
      </c>
      <c r="G172" s="27"/>
      <c r="H172" s="84"/>
      <c r="I172" s="92" t="str">
        <f>IF(A172="","Pending",IF(H172="","⚠️ Enter Code",IF(IFERROR(VLOOKUP(G172,DB_Agents!$B:$I,8,0),"")=H172,IF(AND(A172&lt;&gt;"",E172&lt;&gt;""),"Saved","Pending"),"🔒 BLOCKED — Wrong Code")))</f>
        <v>Pending</v>
      </c>
      <c r="J172" s="93" t="str">
        <f t="shared" ca="1" si="17"/>
        <v>—</v>
      </c>
      <c r="K172" s="94"/>
    </row>
    <row r="173" spans="1:11" x14ac:dyDescent="0.25">
      <c r="A173" s="79"/>
      <c r="B173" s="21" t="str">
        <f>IF(A173="","",IFERROR(VLOOKUP(A173,DB_Customers!$A:$D,4,0),"❌ Account Not Found"))</f>
        <v/>
      </c>
      <c r="C173" s="80" t="str">
        <f>IF(A173="","",IFERROR(VLOOKUP(A173,DB_Customers!$A:$N,14,0),""))</f>
        <v/>
      </c>
      <c r="D173" s="81" t="str">
        <f t="shared" ca="1" si="15"/>
        <v/>
      </c>
      <c r="E173" s="82"/>
      <c r="F173" s="83" t="str">
        <f t="shared" si="16"/>
        <v/>
      </c>
      <c r="G173" s="23"/>
      <c r="H173" s="84"/>
      <c r="I173" s="85" t="str">
        <f>IF(A173="","Pending",IF(H173="","⚠️ Enter Code",IF(IFERROR(VLOOKUP(G173,DB_Agents!$B:$I,8,0),"")=H173,IF(AND(A173&lt;&gt;"",E173&lt;&gt;""),"Saved","Pending"),"🔒 BLOCKED — Wrong Code")))</f>
        <v>Pending</v>
      </c>
      <c r="J173" s="86" t="str">
        <f t="shared" ca="1" si="17"/>
        <v>—</v>
      </c>
      <c r="K173" s="87"/>
    </row>
    <row r="174" spans="1:11" x14ac:dyDescent="0.25">
      <c r="A174" s="88"/>
      <c r="B174" s="25" t="str">
        <f>IF(A174="","",IFERROR(VLOOKUP(A174,DB_Customers!$A:$D,4,0),"❌ Account Not Found"))</f>
        <v/>
      </c>
      <c r="C174" s="89" t="str">
        <f>IF(A174="","",IFERROR(VLOOKUP(A174,DB_Customers!$A:$N,14,0),""))</f>
        <v/>
      </c>
      <c r="D174" s="90" t="str">
        <f t="shared" ca="1" si="15"/>
        <v/>
      </c>
      <c r="E174" s="82"/>
      <c r="F174" s="91" t="str">
        <f t="shared" si="16"/>
        <v/>
      </c>
      <c r="G174" s="27"/>
      <c r="H174" s="84"/>
      <c r="I174" s="92" t="str">
        <f>IF(A174="","Pending",IF(H174="","⚠️ Enter Code",IF(IFERROR(VLOOKUP(G174,DB_Agents!$B:$I,8,0),"")=H174,IF(AND(A174&lt;&gt;"",E174&lt;&gt;""),"Saved","Pending"),"🔒 BLOCKED — Wrong Code")))</f>
        <v>Pending</v>
      </c>
      <c r="J174" s="93" t="str">
        <f t="shared" ca="1" si="17"/>
        <v>—</v>
      </c>
      <c r="K174" s="94"/>
    </row>
    <row r="175" spans="1:11" x14ac:dyDescent="0.25">
      <c r="A175" s="79"/>
      <c r="B175" s="21" t="str">
        <f>IF(A175="","",IFERROR(VLOOKUP(A175,DB_Customers!$A:$D,4,0),"❌ Account Not Found"))</f>
        <v/>
      </c>
      <c r="C175" s="80" t="str">
        <f>IF(A175="","",IFERROR(VLOOKUP(A175,DB_Customers!$A:$N,14,0),""))</f>
        <v/>
      </c>
      <c r="D175" s="81" t="str">
        <f t="shared" ca="1" si="15"/>
        <v/>
      </c>
      <c r="E175" s="82"/>
      <c r="F175" s="83" t="str">
        <f t="shared" si="16"/>
        <v/>
      </c>
      <c r="G175" s="23"/>
      <c r="H175" s="84"/>
      <c r="I175" s="85" t="str">
        <f>IF(A175="","Pending",IF(H175="","⚠️ Enter Code",IF(IFERROR(VLOOKUP(G175,DB_Agents!$B:$I,8,0),"")=H175,IF(AND(A175&lt;&gt;"",E175&lt;&gt;""),"Saved","Pending"),"🔒 BLOCKED — Wrong Code")))</f>
        <v>Pending</v>
      </c>
      <c r="J175" s="86" t="str">
        <f t="shared" ca="1" si="17"/>
        <v>—</v>
      </c>
      <c r="K175" s="87"/>
    </row>
    <row r="176" spans="1:11" x14ac:dyDescent="0.25">
      <c r="A176" s="88"/>
      <c r="B176" s="25" t="str">
        <f>IF(A176="","",IFERROR(VLOOKUP(A176,DB_Customers!$A:$D,4,0),"❌ Account Not Found"))</f>
        <v/>
      </c>
      <c r="C176" s="89" t="str">
        <f>IF(A176="","",IFERROR(VLOOKUP(A176,DB_Customers!$A:$N,14,0),""))</f>
        <v/>
      </c>
      <c r="D176" s="90" t="str">
        <f t="shared" ca="1" si="15"/>
        <v/>
      </c>
      <c r="E176" s="82"/>
      <c r="F176" s="91" t="str">
        <f t="shared" si="16"/>
        <v/>
      </c>
      <c r="G176" s="27"/>
      <c r="H176" s="84"/>
      <c r="I176" s="92" t="str">
        <f>IF(A176="","Pending",IF(H176="","⚠️ Enter Code",IF(IFERROR(VLOOKUP(G176,DB_Agents!$B:$I,8,0),"")=H176,IF(AND(A176&lt;&gt;"",E176&lt;&gt;""),"Saved","Pending"),"🔒 BLOCKED — Wrong Code")))</f>
        <v>Pending</v>
      </c>
      <c r="J176" s="93" t="str">
        <f t="shared" ca="1" si="17"/>
        <v>—</v>
      </c>
      <c r="K176" s="94"/>
    </row>
    <row r="177" spans="1:11" x14ac:dyDescent="0.25">
      <c r="A177" s="79"/>
      <c r="B177" s="21" t="str">
        <f>IF(A177="","",IFERROR(VLOOKUP(A177,DB_Customers!$A:$D,4,0),"❌ Account Not Found"))</f>
        <v/>
      </c>
      <c r="C177" s="80" t="str">
        <f>IF(A177="","",IFERROR(VLOOKUP(A177,DB_Customers!$A:$N,14,0),""))</f>
        <v/>
      </c>
      <c r="D177" s="81" t="str">
        <f t="shared" ca="1" si="15"/>
        <v/>
      </c>
      <c r="E177" s="82"/>
      <c r="F177" s="83" t="str">
        <f t="shared" si="16"/>
        <v/>
      </c>
      <c r="G177" s="23"/>
      <c r="H177" s="84"/>
      <c r="I177" s="85" t="str">
        <f>IF(A177="","Pending",IF(H177="","⚠️ Enter Code",IF(IFERROR(VLOOKUP(G177,DB_Agents!$B:$I,8,0),"")=H177,IF(AND(A177&lt;&gt;"",E177&lt;&gt;""),"Saved","Pending"),"🔒 BLOCKED — Wrong Code")))</f>
        <v>Pending</v>
      </c>
      <c r="J177" s="86" t="str">
        <f t="shared" ca="1" si="17"/>
        <v>—</v>
      </c>
      <c r="K177" s="87"/>
    </row>
    <row r="178" spans="1:11" x14ac:dyDescent="0.25">
      <c r="A178" s="88"/>
      <c r="B178" s="25" t="str">
        <f>IF(A178="","",IFERROR(VLOOKUP(A178,DB_Customers!$A:$D,4,0),"❌ Account Not Found"))</f>
        <v/>
      </c>
      <c r="C178" s="89" t="str">
        <f>IF(A178="","",IFERROR(VLOOKUP(A178,DB_Customers!$A:$N,14,0),""))</f>
        <v/>
      </c>
      <c r="D178" s="90" t="str">
        <f t="shared" ca="1" si="15"/>
        <v/>
      </c>
      <c r="E178" s="82"/>
      <c r="F178" s="91" t="str">
        <f t="shared" si="16"/>
        <v/>
      </c>
      <c r="G178" s="27"/>
      <c r="H178" s="84"/>
      <c r="I178" s="92" t="str">
        <f>IF(A178="","Pending",IF(H178="","⚠️ Enter Code",IF(IFERROR(VLOOKUP(G178,DB_Agents!$B:$I,8,0),"")=H178,IF(AND(A178&lt;&gt;"",E178&lt;&gt;""),"Saved","Pending"),"🔒 BLOCKED — Wrong Code")))</f>
        <v>Pending</v>
      </c>
      <c r="J178" s="93" t="str">
        <f t="shared" ca="1" si="17"/>
        <v>—</v>
      </c>
      <c r="K178" s="94"/>
    </row>
    <row r="179" spans="1:11" x14ac:dyDescent="0.25">
      <c r="A179" s="79"/>
      <c r="B179" s="21" t="str">
        <f>IF(A179="","",IFERROR(VLOOKUP(A179,DB_Customers!$A:$D,4,0),"❌ Account Not Found"))</f>
        <v/>
      </c>
      <c r="C179" s="80" t="str">
        <f>IF(A179="","",IFERROR(VLOOKUP(A179,DB_Customers!$A:$N,14,0),""))</f>
        <v/>
      </c>
      <c r="D179" s="81" t="str">
        <f t="shared" ca="1" si="15"/>
        <v/>
      </c>
      <c r="E179" s="82"/>
      <c r="F179" s="83" t="str">
        <f t="shared" si="16"/>
        <v/>
      </c>
      <c r="G179" s="23"/>
      <c r="H179" s="84"/>
      <c r="I179" s="85" t="str">
        <f>IF(A179="","Pending",IF(H179="","⚠️ Enter Code",IF(IFERROR(VLOOKUP(G179,DB_Agents!$B:$I,8,0),"")=H179,IF(AND(A179&lt;&gt;"",E179&lt;&gt;""),"Saved","Pending"),"🔒 BLOCKED — Wrong Code")))</f>
        <v>Pending</v>
      </c>
      <c r="J179" s="86" t="str">
        <f t="shared" ca="1" si="17"/>
        <v>—</v>
      </c>
      <c r="K179" s="87"/>
    </row>
    <row r="180" spans="1:11" x14ac:dyDescent="0.25">
      <c r="A180" s="88"/>
      <c r="B180" s="25" t="str">
        <f>IF(A180="","",IFERROR(VLOOKUP(A180,DB_Customers!$A:$D,4,0),"❌ Account Not Found"))</f>
        <v/>
      </c>
      <c r="C180" s="89" t="str">
        <f>IF(A180="","",IFERROR(VLOOKUP(A180,DB_Customers!$A:$N,14,0),""))</f>
        <v/>
      </c>
      <c r="D180" s="90" t="str">
        <f t="shared" ca="1" si="15"/>
        <v/>
      </c>
      <c r="E180" s="82"/>
      <c r="F180" s="91" t="str">
        <f t="shared" si="16"/>
        <v/>
      </c>
      <c r="G180" s="27"/>
      <c r="H180" s="84"/>
      <c r="I180" s="92" t="str">
        <f>IF(A180="","Pending",IF(H180="","⚠️ Enter Code",IF(IFERROR(VLOOKUP(G180,DB_Agents!$B:$I,8,0),"")=H180,IF(AND(A180&lt;&gt;"",E180&lt;&gt;""),"Saved","Pending"),"🔒 BLOCKED — Wrong Code")))</f>
        <v>Pending</v>
      </c>
      <c r="J180" s="93" t="str">
        <f t="shared" ca="1" si="17"/>
        <v>—</v>
      </c>
      <c r="K180" s="94"/>
    </row>
    <row r="181" spans="1:11" x14ac:dyDescent="0.25">
      <c r="A181" s="79"/>
      <c r="B181" s="21" t="str">
        <f>IF(A181="","",IFERROR(VLOOKUP(A181,DB_Customers!$A:$D,4,0),"❌ Account Not Found"))</f>
        <v/>
      </c>
      <c r="C181" s="80" t="str">
        <f>IF(A181="","",IFERROR(VLOOKUP(A181,DB_Customers!$A:$N,14,0),""))</f>
        <v/>
      </c>
      <c r="D181" s="81" t="str">
        <f t="shared" ca="1" si="15"/>
        <v/>
      </c>
      <c r="E181" s="82"/>
      <c r="F181" s="83" t="str">
        <f t="shared" si="16"/>
        <v/>
      </c>
      <c r="G181" s="23"/>
      <c r="H181" s="84"/>
      <c r="I181" s="85" t="str">
        <f>IF(A181="","Pending",IF(H181="","⚠️ Enter Code",IF(IFERROR(VLOOKUP(G181,DB_Agents!$B:$I,8,0),"")=H181,IF(AND(A181&lt;&gt;"",E181&lt;&gt;""),"Saved","Pending"),"🔒 BLOCKED — Wrong Code")))</f>
        <v>Pending</v>
      </c>
      <c r="J181" s="86" t="str">
        <f t="shared" ca="1" si="17"/>
        <v>—</v>
      </c>
      <c r="K181" s="87"/>
    </row>
    <row r="182" spans="1:11" x14ac:dyDescent="0.25">
      <c r="A182" s="88"/>
      <c r="B182" s="25" t="str">
        <f>IF(A182="","",IFERROR(VLOOKUP(A182,DB_Customers!$A:$D,4,0),"❌ Account Not Found"))</f>
        <v/>
      </c>
      <c r="C182" s="89" t="str">
        <f>IF(A182="","",IFERROR(VLOOKUP(A182,DB_Customers!$A:$N,14,0),""))</f>
        <v/>
      </c>
      <c r="D182" s="90" t="str">
        <f t="shared" ca="1" si="15"/>
        <v/>
      </c>
      <c r="E182" s="82"/>
      <c r="F182" s="91" t="str">
        <f t="shared" si="16"/>
        <v/>
      </c>
      <c r="G182" s="27"/>
      <c r="H182" s="84"/>
      <c r="I182" s="92" t="str">
        <f>IF(A182="","Pending",IF(H182="","⚠️ Enter Code",IF(IFERROR(VLOOKUP(G182,DB_Agents!$B:$I,8,0),"")=H182,IF(AND(A182&lt;&gt;"",E182&lt;&gt;""),"Saved","Pending"),"🔒 BLOCKED — Wrong Code")))</f>
        <v>Pending</v>
      </c>
      <c r="J182" s="93" t="str">
        <f t="shared" ca="1" si="17"/>
        <v>—</v>
      </c>
      <c r="K182" s="94"/>
    </row>
    <row r="183" spans="1:11" x14ac:dyDescent="0.25">
      <c r="A183" s="79"/>
      <c r="B183" s="21" t="str">
        <f>IF(A183="","",IFERROR(VLOOKUP(A183,DB_Customers!$A:$D,4,0),"❌ Account Not Found"))</f>
        <v/>
      </c>
      <c r="C183" s="80" t="str">
        <f>IF(A183="","",IFERROR(VLOOKUP(A183,DB_Customers!$A:$N,14,0),""))</f>
        <v/>
      </c>
      <c r="D183" s="81" t="str">
        <f t="shared" ca="1" si="15"/>
        <v/>
      </c>
      <c r="E183" s="82"/>
      <c r="F183" s="83" t="str">
        <f t="shared" si="16"/>
        <v/>
      </c>
      <c r="G183" s="23"/>
      <c r="H183" s="84"/>
      <c r="I183" s="85" t="str">
        <f>IF(A183="","Pending",IF(H183="","⚠️ Enter Code",IF(IFERROR(VLOOKUP(G183,DB_Agents!$B:$I,8,0),"")=H183,IF(AND(A183&lt;&gt;"",E183&lt;&gt;""),"Saved","Pending"),"🔒 BLOCKED — Wrong Code")))</f>
        <v>Pending</v>
      </c>
      <c r="J183" s="86" t="str">
        <f t="shared" ca="1" si="17"/>
        <v>—</v>
      </c>
      <c r="K183" s="87"/>
    </row>
    <row r="184" spans="1:11" x14ac:dyDescent="0.25">
      <c r="A184" s="88"/>
      <c r="B184" s="25" t="str">
        <f>IF(A184="","",IFERROR(VLOOKUP(A184,DB_Customers!$A:$D,4,0),"❌ Account Not Found"))</f>
        <v/>
      </c>
      <c r="C184" s="89" t="str">
        <f>IF(A184="","",IFERROR(VLOOKUP(A184,DB_Customers!$A:$N,14,0),""))</f>
        <v/>
      </c>
      <c r="D184" s="90" t="str">
        <f t="shared" ca="1" si="15"/>
        <v/>
      </c>
      <c r="E184" s="82"/>
      <c r="F184" s="91" t="str">
        <f t="shared" si="16"/>
        <v/>
      </c>
      <c r="G184" s="27"/>
      <c r="H184" s="84"/>
      <c r="I184" s="92" t="str">
        <f>IF(A184="","Pending",IF(H184="","⚠️ Enter Code",IF(IFERROR(VLOOKUP(G184,DB_Agents!$B:$I,8,0),"")=H184,IF(AND(A184&lt;&gt;"",E184&lt;&gt;""),"Saved","Pending"),"🔒 BLOCKED — Wrong Code")))</f>
        <v>Pending</v>
      </c>
      <c r="J184" s="93" t="str">
        <f t="shared" ca="1" si="17"/>
        <v>—</v>
      </c>
      <c r="K184" s="94"/>
    </row>
    <row r="185" spans="1:11" x14ac:dyDescent="0.25">
      <c r="A185" s="79"/>
      <c r="B185" s="21" t="str">
        <f>IF(A185="","",IFERROR(VLOOKUP(A185,DB_Customers!$A:$D,4,0),"❌ Account Not Found"))</f>
        <v/>
      </c>
      <c r="C185" s="80" t="str">
        <f>IF(A185="","",IFERROR(VLOOKUP(A185,DB_Customers!$A:$N,14,0),""))</f>
        <v/>
      </c>
      <c r="D185" s="81" t="str">
        <f t="shared" ca="1" si="15"/>
        <v/>
      </c>
      <c r="E185" s="82"/>
      <c r="F185" s="83" t="str">
        <f t="shared" si="16"/>
        <v/>
      </c>
      <c r="G185" s="23"/>
      <c r="H185" s="84"/>
      <c r="I185" s="85" t="str">
        <f>IF(A185="","Pending",IF(H185="","⚠️ Enter Code",IF(IFERROR(VLOOKUP(G185,DB_Agents!$B:$I,8,0),"")=H185,IF(AND(A185&lt;&gt;"",E185&lt;&gt;""),"Saved","Pending"),"🔒 BLOCKED — Wrong Code")))</f>
        <v>Pending</v>
      </c>
      <c r="J185" s="86" t="str">
        <f t="shared" ca="1" si="17"/>
        <v>—</v>
      </c>
      <c r="K185" s="87"/>
    </row>
    <row r="186" spans="1:11" x14ac:dyDescent="0.25">
      <c r="A186" s="88"/>
      <c r="B186" s="25" t="str">
        <f>IF(A186="","",IFERROR(VLOOKUP(A186,DB_Customers!$A:$D,4,0),"❌ Account Not Found"))</f>
        <v/>
      </c>
      <c r="C186" s="89" t="str">
        <f>IF(A186="","",IFERROR(VLOOKUP(A186,DB_Customers!$A:$N,14,0),""))</f>
        <v/>
      </c>
      <c r="D186" s="90" t="str">
        <f t="shared" ca="1" si="15"/>
        <v/>
      </c>
      <c r="E186" s="82"/>
      <c r="F186" s="91" t="str">
        <f t="shared" si="16"/>
        <v/>
      </c>
      <c r="G186" s="27"/>
      <c r="H186" s="84"/>
      <c r="I186" s="92" t="str">
        <f>IF(A186="","Pending",IF(H186="","⚠️ Enter Code",IF(IFERROR(VLOOKUP(G186,DB_Agents!$B:$I,8,0),"")=H186,IF(AND(A186&lt;&gt;"",E186&lt;&gt;""),"Saved","Pending"),"🔒 BLOCKED — Wrong Code")))</f>
        <v>Pending</v>
      </c>
      <c r="J186" s="93" t="str">
        <f t="shared" ca="1" si="17"/>
        <v>—</v>
      </c>
      <c r="K186" s="94"/>
    </row>
    <row r="187" spans="1:11" x14ac:dyDescent="0.25">
      <c r="A187" s="79"/>
      <c r="B187" s="21" t="str">
        <f>IF(A187="","",IFERROR(VLOOKUP(A187,DB_Customers!$A:$D,4,0),"❌ Account Not Found"))</f>
        <v/>
      </c>
      <c r="C187" s="80" t="str">
        <f>IF(A187="","",IFERROR(VLOOKUP(A187,DB_Customers!$A:$N,14,0),""))</f>
        <v/>
      </c>
      <c r="D187" s="81" t="str">
        <f t="shared" ca="1" si="15"/>
        <v/>
      </c>
      <c r="E187" s="82"/>
      <c r="F187" s="83" t="str">
        <f t="shared" si="16"/>
        <v/>
      </c>
      <c r="G187" s="23"/>
      <c r="H187" s="84"/>
      <c r="I187" s="85" t="str">
        <f>IF(A187="","Pending",IF(H187="","⚠️ Enter Code",IF(IFERROR(VLOOKUP(G187,DB_Agents!$B:$I,8,0),"")=H187,IF(AND(A187&lt;&gt;"",E187&lt;&gt;""),"Saved","Pending"),"🔒 BLOCKED — Wrong Code")))</f>
        <v>Pending</v>
      </c>
      <c r="J187" s="86" t="str">
        <f t="shared" ca="1" si="17"/>
        <v>—</v>
      </c>
      <c r="K187" s="87"/>
    </row>
    <row r="188" spans="1:11" x14ac:dyDescent="0.25">
      <c r="A188" s="88"/>
      <c r="B188" s="25" t="str">
        <f>IF(A188="","",IFERROR(VLOOKUP(A188,DB_Customers!$A:$D,4,0),"❌ Account Not Found"))</f>
        <v/>
      </c>
      <c r="C188" s="89" t="str">
        <f>IF(A188="","",IFERROR(VLOOKUP(A188,DB_Customers!$A:$N,14,0),""))</f>
        <v/>
      </c>
      <c r="D188" s="90" t="str">
        <f t="shared" ca="1" si="15"/>
        <v/>
      </c>
      <c r="E188" s="82"/>
      <c r="F188" s="91" t="str">
        <f t="shared" si="16"/>
        <v/>
      </c>
      <c r="G188" s="27"/>
      <c r="H188" s="84"/>
      <c r="I188" s="92" t="str">
        <f>IF(A188="","Pending",IF(H188="","⚠️ Enter Code",IF(IFERROR(VLOOKUP(G188,DB_Agents!$B:$I,8,0),"")=H188,IF(AND(A188&lt;&gt;"",E188&lt;&gt;""),"Saved","Pending"),"🔒 BLOCKED — Wrong Code")))</f>
        <v>Pending</v>
      </c>
      <c r="J188" s="93" t="str">
        <f t="shared" ca="1" si="17"/>
        <v>—</v>
      </c>
      <c r="K188" s="94"/>
    </row>
    <row r="189" spans="1:11" x14ac:dyDescent="0.25">
      <c r="A189" s="79"/>
      <c r="B189" s="21" t="str">
        <f>IF(A189="","",IFERROR(VLOOKUP(A189,DB_Customers!$A:$D,4,0),"❌ Account Not Found"))</f>
        <v/>
      </c>
      <c r="C189" s="80" t="str">
        <f>IF(A189="","",IFERROR(VLOOKUP(A189,DB_Customers!$A:$N,14,0),""))</f>
        <v/>
      </c>
      <c r="D189" s="81" t="str">
        <f t="shared" ca="1" si="15"/>
        <v/>
      </c>
      <c r="E189" s="82"/>
      <c r="F189" s="83" t="str">
        <f t="shared" si="16"/>
        <v/>
      </c>
      <c r="G189" s="23"/>
      <c r="H189" s="84"/>
      <c r="I189" s="85" t="str">
        <f>IF(A189="","Pending",IF(H189="","⚠️ Enter Code",IF(IFERROR(VLOOKUP(G189,DB_Agents!$B:$I,8,0),"")=H189,IF(AND(A189&lt;&gt;"",E189&lt;&gt;""),"Saved","Pending"),"🔒 BLOCKED — Wrong Code")))</f>
        <v>Pending</v>
      </c>
      <c r="J189" s="86" t="str">
        <f t="shared" ca="1" si="17"/>
        <v>—</v>
      </c>
      <c r="K189" s="87"/>
    </row>
    <row r="190" spans="1:11" x14ac:dyDescent="0.25">
      <c r="A190" s="88"/>
      <c r="B190" s="25" t="str">
        <f>IF(A190="","",IFERROR(VLOOKUP(A190,DB_Customers!$A:$D,4,0),"❌ Account Not Found"))</f>
        <v/>
      </c>
      <c r="C190" s="89" t="str">
        <f>IF(A190="","",IFERROR(VLOOKUP(A190,DB_Customers!$A:$N,14,0),""))</f>
        <v/>
      </c>
      <c r="D190" s="90" t="str">
        <f t="shared" ca="1" si="15"/>
        <v/>
      </c>
      <c r="E190" s="82"/>
      <c r="F190" s="91" t="str">
        <f t="shared" si="16"/>
        <v/>
      </c>
      <c r="G190" s="27"/>
      <c r="H190" s="84"/>
      <c r="I190" s="92" t="str">
        <f>IF(A190="","Pending",IF(H190="","⚠️ Enter Code",IF(IFERROR(VLOOKUP(G190,DB_Agents!$B:$I,8,0),"")=H190,IF(AND(A190&lt;&gt;"",E190&lt;&gt;""),"Saved","Pending"),"🔒 BLOCKED — Wrong Code")))</f>
        <v>Pending</v>
      </c>
      <c r="J190" s="93" t="str">
        <f t="shared" ca="1" si="17"/>
        <v>—</v>
      </c>
      <c r="K190" s="94"/>
    </row>
    <row r="191" spans="1:11" x14ac:dyDescent="0.25">
      <c r="A191" s="79"/>
      <c r="B191" s="21" t="str">
        <f>IF(A191="","",IFERROR(VLOOKUP(A191,DB_Customers!$A:$D,4,0),"❌ Account Not Found"))</f>
        <v/>
      </c>
      <c r="C191" s="80" t="str">
        <f>IF(A191="","",IFERROR(VLOOKUP(A191,DB_Customers!$A:$N,14,0),""))</f>
        <v/>
      </c>
      <c r="D191" s="81" t="str">
        <f t="shared" ca="1" si="15"/>
        <v/>
      </c>
      <c r="E191" s="82"/>
      <c r="F191" s="83" t="str">
        <f t="shared" si="16"/>
        <v/>
      </c>
      <c r="G191" s="23"/>
      <c r="H191" s="84"/>
      <c r="I191" s="85" t="str">
        <f>IF(A191="","Pending",IF(H191="","⚠️ Enter Code",IF(IFERROR(VLOOKUP(G191,DB_Agents!$B:$I,8,0),"")=H191,IF(AND(A191&lt;&gt;"",E191&lt;&gt;""),"Saved","Pending"),"🔒 BLOCKED — Wrong Code")))</f>
        <v>Pending</v>
      </c>
      <c r="J191" s="86" t="str">
        <f t="shared" ca="1" si="17"/>
        <v>—</v>
      </c>
      <c r="K191" s="87"/>
    </row>
    <row r="192" spans="1:11" x14ac:dyDescent="0.25">
      <c r="A192" s="88"/>
      <c r="B192" s="25" t="str">
        <f>IF(A192="","",IFERROR(VLOOKUP(A192,DB_Customers!$A:$D,4,0),"❌ Account Not Found"))</f>
        <v/>
      </c>
      <c r="C192" s="89" t="str">
        <f>IF(A192="","",IFERROR(VLOOKUP(A192,DB_Customers!$A:$N,14,0),""))</f>
        <v/>
      </c>
      <c r="D192" s="90" t="str">
        <f t="shared" ca="1" si="15"/>
        <v/>
      </c>
      <c r="E192" s="82"/>
      <c r="F192" s="91" t="str">
        <f t="shared" si="16"/>
        <v/>
      </c>
      <c r="G192" s="27"/>
      <c r="H192" s="84"/>
      <c r="I192" s="92" t="str">
        <f>IF(A192="","Pending",IF(H192="","⚠️ Enter Code",IF(IFERROR(VLOOKUP(G192,DB_Agents!$B:$I,8,0),"")=H192,IF(AND(A192&lt;&gt;"",E192&lt;&gt;""),"Saved","Pending"),"🔒 BLOCKED — Wrong Code")))</f>
        <v>Pending</v>
      </c>
      <c r="J192" s="93" t="str">
        <f t="shared" ca="1" si="17"/>
        <v>—</v>
      </c>
      <c r="K192" s="94"/>
    </row>
    <row r="193" spans="1:11" x14ac:dyDescent="0.25">
      <c r="A193" s="79"/>
      <c r="B193" s="21" t="str">
        <f>IF(A193="","",IFERROR(VLOOKUP(A193,DB_Customers!$A:$D,4,0),"❌ Account Not Found"))</f>
        <v/>
      </c>
      <c r="C193" s="80" t="str">
        <f>IF(A193="","",IFERROR(VLOOKUP(A193,DB_Customers!$A:$N,14,0),""))</f>
        <v/>
      </c>
      <c r="D193" s="81" t="str">
        <f t="shared" ca="1" si="15"/>
        <v/>
      </c>
      <c r="E193" s="82"/>
      <c r="F193" s="83" t="str">
        <f t="shared" si="16"/>
        <v/>
      </c>
      <c r="G193" s="23"/>
      <c r="H193" s="84"/>
      <c r="I193" s="85" t="str">
        <f>IF(A193="","Pending",IF(H193="","⚠️ Enter Code",IF(IFERROR(VLOOKUP(G193,DB_Agents!$B:$I,8,0),"")=H193,IF(AND(A193&lt;&gt;"",E193&lt;&gt;""),"Saved","Pending"),"🔒 BLOCKED — Wrong Code")))</f>
        <v>Pending</v>
      </c>
      <c r="J193" s="86" t="str">
        <f t="shared" ca="1" si="17"/>
        <v>—</v>
      </c>
      <c r="K193" s="87"/>
    </row>
    <row r="194" spans="1:11" x14ac:dyDescent="0.25">
      <c r="A194" s="88"/>
      <c r="B194" s="25" t="str">
        <f>IF(A194="","",IFERROR(VLOOKUP(A194,DB_Customers!$A:$D,4,0),"❌ Account Not Found"))</f>
        <v/>
      </c>
      <c r="C194" s="89" t="str">
        <f>IF(A194="","",IFERROR(VLOOKUP(A194,DB_Customers!$A:$N,14,0),""))</f>
        <v/>
      </c>
      <c r="D194" s="90" t="str">
        <f t="shared" ca="1" si="15"/>
        <v/>
      </c>
      <c r="E194" s="82"/>
      <c r="F194" s="91" t="str">
        <f t="shared" si="16"/>
        <v/>
      </c>
      <c r="G194" s="27"/>
      <c r="H194" s="84"/>
      <c r="I194" s="92" t="str">
        <f>IF(A194="","Pending",IF(H194="","⚠️ Enter Code",IF(IFERROR(VLOOKUP(G194,DB_Agents!$B:$I,8,0),"")=H194,IF(AND(A194&lt;&gt;"",E194&lt;&gt;""),"Saved","Pending"),"🔒 BLOCKED — Wrong Code")))</f>
        <v>Pending</v>
      </c>
      <c r="J194" s="93" t="str">
        <f t="shared" ca="1" si="17"/>
        <v>—</v>
      </c>
      <c r="K194" s="94"/>
    </row>
    <row r="195" spans="1:11" x14ac:dyDescent="0.25">
      <c r="A195" s="79"/>
      <c r="B195" s="21" t="str">
        <f>IF(A195="","",IFERROR(VLOOKUP(A195,DB_Customers!$A:$D,4,0),"❌ Account Not Found"))</f>
        <v/>
      </c>
      <c r="C195" s="80" t="str">
        <f>IF(A195="","",IFERROR(VLOOKUP(A195,DB_Customers!$A:$N,14,0),""))</f>
        <v/>
      </c>
      <c r="D195" s="81" t="str">
        <f t="shared" ca="1" si="15"/>
        <v/>
      </c>
      <c r="E195" s="82"/>
      <c r="F195" s="83" t="str">
        <f t="shared" si="16"/>
        <v/>
      </c>
      <c r="G195" s="23"/>
      <c r="H195" s="84"/>
      <c r="I195" s="85" t="str">
        <f>IF(A195="","Pending",IF(H195="","⚠️ Enter Code",IF(IFERROR(VLOOKUP(G195,DB_Agents!$B:$I,8,0),"")=H195,IF(AND(A195&lt;&gt;"",E195&lt;&gt;""),"Saved","Pending"),"🔒 BLOCKED — Wrong Code")))</f>
        <v>Pending</v>
      </c>
      <c r="J195" s="86" t="str">
        <f t="shared" ca="1" si="17"/>
        <v>—</v>
      </c>
      <c r="K195" s="87"/>
    </row>
    <row r="196" spans="1:11" x14ac:dyDescent="0.25">
      <c r="A196" s="88"/>
      <c r="B196" s="25" t="str">
        <f>IF(A196="","",IFERROR(VLOOKUP(A196,DB_Customers!$A:$D,4,0),"❌ Account Not Found"))</f>
        <v/>
      </c>
      <c r="C196" s="89" t="str">
        <f>IF(A196="","",IFERROR(VLOOKUP(A196,DB_Customers!$A:$N,14,0),""))</f>
        <v/>
      </c>
      <c r="D196" s="90" t="str">
        <f t="shared" ca="1" si="15"/>
        <v/>
      </c>
      <c r="E196" s="82"/>
      <c r="F196" s="91" t="str">
        <f t="shared" si="16"/>
        <v/>
      </c>
      <c r="G196" s="27"/>
      <c r="H196" s="84"/>
      <c r="I196" s="92" t="str">
        <f>IF(A196="","Pending",IF(H196="","⚠️ Enter Code",IF(IFERROR(VLOOKUP(G196,DB_Agents!$B:$I,8,0),"")=H196,IF(AND(A196&lt;&gt;"",E196&lt;&gt;""),"Saved","Pending"),"🔒 BLOCKED — Wrong Code")))</f>
        <v>Pending</v>
      </c>
      <c r="J196" s="93" t="str">
        <f t="shared" ca="1" si="17"/>
        <v>—</v>
      </c>
      <c r="K196" s="94"/>
    </row>
    <row r="197" spans="1:11" x14ac:dyDescent="0.25">
      <c r="A197" s="79"/>
      <c r="B197" s="21" t="str">
        <f>IF(A197="","",IFERROR(VLOOKUP(A197,DB_Customers!$A:$D,4,0),"❌ Account Not Found"))</f>
        <v/>
      </c>
      <c r="C197" s="80" t="str">
        <f>IF(A197="","",IFERROR(VLOOKUP(A197,DB_Customers!$A:$N,14,0),""))</f>
        <v/>
      </c>
      <c r="D197" s="81" t="str">
        <f t="shared" ca="1" si="15"/>
        <v/>
      </c>
      <c r="E197" s="82"/>
      <c r="F197" s="83" t="str">
        <f t="shared" si="16"/>
        <v/>
      </c>
      <c r="G197" s="23"/>
      <c r="H197" s="84"/>
      <c r="I197" s="85" t="str">
        <f>IF(A197="","Pending",IF(H197="","⚠️ Enter Code",IF(IFERROR(VLOOKUP(G197,DB_Agents!$B:$I,8,0),"")=H197,IF(AND(A197&lt;&gt;"",E197&lt;&gt;""),"Saved","Pending"),"🔒 BLOCKED — Wrong Code")))</f>
        <v>Pending</v>
      </c>
      <c r="J197" s="86" t="str">
        <f t="shared" ca="1" si="17"/>
        <v>—</v>
      </c>
      <c r="K197" s="87"/>
    </row>
    <row r="198" spans="1:11" x14ac:dyDescent="0.25">
      <c r="A198" s="88"/>
      <c r="B198" s="25" t="str">
        <f>IF(A198="","",IFERROR(VLOOKUP(A198,DB_Customers!$A:$D,4,0),"❌ Account Not Found"))</f>
        <v/>
      </c>
      <c r="C198" s="89" t="str">
        <f>IF(A198="","",IFERROR(VLOOKUP(A198,DB_Customers!$A:$N,14,0),""))</f>
        <v/>
      </c>
      <c r="D198" s="90" t="str">
        <f t="shared" ca="1" si="15"/>
        <v/>
      </c>
      <c r="E198" s="82"/>
      <c r="F198" s="91" t="str">
        <f t="shared" si="16"/>
        <v/>
      </c>
      <c r="G198" s="27"/>
      <c r="H198" s="84"/>
      <c r="I198" s="92" t="str">
        <f>IF(A198="","Pending",IF(H198="","⚠️ Enter Code",IF(IFERROR(VLOOKUP(G198,DB_Agents!$B:$I,8,0),"")=H198,IF(AND(A198&lt;&gt;"",E198&lt;&gt;""),"Saved","Pending"),"🔒 BLOCKED — Wrong Code")))</f>
        <v>Pending</v>
      </c>
      <c r="J198" s="93" t="str">
        <f t="shared" ca="1" si="17"/>
        <v>—</v>
      </c>
      <c r="K198" s="94"/>
    </row>
    <row r="199" spans="1:11" x14ac:dyDescent="0.25">
      <c r="A199" s="79"/>
      <c r="B199" s="21" t="str">
        <f>IF(A199="","",IFERROR(VLOOKUP(A199,DB_Customers!$A:$D,4,0),"❌ Account Not Found"))</f>
        <v/>
      </c>
      <c r="C199" s="80" t="str">
        <f>IF(A199="","",IFERROR(VLOOKUP(A199,DB_Customers!$A:$N,14,0),""))</f>
        <v/>
      </c>
      <c r="D199" s="81" t="str">
        <f t="shared" ca="1" si="15"/>
        <v/>
      </c>
      <c r="E199" s="82"/>
      <c r="F199" s="83" t="str">
        <f t="shared" si="16"/>
        <v/>
      </c>
      <c r="G199" s="23"/>
      <c r="H199" s="84"/>
      <c r="I199" s="85" t="str">
        <f>IF(A199="","Pending",IF(H199="","⚠️ Enter Code",IF(IFERROR(VLOOKUP(G199,DB_Agents!$B:$I,8,0),"")=H199,IF(AND(A199&lt;&gt;"",E199&lt;&gt;""),"Saved","Pending"),"🔒 BLOCKED — Wrong Code")))</f>
        <v>Pending</v>
      </c>
      <c r="J199" s="86" t="str">
        <f t="shared" ca="1" si="17"/>
        <v>—</v>
      </c>
      <c r="K199" s="87"/>
    </row>
    <row r="200" spans="1:11" x14ac:dyDescent="0.25">
      <c r="A200" s="88"/>
      <c r="B200" s="25" t="str">
        <f>IF(A200="","",IFERROR(VLOOKUP(A200,DB_Customers!$A:$D,4,0),"❌ Account Not Found"))</f>
        <v/>
      </c>
      <c r="C200" s="89" t="str">
        <f>IF(A200="","",IFERROR(VLOOKUP(A200,DB_Customers!$A:$N,14,0),""))</f>
        <v/>
      </c>
      <c r="D200" s="90" t="str">
        <f t="shared" ca="1" si="15"/>
        <v/>
      </c>
      <c r="E200" s="82"/>
      <c r="F200" s="91" t="str">
        <f t="shared" si="16"/>
        <v/>
      </c>
      <c r="G200" s="27"/>
      <c r="H200" s="84"/>
      <c r="I200" s="92" t="str">
        <f>IF(A200="","Pending",IF(H200="","⚠️ Enter Code",IF(IFERROR(VLOOKUP(G200,DB_Agents!$B:$I,8,0),"")=H200,IF(AND(A200&lt;&gt;"",E200&lt;&gt;""),"Saved","Pending"),"🔒 BLOCKED — Wrong Code")))</f>
        <v>Pending</v>
      </c>
      <c r="J200" s="93" t="str">
        <f t="shared" ca="1" si="17"/>
        <v>—</v>
      </c>
      <c r="K200" s="94"/>
    </row>
    <row r="201" spans="1:11" x14ac:dyDescent="0.25">
      <c r="A201" s="79"/>
      <c r="B201" s="21" t="str">
        <f>IF(A201="","",IFERROR(VLOOKUP(A201,DB_Customers!$A:$D,4,0),"❌ Account Not Found"))</f>
        <v/>
      </c>
      <c r="C201" s="80" t="str">
        <f>IF(A201="","",IFERROR(VLOOKUP(A201,DB_Customers!$A:$N,14,0),""))</f>
        <v/>
      </c>
      <c r="D201" s="81" t="str">
        <f t="shared" ref="D201:D208" ca="1" si="18">IF(A201="","",TODAY())</f>
        <v/>
      </c>
      <c r="E201" s="82"/>
      <c r="F201" s="83" t="str">
        <f t="shared" ref="F201:F232" si="19">IF(OR(A201="",E201=""),"",IF(C201="","",C201+E201))</f>
        <v/>
      </c>
      <c r="G201" s="23"/>
      <c r="H201" s="84"/>
      <c r="I201" s="85" t="str">
        <f>IF(A201="","Pending",IF(H201="","⚠️ Enter Code",IF(IFERROR(VLOOKUP(G201,DB_Agents!$B:$I,8,0),"")=H201,IF(AND(A201&lt;&gt;"",E201&lt;&gt;""),"Saved","Pending"),"🔒 BLOCKED — Wrong Code")))</f>
        <v>Pending</v>
      </c>
      <c r="J201" s="86" t="str">
        <f t="shared" ref="J201:J232" ca="1" si="20">IF(I201="Saved",TEXT(TODAY(),"YYYY-MM-DD")&amp;" Auto","—")</f>
        <v>—</v>
      </c>
      <c r="K201" s="87"/>
    </row>
    <row r="202" spans="1:11" x14ac:dyDescent="0.25">
      <c r="A202" s="88"/>
      <c r="B202" s="25" t="str">
        <f>IF(A202="","",IFERROR(VLOOKUP(A202,DB_Customers!$A:$D,4,0),"❌ Account Not Found"))</f>
        <v/>
      </c>
      <c r="C202" s="89" t="str">
        <f>IF(A202="","",IFERROR(VLOOKUP(A202,DB_Customers!$A:$N,14,0),""))</f>
        <v/>
      </c>
      <c r="D202" s="90" t="str">
        <f t="shared" ca="1" si="18"/>
        <v/>
      </c>
      <c r="E202" s="82"/>
      <c r="F202" s="91" t="str">
        <f t="shared" si="19"/>
        <v/>
      </c>
      <c r="G202" s="27"/>
      <c r="H202" s="84"/>
      <c r="I202" s="92" t="str">
        <f>IF(A202="","Pending",IF(H202="","⚠️ Enter Code",IF(IFERROR(VLOOKUP(G202,DB_Agents!$B:$I,8,0),"")=H202,IF(AND(A202&lt;&gt;"",E202&lt;&gt;""),"Saved","Pending"),"🔒 BLOCKED — Wrong Code")))</f>
        <v>Pending</v>
      </c>
      <c r="J202" s="93" t="str">
        <f t="shared" ca="1" si="20"/>
        <v>—</v>
      </c>
      <c r="K202" s="94"/>
    </row>
    <row r="203" spans="1:11" x14ac:dyDescent="0.25">
      <c r="A203" s="79"/>
      <c r="B203" s="21" t="str">
        <f>IF(A203="","",IFERROR(VLOOKUP(A203,DB_Customers!$A:$D,4,0),"❌ Account Not Found"))</f>
        <v/>
      </c>
      <c r="C203" s="80" t="str">
        <f>IF(A203="","",IFERROR(VLOOKUP(A203,DB_Customers!$A:$N,14,0),""))</f>
        <v/>
      </c>
      <c r="D203" s="81" t="str">
        <f t="shared" ca="1" si="18"/>
        <v/>
      </c>
      <c r="E203" s="82"/>
      <c r="F203" s="83" t="str">
        <f t="shared" si="19"/>
        <v/>
      </c>
      <c r="G203" s="23"/>
      <c r="H203" s="84"/>
      <c r="I203" s="85" t="str">
        <f>IF(A203="","Pending",IF(H203="","⚠️ Enter Code",IF(IFERROR(VLOOKUP(G203,DB_Agents!$B:$I,8,0),"")=H203,IF(AND(A203&lt;&gt;"",E203&lt;&gt;""),"Saved","Pending"),"🔒 BLOCKED — Wrong Code")))</f>
        <v>Pending</v>
      </c>
      <c r="J203" s="86" t="str">
        <f t="shared" ca="1" si="20"/>
        <v>—</v>
      </c>
      <c r="K203" s="87"/>
    </row>
    <row r="204" spans="1:11" x14ac:dyDescent="0.25">
      <c r="A204" s="88"/>
      <c r="B204" s="25" t="str">
        <f>IF(A204="","",IFERROR(VLOOKUP(A204,DB_Customers!$A:$D,4,0),"❌ Account Not Found"))</f>
        <v/>
      </c>
      <c r="C204" s="89" t="str">
        <f>IF(A204="","",IFERROR(VLOOKUP(A204,DB_Customers!$A:$N,14,0),""))</f>
        <v/>
      </c>
      <c r="D204" s="90" t="str">
        <f t="shared" ca="1" si="18"/>
        <v/>
      </c>
      <c r="E204" s="82"/>
      <c r="F204" s="91" t="str">
        <f t="shared" si="19"/>
        <v/>
      </c>
      <c r="G204" s="27"/>
      <c r="H204" s="84"/>
      <c r="I204" s="92" t="str">
        <f>IF(A204="","Pending",IF(H204="","⚠️ Enter Code",IF(IFERROR(VLOOKUP(G204,DB_Agents!$B:$I,8,0),"")=H204,IF(AND(A204&lt;&gt;"",E204&lt;&gt;""),"Saved","Pending"),"🔒 BLOCKED — Wrong Code")))</f>
        <v>Pending</v>
      </c>
      <c r="J204" s="93" t="str">
        <f t="shared" ca="1" si="20"/>
        <v>—</v>
      </c>
      <c r="K204" s="94"/>
    </row>
    <row r="205" spans="1:11" x14ac:dyDescent="0.25">
      <c r="A205" s="79"/>
      <c r="B205" s="21" t="str">
        <f>IF(A205="","",IFERROR(VLOOKUP(A205,DB_Customers!$A:$D,4,0),"❌ Account Not Found"))</f>
        <v/>
      </c>
      <c r="C205" s="80" t="str">
        <f>IF(A205="","",IFERROR(VLOOKUP(A205,DB_Customers!$A:$N,14,0),""))</f>
        <v/>
      </c>
      <c r="D205" s="81" t="str">
        <f t="shared" ca="1" si="18"/>
        <v/>
      </c>
      <c r="E205" s="82"/>
      <c r="F205" s="83" t="str">
        <f t="shared" si="19"/>
        <v/>
      </c>
      <c r="G205" s="23"/>
      <c r="H205" s="84"/>
      <c r="I205" s="85" t="str">
        <f>IF(A205="","Pending",IF(H205="","⚠️ Enter Code",IF(IFERROR(VLOOKUP(G205,DB_Agents!$B:$I,8,0),"")=H205,IF(AND(A205&lt;&gt;"",E205&lt;&gt;""),"Saved","Pending"),"🔒 BLOCKED — Wrong Code")))</f>
        <v>Pending</v>
      </c>
      <c r="J205" s="86" t="str">
        <f t="shared" ca="1" si="20"/>
        <v>—</v>
      </c>
      <c r="K205" s="87"/>
    </row>
    <row r="206" spans="1:11" x14ac:dyDescent="0.25">
      <c r="A206" s="88"/>
      <c r="B206" s="25" t="str">
        <f>IF(A206="","",IFERROR(VLOOKUP(A206,DB_Customers!$A:$D,4,0),"❌ Account Not Found"))</f>
        <v/>
      </c>
      <c r="C206" s="89" t="str">
        <f>IF(A206="","",IFERROR(VLOOKUP(A206,DB_Customers!$A:$N,14,0),""))</f>
        <v/>
      </c>
      <c r="D206" s="90" t="str">
        <f t="shared" ca="1" si="18"/>
        <v/>
      </c>
      <c r="E206" s="82"/>
      <c r="F206" s="91" t="str">
        <f t="shared" si="19"/>
        <v/>
      </c>
      <c r="G206" s="27"/>
      <c r="H206" s="84"/>
      <c r="I206" s="92" t="str">
        <f>IF(A206="","Pending",IF(H206="","⚠️ Enter Code",IF(IFERROR(VLOOKUP(G206,DB_Agents!$B:$I,8,0),"")=H206,IF(AND(A206&lt;&gt;"",E206&lt;&gt;""),"Saved","Pending"),"🔒 BLOCKED — Wrong Code")))</f>
        <v>Pending</v>
      </c>
      <c r="J206" s="93" t="str">
        <f t="shared" ca="1" si="20"/>
        <v>—</v>
      </c>
      <c r="K206" s="94"/>
    </row>
    <row r="207" spans="1:11" x14ac:dyDescent="0.25">
      <c r="A207" s="79"/>
      <c r="B207" s="21" t="str">
        <f>IF(A207="","",IFERROR(VLOOKUP(A207,DB_Customers!$A:$D,4,0),"❌ Account Not Found"))</f>
        <v/>
      </c>
      <c r="C207" s="80" t="str">
        <f>IF(A207="","",IFERROR(VLOOKUP(A207,DB_Customers!$A:$N,14,0),""))</f>
        <v/>
      </c>
      <c r="D207" s="81" t="str">
        <f t="shared" ca="1" si="18"/>
        <v/>
      </c>
      <c r="E207" s="82"/>
      <c r="F207" s="83" t="str">
        <f t="shared" si="19"/>
        <v/>
      </c>
      <c r="G207" s="23"/>
      <c r="H207" s="84"/>
      <c r="I207" s="85" t="str">
        <f>IF(A207="","Pending",IF(H207="","⚠️ Enter Code",IF(IFERROR(VLOOKUP(G207,DB_Agents!$B:$I,8,0),"")=H207,IF(AND(A207&lt;&gt;"",E207&lt;&gt;""),"Saved","Pending"),"🔒 BLOCKED — Wrong Code")))</f>
        <v>Pending</v>
      </c>
      <c r="J207" s="86" t="str">
        <f t="shared" ca="1" si="20"/>
        <v>—</v>
      </c>
      <c r="K207" s="87"/>
    </row>
    <row r="208" spans="1:11" x14ac:dyDescent="0.25">
      <c r="A208" s="88"/>
      <c r="B208" s="25" t="str">
        <f>IF(A208="","",IFERROR(VLOOKUP(A208,DB_Customers!$A:$D,4,0),"❌ Account Not Found"))</f>
        <v/>
      </c>
      <c r="C208" s="89" t="str">
        <f>IF(A208="","",IFERROR(VLOOKUP(A208,DB_Customers!$A:$N,14,0),""))</f>
        <v/>
      </c>
      <c r="D208" s="90" t="str">
        <f t="shared" ca="1" si="18"/>
        <v/>
      </c>
      <c r="E208" s="82"/>
      <c r="F208" s="91" t="str">
        <f t="shared" si="19"/>
        <v/>
      </c>
      <c r="G208" s="27"/>
      <c r="H208" s="84"/>
      <c r="I208" s="92" t="str">
        <f>IF(A208="","Pending",IF(H208="","⚠️ Enter Code",IF(IFERROR(VLOOKUP(G208,DB_Agents!$B:$I,8,0),"")=H208,IF(AND(A208&lt;&gt;"",E208&lt;&gt;""),"Saved","Pending"),"🔒 BLOCKED — Wrong Code")))</f>
        <v>Pending</v>
      </c>
      <c r="J208" s="93" t="str">
        <f t="shared" ca="1" si="20"/>
        <v>—</v>
      </c>
      <c r="K208" s="94"/>
    </row>
  </sheetData>
  <mergeCells count="12">
    <mergeCell ref="A7:L7"/>
    <mergeCell ref="A4:C4"/>
    <mergeCell ref="D4:F4"/>
    <mergeCell ref="G4:I4"/>
    <mergeCell ref="J4:L4"/>
    <mergeCell ref="A5:L5"/>
    <mergeCell ref="A1:L1"/>
    <mergeCell ref="A2:L2"/>
    <mergeCell ref="A3:C3"/>
    <mergeCell ref="D3:F3"/>
    <mergeCell ref="G3:I3"/>
    <mergeCell ref="J3:L3"/>
  </mergeCells>
  <conditionalFormatting sqref="H9:H208">
    <cfRule type="cellIs" dxfId="22" priority="2" operator="equal">
      <formula>"Saved"</formula>
    </cfRule>
    <cfRule type="cellIs" dxfId="21" priority="3" operator="equal">
      <formula>"Pending"</formula>
    </cfRule>
  </conditionalFormatting>
  <conditionalFormatting sqref="A9:J208">
    <cfRule type="expression" dxfId="20" priority="4">
      <formula>$H9="Saved"</formula>
    </cfRule>
  </conditionalFormatting>
  <dataValidations count="2">
    <dataValidation type="decimal" operator="greaterThan" showErrorMessage="1" error="Must be &gt; 0" sqref="E9:E208" xr:uid="{00000000-0002-0000-1D00-000000000000}">
      <formula1>0</formula1>
      <formula2>0</formula2>
    </dataValidation>
    <dataValidation type="list" sqref="G9:G208" xr:uid="{00000000-0002-0000-1D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tabColor rgb="FFC0392B"/>
  </sheetPr>
  <dimension ref="A1:M208"/>
  <sheetViews>
    <sheetView zoomScaleNormal="100" workbookViewId="0">
      <pane ySplit="8" topLeftCell="A9" activePane="bottomLeft" state="frozen"/>
      <selection pane="bottomLeft"/>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5" customWidth="1"/>
    <col min="8" max="8" width="12" customWidth="1"/>
    <col min="9" max="9" width="14" customWidth="1"/>
    <col min="10" max="10" width="22" customWidth="1"/>
    <col min="11" max="11" width="20" customWidth="1"/>
  </cols>
  <sheetData>
    <row r="1" spans="1:13" ht="31.5" customHeight="1" x14ac:dyDescent="0.25">
      <c r="A1" s="210" t="s">
        <v>232</v>
      </c>
      <c r="B1" s="210"/>
      <c r="C1" s="210"/>
      <c r="D1" s="210"/>
      <c r="E1" s="210"/>
      <c r="F1" s="210"/>
      <c r="G1" s="210"/>
      <c r="H1" s="210"/>
      <c r="I1" s="210"/>
      <c r="J1" s="210"/>
      <c r="K1" s="210"/>
      <c r="L1" s="210"/>
      <c r="M1" s="210"/>
    </row>
    <row r="2" spans="1:13" ht="19.5" customHeight="1" x14ac:dyDescent="0.25">
      <c r="A2" s="211" t="s">
        <v>233</v>
      </c>
      <c r="B2" s="211"/>
      <c r="C2" s="211"/>
      <c r="D2" s="211"/>
      <c r="E2" s="211"/>
      <c r="F2" s="211"/>
      <c r="G2" s="211"/>
      <c r="H2" s="211"/>
      <c r="I2" s="211"/>
      <c r="J2" s="211"/>
      <c r="K2" s="211"/>
      <c r="L2" s="211"/>
      <c r="M2" s="211"/>
    </row>
    <row r="3" spans="1:13" ht="18" customHeight="1" x14ac:dyDescent="0.25">
      <c r="A3" s="178" t="s">
        <v>180</v>
      </c>
      <c r="B3" s="178"/>
      <c r="C3" s="178"/>
      <c r="D3" s="177" t="s">
        <v>181</v>
      </c>
      <c r="E3" s="177"/>
      <c r="F3" s="177"/>
      <c r="G3" s="19" t="s">
        <v>182</v>
      </c>
      <c r="K3" s="48" t="s">
        <v>169</v>
      </c>
    </row>
    <row r="4" spans="1:13" ht="27.75" customHeight="1" x14ac:dyDescent="0.25">
      <c r="A4" s="212">
        <f ca="1">SUMIFS(DB_Withdrawals!$G:$G,DB_Withdrawals!$J:$J,"Agent 09",DB_Withdrawals!$F:$F,TODAY())</f>
        <v>0</v>
      </c>
      <c r="B4" s="212"/>
      <c r="C4" s="212"/>
      <c r="D4" s="213">
        <f ca="1">COUNTIFS(DB_Withdrawals!$J:$J,"Agent 09",DB_Withdrawals!$K:$K,"Successful",DB_Withdrawals!$F:$F,TODAY())</f>
        <v>0</v>
      </c>
      <c r="E4" s="213"/>
      <c r="F4" s="213"/>
      <c r="G4" s="95">
        <f ca="1">COUNTIFS(DB_Withdrawals!$J:$J,"Agent 09",DB_Withdrawals!$K:$K,"Unsuccessful",DB_Withdrawals!$F:$F,TODAY())</f>
        <v>0</v>
      </c>
      <c r="K4" s="77" t="str">
        <f ca="1">TEXT(TODAY(),"DD MMM YYYY")</f>
        <v>19 Apr 2026</v>
      </c>
    </row>
    <row r="5" spans="1:13" ht="19.5" customHeight="1" x14ac:dyDescent="0.25">
      <c r="A5" s="214" t="s">
        <v>183</v>
      </c>
      <c r="B5" s="214"/>
      <c r="C5" s="214"/>
      <c r="D5" s="214"/>
      <c r="E5" s="214"/>
      <c r="F5" s="214"/>
      <c r="G5" s="214"/>
      <c r="H5" s="214"/>
      <c r="I5" s="214"/>
      <c r="J5" s="214"/>
      <c r="K5" s="214"/>
      <c r="L5" s="214"/>
      <c r="M5" s="214"/>
    </row>
    <row r="6" spans="1:13" ht="7.5" customHeight="1" x14ac:dyDescent="0.25"/>
    <row r="7" spans="1:13" ht="19.5" customHeight="1" x14ac:dyDescent="0.25">
      <c r="A7" s="215" t="s">
        <v>184</v>
      </c>
      <c r="B7" s="215"/>
      <c r="C7" s="215"/>
      <c r="D7" s="215"/>
      <c r="E7" s="215"/>
      <c r="F7" s="215"/>
      <c r="G7" s="215"/>
      <c r="H7" s="215"/>
      <c r="I7" s="215"/>
      <c r="J7" s="215"/>
      <c r="K7" s="215"/>
      <c r="L7" s="215"/>
      <c r="M7" s="215"/>
    </row>
    <row r="8" spans="1:13" ht="19.5" customHeight="1" x14ac:dyDescent="0.25">
      <c r="A8" s="96" t="s">
        <v>171</v>
      </c>
      <c r="B8" s="96" t="s">
        <v>118</v>
      </c>
      <c r="C8" s="96" t="s">
        <v>185</v>
      </c>
      <c r="D8" s="96" t="s">
        <v>111</v>
      </c>
      <c r="E8" s="96" t="s">
        <v>186</v>
      </c>
      <c r="F8" s="96" t="s">
        <v>187</v>
      </c>
      <c r="G8" s="96" t="s">
        <v>174</v>
      </c>
      <c r="H8" s="96" t="s">
        <v>32</v>
      </c>
      <c r="I8" s="78" t="s">
        <v>175</v>
      </c>
      <c r="J8" s="96" t="s">
        <v>155</v>
      </c>
      <c r="K8" s="96" t="s">
        <v>176</v>
      </c>
      <c r="L8" s="96" t="s">
        <v>177</v>
      </c>
    </row>
    <row r="9" spans="1:13" x14ac:dyDescent="0.25">
      <c r="A9" s="79"/>
      <c r="B9" s="21" t="str">
        <f>IF(A9="","",IFERROR(VLOOKUP(A9,DB_Customers!$A:$D,4,0),"❌ Account Not Found"))</f>
        <v/>
      </c>
      <c r="C9" s="80" t="str">
        <f>IF(A9="","",IFERROR(VLOOKUP(A9,DB_Customers!$A:$N,14,0),""))</f>
        <v/>
      </c>
      <c r="D9" s="81" t="str">
        <f t="shared" ref="D9:D40" ca="1" si="0">IF(A9="","",TODAY())</f>
        <v/>
      </c>
      <c r="E9" s="97"/>
      <c r="F9" s="21"/>
      <c r="G9" s="98" t="str">
        <f t="shared" ref="G9:G40" si="1">IF(OR(A9="",E9=""),"",IF(C9="","",C9-E9))</f>
        <v/>
      </c>
      <c r="H9" s="23" t="s">
        <v>49</v>
      </c>
      <c r="I9" s="84"/>
      <c r="J9" s="85" t="str">
        <f>IF(AND(A9&lt;&gt;"",E9&lt;&gt;""),IF(I9="","⚠️ Enter Code",IF(IFERROR(VLOOKUP(H9,DB_Agents!$B:$I,8,0),"")=I9,IF(C9&gt;=E9,"Successful","Unsuccessful"),"🔒 BLOCKED — Wrong Code")),"—")</f>
        <v>—</v>
      </c>
      <c r="K9" s="86" t="str">
        <f t="shared" ref="K9:K40" ca="1" si="2">IF(J9="Successful",TEXT(TODAY(),"YYYY-MM-DD")&amp;" Auto","—")</f>
        <v>—</v>
      </c>
      <c r="L9" s="87"/>
    </row>
    <row r="10" spans="1:13" x14ac:dyDescent="0.25">
      <c r="A10" s="88"/>
      <c r="B10" s="25" t="str">
        <f>IF(A10="","",IFERROR(VLOOKUP(A10,DB_Customers!$A:$D,4,0),"❌ Account Not Found"))</f>
        <v/>
      </c>
      <c r="C10" s="89" t="str">
        <f>IF(A10="","",IFERROR(VLOOKUP(A10,DB_Customers!$A:$N,14,0),""))</f>
        <v/>
      </c>
      <c r="D10" s="90" t="str">
        <f t="shared" ca="1" si="0"/>
        <v/>
      </c>
      <c r="E10" s="97"/>
      <c r="F10" s="25"/>
      <c r="G10" s="99" t="str">
        <f t="shared" si="1"/>
        <v/>
      </c>
      <c r="H10" s="27" t="s">
        <v>49</v>
      </c>
      <c r="I10" s="84"/>
      <c r="J10" s="92" t="str">
        <f>IF(AND(A10&lt;&gt;"",E10&lt;&gt;""),IF(I10="","⚠️ Enter Code",IF(IFERROR(VLOOKUP(H10,DB_Agents!$B:$I,8,0),"")=I10,IF(C10&gt;=E10,"Successful","Unsuccessful"),"🔒 BLOCKED — Wrong Code")),"—")</f>
        <v>—</v>
      </c>
      <c r="K10" s="93" t="str">
        <f t="shared" ca="1" si="2"/>
        <v>—</v>
      </c>
      <c r="L10" s="94"/>
    </row>
    <row r="11" spans="1:13" x14ac:dyDescent="0.25">
      <c r="A11" s="79"/>
      <c r="B11" s="21" t="str">
        <f>IF(A11="","",IFERROR(VLOOKUP(A11,DB_Customers!$A:$D,4,0),"❌ Account Not Found"))</f>
        <v/>
      </c>
      <c r="C11" s="80" t="str">
        <f>IF(A11="","",IFERROR(VLOOKUP(A11,DB_Customers!$A:$N,14,0),""))</f>
        <v/>
      </c>
      <c r="D11" s="81" t="str">
        <f t="shared" ca="1" si="0"/>
        <v/>
      </c>
      <c r="E11" s="97"/>
      <c r="F11" s="21"/>
      <c r="G11" s="98" t="str">
        <f t="shared" si="1"/>
        <v/>
      </c>
      <c r="H11" s="23" t="s">
        <v>49</v>
      </c>
      <c r="I11" s="84"/>
      <c r="J11" s="85" t="str">
        <f>IF(AND(A11&lt;&gt;"",E11&lt;&gt;""),IF(I11="","⚠️ Enter Code",IF(IFERROR(VLOOKUP(H11,DB_Agents!$B:$I,8,0),"")=I11,IF(C11&gt;=E11,"Successful","Unsuccessful"),"🔒 BLOCKED — Wrong Code")),"—")</f>
        <v>—</v>
      </c>
      <c r="K11" s="86" t="str">
        <f t="shared" ca="1" si="2"/>
        <v>—</v>
      </c>
      <c r="L11" s="87"/>
    </row>
    <row r="12" spans="1:13" x14ac:dyDescent="0.25">
      <c r="A12" s="88"/>
      <c r="B12" s="25" t="str">
        <f>IF(A12="","",IFERROR(VLOOKUP(A12,DB_Customers!$A:$D,4,0),"❌ Account Not Found"))</f>
        <v/>
      </c>
      <c r="C12" s="89" t="str">
        <f>IF(A12="","",IFERROR(VLOOKUP(A12,DB_Customers!$A:$N,14,0),""))</f>
        <v/>
      </c>
      <c r="D12" s="90" t="str">
        <f t="shared" ca="1" si="0"/>
        <v/>
      </c>
      <c r="E12" s="97"/>
      <c r="F12" s="25"/>
      <c r="G12" s="99" t="str">
        <f t="shared" si="1"/>
        <v/>
      </c>
      <c r="H12" s="27" t="s">
        <v>49</v>
      </c>
      <c r="I12" s="84"/>
      <c r="J12" s="92" t="str">
        <f>IF(AND(A12&lt;&gt;"",E12&lt;&gt;""),IF(I12="","⚠️ Enter Code",IF(IFERROR(VLOOKUP(H12,DB_Agents!$B:$I,8,0),"")=I12,IF(C12&gt;=E12,"Successful","Unsuccessful"),"🔒 BLOCKED — Wrong Code")),"—")</f>
        <v>—</v>
      </c>
      <c r="K12" s="93" t="str">
        <f t="shared" ca="1" si="2"/>
        <v>—</v>
      </c>
      <c r="L12" s="94"/>
    </row>
    <row r="13" spans="1:13" x14ac:dyDescent="0.25">
      <c r="A13" s="79"/>
      <c r="B13" s="21" t="str">
        <f>IF(A13="","",IFERROR(VLOOKUP(A13,DB_Customers!$A:$D,4,0),"❌ Account Not Found"))</f>
        <v/>
      </c>
      <c r="C13" s="80" t="str">
        <f>IF(A13="","",IFERROR(VLOOKUP(A13,DB_Customers!$A:$N,14,0),""))</f>
        <v/>
      </c>
      <c r="D13" s="81" t="str">
        <f t="shared" ca="1" si="0"/>
        <v/>
      </c>
      <c r="E13" s="97"/>
      <c r="F13" s="21"/>
      <c r="G13" s="98" t="str">
        <f t="shared" si="1"/>
        <v/>
      </c>
      <c r="H13" s="23" t="s">
        <v>49</v>
      </c>
      <c r="I13" s="84"/>
      <c r="J13" s="85" t="str">
        <f>IF(AND(A13&lt;&gt;"",E13&lt;&gt;""),IF(I13="","⚠️ Enter Code",IF(IFERROR(VLOOKUP(H13,DB_Agents!$B:$I,8,0),"")=I13,IF(C13&gt;=E13,"Successful","Unsuccessful"),"🔒 BLOCKED — Wrong Code")),"—")</f>
        <v>—</v>
      </c>
      <c r="K13" s="86" t="str">
        <f t="shared" ca="1" si="2"/>
        <v>—</v>
      </c>
      <c r="L13" s="87"/>
    </row>
    <row r="14" spans="1:13" x14ac:dyDescent="0.25">
      <c r="A14" s="88"/>
      <c r="B14" s="25" t="str">
        <f>IF(A14="","",IFERROR(VLOOKUP(A14,DB_Customers!$A:$D,4,0),"❌ Account Not Found"))</f>
        <v/>
      </c>
      <c r="C14" s="89" t="str">
        <f>IF(A14="","",IFERROR(VLOOKUP(A14,DB_Customers!$A:$N,14,0),""))</f>
        <v/>
      </c>
      <c r="D14" s="90" t="str">
        <f t="shared" ca="1" si="0"/>
        <v/>
      </c>
      <c r="E14" s="97"/>
      <c r="F14" s="25"/>
      <c r="G14" s="99" t="str">
        <f t="shared" si="1"/>
        <v/>
      </c>
      <c r="H14" s="27"/>
      <c r="I14" s="84"/>
      <c r="J14" s="92" t="str">
        <f>IF(AND(A14&lt;&gt;"",E14&lt;&gt;""),IF(I14="","⚠️ Enter Code",IF(IFERROR(VLOOKUP(H14,DB_Agents!$B:$I,8,0),"")=I14,IF(C14&gt;=E14,"Successful","Unsuccessful"),"🔒 BLOCKED — Wrong Code")),"—")</f>
        <v>—</v>
      </c>
      <c r="K14" s="93" t="str">
        <f t="shared" ca="1" si="2"/>
        <v>—</v>
      </c>
      <c r="L14" s="94"/>
    </row>
    <row r="15" spans="1:13" x14ac:dyDescent="0.25">
      <c r="A15" s="79"/>
      <c r="B15" s="21" t="str">
        <f>IF(A15="","",IFERROR(VLOOKUP(A15,DB_Customers!$A:$D,4,0),"❌ Account Not Found"))</f>
        <v/>
      </c>
      <c r="C15" s="80" t="str">
        <f>IF(A15="","",IFERROR(VLOOKUP(A15,DB_Customers!$A:$N,14,0),""))</f>
        <v/>
      </c>
      <c r="D15" s="81" t="str">
        <f t="shared" ca="1" si="0"/>
        <v/>
      </c>
      <c r="E15" s="97"/>
      <c r="F15" s="21"/>
      <c r="G15" s="98" t="str">
        <f t="shared" si="1"/>
        <v/>
      </c>
      <c r="H15" s="23"/>
      <c r="I15" s="84"/>
      <c r="J15" s="85" t="str">
        <f>IF(AND(A15&lt;&gt;"",E15&lt;&gt;""),IF(I15="","⚠️ Enter Code",IF(IFERROR(VLOOKUP(H15,DB_Agents!$B:$I,8,0),"")=I15,IF(C15&gt;=E15,"Successful","Unsuccessful"),"🔒 BLOCKED — Wrong Code")),"—")</f>
        <v>—</v>
      </c>
      <c r="K15" s="86" t="str">
        <f t="shared" ca="1" si="2"/>
        <v>—</v>
      </c>
      <c r="L15" s="87"/>
    </row>
    <row r="16" spans="1:13" x14ac:dyDescent="0.25">
      <c r="A16" s="88"/>
      <c r="B16" s="25" t="str">
        <f>IF(A16="","",IFERROR(VLOOKUP(A16,DB_Customers!$A:$D,4,0),"❌ Account Not Found"))</f>
        <v/>
      </c>
      <c r="C16" s="89" t="str">
        <f>IF(A16="","",IFERROR(VLOOKUP(A16,DB_Customers!$A:$N,14,0),""))</f>
        <v/>
      </c>
      <c r="D16" s="90" t="str">
        <f t="shared" ca="1" si="0"/>
        <v/>
      </c>
      <c r="E16" s="97"/>
      <c r="F16" s="25"/>
      <c r="G16" s="99" t="str">
        <f t="shared" si="1"/>
        <v/>
      </c>
      <c r="H16" s="27"/>
      <c r="I16" s="84"/>
      <c r="J16" s="92" t="str">
        <f>IF(AND(A16&lt;&gt;"",E16&lt;&gt;""),IF(I16="","⚠️ Enter Code",IF(IFERROR(VLOOKUP(H16,DB_Agents!$B:$I,8,0),"")=I16,IF(C16&gt;=E16,"Successful","Unsuccessful"),"🔒 BLOCKED — Wrong Code")),"—")</f>
        <v>—</v>
      </c>
      <c r="K16" s="93" t="str">
        <f t="shared" ca="1" si="2"/>
        <v>—</v>
      </c>
      <c r="L16" s="94"/>
    </row>
    <row r="17" spans="1:12" x14ac:dyDescent="0.25">
      <c r="A17" s="79"/>
      <c r="B17" s="21" t="str">
        <f>IF(A17="","",IFERROR(VLOOKUP(A17,DB_Customers!$A:$D,4,0),"❌ Account Not Found"))</f>
        <v/>
      </c>
      <c r="C17" s="80" t="str">
        <f>IF(A17="","",IFERROR(VLOOKUP(A17,DB_Customers!$A:$N,14,0),""))</f>
        <v/>
      </c>
      <c r="D17" s="81" t="str">
        <f t="shared" ca="1" si="0"/>
        <v/>
      </c>
      <c r="E17" s="97"/>
      <c r="F17" s="21"/>
      <c r="G17" s="98" t="str">
        <f t="shared" si="1"/>
        <v/>
      </c>
      <c r="H17" s="23"/>
      <c r="I17" s="84"/>
      <c r="J17" s="85" t="str">
        <f>IF(AND(A17&lt;&gt;"",E17&lt;&gt;""),IF(I17="","⚠️ Enter Code",IF(IFERROR(VLOOKUP(H17,DB_Agents!$B:$I,8,0),"")=I17,IF(C17&gt;=E17,"Successful","Unsuccessful"),"🔒 BLOCKED — Wrong Code")),"—")</f>
        <v>—</v>
      </c>
      <c r="K17" s="86" t="str">
        <f t="shared" ca="1" si="2"/>
        <v>—</v>
      </c>
      <c r="L17" s="87"/>
    </row>
    <row r="18" spans="1:12" x14ac:dyDescent="0.25">
      <c r="A18" s="88"/>
      <c r="B18" s="25" t="str">
        <f>IF(A18="","",IFERROR(VLOOKUP(A18,DB_Customers!$A:$D,4,0),"❌ Account Not Found"))</f>
        <v/>
      </c>
      <c r="C18" s="89" t="str">
        <f>IF(A18="","",IFERROR(VLOOKUP(A18,DB_Customers!$A:$N,14,0),""))</f>
        <v/>
      </c>
      <c r="D18" s="90" t="str">
        <f t="shared" ca="1" si="0"/>
        <v/>
      </c>
      <c r="E18" s="97"/>
      <c r="F18" s="25"/>
      <c r="G18" s="99" t="str">
        <f t="shared" si="1"/>
        <v/>
      </c>
      <c r="H18" s="27"/>
      <c r="I18" s="84"/>
      <c r="J18" s="92" t="str">
        <f>IF(AND(A18&lt;&gt;"",E18&lt;&gt;""),IF(I18="","⚠️ Enter Code",IF(IFERROR(VLOOKUP(H18,DB_Agents!$B:$I,8,0),"")=I18,IF(C18&gt;=E18,"Successful","Unsuccessful"),"🔒 BLOCKED — Wrong Code")),"—")</f>
        <v>—</v>
      </c>
      <c r="K18" s="93" t="str">
        <f t="shared" ca="1" si="2"/>
        <v>—</v>
      </c>
      <c r="L18" s="94"/>
    </row>
    <row r="19" spans="1:12" x14ac:dyDescent="0.25">
      <c r="A19" s="79"/>
      <c r="B19" s="21" t="str">
        <f>IF(A19="","",IFERROR(VLOOKUP(A19,DB_Customers!$A:$D,4,0),"❌ Account Not Found"))</f>
        <v/>
      </c>
      <c r="C19" s="80" t="str">
        <f>IF(A19="","",IFERROR(VLOOKUP(A19,DB_Customers!$A:$N,14,0),""))</f>
        <v/>
      </c>
      <c r="D19" s="81" t="str">
        <f t="shared" ca="1" si="0"/>
        <v/>
      </c>
      <c r="E19" s="97"/>
      <c r="F19" s="21"/>
      <c r="G19" s="98" t="str">
        <f t="shared" si="1"/>
        <v/>
      </c>
      <c r="H19" s="23"/>
      <c r="I19" s="84"/>
      <c r="J19" s="85" t="str">
        <f>IF(AND(A19&lt;&gt;"",E19&lt;&gt;""),IF(I19="","⚠️ Enter Code",IF(IFERROR(VLOOKUP(H19,DB_Agents!$B:$I,8,0),"")=I19,IF(C19&gt;=E19,"Successful","Unsuccessful"),"🔒 BLOCKED — Wrong Code")),"—")</f>
        <v>—</v>
      </c>
      <c r="K19" s="86" t="str">
        <f t="shared" ca="1" si="2"/>
        <v>—</v>
      </c>
      <c r="L19" s="87"/>
    </row>
    <row r="20" spans="1:12" x14ac:dyDescent="0.25">
      <c r="A20" s="88"/>
      <c r="B20" s="25" t="str">
        <f>IF(A20="","",IFERROR(VLOOKUP(A20,DB_Customers!$A:$D,4,0),"❌ Account Not Found"))</f>
        <v/>
      </c>
      <c r="C20" s="89" t="str">
        <f>IF(A20="","",IFERROR(VLOOKUP(A20,DB_Customers!$A:$N,14,0),""))</f>
        <v/>
      </c>
      <c r="D20" s="90" t="str">
        <f t="shared" ca="1" si="0"/>
        <v/>
      </c>
      <c r="E20" s="97"/>
      <c r="F20" s="25"/>
      <c r="G20" s="99" t="str">
        <f t="shared" si="1"/>
        <v/>
      </c>
      <c r="H20" s="27"/>
      <c r="I20" s="84"/>
      <c r="J20" s="92" t="str">
        <f>IF(AND(A20&lt;&gt;"",E20&lt;&gt;""),IF(I20="","⚠️ Enter Code",IF(IFERROR(VLOOKUP(H20,DB_Agents!$B:$I,8,0),"")=I20,IF(C20&gt;=E20,"Successful","Unsuccessful"),"🔒 BLOCKED — Wrong Code")),"—")</f>
        <v>—</v>
      </c>
      <c r="K20" s="93" t="str">
        <f t="shared" ca="1" si="2"/>
        <v>—</v>
      </c>
      <c r="L20" s="94"/>
    </row>
    <row r="21" spans="1:12" x14ac:dyDescent="0.25">
      <c r="A21" s="79"/>
      <c r="B21" s="21" t="str">
        <f>IF(A21="","",IFERROR(VLOOKUP(A21,DB_Customers!$A:$D,4,0),"❌ Account Not Found"))</f>
        <v/>
      </c>
      <c r="C21" s="80" t="str">
        <f>IF(A21="","",IFERROR(VLOOKUP(A21,DB_Customers!$A:$N,14,0),""))</f>
        <v/>
      </c>
      <c r="D21" s="81" t="str">
        <f t="shared" ca="1" si="0"/>
        <v/>
      </c>
      <c r="E21" s="97"/>
      <c r="F21" s="21"/>
      <c r="G21" s="98" t="str">
        <f t="shared" si="1"/>
        <v/>
      </c>
      <c r="H21" s="23"/>
      <c r="I21" s="84"/>
      <c r="J21" s="85" t="str">
        <f>IF(AND(A21&lt;&gt;"",E21&lt;&gt;""),IF(I21="","⚠️ Enter Code",IF(IFERROR(VLOOKUP(H21,DB_Agents!$B:$I,8,0),"")=I21,IF(C21&gt;=E21,"Successful","Unsuccessful"),"🔒 BLOCKED — Wrong Code")),"—")</f>
        <v>—</v>
      </c>
      <c r="K21" s="86" t="str">
        <f t="shared" ca="1" si="2"/>
        <v>—</v>
      </c>
      <c r="L21" s="87"/>
    </row>
    <row r="22" spans="1:12" x14ac:dyDescent="0.25">
      <c r="A22" s="88"/>
      <c r="B22" s="25" t="str">
        <f>IF(A22="","",IFERROR(VLOOKUP(A22,DB_Customers!$A:$D,4,0),"❌ Account Not Found"))</f>
        <v/>
      </c>
      <c r="C22" s="89" t="str">
        <f>IF(A22="","",IFERROR(VLOOKUP(A22,DB_Customers!$A:$N,14,0),""))</f>
        <v/>
      </c>
      <c r="D22" s="90" t="str">
        <f t="shared" ca="1" si="0"/>
        <v/>
      </c>
      <c r="E22" s="97"/>
      <c r="F22" s="25"/>
      <c r="G22" s="99" t="str">
        <f t="shared" si="1"/>
        <v/>
      </c>
      <c r="H22" s="27"/>
      <c r="I22" s="84"/>
      <c r="J22" s="92" t="str">
        <f>IF(AND(A22&lt;&gt;"",E22&lt;&gt;""),IF(I22="","⚠️ Enter Code",IF(IFERROR(VLOOKUP(H22,DB_Agents!$B:$I,8,0),"")=I22,IF(C22&gt;=E22,"Successful","Unsuccessful"),"🔒 BLOCKED — Wrong Code")),"—")</f>
        <v>—</v>
      </c>
      <c r="K22" s="93" t="str">
        <f t="shared" ca="1" si="2"/>
        <v>—</v>
      </c>
      <c r="L22" s="94"/>
    </row>
    <row r="23" spans="1:12" x14ac:dyDescent="0.25">
      <c r="A23" s="79"/>
      <c r="B23" s="21" t="str">
        <f>IF(A23="","",IFERROR(VLOOKUP(A23,DB_Customers!$A:$D,4,0),"❌ Account Not Found"))</f>
        <v/>
      </c>
      <c r="C23" s="80" t="str">
        <f>IF(A23="","",IFERROR(VLOOKUP(A23,DB_Customers!$A:$N,14,0),""))</f>
        <v/>
      </c>
      <c r="D23" s="81" t="str">
        <f t="shared" ca="1" si="0"/>
        <v/>
      </c>
      <c r="E23" s="97"/>
      <c r="F23" s="21"/>
      <c r="G23" s="98" t="str">
        <f t="shared" si="1"/>
        <v/>
      </c>
      <c r="H23" s="23"/>
      <c r="I23" s="84"/>
      <c r="J23" s="85" t="str">
        <f>IF(AND(A23&lt;&gt;"",E23&lt;&gt;""),IF(I23="","⚠️ Enter Code",IF(IFERROR(VLOOKUP(H23,DB_Agents!$B:$I,8,0),"")=I23,IF(C23&gt;=E23,"Successful","Unsuccessful"),"🔒 BLOCKED — Wrong Code")),"—")</f>
        <v>—</v>
      </c>
      <c r="K23" s="86" t="str">
        <f t="shared" ca="1" si="2"/>
        <v>—</v>
      </c>
      <c r="L23" s="87"/>
    </row>
    <row r="24" spans="1:12" x14ac:dyDescent="0.25">
      <c r="A24" s="88"/>
      <c r="B24" s="25" t="str">
        <f>IF(A24="","",IFERROR(VLOOKUP(A24,DB_Customers!$A:$D,4,0),"❌ Account Not Found"))</f>
        <v/>
      </c>
      <c r="C24" s="89" t="str">
        <f>IF(A24="","",IFERROR(VLOOKUP(A24,DB_Customers!$A:$N,14,0),""))</f>
        <v/>
      </c>
      <c r="D24" s="90" t="str">
        <f t="shared" ca="1" si="0"/>
        <v/>
      </c>
      <c r="E24" s="97"/>
      <c r="F24" s="25"/>
      <c r="G24" s="99" t="str">
        <f t="shared" si="1"/>
        <v/>
      </c>
      <c r="H24" s="27"/>
      <c r="I24" s="84"/>
      <c r="J24" s="92" t="str">
        <f>IF(AND(A24&lt;&gt;"",E24&lt;&gt;""),IF(I24="","⚠️ Enter Code",IF(IFERROR(VLOOKUP(H24,DB_Agents!$B:$I,8,0),"")=I24,IF(C24&gt;=E24,"Successful","Unsuccessful"),"🔒 BLOCKED — Wrong Code")),"—")</f>
        <v>—</v>
      </c>
      <c r="K24" s="93" t="str">
        <f t="shared" ca="1" si="2"/>
        <v>—</v>
      </c>
      <c r="L24" s="94"/>
    </row>
    <row r="25" spans="1:12" x14ac:dyDescent="0.25">
      <c r="A25" s="79"/>
      <c r="B25" s="21" t="str">
        <f>IF(A25="","",IFERROR(VLOOKUP(A25,DB_Customers!$A:$D,4,0),"❌ Account Not Found"))</f>
        <v/>
      </c>
      <c r="C25" s="80" t="str">
        <f>IF(A25="","",IFERROR(VLOOKUP(A25,DB_Customers!$A:$N,14,0),""))</f>
        <v/>
      </c>
      <c r="D25" s="81" t="str">
        <f t="shared" ca="1" si="0"/>
        <v/>
      </c>
      <c r="E25" s="97"/>
      <c r="F25" s="21"/>
      <c r="G25" s="98" t="str">
        <f t="shared" si="1"/>
        <v/>
      </c>
      <c r="H25" s="23"/>
      <c r="I25" s="84"/>
      <c r="J25" s="85" t="str">
        <f>IF(AND(A25&lt;&gt;"",E25&lt;&gt;""),IF(I25="","⚠️ Enter Code",IF(IFERROR(VLOOKUP(H25,DB_Agents!$B:$I,8,0),"")=I25,IF(C25&gt;=E25,"Successful","Unsuccessful"),"🔒 BLOCKED — Wrong Code")),"—")</f>
        <v>—</v>
      </c>
      <c r="K25" s="86" t="str">
        <f t="shared" ca="1" si="2"/>
        <v>—</v>
      </c>
      <c r="L25" s="87"/>
    </row>
    <row r="26" spans="1:12" x14ac:dyDescent="0.25">
      <c r="A26" s="88"/>
      <c r="B26" s="25" t="str">
        <f>IF(A26="","",IFERROR(VLOOKUP(A26,DB_Customers!$A:$D,4,0),"❌ Account Not Found"))</f>
        <v/>
      </c>
      <c r="C26" s="89" t="str">
        <f>IF(A26="","",IFERROR(VLOOKUP(A26,DB_Customers!$A:$N,14,0),""))</f>
        <v/>
      </c>
      <c r="D26" s="90" t="str">
        <f t="shared" ca="1" si="0"/>
        <v/>
      </c>
      <c r="E26" s="97"/>
      <c r="F26" s="25"/>
      <c r="G26" s="99" t="str">
        <f t="shared" si="1"/>
        <v/>
      </c>
      <c r="H26" s="27"/>
      <c r="I26" s="84"/>
      <c r="J26" s="92" t="str">
        <f>IF(AND(A26&lt;&gt;"",E26&lt;&gt;""),IF(I26="","⚠️ Enter Code",IF(IFERROR(VLOOKUP(H26,DB_Agents!$B:$I,8,0),"")=I26,IF(C26&gt;=E26,"Successful","Unsuccessful"),"🔒 BLOCKED — Wrong Code")),"—")</f>
        <v>—</v>
      </c>
      <c r="K26" s="93" t="str">
        <f t="shared" ca="1" si="2"/>
        <v>—</v>
      </c>
      <c r="L26" s="94"/>
    </row>
    <row r="27" spans="1:12" x14ac:dyDescent="0.25">
      <c r="A27" s="79"/>
      <c r="B27" s="21" t="str">
        <f>IF(A27="","",IFERROR(VLOOKUP(A27,DB_Customers!$A:$D,4,0),"❌ Account Not Found"))</f>
        <v/>
      </c>
      <c r="C27" s="80" t="str">
        <f>IF(A27="","",IFERROR(VLOOKUP(A27,DB_Customers!$A:$N,14,0),""))</f>
        <v/>
      </c>
      <c r="D27" s="81" t="str">
        <f t="shared" ca="1" si="0"/>
        <v/>
      </c>
      <c r="E27" s="97"/>
      <c r="F27" s="21"/>
      <c r="G27" s="98" t="str">
        <f t="shared" si="1"/>
        <v/>
      </c>
      <c r="H27" s="23"/>
      <c r="I27" s="84"/>
      <c r="J27" s="85" t="str">
        <f>IF(AND(A27&lt;&gt;"",E27&lt;&gt;""),IF(I27="","⚠️ Enter Code",IF(IFERROR(VLOOKUP(H27,DB_Agents!$B:$I,8,0),"")=I27,IF(C27&gt;=E27,"Successful","Unsuccessful"),"🔒 BLOCKED — Wrong Code")),"—")</f>
        <v>—</v>
      </c>
      <c r="K27" s="86" t="str">
        <f t="shared" ca="1" si="2"/>
        <v>—</v>
      </c>
      <c r="L27" s="87"/>
    </row>
    <row r="28" spans="1:12" x14ac:dyDescent="0.25">
      <c r="A28" s="88"/>
      <c r="B28" s="25" t="str">
        <f>IF(A28="","",IFERROR(VLOOKUP(A28,DB_Customers!$A:$D,4,0),"❌ Account Not Found"))</f>
        <v/>
      </c>
      <c r="C28" s="89" t="str">
        <f>IF(A28="","",IFERROR(VLOOKUP(A28,DB_Customers!$A:$N,14,0),""))</f>
        <v/>
      </c>
      <c r="D28" s="90" t="str">
        <f t="shared" ca="1" si="0"/>
        <v/>
      </c>
      <c r="E28" s="97"/>
      <c r="F28" s="25"/>
      <c r="G28" s="99" t="str">
        <f t="shared" si="1"/>
        <v/>
      </c>
      <c r="H28" s="27"/>
      <c r="I28" s="84"/>
      <c r="J28" s="92" t="str">
        <f>IF(AND(A28&lt;&gt;"",E28&lt;&gt;""),IF(I28="","⚠️ Enter Code",IF(IFERROR(VLOOKUP(H28,DB_Agents!$B:$I,8,0),"")=I28,IF(C28&gt;=E28,"Successful","Unsuccessful"),"🔒 BLOCKED — Wrong Code")),"—")</f>
        <v>—</v>
      </c>
      <c r="K28" s="93" t="str">
        <f t="shared" ca="1" si="2"/>
        <v>—</v>
      </c>
      <c r="L28" s="94"/>
    </row>
    <row r="29" spans="1:12" x14ac:dyDescent="0.25">
      <c r="A29" s="79"/>
      <c r="B29" s="21" t="str">
        <f>IF(A29="","",IFERROR(VLOOKUP(A29,DB_Customers!$A:$D,4,0),"❌ Account Not Found"))</f>
        <v/>
      </c>
      <c r="C29" s="80" t="str">
        <f>IF(A29="","",IFERROR(VLOOKUP(A29,DB_Customers!$A:$N,14,0),""))</f>
        <v/>
      </c>
      <c r="D29" s="81" t="str">
        <f t="shared" ca="1" si="0"/>
        <v/>
      </c>
      <c r="E29" s="97"/>
      <c r="F29" s="21"/>
      <c r="G29" s="98" t="str">
        <f t="shared" si="1"/>
        <v/>
      </c>
      <c r="H29" s="23"/>
      <c r="I29" s="84"/>
      <c r="J29" s="85" t="str">
        <f>IF(AND(A29&lt;&gt;"",E29&lt;&gt;""),IF(I29="","⚠️ Enter Code",IF(IFERROR(VLOOKUP(H29,DB_Agents!$B:$I,8,0),"")=I29,IF(C29&gt;=E29,"Successful","Unsuccessful"),"🔒 BLOCKED — Wrong Code")),"—")</f>
        <v>—</v>
      </c>
      <c r="K29" s="86" t="str">
        <f t="shared" ca="1" si="2"/>
        <v>—</v>
      </c>
      <c r="L29" s="87"/>
    </row>
    <row r="30" spans="1:12" x14ac:dyDescent="0.25">
      <c r="A30" s="88"/>
      <c r="B30" s="25" t="str">
        <f>IF(A30="","",IFERROR(VLOOKUP(A30,DB_Customers!$A:$D,4,0),"❌ Account Not Found"))</f>
        <v/>
      </c>
      <c r="C30" s="89" t="str">
        <f>IF(A30="","",IFERROR(VLOOKUP(A30,DB_Customers!$A:$N,14,0),""))</f>
        <v/>
      </c>
      <c r="D30" s="90" t="str">
        <f t="shared" ca="1" si="0"/>
        <v/>
      </c>
      <c r="E30" s="97"/>
      <c r="F30" s="25"/>
      <c r="G30" s="99" t="str">
        <f t="shared" si="1"/>
        <v/>
      </c>
      <c r="H30" s="27"/>
      <c r="I30" s="84"/>
      <c r="J30" s="92" t="str">
        <f>IF(AND(A30&lt;&gt;"",E30&lt;&gt;""),IF(I30="","⚠️ Enter Code",IF(IFERROR(VLOOKUP(H30,DB_Agents!$B:$I,8,0),"")=I30,IF(C30&gt;=E30,"Successful","Unsuccessful"),"🔒 BLOCKED — Wrong Code")),"—")</f>
        <v>—</v>
      </c>
      <c r="K30" s="93" t="str">
        <f t="shared" ca="1" si="2"/>
        <v>—</v>
      </c>
      <c r="L30" s="94"/>
    </row>
    <row r="31" spans="1:12" x14ac:dyDescent="0.25">
      <c r="A31" s="79"/>
      <c r="B31" s="21" t="str">
        <f>IF(A31="","",IFERROR(VLOOKUP(A31,DB_Customers!$A:$D,4,0),"❌ Account Not Found"))</f>
        <v/>
      </c>
      <c r="C31" s="80" t="str">
        <f>IF(A31="","",IFERROR(VLOOKUP(A31,DB_Customers!$A:$N,14,0),""))</f>
        <v/>
      </c>
      <c r="D31" s="81" t="str">
        <f t="shared" ca="1" si="0"/>
        <v/>
      </c>
      <c r="E31" s="97"/>
      <c r="F31" s="21"/>
      <c r="G31" s="98" t="str">
        <f t="shared" si="1"/>
        <v/>
      </c>
      <c r="H31" s="23"/>
      <c r="I31" s="84"/>
      <c r="J31" s="85" t="str">
        <f>IF(AND(A31&lt;&gt;"",E31&lt;&gt;""),IF(I31="","⚠️ Enter Code",IF(IFERROR(VLOOKUP(H31,DB_Agents!$B:$I,8,0),"")=I31,IF(C31&gt;=E31,"Successful","Unsuccessful"),"🔒 BLOCKED — Wrong Code")),"—")</f>
        <v>—</v>
      </c>
      <c r="K31" s="86" t="str">
        <f t="shared" ca="1" si="2"/>
        <v>—</v>
      </c>
      <c r="L31" s="87"/>
    </row>
    <row r="32" spans="1:12" x14ac:dyDescent="0.25">
      <c r="A32" s="88"/>
      <c r="B32" s="25" t="str">
        <f>IF(A32="","",IFERROR(VLOOKUP(A32,DB_Customers!$A:$D,4,0),"❌ Account Not Found"))</f>
        <v/>
      </c>
      <c r="C32" s="89" t="str">
        <f>IF(A32="","",IFERROR(VLOOKUP(A32,DB_Customers!$A:$N,14,0),""))</f>
        <v/>
      </c>
      <c r="D32" s="90" t="str">
        <f t="shared" ca="1" si="0"/>
        <v/>
      </c>
      <c r="E32" s="97"/>
      <c r="F32" s="25"/>
      <c r="G32" s="99" t="str">
        <f t="shared" si="1"/>
        <v/>
      </c>
      <c r="H32" s="27"/>
      <c r="I32" s="84"/>
      <c r="J32" s="92" t="str">
        <f>IF(AND(A32&lt;&gt;"",E32&lt;&gt;""),IF(I32="","⚠️ Enter Code",IF(IFERROR(VLOOKUP(H32,DB_Agents!$B:$I,8,0),"")=I32,IF(C32&gt;=E32,"Successful","Unsuccessful"),"🔒 BLOCKED — Wrong Code")),"—")</f>
        <v>—</v>
      </c>
      <c r="K32" s="93" t="str">
        <f t="shared" ca="1" si="2"/>
        <v>—</v>
      </c>
      <c r="L32" s="94"/>
    </row>
    <row r="33" spans="1:12" x14ac:dyDescent="0.25">
      <c r="A33" s="79"/>
      <c r="B33" s="21" t="str">
        <f>IF(A33="","",IFERROR(VLOOKUP(A33,DB_Customers!$A:$D,4,0),"❌ Account Not Found"))</f>
        <v/>
      </c>
      <c r="C33" s="80" t="str">
        <f>IF(A33="","",IFERROR(VLOOKUP(A33,DB_Customers!$A:$N,14,0),""))</f>
        <v/>
      </c>
      <c r="D33" s="81" t="str">
        <f t="shared" ca="1" si="0"/>
        <v/>
      </c>
      <c r="E33" s="97"/>
      <c r="F33" s="21"/>
      <c r="G33" s="98" t="str">
        <f t="shared" si="1"/>
        <v/>
      </c>
      <c r="H33" s="23"/>
      <c r="I33" s="84"/>
      <c r="J33" s="85" t="str">
        <f>IF(AND(A33&lt;&gt;"",E33&lt;&gt;""),IF(I33="","⚠️ Enter Code",IF(IFERROR(VLOOKUP(H33,DB_Agents!$B:$I,8,0),"")=I33,IF(C33&gt;=E33,"Successful","Unsuccessful"),"🔒 BLOCKED — Wrong Code")),"—")</f>
        <v>—</v>
      </c>
      <c r="K33" s="86" t="str">
        <f t="shared" ca="1" si="2"/>
        <v>—</v>
      </c>
      <c r="L33" s="87"/>
    </row>
    <row r="34" spans="1:12" x14ac:dyDescent="0.25">
      <c r="A34" s="88"/>
      <c r="B34" s="25" t="str">
        <f>IF(A34="","",IFERROR(VLOOKUP(A34,DB_Customers!$A:$D,4,0),"❌ Account Not Found"))</f>
        <v/>
      </c>
      <c r="C34" s="89" t="str">
        <f>IF(A34="","",IFERROR(VLOOKUP(A34,DB_Customers!$A:$N,14,0),""))</f>
        <v/>
      </c>
      <c r="D34" s="90" t="str">
        <f t="shared" ca="1" si="0"/>
        <v/>
      </c>
      <c r="E34" s="97"/>
      <c r="F34" s="25"/>
      <c r="G34" s="99" t="str">
        <f t="shared" si="1"/>
        <v/>
      </c>
      <c r="H34" s="27"/>
      <c r="I34" s="84"/>
      <c r="J34" s="92" t="str">
        <f>IF(AND(A34&lt;&gt;"",E34&lt;&gt;""),IF(I34="","⚠️ Enter Code",IF(IFERROR(VLOOKUP(H34,DB_Agents!$B:$I,8,0),"")=I34,IF(C34&gt;=E34,"Successful","Unsuccessful"),"🔒 BLOCKED — Wrong Code")),"—")</f>
        <v>—</v>
      </c>
      <c r="K34" s="93" t="str">
        <f t="shared" ca="1" si="2"/>
        <v>—</v>
      </c>
      <c r="L34" s="94"/>
    </row>
    <row r="35" spans="1:12" x14ac:dyDescent="0.25">
      <c r="A35" s="79"/>
      <c r="B35" s="21" t="str">
        <f>IF(A35="","",IFERROR(VLOOKUP(A35,DB_Customers!$A:$D,4,0),"❌ Account Not Found"))</f>
        <v/>
      </c>
      <c r="C35" s="80" t="str">
        <f>IF(A35="","",IFERROR(VLOOKUP(A35,DB_Customers!$A:$N,14,0),""))</f>
        <v/>
      </c>
      <c r="D35" s="81" t="str">
        <f t="shared" ca="1" si="0"/>
        <v/>
      </c>
      <c r="E35" s="97"/>
      <c r="F35" s="21"/>
      <c r="G35" s="98" t="str">
        <f t="shared" si="1"/>
        <v/>
      </c>
      <c r="H35" s="23"/>
      <c r="I35" s="84"/>
      <c r="J35" s="85" t="str">
        <f>IF(AND(A35&lt;&gt;"",E35&lt;&gt;""),IF(I35="","⚠️ Enter Code",IF(IFERROR(VLOOKUP(H35,DB_Agents!$B:$I,8,0),"")=I35,IF(C35&gt;=E35,"Successful","Unsuccessful"),"🔒 BLOCKED — Wrong Code")),"—")</f>
        <v>—</v>
      </c>
      <c r="K35" s="86" t="str">
        <f t="shared" ca="1" si="2"/>
        <v>—</v>
      </c>
      <c r="L35" s="87"/>
    </row>
    <row r="36" spans="1:12" x14ac:dyDescent="0.25">
      <c r="A36" s="88"/>
      <c r="B36" s="25" t="str">
        <f>IF(A36="","",IFERROR(VLOOKUP(A36,DB_Customers!$A:$D,4,0),"❌ Account Not Found"))</f>
        <v/>
      </c>
      <c r="C36" s="89" t="str">
        <f>IF(A36="","",IFERROR(VLOOKUP(A36,DB_Customers!$A:$N,14,0),""))</f>
        <v/>
      </c>
      <c r="D36" s="90" t="str">
        <f t="shared" ca="1" si="0"/>
        <v/>
      </c>
      <c r="E36" s="97"/>
      <c r="F36" s="25"/>
      <c r="G36" s="99" t="str">
        <f t="shared" si="1"/>
        <v/>
      </c>
      <c r="H36" s="27"/>
      <c r="I36" s="84"/>
      <c r="J36" s="92" t="str">
        <f>IF(AND(A36&lt;&gt;"",E36&lt;&gt;""),IF(I36="","⚠️ Enter Code",IF(IFERROR(VLOOKUP(H36,DB_Agents!$B:$I,8,0),"")=I36,IF(C36&gt;=E36,"Successful","Unsuccessful"),"🔒 BLOCKED — Wrong Code")),"—")</f>
        <v>—</v>
      </c>
      <c r="K36" s="93" t="str">
        <f t="shared" ca="1" si="2"/>
        <v>—</v>
      </c>
      <c r="L36" s="94"/>
    </row>
    <row r="37" spans="1:12" x14ac:dyDescent="0.25">
      <c r="A37" s="79"/>
      <c r="B37" s="21" t="str">
        <f>IF(A37="","",IFERROR(VLOOKUP(A37,DB_Customers!$A:$D,4,0),"❌ Account Not Found"))</f>
        <v/>
      </c>
      <c r="C37" s="80" t="str">
        <f>IF(A37="","",IFERROR(VLOOKUP(A37,DB_Customers!$A:$N,14,0),""))</f>
        <v/>
      </c>
      <c r="D37" s="81" t="str">
        <f t="shared" ca="1" si="0"/>
        <v/>
      </c>
      <c r="E37" s="97"/>
      <c r="F37" s="21"/>
      <c r="G37" s="98" t="str">
        <f t="shared" si="1"/>
        <v/>
      </c>
      <c r="H37" s="23"/>
      <c r="I37" s="84"/>
      <c r="J37" s="85" t="str">
        <f>IF(AND(A37&lt;&gt;"",E37&lt;&gt;""),IF(I37="","⚠️ Enter Code",IF(IFERROR(VLOOKUP(H37,DB_Agents!$B:$I,8,0),"")=I37,IF(C37&gt;=E37,"Successful","Unsuccessful"),"🔒 BLOCKED — Wrong Code")),"—")</f>
        <v>—</v>
      </c>
      <c r="K37" s="86" t="str">
        <f t="shared" ca="1" si="2"/>
        <v>—</v>
      </c>
      <c r="L37" s="87"/>
    </row>
    <row r="38" spans="1:12" x14ac:dyDescent="0.25">
      <c r="A38" s="88"/>
      <c r="B38" s="25" t="str">
        <f>IF(A38="","",IFERROR(VLOOKUP(A38,DB_Customers!$A:$D,4,0),"❌ Account Not Found"))</f>
        <v/>
      </c>
      <c r="C38" s="89" t="str">
        <f>IF(A38="","",IFERROR(VLOOKUP(A38,DB_Customers!$A:$N,14,0),""))</f>
        <v/>
      </c>
      <c r="D38" s="90" t="str">
        <f t="shared" ca="1" si="0"/>
        <v/>
      </c>
      <c r="E38" s="97"/>
      <c r="F38" s="25"/>
      <c r="G38" s="99" t="str">
        <f t="shared" si="1"/>
        <v/>
      </c>
      <c r="H38" s="27"/>
      <c r="I38" s="84"/>
      <c r="J38" s="92" t="str">
        <f>IF(AND(A38&lt;&gt;"",E38&lt;&gt;""),IF(I38="","⚠️ Enter Code",IF(IFERROR(VLOOKUP(H38,DB_Agents!$B:$I,8,0),"")=I38,IF(C38&gt;=E38,"Successful","Unsuccessful"),"🔒 BLOCKED — Wrong Code")),"—")</f>
        <v>—</v>
      </c>
      <c r="K38" s="93" t="str">
        <f t="shared" ca="1" si="2"/>
        <v>—</v>
      </c>
      <c r="L38" s="94"/>
    </row>
    <row r="39" spans="1:12" x14ac:dyDescent="0.25">
      <c r="A39" s="79"/>
      <c r="B39" s="21" t="str">
        <f>IF(A39="","",IFERROR(VLOOKUP(A39,DB_Customers!$A:$D,4,0),"❌ Account Not Found"))</f>
        <v/>
      </c>
      <c r="C39" s="80" t="str">
        <f>IF(A39="","",IFERROR(VLOOKUP(A39,DB_Customers!$A:$N,14,0),""))</f>
        <v/>
      </c>
      <c r="D39" s="81" t="str">
        <f t="shared" ca="1" si="0"/>
        <v/>
      </c>
      <c r="E39" s="97"/>
      <c r="F39" s="21"/>
      <c r="G39" s="98" t="str">
        <f t="shared" si="1"/>
        <v/>
      </c>
      <c r="H39" s="23"/>
      <c r="I39" s="84"/>
      <c r="J39" s="85" t="str">
        <f>IF(AND(A39&lt;&gt;"",E39&lt;&gt;""),IF(I39="","⚠️ Enter Code",IF(IFERROR(VLOOKUP(H39,DB_Agents!$B:$I,8,0),"")=I39,IF(C39&gt;=E39,"Successful","Unsuccessful"),"🔒 BLOCKED — Wrong Code")),"—")</f>
        <v>—</v>
      </c>
      <c r="K39" s="86" t="str">
        <f t="shared" ca="1" si="2"/>
        <v>—</v>
      </c>
      <c r="L39" s="87"/>
    </row>
    <row r="40" spans="1:12" x14ac:dyDescent="0.25">
      <c r="A40" s="88"/>
      <c r="B40" s="25" t="str">
        <f>IF(A40="","",IFERROR(VLOOKUP(A40,DB_Customers!$A:$D,4,0),"❌ Account Not Found"))</f>
        <v/>
      </c>
      <c r="C40" s="89" t="str">
        <f>IF(A40="","",IFERROR(VLOOKUP(A40,DB_Customers!$A:$N,14,0),""))</f>
        <v/>
      </c>
      <c r="D40" s="90" t="str">
        <f t="shared" ca="1" si="0"/>
        <v/>
      </c>
      <c r="E40" s="97"/>
      <c r="F40" s="25"/>
      <c r="G40" s="99" t="str">
        <f t="shared" si="1"/>
        <v/>
      </c>
      <c r="H40" s="27"/>
      <c r="I40" s="84"/>
      <c r="J40" s="92" t="str">
        <f>IF(AND(A40&lt;&gt;"",E40&lt;&gt;""),IF(I40="","⚠️ Enter Code",IF(IFERROR(VLOOKUP(H40,DB_Agents!$B:$I,8,0),"")=I40,IF(C40&gt;=E40,"Successful","Unsuccessful"),"🔒 BLOCKED — Wrong Code")),"—")</f>
        <v>—</v>
      </c>
      <c r="K40" s="93" t="str">
        <f t="shared" ca="1" si="2"/>
        <v>—</v>
      </c>
      <c r="L40" s="94"/>
    </row>
    <row r="41" spans="1:12" x14ac:dyDescent="0.25">
      <c r="A41" s="79"/>
      <c r="B41" s="21" t="str">
        <f>IF(A41="","",IFERROR(VLOOKUP(A41,DB_Customers!$A:$D,4,0),"❌ Account Not Found"))</f>
        <v/>
      </c>
      <c r="C41" s="80" t="str">
        <f>IF(A41="","",IFERROR(VLOOKUP(A41,DB_Customers!$A:$N,14,0),""))</f>
        <v/>
      </c>
      <c r="D41" s="81" t="str">
        <f t="shared" ref="D41:D72" ca="1" si="3">IF(A41="","",TODAY())</f>
        <v/>
      </c>
      <c r="E41" s="97"/>
      <c r="F41" s="21"/>
      <c r="G41" s="98" t="str">
        <f t="shared" ref="G41:G72" si="4">IF(OR(A41="",E41=""),"",IF(C41="","",C41-E41))</f>
        <v/>
      </c>
      <c r="H41" s="23"/>
      <c r="I41" s="84"/>
      <c r="J41" s="85" t="str">
        <f>IF(AND(A41&lt;&gt;"",E41&lt;&gt;""),IF(I41="","⚠️ Enter Code",IF(IFERROR(VLOOKUP(H41,DB_Agents!$B:$I,8,0),"")=I41,IF(C41&gt;=E41,"Successful","Unsuccessful"),"🔒 BLOCKED — Wrong Code")),"—")</f>
        <v>—</v>
      </c>
      <c r="K41" s="86" t="str">
        <f t="shared" ref="K41:K72" ca="1" si="5">IF(J41="Successful",TEXT(TODAY(),"YYYY-MM-DD")&amp;" Auto","—")</f>
        <v>—</v>
      </c>
      <c r="L41" s="87"/>
    </row>
    <row r="42" spans="1:12" x14ac:dyDescent="0.25">
      <c r="A42" s="88"/>
      <c r="B42" s="25" t="str">
        <f>IF(A42="","",IFERROR(VLOOKUP(A42,DB_Customers!$A:$D,4,0),"❌ Account Not Found"))</f>
        <v/>
      </c>
      <c r="C42" s="89" t="str">
        <f>IF(A42="","",IFERROR(VLOOKUP(A42,DB_Customers!$A:$N,14,0),""))</f>
        <v/>
      </c>
      <c r="D42" s="90" t="str">
        <f t="shared" ca="1" si="3"/>
        <v/>
      </c>
      <c r="E42" s="97"/>
      <c r="F42" s="25"/>
      <c r="G42" s="99" t="str">
        <f t="shared" si="4"/>
        <v/>
      </c>
      <c r="H42" s="27"/>
      <c r="I42" s="84"/>
      <c r="J42" s="92" t="str">
        <f>IF(AND(A42&lt;&gt;"",E42&lt;&gt;""),IF(I42="","⚠️ Enter Code",IF(IFERROR(VLOOKUP(H42,DB_Agents!$B:$I,8,0),"")=I42,IF(C42&gt;=E42,"Successful","Unsuccessful"),"🔒 BLOCKED — Wrong Code")),"—")</f>
        <v>—</v>
      </c>
      <c r="K42" s="93" t="str">
        <f t="shared" ca="1" si="5"/>
        <v>—</v>
      </c>
      <c r="L42" s="94"/>
    </row>
    <row r="43" spans="1:12" x14ac:dyDescent="0.25">
      <c r="A43" s="79"/>
      <c r="B43" s="21" t="str">
        <f>IF(A43="","",IFERROR(VLOOKUP(A43,DB_Customers!$A:$D,4,0),"❌ Account Not Found"))</f>
        <v/>
      </c>
      <c r="C43" s="80" t="str">
        <f>IF(A43="","",IFERROR(VLOOKUP(A43,DB_Customers!$A:$N,14,0),""))</f>
        <v/>
      </c>
      <c r="D43" s="81" t="str">
        <f t="shared" ca="1" si="3"/>
        <v/>
      </c>
      <c r="E43" s="97"/>
      <c r="F43" s="21"/>
      <c r="G43" s="98" t="str">
        <f t="shared" si="4"/>
        <v/>
      </c>
      <c r="H43" s="23"/>
      <c r="I43" s="84"/>
      <c r="J43" s="85" t="str">
        <f>IF(AND(A43&lt;&gt;"",E43&lt;&gt;""),IF(I43="","⚠️ Enter Code",IF(IFERROR(VLOOKUP(H43,DB_Agents!$B:$I,8,0),"")=I43,IF(C43&gt;=E43,"Successful","Unsuccessful"),"🔒 BLOCKED — Wrong Code")),"—")</f>
        <v>—</v>
      </c>
      <c r="K43" s="86" t="str">
        <f t="shared" ca="1" si="5"/>
        <v>—</v>
      </c>
      <c r="L43" s="87"/>
    </row>
    <row r="44" spans="1:12" x14ac:dyDescent="0.25">
      <c r="A44" s="88"/>
      <c r="B44" s="25" t="str">
        <f>IF(A44="","",IFERROR(VLOOKUP(A44,DB_Customers!$A:$D,4,0),"❌ Account Not Found"))</f>
        <v/>
      </c>
      <c r="C44" s="89" t="str">
        <f>IF(A44="","",IFERROR(VLOOKUP(A44,DB_Customers!$A:$N,14,0),""))</f>
        <v/>
      </c>
      <c r="D44" s="90" t="str">
        <f t="shared" ca="1" si="3"/>
        <v/>
      </c>
      <c r="E44" s="97"/>
      <c r="F44" s="25"/>
      <c r="G44" s="99" t="str">
        <f t="shared" si="4"/>
        <v/>
      </c>
      <c r="H44" s="27"/>
      <c r="I44" s="84"/>
      <c r="J44" s="92" t="str">
        <f>IF(AND(A44&lt;&gt;"",E44&lt;&gt;""),IF(I44="","⚠️ Enter Code",IF(IFERROR(VLOOKUP(H44,DB_Agents!$B:$I,8,0),"")=I44,IF(C44&gt;=E44,"Successful","Unsuccessful"),"🔒 BLOCKED — Wrong Code")),"—")</f>
        <v>—</v>
      </c>
      <c r="K44" s="93" t="str">
        <f t="shared" ca="1" si="5"/>
        <v>—</v>
      </c>
      <c r="L44" s="94"/>
    </row>
    <row r="45" spans="1:12" x14ac:dyDescent="0.25">
      <c r="A45" s="79"/>
      <c r="B45" s="21" t="str">
        <f>IF(A45="","",IFERROR(VLOOKUP(A45,DB_Customers!$A:$D,4,0),"❌ Account Not Found"))</f>
        <v/>
      </c>
      <c r="C45" s="80" t="str">
        <f>IF(A45="","",IFERROR(VLOOKUP(A45,DB_Customers!$A:$N,14,0),""))</f>
        <v/>
      </c>
      <c r="D45" s="81" t="str">
        <f t="shared" ca="1" si="3"/>
        <v/>
      </c>
      <c r="E45" s="97"/>
      <c r="F45" s="21"/>
      <c r="G45" s="98" t="str">
        <f t="shared" si="4"/>
        <v/>
      </c>
      <c r="H45" s="23"/>
      <c r="I45" s="84"/>
      <c r="J45" s="85" t="str">
        <f>IF(AND(A45&lt;&gt;"",E45&lt;&gt;""),IF(I45="","⚠️ Enter Code",IF(IFERROR(VLOOKUP(H45,DB_Agents!$B:$I,8,0),"")=I45,IF(C45&gt;=E45,"Successful","Unsuccessful"),"🔒 BLOCKED — Wrong Code")),"—")</f>
        <v>—</v>
      </c>
      <c r="K45" s="86" t="str">
        <f t="shared" ca="1" si="5"/>
        <v>—</v>
      </c>
      <c r="L45" s="87"/>
    </row>
    <row r="46" spans="1:12" x14ac:dyDescent="0.25">
      <c r="A46" s="88"/>
      <c r="B46" s="25" t="str">
        <f>IF(A46="","",IFERROR(VLOOKUP(A46,DB_Customers!$A:$D,4,0),"❌ Account Not Found"))</f>
        <v/>
      </c>
      <c r="C46" s="89" t="str">
        <f>IF(A46="","",IFERROR(VLOOKUP(A46,DB_Customers!$A:$N,14,0),""))</f>
        <v/>
      </c>
      <c r="D46" s="90" t="str">
        <f t="shared" ca="1" si="3"/>
        <v/>
      </c>
      <c r="E46" s="97"/>
      <c r="F46" s="25"/>
      <c r="G46" s="99" t="str">
        <f t="shared" si="4"/>
        <v/>
      </c>
      <c r="H46" s="27"/>
      <c r="I46" s="84"/>
      <c r="J46" s="92" t="str">
        <f>IF(AND(A46&lt;&gt;"",E46&lt;&gt;""),IF(I46="","⚠️ Enter Code",IF(IFERROR(VLOOKUP(H46,DB_Agents!$B:$I,8,0),"")=I46,IF(C46&gt;=E46,"Successful","Unsuccessful"),"🔒 BLOCKED — Wrong Code")),"—")</f>
        <v>—</v>
      </c>
      <c r="K46" s="93" t="str">
        <f t="shared" ca="1" si="5"/>
        <v>—</v>
      </c>
      <c r="L46" s="94"/>
    </row>
    <row r="47" spans="1:12" x14ac:dyDescent="0.25">
      <c r="A47" s="79"/>
      <c r="B47" s="21" t="str">
        <f>IF(A47="","",IFERROR(VLOOKUP(A47,DB_Customers!$A:$D,4,0),"❌ Account Not Found"))</f>
        <v/>
      </c>
      <c r="C47" s="80" t="str">
        <f>IF(A47="","",IFERROR(VLOOKUP(A47,DB_Customers!$A:$N,14,0),""))</f>
        <v/>
      </c>
      <c r="D47" s="81" t="str">
        <f t="shared" ca="1" si="3"/>
        <v/>
      </c>
      <c r="E47" s="97"/>
      <c r="F47" s="21"/>
      <c r="G47" s="98" t="str">
        <f t="shared" si="4"/>
        <v/>
      </c>
      <c r="H47" s="23"/>
      <c r="I47" s="84"/>
      <c r="J47" s="85" t="str">
        <f>IF(AND(A47&lt;&gt;"",E47&lt;&gt;""),IF(I47="","⚠️ Enter Code",IF(IFERROR(VLOOKUP(H47,DB_Agents!$B:$I,8,0),"")=I47,IF(C47&gt;=E47,"Successful","Unsuccessful"),"🔒 BLOCKED — Wrong Code")),"—")</f>
        <v>—</v>
      </c>
      <c r="K47" s="86" t="str">
        <f t="shared" ca="1" si="5"/>
        <v>—</v>
      </c>
      <c r="L47" s="87"/>
    </row>
    <row r="48" spans="1:12" x14ac:dyDescent="0.25">
      <c r="A48" s="88"/>
      <c r="B48" s="25" t="str">
        <f>IF(A48="","",IFERROR(VLOOKUP(A48,DB_Customers!$A:$D,4,0),"❌ Account Not Found"))</f>
        <v/>
      </c>
      <c r="C48" s="89" t="str">
        <f>IF(A48="","",IFERROR(VLOOKUP(A48,DB_Customers!$A:$N,14,0),""))</f>
        <v/>
      </c>
      <c r="D48" s="90" t="str">
        <f t="shared" ca="1" si="3"/>
        <v/>
      </c>
      <c r="E48" s="97"/>
      <c r="F48" s="25"/>
      <c r="G48" s="99" t="str">
        <f t="shared" si="4"/>
        <v/>
      </c>
      <c r="H48" s="27"/>
      <c r="I48" s="84"/>
      <c r="J48" s="92" t="str">
        <f>IF(AND(A48&lt;&gt;"",E48&lt;&gt;""),IF(I48="","⚠️ Enter Code",IF(IFERROR(VLOOKUP(H48,DB_Agents!$B:$I,8,0),"")=I48,IF(C48&gt;=E48,"Successful","Unsuccessful"),"🔒 BLOCKED — Wrong Code")),"—")</f>
        <v>—</v>
      </c>
      <c r="K48" s="93" t="str">
        <f t="shared" ca="1" si="5"/>
        <v>—</v>
      </c>
      <c r="L48" s="94"/>
    </row>
    <row r="49" spans="1:12" x14ac:dyDescent="0.25">
      <c r="A49" s="79"/>
      <c r="B49" s="21" t="str">
        <f>IF(A49="","",IFERROR(VLOOKUP(A49,DB_Customers!$A:$D,4,0),"❌ Account Not Found"))</f>
        <v/>
      </c>
      <c r="C49" s="80" t="str">
        <f>IF(A49="","",IFERROR(VLOOKUP(A49,DB_Customers!$A:$N,14,0),""))</f>
        <v/>
      </c>
      <c r="D49" s="81" t="str">
        <f t="shared" ca="1" si="3"/>
        <v/>
      </c>
      <c r="E49" s="97"/>
      <c r="F49" s="21"/>
      <c r="G49" s="98" t="str">
        <f t="shared" si="4"/>
        <v/>
      </c>
      <c r="H49" s="23"/>
      <c r="I49" s="84"/>
      <c r="J49" s="85" t="str">
        <f>IF(AND(A49&lt;&gt;"",E49&lt;&gt;""),IF(I49="","⚠️ Enter Code",IF(IFERROR(VLOOKUP(H49,DB_Agents!$B:$I,8,0),"")=I49,IF(C49&gt;=E49,"Successful","Unsuccessful"),"🔒 BLOCKED — Wrong Code")),"—")</f>
        <v>—</v>
      </c>
      <c r="K49" s="86" t="str">
        <f t="shared" ca="1" si="5"/>
        <v>—</v>
      </c>
      <c r="L49" s="87"/>
    </row>
    <row r="50" spans="1:12" x14ac:dyDescent="0.25">
      <c r="A50" s="88"/>
      <c r="B50" s="25" t="str">
        <f>IF(A50="","",IFERROR(VLOOKUP(A50,DB_Customers!$A:$D,4,0),"❌ Account Not Found"))</f>
        <v/>
      </c>
      <c r="C50" s="89" t="str">
        <f>IF(A50="","",IFERROR(VLOOKUP(A50,DB_Customers!$A:$N,14,0),""))</f>
        <v/>
      </c>
      <c r="D50" s="90" t="str">
        <f t="shared" ca="1" si="3"/>
        <v/>
      </c>
      <c r="E50" s="97"/>
      <c r="F50" s="25"/>
      <c r="G50" s="99" t="str">
        <f t="shared" si="4"/>
        <v/>
      </c>
      <c r="H50" s="27"/>
      <c r="I50" s="84"/>
      <c r="J50" s="92" t="str">
        <f>IF(AND(A50&lt;&gt;"",E50&lt;&gt;""),IF(I50="","⚠️ Enter Code",IF(IFERROR(VLOOKUP(H50,DB_Agents!$B:$I,8,0),"")=I50,IF(C50&gt;=E50,"Successful","Unsuccessful"),"🔒 BLOCKED — Wrong Code")),"—")</f>
        <v>—</v>
      </c>
      <c r="K50" s="93" t="str">
        <f t="shared" ca="1" si="5"/>
        <v>—</v>
      </c>
      <c r="L50" s="94"/>
    </row>
    <row r="51" spans="1:12" x14ac:dyDescent="0.25">
      <c r="A51" s="79"/>
      <c r="B51" s="21" t="str">
        <f>IF(A51="","",IFERROR(VLOOKUP(A51,DB_Customers!$A:$D,4,0),"❌ Account Not Found"))</f>
        <v/>
      </c>
      <c r="C51" s="80" t="str">
        <f>IF(A51="","",IFERROR(VLOOKUP(A51,DB_Customers!$A:$N,14,0),""))</f>
        <v/>
      </c>
      <c r="D51" s="81" t="str">
        <f t="shared" ca="1" si="3"/>
        <v/>
      </c>
      <c r="E51" s="97"/>
      <c r="F51" s="21"/>
      <c r="G51" s="98" t="str">
        <f t="shared" si="4"/>
        <v/>
      </c>
      <c r="H51" s="23"/>
      <c r="I51" s="84"/>
      <c r="J51" s="85" t="str">
        <f>IF(AND(A51&lt;&gt;"",E51&lt;&gt;""),IF(I51="","⚠️ Enter Code",IF(IFERROR(VLOOKUP(H51,DB_Agents!$B:$I,8,0),"")=I51,IF(C51&gt;=E51,"Successful","Unsuccessful"),"🔒 BLOCKED — Wrong Code")),"—")</f>
        <v>—</v>
      </c>
      <c r="K51" s="86" t="str">
        <f t="shared" ca="1" si="5"/>
        <v>—</v>
      </c>
      <c r="L51" s="87"/>
    </row>
    <row r="52" spans="1:12" x14ac:dyDescent="0.25">
      <c r="A52" s="88"/>
      <c r="B52" s="25" t="str">
        <f>IF(A52="","",IFERROR(VLOOKUP(A52,DB_Customers!$A:$D,4,0),"❌ Account Not Found"))</f>
        <v/>
      </c>
      <c r="C52" s="89" t="str">
        <f>IF(A52="","",IFERROR(VLOOKUP(A52,DB_Customers!$A:$N,14,0),""))</f>
        <v/>
      </c>
      <c r="D52" s="90" t="str">
        <f t="shared" ca="1" si="3"/>
        <v/>
      </c>
      <c r="E52" s="97"/>
      <c r="F52" s="25"/>
      <c r="G52" s="99" t="str">
        <f t="shared" si="4"/>
        <v/>
      </c>
      <c r="H52" s="27"/>
      <c r="I52" s="84"/>
      <c r="J52" s="92" t="str">
        <f>IF(AND(A52&lt;&gt;"",E52&lt;&gt;""),IF(I52="","⚠️ Enter Code",IF(IFERROR(VLOOKUP(H52,DB_Agents!$B:$I,8,0),"")=I52,IF(C52&gt;=E52,"Successful","Unsuccessful"),"🔒 BLOCKED — Wrong Code")),"—")</f>
        <v>—</v>
      </c>
      <c r="K52" s="93" t="str">
        <f t="shared" ca="1" si="5"/>
        <v>—</v>
      </c>
      <c r="L52" s="94"/>
    </row>
    <row r="53" spans="1:12" x14ac:dyDescent="0.25">
      <c r="A53" s="79"/>
      <c r="B53" s="21" t="str">
        <f>IF(A53="","",IFERROR(VLOOKUP(A53,DB_Customers!$A:$D,4,0),"❌ Account Not Found"))</f>
        <v/>
      </c>
      <c r="C53" s="80" t="str">
        <f>IF(A53="","",IFERROR(VLOOKUP(A53,DB_Customers!$A:$N,14,0),""))</f>
        <v/>
      </c>
      <c r="D53" s="81" t="str">
        <f t="shared" ca="1" si="3"/>
        <v/>
      </c>
      <c r="E53" s="97"/>
      <c r="F53" s="21"/>
      <c r="G53" s="98" t="str">
        <f t="shared" si="4"/>
        <v/>
      </c>
      <c r="H53" s="23"/>
      <c r="I53" s="84"/>
      <c r="J53" s="85" t="str">
        <f>IF(AND(A53&lt;&gt;"",E53&lt;&gt;""),IF(I53="","⚠️ Enter Code",IF(IFERROR(VLOOKUP(H53,DB_Agents!$B:$I,8,0),"")=I53,IF(C53&gt;=E53,"Successful","Unsuccessful"),"🔒 BLOCKED — Wrong Code")),"—")</f>
        <v>—</v>
      </c>
      <c r="K53" s="86" t="str">
        <f t="shared" ca="1" si="5"/>
        <v>—</v>
      </c>
      <c r="L53" s="87"/>
    </row>
    <row r="54" spans="1:12" x14ac:dyDescent="0.25">
      <c r="A54" s="88"/>
      <c r="B54" s="25" t="str">
        <f>IF(A54="","",IFERROR(VLOOKUP(A54,DB_Customers!$A:$D,4,0),"❌ Account Not Found"))</f>
        <v/>
      </c>
      <c r="C54" s="89" t="str">
        <f>IF(A54="","",IFERROR(VLOOKUP(A54,DB_Customers!$A:$N,14,0),""))</f>
        <v/>
      </c>
      <c r="D54" s="90" t="str">
        <f t="shared" ca="1" si="3"/>
        <v/>
      </c>
      <c r="E54" s="97"/>
      <c r="F54" s="25"/>
      <c r="G54" s="99" t="str">
        <f t="shared" si="4"/>
        <v/>
      </c>
      <c r="H54" s="27"/>
      <c r="I54" s="84"/>
      <c r="J54" s="92" t="str">
        <f>IF(AND(A54&lt;&gt;"",E54&lt;&gt;""),IF(I54="","⚠️ Enter Code",IF(IFERROR(VLOOKUP(H54,DB_Agents!$B:$I,8,0),"")=I54,IF(C54&gt;=E54,"Successful","Unsuccessful"),"🔒 BLOCKED — Wrong Code")),"—")</f>
        <v>—</v>
      </c>
      <c r="K54" s="93" t="str">
        <f t="shared" ca="1" si="5"/>
        <v>—</v>
      </c>
      <c r="L54" s="94"/>
    </row>
    <row r="55" spans="1:12" x14ac:dyDescent="0.25">
      <c r="A55" s="79"/>
      <c r="B55" s="21" t="str">
        <f>IF(A55="","",IFERROR(VLOOKUP(A55,DB_Customers!$A:$D,4,0),"❌ Account Not Found"))</f>
        <v/>
      </c>
      <c r="C55" s="80" t="str">
        <f>IF(A55="","",IFERROR(VLOOKUP(A55,DB_Customers!$A:$N,14,0),""))</f>
        <v/>
      </c>
      <c r="D55" s="81" t="str">
        <f t="shared" ca="1" si="3"/>
        <v/>
      </c>
      <c r="E55" s="97"/>
      <c r="F55" s="21"/>
      <c r="G55" s="98" t="str">
        <f t="shared" si="4"/>
        <v/>
      </c>
      <c r="H55" s="23"/>
      <c r="I55" s="84"/>
      <c r="J55" s="85" t="str">
        <f>IF(AND(A55&lt;&gt;"",E55&lt;&gt;""),IF(I55="","⚠️ Enter Code",IF(IFERROR(VLOOKUP(H55,DB_Agents!$B:$I,8,0),"")=I55,IF(C55&gt;=E55,"Successful","Unsuccessful"),"🔒 BLOCKED — Wrong Code")),"—")</f>
        <v>—</v>
      </c>
      <c r="K55" s="86" t="str">
        <f t="shared" ca="1" si="5"/>
        <v>—</v>
      </c>
      <c r="L55" s="87"/>
    </row>
    <row r="56" spans="1:12" x14ac:dyDescent="0.25">
      <c r="A56" s="88"/>
      <c r="B56" s="25" t="str">
        <f>IF(A56="","",IFERROR(VLOOKUP(A56,DB_Customers!$A:$D,4,0),"❌ Account Not Found"))</f>
        <v/>
      </c>
      <c r="C56" s="89" t="str">
        <f>IF(A56="","",IFERROR(VLOOKUP(A56,DB_Customers!$A:$N,14,0),""))</f>
        <v/>
      </c>
      <c r="D56" s="90" t="str">
        <f t="shared" ca="1" si="3"/>
        <v/>
      </c>
      <c r="E56" s="97"/>
      <c r="F56" s="25"/>
      <c r="G56" s="99" t="str">
        <f t="shared" si="4"/>
        <v/>
      </c>
      <c r="H56" s="27"/>
      <c r="I56" s="84"/>
      <c r="J56" s="92" t="str">
        <f>IF(AND(A56&lt;&gt;"",E56&lt;&gt;""),IF(I56="","⚠️ Enter Code",IF(IFERROR(VLOOKUP(H56,DB_Agents!$B:$I,8,0),"")=I56,IF(C56&gt;=E56,"Successful","Unsuccessful"),"🔒 BLOCKED — Wrong Code")),"—")</f>
        <v>—</v>
      </c>
      <c r="K56" s="93" t="str">
        <f t="shared" ca="1" si="5"/>
        <v>—</v>
      </c>
      <c r="L56" s="94"/>
    </row>
    <row r="57" spans="1:12" x14ac:dyDescent="0.25">
      <c r="A57" s="79"/>
      <c r="B57" s="21" t="str">
        <f>IF(A57="","",IFERROR(VLOOKUP(A57,DB_Customers!$A:$D,4,0),"❌ Account Not Found"))</f>
        <v/>
      </c>
      <c r="C57" s="80" t="str">
        <f>IF(A57="","",IFERROR(VLOOKUP(A57,DB_Customers!$A:$N,14,0),""))</f>
        <v/>
      </c>
      <c r="D57" s="81" t="str">
        <f t="shared" ca="1" si="3"/>
        <v/>
      </c>
      <c r="E57" s="97"/>
      <c r="F57" s="21"/>
      <c r="G57" s="98" t="str">
        <f t="shared" si="4"/>
        <v/>
      </c>
      <c r="H57" s="23"/>
      <c r="I57" s="84"/>
      <c r="J57" s="85" t="str">
        <f>IF(AND(A57&lt;&gt;"",E57&lt;&gt;""),IF(I57="","⚠️ Enter Code",IF(IFERROR(VLOOKUP(H57,DB_Agents!$B:$I,8,0),"")=I57,IF(C57&gt;=E57,"Successful","Unsuccessful"),"🔒 BLOCKED — Wrong Code")),"—")</f>
        <v>—</v>
      </c>
      <c r="K57" s="86" t="str">
        <f t="shared" ca="1" si="5"/>
        <v>—</v>
      </c>
      <c r="L57" s="87"/>
    </row>
    <row r="58" spans="1:12" x14ac:dyDescent="0.25">
      <c r="A58" s="88"/>
      <c r="B58" s="25" t="str">
        <f>IF(A58="","",IFERROR(VLOOKUP(A58,DB_Customers!$A:$D,4,0),"❌ Account Not Found"))</f>
        <v/>
      </c>
      <c r="C58" s="89" t="str">
        <f>IF(A58="","",IFERROR(VLOOKUP(A58,DB_Customers!$A:$N,14,0),""))</f>
        <v/>
      </c>
      <c r="D58" s="90" t="str">
        <f t="shared" ca="1" si="3"/>
        <v/>
      </c>
      <c r="E58" s="97"/>
      <c r="F58" s="25"/>
      <c r="G58" s="99" t="str">
        <f t="shared" si="4"/>
        <v/>
      </c>
      <c r="H58" s="27"/>
      <c r="I58" s="84"/>
      <c r="J58" s="92" t="str">
        <f>IF(AND(A58&lt;&gt;"",E58&lt;&gt;""),IF(I58="","⚠️ Enter Code",IF(IFERROR(VLOOKUP(H58,DB_Agents!$B:$I,8,0),"")=I58,IF(C58&gt;=E58,"Successful","Unsuccessful"),"🔒 BLOCKED — Wrong Code")),"—")</f>
        <v>—</v>
      </c>
      <c r="K58" s="93" t="str">
        <f t="shared" ca="1" si="5"/>
        <v>—</v>
      </c>
      <c r="L58" s="94"/>
    </row>
    <row r="59" spans="1:12" x14ac:dyDescent="0.25">
      <c r="A59" s="79"/>
      <c r="B59" s="21" t="str">
        <f>IF(A59="","",IFERROR(VLOOKUP(A59,DB_Customers!$A:$D,4,0),"❌ Account Not Found"))</f>
        <v/>
      </c>
      <c r="C59" s="80" t="str">
        <f>IF(A59="","",IFERROR(VLOOKUP(A59,DB_Customers!$A:$N,14,0),""))</f>
        <v/>
      </c>
      <c r="D59" s="81" t="str">
        <f t="shared" ca="1" si="3"/>
        <v/>
      </c>
      <c r="E59" s="97"/>
      <c r="F59" s="21"/>
      <c r="G59" s="98" t="str">
        <f t="shared" si="4"/>
        <v/>
      </c>
      <c r="H59" s="23"/>
      <c r="I59" s="84"/>
      <c r="J59" s="85" t="str">
        <f>IF(AND(A59&lt;&gt;"",E59&lt;&gt;""),IF(I59="","⚠️ Enter Code",IF(IFERROR(VLOOKUP(H59,DB_Agents!$B:$I,8,0),"")=I59,IF(C59&gt;=E59,"Successful","Unsuccessful"),"🔒 BLOCKED — Wrong Code")),"—")</f>
        <v>—</v>
      </c>
      <c r="K59" s="86" t="str">
        <f t="shared" ca="1" si="5"/>
        <v>—</v>
      </c>
      <c r="L59" s="87"/>
    </row>
    <row r="60" spans="1:12" x14ac:dyDescent="0.25">
      <c r="A60" s="88"/>
      <c r="B60" s="25" t="str">
        <f>IF(A60="","",IFERROR(VLOOKUP(A60,DB_Customers!$A:$D,4,0),"❌ Account Not Found"))</f>
        <v/>
      </c>
      <c r="C60" s="89" t="str">
        <f>IF(A60="","",IFERROR(VLOOKUP(A60,DB_Customers!$A:$N,14,0),""))</f>
        <v/>
      </c>
      <c r="D60" s="90" t="str">
        <f t="shared" ca="1" si="3"/>
        <v/>
      </c>
      <c r="E60" s="97"/>
      <c r="F60" s="25"/>
      <c r="G60" s="99" t="str">
        <f t="shared" si="4"/>
        <v/>
      </c>
      <c r="H60" s="27"/>
      <c r="I60" s="84"/>
      <c r="J60" s="92" t="str">
        <f>IF(AND(A60&lt;&gt;"",E60&lt;&gt;""),IF(I60="","⚠️ Enter Code",IF(IFERROR(VLOOKUP(H60,DB_Agents!$B:$I,8,0),"")=I60,IF(C60&gt;=E60,"Successful","Unsuccessful"),"🔒 BLOCKED — Wrong Code")),"—")</f>
        <v>—</v>
      </c>
      <c r="K60" s="93" t="str">
        <f t="shared" ca="1" si="5"/>
        <v>—</v>
      </c>
      <c r="L60" s="94"/>
    </row>
    <row r="61" spans="1:12" x14ac:dyDescent="0.25">
      <c r="A61" s="79"/>
      <c r="B61" s="21" t="str">
        <f>IF(A61="","",IFERROR(VLOOKUP(A61,DB_Customers!$A:$D,4,0),"❌ Account Not Found"))</f>
        <v/>
      </c>
      <c r="C61" s="80" t="str">
        <f>IF(A61="","",IFERROR(VLOOKUP(A61,DB_Customers!$A:$N,14,0),""))</f>
        <v/>
      </c>
      <c r="D61" s="81" t="str">
        <f t="shared" ca="1" si="3"/>
        <v/>
      </c>
      <c r="E61" s="97"/>
      <c r="F61" s="21"/>
      <c r="G61" s="98" t="str">
        <f t="shared" si="4"/>
        <v/>
      </c>
      <c r="H61" s="23"/>
      <c r="I61" s="84"/>
      <c r="J61" s="85" t="str">
        <f>IF(AND(A61&lt;&gt;"",E61&lt;&gt;""),IF(I61="","⚠️ Enter Code",IF(IFERROR(VLOOKUP(H61,DB_Agents!$B:$I,8,0),"")=I61,IF(C61&gt;=E61,"Successful","Unsuccessful"),"🔒 BLOCKED — Wrong Code")),"—")</f>
        <v>—</v>
      </c>
      <c r="K61" s="86" t="str">
        <f t="shared" ca="1" si="5"/>
        <v>—</v>
      </c>
      <c r="L61" s="87"/>
    </row>
    <row r="62" spans="1:12" x14ac:dyDescent="0.25">
      <c r="A62" s="88"/>
      <c r="B62" s="25" t="str">
        <f>IF(A62="","",IFERROR(VLOOKUP(A62,DB_Customers!$A:$D,4,0),"❌ Account Not Found"))</f>
        <v/>
      </c>
      <c r="C62" s="89" t="str">
        <f>IF(A62="","",IFERROR(VLOOKUP(A62,DB_Customers!$A:$N,14,0),""))</f>
        <v/>
      </c>
      <c r="D62" s="90" t="str">
        <f t="shared" ca="1" si="3"/>
        <v/>
      </c>
      <c r="E62" s="97"/>
      <c r="F62" s="25"/>
      <c r="G62" s="99" t="str">
        <f t="shared" si="4"/>
        <v/>
      </c>
      <c r="H62" s="27"/>
      <c r="I62" s="84"/>
      <c r="J62" s="92" t="str">
        <f>IF(AND(A62&lt;&gt;"",E62&lt;&gt;""),IF(I62="","⚠️ Enter Code",IF(IFERROR(VLOOKUP(H62,DB_Agents!$B:$I,8,0),"")=I62,IF(C62&gt;=E62,"Successful","Unsuccessful"),"🔒 BLOCKED — Wrong Code")),"—")</f>
        <v>—</v>
      </c>
      <c r="K62" s="93" t="str">
        <f t="shared" ca="1" si="5"/>
        <v>—</v>
      </c>
      <c r="L62" s="94"/>
    </row>
    <row r="63" spans="1:12" x14ac:dyDescent="0.25">
      <c r="A63" s="79"/>
      <c r="B63" s="21" t="str">
        <f>IF(A63="","",IFERROR(VLOOKUP(A63,DB_Customers!$A:$D,4,0),"❌ Account Not Found"))</f>
        <v/>
      </c>
      <c r="C63" s="80" t="str">
        <f>IF(A63="","",IFERROR(VLOOKUP(A63,DB_Customers!$A:$N,14,0),""))</f>
        <v/>
      </c>
      <c r="D63" s="81" t="str">
        <f t="shared" ca="1" si="3"/>
        <v/>
      </c>
      <c r="E63" s="97"/>
      <c r="F63" s="21"/>
      <c r="G63" s="98" t="str">
        <f t="shared" si="4"/>
        <v/>
      </c>
      <c r="H63" s="23"/>
      <c r="I63" s="84"/>
      <c r="J63" s="85" t="str">
        <f>IF(AND(A63&lt;&gt;"",E63&lt;&gt;""),IF(I63="","⚠️ Enter Code",IF(IFERROR(VLOOKUP(H63,DB_Agents!$B:$I,8,0),"")=I63,IF(C63&gt;=E63,"Successful","Unsuccessful"),"🔒 BLOCKED — Wrong Code")),"—")</f>
        <v>—</v>
      </c>
      <c r="K63" s="86" t="str">
        <f t="shared" ca="1" si="5"/>
        <v>—</v>
      </c>
      <c r="L63" s="87"/>
    </row>
    <row r="64" spans="1:12" x14ac:dyDescent="0.25">
      <c r="A64" s="88"/>
      <c r="B64" s="25" t="str">
        <f>IF(A64="","",IFERROR(VLOOKUP(A64,DB_Customers!$A:$D,4,0),"❌ Account Not Found"))</f>
        <v/>
      </c>
      <c r="C64" s="89" t="str">
        <f>IF(A64="","",IFERROR(VLOOKUP(A64,DB_Customers!$A:$N,14,0),""))</f>
        <v/>
      </c>
      <c r="D64" s="90" t="str">
        <f t="shared" ca="1" si="3"/>
        <v/>
      </c>
      <c r="E64" s="97"/>
      <c r="F64" s="25"/>
      <c r="G64" s="99" t="str">
        <f t="shared" si="4"/>
        <v/>
      </c>
      <c r="H64" s="27"/>
      <c r="I64" s="84"/>
      <c r="J64" s="92" t="str">
        <f>IF(AND(A64&lt;&gt;"",E64&lt;&gt;""),IF(I64="","⚠️ Enter Code",IF(IFERROR(VLOOKUP(H64,DB_Agents!$B:$I,8,0),"")=I64,IF(C64&gt;=E64,"Successful","Unsuccessful"),"🔒 BLOCKED — Wrong Code")),"—")</f>
        <v>—</v>
      </c>
      <c r="K64" s="93" t="str">
        <f t="shared" ca="1" si="5"/>
        <v>—</v>
      </c>
      <c r="L64" s="94"/>
    </row>
    <row r="65" spans="1:12" x14ac:dyDescent="0.25">
      <c r="A65" s="79"/>
      <c r="B65" s="21" t="str">
        <f>IF(A65="","",IFERROR(VLOOKUP(A65,DB_Customers!$A:$D,4,0),"❌ Account Not Found"))</f>
        <v/>
      </c>
      <c r="C65" s="80" t="str">
        <f>IF(A65="","",IFERROR(VLOOKUP(A65,DB_Customers!$A:$N,14,0),""))</f>
        <v/>
      </c>
      <c r="D65" s="81" t="str">
        <f t="shared" ca="1" si="3"/>
        <v/>
      </c>
      <c r="E65" s="97"/>
      <c r="F65" s="21"/>
      <c r="G65" s="98" t="str">
        <f t="shared" si="4"/>
        <v/>
      </c>
      <c r="H65" s="23"/>
      <c r="I65" s="84"/>
      <c r="J65" s="85" t="str">
        <f>IF(AND(A65&lt;&gt;"",E65&lt;&gt;""),IF(I65="","⚠️ Enter Code",IF(IFERROR(VLOOKUP(H65,DB_Agents!$B:$I,8,0),"")=I65,IF(C65&gt;=E65,"Successful","Unsuccessful"),"🔒 BLOCKED — Wrong Code")),"—")</f>
        <v>—</v>
      </c>
      <c r="K65" s="86" t="str">
        <f t="shared" ca="1" si="5"/>
        <v>—</v>
      </c>
      <c r="L65" s="87"/>
    </row>
    <row r="66" spans="1:12" x14ac:dyDescent="0.25">
      <c r="A66" s="88"/>
      <c r="B66" s="25" t="str">
        <f>IF(A66="","",IFERROR(VLOOKUP(A66,DB_Customers!$A:$D,4,0),"❌ Account Not Found"))</f>
        <v/>
      </c>
      <c r="C66" s="89" t="str">
        <f>IF(A66="","",IFERROR(VLOOKUP(A66,DB_Customers!$A:$N,14,0),""))</f>
        <v/>
      </c>
      <c r="D66" s="90" t="str">
        <f t="shared" ca="1" si="3"/>
        <v/>
      </c>
      <c r="E66" s="97"/>
      <c r="F66" s="25"/>
      <c r="G66" s="99" t="str">
        <f t="shared" si="4"/>
        <v/>
      </c>
      <c r="H66" s="27"/>
      <c r="I66" s="84"/>
      <c r="J66" s="92" t="str">
        <f>IF(AND(A66&lt;&gt;"",E66&lt;&gt;""),IF(I66="","⚠️ Enter Code",IF(IFERROR(VLOOKUP(H66,DB_Agents!$B:$I,8,0),"")=I66,IF(C66&gt;=E66,"Successful","Unsuccessful"),"🔒 BLOCKED — Wrong Code")),"—")</f>
        <v>—</v>
      </c>
      <c r="K66" s="93" t="str">
        <f t="shared" ca="1" si="5"/>
        <v>—</v>
      </c>
      <c r="L66" s="94"/>
    </row>
    <row r="67" spans="1:12" x14ac:dyDescent="0.25">
      <c r="A67" s="79"/>
      <c r="B67" s="21" t="str">
        <f>IF(A67="","",IFERROR(VLOOKUP(A67,DB_Customers!$A:$D,4,0),"❌ Account Not Found"))</f>
        <v/>
      </c>
      <c r="C67" s="80" t="str">
        <f>IF(A67="","",IFERROR(VLOOKUP(A67,DB_Customers!$A:$N,14,0),""))</f>
        <v/>
      </c>
      <c r="D67" s="81" t="str">
        <f t="shared" ca="1" si="3"/>
        <v/>
      </c>
      <c r="E67" s="97"/>
      <c r="F67" s="21"/>
      <c r="G67" s="98" t="str">
        <f t="shared" si="4"/>
        <v/>
      </c>
      <c r="H67" s="23"/>
      <c r="I67" s="84"/>
      <c r="J67" s="85" t="str">
        <f>IF(AND(A67&lt;&gt;"",E67&lt;&gt;""),IF(I67="","⚠️ Enter Code",IF(IFERROR(VLOOKUP(H67,DB_Agents!$B:$I,8,0),"")=I67,IF(C67&gt;=E67,"Successful","Unsuccessful"),"🔒 BLOCKED — Wrong Code")),"—")</f>
        <v>—</v>
      </c>
      <c r="K67" s="86" t="str">
        <f t="shared" ca="1" si="5"/>
        <v>—</v>
      </c>
      <c r="L67" s="87"/>
    </row>
    <row r="68" spans="1:12" x14ac:dyDescent="0.25">
      <c r="A68" s="88"/>
      <c r="B68" s="25" t="str">
        <f>IF(A68="","",IFERROR(VLOOKUP(A68,DB_Customers!$A:$D,4,0),"❌ Account Not Found"))</f>
        <v/>
      </c>
      <c r="C68" s="89" t="str">
        <f>IF(A68="","",IFERROR(VLOOKUP(A68,DB_Customers!$A:$N,14,0),""))</f>
        <v/>
      </c>
      <c r="D68" s="90" t="str">
        <f t="shared" ca="1" si="3"/>
        <v/>
      </c>
      <c r="E68" s="97"/>
      <c r="F68" s="25"/>
      <c r="G68" s="99" t="str">
        <f t="shared" si="4"/>
        <v/>
      </c>
      <c r="H68" s="27"/>
      <c r="I68" s="84"/>
      <c r="J68" s="92" t="str">
        <f>IF(AND(A68&lt;&gt;"",E68&lt;&gt;""),IF(I68="","⚠️ Enter Code",IF(IFERROR(VLOOKUP(H68,DB_Agents!$B:$I,8,0),"")=I68,IF(C68&gt;=E68,"Successful","Unsuccessful"),"🔒 BLOCKED — Wrong Code")),"—")</f>
        <v>—</v>
      </c>
      <c r="K68" s="93" t="str">
        <f t="shared" ca="1" si="5"/>
        <v>—</v>
      </c>
      <c r="L68" s="94"/>
    </row>
    <row r="69" spans="1:12" x14ac:dyDescent="0.25">
      <c r="A69" s="79"/>
      <c r="B69" s="21" t="str">
        <f>IF(A69="","",IFERROR(VLOOKUP(A69,DB_Customers!$A:$D,4,0),"❌ Account Not Found"))</f>
        <v/>
      </c>
      <c r="C69" s="80" t="str">
        <f>IF(A69="","",IFERROR(VLOOKUP(A69,DB_Customers!$A:$N,14,0),""))</f>
        <v/>
      </c>
      <c r="D69" s="81" t="str">
        <f t="shared" ca="1" si="3"/>
        <v/>
      </c>
      <c r="E69" s="97"/>
      <c r="F69" s="21"/>
      <c r="G69" s="98" t="str">
        <f t="shared" si="4"/>
        <v/>
      </c>
      <c r="H69" s="23"/>
      <c r="I69" s="84"/>
      <c r="J69" s="85" t="str">
        <f>IF(AND(A69&lt;&gt;"",E69&lt;&gt;""),IF(I69="","⚠️ Enter Code",IF(IFERROR(VLOOKUP(H69,DB_Agents!$B:$I,8,0),"")=I69,IF(C69&gt;=E69,"Successful","Unsuccessful"),"🔒 BLOCKED — Wrong Code")),"—")</f>
        <v>—</v>
      </c>
      <c r="K69" s="86" t="str">
        <f t="shared" ca="1" si="5"/>
        <v>—</v>
      </c>
      <c r="L69" s="87"/>
    </row>
    <row r="70" spans="1:12" x14ac:dyDescent="0.25">
      <c r="A70" s="88"/>
      <c r="B70" s="25" t="str">
        <f>IF(A70="","",IFERROR(VLOOKUP(A70,DB_Customers!$A:$D,4,0),"❌ Account Not Found"))</f>
        <v/>
      </c>
      <c r="C70" s="89" t="str">
        <f>IF(A70="","",IFERROR(VLOOKUP(A70,DB_Customers!$A:$N,14,0),""))</f>
        <v/>
      </c>
      <c r="D70" s="90" t="str">
        <f t="shared" ca="1" si="3"/>
        <v/>
      </c>
      <c r="E70" s="97"/>
      <c r="F70" s="25"/>
      <c r="G70" s="99" t="str">
        <f t="shared" si="4"/>
        <v/>
      </c>
      <c r="H70" s="27"/>
      <c r="I70" s="84"/>
      <c r="J70" s="92" t="str">
        <f>IF(AND(A70&lt;&gt;"",E70&lt;&gt;""),IF(I70="","⚠️ Enter Code",IF(IFERROR(VLOOKUP(H70,DB_Agents!$B:$I,8,0),"")=I70,IF(C70&gt;=E70,"Successful","Unsuccessful"),"🔒 BLOCKED — Wrong Code")),"—")</f>
        <v>—</v>
      </c>
      <c r="K70" s="93" t="str">
        <f t="shared" ca="1" si="5"/>
        <v>—</v>
      </c>
      <c r="L70" s="94"/>
    </row>
    <row r="71" spans="1:12" x14ac:dyDescent="0.25">
      <c r="A71" s="79"/>
      <c r="B71" s="21" t="str">
        <f>IF(A71="","",IFERROR(VLOOKUP(A71,DB_Customers!$A:$D,4,0),"❌ Account Not Found"))</f>
        <v/>
      </c>
      <c r="C71" s="80" t="str">
        <f>IF(A71="","",IFERROR(VLOOKUP(A71,DB_Customers!$A:$N,14,0),""))</f>
        <v/>
      </c>
      <c r="D71" s="81" t="str">
        <f t="shared" ca="1" si="3"/>
        <v/>
      </c>
      <c r="E71" s="97"/>
      <c r="F71" s="21"/>
      <c r="G71" s="98" t="str">
        <f t="shared" si="4"/>
        <v/>
      </c>
      <c r="H71" s="23"/>
      <c r="I71" s="84"/>
      <c r="J71" s="85" t="str">
        <f>IF(AND(A71&lt;&gt;"",E71&lt;&gt;""),IF(I71="","⚠️ Enter Code",IF(IFERROR(VLOOKUP(H71,DB_Agents!$B:$I,8,0),"")=I71,IF(C71&gt;=E71,"Successful","Unsuccessful"),"🔒 BLOCKED — Wrong Code")),"—")</f>
        <v>—</v>
      </c>
      <c r="K71" s="86" t="str">
        <f t="shared" ca="1" si="5"/>
        <v>—</v>
      </c>
      <c r="L71" s="87"/>
    </row>
    <row r="72" spans="1:12" x14ac:dyDescent="0.25">
      <c r="A72" s="88"/>
      <c r="B72" s="25" t="str">
        <f>IF(A72="","",IFERROR(VLOOKUP(A72,DB_Customers!$A:$D,4,0),"❌ Account Not Found"))</f>
        <v/>
      </c>
      <c r="C72" s="89" t="str">
        <f>IF(A72="","",IFERROR(VLOOKUP(A72,DB_Customers!$A:$N,14,0),""))</f>
        <v/>
      </c>
      <c r="D72" s="90" t="str">
        <f t="shared" ca="1" si="3"/>
        <v/>
      </c>
      <c r="E72" s="97"/>
      <c r="F72" s="25"/>
      <c r="G72" s="99" t="str">
        <f t="shared" si="4"/>
        <v/>
      </c>
      <c r="H72" s="27"/>
      <c r="I72" s="84"/>
      <c r="J72" s="92" t="str">
        <f>IF(AND(A72&lt;&gt;"",E72&lt;&gt;""),IF(I72="","⚠️ Enter Code",IF(IFERROR(VLOOKUP(H72,DB_Agents!$B:$I,8,0),"")=I72,IF(C72&gt;=E72,"Successful","Unsuccessful"),"🔒 BLOCKED — Wrong Code")),"—")</f>
        <v>—</v>
      </c>
      <c r="K72" s="93" t="str">
        <f t="shared" ca="1" si="5"/>
        <v>—</v>
      </c>
      <c r="L72" s="94"/>
    </row>
    <row r="73" spans="1:12" x14ac:dyDescent="0.25">
      <c r="A73" s="79"/>
      <c r="B73" s="21" t="str">
        <f>IF(A73="","",IFERROR(VLOOKUP(A73,DB_Customers!$A:$D,4,0),"❌ Account Not Found"))</f>
        <v/>
      </c>
      <c r="C73" s="80" t="str">
        <f>IF(A73="","",IFERROR(VLOOKUP(A73,DB_Customers!$A:$N,14,0),""))</f>
        <v/>
      </c>
      <c r="D73" s="81" t="str">
        <f t="shared" ref="D73:D104" ca="1" si="6">IF(A73="","",TODAY())</f>
        <v/>
      </c>
      <c r="E73" s="97"/>
      <c r="F73" s="21"/>
      <c r="G73" s="98" t="str">
        <f t="shared" ref="G73:G104" si="7">IF(OR(A73="",E73=""),"",IF(C73="","",C73-E73))</f>
        <v/>
      </c>
      <c r="H73" s="23"/>
      <c r="I73" s="84"/>
      <c r="J73" s="85" t="str">
        <f>IF(AND(A73&lt;&gt;"",E73&lt;&gt;""),IF(I73="","⚠️ Enter Code",IF(IFERROR(VLOOKUP(H73,DB_Agents!$B:$I,8,0),"")=I73,IF(C73&gt;=E73,"Successful","Unsuccessful"),"🔒 BLOCKED — Wrong Code")),"—")</f>
        <v>—</v>
      </c>
      <c r="K73" s="86" t="str">
        <f t="shared" ref="K73:K104" ca="1" si="8">IF(J73="Successful",TEXT(TODAY(),"YYYY-MM-DD")&amp;" Auto","—")</f>
        <v>—</v>
      </c>
      <c r="L73" s="87"/>
    </row>
    <row r="74" spans="1:12" x14ac:dyDescent="0.25">
      <c r="A74" s="88"/>
      <c r="B74" s="25" t="str">
        <f>IF(A74="","",IFERROR(VLOOKUP(A74,DB_Customers!$A:$D,4,0),"❌ Account Not Found"))</f>
        <v/>
      </c>
      <c r="C74" s="89" t="str">
        <f>IF(A74="","",IFERROR(VLOOKUP(A74,DB_Customers!$A:$N,14,0),""))</f>
        <v/>
      </c>
      <c r="D74" s="90" t="str">
        <f t="shared" ca="1" si="6"/>
        <v/>
      </c>
      <c r="E74" s="97"/>
      <c r="F74" s="25"/>
      <c r="G74" s="99" t="str">
        <f t="shared" si="7"/>
        <v/>
      </c>
      <c r="H74" s="27"/>
      <c r="I74" s="84"/>
      <c r="J74" s="92" t="str">
        <f>IF(AND(A74&lt;&gt;"",E74&lt;&gt;""),IF(I74="","⚠️ Enter Code",IF(IFERROR(VLOOKUP(H74,DB_Agents!$B:$I,8,0),"")=I74,IF(C74&gt;=E74,"Successful","Unsuccessful"),"🔒 BLOCKED — Wrong Code")),"—")</f>
        <v>—</v>
      </c>
      <c r="K74" s="93" t="str">
        <f t="shared" ca="1" si="8"/>
        <v>—</v>
      </c>
      <c r="L74" s="94"/>
    </row>
    <row r="75" spans="1:12" x14ac:dyDescent="0.25">
      <c r="A75" s="79"/>
      <c r="B75" s="21" t="str">
        <f>IF(A75="","",IFERROR(VLOOKUP(A75,DB_Customers!$A:$D,4,0),"❌ Account Not Found"))</f>
        <v/>
      </c>
      <c r="C75" s="80" t="str">
        <f>IF(A75="","",IFERROR(VLOOKUP(A75,DB_Customers!$A:$N,14,0),""))</f>
        <v/>
      </c>
      <c r="D75" s="81" t="str">
        <f t="shared" ca="1" si="6"/>
        <v/>
      </c>
      <c r="E75" s="97"/>
      <c r="F75" s="21"/>
      <c r="G75" s="98" t="str">
        <f t="shared" si="7"/>
        <v/>
      </c>
      <c r="H75" s="23"/>
      <c r="I75" s="84"/>
      <c r="J75" s="85" t="str">
        <f>IF(AND(A75&lt;&gt;"",E75&lt;&gt;""),IF(I75="","⚠️ Enter Code",IF(IFERROR(VLOOKUP(H75,DB_Agents!$B:$I,8,0),"")=I75,IF(C75&gt;=E75,"Successful","Unsuccessful"),"🔒 BLOCKED — Wrong Code")),"—")</f>
        <v>—</v>
      </c>
      <c r="K75" s="86" t="str">
        <f t="shared" ca="1" si="8"/>
        <v>—</v>
      </c>
      <c r="L75" s="87"/>
    </row>
    <row r="76" spans="1:12" x14ac:dyDescent="0.25">
      <c r="A76" s="88"/>
      <c r="B76" s="25" t="str">
        <f>IF(A76="","",IFERROR(VLOOKUP(A76,DB_Customers!$A:$D,4,0),"❌ Account Not Found"))</f>
        <v/>
      </c>
      <c r="C76" s="89" t="str">
        <f>IF(A76="","",IFERROR(VLOOKUP(A76,DB_Customers!$A:$N,14,0),""))</f>
        <v/>
      </c>
      <c r="D76" s="90" t="str">
        <f t="shared" ca="1" si="6"/>
        <v/>
      </c>
      <c r="E76" s="97"/>
      <c r="F76" s="25"/>
      <c r="G76" s="99" t="str">
        <f t="shared" si="7"/>
        <v/>
      </c>
      <c r="H76" s="27"/>
      <c r="I76" s="84"/>
      <c r="J76" s="92" t="str">
        <f>IF(AND(A76&lt;&gt;"",E76&lt;&gt;""),IF(I76="","⚠️ Enter Code",IF(IFERROR(VLOOKUP(H76,DB_Agents!$B:$I,8,0),"")=I76,IF(C76&gt;=E76,"Successful","Unsuccessful"),"🔒 BLOCKED — Wrong Code")),"—")</f>
        <v>—</v>
      </c>
      <c r="K76" s="93" t="str">
        <f t="shared" ca="1" si="8"/>
        <v>—</v>
      </c>
      <c r="L76" s="94"/>
    </row>
    <row r="77" spans="1:12" x14ac:dyDescent="0.25">
      <c r="A77" s="79"/>
      <c r="B77" s="21" t="str">
        <f>IF(A77="","",IFERROR(VLOOKUP(A77,DB_Customers!$A:$D,4,0),"❌ Account Not Found"))</f>
        <v/>
      </c>
      <c r="C77" s="80" t="str">
        <f>IF(A77="","",IFERROR(VLOOKUP(A77,DB_Customers!$A:$N,14,0),""))</f>
        <v/>
      </c>
      <c r="D77" s="81" t="str">
        <f t="shared" ca="1" si="6"/>
        <v/>
      </c>
      <c r="E77" s="97"/>
      <c r="F77" s="21"/>
      <c r="G77" s="98" t="str">
        <f t="shared" si="7"/>
        <v/>
      </c>
      <c r="H77" s="23"/>
      <c r="I77" s="84"/>
      <c r="J77" s="85" t="str">
        <f>IF(AND(A77&lt;&gt;"",E77&lt;&gt;""),IF(I77="","⚠️ Enter Code",IF(IFERROR(VLOOKUP(H77,DB_Agents!$B:$I,8,0),"")=I77,IF(C77&gt;=E77,"Successful","Unsuccessful"),"🔒 BLOCKED — Wrong Code")),"—")</f>
        <v>—</v>
      </c>
      <c r="K77" s="86" t="str">
        <f t="shared" ca="1" si="8"/>
        <v>—</v>
      </c>
      <c r="L77" s="87"/>
    </row>
    <row r="78" spans="1:12" x14ac:dyDescent="0.25">
      <c r="A78" s="88"/>
      <c r="B78" s="25" t="str">
        <f>IF(A78="","",IFERROR(VLOOKUP(A78,DB_Customers!$A:$D,4,0),"❌ Account Not Found"))</f>
        <v/>
      </c>
      <c r="C78" s="89" t="str">
        <f>IF(A78="","",IFERROR(VLOOKUP(A78,DB_Customers!$A:$N,14,0),""))</f>
        <v/>
      </c>
      <c r="D78" s="90" t="str">
        <f t="shared" ca="1" si="6"/>
        <v/>
      </c>
      <c r="E78" s="97"/>
      <c r="F78" s="25"/>
      <c r="G78" s="99" t="str">
        <f t="shared" si="7"/>
        <v/>
      </c>
      <c r="H78" s="27"/>
      <c r="I78" s="84"/>
      <c r="J78" s="92" t="str">
        <f>IF(AND(A78&lt;&gt;"",E78&lt;&gt;""),IF(I78="","⚠️ Enter Code",IF(IFERROR(VLOOKUP(H78,DB_Agents!$B:$I,8,0),"")=I78,IF(C78&gt;=E78,"Successful","Unsuccessful"),"🔒 BLOCKED — Wrong Code")),"—")</f>
        <v>—</v>
      </c>
      <c r="K78" s="93" t="str">
        <f t="shared" ca="1" si="8"/>
        <v>—</v>
      </c>
      <c r="L78" s="94"/>
    </row>
    <row r="79" spans="1:12" x14ac:dyDescent="0.25">
      <c r="A79" s="79"/>
      <c r="B79" s="21" t="str">
        <f>IF(A79="","",IFERROR(VLOOKUP(A79,DB_Customers!$A:$D,4,0),"❌ Account Not Found"))</f>
        <v/>
      </c>
      <c r="C79" s="80" t="str">
        <f>IF(A79="","",IFERROR(VLOOKUP(A79,DB_Customers!$A:$N,14,0),""))</f>
        <v/>
      </c>
      <c r="D79" s="81" t="str">
        <f t="shared" ca="1" si="6"/>
        <v/>
      </c>
      <c r="E79" s="97"/>
      <c r="F79" s="21"/>
      <c r="G79" s="98" t="str">
        <f t="shared" si="7"/>
        <v/>
      </c>
      <c r="H79" s="23"/>
      <c r="I79" s="84"/>
      <c r="J79" s="85" t="str">
        <f>IF(AND(A79&lt;&gt;"",E79&lt;&gt;""),IF(I79="","⚠️ Enter Code",IF(IFERROR(VLOOKUP(H79,DB_Agents!$B:$I,8,0),"")=I79,IF(C79&gt;=E79,"Successful","Unsuccessful"),"🔒 BLOCKED — Wrong Code")),"—")</f>
        <v>—</v>
      </c>
      <c r="K79" s="86" t="str">
        <f t="shared" ca="1" si="8"/>
        <v>—</v>
      </c>
      <c r="L79" s="87"/>
    </row>
    <row r="80" spans="1:12" x14ac:dyDescent="0.25">
      <c r="A80" s="88"/>
      <c r="B80" s="25" t="str">
        <f>IF(A80="","",IFERROR(VLOOKUP(A80,DB_Customers!$A:$D,4,0),"❌ Account Not Found"))</f>
        <v/>
      </c>
      <c r="C80" s="89" t="str">
        <f>IF(A80="","",IFERROR(VLOOKUP(A80,DB_Customers!$A:$N,14,0),""))</f>
        <v/>
      </c>
      <c r="D80" s="90" t="str">
        <f t="shared" ca="1" si="6"/>
        <v/>
      </c>
      <c r="E80" s="97"/>
      <c r="F80" s="25"/>
      <c r="G80" s="99" t="str">
        <f t="shared" si="7"/>
        <v/>
      </c>
      <c r="H80" s="27"/>
      <c r="I80" s="84"/>
      <c r="J80" s="92" t="str">
        <f>IF(AND(A80&lt;&gt;"",E80&lt;&gt;""),IF(I80="","⚠️ Enter Code",IF(IFERROR(VLOOKUP(H80,DB_Agents!$B:$I,8,0),"")=I80,IF(C80&gt;=E80,"Successful","Unsuccessful"),"🔒 BLOCKED — Wrong Code")),"—")</f>
        <v>—</v>
      </c>
      <c r="K80" s="93" t="str">
        <f t="shared" ca="1" si="8"/>
        <v>—</v>
      </c>
      <c r="L80" s="94"/>
    </row>
    <row r="81" spans="1:12" x14ac:dyDescent="0.25">
      <c r="A81" s="79"/>
      <c r="B81" s="21" t="str">
        <f>IF(A81="","",IFERROR(VLOOKUP(A81,DB_Customers!$A:$D,4,0),"❌ Account Not Found"))</f>
        <v/>
      </c>
      <c r="C81" s="80" t="str">
        <f>IF(A81="","",IFERROR(VLOOKUP(A81,DB_Customers!$A:$N,14,0),""))</f>
        <v/>
      </c>
      <c r="D81" s="81" t="str">
        <f t="shared" ca="1" si="6"/>
        <v/>
      </c>
      <c r="E81" s="97"/>
      <c r="F81" s="21"/>
      <c r="G81" s="98" t="str">
        <f t="shared" si="7"/>
        <v/>
      </c>
      <c r="H81" s="23"/>
      <c r="I81" s="84"/>
      <c r="J81" s="85" t="str">
        <f>IF(AND(A81&lt;&gt;"",E81&lt;&gt;""),IF(I81="","⚠️ Enter Code",IF(IFERROR(VLOOKUP(H81,DB_Agents!$B:$I,8,0),"")=I81,IF(C81&gt;=E81,"Successful","Unsuccessful"),"🔒 BLOCKED — Wrong Code")),"—")</f>
        <v>—</v>
      </c>
      <c r="K81" s="86" t="str">
        <f t="shared" ca="1" si="8"/>
        <v>—</v>
      </c>
      <c r="L81" s="87"/>
    </row>
    <row r="82" spans="1:12" x14ac:dyDescent="0.25">
      <c r="A82" s="88"/>
      <c r="B82" s="25" t="str">
        <f>IF(A82="","",IFERROR(VLOOKUP(A82,DB_Customers!$A:$D,4,0),"❌ Account Not Found"))</f>
        <v/>
      </c>
      <c r="C82" s="89" t="str">
        <f>IF(A82="","",IFERROR(VLOOKUP(A82,DB_Customers!$A:$N,14,0),""))</f>
        <v/>
      </c>
      <c r="D82" s="90" t="str">
        <f t="shared" ca="1" si="6"/>
        <v/>
      </c>
      <c r="E82" s="97"/>
      <c r="F82" s="25"/>
      <c r="G82" s="99" t="str">
        <f t="shared" si="7"/>
        <v/>
      </c>
      <c r="H82" s="27"/>
      <c r="I82" s="84"/>
      <c r="J82" s="92" t="str">
        <f>IF(AND(A82&lt;&gt;"",E82&lt;&gt;""),IF(I82="","⚠️ Enter Code",IF(IFERROR(VLOOKUP(H82,DB_Agents!$B:$I,8,0),"")=I82,IF(C82&gt;=E82,"Successful","Unsuccessful"),"🔒 BLOCKED — Wrong Code")),"—")</f>
        <v>—</v>
      </c>
      <c r="K82" s="93" t="str">
        <f t="shared" ca="1" si="8"/>
        <v>—</v>
      </c>
      <c r="L82" s="94"/>
    </row>
    <row r="83" spans="1:12" x14ac:dyDescent="0.25">
      <c r="A83" s="79"/>
      <c r="B83" s="21" t="str">
        <f>IF(A83="","",IFERROR(VLOOKUP(A83,DB_Customers!$A:$D,4,0),"❌ Account Not Found"))</f>
        <v/>
      </c>
      <c r="C83" s="80" t="str">
        <f>IF(A83="","",IFERROR(VLOOKUP(A83,DB_Customers!$A:$N,14,0),""))</f>
        <v/>
      </c>
      <c r="D83" s="81" t="str">
        <f t="shared" ca="1" si="6"/>
        <v/>
      </c>
      <c r="E83" s="97"/>
      <c r="F83" s="21"/>
      <c r="G83" s="98" t="str">
        <f t="shared" si="7"/>
        <v/>
      </c>
      <c r="H83" s="23"/>
      <c r="I83" s="84"/>
      <c r="J83" s="85" t="str">
        <f>IF(AND(A83&lt;&gt;"",E83&lt;&gt;""),IF(I83="","⚠️ Enter Code",IF(IFERROR(VLOOKUP(H83,DB_Agents!$B:$I,8,0),"")=I83,IF(C83&gt;=E83,"Successful","Unsuccessful"),"🔒 BLOCKED — Wrong Code")),"—")</f>
        <v>—</v>
      </c>
      <c r="K83" s="86" t="str">
        <f t="shared" ca="1" si="8"/>
        <v>—</v>
      </c>
      <c r="L83" s="87"/>
    </row>
    <row r="84" spans="1:12" x14ac:dyDescent="0.25">
      <c r="A84" s="88"/>
      <c r="B84" s="25" t="str">
        <f>IF(A84="","",IFERROR(VLOOKUP(A84,DB_Customers!$A:$D,4,0),"❌ Account Not Found"))</f>
        <v/>
      </c>
      <c r="C84" s="89" t="str">
        <f>IF(A84="","",IFERROR(VLOOKUP(A84,DB_Customers!$A:$N,14,0),""))</f>
        <v/>
      </c>
      <c r="D84" s="90" t="str">
        <f t="shared" ca="1" si="6"/>
        <v/>
      </c>
      <c r="E84" s="97"/>
      <c r="F84" s="25"/>
      <c r="G84" s="99" t="str">
        <f t="shared" si="7"/>
        <v/>
      </c>
      <c r="H84" s="27"/>
      <c r="I84" s="84"/>
      <c r="J84" s="92" t="str">
        <f>IF(AND(A84&lt;&gt;"",E84&lt;&gt;""),IF(I84="","⚠️ Enter Code",IF(IFERROR(VLOOKUP(H84,DB_Agents!$B:$I,8,0),"")=I84,IF(C84&gt;=E84,"Successful","Unsuccessful"),"🔒 BLOCKED — Wrong Code")),"—")</f>
        <v>—</v>
      </c>
      <c r="K84" s="93" t="str">
        <f t="shared" ca="1" si="8"/>
        <v>—</v>
      </c>
      <c r="L84" s="94"/>
    </row>
    <row r="85" spans="1:12" x14ac:dyDescent="0.25">
      <c r="A85" s="79"/>
      <c r="B85" s="21" t="str">
        <f>IF(A85="","",IFERROR(VLOOKUP(A85,DB_Customers!$A:$D,4,0),"❌ Account Not Found"))</f>
        <v/>
      </c>
      <c r="C85" s="80" t="str">
        <f>IF(A85="","",IFERROR(VLOOKUP(A85,DB_Customers!$A:$N,14,0),""))</f>
        <v/>
      </c>
      <c r="D85" s="81" t="str">
        <f t="shared" ca="1" si="6"/>
        <v/>
      </c>
      <c r="E85" s="97"/>
      <c r="F85" s="21"/>
      <c r="G85" s="98" t="str">
        <f t="shared" si="7"/>
        <v/>
      </c>
      <c r="H85" s="23"/>
      <c r="I85" s="84"/>
      <c r="J85" s="85" t="str">
        <f>IF(AND(A85&lt;&gt;"",E85&lt;&gt;""),IF(I85="","⚠️ Enter Code",IF(IFERROR(VLOOKUP(H85,DB_Agents!$B:$I,8,0),"")=I85,IF(C85&gt;=E85,"Successful","Unsuccessful"),"🔒 BLOCKED — Wrong Code")),"—")</f>
        <v>—</v>
      </c>
      <c r="K85" s="86" t="str">
        <f t="shared" ca="1" si="8"/>
        <v>—</v>
      </c>
      <c r="L85" s="87"/>
    </row>
    <row r="86" spans="1:12" x14ac:dyDescent="0.25">
      <c r="A86" s="88"/>
      <c r="B86" s="25" t="str">
        <f>IF(A86="","",IFERROR(VLOOKUP(A86,DB_Customers!$A:$D,4,0),"❌ Account Not Found"))</f>
        <v/>
      </c>
      <c r="C86" s="89" t="str">
        <f>IF(A86="","",IFERROR(VLOOKUP(A86,DB_Customers!$A:$N,14,0),""))</f>
        <v/>
      </c>
      <c r="D86" s="90" t="str">
        <f t="shared" ca="1" si="6"/>
        <v/>
      </c>
      <c r="E86" s="97"/>
      <c r="F86" s="25"/>
      <c r="G86" s="99" t="str">
        <f t="shared" si="7"/>
        <v/>
      </c>
      <c r="H86" s="27"/>
      <c r="I86" s="84"/>
      <c r="J86" s="92" t="str">
        <f>IF(AND(A86&lt;&gt;"",E86&lt;&gt;""),IF(I86="","⚠️ Enter Code",IF(IFERROR(VLOOKUP(H86,DB_Agents!$B:$I,8,0),"")=I86,IF(C86&gt;=E86,"Successful","Unsuccessful"),"🔒 BLOCKED — Wrong Code")),"—")</f>
        <v>—</v>
      </c>
      <c r="K86" s="93" t="str">
        <f t="shared" ca="1" si="8"/>
        <v>—</v>
      </c>
      <c r="L86" s="94"/>
    </row>
    <row r="87" spans="1:12" x14ac:dyDescent="0.25">
      <c r="A87" s="79"/>
      <c r="B87" s="21" t="str">
        <f>IF(A87="","",IFERROR(VLOOKUP(A87,DB_Customers!$A:$D,4,0),"❌ Account Not Found"))</f>
        <v/>
      </c>
      <c r="C87" s="80" t="str">
        <f>IF(A87="","",IFERROR(VLOOKUP(A87,DB_Customers!$A:$N,14,0),""))</f>
        <v/>
      </c>
      <c r="D87" s="81" t="str">
        <f t="shared" ca="1" si="6"/>
        <v/>
      </c>
      <c r="E87" s="97"/>
      <c r="F87" s="21"/>
      <c r="G87" s="98" t="str">
        <f t="shared" si="7"/>
        <v/>
      </c>
      <c r="H87" s="23"/>
      <c r="I87" s="84"/>
      <c r="J87" s="85" t="str">
        <f>IF(AND(A87&lt;&gt;"",E87&lt;&gt;""),IF(I87="","⚠️ Enter Code",IF(IFERROR(VLOOKUP(H87,DB_Agents!$B:$I,8,0),"")=I87,IF(C87&gt;=E87,"Successful","Unsuccessful"),"🔒 BLOCKED — Wrong Code")),"—")</f>
        <v>—</v>
      </c>
      <c r="K87" s="86" t="str">
        <f t="shared" ca="1" si="8"/>
        <v>—</v>
      </c>
      <c r="L87" s="87"/>
    </row>
    <row r="88" spans="1:12" x14ac:dyDescent="0.25">
      <c r="A88" s="88"/>
      <c r="B88" s="25" t="str">
        <f>IF(A88="","",IFERROR(VLOOKUP(A88,DB_Customers!$A:$D,4,0),"❌ Account Not Found"))</f>
        <v/>
      </c>
      <c r="C88" s="89" t="str">
        <f>IF(A88="","",IFERROR(VLOOKUP(A88,DB_Customers!$A:$N,14,0),""))</f>
        <v/>
      </c>
      <c r="D88" s="90" t="str">
        <f t="shared" ca="1" si="6"/>
        <v/>
      </c>
      <c r="E88" s="97"/>
      <c r="F88" s="25"/>
      <c r="G88" s="99" t="str">
        <f t="shared" si="7"/>
        <v/>
      </c>
      <c r="H88" s="27"/>
      <c r="I88" s="84"/>
      <c r="J88" s="92" t="str">
        <f>IF(AND(A88&lt;&gt;"",E88&lt;&gt;""),IF(I88="","⚠️ Enter Code",IF(IFERROR(VLOOKUP(H88,DB_Agents!$B:$I,8,0),"")=I88,IF(C88&gt;=E88,"Successful","Unsuccessful"),"🔒 BLOCKED — Wrong Code")),"—")</f>
        <v>—</v>
      </c>
      <c r="K88" s="93" t="str">
        <f t="shared" ca="1" si="8"/>
        <v>—</v>
      </c>
      <c r="L88" s="94"/>
    </row>
    <row r="89" spans="1:12" x14ac:dyDescent="0.25">
      <c r="A89" s="79"/>
      <c r="B89" s="21" t="str">
        <f>IF(A89="","",IFERROR(VLOOKUP(A89,DB_Customers!$A:$D,4,0),"❌ Account Not Found"))</f>
        <v/>
      </c>
      <c r="C89" s="80" t="str">
        <f>IF(A89="","",IFERROR(VLOOKUP(A89,DB_Customers!$A:$N,14,0),""))</f>
        <v/>
      </c>
      <c r="D89" s="81" t="str">
        <f t="shared" ca="1" si="6"/>
        <v/>
      </c>
      <c r="E89" s="97"/>
      <c r="F89" s="21"/>
      <c r="G89" s="98" t="str">
        <f t="shared" si="7"/>
        <v/>
      </c>
      <c r="H89" s="23"/>
      <c r="I89" s="84"/>
      <c r="J89" s="85" t="str">
        <f>IF(AND(A89&lt;&gt;"",E89&lt;&gt;""),IF(I89="","⚠️ Enter Code",IF(IFERROR(VLOOKUP(H89,DB_Agents!$B:$I,8,0),"")=I89,IF(C89&gt;=E89,"Successful","Unsuccessful"),"🔒 BLOCKED — Wrong Code")),"—")</f>
        <v>—</v>
      </c>
      <c r="K89" s="86" t="str">
        <f t="shared" ca="1" si="8"/>
        <v>—</v>
      </c>
      <c r="L89" s="87"/>
    </row>
    <row r="90" spans="1:12" x14ac:dyDescent="0.25">
      <c r="A90" s="88"/>
      <c r="B90" s="25" t="str">
        <f>IF(A90="","",IFERROR(VLOOKUP(A90,DB_Customers!$A:$D,4,0),"❌ Account Not Found"))</f>
        <v/>
      </c>
      <c r="C90" s="89" t="str">
        <f>IF(A90="","",IFERROR(VLOOKUP(A90,DB_Customers!$A:$N,14,0),""))</f>
        <v/>
      </c>
      <c r="D90" s="90" t="str">
        <f t="shared" ca="1" si="6"/>
        <v/>
      </c>
      <c r="E90" s="97"/>
      <c r="F90" s="25"/>
      <c r="G90" s="99" t="str">
        <f t="shared" si="7"/>
        <v/>
      </c>
      <c r="H90" s="27"/>
      <c r="I90" s="84"/>
      <c r="J90" s="92" t="str">
        <f>IF(AND(A90&lt;&gt;"",E90&lt;&gt;""),IF(I90="","⚠️ Enter Code",IF(IFERROR(VLOOKUP(H90,DB_Agents!$B:$I,8,0),"")=I90,IF(C90&gt;=E90,"Successful","Unsuccessful"),"🔒 BLOCKED — Wrong Code")),"—")</f>
        <v>—</v>
      </c>
      <c r="K90" s="93" t="str">
        <f t="shared" ca="1" si="8"/>
        <v>—</v>
      </c>
      <c r="L90" s="94"/>
    </row>
    <row r="91" spans="1:12" x14ac:dyDescent="0.25">
      <c r="A91" s="79"/>
      <c r="B91" s="21" t="str">
        <f>IF(A91="","",IFERROR(VLOOKUP(A91,DB_Customers!$A:$D,4,0),"❌ Account Not Found"))</f>
        <v/>
      </c>
      <c r="C91" s="80" t="str">
        <f>IF(A91="","",IFERROR(VLOOKUP(A91,DB_Customers!$A:$N,14,0),""))</f>
        <v/>
      </c>
      <c r="D91" s="81" t="str">
        <f t="shared" ca="1" si="6"/>
        <v/>
      </c>
      <c r="E91" s="97"/>
      <c r="F91" s="21"/>
      <c r="G91" s="98" t="str">
        <f t="shared" si="7"/>
        <v/>
      </c>
      <c r="H91" s="23"/>
      <c r="I91" s="84"/>
      <c r="J91" s="85" t="str">
        <f>IF(AND(A91&lt;&gt;"",E91&lt;&gt;""),IF(I91="","⚠️ Enter Code",IF(IFERROR(VLOOKUP(H91,DB_Agents!$B:$I,8,0),"")=I91,IF(C91&gt;=E91,"Successful","Unsuccessful"),"🔒 BLOCKED — Wrong Code")),"—")</f>
        <v>—</v>
      </c>
      <c r="K91" s="86" t="str">
        <f t="shared" ca="1" si="8"/>
        <v>—</v>
      </c>
      <c r="L91" s="87"/>
    </row>
    <row r="92" spans="1:12" x14ac:dyDescent="0.25">
      <c r="A92" s="88"/>
      <c r="B92" s="25" t="str">
        <f>IF(A92="","",IFERROR(VLOOKUP(A92,DB_Customers!$A:$D,4,0),"❌ Account Not Found"))</f>
        <v/>
      </c>
      <c r="C92" s="89" t="str">
        <f>IF(A92="","",IFERROR(VLOOKUP(A92,DB_Customers!$A:$N,14,0),""))</f>
        <v/>
      </c>
      <c r="D92" s="90" t="str">
        <f t="shared" ca="1" si="6"/>
        <v/>
      </c>
      <c r="E92" s="97"/>
      <c r="F92" s="25"/>
      <c r="G92" s="99" t="str">
        <f t="shared" si="7"/>
        <v/>
      </c>
      <c r="H92" s="27"/>
      <c r="I92" s="84"/>
      <c r="J92" s="92" t="str">
        <f>IF(AND(A92&lt;&gt;"",E92&lt;&gt;""),IF(I92="","⚠️ Enter Code",IF(IFERROR(VLOOKUP(H92,DB_Agents!$B:$I,8,0),"")=I92,IF(C92&gt;=E92,"Successful","Unsuccessful"),"🔒 BLOCKED — Wrong Code")),"—")</f>
        <v>—</v>
      </c>
      <c r="K92" s="93" t="str">
        <f t="shared" ca="1" si="8"/>
        <v>—</v>
      </c>
      <c r="L92" s="94"/>
    </row>
    <row r="93" spans="1:12" x14ac:dyDescent="0.25">
      <c r="A93" s="79"/>
      <c r="B93" s="21" t="str">
        <f>IF(A93="","",IFERROR(VLOOKUP(A93,DB_Customers!$A:$D,4,0),"❌ Account Not Found"))</f>
        <v/>
      </c>
      <c r="C93" s="80" t="str">
        <f>IF(A93="","",IFERROR(VLOOKUP(A93,DB_Customers!$A:$N,14,0),""))</f>
        <v/>
      </c>
      <c r="D93" s="81" t="str">
        <f t="shared" ca="1" si="6"/>
        <v/>
      </c>
      <c r="E93" s="97"/>
      <c r="F93" s="21"/>
      <c r="G93" s="98" t="str">
        <f t="shared" si="7"/>
        <v/>
      </c>
      <c r="H93" s="23"/>
      <c r="I93" s="84"/>
      <c r="J93" s="85" t="str">
        <f>IF(AND(A93&lt;&gt;"",E93&lt;&gt;""),IF(I93="","⚠️ Enter Code",IF(IFERROR(VLOOKUP(H93,DB_Agents!$B:$I,8,0),"")=I93,IF(C93&gt;=E93,"Successful","Unsuccessful"),"🔒 BLOCKED — Wrong Code")),"—")</f>
        <v>—</v>
      </c>
      <c r="K93" s="86" t="str">
        <f t="shared" ca="1" si="8"/>
        <v>—</v>
      </c>
      <c r="L93" s="87"/>
    </row>
    <row r="94" spans="1:12" x14ac:dyDescent="0.25">
      <c r="A94" s="88"/>
      <c r="B94" s="25" t="str">
        <f>IF(A94="","",IFERROR(VLOOKUP(A94,DB_Customers!$A:$D,4,0),"❌ Account Not Found"))</f>
        <v/>
      </c>
      <c r="C94" s="89" t="str">
        <f>IF(A94="","",IFERROR(VLOOKUP(A94,DB_Customers!$A:$N,14,0),""))</f>
        <v/>
      </c>
      <c r="D94" s="90" t="str">
        <f t="shared" ca="1" si="6"/>
        <v/>
      </c>
      <c r="E94" s="97"/>
      <c r="F94" s="25"/>
      <c r="G94" s="99" t="str">
        <f t="shared" si="7"/>
        <v/>
      </c>
      <c r="H94" s="27"/>
      <c r="I94" s="84"/>
      <c r="J94" s="92" t="str">
        <f>IF(AND(A94&lt;&gt;"",E94&lt;&gt;""),IF(I94="","⚠️ Enter Code",IF(IFERROR(VLOOKUP(H94,DB_Agents!$B:$I,8,0),"")=I94,IF(C94&gt;=E94,"Successful","Unsuccessful"),"🔒 BLOCKED — Wrong Code")),"—")</f>
        <v>—</v>
      </c>
      <c r="K94" s="93" t="str">
        <f t="shared" ca="1" si="8"/>
        <v>—</v>
      </c>
      <c r="L94" s="94"/>
    </row>
    <row r="95" spans="1:12" x14ac:dyDescent="0.25">
      <c r="A95" s="79"/>
      <c r="B95" s="21" t="str">
        <f>IF(A95="","",IFERROR(VLOOKUP(A95,DB_Customers!$A:$D,4,0),"❌ Account Not Found"))</f>
        <v/>
      </c>
      <c r="C95" s="80" t="str">
        <f>IF(A95="","",IFERROR(VLOOKUP(A95,DB_Customers!$A:$N,14,0),""))</f>
        <v/>
      </c>
      <c r="D95" s="81" t="str">
        <f t="shared" ca="1" si="6"/>
        <v/>
      </c>
      <c r="E95" s="97"/>
      <c r="F95" s="21"/>
      <c r="G95" s="98" t="str">
        <f t="shared" si="7"/>
        <v/>
      </c>
      <c r="H95" s="23"/>
      <c r="I95" s="84"/>
      <c r="J95" s="85" t="str">
        <f>IF(AND(A95&lt;&gt;"",E95&lt;&gt;""),IF(I95="","⚠️ Enter Code",IF(IFERROR(VLOOKUP(H95,DB_Agents!$B:$I,8,0),"")=I95,IF(C95&gt;=E95,"Successful","Unsuccessful"),"🔒 BLOCKED — Wrong Code")),"—")</f>
        <v>—</v>
      </c>
      <c r="K95" s="86" t="str">
        <f t="shared" ca="1" si="8"/>
        <v>—</v>
      </c>
      <c r="L95" s="87"/>
    </row>
    <row r="96" spans="1:12" x14ac:dyDescent="0.25">
      <c r="A96" s="88"/>
      <c r="B96" s="25" t="str">
        <f>IF(A96="","",IFERROR(VLOOKUP(A96,DB_Customers!$A:$D,4,0),"❌ Account Not Found"))</f>
        <v/>
      </c>
      <c r="C96" s="89" t="str">
        <f>IF(A96="","",IFERROR(VLOOKUP(A96,DB_Customers!$A:$N,14,0),""))</f>
        <v/>
      </c>
      <c r="D96" s="90" t="str">
        <f t="shared" ca="1" si="6"/>
        <v/>
      </c>
      <c r="E96" s="97"/>
      <c r="F96" s="25"/>
      <c r="G96" s="99" t="str">
        <f t="shared" si="7"/>
        <v/>
      </c>
      <c r="H96" s="27"/>
      <c r="I96" s="84"/>
      <c r="J96" s="92" t="str">
        <f>IF(AND(A96&lt;&gt;"",E96&lt;&gt;""),IF(I96="","⚠️ Enter Code",IF(IFERROR(VLOOKUP(H96,DB_Agents!$B:$I,8,0),"")=I96,IF(C96&gt;=E96,"Successful","Unsuccessful"),"🔒 BLOCKED — Wrong Code")),"—")</f>
        <v>—</v>
      </c>
      <c r="K96" s="93" t="str">
        <f t="shared" ca="1" si="8"/>
        <v>—</v>
      </c>
      <c r="L96" s="94"/>
    </row>
    <row r="97" spans="1:12" x14ac:dyDescent="0.25">
      <c r="A97" s="79"/>
      <c r="B97" s="21" t="str">
        <f>IF(A97="","",IFERROR(VLOOKUP(A97,DB_Customers!$A:$D,4,0),"❌ Account Not Found"))</f>
        <v/>
      </c>
      <c r="C97" s="80" t="str">
        <f>IF(A97="","",IFERROR(VLOOKUP(A97,DB_Customers!$A:$N,14,0),""))</f>
        <v/>
      </c>
      <c r="D97" s="81" t="str">
        <f t="shared" ca="1" si="6"/>
        <v/>
      </c>
      <c r="E97" s="97"/>
      <c r="F97" s="21"/>
      <c r="G97" s="98" t="str">
        <f t="shared" si="7"/>
        <v/>
      </c>
      <c r="H97" s="23"/>
      <c r="I97" s="84"/>
      <c r="J97" s="85" t="str">
        <f>IF(AND(A97&lt;&gt;"",E97&lt;&gt;""),IF(I97="","⚠️ Enter Code",IF(IFERROR(VLOOKUP(H97,DB_Agents!$B:$I,8,0),"")=I97,IF(C97&gt;=E97,"Successful","Unsuccessful"),"🔒 BLOCKED — Wrong Code")),"—")</f>
        <v>—</v>
      </c>
      <c r="K97" s="86" t="str">
        <f t="shared" ca="1" si="8"/>
        <v>—</v>
      </c>
      <c r="L97" s="87"/>
    </row>
    <row r="98" spans="1:12" x14ac:dyDescent="0.25">
      <c r="A98" s="88"/>
      <c r="B98" s="25" t="str">
        <f>IF(A98="","",IFERROR(VLOOKUP(A98,DB_Customers!$A:$D,4,0),"❌ Account Not Found"))</f>
        <v/>
      </c>
      <c r="C98" s="89" t="str">
        <f>IF(A98="","",IFERROR(VLOOKUP(A98,DB_Customers!$A:$N,14,0),""))</f>
        <v/>
      </c>
      <c r="D98" s="90" t="str">
        <f t="shared" ca="1" si="6"/>
        <v/>
      </c>
      <c r="E98" s="97"/>
      <c r="F98" s="25"/>
      <c r="G98" s="99" t="str">
        <f t="shared" si="7"/>
        <v/>
      </c>
      <c r="H98" s="27"/>
      <c r="I98" s="84"/>
      <c r="J98" s="92" t="str">
        <f>IF(AND(A98&lt;&gt;"",E98&lt;&gt;""),IF(I98="","⚠️ Enter Code",IF(IFERROR(VLOOKUP(H98,DB_Agents!$B:$I,8,0),"")=I98,IF(C98&gt;=E98,"Successful","Unsuccessful"),"🔒 BLOCKED — Wrong Code")),"—")</f>
        <v>—</v>
      </c>
      <c r="K98" s="93" t="str">
        <f t="shared" ca="1" si="8"/>
        <v>—</v>
      </c>
      <c r="L98" s="94"/>
    </row>
    <row r="99" spans="1:12" x14ac:dyDescent="0.25">
      <c r="A99" s="79"/>
      <c r="B99" s="21" t="str">
        <f>IF(A99="","",IFERROR(VLOOKUP(A99,DB_Customers!$A:$D,4,0),"❌ Account Not Found"))</f>
        <v/>
      </c>
      <c r="C99" s="80" t="str">
        <f>IF(A99="","",IFERROR(VLOOKUP(A99,DB_Customers!$A:$N,14,0),""))</f>
        <v/>
      </c>
      <c r="D99" s="81" t="str">
        <f t="shared" ca="1" si="6"/>
        <v/>
      </c>
      <c r="E99" s="97"/>
      <c r="F99" s="21"/>
      <c r="G99" s="98" t="str">
        <f t="shared" si="7"/>
        <v/>
      </c>
      <c r="H99" s="23"/>
      <c r="I99" s="84"/>
      <c r="J99" s="85" t="str">
        <f>IF(AND(A99&lt;&gt;"",E99&lt;&gt;""),IF(I99="","⚠️ Enter Code",IF(IFERROR(VLOOKUP(H99,DB_Agents!$B:$I,8,0),"")=I99,IF(C99&gt;=E99,"Successful","Unsuccessful"),"🔒 BLOCKED — Wrong Code")),"—")</f>
        <v>—</v>
      </c>
      <c r="K99" s="86" t="str">
        <f t="shared" ca="1" si="8"/>
        <v>—</v>
      </c>
      <c r="L99" s="87"/>
    </row>
    <row r="100" spans="1:12" x14ac:dyDescent="0.25">
      <c r="A100" s="88"/>
      <c r="B100" s="25" t="str">
        <f>IF(A100="","",IFERROR(VLOOKUP(A100,DB_Customers!$A:$D,4,0),"❌ Account Not Found"))</f>
        <v/>
      </c>
      <c r="C100" s="89" t="str">
        <f>IF(A100="","",IFERROR(VLOOKUP(A100,DB_Customers!$A:$N,14,0),""))</f>
        <v/>
      </c>
      <c r="D100" s="90" t="str">
        <f t="shared" ca="1" si="6"/>
        <v/>
      </c>
      <c r="E100" s="97"/>
      <c r="F100" s="25"/>
      <c r="G100" s="99" t="str">
        <f t="shared" si="7"/>
        <v/>
      </c>
      <c r="H100" s="27"/>
      <c r="I100" s="84"/>
      <c r="J100" s="92" t="str">
        <f>IF(AND(A100&lt;&gt;"",E100&lt;&gt;""),IF(I100="","⚠️ Enter Code",IF(IFERROR(VLOOKUP(H100,DB_Agents!$B:$I,8,0),"")=I100,IF(C100&gt;=E100,"Successful","Unsuccessful"),"🔒 BLOCKED — Wrong Code")),"—")</f>
        <v>—</v>
      </c>
      <c r="K100" s="93" t="str">
        <f t="shared" ca="1" si="8"/>
        <v>—</v>
      </c>
      <c r="L100" s="94"/>
    </row>
    <row r="101" spans="1:12" x14ac:dyDescent="0.25">
      <c r="A101" s="79"/>
      <c r="B101" s="21" t="str">
        <f>IF(A101="","",IFERROR(VLOOKUP(A101,DB_Customers!$A:$D,4,0),"❌ Account Not Found"))</f>
        <v/>
      </c>
      <c r="C101" s="80" t="str">
        <f>IF(A101="","",IFERROR(VLOOKUP(A101,DB_Customers!$A:$N,14,0),""))</f>
        <v/>
      </c>
      <c r="D101" s="81" t="str">
        <f t="shared" ca="1" si="6"/>
        <v/>
      </c>
      <c r="E101" s="97"/>
      <c r="F101" s="21"/>
      <c r="G101" s="98" t="str">
        <f t="shared" si="7"/>
        <v/>
      </c>
      <c r="H101" s="23"/>
      <c r="I101" s="84"/>
      <c r="J101" s="85" t="str">
        <f>IF(AND(A101&lt;&gt;"",E101&lt;&gt;""),IF(I101="","⚠️ Enter Code",IF(IFERROR(VLOOKUP(H101,DB_Agents!$B:$I,8,0),"")=I101,IF(C101&gt;=E101,"Successful","Unsuccessful"),"🔒 BLOCKED — Wrong Code")),"—")</f>
        <v>—</v>
      </c>
      <c r="K101" s="86" t="str">
        <f t="shared" ca="1" si="8"/>
        <v>—</v>
      </c>
      <c r="L101" s="87"/>
    </row>
    <row r="102" spans="1:12" x14ac:dyDescent="0.25">
      <c r="A102" s="88"/>
      <c r="B102" s="25" t="str">
        <f>IF(A102="","",IFERROR(VLOOKUP(A102,DB_Customers!$A:$D,4,0),"❌ Account Not Found"))</f>
        <v/>
      </c>
      <c r="C102" s="89" t="str">
        <f>IF(A102="","",IFERROR(VLOOKUP(A102,DB_Customers!$A:$N,14,0),""))</f>
        <v/>
      </c>
      <c r="D102" s="90" t="str">
        <f t="shared" ca="1" si="6"/>
        <v/>
      </c>
      <c r="E102" s="97"/>
      <c r="F102" s="25"/>
      <c r="G102" s="99" t="str">
        <f t="shared" si="7"/>
        <v/>
      </c>
      <c r="H102" s="27"/>
      <c r="I102" s="84"/>
      <c r="J102" s="92" t="str">
        <f>IF(AND(A102&lt;&gt;"",E102&lt;&gt;""),IF(I102="","⚠️ Enter Code",IF(IFERROR(VLOOKUP(H102,DB_Agents!$B:$I,8,0),"")=I102,IF(C102&gt;=E102,"Successful","Unsuccessful"),"🔒 BLOCKED — Wrong Code")),"—")</f>
        <v>—</v>
      </c>
      <c r="K102" s="93" t="str">
        <f t="shared" ca="1" si="8"/>
        <v>—</v>
      </c>
      <c r="L102" s="94"/>
    </row>
    <row r="103" spans="1:12" x14ac:dyDescent="0.25">
      <c r="A103" s="79"/>
      <c r="B103" s="21" t="str">
        <f>IF(A103="","",IFERROR(VLOOKUP(A103,DB_Customers!$A:$D,4,0),"❌ Account Not Found"))</f>
        <v/>
      </c>
      <c r="C103" s="80" t="str">
        <f>IF(A103="","",IFERROR(VLOOKUP(A103,DB_Customers!$A:$N,14,0),""))</f>
        <v/>
      </c>
      <c r="D103" s="81" t="str">
        <f t="shared" ca="1" si="6"/>
        <v/>
      </c>
      <c r="E103" s="97"/>
      <c r="F103" s="21"/>
      <c r="G103" s="98" t="str">
        <f t="shared" si="7"/>
        <v/>
      </c>
      <c r="H103" s="23"/>
      <c r="I103" s="84"/>
      <c r="J103" s="85" t="str">
        <f>IF(AND(A103&lt;&gt;"",E103&lt;&gt;""),IF(I103="","⚠️ Enter Code",IF(IFERROR(VLOOKUP(H103,DB_Agents!$B:$I,8,0),"")=I103,IF(C103&gt;=E103,"Successful","Unsuccessful"),"🔒 BLOCKED — Wrong Code")),"—")</f>
        <v>—</v>
      </c>
      <c r="K103" s="86" t="str">
        <f t="shared" ca="1" si="8"/>
        <v>—</v>
      </c>
      <c r="L103" s="87"/>
    </row>
    <row r="104" spans="1:12" x14ac:dyDescent="0.25">
      <c r="A104" s="88"/>
      <c r="B104" s="25" t="str">
        <f>IF(A104="","",IFERROR(VLOOKUP(A104,DB_Customers!$A:$D,4,0),"❌ Account Not Found"))</f>
        <v/>
      </c>
      <c r="C104" s="89" t="str">
        <f>IF(A104="","",IFERROR(VLOOKUP(A104,DB_Customers!$A:$N,14,0),""))</f>
        <v/>
      </c>
      <c r="D104" s="90" t="str">
        <f t="shared" ca="1" si="6"/>
        <v/>
      </c>
      <c r="E104" s="97"/>
      <c r="F104" s="25"/>
      <c r="G104" s="99" t="str">
        <f t="shared" si="7"/>
        <v/>
      </c>
      <c r="H104" s="27"/>
      <c r="I104" s="84"/>
      <c r="J104" s="92" t="str">
        <f>IF(AND(A104&lt;&gt;"",E104&lt;&gt;""),IF(I104="","⚠️ Enter Code",IF(IFERROR(VLOOKUP(H104,DB_Agents!$B:$I,8,0),"")=I104,IF(C104&gt;=E104,"Successful","Unsuccessful"),"🔒 BLOCKED — Wrong Code")),"—")</f>
        <v>—</v>
      </c>
      <c r="K104" s="93" t="str">
        <f t="shared" ca="1" si="8"/>
        <v>—</v>
      </c>
      <c r="L104" s="94"/>
    </row>
    <row r="105" spans="1:12" x14ac:dyDescent="0.25">
      <c r="A105" s="79"/>
      <c r="B105" s="21" t="str">
        <f>IF(A105="","",IFERROR(VLOOKUP(A105,DB_Customers!$A:$D,4,0),"❌ Account Not Found"))</f>
        <v/>
      </c>
      <c r="C105" s="80" t="str">
        <f>IF(A105="","",IFERROR(VLOOKUP(A105,DB_Customers!$A:$N,14,0),""))</f>
        <v/>
      </c>
      <c r="D105" s="81" t="str">
        <f t="shared" ref="D105:D136" ca="1" si="9">IF(A105="","",TODAY())</f>
        <v/>
      </c>
      <c r="E105" s="97"/>
      <c r="F105" s="21"/>
      <c r="G105" s="98" t="str">
        <f t="shared" ref="G105:G136" si="10">IF(OR(A105="",E105=""),"",IF(C105="","",C105-E105))</f>
        <v/>
      </c>
      <c r="H105" s="23"/>
      <c r="I105" s="84"/>
      <c r="J105" s="85" t="str">
        <f>IF(AND(A105&lt;&gt;"",E105&lt;&gt;""),IF(I105="","⚠️ Enter Code",IF(IFERROR(VLOOKUP(H105,DB_Agents!$B:$I,8,0),"")=I105,IF(C105&gt;=E105,"Successful","Unsuccessful"),"🔒 BLOCKED — Wrong Code")),"—")</f>
        <v>—</v>
      </c>
      <c r="K105" s="86" t="str">
        <f t="shared" ref="K105:K136" ca="1" si="11">IF(J105="Successful",TEXT(TODAY(),"YYYY-MM-DD")&amp;" Auto","—")</f>
        <v>—</v>
      </c>
      <c r="L105" s="87"/>
    </row>
    <row r="106" spans="1:12" x14ac:dyDescent="0.25">
      <c r="A106" s="88"/>
      <c r="B106" s="25" t="str">
        <f>IF(A106="","",IFERROR(VLOOKUP(A106,DB_Customers!$A:$D,4,0),"❌ Account Not Found"))</f>
        <v/>
      </c>
      <c r="C106" s="89" t="str">
        <f>IF(A106="","",IFERROR(VLOOKUP(A106,DB_Customers!$A:$N,14,0),""))</f>
        <v/>
      </c>
      <c r="D106" s="90" t="str">
        <f t="shared" ca="1" si="9"/>
        <v/>
      </c>
      <c r="E106" s="97"/>
      <c r="F106" s="25"/>
      <c r="G106" s="99" t="str">
        <f t="shared" si="10"/>
        <v/>
      </c>
      <c r="H106" s="27"/>
      <c r="I106" s="84"/>
      <c r="J106" s="92" t="str">
        <f>IF(AND(A106&lt;&gt;"",E106&lt;&gt;""),IF(I106="","⚠️ Enter Code",IF(IFERROR(VLOOKUP(H106,DB_Agents!$B:$I,8,0),"")=I106,IF(C106&gt;=E106,"Successful","Unsuccessful"),"🔒 BLOCKED — Wrong Code")),"—")</f>
        <v>—</v>
      </c>
      <c r="K106" s="93" t="str">
        <f t="shared" ca="1" si="11"/>
        <v>—</v>
      </c>
      <c r="L106" s="94"/>
    </row>
    <row r="107" spans="1:12" x14ac:dyDescent="0.25">
      <c r="A107" s="79"/>
      <c r="B107" s="21" t="str">
        <f>IF(A107="","",IFERROR(VLOOKUP(A107,DB_Customers!$A:$D,4,0),"❌ Account Not Found"))</f>
        <v/>
      </c>
      <c r="C107" s="80" t="str">
        <f>IF(A107="","",IFERROR(VLOOKUP(A107,DB_Customers!$A:$N,14,0),""))</f>
        <v/>
      </c>
      <c r="D107" s="81" t="str">
        <f t="shared" ca="1" si="9"/>
        <v/>
      </c>
      <c r="E107" s="97"/>
      <c r="F107" s="21"/>
      <c r="G107" s="98" t="str">
        <f t="shared" si="10"/>
        <v/>
      </c>
      <c r="H107" s="23"/>
      <c r="I107" s="84"/>
      <c r="J107" s="85" t="str">
        <f>IF(AND(A107&lt;&gt;"",E107&lt;&gt;""),IF(I107="","⚠️ Enter Code",IF(IFERROR(VLOOKUP(H107,DB_Agents!$B:$I,8,0),"")=I107,IF(C107&gt;=E107,"Successful","Unsuccessful"),"🔒 BLOCKED — Wrong Code")),"—")</f>
        <v>—</v>
      </c>
      <c r="K107" s="86" t="str">
        <f t="shared" ca="1" si="11"/>
        <v>—</v>
      </c>
      <c r="L107" s="87"/>
    </row>
    <row r="108" spans="1:12" x14ac:dyDescent="0.25">
      <c r="A108" s="88"/>
      <c r="B108" s="25" t="str">
        <f>IF(A108="","",IFERROR(VLOOKUP(A108,DB_Customers!$A:$D,4,0),"❌ Account Not Found"))</f>
        <v/>
      </c>
      <c r="C108" s="89" t="str">
        <f>IF(A108="","",IFERROR(VLOOKUP(A108,DB_Customers!$A:$N,14,0),""))</f>
        <v/>
      </c>
      <c r="D108" s="90" t="str">
        <f t="shared" ca="1" si="9"/>
        <v/>
      </c>
      <c r="E108" s="97"/>
      <c r="F108" s="25"/>
      <c r="G108" s="99" t="str">
        <f t="shared" si="10"/>
        <v/>
      </c>
      <c r="H108" s="27"/>
      <c r="I108" s="84"/>
      <c r="J108" s="92" t="str">
        <f>IF(AND(A108&lt;&gt;"",E108&lt;&gt;""),IF(I108="","⚠️ Enter Code",IF(IFERROR(VLOOKUP(H108,DB_Agents!$B:$I,8,0),"")=I108,IF(C108&gt;=E108,"Successful","Unsuccessful"),"🔒 BLOCKED — Wrong Code")),"—")</f>
        <v>—</v>
      </c>
      <c r="K108" s="93" t="str">
        <f t="shared" ca="1" si="11"/>
        <v>—</v>
      </c>
      <c r="L108" s="94"/>
    </row>
    <row r="109" spans="1:12" x14ac:dyDescent="0.25">
      <c r="A109" s="79"/>
      <c r="B109" s="21" t="str">
        <f>IF(A109="","",IFERROR(VLOOKUP(A109,DB_Customers!$A:$D,4,0),"❌ Account Not Found"))</f>
        <v/>
      </c>
      <c r="C109" s="80" t="str">
        <f>IF(A109="","",IFERROR(VLOOKUP(A109,DB_Customers!$A:$N,14,0),""))</f>
        <v/>
      </c>
      <c r="D109" s="81" t="str">
        <f t="shared" ca="1" si="9"/>
        <v/>
      </c>
      <c r="E109" s="97"/>
      <c r="F109" s="21"/>
      <c r="G109" s="98" t="str">
        <f t="shared" si="10"/>
        <v/>
      </c>
      <c r="H109" s="23"/>
      <c r="I109" s="84"/>
      <c r="J109" s="85" t="str">
        <f>IF(AND(A109&lt;&gt;"",E109&lt;&gt;""),IF(I109="","⚠️ Enter Code",IF(IFERROR(VLOOKUP(H109,DB_Agents!$B:$I,8,0),"")=I109,IF(C109&gt;=E109,"Successful","Unsuccessful"),"🔒 BLOCKED — Wrong Code")),"—")</f>
        <v>—</v>
      </c>
      <c r="K109" s="86" t="str">
        <f t="shared" ca="1" si="11"/>
        <v>—</v>
      </c>
      <c r="L109" s="87"/>
    </row>
    <row r="110" spans="1:12" x14ac:dyDescent="0.25">
      <c r="A110" s="88"/>
      <c r="B110" s="25" t="str">
        <f>IF(A110="","",IFERROR(VLOOKUP(A110,DB_Customers!$A:$D,4,0),"❌ Account Not Found"))</f>
        <v/>
      </c>
      <c r="C110" s="89" t="str">
        <f>IF(A110="","",IFERROR(VLOOKUP(A110,DB_Customers!$A:$N,14,0),""))</f>
        <v/>
      </c>
      <c r="D110" s="90" t="str">
        <f t="shared" ca="1" si="9"/>
        <v/>
      </c>
      <c r="E110" s="97"/>
      <c r="F110" s="25"/>
      <c r="G110" s="99" t="str">
        <f t="shared" si="10"/>
        <v/>
      </c>
      <c r="H110" s="27"/>
      <c r="I110" s="84"/>
      <c r="J110" s="92" t="str">
        <f>IF(AND(A110&lt;&gt;"",E110&lt;&gt;""),IF(I110="","⚠️ Enter Code",IF(IFERROR(VLOOKUP(H110,DB_Agents!$B:$I,8,0),"")=I110,IF(C110&gt;=E110,"Successful","Unsuccessful"),"🔒 BLOCKED — Wrong Code")),"—")</f>
        <v>—</v>
      </c>
      <c r="K110" s="93" t="str">
        <f t="shared" ca="1" si="11"/>
        <v>—</v>
      </c>
      <c r="L110" s="94"/>
    </row>
    <row r="111" spans="1:12" x14ac:dyDescent="0.25">
      <c r="A111" s="79"/>
      <c r="B111" s="21" t="str">
        <f>IF(A111="","",IFERROR(VLOOKUP(A111,DB_Customers!$A:$D,4,0),"❌ Account Not Found"))</f>
        <v/>
      </c>
      <c r="C111" s="80" t="str">
        <f>IF(A111="","",IFERROR(VLOOKUP(A111,DB_Customers!$A:$N,14,0),""))</f>
        <v/>
      </c>
      <c r="D111" s="81" t="str">
        <f t="shared" ca="1" si="9"/>
        <v/>
      </c>
      <c r="E111" s="97"/>
      <c r="F111" s="21"/>
      <c r="G111" s="98" t="str">
        <f t="shared" si="10"/>
        <v/>
      </c>
      <c r="H111" s="23"/>
      <c r="I111" s="84"/>
      <c r="J111" s="85" t="str">
        <f>IF(AND(A111&lt;&gt;"",E111&lt;&gt;""),IF(I111="","⚠️ Enter Code",IF(IFERROR(VLOOKUP(H111,DB_Agents!$B:$I,8,0),"")=I111,IF(C111&gt;=E111,"Successful","Unsuccessful"),"🔒 BLOCKED — Wrong Code")),"—")</f>
        <v>—</v>
      </c>
      <c r="K111" s="86" t="str">
        <f t="shared" ca="1" si="11"/>
        <v>—</v>
      </c>
      <c r="L111" s="87"/>
    </row>
    <row r="112" spans="1:12" x14ac:dyDescent="0.25">
      <c r="A112" s="88"/>
      <c r="B112" s="25" t="str">
        <f>IF(A112="","",IFERROR(VLOOKUP(A112,DB_Customers!$A:$D,4,0),"❌ Account Not Found"))</f>
        <v/>
      </c>
      <c r="C112" s="89" t="str">
        <f>IF(A112="","",IFERROR(VLOOKUP(A112,DB_Customers!$A:$N,14,0),""))</f>
        <v/>
      </c>
      <c r="D112" s="90" t="str">
        <f t="shared" ca="1" si="9"/>
        <v/>
      </c>
      <c r="E112" s="97"/>
      <c r="F112" s="25"/>
      <c r="G112" s="99" t="str">
        <f t="shared" si="10"/>
        <v/>
      </c>
      <c r="H112" s="27"/>
      <c r="I112" s="84"/>
      <c r="J112" s="92" t="str">
        <f>IF(AND(A112&lt;&gt;"",E112&lt;&gt;""),IF(I112="","⚠️ Enter Code",IF(IFERROR(VLOOKUP(H112,DB_Agents!$B:$I,8,0),"")=I112,IF(C112&gt;=E112,"Successful","Unsuccessful"),"🔒 BLOCKED — Wrong Code")),"—")</f>
        <v>—</v>
      </c>
      <c r="K112" s="93" t="str">
        <f t="shared" ca="1" si="11"/>
        <v>—</v>
      </c>
      <c r="L112" s="94"/>
    </row>
    <row r="113" spans="1:12" x14ac:dyDescent="0.25">
      <c r="A113" s="79"/>
      <c r="B113" s="21" t="str">
        <f>IF(A113="","",IFERROR(VLOOKUP(A113,DB_Customers!$A:$D,4,0),"❌ Account Not Found"))</f>
        <v/>
      </c>
      <c r="C113" s="80" t="str">
        <f>IF(A113="","",IFERROR(VLOOKUP(A113,DB_Customers!$A:$N,14,0),""))</f>
        <v/>
      </c>
      <c r="D113" s="81" t="str">
        <f t="shared" ca="1" si="9"/>
        <v/>
      </c>
      <c r="E113" s="97"/>
      <c r="F113" s="21"/>
      <c r="G113" s="98" t="str">
        <f t="shared" si="10"/>
        <v/>
      </c>
      <c r="H113" s="23"/>
      <c r="I113" s="84"/>
      <c r="J113" s="85" t="str">
        <f>IF(AND(A113&lt;&gt;"",E113&lt;&gt;""),IF(I113="","⚠️ Enter Code",IF(IFERROR(VLOOKUP(H113,DB_Agents!$B:$I,8,0),"")=I113,IF(C113&gt;=E113,"Successful","Unsuccessful"),"🔒 BLOCKED — Wrong Code")),"—")</f>
        <v>—</v>
      </c>
      <c r="K113" s="86" t="str">
        <f t="shared" ca="1" si="11"/>
        <v>—</v>
      </c>
      <c r="L113" s="87"/>
    </row>
    <row r="114" spans="1:12" x14ac:dyDescent="0.25">
      <c r="A114" s="88"/>
      <c r="B114" s="25" t="str">
        <f>IF(A114="","",IFERROR(VLOOKUP(A114,DB_Customers!$A:$D,4,0),"❌ Account Not Found"))</f>
        <v/>
      </c>
      <c r="C114" s="89" t="str">
        <f>IF(A114="","",IFERROR(VLOOKUP(A114,DB_Customers!$A:$N,14,0),""))</f>
        <v/>
      </c>
      <c r="D114" s="90" t="str">
        <f t="shared" ca="1" si="9"/>
        <v/>
      </c>
      <c r="E114" s="97"/>
      <c r="F114" s="25"/>
      <c r="G114" s="99" t="str">
        <f t="shared" si="10"/>
        <v/>
      </c>
      <c r="H114" s="27"/>
      <c r="I114" s="84"/>
      <c r="J114" s="92" t="str">
        <f>IF(AND(A114&lt;&gt;"",E114&lt;&gt;""),IF(I114="","⚠️ Enter Code",IF(IFERROR(VLOOKUP(H114,DB_Agents!$B:$I,8,0),"")=I114,IF(C114&gt;=E114,"Successful","Unsuccessful"),"🔒 BLOCKED — Wrong Code")),"—")</f>
        <v>—</v>
      </c>
      <c r="K114" s="93" t="str">
        <f t="shared" ca="1" si="11"/>
        <v>—</v>
      </c>
      <c r="L114" s="94"/>
    </row>
    <row r="115" spans="1:12" x14ac:dyDescent="0.25">
      <c r="A115" s="79"/>
      <c r="B115" s="21" t="str">
        <f>IF(A115="","",IFERROR(VLOOKUP(A115,DB_Customers!$A:$D,4,0),"❌ Account Not Found"))</f>
        <v/>
      </c>
      <c r="C115" s="80" t="str">
        <f>IF(A115="","",IFERROR(VLOOKUP(A115,DB_Customers!$A:$N,14,0),""))</f>
        <v/>
      </c>
      <c r="D115" s="81" t="str">
        <f t="shared" ca="1" si="9"/>
        <v/>
      </c>
      <c r="E115" s="97"/>
      <c r="F115" s="21"/>
      <c r="G115" s="98" t="str">
        <f t="shared" si="10"/>
        <v/>
      </c>
      <c r="H115" s="23"/>
      <c r="I115" s="84"/>
      <c r="J115" s="85" t="str">
        <f>IF(AND(A115&lt;&gt;"",E115&lt;&gt;""),IF(I115="","⚠️ Enter Code",IF(IFERROR(VLOOKUP(H115,DB_Agents!$B:$I,8,0),"")=I115,IF(C115&gt;=E115,"Successful","Unsuccessful"),"🔒 BLOCKED — Wrong Code")),"—")</f>
        <v>—</v>
      </c>
      <c r="K115" s="86" t="str">
        <f t="shared" ca="1" si="11"/>
        <v>—</v>
      </c>
      <c r="L115" s="87"/>
    </row>
    <row r="116" spans="1:12" x14ac:dyDescent="0.25">
      <c r="A116" s="88"/>
      <c r="B116" s="25" t="str">
        <f>IF(A116="","",IFERROR(VLOOKUP(A116,DB_Customers!$A:$D,4,0),"❌ Account Not Found"))</f>
        <v/>
      </c>
      <c r="C116" s="89" t="str">
        <f>IF(A116="","",IFERROR(VLOOKUP(A116,DB_Customers!$A:$N,14,0),""))</f>
        <v/>
      </c>
      <c r="D116" s="90" t="str">
        <f t="shared" ca="1" si="9"/>
        <v/>
      </c>
      <c r="E116" s="97"/>
      <c r="F116" s="25"/>
      <c r="G116" s="99" t="str">
        <f t="shared" si="10"/>
        <v/>
      </c>
      <c r="H116" s="27"/>
      <c r="I116" s="84"/>
      <c r="J116" s="92" t="str">
        <f>IF(AND(A116&lt;&gt;"",E116&lt;&gt;""),IF(I116="","⚠️ Enter Code",IF(IFERROR(VLOOKUP(H116,DB_Agents!$B:$I,8,0),"")=I116,IF(C116&gt;=E116,"Successful","Unsuccessful"),"🔒 BLOCKED — Wrong Code")),"—")</f>
        <v>—</v>
      </c>
      <c r="K116" s="93" t="str">
        <f t="shared" ca="1" si="11"/>
        <v>—</v>
      </c>
      <c r="L116" s="94"/>
    </row>
    <row r="117" spans="1:12" x14ac:dyDescent="0.25">
      <c r="A117" s="79"/>
      <c r="B117" s="21" t="str">
        <f>IF(A117="","",IFERROR(VLOOKUP(A117,DB_Customers!$A:$D,4,0),"❌ Account Not Found"))</f>
        <v/>
      </c>
      <c r="C117" s="80" t="str">
        <f>IF(A117="","",IFERROR(VLOOKUP(A117,DB_Customers!$A:$N,14,0),""))</f>
        <v/>
      </c>
      <c r="D117" s="81" t="str">
        <f t="shared" ca="1" si="9"/>
        <v/>
      </c>
      <c r="E117" s="97"/>
      <c r="F117" s="21"/>
      <c r="G117" s="98" t="str">
        <f t="shared" si="10"/>
        <v/>
      </c>
      <c r="H117" s="23"/>
      <c r="I117" s="84"/>
      <c r="J117" s="85" t="str">
        <f>IF(AND(A117&lt;&gt;"",E117&lt;&gt;""),IF(I117="","⚠️ Enter Code",IF(IFERROR(VLOOKUP(H117,DB_Agents!$B:$I,8,0),"")=I117,IF(C117&gt;=E117,"Successful","Unsuccessful"),"🔒 BLOCKED — Wrong Code")),"—")</f>
        <v>—</v>
      </c>
      <c r="K117" s="86" t="str">
        <f t="shared" ca="1" si="11"/>
        <v>—</v>
      </c>
      <c r="L117" s="87"/>
    </row>
    <row r="118" spans="1:12" x14ac:dyDescent="0.25">
      <c r="A118" s="88"/>
      <c r="B118" s="25" t="str">
        <f>IF(A118="","",IFERROR(VLOOKUP(A118,DB_Customers!$A:$D,4,0),"❌ Account Not Found"))</f>
        <v/>
      </c>
      <c r="C118" s="89" t="str">
        <f>IF(A118="","",IFERROR(VLOOKUP(A118,DB_Customers!$A:$N,14,0),""))</f>
        <v/>
      </c>
      <c r="D118" s="90" t="str">
        <f t="shared" ca="1" si="9"/>
        <v/>
      </c>
      <c r="E118" s="97"/>
      <c r="F118" s="25"/>
      <c r="G118" s="99" t="str">
        <f t="shared" si="10"/>
        <v/>
      </c>
      <c r="H118" s="27"/>
      <c r="I118" s="84"/>
      <c r="J118" s="92" t="str">
        <f>IF(AND(A118&lt;&gt;"",E118&lt;&gt;""),IF(I118="","⚠️ Enter Code",IF(IFERROR(VLOOKUP(H118,DB_Agents!$B:$I,8,0),"")=I118,IF(C118&gt;=E118,"Successful","Unsuccessful"),"🔒 BLOCKED — Wrong Code")),"—")</f>
        <v>—</v>
      </c>
      <c r="K118" s="93" t="str">
        <f t="shared" ca="1" si="11"/>
        <v>—</v>
      </c>
      <c r="L118" s="94"/>
    </row>
    <row r="119" spans="1:12" x14ac:dyDescent="0.25">
      <c r="A119" s="79"/>
      <c r="B119" s="21" t="str">
        <f>IF(A119="","",IFERROR(VLOOKUP(A119,DB_Customers!$A:$D,4,0),"❌ Account Not Found"))</f>
        <v/>
      </c>
      <c r="C119" s="80" t="str">
        <f>IF(A119="","",IFERROR(VLOOKUP(A119,DB_Customers!$A:$N,14,0),""))</f>
        <v/>
      </c>
      <c r="D119" s="81" t="str">
        <f t="shared" ca="1" si="9"/>
        <v/>
      </c>
      <c r="E119" s="97"/>
      <c r="F119" s="21"/>
      <c r="G119" s="98" t="str">
        <f t="shared" si="10"/>
        <v/>
      </c>
      <c r="H119" s="23"/>
      <c r="I119" s="84"/>
      <c r="J119" s="85" t="str">
        <f>IF(AND(A119&lt;&gt;"",E119&lt;&gt;""),IF(I119="","⚠️ Enter Code",IF(IFERROR(VLOOKUP(H119,DB_Agents!$B:$I,8,0),"")=I119,IF(C119&gt;=E119,"Successful","Unsuccessful"),"🔒 BLOCKED — Wrong Code")),"—")</f>
        <v>—</v>
      </c>
      <c r="K119" s="86" t="str">
        <f t="shared" ca="1" si="11"/>
        <v>—</v>
      </c>
      <c r="L119" s="87"/>
    </row>
    <row r="120" spans="1:12" x14ac:dyDescent="0.25">
      <c r="A120" s="88"/>
      <c r="B120" s="25" t="str">
        <f>IF(A120="","",IFERROR(VLOOKUP(A120,DB_Customers!$A:$D,4,0),"❌ Account Not Found"))</f>
        <v/>
      </c>
      <c r="C120" s="89" t="str">
        <f>IF(A120="","",IFERROR(VLOOKUP(A120,DB_Customers!$A:$N,14,0),""))</f>
        <v/>
      </c>
      <c r="D120" s="90" t="str">
        <f t="shared" ca="1" si="9"/>
        <v/>
      </c>
      <c r="E120" s="97"/>
      <c r="F120" s="25"/>
      <c r="G120" s="99" t="str">
        <f t="shared" si="10"/>
        <v/>
      </c>
      <c r="H120" s="27"/>
      <c r="I120" s="84"/>
      <c r="J120" s="92" t="str">
        <f>IF(AND(A120&lt;&gt;"",E120&lt;&gt;""),IF(I120="","⚠️ Enter Code",IF(IFERROR(VLOOKUP(H120,DB_Agents!$B:$I,8,0),"")=I120,IF(C120&gt;=E120,"Successful","Unsuccessful"),"🔒 BLOCKED — Wrong Code")),"—")</f>
        <v>—</v>
      </c>
      <c r="K120" s="93" t="str">
        <f t="shared" ca="1" si="11"/>
        <v>—</v>
      </c>
      <c r="L120" s="94"/>
    </row>
    <row r="121" spans="1:12" x14ac:dyDescent="0.25">
      <c r="A121" s="79"/>
      <c r="B121" s="21" t="str">
        <f>IF(A121="","",IFERROR(VLOOKUP(A121,DB_Customers!$A:$D,4,0),"❌ Account Not Found"))</f>
        <v/>
      </c>
      <c r="C121" s="80" t="str">
        <f>IF(A121="","",IFERROR(VLOOKUP(A121,DB_Customers!$A:$N,14,0),""))</f>
        <v/>
      </c>
      <c r="D121" s="81" t="str">
        <f t="shared" ca="1" si="9"/>
        <v/>
      </c>
      <c r="E121" s="97"/>
      <c r="F121" s="21"/>
      <c r="G121" s="98" t="str">
        <f t="shared" si="10"/>
        <v/>
      </c>
      <c r="H121" s="23"/>
      <c r="I121" s="84"/>
      <c r="J121" s="85" t="str">
        <f>IF(AND(A121&lt;&gt;"",E121&lt;&gt;""),IF(I121="","⚠️ Enter Code",IF(IFERROR(VLOOKUP(H121,DB_Agents!$B:$I,8,0),"")=I121,IF(C121&gt;=E121,"Successful","Unsuccessful"),"🔒 BLOCKED — Wrong Code")),"—")</f>
        <v>—</v>
      </c>
      <c r="K121" s="86" t="str">
        <f t="shared" ca="1" si="11"/>
        <v>—</v>
      </c>
      <c r="L121" s="87"/>
    </row>
    <row r="122" spans="1:12" x14ac:dyDescent="0.25">
      <c r="A122" s="88"/>
      <c r="B122" s="25" t="str">
        <f>IF(A122="","",IFERROR(VLOOKUP(A122,DB_Customers!$A:$D,4,0),"❌ Account Not Found"))</f>
        <v/>
      </c>
      <c r="C122" s="89" t="str">
        <f>IF(A122="","",IFERROR(VLOOKUP(A122,DB_Customers!$A:$N,14,0),""))</f>
        <v/>
      </c>
      <c r="D122" s="90" t="str">
        <f t="shared" ca="1" si="9"/>
        <v/>
      </c>
      <c r="E122" s="97"/>
      <c r="F122" s="25"/>
      <c r="G122" s="99" t="str">
        <f t="shared" si="10"/>
        <v/>
      </c>
      <c r="H122" s="27"/>
      <c r="I122" s="84"/>
      <c r="J122" s="92" t="str">
        <f>IF(AND(A122&lt;&gt;"",E122&lt;&gt;""),IF(I122="","⚠️ Enter Code",IF(IFERROR(VLOOKUP(H122,DB_Agents!$B:$I,8,0),"")=I122,IF(C122&gt;=E122,"Successful","Unsuccessful"),"🔒 BLOCKED — Wrong Code")),"—")</f>
        <v>—</v>
      </c>
      <c r="K122" s="93" t="str">
        <f t="shared" ca="1" si="11"/>
        <v>—</v>
      </c>
      <c r="L122" s="94"/>
    </row>
    <row r="123" spans="1:12" x14ac:dyDescent="0.25">
      <c r="A123" s="79"/>
      <c r="B123" s="21" t="str">
        <f>IF(A123="","",IFERROR(VLOOKUP(A123,DB_Customers!$A:$D,4,0),"❌ Account Not Found"))</f>
        <v/>
      </c>
      <c r="C123" s="80" t="str">
        <f>IF(A123="","",IFERROR(VLOOKUP(A123,DB_Customers!$A:$N,14,0),""))</f>
        <v/>
      </c>
      <c r="D123" s="81" t="str">
        <f t="shared" ca="1" si="9"/>
        <v/>
      </c>
      <c r="E123" s="97"/>
      <c r="F123" s="21"/>
      <c r="G123" s="98" t="str">
        <f t="shared" si="10"/>
        <v/>
      </c>
      <c r="H123" s="23"/>
      <c r="I123" s="84"/>
      <c r="J123" s="85" t="str">
        <f>IF(AND(A123&lt;&gt;"",E123&lt;&gt;""),IF(I123="","⚠️ Enter Code",IF(IFERROR(VLOOKUP(H123,DB_Agents!$B:$I,8,0),"")=I123,IF(C123&gt;=E123,"Successful","Unsuccessful"),"🔒 BLOCKED — Wrong Code")),"—")</f>
        <v>—</v>
      </c>
      <c r="K123" s="86" t="str">
        <f t="shared" ca="1" si="11"/>
        <v>—</v>
      </c>
      <c r="L123" s="87"/>
    </row>
    <row r="124" spans="1:12" x14ac:dyDescent="0.25">
      <c r="A124" s="88"/>
      <c r="B124" s="25" t="str">
        <f>IF(A124="","",IFERROR(VLOOKUP(A124,DB_Customers!$A:$D,4,0),"❌ Account Not Found"))</f>
        <v/>
      </c>
      <c r="C124" s="89" t="str">
        <f>IF(A124="","",IFERROR(VLOOKUP(A124,DB_Customers!$A:$N,14,0),""))</f>
        <v/>
      </c>
      <c r="D124" s="90" t="str">
        <f t="shared" ca="1" si="9"/>
        <v/>
      </c>
      <c r="E124" s="97"/>
      <c r="F124" s="25"/>
      <c r="G124" s="99" t="str">
        <f t="shared" si="10"/>
        <v/>
      </c>
      <c r="H124" s="27"/>
      <c r="I124" s="84"/>
      <c r="J124" s="92" t="str">
        <f>IF(AND(A124&lt;&gt;"",E124&lt;&gt;""),IF(I124="","⚠️ Enter Code",IF(IFERROR(VLOOKUP(H124,DB_Agents!$B:$I,8,0),"")=I124,IF(C124&gt;=E124,"Successful","Unsuccessful"),"🔒 BLOCKED — Wrong Code")),"—")</f>
        <v>—</v>
      </c>
      <c r="K124" s="93" t="str">
        <f t="shared" ca="1" si="11"/>
        <v>—</v>
      </c>
      <c r="L124" s="94"/>
    </row>
    <row r="125" spans="1:12" x14ac:dyDescent="0.25">
      <c r="A125" s="79"/>
      <c r="B125" s="21" t="str">
        <f>IF(A125="","",IFERROR(VLOOKUP(A125,DB_Customers!$A:$D,4,0),"❌ Account Not Found"))</f>
        <v/>
      </c>
      <c r="C125" s="80" t="str">
        <f>IF(A125="","",IFERROR(VLOOKUP(A125,DB_Customers!$A:$N,14,0),""))</f>
        <v/>
      </c>
      <c r="D125" s="81" t="str">
        <f t="shared" ca="1" si="9"/>
        <v/>
      </c>
      <c r="E125" s="97"/>
      <c r="F125" s="21"/>
      <c r="G125" s="98" t="str">
        <f t="shared" si="10"/>
        <v/>
      </c>
      <c r="H125" s="23"/>
      <c r="I125" s="84"/>
      <c r="J125" s="85" t="str">
        <f>IF(AND(A125&lt;&gt;"",E125&lt;&gt;""),IF(I125="","⚠️ Enter Code",IF(IFERROR(VLOOKUP(H125,DB_Agents!$B:$I,8,0),"")=I125,IF(C125&gt;=E125,"Successful","Unsuccessful"),"🔒 BLOCKED — Wrong Code")),"—")</f>
        <v>—</v>
      </c>
      <c r="K125" s="86" t="str">
        <f t="shared" ca="1" si="11"/>
        <v>—</v>
      </c>
      <c r="L125" s="87"/>
    </row>
    <row r="126" spans="1:12" x14ac:dyDescent="0.25">
      <c r="A126" s="88"/>
      <c r="B126" s="25" t="str">
        <f>IF(A126="","",IFERROR(VLOOKUP(A126,DB_Customers!$A:$D,4,0),"❌ Account Not Found"))</f>
        <v/>
      </c>
      <c r="C126" s="89" t="str">
        <f>IF(A126="","",IFERROR(VLOOKUP(A126,DB_Customers!$A:$N,14,0),""))</f>
        <v/>
      </c>
      <c r="D126" s="90" t="str">
        <f t="shared" ca="1" si="9"/>
        <v/>
      </c>
      <c r="E126" s="97"/>
      <c r="F126" s="25"/>
      <c r="G126" s="99" t="str">
        <f t="shared" si="10"/>
        <v/>
      </c>
      <c r="H126" s="27"/>
      <c r="I126" s="84"/>
      <c r="J126" s="92" t="str">
        <f>IF(AND(A126&lt;&gt;"",E126&lt;&gt;""),IF(I126="","⚠️ Enter Code",IF(IFERROR(VLOOKUP(H126,DB_Agents!$B:$I,8,0),"")=I126,IF(C126&gt;=E126,"Successful","Unsuccessful"),"🔒 BLOCKED — Wrong Code")),"—")</f>
        <v>—</v>
      </c>
      <c r="K126" s="93" t="str">
        <f t="shared" ca="1" si="11"/>
        <v>—</v>
      </c>
      <c r="L126" s="94"/>
    </row>
    <row r="127" spans="1:12" x14ac:dyDescent="0.25">
      <c r="A127" s="79"/>
      <c r="B127" s="21" t="str">
        <f>IF(A127="","",IFERROR(VLOOKUP(A127,DB_Customers!$A:$D,4,0),"❌ Account Not Found"))</f>
        <v/>
      </c>
      <c r="C127" s="80" t="str">
        <f>IF(A127="","",IFERROR(VLOOKUP(A127,DB_Customers!$A:$N,14,0),""))</f>
        <v/>
      </c>
      <c r="D127" s="81" t="str">
        <f t="shared" ca="1" si="9"/>
        <v/>
      </c>
      <c r="E127" s="97"/>
      <c r="F127" s="21"/>
      <c r="G127" s="98" t="str">
        <f t="shared" si="10"/>
        <v/>
      </c>
      <c r="H127" s="23"/>
      <c r="I127" s="84"/>
      <c r="J127" s="85" t="str">
        <f>IF(AND(A127&lt;&gt;"",E127&lt;&gt;""),IF(I127="","⚠️ Enter Code",IF(IFERROR(VLOOKUP(H127,DB_Agents!$B:$I,8,0),"")=I127,IF(C127&gt;=E127,"Successful","Unsuccessful"),"🔒 BLOCKED — Wrong Code")),"—")</f>
        <v>—</v>
      </c>
      <c r="K127" s="86" t="str">
        <f t="shared" ca="1" si="11"/>
        <v>—</v>
      </c>
      <c r="L127" s="87"/>
    </row>
    <row r="128" spans="1:12" x14ac:dyDescent="0.25">
      <c r="A128" s="88"/>
      <c r="B128" s="25" t="str">
        <f>IF(A128="","",IFERROR(VLOOKUP(A128,DB_Customers!$A:$D,4,0),"❌ Account Not Found"))</f>
        <v/>
      </c>
      <c r="C128" s="89" t="str">
        <f>IF(A128="","",IFERROR(VLOOKUP(A128,DB_Customers!$A:$N,14,0),""))</f>
        <v/>
      </c>
      <c r="D128" s="90" t="str">
        <f t="shared" ca="1" si="9"/>
        <v/>
      </c>
      <c r="E128" s="97"/>
      <c r="F128" s="25"/>
      <c r="G128" s="99" t="str">
        <f t="shared" si="10"/>
        <v/>
      </c>
      <c r="H128" s="27"/>
      <c r="I128" s="84"/>
      <c r="J128" s="92" t="str">
        <f>IF(AND(A128&lt;&gt;"",E128&lt;&gt;""),IF(I128="","⚠️ Enter Code",IF(IFERROR(VLOOKUP(H128,DB_Agents!$B:$I,8,0),"")=I128,IF(C128&gt;=E128,"Successful","Unsuccessful"),"🔒 BLOCKED — Wrong Code")),"—")</f>
        <v>—</v>
      </c>
      <c r="K128" s="93" t="str">
        <f t="shared" ca="1" si="11"/>
        <v>—</v>
      </c>
      <c r="L128" s="94"/>
    </row>
    <row r="129" spans="1:12" x14ac:dyDescent="0.25">
      <c r="A129" s="79"/>
      <c r="B129" s="21" t="str">
        <f>IF(A129="","",IFERROR(VLOOKUP(A129,DB_Customers!$A:$D,4,0),"❌ Account Not Found"))</f>
        <v/>
      </c>
      <c r="C129" s="80" t="str">
        <f>IF(A129="","",IFERROR(VLOOKUP(A129,DB_Customers!$A:$N,14,0),""))</f>
        <v/>
      </c>
      <c r="D129" s="81" t="str">
        <f t="shared" ca="1" si="9"/>
        <v/>
      </c>
      <c r="E129" s="97"/>
      <c r="F129" s="21"/>
      <c r="G129" s="98" t="str">
        <f t="shared" si="10"/>
        <v/>
      </c>
      <c r="H129" s="23"/>
      <c r="I129" s="84"/>
      <c r="J129" s="85" t="str">
        <f>IF(AND(A129&lt;&gt;"",E129&lt;&gt;""),IF(I129="","⚠️ Enter Code",IF(IFERROR(VLOOKUP(H129,DB_Agents!$B:$I,8,0),"")=I129,IF(C129&gt;=E129,"Successful","Unsuccessful"),"🔒 BLOCKED — Wrong Code")),"—")</f>
        <v>—</v>
      </c>
      <c r="K129" s="86" t="str">
        <f t="shared" ca="1" si="11"/>
        <v>—</v>
      </c>
      <c r="L129" s="87"/>
    </row>
    <row r="130" spans="1:12" x14ac:dyDescent="0.25">
      <c r="A130" s="88"/>
      <c r="B130" s="25" t="str">
        <f>IF(A130="","",IFERROR(VLOOKUP(A130,DB_Customers!$A:$D,4,0),"❌ Account Not Found"))</f>
        <v/>
      </c>
      <c r="C130" s="89" t="str">
        <f>IF(A130="","",IFERROR(VLOOKUP(A130,DB_Customers!$A:$N,14,0),""))</f>
        <v/>
      </c>
      <c r="D130" s="90" t="str">
        <f t="shared" ca="1" si="9"/>
        <v/>
      </c>
      <c r="E130" s="97"/>
      <c r="F130" s="25"/>
      <c r="G130" s="99" t="str">
        <f t="shared" si="10"/>
        <v/>
      </c>
      <c r="H130" s="27"/>
      <c r="I130" s="84"/>
      <c r="J130" s="92" t="str">
        <f>IF(AND(A130&lt;&gt;"",E130&lt;&gt;""),IF(I130="","⚠️ Enter Code",IF(IFERROR(VLOOKUP(H130,DB_Agents!$B:$I,8,0),"")=I130,IF(C130&gt;=E130,"Successful","Unsuccessful"),"🔒 BLOCKED — Wrong Code")),"—")</f>
        <v>—</v>
      </c>
      <c r="K130" s="93" t="str">
        <f t="shared" ca="1" si="11"/>
        <v>—</v>
      </c>
      <c r="L130" s="94"/>
    </row>
    <row r="131" spans="1:12" x14ac:dyDescent="0.25">
      <c r="A131" s="79"/>
      <c r="B131" s="21" t="str">
        <f>IF(A131="","",IFERROR(VLOOKUP(A131,DB_Customers!$A:$D,4,0),"❌ Account Not Found"))</f>
        <v/>
      </c>
      <c r="C131" s="80" t="str">
        <f>IF(A131="","",IFERROR(VLOOKUP(A131,DB_Customers!$A:$N,14,0),""))</f>
        <v/>
      </c>
      <c r="D131" s="81" t="str">
        <f t="shared" ca="1" si="9"/>
        <v/>
      </c>
      <c r="E131" s="97"/>
      <c r="F131" s="21"/>
      <c r="G131" s="98" t="str">
        <f t="shared" si="10"/>
        <v/>
      </c>
      <c r="H131" s="23"/>
      <c r="I131" s="84"/>
      <c r="J131" s="85" t="str">
        <f>IF(AND(A131&lt;&gt;"",E131&lt;&gt;""),IF(I131="","⚠️ Enter Code",IF(IFERROR(VLOOKUP(H131,DB_Agents!$B:$I,8,0),"")=I131,IF(C131&gt;=E131,"Successful","Unsuccessful"),"🔒 BLOCKED — Wrong Code")),"—")</f>
        <v>—</v>
      </c>
      <c r="K131" s="86" t="str">
        <f t="shared" ca="1" si="11"/>
        <v>—</v>
      </c>
      <c r="L131" s="87"/>
    </row>
    <row r="132" spans="1:12" x14ac:dyDescent="0.25">
      <c r="A132" s="88"/>
      <c r="B132" s="25" t="str">
        <f>IF(A132="","",IFERROR(VLOOKUP(A132,DB_Customers!$A:$D,4,0),"❌ Account Not Found"))</f>
        <v/>
      </c>
      <c r="C132" s="89" t="str">
        <f>IF(A132="","",IFERROR(VLOOKUP(A132,DB_Customers!$A:$N,14,0),""))</f>
        <v/>
      </c>
      <c r="D132" s="90" t="str">
        <f t="shared" ca="1" si="9"/>
        <v/>
      </c>
      <c r="E132" s="97"/>
      <c r="F132" s="25"/>
      <c r="G132" s="99" t="str">
        <f t="shared" si="10"/>
        <v/>
      </c>
      <c r="H132" s="27"/>
      <c r="I132" s="84"/>
      <c r="J132" s="92" t="str">
        <f>IF(AND(A132&lt;&gt;"",E132&lt;&gt;""),IF(I132="","⚠️ Enter Code",IF(IFERROR(VLOOKUP(H132,DB_Agents!$B:$I,8,0),"")=I132,IF(C132&gt;=E132,"Successful","Unsuccessful"),"🔒 BLOCKED — Wrong Code")),"—")</f>
        <v>—</v>
      </c>
      <c r="K132" s="93" t="str">
        <f t="shared" ca="1" si="11"/>
        <v>—</v>
      </c>
      <c r="L132" s="94"/>
    </row>
    <row r="133" spans="1:12" x14ac:dyDescent="0.25">
      <c r="A133" s="79"/>
      <c r="B133" s="21" t="str">
        <f>IF(A133="","",IFERROR(VLOOKUP(A133,DB_Customers!$A:$D,4,0),"❌ Account Not Found"))</f>
        <v/>
      </c>
      <c r="C133" s="80" t="str">
        <f>IF(A133="","",IFERROR(VLOOKUP(A133,DB_Customers!$A:$N,14,0),""))</f>
        <v/>
      </c>
      <c r="D133" s="81" t="str">
        <f t="shared" ca="1" si="9"/>
        <v/>
      </c>
      <c r="E133" s="97"/>
      <c r="F133" s="21"/>
      <c r="G133" s="98" t="str">
        <f t="shared" si="10"/>
        <v/>
      </c>
      <c r="H133" s="23"/>
      <c r="I133" s="84"/>
      <c r="J133" s="85" t="str">
        <f>IF(AND(A133&lt;&gt;"",E133&lt;&gt;""),IF(I133="","⚠️ Enter Code",IF(IFERROR(VLOOKUP(H133,DB_Agents!$B:$I,8,0),"")=I133,IF(C133&gt;=E133,"Successful","Unsuccessful"),"🔒 BLOCKED — Wrong Code")),"—")</f>
        <v>—</v>
      </c>
      <c r="K133" s="86" t="str">
        <f t="shared" ca="1" si="11"/>
        <v>—</v>
      </c>
      <c r="L133" s="87"/>
    </row>
    <row r="134" spans="1:12" x14ac:dyDescent="0.25">
      <c r="A134" s="88"/>
      <c r="B134" s="25" t="str">
        <f>IF(A134="","",IFERROR(VLOOKUP(A134,DB_Customers!$A:$D,4,0),"❌ Account Not Found"))</f>
        <v/>
      </c>
      <c r="C134" s="89" t="str">
        <f>IF(A134="","",IFERROR(VLOOKUP(A134,DB_Customers!$A:$N,14,0),""))</f>
        <v/>
      </c>
      <c r="D134" s="90" t="str">
        <f t="shared" ca="1" si="9"/>
        <v/>
      </c>
      <c r="E134" s="97"/>
      <c r="F134" s="25"/>
      <c r="G134" s="99" t="str">
        <f t="shared" si="10"/>
        <v/>
      </c>
      <c r="H134" s="27"/>
      <c r="I134" s="84"/>
      <c r="J134" s="92" t="str">
        <f>IF(AND(A134&lt;&gt;"",E134&lt;&gt;""),IF(I134="","⚠️ Enter Code",IF(IFERROR(VLOOKUP(H134,DB_Agents!$B:$I,8,0),"")=I134,IF(C134&gt;=E134,"Successful","Unsuccessful"),"🔒 BLOCKED — Wrong Code")),"—")</f>
        <v>—</v>
      </c>
      <c r="K134" s="93" t="str">
        <f t="shared" ca="1" si="11"/>
        <v>—</v>
      </c>
      <c r="L134" s="94"/>
    </row>
    <row r="135" spans="1:12" x14ac:dyDescent="0.25">
      <c r="A135" s="79"/>
      <c r="B135" s="21" t="str">
        <f>IF(A135="","",IFERROR(VLOOKUP(A135,DB_Customers!$A:$D,4,0),"❌ Account Not Found"))</f>
        <v/>
      </c>
      <c r="C135" s="80" t="str">
        <f>IF(A135="","",IFERROR(VLOOKUP(A135,DB_Customers!$A:$N,14,0),""))</f>
        <v/>
      </c>
      <c r="D135" s="81" t="str">
        <f t="shared" ca="1" si="9"/>
        <v/>
      </c>
      <c r="E135" s="97"/>
      <c r="F135" s="21"/>
      <c r="G135" s="98" t="str">
        <f t="shared" si="10"/>
        <v/>
      </c>
      <c r="H135" s="23"/>
      <c r="I135" s="84"/>
      <c r="J135" s="85" t="str">
        <f>IF(AND(A135&lt;&gt;"",E135&lt;&gt;""),IF(I135="","⚠️ Enter Code",IF(IFERROR(VLOOKUP(H135,DB_Agents!$B:$I,8,0),"")=I135,IF(C135&gt;=E135,"Successful","Unsuccessful"),"🔒 BLOCKED — Wrong Code")),"—")</f>
        <v>—</v>
      </c>
      <c r="K135" s="86" t="str">
        <f t="shared" ca="1" si="11"/>
        <v>—</v>
      </c>
      <c r="L135" s="87"/>
    </row>
    <row r="136" spans="1:12" x14ac:dyDescent="0.25">
      <c r="A136" s="88"/>
      <c r="B136" s="25" t="str">
        <f>IF(A136="","",IFERROR(VLOOKUP(A136,DB_Customers!$A:$D,4,0),"❌ Account Not Found"))</f>
        <v/>
      </c>
      <c r="C136" s="89" t="str">
        <f>IF(A136="","",IFERROR(VLOOKUP(A136,DB_Customers!$A:$N,14,0),""))</f>
        <v/>
      </c>
      <c r="D136" s="90" t="str">
        <f t="shared" ca="1" si="9"/>
        <v/>
      </c>
      <c r="E136" s="97"/>
      <c r="F136" s="25"/>
      <c r="G136" s="99" t="str">
        <f t="shared" si="10"/>
        <v/>
      </c>
      <c r="H136" s="27"/>
      <c r="I136" s="84"/>
      <c r="J136" s="92" t="str">
        <f>IF(AND(A136&lt;&gt;"",E136&lt;&gt;""),IF(I136="","⚠️ Enter Code",IF(IFERROR(VLOOKUP(H136,DB_Agents!$B:$I,8,0),"")=I136,IF(C136&gt;=E136,"Successful","Unsuccessful"),"🔒 BLOCKED — Wrong Code")),"—")</f>
        <v>—</v>
      </c>
      <c r="K136" s="93" t="str">
        <f t="shared" ca="1" si="11"/>
        <v>—</v>
      </c>
      <c r="L136" s="94"/>
    </row>
    <row r="137" spans="1:12" x14ac:dyDescent="0.25">
      <c r="A137" s="79"/>
      <c r="B137" s="21" t="str">
        <f>IF(A137="","",IFERROR(VLOOKUP(A137,DB_Customers!$A:$D,4,0),"❌ Account Not Found"))</f>
        <v/>
      </c>
      <c r="C137" s="80" t="str">
        <f>IF(A137="","",IFERROR(VLOOKUP(A137,DB_Customers!$A:$N,14,0),""))</f>
        <v/>
      </c>
      <c r="D137" s="81" t="str">
        <f t="shared" ref="D137:D168" ca="1" si="12">IF(A137="","",TODAY())</f>
        <v/>
      </c>
      <c r="E137" s="97"/>
      <c r="F137" s="21"/>
      <c r="G137" s="98" t="str">
        <f t="shared" ref="G137:G168" si="13">IF(OR(A137="",E137=""),"",IF(C137="","",C137-E137))</f>
        <v/>
      </c>
      <c r="H137" s="23"/>
      <c r="I137" s="84"/>
      <c r="J137" s="85" t="str">
        <f>IF(AND(A137&lt;&gt;"",E137&lt;&gt;""),IF(I137="","⚠️ Enter Code",IF(IFERROR(VLOOKUP(H137,DB_Agents!$B:$I,8,0),"")=I137,IF(C137&gt;=E137,"Successful","Unsuccessful"),"🔒 BLOCKED — Wrong Code")),"—")</f>
        <v>—</v>
      </c>
      <c r="K137" s="86" t="str">
        <f t="shared" ref="K137:K168" ca="1" si="14">IF(J137="Successful",TEXT(TODAY(),"YYYY-MM-DD")&amp;" Auto","—")</f>
        <v>—</v>
      </c>
      <c r="L137" s="87"/>
    </row>
    <row r="138" spans="1:12" x14ac:dyDescent="0.25">
      <c r="A138" s="88"/>
      <c r="B138" s="25" t="str">
        <f>IF(A138="","",IFERROR(VLOOKUP(A138,DB_Customers!$A:$D,4,0),"❌ Account Not Found"))</f>
        <v/>
      </c>
      <c r="C138" s="89" t="str">
        <f>IF(A138="","",IFERROR(VLOOKUP(A138,DB_Customers!$A:$N,14,0),""))</f>
        <v/>
      </c>
      <c r="D138" s="90" t="str">
        <f t="shared" ca="1" si="12"/>
        <v/>
      </c>
      <c r="E138" s="97"/>
      <c r="F138" s="25"/>
      <c r="G138" s="99" t="str">
        <f t="shared" si="13"/>
        <v/>
      </c>
      <c r="H138" s="27"/>
      <c r="I138" s="84"/>
      <c r="J138" s="92" t="str">
        <f>IF(AND(A138&lt;&gt;"",E138&lt;&gt;""),IF(I138="","⚠️ Enter Code",IF(IFERROR(VLOOKUP(H138,DB_Agents!$B:$I,8,0),"")=I138,IF(C138&gt;=E138,"Successful","Unsuccessful"),"🔒 BLOCKED — Wrong Code")),"—")</f>
        <v>—</v>
      </c>
      <c r="K138" s="93" t="str">
        <f t="shared" ca="1" si="14"/>
        <v>—</v>
      </c>
      <c r="L138" s="94"/>
    </row>
    <row r="139" spans="1:12" x14ac:dyDescent="0.25">
      <c r="A139" s="79"/>
      <c r="B139" s="21" t="str">
        <f>IF(A139="","",IFERROR(VLOOKUP(A139,DB_Customers!$A:$D,4,0),"❌ Account Not Found"))</f>
        <v/>
      </c>
      <c r="C139" s="80" t="str">
        <f>IF(A139="","",IFERROR(VLOOKUP(A139,DB_Customers!$A:$N,14,0),""))</f>
        <v/>
      </c>
      <c r="D139" s="81" t="str">
        <f t="shared" ca="1" si="12"/>
        <v/>
      </c>
      <c r="E139" s="97"/>
      <c r="F139" s="21"/>
      <c r="G139" s="98" t="str">
        <f t="shared" si="13"/>
        <v/>
      </c>
      <c r="H139" s="23"/>
      <c r="I139" s="84"/>
      <c r="J139" s="85" t="str">
        <f>IF(AND(A139&lt;&gt;"",E139&lt;&gt;""),IF(I139="","⚠️ Enter Code",IF(IFERROR(VLOOKUP(H139,DB_Agents!$B:$I,8,0),"")=I139,IF(C139&gt;=E139,"Successful","Unsuccessful"),"🔒 BLOCKED — Wrong Code")),"—")</f>
        <v>—</v>
      </c>
      <c r="K139" s="86" t="str">
        <f t="shared" ca="1" si="14"/>
        <v>—</v>
      </c>
      <c r="L139" s="87"/>
    </row>
    <row r="140" spans="1:12" x14ac:dyDescent="0.25">
      <c r="A140" s="88"/>
      <c r="B140" s="25" t="str">
        <f>IF(A140="","",IFERROR(VLOOKUP(A140,DB_Customers!$A:$D,4,0),"❌ Account Not Found"))</f>
        <v/>
      </c>
      <c r="C140" s="89" t="str">
        <f>IF(A140="","",IFERROR(VLOOKUP(A140,DB_Customers!$A:$N,14,0),""))</f>
        <v/>
      </c>
      <c r="D140" s="90" t="str">
        <f t="shared" ca="1" si="12"/>
        <v/>
      </c>
      <c r="E140" s="97"/>
      <c r="F140" s="25"/>
      <c r="G140" s="99" t="str">
        <f t="shared" si="13"/>
        <v/>
      </c>
      <c r="H140" s="27"/>
      <c r="I140" s="84"/>
      <c r="J140" s="92" t="str">
        <f>IF(AND(A140&lt;&gt;"",E140&lt;&gt;""),IF(I140="","⚠️ Enter Code",IF(IFERROR(VLOOKUP(H140,DB_Agents!$B:$I,8,0),"")=I140,IF(C140&gt;=E140,"Successful","Unsuccessful"),"🔒 BLOCKED — Wrong Code")),"—")</f>
        <v>—</v>
      </c>
      <c r="K140" s="93" t="str">
        <f t="shared" ca="1" si="14"/>
        <v>—</v>
      </c>
      <c r="L140" s="94"/>
    </row>
    <row r="141" spans="1:12" x14ac:dyDescent="0.25">
      <c r="A141" s="79"/>
      <c r="B141" s="21" t="str">
        <f>IF(A141="","",IFERROR(VLOOKUP(A141,DB_Customers!$A:$D,4,0),"❌ Account Not Found"))</f>
        <v/>
      </c>
      <c r="C141" s="80" t="str">
        <f>IF(A141="","",IFERROR(VLOOKUP(A141,DB_Customers!$A:$N,14,0),""))</f>
        <v/>
      </c>
      <c r="D141" s="81" t="str">
        <f t="shared" ca="1" si="12"/>
        <v/>
      </c>
      <c r="E141" s="97"/>
      <c r="F141" s="21"/>
      <c r="G141" s="98" t="str">
        <f t="shared" si="13"/>
        <v/>
      </c>
      <c r="H141" s="23"/>
      <c r="I141" s="84"/>
      <c r="J141" s="85" t="str">
        <f>IF(AND(A141&lt;&gt;"",E141&lt;&gt;""),IF(I141="","⚠️ Enter Code",IF(IFERROR(VLOOKUP(H141,DB_Agents!$B:$I,8,0),"")=I141,IF(C141&gt;=E141,"Successful","Unsuccessful"),"🔒 BLOCKED — Wrong Code")),"—")</f>
        <v>—</v>
      </c>
      <c r="K141" s="86" t="str">
        <f t="shared" ca="1" si="14"/>
        <v>—</v>
      </c>
      <c r="L141" s="87"/>
    </row>
    <row r="142" spans="1:12" x14ac:dyDescent="0.25">
      <c r="A142" s="88"/>
      <c r="B142" s="25" t="str">
        <f>IF(A142="","",IFERROR(VLOOKUP(A142,DB_Customers!$A:$D,4,0),"❌ Account Not Found"))</f>
        <v/>
      </c>
      <c r="C142" s="89" t="str">
        <f>IF(A142="","",IFERROR(VLOOKUP(A142,DB_Customers!$A:$N,14,0),""))</f>
        <v/>
      </c>
      <c r="D142" s="90" t="str">
        <f t="shared" ca="1" si="12"/>
        <v/>
      </c>
      <c r="E142" s="97"/>
      <c r="F142" s="25"/>
      <c r="G142" s="99" t="str">
        <f t="shared" si="13"/>
        <v/>
      </c>
      <c r="H142" s="27"/>
      <c r="I142" s="84"/>
      <c r="J142" s="92" t="str">
        <f>IF(AND(A142&lt;&gt;"",E142&lt;&gt;""),IF(I142="","⚠️ Enter Code",IF(IFERROR(VLOOKUP(H142,DB_Agents!$B:$I,8,0),"")=I142,IF(C142&gt;=E142,"Successful","Unsuccessful"),"🔒 BLOCKED — Wrong Code")),"—")</f>
        <v>—</v>
      </c>
      <c r="K142" s="93" t="str">
        <f t="shared" ca="1" si="14"/>
        <v>—</v>
      </c>
      <c r="L142" s="94"/>
    </row>
    <row r="143" spans="1:12" x14ac:dyDescent="0.25">
      <c r="A143" s="79"/>
      <c r="B143" s="21" t="str">
        <f>IF(A143="","",IFERROR(VLOOKUP(A143,DB_Customers!$A:$D,4,0),"❌ Account Not Found"))</f>
        <v/>
      </c>
      <c r="C143" s="80" t="str">
        <f>IF(A143="","",IFERROR(VLOOKUP(A143,DB_Customers!$A:$N,14,0),""))</f>
        <v/>
      </c>
      <c r="D143" s="81" t="str">
        <f t="shared" ca="1" si="12"/>
        <v/>
      </c>
      <c r="E143" s="97"/>
      <c r="F143" s="21"/>
      <c r="G143" s="98" t="str">
        <f t="shared" si="13"/>
        <v/>
      </c>
      <c r="H143" s="23"/>
      <c r="I143" s="84"/>
      <c r="J143" s="85" t="str">
        <f>IF(AND(A143&lt;&gt;"",E143&lt;&gt;""),IF(I143="","⚠️ Enter Code",IF(IFERROR(VLOOKUP(H143,DB_Agents!$B:$I,8,0),"")=I143,IF(C143&gt;=E143,"Successful","Unsuccessful"),"🔒 BLOCKED — Wrong Code")),"—")</f>
        <v>—</v>
      </c>
      <c r="K143" s="86" t="str">
        <f t="shared" ca="1" si="14"/>
        <v>—</v>
      </c>
      <c r="L143" s="87"/>
    </row>
    <row r="144" spans="1:12" x14ac:dyDescent="0.25">
      <c r="A144" s="88"/>
      <c r="B144" s="25" t="str">
        <f>IF(A144="","",IFERROR(VLOOKUP(A144,DB_Customers!$A:$D,4,0),"❌ Account Not Found"))</f>
        <v/>
      </c>
      <c r="C144" s="89" t="str">
        <f>IF(A144="","",IFERROR(VLOOKUP(A144,DB_Customers!$A:$N,14,0),""))</f>
        <v/>
      </c>
      <c r="D144" s="90" t="str">
        <f t="shared" ca="1" si="12"/>
        <v/>
      </c>
      <c r="E144" s="97"/>
      <c r="F144" s="25"/>
      <c r="G144" s="99" t="str">
        <f t="shared" si="13"/>
        <v/>
      </c>
      <c r="H144" s="27"/>
      <c r="I144" s="84"/>
      <c r="J144" s="92" t="str">
        <f>IF(AND(A144&lt;&gt;"",E144&lt;&gt;""),IF(I144="","⚠️ Enter Code",IF(IFERROR(VLOOKUP(H144,DB_Agents!$B:$I,8,0),"")=I144,IF(C144&gt;=E144,"Successful","Unsuccessful"),"🔒 BLOCKED — Wrong Code")),"—")</f>
        <v>—</v>
      </c>
      <c r="K144" s="93" t="str">
        <f t="shared" ca="1" si="14"/>
        <v>—</v>
      </c>
      <c r="L144" s="94"/>
    </row>
    <row r="145" spans="1:12" x14ac:dyDescent="0.25">
      <c r="A145" s="79"/>
      <c r="B145" s="21" t="str">
        <f>IF(A145="","",IFERROR(VLOOKUP(A145,DB_Customers!$A:$D,4,0),"❌ Account Not Found"))</f>
        <v/>
      </c>
      <c r="C145" s="80" t="str">
        <f>IF(A145="","",IFERROR(VLOOKUP(A145,DB_Customers!$A:$N,14,0),""))</f>
        <v/>
      </c>
      <c r="D145" s="81" t="str">
        <f t="shared" ca="1" si="12"/>
        <v/>
      </c>
      <c r="E145" s="97"/>
      <c r="F145" s="21"/>
      <c r="G145" s="98" t="str">
        <f t="shared" si="13"/>
        <v/>
      </c>
      <c r="H145" s="23"/>
      <c r="I145" s="84"/>
      <c r="J145" s="85" t="str">
        <f>IF(AND(A145&lt;&gt;"",E145&lt;&gt;""),IF(I145="","⚠️ Enter Code",IF(IFERROR(VLOOKUP(H145,DB_Agents!$B:$I,8,0),"")=I145,IF(C145&gt;=E145,"Successful","Unsuccessful"),"🔒 BLOCKED — Wrong Code")),"—")</f>
        <v>—</v>
      </c>
      <c r="K145" s="86" t="str">
        <f t="shared" ca="1" si="14"/>
        <v>—</v>
      </c>
      <c r="L145" s="87"/>
    </row>
    <row r="146" spans="1:12" x14ac:dyDescent="0.25">
      <c r="A146" s="88"/>
      <c r="B146" s="25" t="str">
        <f>IF(A146="","",IFERROR(VLOOKUP(A146,DB_Customers!$A:$D,4,0),"❌ Account Not Found"))</f>
        <v/>
      </c>
      <c r="C146" s="89" t="str">
        <f>IF(A146="","",IFERROR(VLOOKUP(A146,DB_Customers!$A:$N,14,0),""))</f>
        <v/>
      </c>
      <c r="D146" s="90" t="str">
        <f t="shared" ca="1" si="12"/>
        <v/>
      </c>
      <c r="E146" s="97"/>
      <c r="F146" s="25"/>
      <c r="G146" s="99" t="str">
        <f t="shared" si="13"/>
        <v/>
      </c>
      <c r="H146" s="27"/>
      <c r="I146" s="84"/>
      <c r="J146" s="92" t="str">
        <f>IF(AND(A146&lt;&gt;"",E146&lt;&gt;""),IF(I146="","⚠️ Enter Code",IF(IFERROR(VLOOKUP(H146,DB_Agents!$B:$I,8,0),"")=I146,IF(C146&gt;=E146,"Successful","Unsuccessful"),"🔒 BLOCKED — Wrong Code")),"—")</f>
        <v>—</v>
      </c>
      <c r="K146" s="93" t="str">
        <f t="shared" ca="1" si="14"/>
        <v>—</v>
      </c>
      <c r="L146" s="94"/>
    </row>
    <row r="147" spans="1:12" x14ac:dyDescent="0.25">
      <c r="A147" s="79"/>
      <c r="B147" s="21" t="str">
        <f>IF(A147="","",IFERROR(VLOOKUP(A147,DB_Customers!$A:$D,4,0),"❌ Account Not Found"))</f>
        <v/>
      </c>
      <c r="C147" s="80" t="str">
        <f>IF(A147="","",IFERROR(VLOOKUP(A147,DB_Customers!$A:$N,14,0),""))</f>
        <v/>
      </c>
      <c r="D147" s="81" t="str">
        <f t="shared" ca="1" si="12"/>
        <v/>
      </c>
      <c r="E147" s="97"/>
      <c r="F147" s="21"/>
      <c r="G147" s="98" t="str">
        <f t="shared" si="13"/>
        <v/>
      </c>
      <c r="H147" s="23"/>
      <c r="I147" s="84"/>
      <c r="J147" s="85" t="str">
        <f>IF(AND(A147&lt;&gt;"",E147&lt;&gt;""),IF(I147="","⚠️ Enter Code",IF(IFERROR(VLOOKUP(H147,DB_Agents!$B:$I,8,0),"")=I147,IF(C147&gt;=E147,"Successful","Unsuccessful"),"🔒 BLOCKED — Wrong Code")),"—")</f>
        <v>—</v>
      </c>
      <c r="K147" s="86" t="str">
        <f t="shared" ca="1" si="14"/>
        <v>—</v>
      </c>
      <c r="L147" s="87"/>
    </row>
    <row r="148" spans="1:12" x14ac:dyDescent="0.25">
      <c r="A148" s="88"/>
      <c r="B148" s="25" t="str">
        <f>IF(A148="","",IFERROR(VLOOKUP(A148,DB_Customers!$A:$D,4,0),"❌ Account Not Found"))</f>
        <v/>
      </c>
      <c r="C148" s="89" t="str">
        <f>IF(A148="","",IFERROR(VLOOKUP(A148,DB_Customers!$A:$N,14,0),""))</f>
        <v/>
      </c>
      <c r="D148" s="90" t="str">
        <f t="shared" ca="1" si="12"/>
        <v/>
      </c>
      <c r="E148" s="97"/>
      <c r="F148" s="25"/>
      <c r="G148" s="99" t="str">
        <f t="shared" si="13"/>
        <v/>
      </c>
      <c r="H148" s="27"/>
      <c r="I148" s="84"/>
      <c r="J148" s="92" t="str">
        <f>IF(AND(A148&lt;&gt;"",E148&lt;&gt;""),IF(I148="","⚠️ Enter Code",IF(IFERROR(VLOOKUP(H148,DB_Agents!$B:$I,8,0),"")=I148,IF(C148&gt;=E148,"Successful","Unsuccessful"),"🔒 BLOCKED — Wrong Code")),"—")</f>
        <v>—</v>
      </c>
      <c r="K148" s="93" t="str">
        <f t="shared" ca="1" si="14"/>
        <v>—</v>
      </c>
      <c r="L148" s="94"/>
    </row>
    <row r="149" spans="1:12" x14ac:dyDescent="0.25">
      <c r="A149" s="79"/>
      <c r="B149" s="21" t="str">
        <f>IF(A149="","",IFERROR(VLOOKUP(A149,DB_Customers!$A:$D,4,0),"❌ Account Not Found"))</f>
        <v/>
      </c>
      <c r="C149" s="80" t="str">
        <f>IF(A149="","",IFERROR(VLOOKUP(A149,DB_Customers!$A:$N,14,0),""))</f>
        <v/>
      </c>
      <c r="D149" s="81" t="str">
        <f t="shared" ca="1" si="12"/>
        <v/>
      </c>
      <c r="E149" s="97"/>
      <c r="F149" s="21"/>
      <c r="G149" s="98" t="str">
        <f t="shared" si="13"/>
        <v/>
      </c>
      <c r="H149" s="23"/>
      <c r="I149" s="84"/>
      <c r="J149" s="85" t="str">
        <f>IF(AND(A149&lt;&gt;"",E149&lt;&gt;""),IF(I149="","⚠️ Enter Code",IF(IFERROR(VLOOKUP(H149,DB_Agents!$B:$I,8,0),"")=I149,IF(C149&gt;=E149,"Successful","Unsuccessful"),"🔒 BLOCKED — Wrong Code")),"—")</f>
        <v>—</v>
      </c>
      <c r="K149" s="86" t="str">
        <f t="shared" ca="1" si="14"/>
        <v>—</v>
      </c>
      <c r="L149" s="87"/>
    </row>
    <row r="150" spans="1:12" x14ac:dyDescent="0.25">
      <c r="A150" s="88"/>
      <c r="B150" s="25" t="str">
        <f>IF(A150="","",IFERROR(VLOOKUP(A150,DB_Customers!$A:$D,4,0),"❌ Account Not Found"))</f>
        <v/>
      </c>
      <c r="C150" s="89" t="str">
        <f>IF(A150="","",IFERROR(VLOOKUP(A150,DB_Customers!$A:$N,14,0),""))</f>
        <v/>
      </c>
      <c r="D150" s="90" t="str">
        <f t="shared" ca="1" si="12"/>
        <v/>
      </c>
      <c r="E150" s="97"/>
      <c r="F150" s="25"/>
      <c r="G150" s="99" t="str">
        <f t="shared" si="13"/>
        <v/>
      </c>
      <c r="H150" s="27"/>
      <c r="I150" s="84"/>
      <c r="J150" s="92" t="str">
        <f>IF(AND(A150&lt;&gt;"",E150&lt;&gt;""),IF(I150="","⚠️ Enter Code",IF(IFERROR(VLOOKUP(H150,DB_Agents!$B:$I,8,0),"")=I150,IF(C150&gt;=E150,"Successful","Unsuccessful"),"🔒 BLOCKED — Wrong Code")),"—")</f>
        <v>—</v>
      </c>
      <c r="K150" s="93" t="str">
        <f t="shared" ca="1" si="14"/>
        <v>—</v>
      </c>
      <c r="L150" s="94"/>
    </row>
    <row r="151" spans="1:12" x14ac:dyDescent="0.25">
      <c r="A151" s="79"/>
      <c r="B151" s="21" t="str">
        <f>IF(A151="","",IFERROR(VLOOKUP(A151,DB_Customers!$A:$D,4,0),"❌ Account Not Found"))</f>
        <v/>
      </c>
      <c r="C151" s="80" t="str">
        <f>IF(A151="","",IFERROR(VLOOKUP(A151,DB_Customers!$A:$N,14,0),""))</f>
        <v/>
      </c>
      <c r="D151" s="81" t="str">
        <f t="shared" ca="1" si="12"/>
        <v/>
      </c>
      <c r="E151" s="97"/>
      <c r="F151" s="21"/>
      <c r="G151" s="98" t="str">
        <f t="shared" si="13"/>
        <v/>
      </c>
      <c r="H151" s="23"/>
      <c r="I151" s="84"/>
      <c r="J151" s="85" t="str">
        <f>IF(AND(A151&lt;&gt;"",E151&lt;&gt;""),IF(I151="","⚠️ Enter Code",IF(IFERROR(VLOOKUP(H151,DB_Agents!$B:$I,8,0),"")=I151,IF(C151&gt;=E151,"Successful","Unsuccessful"),"🔒 BLOCKED — Wrong Code")),"—")</f>
        <v>—</v>
      </c>
      <c r="K151" s="86" t="str">
        <f t="shared" ca="1" si="14"/>
        <v>—</v>
      </c>
      <c r="L151" s="87"/>
    </row>
    <row r="152" spans="1:12" x14ac:dyDescent="0.25">
      <c r="A152" s="88"/>
      <c r="B152" s="25" t="str">
        <f>IF(A152="","",IFERROR(VLOOKUP(A152,DB_Customers!$A:$D,4,0),"❌ Account Not Found"))</f>
        <v/>
      </c>
      <c r="C152" s="89" t="str">
        <f>IF(A152="","",IFERROR(VLOOKUP(A152,DB_Customers!$A:$N,14,0),""))</f>
        <v/>
      </c>
      <c r="D152" s="90" t="str">
        <f t="shared" ca="1" si="12"/>
        <v/>
      </c>
      <c r="E152" s="97"/>
      <c r="F152" s="25"/>
      <c r="G152" s="99" t="str">
        <f t="shared" si="13"/>
        <v/>
      </c>
      <c r="H152" s="27"/>
      <c r="I152" s="84"/>
      <c r="J152" s="92" t="str">
        <f>IF(AND(A152&lt;&gt;"",E152&lt;&gt;""),IF(I152="","⚠️ Enter Code",IF(IFERROR(VLOOKUP(H152,DB_Agents!$B:$I,8,0),"")=I152,IF(C152&gt;=E152,"Successful","Unsuccessful"),"🔒 BLOCKED — Wrong Code")),"—")</f>
        <v>—</v>
      </c>
      <c r="K152" s="93" t="str">
        <f t="shared" ca="1" si="14"/>
        <v>—</v>
      </c>
      <c r="L152" s="94"/>
    </row>
    <row r="153" spans="1:12" x14ac:dyDescent="0.25">
      <c r="A153" s="79"/>
      <c r="B153" s="21" t="str">
        <f>IF(A153="","",IFERROR(VLOOKUP(A153,DB_Customers!$A:$D,4,0),"❌ Account Not Found"))</f>
        <v/>
      </c>
      <c r="C153" s="80" t="str">
        <f>IF(A153="","",IFERROR(VLOOKUP(A153,DB_Customers!$A:$N,14,0),""))</f>
        <v/>
      </c>
      <c r="D153" s="81" t="str">
        <f t="shared" ca="1" si="12"/>
        <v/>
      </c>
      <c r="E153" s="97"/>
      <c r="F153" s="21"/>
      <c r="G153" s="98" t="str">
        <f t="shared" si="13"/>
        <v/>
      </c>
      <c r="H153" s="23"/>
      <c r="I153" s="84"/>
      <c r="J153" s="85" t="str">
        <f>IF(AND(A153&lt;&gt;"",E153&lt;&gt;""),IF(I153="","⚠️ Enter Code",IF(IFERROR(VLOOKUP(H153,DB_Agents!$B:$I,8,0),"")=I153,IF(C153&gt;=E153,"Successful","Unsuccessful"),"🔒 BLOCKED — Wrong Code")),"—")</f>
        <v>—</v>
      </c>
      <c r="K153" s="86" t="str">
        <f t="shared" ca="1" si="14"/>
        <v>—</v>
      </c>
      <c r="L153" s="87"/>
    </row>
    <row r="154" spans="1:12" x14ac:dyDescent="0.25">
      <c r="A154" s="88"/>
      <c r="B154" s="25" t="str">
        <f>IF(A154="","",IFERROR(VLOOKUP(A154,DB_Customers!$A:$D,4,0),"❌ Account Not Found"))</f>
        <v/>
      </c>
      <c r="C154" s="89" t="str">
        <f>IF(A154="","",IFERROR(VLOOKUP(A154,DB_Customers!$A:$N,14,0),""))</f>
        <v/>
      </c>
      <c r="D154" s="90" t="str">
        <f t="shared" ca="1" si="12"/>
        <v/>
      </c>
      <c r="E154" s="97"/>
      <c r="F154" s="25"/>
      <c r="G154" s="99" t="str">
        <f t="shared" si="13"/>
        <v/>
      </c>
      <c r="H154" s="27"/>
      <c r="I154" s="84"/>
      <c r="J154" s="92" t="str">
        <f>IF(AND(A154&lt;&gt;"",E154&lt;&gt;""),IF(I154="","⚠️ Enter Code",IF(IFERROR(VLOOKUP(H154,DB_Agents!$B:$I,8,0),"")=I154,IF(C154&gt;=E154,"Successful","Unsuccessful"),"🔒 BLOCKED — Wrong Code")),"—")</f>
        <v>—</v>
      </c>
      <c r="K154" s="93" t="str">
        <f t="shared" ca="1" si="14"/>
        <v>—</v>
      </c>
      <c r="L154" s="94"/>
    </row>
    <row r="155" spans="1:12" x14ac:dyDescent="0.25">
      <c r="A155" s="79"/>
      <c r="B155" s="21" t="str">
        <f>IF(A155="","",IFERROR(VLOOKUP(A155,DB_Customers!$A:$D,4,0),"❌ Account Not Found"))</f>
        <v/>
      </c>
      <c r="C155" s="80" t="str">
        <f>IF(A155="","",IFERROR(VLOOKUP(A155,DB_Customers!$A:$N,14,0),""))</f>
        <v/>
      </c>
      <c r="D155" s="81" t="str">
        <f t="shared" ca="1" si="12"/>
        <v/>
      </c>
      <c r="E155" s="97"/>
      <c r="F155" s="21"/>
      <c r="G155" s="98" t="str">
        <f t="shared" si="13"/>
        <v/>
      </c>
      <c r="H155" s="23"/>
      <c r="I155" s="84"/>
      <c r="J155" s="85" t="str">
        <f>IF(AND(A155&lt;&gt;"",E155&lt;&gt;""),IF(I155="","⚠️ Enter Code",IF(IFERROR(VLOOKUP(H155,DB_Agents!$B:$I,8,0),"")=I155,IF(C155&gt;=E155,"Successful","Unsuccessful"),"🔒 BLOCKED — Wrong Code")),"—")</f>
        <v>—</v>
      </c>
      <c r="K155" s="86" t="str">
        <f t="shared" ca="1" si="14"/>
        <v>—</v>
      </c>
      <c r="L155" s="87"/>
    </row>
    <row r="156" spans="1:12" x14ac:dyDescent="0.25">
      <c r="A156" s="88"/>
      <c r="B156" s="25" t="str">
        <f>IF(A156="","",IFERROR(VLOOKUP(A156,DB_Customers!$A:$D,4,0),"❌ Account Not Found"))</f>
        <v/>
      </c>
      <c r="C156" s="89" t="str">
        <f>IF(A156="","",IFERROR(VLOOKUP(A156,DB_Customers!$A:$N,14,0),""))</f>
        <v/>
      </c>
      <c r="D156" s="90" t="str">
        <f t="shared" ca="1" si="12"/>
        <v/>
      </c>
      <c r="E156" s="97"/>
      <c r="F156" s="25"/>
      <c r="G156" s="99" t="str">
        <f t="shared" si="13"/>
        <v/>
      </c>
      <c r="H156" s="27"/>
      <c r="I156" s="84"/>
      <c r="J156" s="92" t="str">
        <f>IF(AND(A156&lt;&gt;"",E156&lt;&gt;""),IF(I156="","⚠️ Enter Code",IF(IFERROR(VLOOKUP(H156,DB_Agents!$B:$I,8,0),"")=I156,IF(C156&gt;=E156,"Successful","Unsuccessful"),"🔒 BLOCKED — Wrong Code")),"—")</f>
        <v>—</v>
      </c>
      <c r="K156" s="93" t="str">
        <f t="shared" ca="1" si="14"/>
        <v>—</v>
      </c>
      <c r="L156" s="94"/>
    </row>
    <row r="157" spans="1:12" x14ac:dyDescent="0.25">
      <c r="A157" s="79"/>
      <c r="B157" s="21" t="str">
        <f>IF(A157="","",IFERROR(VLOOKUP(A157,DB_Customers!$A:$D,4,0),"❌ Account Not Found"))</f>
        <v/>
      </c>
      <c r="C157" s="80" t="str">
        <f>IF(A157="","",IFERROR(VLOOKUP(A157,DB_Customers!$A:$N,14,0),""))</f>
        <v/>
      </c>
      <c r="D157" s="81" t="str">
        <f t="shared" ca="1" si="12"/>
        <v/>
      </c>
      <c r="E157" s="97"/>
      <c r="F157" s="21"/>
      <c r="G157" s="98" t="str">
        <f t="shared" si="13"/>
        <v/>
      </c>
      <c r="H157" s="23"/>
      <c r="I157" s="84"/>
      <c r="J157" s="85" t="str">
        <f>IF(AND(A157&lt;&gt;"",E157&lt;&gt;""),IF(I157="","⚠️ Enter Code",IF(IFERROR(VLOOKUP(H157,DB_Agents!$B:$I,8,0),"")=I157,IF(C157&gt;=E157,"Successful","Unsuccessful"),"🔒 BLOCKED — Wrong Code")),"—")</f>
        <v>—</v>
      </c>
      <c r="K157" s="86" t="str">
        <f t="shared" ca="1" si="14"/>
        <v>—</v>
      </c>
      <c r="L157" s="87"/>
    </row>
    <row r="158" spans="1:12" x14ac:dyDescent="0.25">
      <c r="A158" s="88"/>
      <c r="B158" s="25" t="str">
        <f>IF(A158="","",IFERROR(VLOOKUP(A158,DB_Customers!$A:$D,4,0),"❌ Account Not Found"))</f>
        <v/>
      </c>
      <c r="C158" s="89" t="str">
        <f>IF(A158="","",IFERROR(VLOOKUP(A158,DB_Customers!$A:$N,14,0),""))</f>
        <v/>
      </c>
      <c r="D158" s="90" t="str">
        <f t="shared" ca="1" si="12"/>
        <v/>
      </c>
      <c r="E158" s="97"/>
      <c r="F158" s="25"/>
      <c r="G158" s="99" t="str">
        <f t="shared" si="13"/>
        <v/>
      </c>
      <c r="H158" s="27"/>
      <c r="I158" s="84"/>
      <c r="J158" s="92" t="str">
        <f>IF(AND(A158&lt;&gt;"",E158&lt;&gt;""),IF(I158="","⚠️ Enter Code",IF(IFERROR(VLOOKUP(H158,DB_Agents!$B:$I,8,0),"")=I158,IF(C158&gt;=E158,"Successful","Unsuccessful"),"🔒 BLOCKED — Wrong Code")),"—")</f>
        <v>—</v>
      </c>
      <c r="K158" s="93" t="str">
        <f t="shared" ca="1" si="14"/>
        <v>—</v>
      </c>
      <c r="L158" s="94"/>
    </row>
    <row r="159" spans="1:12" x14ac:dyDescent="0.25">
      <c r="A159" s="79"/>
      <c r="B159" s="21" t="str">
        <f>IF(A159="","",IFERROR(VLOOKUP(A159,DB_Customers!$A:$D,4,0),"❌ Account Not Found"))</f>
        <v/>
      </c>
      <c r="C159" s="80" t="str">
        <f>IF(A159="","",IFERROR(VLOOKUP(A159,DB_Customers!$A:$N,14,0),""))</f>
        <v/>
      </c>
      <c r="D159" s="81" t="str">
        <f t="shared" ca="1" si="12"/>
        <v/>
      </c>
      <c r="E159" s="97"/>
      <c r="F159" s="21"/>
      <c r="G159" s="98" t="str">
        <f t="shared" si="13"/>
        <v/>
      </c>
      <c r="H159" s="23"/>
      <c r="I159" s="84"/>
      <c r="J159" s="85" t="str">
        <f>IF(AND(A159&lt;&gt;"",E159&lt;&gt;""),IF(I159="","⚠️ Enter Code",IF(IFERROR(VLOOKUP(H159,DB_Agents!$B:$I,8,0),"")=I159,IF(C159&gt;=E159,"Successful","Unsuccessful"),"🔒 BLOCKED — Wrong Code")),"—")</f>
        <v>—</v>
      </c>
      <c r="K159" s="86" t="str">
        <f t="shared" ca="1" si="14"/>
        <v>—</v>
      </c>
      <c r="L159" s="87"/>
    </row>
    <row r="160" spans="1:12" x14ac:dyDescent="0.25">
      <c r="A160" s="88"/>
      <c r="B160" s="25" t="str">
        <f>IF(A160="","",IFERROR(VLOOKUP(A160,DB_Customers!$A:$D,4,0),"❌ Account Not Found"))</f>
        <v/>
      </c>
      <c r="C160" s="89" t="str">
        <f>IF(A160="","",IFERROR(VLOOKUP(A160,DB_Customers!$A:$N,14,0),""))</f>
        <v/>
      </c>
      <c r="D160" s="90" t="str">
        <f t="shared" ca="1" si="12"/>
        <v/>
      </c>
      <c r="E160" s="97"/>
      <c r="F160" s="25"/>
      <c r="G160" s="99" t="str">
        <f t="shared" si="13"/>
        <v/>
      </c>
      <c r="H160" s="27"/>
      <c r="I160" s="84"/>
      <c r="J160" s="92" t="str">
        <f>IF(AND(A160&lt;&gt;"",E160&lt;&gt;""),IF(I160="","⚠️ Enter Code",IF(IFERROR(VLOOKUP(H160,DB_Agents!$B:$I,8,0),"")=I160,IF(C160&gt;=E160,"Successful","Unsuccessful"),"🔒 BLOCKED — Wrong Code")),"—")</f>
        <v>—</v>
      </c>
      <c r="K160" s="93" t="str">
        <f t="shared" ca="1" si="14"/>
        <v>—</v>
      </c>
      <c r="L160" s="94"/>
    </row>
    <row r="161" spans="1:12" x14ac:dyDescent="0.25">
      <c r="A161" s="79"/>
      <c r="B161" s="21" t="str">
        <f>IF(A161="","",IFERROR(VLOOKUP(A161,DB_Customers!$A:$D,4,0),"❌ Account Not Found"))</f>
        <v/>
      </c>
      <c r="C161" s="80" t="str">
        <f>IF(A161="","",IFERROR(VLOOKUP(A161,DB_Customers!$A:$N,14,0),""))</f>
        <v/>
      </c>
      <c r="D161" s="81" t="str">
        <f t="shared" ca="1" si="12"/>
        <v/>
      </c>
      <c r="E161" s="97"/>
      <c r="F161" s="21"/>
      <c r="G161" s="98" t="str">
        <f t="shared" si="13"/>
        <v/>
      </c>
      <c r="H161" s="23"/>
      <c r="I161" s="84"/>
      <c r="J161" s="85" t="str">
        <f>IF(AND(A161&lt;&gt;"",E161&lt;&gt;""),IF(I161="","⚠️ Enter Code",IF(IFERROR(VLOOKUP(H161,DB_Agents!$B:$I,8,0),"")=I161,IF(C161&gt;=E161,"Successful","Unsuccessful"),"🔒 BLOCKED — Wrong Code")),"—")</f>
        <v>—</v>
      </c>
      <c r="K161" s="86" t="str">
        <f t="shared" ca="1" si="14"/>
        <v>—</v>
      </c>
      <c r="L161" s="87"/>
    </row>
    <row r="162" spans="1:12" x14ac:dyDescent="0.25">
      <c r="A162" s="88"/>
      <c r="B162" s="25" t="str">
        <f>IF(A162="","",IFERROR(VLOOKUP(A162,DB_Customers!$A:$D,4,0),"❌ Account Not Found"))</f>
        <v/>
      </c>
      <c r="C162" s="89" t="str">
        <f>IF(A162="","",IFERROR(VLOOKUP(A162,DB_Customers!$A:$N,14,0),""))</f>
        <v/>
      </c>
      <c r="D162" s="90" t="str">
        <f t="shared" ca="1" si="12"/>
        <v/>
      </c>
      <c r="E162" s="97"/>
      <c r="F162" s="25"/>
      <c r="G162" s="99" t="str">
        <f t="shared" si="13"/>
        <v/>
      </c>
      <c r="H162" s="27"/>
      <c r="I162" s="84"/>
      <c r="J162" s="92" t="str">
        <f>IF(AND(A162&lt;&gt;"",E162&lt;&gt;""),IF(I162="","⚠️ Enter Code",IF(IFERROR(VLOOKUP(H162,DB_Agents!$B:$I,8,0),"")=I162,IF(C162&gt;=E162,"Successful","Unsuccessful"),"🔒 BLOCKED — Wrong Code")),"—")</f>
        <v>—</v>
      </c>
      <c r="K162" s="93" t="str">
        <f t="shared" ca="1" si="14"/>
        <v>—</v>
      </c>
      <c r="L162" s="94"/>
    </row>
    <row r="163" spans="1:12" x14ac:dyDescent="0.25">
      <c r="A163" s="79"/>
      <c r="B163" s="21" t="str">
        <f>IF(A163="","",IFERROR(VLOOKUP(A163,DB_Customers!$A:$D,4,0),"❌ Account Not Found"))</f>
        <v/>
      </c>
      <c r="C163" s="80" t="str">
        <f>IF(A163="","",IFERROR(VLOOKUP(A163,DB_Customers!$A:$N,14,0),""))</f>
        <v/>
      </c>
      <c r="D163" s="81" t="str">
        <f t="shared" ca="1" si="12"/>
        <v/>
      </c>
      <c r="E163" s="97"/>
      <c r="F163" s="21"/>
      <c r="G163" s="98" t="str">
        <f t="shared" si="13"/>
        <v/>
      </c>
      <c r="H163" s="23"/>
      <c r="I163" s="84"/>
      <c r="J163" s="85" t="str">
        <f>IF(AND(A163&lt;&gt;"",E163&lt;&gt;""),IF(I163="","⚠️ Enter Code",IF(IFERROR(VLOOKUP(H163,DB_Agents!$B:$I,8,0),"")=I163,IF(C163&gt;=E163,"Successful","Unsuccessful"),"🔒 BLOCKED — Wrong Code")),"—")</f>
        <v>—</v>
      </c>
      <c r="K163" s="86" t="str">
        <f t="shared" ca="1" si="14"/>
        <v>—</v>
      </c>
      <c r="L163" s="87"/>
    </row>
    <row r="164" spans="1:12" x14ac:dyDescent="0.25">
      <c r="A164" s="88"/>
      <c r="B164" s="25" t="str">
        <f>IF(A164="","",IFERROR(VLOOKUP(A164,DB_Customers!$A:$D,4,0),"❌ Account Not Found"))</f>
        <v/>
      </c>
      <c r="C164" s="89" t="str">
        <f>IF(A164="","",IFERROR(VLOOKUP(A164,DB_Customers!$A:$N,14,0),""))</f>
        <v/>
      </c>
      <c r="D164" s="90" t="str">
        <f t="shared" ca="1" si="12"/>
        <v/>
      </c>
      <c r="E164" s="97"/>
      <c r="F164" s="25"/>
      <c r="G164" s="99" t="str">
        <f t="shared" si="13"/>
        <v/>
      </c>
      <c r="H164" s="27"/>
      <c r="I164" s="84"/>
      <c r="J164" s="92" t="str">
        <f>IF(AND(A164&lt;&gt;"",E164&lt;&gt;""),IF(I164="","⚠️ Enter Code",IF(IFERROR(VLOOKUP(H164,DB_Agents!$B:$I,8,0),"")=I164,IF(C164&gt;=E164,"Successful","Unsuccessful"),"🔒 BLOCKED — Wrong Code")),"—")</f>
        <v>—</v>
      </c>
      <c r="K164" s="93" t="str">
        <f t="shared" ca="1" si="14"/>
        <v>—</v>
      </c>
      <c r="L164" s="94"/>
    </row>
    <row r="165" spans="1:12" x14ac:dyDescent="0.25">
      <c r="A165" s="79"/>
      <c r="B165" s="21" t="str">
        <f>IF(A165="","",IFERROR(VLOOKUP(A165,DB_Customers!$A:$D,4,0),"❌ Account Not Found"))</f>
        <v/>
      </c>
      <c r="C165" s="80" t="str">
        <f>IF(A165="","",IFERROR(VLOOKUP(A165,DB_Customers!$A:$N,14,0),""))</f>
        <v/>
      </c>
      <c r="D165" s="81" t="str">
        <f t="shared" ca="1" si="12"/>
        <v/>
      </c>
      <c r="E165" s="97"/>
      <c r="F165" s="21"/>
      <c r="G165" s="98" t="str">
        <f t="shared" si="13"/>
        <v/>
      </c>
      <c r="H165" s="23"/>
      <c r="I165" s="84"/>
      <c r="J165" s="85" t="str">
        <f>IF(AND(A165&lt;&gt;"",E165&lt;&gt;""),IF(I165="","⚠️ Enter Code",IF(IFERROR(VLOOKUP(H165,DB_Agents!$B:$I,8,0),"")=I165,IF(C165&gt;=E165,"Successful","Unsuccessful"),"🔒 BLOCKED — Wrong Code")),"—")</f>
        <v>—</v>
      </c>
      <c r="K165" s="86" t="str">
        <f t="shared" ca="1" si="14"/>
        <v>—</v>
      </c>
      <c r="L165" s="87"/>
    </row>
    <row r="166" spans="1:12" x14ac:dyDescent="0.25">
      <c r="A166" s="88"/>
      <c r="B166" s="25" t="str">
        <f>IF(A166="","",IFERROR(VLOOKUP(A166,DB_Customers!$A:$D,4,0),"❌ Account Not Found"))</f>
        <v/>
      </c>
      <c r="C166" s="89" t="str">
        <f>IF(A166="","",IFERROR(VLOOKUP(A166,DB_Customers!$A:$N,14,0),""))</f>
        <v/>
      </c>
      <c r="D166" s="90" t="str">
        <f t="shared" ca="1" si="12"/>
        <v/>
      </c>
      <c r="E166" s="97"/>
      <c r="F166" s="25"/>
      <c r="G166" s="99" t="str">
        <f t="shared" si="13"/>
        <v/>
      </c>
      <c r="H166" s="27"/>
      <c r="I166" s="84"/>
      <c r="J166" s="92" t="str">
        <f>IF(AND(A166&lt;&gt;"",E166&lt;&gt;""),IF(I166="","⚠️ Enter Code",IF(IFERROR(VLOOKUP(H166,DB_Agents!$B:$I,8,0),"")=I166,IF(C166&gt;=E166,"Successful","Unsuccessful"),"🔒 BLOCKED — Wrong Code")),"—")</f>
        <v>—</v>
      </c>
      <c r="K166" s="93" t="str">
        <f t="shared" ca="1" si="14"/>
        <v>—</v>
      </c>
      <c r="L166" s="94"/>
    </row>
    <row r="167" spans="1:12" x14ac:dyDescent="0.25">
      <c r="A167" s="79"/>
      <c r="B167" s="21" t="str">
        <f>IF(A167="","",IFERROR(VLOOKUP(A167,DB_Customers!$A:$D,4,0),"❌ Account Not Found"))</f>
        <v/>
      </c>
      <c r="C167" s="80" t="str">
        <f>IF(A167="","",IFERROR(VLOOKUP(A167,DB_Customers!$A:$N,14,0),""))</f>
        <v/>
      </c>
      <c r="D167" s="81" t="str">
        <f t="shared" ca="1" si="12"/>
        <v/>
      </c>
      <c r="E167" s="97"/>
      <c r="F167" s="21"/>
      <c r="G167" s="98" t="str">
        <f t="shared" si="13"/>
        <v/>
      </c>
      <c r="H167" s="23"/>
      <c r="I167" s="84"/>
      <c r="J167" s="85" t="str">
        <f>IF(AND(A167&lt;&gt;"",E167&lt;&gt;""),IF(I167="","⚠️ Enter Code",IF(IFERROR(VLOOKUP(H167,DB_Agents!$B:$I,8,0),"")=I167,IF(C167&gt;=E167,"Successful","Unsuccessful"),"🔒 BLOCKED — Wrong Code")),"—")</f>
        <v>—</v>
      </c>
      <c r="K167" s="86" t="str">
        <f t="shared" ca="1" si="14"/>
        <v>—</v>
      </c>
      <c r="L167" s="87"/>
    </row>
    <row r="168" spans="1:12" x14ac:dyDescent="0.25">
      <c r="A168" s="88"/>
      <c r="B168" s="25" t="str">
        <f>IF(A168="","",IFERROR(VLOOKUP(A168,DB_Customers!$A:$D,4,0),"❌ Account Not Found"))</f>
        <v/>
      </c>
      <c r="C168" s="89" t="str">
        <f>IF(A168="","",IFERROR(VLOOKUP(A168,DB_Customers!$A:$N,14,0),""))</f>
        <v/>
      </c>
      <c r="D168" s="90" t="str">
        <f t="shared" ca="1" si="12"/>
        <v/>
      </c>
      <c r="E168" s="97"/>
      <c r="F168" s="25"/>
      <c r="G168" s="99" t="str">
        <f t="shared" si="13"/>
        <v/>
      </c>
      <c r="H168" s="27"/>
      <c r="I168" s="84"/>
      <c r="J168" s="92" t="str">
        <f>IF(AND(A168&lt;&gt;"",E168&lt;&gt;""),IF(I168="","⚠️ Enter Code",IF(IFERROR(VLOOKUP(H168,DB_Agents!$B:$I,8,0),"")=I168,IF(C168&gt;=E168,"Successful","Unsuccessful"),"🔒 BLOCKED — Wrong Code")),"—")</f>
        <v>—</v>
      </c>
      <c r="K168" s="93" t="str">
        <f t="shared" ca="1" si="14"/>
        <v>—</v>
      </c>
      <c r="L168" s="94"/>
    </row>
    <row r="169" spans="1:12" x14ac:dyDescent="0.25">
      <c r="A169" s="79"/>
      <c r="B169" s="21" t="str">
        <f>IF(A169="","",IFERROR(VLOOKUP(A169,DB_Customers!$A:$D,4,0),"❌ Account Not Found"))</f>
        <v/>
      </c>
      <c r="C169" s="80" t="str">
        <f>IF(A169="","",IFERROR(VLOOKUP(A169,DB_Customers!$A:$N,14,0),""))</f>
        <v/>
      </c>
      <c r="D169" s="81" t="str">
        <f t="shared" ref="D169:D200" ca="1" si="15">IF(A169="","",TODAY())</f>
        <v/>
      </c>
      <c r="E169" s="97"/>
      <c r="F169" s="21"/>
      <c r="G169" s="98" t="str">
        <f t="shared" ref="G169:G200" si="16">IF(OR(A169="",E169=""),"",IF(C169="","",C169-E169))</f>
        <v/>
      </c>
      <c r="H169" s="23"/>
      <c r="I169" s="84"/>
      <c r="J169" s="85" t="str">
        <f>IF(AND(A169&lt;&gt;"",E169&lt;&gt;""),IF(I169="","⚠️ Enter Code",IF(IFERROR(VLOOKUP(H169,DB_Agents!$B:$I,8,0),"")=I169,IF(C169&gt;=E169,"Successful","Unsuccessful"),"🔒 BLOCKED — Wrong Code")),"—")</f>
        <v>—</v>
      </c>
      <c r="K169" s="86" t="str">
        <f t="shared" ref="K169:K200" ca="1" si="17">IF(J169="Successful",TEXT(TODAY(),"YYYY-MM-DD")&amp;" Auto","—")</f>
        <v>—</v>
      </c>
      <c r="L169" s="87"/>
    </row>
    <row r="170" spans="1:12" x14ac:dyDescent="0.25">
      <c r="A170" s="88"/>
      <c r="B170" s="25" t="str">
        <f>IF(A170="","",IFERROR(VLOOKUP(A170,DB_Customers!$A:$D,4,0),"❌ Account Not Found"))</f>
        <v/>
      </c>
      <c r="C170" s="89" t="str">
        <f>IF(A170="","",IFERROR(VLOOKUP(A170,DB_Customers!$A:$N,14,0),""))</f>
        <v/>
      </c>
      <c r="D170" s="90" t="str">
        <f t="shared" ca="1" si="15"/>
        <v/>
      </c>
      <c r="E170" s="97"/>
      <c r="F170" s="25"/>
      <c r="G170" s="99" t="str">
        <f t="shared" si="16"/>
        <v/>
      </c>
      <c r="H170" s="27"/>
      <c r="I170" s="84"/>
      <c r="J170" s="92" t="str">
        <f>IF(AND(A170&lt;&gt;"",E170&lt;&gt;""),IF(I170="","⚠️ Enter Code",IF(IFERROR(VLOOKUP(H170,DB_Agents!$B:$I,8,0),"")=I170,IF(C170&gt;=E170,"Successful","Unsuccessful"),"🔒 BLOCKED — Wrong Code")),"—")</f>
        <v>—</v>
      </c>
      <c r="K170" s="93" t="str">
        <f t="shared" ca="1" si="17"/>
        <v>—</v>
      </c>
      <c r="L170" s="94"/>
    </row>
    <row r="171" spans="1:12" x14ac:dyDescent="0.25">
      <c r="A171" s="79"/>
      <c r="B171" s="21" t="str">
        <f>IF(A171="","",IFERROR(VLOOKUP(A171,DB_Customers!$A:$D,4,0),"❌ Account Not Found"))</f>
        <v/>
      </c>
      <c r="C171" s="80" t="str">
        <f>IF(A171="","",IFERROR(VLOOKUP(A171,DB_Customers!$A:$N,14,0),""))</f>
        <v/>
      </c>
      <c r="D171" s="81" t="str">
        <f t="shared" ca="1" si="15"/>
        <v/>
      </c>
      <c r="E171" s="97"/>
      <c r="F171" s="21"/>
      <c r="G171" s="98" t="str">
        <f t="shared" si="16"/>
        <v/>
      </c>
      <c r="H171" s="23"/>
      <c r="I171" s="84"/>
      <c r="J171" s="85" t="str">
        <f>IF(AND(A171&lt;&gt;"",E171&lt;&gt;""),IF(I171="","⚠️ Enter Code",IF(IFERROR(VLOOKUP(H171,DB_Agents!$B:$I,8,0),"")=I171,IF(C171&gt;=E171,"Successful","Unsuccessful"),"🔒 BLOCKED — Wrong Code")),"—")</f>
        <v>—</v>
      </c>
      <c r="K171" s="86" t="str">
        <f t="shared" ca="1" si="17"/>
        <v>—</v>
      </c>
      <c r="L171" s="87"/>
    </row>
    <row r="172" spans="1:12" x14ac:dyDescent="0.25">
      <c r="A172" s="88"/>
      <c r="B172" s="25" t="str">
        <f>IF(A172="","",IFERROR(VLOOKUP(A172,DB_Customers!$A:$D,4,0),"❌ Account Not Found"))</f>
        <v/>
      </c>
      <c r="C172" s="89" t="str">
        <f>IF(A172="","",IFERROR(VLOOKUP(A172,DB_Customers!$A:$N,14,0),""))</f>
        <v/>
      </c>
      <c r="D172" s="90" t="str">
        <f t="shared" ca="1" si="15"/>
        <v/>
      </c>
      <c r="E172" s="97"/>
      <c r="F172" s="25"/>
      <c r="G172" s="99" t="str">
        <f t="shared" si="16"/>
        <v/>
      </c>
      <c r="H172" s="27"/>
      <c r="I172" s="84"/>
      <c r="J172" s="92" t="str">
        <f>IF(AND(A172&lt;&gt;"",E172&lt;&gt;""),IF(I172="","⚠️ Enter Code",IF(IFERROR(VLOOKUP(H172,DB_Agents!$B:$I,8,0),"")=I172,IF(C172&gt;=E172,"Successful","Unsuccessful"),"🔒 BLOCKED — Wrong Code")),"—")</f>
        <v>—</v>
      </c>
      <c r="K172" s="93" t="str">
        <f t="shared" ca="1" si="17"/>
        <v>—</v>
      </c>
      <c r="L172" s="94"/>
    </row>
    <row r="173" spans="1:12" x14ac:dyDescent="0.25">
      <c r="A173" s="79"/>
      <c r="B173" s="21" t="str">
        <f>IF(A173="","",IFERROR(VLOOKUP(A173,DB_Customers!$A:$D,4,0),"❌ Account Not Found"))</f>
        <v/>
      </c>
      <c r="C173" s="80" t="str">
        <f>IF(A173="","",IFERROR(VLOOKUP(A173,DB_Customers!$A:$N,14,0),""))</f>
        <v/>
      </c>
      <c r="D173" s="81" t="str">
        <f t="shared" ca="1" si="15"/>
        <v/>
      </c>
      <c r="E173" s="97"/>
      <c r="F173" s="21"/>
      <c r="G173" s="98" t="str">
        <f t="shared" si="16"/>
        <v/>
      </c>
      <c r="H173" s="23"/>
      <c r="I173" s="84"/>
      <c r="J173" s="85" t="str">
        <f>IF(AND(A173&lt;&gt;"",E173&lt;&gt;""),IF(I173="","⚠️ Enter Code",IF(IFERROR(VLOOKUP(H173,DB_Agents!$B:$I,8,0),"")=I173,IF(C173&gt;=E173,"Successful","Unsuccessful"),"🔒 BLOCKED — Wrong Code")),"—")</f>
        <v>—</v>
      </c>
      <c r="K173" s="86" t="str">
        <f t="shared" ca="1" si="17"/>
        <v>—</v>
      </c>
      <c r="L173" s="87"/>
    </row>
    <row r="174" spans="1:12" x14ac:dyDescent="0.25">
      <c r="A174" s="88"/>
      <c r="B174" s="25" t="str">
        <f>IF(A174="","",IFERROR(VLOOKUP(A174,DB_Customers!$A:$D,4,0),"❌ Account Not Found"))</f>
        <v/>
      </c>
      <c r="C174" s="89" t="str">
        <f>IF(A174="","",IFERROR(VLOOKUP(A174,DB_Customers!$A:$N,14,0),""))</f>
        <v/>
      </c>
      <c r="D174" s="90" t="str">
        <f t="shared" ca="1" si="15"/>
        <v/>
      </c>
      <c r="E174" s="97"/>
      <c r="F174" s="25"/>
      <c r="G174" s="99" t="str">
        <f t="shared" si="16"/>
        <v/>
      </c>
      <c r="H174" s="27"/>
      <c r="I174" s="84"/>
      <c r="J174" s="92" t="str">
        <f>IF(AND(A174&lt;&gt;"",E174&lt;&gt;""),IF(I174="","⚠️ Enter Code",IF(IFERROR(VLOOKUP(H174,DB_Agents!$B:$I,8,0),"")=I174,IF(C174&gt;=E174,"Successful","Unsuccessful"),"🔒 BLOCKED — Wrong Code")),"—")</f>
        <v>—</v>
      </c>
      <c r="K174" s="93" t="str">
        <f t="shared" ca="1" si="17"/>
        <v>—</v>
      </c>
      <c r="L174" s="94"/>
    </row>
    <row r="175" spans="1:12" x14ac:dyDescent="0.25">
      <c r="A175" s="79"/>
      <c r="B175" s="21" t="str">
        <f>IF(A175="","",IFERROR(VLOOKUP(A175,DB_Customers!$A:$D,4,0),"❌ Account Not Found"))</f>
        <v/>
      </c>
      <c r="C175" s="80" t="str">
        <f>IF(A175="","",IFERROR(VLOOKUP(A175,DB_Customers!$A:$N,14,0),""))</f>
        <v/>
      </c>
      <c r="D175" s="81" t="str">
        <f t="shared" ca="1" si="15"/>
        <v/>
      </c>
      <c r="E175" s="97"/>
      <c r="F175" s="21"/>
      <c r="G175" s="98" t="str">
        <f t="shared" si="16"/>
        <v/>
      </c>
      <c r="H175" s="23"/>
      <c r="I175" s="84"/>
      <c r="J175" s="85" t="str">
        <f>IF(AND(A175&lt;&gt;"",E175&lt;&gt;""),IF(I175="","⚠️ Enter Code",IF(IFERROR(VLOOKUP(H175,DB_Agents!$B:$I,8,0),"")=I175,IF(C175&gt;=E175,"Successful","Unsuccessful"),"🔒 BLOCKED — Wrong Code")),"—")</f>
        <v>—</v>
      </c>
      <c r="K175" s="86" t="str">
        <f t="shared" ca="1" si="17"/>
        <v>—</v>
      </c>
      <c r="L175" s="87"/>
    </row>
    <row r="176" spans="1:12" x14ac:dyDescent="0.25">
      <c r="A176" s="88"/>
      <c r="B176" s="25" t="str">
        <f>IF(A176="","",IFERROR(VLOOKUP(A176,DB_Customers!$A:$D,4,0),"❌ Account Not Found"))</f>
        <v/>
      </c>
      <c r="C176" s="89" t="str">
        <f>IF(A176="","",IFERROR(VLOOKUP(A176,DB_Customers!$A:$N,14,0),""))</f>
        <v/>
      </c>
      <c r="D176" s="90" t="str">
        <f t="shared" ca="1" si="15"/>
        <v/>
      </c>
      <c r="E176" s="97"/>
      <c r="F176" s="25"/>
      <c r="G176" s="99" t="str">
        <f t="shared" si="16"/>
        <v/>
      </c>
      <c r="H176" s="27"/>
      <c r="I176" s="84"/>
      <c r="J176" s="92" t="str">
        <f>IF(AND(A176&lt;&gt;"",E176&lt;&gt;""),IF(I176="","⚠️ Enter Code",IF(IFERROR(VLOOKUP(H176,DB_Agents!$B:$I,8,0),"")=I176,IF(C176&gt;=E176,"Successful","Unsuccessful"),"🔒 BLOCKED — Wrong Code")),"—")</f>
        <v>—</v>
      </c>
      <c r="K176" s="93" t="str">
        <f t="shared" ca="1" si="17"/>
        <v>—</v>
      </c>
      <c r="L176" s="94"/>
    </row>
    <row r="177" spans="1:12" x14ac:dyDescent="0.25">
      <c r="A177" s="79"/>
      <c r="B177" s="21" t="str">
        <f>IF(A177="","",IFERROR(VLOOKUP(A177,DB_Customers!$A:$D,4,0),"❌ Account Not Found"))</f>
        <v/>
      </c>
      <c r="C177" s="80" t="str">
        <f>IF(A177="","",IFERROR(VLOOKUP(A177,DB_Customers!$A:$N,14,0),""))</f>
        <v/>
      </c>
      <c r="D177" s="81" t="str">
        <f t="shared" ca="1" si="15"/>
        <v/>
      </c>
      <c r="E177" s="97"/>
      <c r="F177" s="21"/>
      <c r="G177" s="98" t="str">
        <f t="shared" si="16"/>
        <v/>
      </c>
      <c r="H177" s="23"/>
      <c r="I177" s="84"/>
      <c r="J177" s="85" t="str">
        <f>IF(AND(A177&lt;&gt;"",E177&lt;&gt;""),IF(I177="","⚠️ Enter Code",IF(IFERROR(VLOOKUP(H177,DB_Agents!$B:$I,8,0),"")=I177,IF(C177&gt;=E177,"Successful","Unsuccessful"),"🔒 BLOCKED — Wrong Code")),"—")</f>
        <v>—</v>
      </c>
      <c r="K177" s="86" t="str">
        <f t="shared" ca="1" si="17"/>
        <v>—</v>
      </c>
      <c r="L177" s="87"/>
    </row>
    <row r="178" spans="1:12" x14ac:dyDescent="0.25">
      <c r="A178" s="88"/>
      <c r="B178" s="25" t="str">
        <f>IF(A178="","",IFERROR(VLOOKUP(A178,DB_Customers!$A:$D,4,0),"❌ Account Not Found"))</f>
        <v/>
      </c>
      <c r="C178" s="89" t="str">
        <f>IF(A178="","",IFERROR(VLOOKUP(A178,DB_Customers!$A:$N,14,0),""))</f>
        <v/>
      </c>
      <c r="D178" s="90" t="str">
        <f t="shared" ca="1" si="15"/>
        <v/>
      </c>
      <c r="E178" s="97"/>
      <c r="F178" s="25"/>
      <c r="G178" s="99" t="str">
        <f t="shared" si="16"/>
        <v/>
      </c>
      <c r="H178" s="27"/>
      <c r="I178" s="84"/>
      <c r="J178" s="92" t="str">
        <f>IF(AND(A178&lt;&gt;"",E178&lt;&gt;""),IF(I178="","⚠️ Enter Code",IF(IFERROR(VLOOKUP(H178,DB_Agents!$B:$I,8,0),"")=I178,IF(C178&gt;=E178,"Successful","Unsuccessful"),"🔒 BLOCKED — Wrong Code")),"—")</f>
        <v>—</v>
      </c>
      <c r="K178" s="93" t="str">
        <f t="shared" ca="1" si="17"/>
        <v>—</v>
      </c>
      <c r="L178" s="94"/>
    </row>
    <row r="179" spans="1:12" x14ac:dyDescent="0.25">
      <c r="A179" s="79"/>
      <c r="B179" s="21" t="str">
        <f>IF(A179="","",IFERROR(VLOOKUP(A179,DB_Customers!$A:$D,4,0),"❌ Account Not Found"))</f>
        <v/>
      </c>
      <c r="C179" s="80" t="str">
        <f>IF(A179="","",IFERROR(VLOOKUP(A179,DB_Customers!$A:$N,14,0),""))</f>
        <v/>
      </c>
      <c r="D179" s="81" t="str">
        <f t="shared" ca="1" si="15"/>
        <v/>
      </c>
      <c r="E179" s="97"/>
      <c r="F179" s="21"/>
      <c r="G179" s="98" t="str">
        <f t="shared" si="16"/>
        <v/>
      </c>
      <c r="H179" s="23"/>
      <c r="I179" s="84"/>
      <c r="J179" s="85" t="str">
        <f>IF(AND(A179&lt;&gt;"",E179&lt;&gt;""),IF(I179="","⚠️ Enter Code",IF(IFERROR(VLOOKUP(H179,DB_Agents!$B:$I,8,0),"")=I179,IF(C179&gt;=E179,"Successful","Unsuccessful"),"🔒 BLOCKED — Wrong Code")),"—")</f>
        <v>—</v>
      </c>
      <c r="K179" s="86" t="str">
        <f t="shared" ca="1" si="17"/>
        <v>—</v>
      </c>
      <c r="L179" s="87"/>
    </row>
    <row r="180" spans="1:12" x14ac:dyDescent="0.25">
      <c r="A180" s="88"/>
      <c r="B180" s="25" t="str">
        <f>IF(A180="","",IFERROR(VLOOKUP(A180,DB_Customers!$A:$D,4,0),"❌ Account Not Found"))</f>
        <v/>
      </c>
      <c r="C180" s="89" t="str">
        <f>IF(A180="","",IFERROR(VLOOKUP(A180,DB_Customers!$A:$N,14,0),""))</f>
        <v/>
      </c>
      <c r="D180" s="90" t="str">
        <f t="shared" ca="1" si="15"/>
        <v/>
      </c>
      <c r="E180" s="97"/>
      <c r="F180" s="25"/>
      <c r="G180" s="99" t="str">
        <f t="shared" si="16"/>
        <v/>
      </c>
      <c r="H180" s="27"/>
      <c r="I180" s="84"/>
      <c r="J180" s="92" t="str">
        <f>IF(AND(A180&lt;&gt;"",E180&lt;&gt;""),IF(I180="","⚠️ Enter Code",IF(IFERROR(VLOOKUP(H180,DB_Agents!$B:$I,8,0),"")=I180,IF(C180&gt;=E180,"Successful","Unsuccessful"),"🔒 BLOCKED — Wrong Code")),"—")</f>
        <v>—</v>
      </c>
      <c r="K180" s="93" t="str">
        <f t="shared" ca="1" si="17"/>
        <v>—</v>
      </c>
      <c r="L180" s="94"/>
    </row>
    <row r="181" spans="1:12" x14ac:dyDescent="0.25">
      <c r="A181" s="79"/>
      <c r="B181" s="21" t="str">
        <f>IF(A181="","",IFERROR(VLOOKUP(A181,DB_Customers!$A:$D,4,0),"❌ Account Not Found"))</f>
        <v/>
      </c>
      <c r="C181" s="80" t="str">
        <f>IF(A181="","",IFERROR(VLOOKUP(A181,DB_Customers!$A:$N,14,0),""))</f>
        <v/>
      </c>
      <c r="D181" s="81" t="str">
        <f t="shared" ca="1" si="15"/>
        <v/>
      </c>
      <c r="E181" s="97"/>
      <c r="F181" s="21"/>
      <c r="G181" s="98" t="str">
        <f t="shared" si="16"/>
        <v/>
      </c>
      <c r="H181" s="23"/>
      <c r="I181" s="84"/>
      <c r="J181" s="85" t="str">
        <f>IF(AND(A181&lt;&gt;"",E181&lt;&gt;""),IF(I181="","⚠️ Enter Code",IF(IFERROR(VLOOKUP(H181,DB_Agents!$B:$I,8,0),"")=I181,IF(C181&gt;=E181,"Successful","Unsuccessful"),"🔒 BLOCKED — Wrong Code")),"—")</f>
        <v>—</v>
      </c>
      <c r="K181" s="86" t="str">
        <f t="shared" ca="1" si="17"/>
        <v>—</v>
      </c>
      <c r="L181" s="87"/>
    </row>
    <row r="182" spans="1:12" x14ac:dyDescent="0.25">
      <c r="A182" s="88"/>
      <c r="B182" s="25" t="str">
        <f>IF(A182="","",IFERROR(VLOOKUP(A182,DB_Customers!$A:$D,4,0),"❌ Account Not Found"))</f>
        <v/>
      </c>
      <c r="C182" s="89" t="str">
        <f>IF(A182="","",IFERROR(VLOOKUP(A182,DB_Customers!$A:$N,14,0),""))</f>
        <v/>
      </c>
      <c r="D182" s="90" t="str">
        <f t="shared" ca="1" si="15"/>
        <v/>
      </c>
      <c r="E182" s="97"/>
      <c r="F182" s="25"/>
      <c r="G182" s="99" t="str">
        <f t="shared" si="16"/>
        <v/>
      </c>
      <c r="H182" s="27"/>
      <c r="I182" s="84"/>
      <c r="J182" s="92" t="str">
        <f>IF(AND(A182&lt;&gt;"",E182&lt;&gt;""),IF(I182="","⚠️ Enter Code",IF(IFERROR(VLOOKUP(H182,DB_Agents!$B:$I,8,0),"")=I182,IF(C182&gt;=E182,"Successful","Unsuccessful"),"🔒 BLOCKED — Wrong Code")),"—")</f>
        <v>—</v>
      </c>
      <c r="K182" s="93" t="str">
        <f t="shared" ca="1" si="17"/>
        <v>—</v>
      </c>
      <c r="L182" s="94"/>
    </row>
    <row r="183" spans="1:12" x14ac:dyDescent="0.25">
      <c r="A183" s="79"/>
      <c r="B183" s="21" t="str">
        <f>IF(A183="","",IFERROR(VLOOKUP(A183,DB_Customers!$A:$D,4,0),"❌ Account Not Found"))</f>
        <v/>
      </c>
      <c r="C183" s="80" t="str">
        <f>IF(A183="","",IFERROR(VLOOKUP(A183,DB_Customers!$A:$N,14,0),""))</f>
        <v/>
      </c>
      <c r="D183" s="81" t="str">
        <f t="shared" ca="1" si="15"/>
        <v/>
      </c>
      <c r="E183" s="97"/>
      <c r="F183" s="21"/>
      <c r="G183" s="98" t="str">
        <f t="shared" si="16"/>
        <v/>
      </c>
      <c r="H183" s="23"/>
      <c r="I183" s="84"/>
      <c r="J183" s="85" t="str">
        <f>IF(AND(A183&lt;&gt;"",E183&lt;&gt;""),IF(I183="","⚠️ Enter Code",IF(IFERROR(VLOOKUP(H183,DB_Agents!$B:$I,8,0),"")=I183,IF(C183&gt;=E183,"Successful","Unsuccessful"),"🔒 BLOCKED — Wrong Code")),"—")</f>
        <v>—</v>
      </c>
      <c r="K183" s="86" t="str">
        <f t="shared" ca="1" si="17"/>
        <v>—</v>
      </c>
      <c r="L183" s="87"/>
    </row>
    <row r="184" spans="1:12" x14ac:dyDescent="0.25">
      <c r="A184" s="88"/>
      <c r="B184" s="25" t="str">
        <f>IF(A184="","",IFERROR(VLOOKUP(A184,DB_Customers!$A:$D,4,0),"❌ Account Not Found"))</f>
        <v/>
      </c>
      <c r="C184" s="89" t="str">
        <f>IF(A184="","",IFERROR(VLOOKUP(A184,DB_Customers!$A:$N,14,0),""))</f>
        <v/>
      </c>
      <c r="D184" s="90" t="str">
        <f t="shared" ca="1" si="15"/>
        <v/>
      </c>
      <c r="E184" s="97"/>
      <c r="F184" s="25"/>
      <c r="G184" s="99" t="str">
        <f t="shared" si="16"/>
        <v/>
      </c>
      <c r="H184" s="27"/>
      <c r="I184" s="84"/>
      <c r="J184" s="92" t="str">
        <f>IF(AND(A184&lt;&gt;"",E184&lt;&gt;""),IF(I184="","⚠️ Enter Code",IF(IFERROR(VLOOKUP(H184,DB_Agents!$B:$I,8,0),"")=I184,IF(C184&gt;=E184,"Successful","Unsuccessful"),"🔒 BLOCKED — Wrong Code")),"—")</f>
        <v>—</v>
      </c>
      <c r="K184" s="93" t="str">
        <f t="shared" ca="1" si="17"/>
        <v>—</v>
      </c>
      <c r="L184" s="94"/>
    </row>
    <row r="185" spans="1:12" x14ac:dyDescent="0.25">
      <c r="A185" s="79"/>
      <c r="B185" s="21" t="str">
        <f>IF(A185="","",IFERROR(VLOOKUP(A185,DB_Customers!$A:$D,4,0),"❌ Account Not Found"))</f>
        <v/>
      </c>
      <c r="C185" s="80" t="str">
        <f>IF(A185="","",IFERROR(VLOOKUP(A185,DB_Customers!$A:$N,14,0),""))</f>
        <v/>
      </c>
      <c r="D185" s="81" t="str">
        <f t="shared" ca="1" si="15"/>
        <v/>
      </c>
      <c r="E185" s="97"/>
      <c r="F185" s="21"/>
      <c r="G185" s="98" t="str">
        <f t="shared" si="16"/>
        <v/>
      </c>
      <c r="H185" s="23"/>
      <c r="I185" s="84"/>
      <c r="J185" s="85" t="str">
        <f>IF(AND(A185&lt;&gt;"",E185&lt;&gt;""),IF(I185="","⚠️ Enter Code",IF(IFERROR(VLOOKUP(H185,DB_Agents!$B:$I,8,0),"")=I185,IF(C185&gt;=E185,"Successful","Unsuccessful"),"🔒 BLOCKED — Wrong Code")),"—")</f>
        <v>—</v>
      </c>
      <c r="K185" s="86" t="str">
        <f t="shared" ca="1" si="17"/>
        <v>—</v>
      </c>
      <c r="L185" s="87"/>
    </row>
    <row r="186" spans="1:12" x14ac:dyDescent="0.25">
      <c r="A186" s="88"/>
      <c r="B186" s="25" t="str">
        <f>IF(A186="","",IFERROR(VLOOKUP(A186,DB_Customers!$A:$D,4,0),"❌ Account Not Found"))</f>
        <v/>
      </c>
      <c r="C186" s="89" t="str">
        <f>IF(A186="","",IFERROR(VLOOKUP(A186,DB_Customers!$A:$N,14,0),""))</f>
        <v/>
      </c>
      <c r="D186" s="90" t="str">
        <f t="shared" ca="1" si="15"/>
        <v/>
      </c>
      <c r="E186" s="97"/>
      <c r="F186" s="25"/>
      <c r="G186" s="99" t="str">
        <f t="shared" si="16"/>
        <v/>
      </c>
      <c r="H186" s="27"/>
      <c r="I186" s="84"/>
      <c r="J186" s="92" t="str">
        <f>IF(AND(A186&lt;&gt;"",E186&lt;&gt;""),IF(I186="","⚠️ Enter Code",IF(IFERROR(VLOOKUP(H186,DB_Agents!$B:$I,8,0),"")=I186,IF(C186&gt;=E186,"Successful","Unsuccessful"),"🔒 BLOCKED — Wrong Code")),"—")</f>
        <v>—</v>
      </c>
      <c r="K186" s="93" t="str">
        <f t="shared" ca="1" si="17"/>
        <v>—</v>
      </c>
      <c r="L186" s="94"/>
    </row>
    <row r="187" spans="1:12" x14ac:dyDescent="0.25">
      <c r="A187" s="79"/>
      <c r="B187" s="21" t="str">
        <f>IF(A187="","",IFERROR(VLOOKUP(A187,DB_Customers!$A:$D,4,0),"❌ Account Not Found"))</f>
        <v/>
      </c>
      <c r="C187" s="80" t="str">
        <f>IF(A187="","",IFERROR(VLOOKUP(A187,DB_Customers!$A:$N,14,0),""))</f>
        <v/>
      </c>
      <c r="D187" s="81" t="str">
        <f t="shared" ca="1" si="15"/>
        <v/>
      </c>
      <c r="E187" s="97"/>
      <c r="F187" s="21"/>
      <c r="G187" s="98" t="str">
        <f t="shared" si="16"/>
        <v/>
      </c>
      <c r="H187" s="23"/>
      <c r="I187" s="84"/>
      <c r="J187" s="85" t="str">
        <f>IF(AND(A187&lt;&gt;"",E187&lt;&gt;""),IF(I187="","⚠️ Enter Code",IF(IFERROR(VLOOKUP(H187,DB_Agents!$B:$I,8,0),"")=I187,IF(C187&gt;=E187,"Successful","Unsuccessful"),"🔒 BLOCKED — Wrong Code")),"—")</f>
        <v>—</v>
      </c>
      <c r="K187" s="86" t="str">
        <f t="shared" ca="1" si="17"/>
        <v>—</v>
      </c>
      <c r="L187" s="87"/>
    </row>
    <row r="188" spans="1:12" x14ac:dyDescent="0.25">
      <c r="A188" s="88"/>
      <c r="B188" s="25" t="str">
        <f>IF(A188="","",IFERROR(VLOOKUP(A188,DB_Customers!$A:$D,4,0),"❌ Account Not Found"))</f>
        <v/>
      </c>
      <c r="C188" s="89" t="str">
        <f>IF(A188="","",IFERROR(VLOOKUP(A188,DB_Customers!$A:$N,14,0),""))</f>
        <v/>
      </c>
      <c r="D188" s="90" t="str">
        <f t="shared" ca="1" si="15"/>
        <v/>
      </c>
      <c r="E188" s="97"/>
      <c r="F188" s="25"/>
      <c r="G188" s="99" t="str">
        <f t="shared" si="16"/>
        <v/>
      </c>
      <c r="H188" s="27"/>
      <c r="I188" s="84"/>
      <c r="J188" s="92" t="str">
        <f>IF(AND(A188&lt;&gt;"",E188&lt;&gt;""),IF(I188="","⚠️ Enter Code",IF(IFERROR(VLOOKUP(H188,DB_Agents!$B:$I,8,0),"")=I188,IF(C188&gt;=E188,"Successful","Unsuccessful"),"🔒 BLOCKED — Wrong Code")),"—")</f>
        <v>—</v>
      </c>
      <c r="K188" s="93" t="str">
        <f t="shared" ca="1" si="17"/>
        <v>—</v>
      </c>
      <c r="L188" s="94"/>
    </row>
    <row r="189" spans="1:12" x14ac:dyDescent="0.25">
      <c r="A189" s="79"/>
      <c r="B189" s="21" t="str">
        <f>IF(A189="","",IFERROR(VLOOKUP(A189,DB_Customers!$A:$D,4,0),"❌ Account Not Found"))</f>
        <v/>
      </c>
      <c r="C189" s="80" t="str">
        <f>IF(A189="","",IFERROR(VLOOKUP(A189,DB_Customers!$A:$N,14,0),""))</f>
        <v/>
      </c>
      <c r="D189" s="81" t="str">
        <f t="shared" ca="1" si="15"/>
        <v/>
      </c>
      <c r="E189" s="97"/>
      <c r="F189" s="21"/>
      <c r="G189" s="98" t="str">
        <f t="shared" si="16"/>
        <v/>
      </c>
      <c r="H189" s="23"/>
      <c r="I189" s="84"/>
      <c r="J189" s="85" t="str">
        <f>IF(AND(A189&lt;&gt;"",E189&lt;&gt;""),IF(I189="","⚠️ Enter Code",IF(IFERROR(VLOOKUP(H189,DB_Agents!$B:$I,8,0),"")=I189,IF(C189&gt;=E189,"Successful","Unsuccessful"),"🔒 BLOCKED — Wrong Code")),"—")</f>
        <v>—</v>
      </c>
      <c r="K189" s="86" t="str">
        <f t="shared" ca="1" si="17"/>
        <v>—</v>
      </c>
      <c r="L189" s="87"/>
    </row>
    <row r="190" spans="1:12" x14ac:dyDescent="0.25">
      <c r="A190" s="88"/>
      <c r="B190" s="25" t="str">
        <f>IF(A190="","",IFERROR(VLOOKUP(A190,DB_Customers!$A:$D,4,0),"❌ Account Not Found"))</f>
        <v/>
      </c>
      <c r="C190" s="89" t="str">
        <f>IF(A190="","",IFERROR(VLOOKUP(A190,DB_Customers!$A:$N,14,0),""))</f>
        <v/>
      </c>
      <c r="D190" s="90" t="str">
        <f t="shared" ca="1" si="15"/>
        <v/>
      </c>
      <c r="E190" s="97"/>
      <c r="F190" s="25"/>
      <c r="G190" s="99" t="str">
        <f t="shared" si="16"/>
        <v/>
      </c>
      <c r="H190" s="27"/>
      <c r="I190" s="84"/>
      <c r="J190" s="92" t="str">
        <f>IF(AND(A190&lt;&gt;"",E190&lt;&gt;""),IF(I190="","⚠️ Enter Code",IF(IFERROR(VLOOKUP(H190,DB_Agents!$B:$I,8,0),"")=I190,IF(C190&gt;=E190,"Successful","Unsuccessful"),"🔒 BLOCKED — Wrong Code")),"—")</f>
        <v>—</v>
      </c>
      <c r="K190" s="93" t="str">
        <f t="shared" ca="1" si="17"/>
        <v>—</v>
      </c>
      <c r="L190" s="94"/>
    </row>
    <row r="191" spans="1:12" x14ac:dyDescent="0.25">
      <c r="A191" s="79"/>
      <c r="B191" s="21" t="str">
        <f>IF(A191="","",IFERROR(VLOOKUP(A191,DB_Customers!$A:$D,4,0),"❌ Account Not Found"))</f>
        <v/>
      </c>
      <c r="C191" s="80" t="str">
        <f>IF(A191="","",IFERROR(VLOOKUP(A191,DB_Customers!$A:$N,14,0),""))</f>
        <v/>
      </c>
      <c r="D191" s="81" t="str">
        <f t="shared" ca="1" si="15"/>
        <v/>
      </c>
      <c r="E191" s="97"/>
      <c r="F191" s="21"/>
      <c r="G191" s="98" t="str">
        <f t="shared" si="16"/>
        <v/>
      </c>
      <c r="H191" s="23"/>
      <c r="I191" s="84"/>
      <c r="J191" s="85" t="str">
        <f>IF(AND(A191&lt;&gt;"",E191&lt;&gt;""),IF(I191="","⚠️ Enter Code",IF(IFERROR(VLOOKUP(H191,DB_Agents!$B:$I,8,0),"")=I191,IF(C191&gt;=E191,"Successful","Unsuccessful"),"🔒 BLOCKED — Wrong Code")),"—")</f>
        <v>—</v>
      </c>
      <c r="K191" s="86" t="str">
        <f t="shared" ca="1" si="17"/>
        <v>—</v>
      </c>
      <c r="L191" s="87"/>
    </row>
    <row r="192" spans="1:12" x14ac:dyDescent="0.25">
      <c r="A192" s="88"/>
      <c r="B192" s="25" t="str">
        <f>IF(A192="","",IFERROR(VLOOKUP(A192,DB_Customers!$A:$D,4,0),"❌ Account Not Found"))</f>
        <v/>
      </c>
      <c r="C192" s="89" t="str">
        <f>IF(A192="","",IFERROR(VLOOKUP(A192,DB_Customers!$A:$N,14,0),""))</f>
        <v/>
      </c>
      <c r="D192" s="90" t="str">
        <f t="shared" ca="1" si="15"/>
        <v/>
      </c>
      <c r="E192" s="97"/>
      <c r="F192" s="25"/>
      <c r="G192" s="99" t="str">
        <f t="shared" si="16"/>
        <v/>
      </c>
      <c r="H192" s="27"/>
      <c r="I192" s="84"/>
      <c r="J192" s="92" t="str">
        <f>IF(AND(A192&lt;&gt;"",E192&lt;&gt;""),IF(I192="","⚠️ Enter Code",IF(IFERROR(VLOOKUP(H192,DB_Agents!$B:$I,8,0),"")=I192,IF(C192&gt;=E192,"Successful","Unsuccessful"),"🔒 BLOCKED — Wrong Code")),"—")</f>
        <v>—</v>
      </c>
      <c r="K192" s="93" t="str">
        <f t="shared" ca="1" si="17"/>
        <v>—</v>
      </c>
      <c r="L192" s="94"/>
    </row>
    <row r="193" spans="1:12" x14ac:dyDescent="0.25">
      <c r="A193" s="79"/>
      <c r="B193" s="21" t="str">
        <f>IF(A193="","",IFERROR(VLOOKUP(A193,DB_Customers!$A:$D,4,0),"❌ Account Not Found"))</f>
        <v/>
      </c>
      <c r="C193" s="80" t="str">
        <f>IF(A193="","",IFERROR(VLOOKUP(A193,DB_Customers!$A:$N,14,0),""))</f>
        <v/>
      </c>
      <c r="D193" s="81" t="str">
        <f t="shared" ca="1" si="15"/>
        <v/>
      </c>
      <c r="E193" s="97"/>
      <c r="F193" s="21"/>
      <c r="G193" s="98" t="str">
        <f t="shared" si="16"/>
        <v/>
      </c>
      <c r="H193" s="23"/>
      <c r="I193" s="84"/>
      <c r="J193" s="85" t="str">
        <f>IF(AND(A193&lt;&gt;"",E193&lt;&gt;""),IF(I193="","⚠️ Enter Code",IF(IFERROR(VLOOKUP(H193,DB_Agents!$B:$I,8,0),"")=I193,IF(C193&gt;=E193,"Successful","Unsuccessful"),"🔒 BLOCKED — Wrong Code")),"—")</f>
        <v>—</v>
      </c>
      <c r="K193" s="86" t="str">
        <f t="shared" ca="1" si="17"/>
        <v>—</v>
      </c>
      <c r="L193" s="87"/>
    </row>
    <row r="194" spans="1:12" x14ac:dyDescent="0.25">
      <c r="A194" s="88"/>
      <c r="B194" s="25" t="str">
        <f>IF(A194="","",IFERROR(VLOOKUP(A194,DB_Customers!$A:$D,4,0),"❌ Account Not Found"))</f>
        <v/>
      </c>
      <c r="C194" s="89" t="str">
        <f>IF(A194="","",IFERROR(VLOOKUP(A194,DB_Customers!$A:$N,14,0),""))</f>
        <v/>
      </c>
      <c r="D194" s="90" t="str">
        <f t="shared" ca="1" si="15"/>
        <v/>
      </c>
      <c r="E194" s="97"/>
      <c r="F194" s="25"/>
      <c r="G194" s="99" t="str">
        <f t="shared" si="16"/>
        <v/>
      </c>
      <c r="H194" s="27"/>
      <c r="I194" s="84"/>
      <c r="J194" s="92" t="str">
        <f>IF(AND(A194&lt;&gt;"",E194&lt;&gt;""),IF(I194="","⚠️ Enter Code",IF(IFERROR(VLOOKUP(H194,DB_Agents!$B:$I,8,0),"")=I194,IF(C194&gt;=E194,"Successful","Unsuccessful"),"🔒 BLOCKED — Wrong Code")),"—")</f>
        <v>—</v>
      </c>
      <c r="K194" s="93" t="str">
        <f t="shared" ca="1" si="17"/>
        <v>—</v>
      </c>
      <c r="L194" s="94"/>
    </row>
    <row r="195" spans="1:12" x14ac:dyDescent="0.25">
      <c r="A195" s="79"/>
      <c r="B195" s="21" t="str">
        <f>IF(A195="","",IFERROR(VLOOKUP(A195,DB_Customers!$A:$D,4,0),"❌ Account Not Found"))</f>
        <v/>
      </c>
      <c r="C195" s="80" t="str">
        <f>IF(A195="","",IFERROR(VLOOKUP(A195,DB_Customers!$A:$N,14,0),""))</f>
        <v/>
      </c>
      <c r="D195" s="81" t="str">
        <f t="shared" ca="1" si="15"/>
        <v/>
      </c>
      <c r="E195" s="97"/>
      <c r="F195" s="21"/>
      <c r="G195" s="98" t="str">
        <f t="shared" si="16"/>
        <v/>
      </c>
      <c r="H195" s="23"/>
      <c r="I195" s="84"/>
      <c r="J195" s="85" t="str">
        <f>IF(AND(A195&lt;&gt;"",E195&lt;&gt;""),IF(I195="","⚠️ Enter Code",IF(IFERROR(VLOOKUP(H195,DB_Agents!$B:$I,8,0),"")=I195,IF(C195&gt;=E195,"Successful","Unsuccessful"),"🔒 BLOCKED — Wrong Code")),"—")</f>
        <v>—</v>
      </c>
      <c r="K195" s="86" t="str">
        <f t="shared" ca="1" si="17"/>
        <v>—</v>
      </c>
      <c r="L195" s="87"/>
    </row>
    <row r="196" spans="1:12" x14ac:dyDescent="0.25">
      <c r="A196" s="88"/>
      <c r="B196" s="25" t="str">
        <f>IF(A196="","",IFERROR(VLOOKUP(A196,DB_Customers!$A:$D,4,0),"❌ Account Not Found"))</f>
        <v/>
      </c>
      <c r="C196" s="89" t="str">
        <f>IF(A196="","",IFERROR(VLOOKUP(A196,DB_Customers!$A:$N,14,0),""))</f>
        <v/>
      </c>
      <c r="D196" s="90" t="str">
        <f t="shared" ca="1" si="15"/>
        <v/>
      </c>
      <c r="E196" s="97"/>
      <c r="F196" s="25"/>
      <c r="G196" s="99" t="str">
        <f t="shared" si="16"/>
        <v/>
      </c>
      <c r="H196" s="27"/>
      <c r="I196" s="84"/>
      <c r="J196" s="92" t="str">
        <f>IF(AND(A196&lt;&gt;"",E196&lt;&gt;""),IF(I196="","⚠️ Enter Code",IF(IFERROR(VLOOKUP(H196,DB_Agents!$B:$I,8,0),"")=I196,IF(C196&gt;=E196,"Successful","Unsuccessful"),"🔒 BLOCKED — Wrong Code")),"—")</f>
        <v>—</v>
      </c>
      <c r="K196" s="93" t="str">
        <f t="shared" ca="1" si="17"/>
        <v>—</v>
      </c>
      <c r="L196" s="94"/>
    </row>
    <row r="197" spans="1:12" x14ac:dyDescent="0.25">
      <c r="A197" s="79"/>
      <c r="B197" s="21" t="str">
        <f>IF(A197="","",IFERROR(VLOOKUP(A197,DB_Customers!$A:$D,4,0),"❌ Account Not Found"))</f>
        <v/>
      </c>
      <c r="C197" s="80" t="str">
        <f>IF(A197="","",IFERROR(VLOOKUP(A197,DB_Customers!$A:$N,14,0),""))</f>
        <v/>
      </c>
      <c r="D197" s="81" t="str">
        <f t="shared" ca="1" si="15"/>
        <v/>
      </c>
      <c r="E197" s="97"/>
      <c r="F197" s="21"/>
      <c r="G197" s="98" t="str">
        <f t="shared" si="16"/>
        <v/>
      </c>
      <c r="H197" s="23"/>
      <c r="I197" s="84"/>
      <c r="J197" s="85" t="str">
        <f>IF(AND(A197&lt;&gt;"",E197&lt;&gt;""),IF(I197="","⚠️ Enter Code",IF(IFERROR(VLOOKUP(H197,DB_Agents!$B:$I,8,0),"")=I197,IF(C197&gt;=E197,"Successful","Unsuccessful"),"🔒 BLOCKED — Wrong Code")),"—")</f>
        <v>—</v>
      </c>
      <c r="K197" s="86" t="str">
        <f t="shared" ca="1" si="17"/>
        <v>—</v>
      </c>
      <c r="L197" s="87"/>
    </row>
    <row r="198" spans="1:12" x14ac:dyDescent="0.25">
      <c r="A198" s="88"/>
      <c r="B198" s="25" t="str">
        <f>IF(A198="","",IFERROR(VLOOKUP(A198,DB_Customers!$A:$D,4,0),"❌ Account Not Found"))</f>
        <v/>
      </c>
      <c r="C198" s="89" t="str">
        <f>IF(A198="","",IFERROR(VLOOKUP(A198,DB_Customers!$A:$N,14,0),""))</f>
        <v/>
      </c>
      <c r="D198" s="90" t="str">
        <f t="shared" ca="1" si="15"/>
        <v/>
      </c>
      <c r="E198" s="97"/>
      <c r="F198" s="25"/>
      <c r="G198" s="99" t="str">
        <f t="shared" si="16"/>
        <v/>
      </c>
      <c r="H198" s="27"/>
      <c r="I198" s="84"/>
      <c r="J198" s="92" t="str">
        <f>IF(AND(A198&lt;&gt;"",E198&lt;&gt;""),IF(I198="","⚠️ Enter Code",IF(IFERROR(VLOOKUP(H198,DB_Agents!$B:$I,8,0),"")=I198,IF(C198&gt;=E198,"Successful","Unsuccessful"),"🔒 BLOCKED — Wrong Code")),"—")</f>
        <v>—</v>
      </c>
      <c r="K198" s="93" t="str">
        <f t="shared" ca="1" si="17"/>
        <v>—</v>
      </c>
      <c r="L198" s="94"/>
    </row>
    <row r="199" spans="1:12" x14ac:dyDescent="0.25">
      <c r="A199" s="79"/>
      <c r="B199" s="21" t="str">
        <f>IF(A199="","",IFERROR(VLOOKUP(A199,DB_Customers!$A:$D,4,0),"❌ Account Not Found"))</f>
        <v/>
      </c>
      <c r="C199" s="80" t="str">
        <f>IF(A199="","",IFERROR(VLOOKUP(A199,DB_Customers!$A:$N,14,0),""))</f>
        <v/>
      </c>
      <c r="D199" s="81" t="str">
        <f t="shared" ca="1" si="15"/>
        <v/>
      </c>
      <c r="E199" s="97"/>
      <c r="F199" s="21"/>
      <c r="G199" s="98" t="str">
        <f t="shared" si="16"/>
        <v/>
      </c>
      <c r="H199" s="23"/>
      <c r="I199" s="84"/>
      <c r="J199" s="85" t="str">
        <f>IF(AND(A199&lt;&gt;"",E199&lt;&gt;""),IF(I199="","⚠️ Enter Code",IF(IFERROR(VLOOKUP(H199,DB_Agents!$B:$I,8,0),"")=I199,IF(C199&gt;=E199,"Successful","Unsuccessful"),"🔒 BLOCKED — Wrong Code")),"—")</f>
        <v>—</v>
      </c>
      <c r="K199" s="86" t="str">
        <f t="shared" ca="1" si="17"/>
        <v>—</v>
      </c>
      <c r="L199" s="87"/>
    </row>
    <row r="200" spans="1:12" x14ac:dyDescent="0.25">
      <c r="A200" s="88"/>
      <c r="B200" s="25" t="str">
        <f>IF(A200="","",IFERROR(VLOOKUP(A200,DB_Customers!$A:$D,4,0),"❌ Account Not Found"))</f>
        <v/>
      </c>
      <c r="C200" s="89" t="str">
        <f>IF(A200="","",IFERROR(VLOOKUP(A200,DB_Customers!$A:$N,14,0),""))</f>
        <v/>
      </c>
      <c r="D200" s="90" t="str">
        <f t="shared" ca="1" si="15"/>
        <v/>
      </c>
      <c r="E200" s="97"/>
      <c r="F200" s="25"/>
      <c r="G200" s="99" t="str">
        <f t="shared" si="16"/>
        <v/>
      </c>
      <c r="H200" s="27"/>
      <c r="I200" s="84"/>
      <c r="J200" s="92" t="str">
        <f>IF(AND(A200&lt;&gt;"",E200&lt;&gt;""),IF(I200="","⚠️ Enter Code",IF(IFERROR(VLOOKUP(H200,DB_Agents!$B:$I,8,0),"")=I200,IF(C200&gt;=E200,"Successful","Unsuccessful"),"🔒 BLOCKED — Wrong Code")),"—")</f>
        <v>—</v>
      </c>
      <c r="K200" s="93" t="str">
        <f t="shared" ca="1" si="17"/>
        <v>—</v>
      </c>
      <c r="L200" s="94"/>
    </row>
    <row r="201" spans="1:12" x14ac:dyDescent="0.25">
      <c r="A201" s="79"/>
      <c r="B201" s="21" t="str">
        <f>IF(A201="","",IFERROR(VLOOKUP(A201,DB_Customers!$A:$D,4,0),"❌ Account Not Found"))</f>
        <v/>
      </c>
      <c r="C201" s="80" t="str">
        <f>IF(A201="","",IFERROR(VLOOKUP(A201,DB_Customers!$A:$N,14,0),""))</f>
        <v/>
      </c>
      <c r="D201" s="81" t="str">
        <f t="shared" ref="D201:D208" ca="1" si="18">IF(A201="","",TODAY())</f>
        <v/>
      </c>
      <c r="E201" s="97"/>
      <c r="F201" s="21"/>
      <c r="G201" s="98" t="str">
        <f t="shared" ref="G201:G208" si="19">IF(OR(A201="",E201=""),"",IF(C201="","",C201-E201))</f>
        <v/>
      </c>
      <c r="H201" s="23"/>
      <c r="I201" s="84"/>
      <c r="J201" s="85" t="str">
        <f>IF(AND(A201&lt;&gt;"",E201&lt;&gt;""),IF(I201="","⚠️ Enter Code",IF(IFERROR(VLOOKUP(H201,DB_Agents!$B:$I,8,0),"")=I201,IF(C201&gt;=E201,"Successful","Unsuccessful"),"🔒 BLOCKED — Wrong Code")),"—")</f>
        <v>—</v>
      </c>
      <c r="K201" s="86" t="str">
        <f t="shared" ref="K201:K232" ca="1" si="20">IF(J201="Successful",TEXT(TODAY(),"YYYY-MM-DD")&amp;" Auto","—")</f>
        <v>—</v>
      </c>
      <c r="L201" s="87"/>
    </row>
    <row r="202" spans="1:12" x14ac:dyDescent="0.25">
      <c r="A202" s="88"/>
      <c r="B202" s="25" t="str">
        <f>IF(A202="","",IFERROR(VLOOKUP(A202,DB_Customers!$A:$D,4,0),"❌ Account Not Found"))</f>
        <v/>
      </c>
      <c r="C202" s="89" t="str">
        <f>IF(A202="","",IFERROR(VLOOKUP(A202,DB_Customers!$A:$N,14,0),""))</f>
        <v/>
      </c>
      <c r="D202" s="90" t="str">
        <f t="shared" ca="1" si="18"/>
        <v/>
      </c>
      <c r="E202" s="97"/>
      <c r="F202" s="25"/>
      <c r="G202" s="99" t="str">
        <f t="shared" si="19"/>
        <v/>
      </c>
      <c r="H202" s="27"/>
      <c r="I202" s="84"/>
      <c r="J202" s="92" t="str">
        <f>IF(AND(A202&lt;&gt;"",E202&lt;&gt;""),IF(I202="","⚠️ Enter Code",IF(IFERROR(VLOOKUP(H202,DB_Agents!$B:$I,8,0),"")=I202,IF(C202&gt;=E202,"Successful","Unsuccessful"),"🔒 BLOCKED — Wrong Code")),"—")</f>
        <v>—</v>
      </c>
      <c r="K202" s="93" t="str">
        <f t="shared" ca="1" si="20"/>
        <v>—</v>
      </c>
      <c r="L202" s="94"/>
    </row>
    <row r="203" spans="1:12" x14ac:dyDescent="0.25">
      <c r="A203" s="79"/>
      <c r="B203" s="21" t="str">
        <f>IF(A203="","",IFERROR(VLOOKUP(A203,DB_Customers!$A:$D,4,0),"❌ Account Not Found"))</f>
        <v/>
      </c>
      <c r="C203" s="80" t="str">
        <f>IF(A203="","",IFERROR(VLOOKUP(A203,DB_Customers!$A:$N,14,0),""))</f>
        <v/>
      </c>
      <c r="D203" s="81" t="str">
        <f t="shared" ca="1" si="18"/>
        <v/>
      </c>
      <c r="E203" s="97"/>
      <c r="F203" s="21"/>
      <c r="G203" s="98" t="str">
        <f t="shared" si="19"/>
        <v/>
      </c>
      <c r="H203" s="23"/>
      <c r="I203" s="84"/>
      <c r="J203" s="85" t="str">
        <f>IF(AND(A203&lt;&gt;"",E203&lt;&gt;""),IF(I203="","⚠️ Enter Code",IF(IFERROR(VLOOKUP(H203,DB_Agents!$B:$I,8,0),"")=I203,IF(C203&gt;=E203,"Successful","Unsuccessful"),"🔒 BLOCKED — Wrong Code")),"—")</f>
        <v>—</v>
      </c>
      <c r="K203" s="86" t="str">
        <f t="shared" ca="1" si="20"/>
        <v>—</v>
      </c>
      <c r="L203" s="87"/>
    </row>
    <row r="204" spans="1:12" x14ac:dyDescent="0.25">
      <c r="A204" s="88"/>
      <c r="B204" s="25" t="str">
        <f>IF(A204="","",IFERROR(VLOOKUP(A204,DB_Customers!$A:$D,4,0),"❌ Account Not Found"))</f>
        <v/>
      </c>
      <c r="C204" s="89" t="str">
        <f>IF(A204="","",IFERROR(VLOOKUP(A204,DB_Customers!$A:$N,14,0),""))</f>
        <v/>
      </c>
      <c r="D204" s="90" t="str">
        <f t="shared" ca="1" si="18"/>
        <v/>
      </c>
      <c r="E204" s="97"/>
      <c r="F204" s="25"/>
      <c r="G204" s="99" t="str">
        <f t="shared" si="19"/>
        <v/>
      </c>
      <c r="H204" s="27"/>
      <c r="I204" s="84"/>
      <c r="J204" s="92" t="str">
        <f>IF(AND(A204&lt;&gt;"",E204&lt;&gt;""),IF(I204="","⚠️ Enter Code",IF(IFERROR(VLOOKUP(H204,DB_Agents!$B:$I,8,0),"")=I204,IF(C204&gt;=E204,"Successful","Unsuccessful"),"🔒 BLOCKED — Wrong Code")),"—")</f>
        <v>—</v>
      </c>
      <c r="K204" s="93" t="str">
        <f t="shared" ca="1" si="20"/>
        <v>—</v>
      </c>
      <c r="L204" s="94"/>
    </row>
    <row r="205" spans="1:12" x14ac:dyDescent="0.25">
      <c r="A205" s="79"/>
      <c r="B205" s="21" t="str">
        <f>IF(A205="","",IFERROR(VLOOKUP(A205,DB_Customers!$A:$D,4,0),"❌ Account Not Found"))</f>
        <v/>
      </c>
      <c r="C205" s="80" t="str">
        <f>IF(A205="","",IFERROR(VLOOKUP(A205,DB_Customers!$A:$N,14,0),""))</f>
        <v/>
      </c>
      <c r="D205" s="81" t="str">
        <f t="shared" ca="1" si="18"/>
        <v/>
      </c>
      <c r="E205" s="97"/>
      <c r="F205" s="21"/>
      <c r="G205" s="98" t="str">
        <f t="shared" si="19"/>
        <v/>
      </c>
      <c r="H205" s="23"/>
      <c r="I205" s="84"/>
      <c r="J205" s="85" t="str">
        <f>IF(AND(A205&lt;&gt;"",E205&lt;&gt;""),IF(I205="","⚠️ Enter Code",IF(IFERROR(VLOOKUP(H205,DB_Agents!$B:$I,8,0),"")=I205,IF(C205&gt;=E205,"Successful","Unsuccessful"),"🔒 BLOCKED — Wrong Code")),"—")</f>
        <v>—</v>
      </c>
      <c r="K205" s="86" t="str">
        <f t="shared" ca="1" si="20"/>
        <v>—</v>
      </c>
      <c r="L205" s="87"/>
    </row>
    <row r="206" spans="1:12" x14ac:dyDescent="0.25">
      <c r="A206" s="88"/>
      <c r="B206" s="25" t="str">
        <f>IF(A206="","",IFERROR(VLOOKUP(A206,DB_Customers!$A:$D,4,0),"❌ Account Not Found"))</f>
        <v/>
      </c>
      <c r="C206" s="89" t="str">
        <f>IF(A206="","",IFERROR(VLOOKUP(A206,DB_Customers!$A:$N,14,0),""))</f>
        <v/>
      </c>
      <c r="D206" s="90" t="str">
        <f t="shared" ca="1" si="18"/>
        <v/>
      </c>
      <c r="E206" s="97"/>
      <c r="F206" s="25"/>
      <c r="G206" s="99" t="str">
        <f t="shared" si="19"/>
        <v/>
      </c>
      <c r="H206" s="27"/>
      <c r="I206" s="84"/>
      <c r="J206" s="92" t="str">
        <f>IF(AND(A206&lt;&gt;"",E206&lt;&gt;""),IF(I206="","⚠️ Enter Code",IF(IFERROR(VLOOKUP(H206,DB_Agents!$B:$I,8,0),"")=I206,IF(C206&gt;=E206,"Successful","Unsuccessful"),"🔒 BLOCKED — Wrong Code")),"—")</f>
        <v>—</v>
      </c>
      <c r="K206" s="93" t="str">
        <f t="shared" ca="1" si="20"/>
        <v>—</v>
      </c>
      <c r="L206" s="94"/>
    </row>
    <row r="207" spans="1:12" x14ac:dyDescent="0.25">
      <c r="A207" s="79"/>
      <c r="B207" s="21" t="str">
        <f>IF(A207="","",IFERROR(VLOOKUP(A207,DB_Customers!$A:$D,4,0),"❌ Account Not Found"))</f>
        <v/>
      </c>
      <c r="C207" s="80" t="str">
        <f>IF(A207="","",IFERROR(VLOOKUP(A207,DB_Customers!$A:$N,14,0),""))</f>
        <v/>
      </c>
      <c r="D207" s="81" t="str">
        <f t="shared" ca="1" si="18"/>
        <v/>
      </c>
      <c r="E207" s="97"/>
      <c r="F207" s="21"/>
      <c r="G207" s="98" t="str">
        <f t="shared" si="19"/>
        <v/>
      </c>
      <c r="H207" s="23"/>
      <c r="I207" s="84"/>
      <c r="J207" s="85" t="str">
        <f>IF(AND(A207&lt;&gt;"",E207&lt;&gt;""),IF(I207="","⚠️ Enter Code",IF(IFERROR(VLOOKUP(H207,DB_Agents!$B:$I,8,0),"")=I207,IF(C207&gt;=E207,"Successful","Unsuccessful"),"🔒 BLOCKED — Wrong Code")),"—")</f>
        <v>—</v>
      </c>
      <c r="K207" s="86" t="str">
        <f t="shared" ca="1" si="20"/>
        <v>—</v>
      </c>
      <c r="L207" s="87"/>
    </row>
    <row r="208" spans="1:12" x14ac:dyDescent="0.25">
      <c r="A208" s="88"/>
      <c r="B208" s="25" t="str">
        <f>IF(A208="","",IFERROR(VLOOKUP(A208,DB_Customers!$A:$D,4,0),"❌ Account Not Found"))</f>
        <v/>
      </c>
      <c r="C208" s="89" t="str">
        <f>IF(A208="","",IFERROR(VLOOKUP(A208,DB_Customers!$A:$N,14,0),""))</f>
        <v/>
      </c>
      <c r="D208" s="90" t="str">
        <f t="shared" ca="1" si="18"/>
        <v/>
      </c>
      <c r="E208" s="97"/>
      <c r="F208" s="25"/>
      <c r="G208" s="99" t="str">
        <f t="shared" si="19"/>
        <v/>
      </c>
      <c r="H208" s="27"/>
      <c r="I208" s="84"/>
      <c r="J208" s="92" t="str">
        <f>IF(AND(A208&lt;&gt;"",E208&lt;&gt;""),IF(I208="","⚠️ Enter Code",IF(IFERROR(VLOOKUP(H208,DB_Agents!$B:$I,8,0),"")=I208,IF(C208&gt;=E208,"Successful","Unsuccessful"),"🔒 BLOCKED — Wrong Code")),"—")</f>
        <v>—</v>
      </c>
      <c r="K208" s="93" t="str">
        <f t="shared" ca="1" si="20"/>
        <v>—</v>
      </c>
      <c r="L208" s="94"/>
    </row>
  </sheetData>
  <mergeCells count="8">
    <mergeCell ref="A5:M5"/>
    <mergeCell ref="A7:M7"/>
    <mergeCell ref="A1:M1"/>
    <mergeCell ref="A2:M2"/>
    <mergeCell ref="A3:C3"/>
    <mergeCell ref="D3:F3"/>
    <mergeCell ref="A4:C4"/>
    <mergeCell ref="D4:F4"/>
  </mergeCells>
  <conditionalFormatting sqref="I9:I208">
    <cfRule type="cellIs" dxfId="19" priority="2" operator="equal">
      <formula>"Successful"</formula>
    </cfRule>
    <cfRule type="cellIs" dxfId="18" priority="3" operator="equal">
      <formula>"Unsuccessful"</formula>
    </cfRule>
  </conditionalFormatting>
  <conditionalFormatting sqref="A9:K208">
    <cfRule type="expression" dxfId="17" priority="4">
      <formula>$I9="Unsuccessful"</formula>
    </cfRule>
  </conditionalFormatting>
  <conditionalFormatting sqref="G9:G208">
    <cfRule type="cellIs" dxfId="16" priority="5" operator="lessThan">
      <formula>0</formula>
    </cfRule>
  </conditionalFormatting>
  <dataValidations count="1">
    <dataValidation type="list" sqref="H9:H208" xr:uid="{00000000-0002-0000-1E00-000000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tabColor rgb="FFE67E22"/>
  </sheetPr>
  <dimension ref="A1:N213"/>
  <sheetViews>
    <sheetView zoomScaleNormal="100" workbookViewId="0">
      <pane ySplit="13" topLeftCell="A14" activePane="bottomLeft" state="frozen"/>
      <selection pane="bottomLeft"/>
    </sheetView>
  </sheetViews>
  <sheetFormatPr defaultColWidth="8.7109375" defaultRowHeight="15" x14ac:dyDescent="0.25"/>
  <cols>
    <col min="1" max="1" width="22" customWidth="1"/>
    <col min="2" max="2" width="16" customWidth="1"/>
    <col min="3" max="3" width="22" customWidth="1"/>
    <col min="4" max="4" width="13" customWidth="1"/>
    <col min="5" max="5" width="14" customWidth="1"/>
    <col min="6" max="6" width="22" customWidth="1"/>
    <col min="7" max="7" width="9" customWidth="1"/>
    <col min="8" max="8" width="8" customWidth="1"/>
    <col min="9" max="9" width="16" customWidth="1"/>
    <col min="10" max="10" width="15" customWidth="1"/>
    <col min="11" max="11" width="14" customWidth="1"/>
    <col min="12" max="12" width="12" customWidth="1"/>
    <col min="13" max="13" width="14" customWidth="1"/>
  </cols>
  <sheetData>
    <row r="1" spans="1:14" ht="31.5" customHeight="1" x14ac:dyDescent="0.25">
      <c r="A1" s="216" t="s">
        <v>234</v>
      </c>
      <c r="B1" s="216"/>
      <c r="C1" s="216"/>
      <c r="D1" s="216"/>
      <c r="E1" s="216"/>
      <c r="F1" s="216"/>
      <c r="G1" s="216"/>
      <c r="H1" s="216"/>
      <c r="I1" s="216"/>
      <c r="J1" s="216"/>
      <c r="K1" s="216"/>
      <c r="L1" s="216"/>
      <c r="M1" s="216"/>
      <c r="N1" s="216"/>
    </row>
    <row r="2" spans="1:14" ht="19.5" customHeight="1" x14ac:dyDescent="0.25">
      <c r="A2" s="217" t="s">
        <v>189</v>
      </c>
      <c r="B2" s="217"/>
      <c r="C2" s="217"/>
      <c r="D2" s="217"/>
      <c r="E2" s="217"/>
      <c r="F2" s="217"/>
      <c r="G2" s="217"/>
      <c r="H2" s="217"/>
      <c r="I2" s="217"/>
      <c r="J2" s="217"/>
      <c r="K2" s="217"/>
      <c r="L2" s="217"/>
      <c r="M2" s="217"/>
      <c r="N2" s="217"/>
    </row>
    <row r="4" spans="1:14" ht="21.75" customHeight="1" x14ac:dyDescent="0.25">
      <c r="A4" s="218" t="s">
        <v>190</v>
      </c>
      <c r="B4" s="218"/>
      <c r="C4" s="218"/>
      <c r="D4" s="218"/>
    </row>
    <row r="5" spans="1:14" ht="19.5" customHeight="1" x14ac:dyDescent="0.25">
      <c r="A5" s="101" t="s">
        <v>191</v>
      </c>
      <c r="B5" s="219"/>
      <c r="C5" s="219"/>
      <c r="D5" s="219"/>
    </row>
    <row r="6" spans="1:14" ht="19.5" customHeight="1" x14ac:dyDescent="0.25">
      <c r="A6" s="101" t="s">
        <v>192</v>
      </c>
      <c r="B6" s="219"/>
      <c r="C6" s="219"/>
      <c r="D6" s="219"/>
    </row>
    <row r="7" spans="1:14" ht="19.5" customHeight="1" x14ac:dyDescent="0.25">
      <c r="A7" s="102" t="s">
        <v>193</v>
      </c>
      <c r="B7" s="220">
        <v>2.5</v>
      </c>
      <c r="C7" s="220"/>
      <c r="D7" s="220"/>
    </row>
    <row r="8" spans="1:14" ht="19.5" customHeight="1" x14ac:dyDescent="0.25">
      <c r="A8" s="102" t="s">
        <v>194</v>
      </c>
      <c r="B8" s="221" t="str">
        <f>IF(B5="","",B5*B7/100*B6)</f>
        <v/>
      </c>
      <c r="C8" s="221"/>
      <c r="D8" s="221"/>
    </row>
    <row r="9" spans="1:14" ht="19.5" customHeight="1" x14ac:dyDescent="0.25">
      <c r="A9" s="102"/>
      <c r="B9" s="222" t="str">
        <f>IF(B5="","",B5+(B5*B7/100*B6))</f>
        <v/>
      </c>
      <c r="C9" s="222"/>
      <c r="D9" s="222"/>
    </row>
    <row r="10" spans="1:14" ht="19.5" customHeight="1" x14ac:dyDescent="0.25">
      <c r="A10" s="102"/>
      <c r="B10" s="222" t="str">
        <f>IFERROR(B9/B6,"")</f>
        <v/>
      </c>
      <c r="C10" s="222"/>
      <c r="D10" s="222"/>
    </row>
    <row r="11" spans="1:14" ht="7.5" customHeight="1" x14ac:dyDescent="0.25"/>
    <row r="12" spans="1:14" ht="21.75" customHeight="1" x14ac:dyDescent="0.25">
      <c r="A12" s="223"/>
      <c r="B12" s="223"/>
      <c r="C12" s="223"/>
      <c r="D12" s="223"/>
      <c r="E12" s="223"/>
      <c r="F12" s="223"/>
      <c r="G12" s="223"/>
      <c r="H12" s="223"/>
      <c r="I12" s="223"/>
      <c r="J12" s="223"/>
      <c r="K12" s="223"/>
      <c r="L12" s="223"/>
      <c r="M12" s="223"/>
      <c r="N12" s="223"/>
    </row>
    <row r="13" spans="1:14" ht="19.5" customHeight="1" x14ac:dyDescent="0.25">
      <c r="A13" s="103"/>
      <c r="B13" s="103"/>
      <c r="C13" s="103"/>
      <c r="D13" s="103"/>
      <c r="E13" s="103"/>
      <c r="F13" s="103"/>
      <c r="G13" s="103"/>
      <c r="H13" s="103"/>
      <c r="I13" s="103"/>
      <c r="J13" s="103"/>
      <c r="K13" s="103"/>
      <c r="L13" s="103" t="s">
        <v>32</v>
      </c>
      <c r="M13" s="78"/>
      <c r="N13" s="103"/>
    </row>
    <row r="14" spans="1:14" x14ac:dyDescent="0.25">
      <c r="A14" s="92" t="str">
        <f t="shared" ref="A14:A45" si="0">IF(B14="","",IF(C14="❌ Account Not Found","INVALID","LN"&amp;TEXT(D14,"YYYYMMDD")&amp;TEXT(ROW()-13,"0000")))</f>
        <v/>
      </c>
      <c r="B14" s="88"/>
      <c r="C14" s="25" t="str">
        <f>IF(B14="","",IFERROR(VLOOKUP(B14,DB_Customers!$A:$D,4,0),"❌ Account Not Found"))</f>
        <v/>
      </c>
      <c r="D14" s="90" t="str">
        <f t="shared" ref="D14:D45" ca="1" si="1">IF(B14="","",TODAY())</f>
        <v/>
      </c>
      <c r="E14" s="104"/>
      <c r="F14" s="25"/>
      <c r="G14" s="105"/>
      <c r="H14" s="106"/>
      <c r="I14" s="107" t="str">
        <f t="shared" ref="I14:I45" si="2">IF(E14="","",E14+(E14*H14/100*G14))</f>
        <v/>
      </c>
      <c r="J14" s="108" t="str">
        <f t="shared" ref="J14:J45" si="3">IFERROR(I14/G14,"")</f>
        <v/>
      </c>
      <c r="K14" s="109" t="str">
        <f>IF(B14="","Pending",IF(M14="","⚠️ Enter Code",IF(IFERROR(VLOOKUP(L14,DB_Agents!$B:$I,8,0),"")=M14,"Pending","🔒 BLOCKED — Wrong Code")))</f>
        <v>Pending</v>
      </c>
      <c r="L14" s="27" t="s">
        <v>49</v>
      </c>
      <c r="M14" s="84"/>
      <c r="N14" s="94"/>
    </row>
    <row r="15" spans="1:14" x14ac:dyDescent="0.25">
      <c r="A15" s="85" t="str">
        <f t="shared" si="0"/>
        <v/>
      </c>
      <c r="B15" s="79"/>
      <c r="C15" s="21" t="str">
        <f>IF(B15="","",IFERROR(VLOOKUP(B15,DB_Customers!$A:$D,4,0),"❌ Account Not Found"))</f>
        <v/>
      </c>
      <c r="D15" s="81" t="str">
        <f t="shared" ca="1" si="1"/>
        <v/>
      </c>
      <c r="E15" s="104"/>
      <c r="F15" s="21"/>
      <c r="G15" s="110"/>
      <c r="H15" s="111"/>
      <c r="I15" s="107" t="str">
        <f t="shared" si="2"/>
        <v/>
      </c>
      <c r="J15" s="112" t="str">
        <f t="shared" si="3"/>
        <v/>
      </c>
      <c r="K15" s="113" t="str">
        <f>IF(B15="","Pending",IF(M15="","⚠️ Enter Code",IF(IFERROR(VLOOKUP(L15,DB_Agents!$B:$I,8,0),"")=M15,"Pending","🔒 BLOCKED — Wrong Code")))</f>
        <v>Pending</v>
      </c>
      <c r="L15" s="23" t="s">
        <v>49</v>
      </c>
      <c r="M15" s="84"/>
      <c r="N15" s="87"/>
    </row>
    <row r="16" spans="1:14" x14ac:dyDescent="0.25">
      <c r="A16" s="92" t="str">
        <f t="shared" si="0"/>
        <v/>
      </c>
      <c r="B16" s="88"/>
      <c r="C16" s="25" t="str">
        <f>IF(B16="","",IFERROR(VLOOKUP(B16,DB_Customers!$A:$D,4,0),"❌ Account Not Found"))</f>
        <v/>
      </c>
      <c r="D16" s="90" t="str">
        <f t="shared" ca="1" si="1"/>
        <v/>
      </c>
      <c r="E16" s="104"/>
      <c r="F16" s="25"/>
      <c r="G16" s="105"/>
      <c r="H16" s="106"/>
      <c r="I16" s="107" t="str">
        <f t="shared" si="2"/>
        <v/>
      </c>
      <c r="J16" s="108" t="str">
        <f t="shared" si="3"/>
        <v/>
      </c>
      <c r="K16" s="109" t="str">
        <f>IF(B16="","Pending",IF(M16="","⚠️ Enter Code",IF(IFERROR(VLOOKUP(L16,DB_Agents!$B:$I,8,0),"")=M16,"Pending","🔒 BLOCKED — Wrong Code")))</f>
        <v>Pending</v>
      </c>
      <c r="L16" s="27" t="s">
        <v>49</v>
      </c>
      <c r="M16" s="84"/>
      <c r="N16" s="94"/>
    </row>
    <row r="17" spans="1:14" x14ac:dyDescent="0.25">
      <c r="A17" s="85" t="str">
        <f t="shared" si="0"/>
        <v/>
      </c>
      <c r="B17" s="79"/>
      <c r="C17" s="21" t="str">
        <f>IF(B17="","",IFERROR(VLOOKUP(B17,DB_Customers!$A:$D,4,0),"❌ Account Not Found"))</f>
        <v/>
      </c>
      <c r="D17" s="81" t="str">
        <f t="shared" ca="1" si="1"/>
        <v/>
      </c>
      <c r="E17" s="104"/>
      <c r="F17" s="21"/>
      <c r="G17" s="110"/>
      <c r="H17" s="111"/>
      <c r="I17" s="107" t="str">
        <f t="shared" si="2"/>
        <v/>
      </c>
      <c r="J17" s="112" t="str">
        <f t="shared" si="3"/>
        <v/>
      </c>
      <c r="K17" s="113" t="str">
        <f>IF(B17="","Pending",IF(M17="","⚠️ Enter Code",IF(IFERROR(VLOOKUP(L17,DB_Agents!$B:$I,8,0),"")=M17,"Pending","🔒 BLOCKED — Wrong Code")))</f>
        <v>Pending</v>
      </c>
      <c r="L17" s="23" t="s">
        <v>49</v>
      </c>
      <c r="M17" s="84"/>
      <c r="N17" s="87"/>
    </row>
    <row r="18" spans="1:14" x14ac:dyDescent="0.25">
      <c r="A18" s="92" t="str">
        <f t="shared" si="0"/>
        <v/>
      </c>
      <c r="B18" s="88"/>
      <c r="C18" s="25" t="str">
        <f>IF(B18="","",IFERROR(VLOOKUP(B18,DB_Customers!$A:$D,4,0),"❌ Account Not Found"))</f>
        <v/>
      </c>
      <c r="D18" s="90" t="str">
        <f t="shared" ca="1" si="1"/>
        <v/>
      </c>
      <c r="E18" s="104"/>
      <c r="F18" s="25"/>
      <c r="G18" s="105"/>
      <c r="H18" s="106"/>
      <c r="I18" s="107" t="str">
        <f t="shared" si="2"/>
        <v/>
      </c>
      <c r="J18" s="108" t="str">
        <f t="shared" si="3"/>
        <v/>
      </c>
      <c r="K18" s="109" t="str">
        <f>IF(B18="","Pending",IF(M18="","⚠️ Enter Code",IF(IFERROR(VLOOKUP(L18,DB_Agents!$B:$I,8,0),"")=M18,"Pending","🔒 BLOCKED — Wrong Code")))</f>
        <v>Pending</v>
      </c>
      <c r="L18" s="27" t="s">
        <v>49</v>
      </c>
      <c r="M18" s="84"/>
      <c r="N18" s="94"/>
    </row>
    <row r="19" spans="1:14" x14ac:dyDescent="0.25">
      <c r="A19" s="85" t="str">
        <f t="shared" si="0"/>
        <v/>
      </c>
      <c r="B19" s="79"/>
      <c r="C19" s="21" t="str">
        <f>IF(B19="","",IFERROR(VLOOKUP(B19,DB_Customers!$A:$D,4,0),"❌ Account Not Found"))</f>
        <v/>
      </c>
      <c r="D19" s="81" t="str">
        <f t="shared" ca="1" si="1"/>
        <v/>
      </c>
      <c r="E19" s="104"/>
      <c r="F19" s="21"/>
      <c r="G19" s="110"/>
      <c r="H19" s="111"/>
      <c r="I19" s="107" t="str">
        <f t="shared" si="2"/>
        <v/>
      </c>
      <c r="J19" s="112" t="str">
        <f t="shared" si="3"/>
        <v/>
      </c>
      <c r="K19" s="113" t="str">
        <f>IF(B19="","Pending",IF(M19="","⚠️ Enter Code",IF(IFERROR(VLOOKUP(L19,DB_Agents!$B:$I,8,0),"")=M19,"Pending","🔒 BLOCKED — Wrong Code")))</f>
        <v>Pending</v>
      </c>
      <c r="L19" s="23"/>
      <c r="M19" s="84"/>
      <c r="N19" s="87"/>
    </row>
    <row r="20" spans="1:14" x14ac:dyDescent="0.25">
      <c r="A20" s="92" t="str">
        <f t="shared" si="0"/>
        <v/>
      </c>
      <c r="B20" s="88"/>
      <c r="C20" s="25" t="str">
        <f>IF(B20="","",IFERROR(VLOOKUP(B20,DB_Customers!$A:$D,4,0),"❌ Account Not Found"))</f>
        <v/>
      </c>
      <c r="D20" s="90" t="str">
        <f t="shared" ca="1" si="1"/>
        <v/>
      </c>
      <c r="E20" s="104"/>
      <c r="F20" s="25"/>
      <c r="G20" s="105"/>
      <c r="H20" s="106"/>
      <c r="I20" s="107" t="str">
        <f t="shared" si="2"/>
        <v/>
      </c>
      <c r="J20" s="108" t="str">
        <f t="shared" si="3"/>
        <v/>
      </c>
      <c r="K20" s="109" t="str">
        <f>IF(B20="","Pending",IF(M20="","⚠️ Enter Code",IF(IFERROR(VLOOKUP(L20,DB_Agents!$B:$I,8,0),"")=M20,"Pending","🔒 BLOCKED — Wrong Code")))</f>
        <v>Pending</v>
      </c>
      <c r="L20" s="27"/>
      <c r="M20" s="84"/>
      <c r="N20" s="94"/>
    </row>
    <row r="21" spans="1:14" x14ac:dyDescent="0.25">
      <c r="A21" s="85" t="str">
        <f t="shared" si="0"/>
        <v/>
      </c>
      <c r="B21" s="79"/>
      <c r="C21" s="21" t="str">
        <f>IF(B21="","",IFERROR(VLOOKUP(B21,DB_Customers!$A:$D,4,0),"❌ Account Not Found"))</f>
        <v/>
      </c>
      <c r="D21" s="81" t="str">
        <f t="shared" ca="1" si="1"/>
        <v/>
      </c>
      <c r="E21" s="104"/>
      <c r="F21" s="21"/>
      <c r="G21" s="110"/>
      <c r="H21" s="111"/>
      <c r="I21" s="107" t="str">
        <f t="shared" si="2"/>
        <v/>
      </c>
      <c r="J21" s="112" t="str">
        <f t="shared" si="3"/>
        <v/>
      </c>
      <c r="K21" s="113" t="str">
        <f>IF(B21="","Pending",IF(M21="","⚠️ Enter Code",IF(IFERROR(VLOOKUP(L21,DB_Agents!$B:$I,8,0),"")=M21,"Pending","🔒 BLOCKED — Wrong Code")))</f>
        <v>Pending</v>
      </c>
      <c r="L21" s="23"/>
      <c r="M21" s="84"/>
      <c r="N21" s="87"/>
    </row>
    <row r="22" spans="1:14" x14ac:dyDescent="0.25">
      <c r="A22" s="92" t="str">
        <f t="shared" si="0"/>
        <v/>
      </c>
      <c r="B22" s="88"/>
      <c r="C22" s="25" t="str">
        <f>IF(B22="","",IFERROR(VLOOKUP(B22,DB_Customers!$A:$D,4,0),"❌ Account Not Found"))</f>
        <v/>
      </c>
      <c r="D22" s="90" t="str">
        <f t="shared" ca="1" si="1"/>
        <v/>
      </c>
      <c r="E22" s="104"/>
      <c r="F22" s="25"/>
      <c r="G22" s="105"/>
      <c r="H22" s="106"/>
      <c r="I22" s="107" t="str">
        <f t="shared" si="2"/>
        <v/>
      </c>
      <c r="J22" s="108" t="str">
        <f t="shared" si="3"/>
        <v/>
      </c>
      <c r="K22" s="109" t="str">
        <f>IF(B22="","Pending",IF(M22="","⚠️ Enter Code",IF(IFERROR(VLOOKUP(L22,DB_Agents!$B:$I,8,0),"")=M22,"Pending","🔒 BLOCKED — Wrong Code")))</f>
        <v>Pending</v>
      </c>
      <c r="L22" s="27"/>
      <c r="M22" s="84"/>
      <c r="N22" s="94"/>
    </row>
    <row r="23" spans="1:14" x14ac:dyDescent="0.25">
      <c r="A23" s="85" t="str">
        <f t="shared" si="0"/>
        <v/>
      </c>
      <c r="B23" s="79"/>
      <c r="C23" s="21" t="str">
        <f>IF(B23="","",IFERROR(VLOOKUP(B23,DB_Customers!$A:$D,4,0),"❌ Account Not Found"))</f>
        <v/>
      </c>
      <c r="D23" s="81" t="str">
        <f t="shared" ca="1" si="1"/>
        <v/>
      </c>
      <c r="E23" s="104"/>
      <c r="F23" s="21"/>
      <c r="G23" s="110"/>
      <c r="H23" s="111"/>
      <c r="I23" s="107" t="str">
        <f t="shared" si="2"/>
        <v/>
      </c>
      <c r="J23" s="112" t="str">
        <f t="shared" si="3"/>
        <v/>
      </c>
      <c r="K23" s="113" t="str">
        <f>IF(B23="","Pending",IF(M23="","⚠️ Enter Code",IF(IFERROR(VLOOKUP(L23,DB_Agents!$B:$I,8,0),"")=M23,"Pending","🔒 BLOCKED — Wrong Code")))</f>
        <v>Pending</v>
      </c>
      <c r="L23" s="23"/>
      <c r="M23" s="84"/>
      <c r="N23" s="87"/>
    </row>
    <row r="24" spans="1:14" x14ac:dyDescent="0.25">
      <c r="A24" s="92" t="str">
        <f t="shared" si="0"/>
        <v/>
      </c>
      <c r="B24" s="88"/>
      <c r="C24" s="25" t="str">
        <f>IF(B24="","",IFERROR(VLOOKUP(B24,DB_Customers!$A:$D,4,0),"❌ Account Not Found"))</f>
        <v/>
      </c>
      <c r="D24" s="90" t="str">
        <f t="shared" ca="1" si="1"/>
        <v/>
      </c>
      <c r="E24" s="104"/>
      <c r="F24" s="25"/>
      <c r="G24" s="105"/>
      <c r="H24" s="106"/>
      <c r="I24" s="107" t="str">
        <f t="shared" si="2"/>
        <v/>
      </c>
      <c r="J24" s="108" t="str">
        <f t="shared" si="3"/>
        <v/>
      </c>
      <c r="K24" s="109" t="str">
        <f>IF(B24="","Pending",IF(M24="","⚠️ Enter Code",IF(IFERROR(VLOOKUP(L24,DB_Agents!$B:$I,8,0),"")=M24,"Pending","🔒 BLOCKED — Wrong Code")))</f>
        <v>Pending</v>
      </c>
      <c r="L24" s="27"/>
      <c r="M24" s="84"/>
      <c r="N24" s="94"/>
    </row>
    <row r="25" spans="1:14" x14ac:dyDescent="0.25">
      <c r="A25" s="85" t="str">
        <f t="shared" si="0"/>
        <v/>
      </c>
      <c r="B25" s="79"/>
      <c r="C25" s="21" t="str">
        <f>IF(B25="","",IFERROR(VLOOKUP(B25,DB_Customers!$A:$D,4,0),"❌ Account Not Found"))</f>
        <v/>
      </c>
      <c r="D25" s="81" t="str">
        <f t="shared" ca="1" si="1"/>
        <v/>
      </c>
      <c r="E25" s="104"/>
      <c r="F25" s="21"/>
      <c r="G25" s="110"/>
      <c r="H25" s="111"/>
      <c r="I25" s="107" t="str">
        <f t="shared" si="2"/>
        <v/>
      </c>
      <c r="J25" s="112" t="str">
        <f t="shared" si="3"/>
        <v/>
      </c>
      <c r="K25" s="113" t="str">
        <f>IF(B25="","Pending",IF(M25="","⚠️ Enter Code",IF(IFERROR(VLOOKUP(L25,DB_Agents!$B:$I,8,0),"")=M25,"Pending","🔒 BLOCKED — Wrong Code")))</f>
        <v>Pending</v>
      </c>
      <c r="L25" s="23"/>
      <c r="M25" s="84"/>
      <c r="N25" s="87"/>
    </row>
    <row r="26" spans="1:14" x14ac:dyDescent="0.25">
      <c r="A26" s="92" t="str">
        <f t="shared" si="0"/>
        <v/>
      </c>
      <c r="B26" s="88"/>
      <c r="C26" s="25" t="str">
        <f>IF(B26="","",IFERROR(VLOOKUP(B26,DB_Customers!$A:$D,4,0),"❌ Account Not Found"))</f>
        <v/>
      </c>
      <c r="D26" s="90" t="str">
        <f t="shared" ca="1" si="1"/>
        <v/>
      </c>
      <c r="E26" s="104"/>
      <c r="F26" s="25"/>
      <c r="G26" s="105"/>
      <c r="H26" s="106"/>
      <c r="I26" s="107" t="str">
        <f t="shared" si="2"/>
        <v/>
      </c>
      <c r="J26" s="108" t="str">
        <f t="shared" si="3"/>
        <v/>
      </c>
      <c r="K26" s="109" t="str">
        <f>IF(B26="","Pending",IF(M26="","⚠️ Enter Code",IF(IFERROR(VLOOKUP(L26,DB_Agents!$B:$I,8,0),"")=M26,"Pending","🔒 BLOCKED — Wrong Code")))</f>
        <v>Pending</v>
      </c>
      <c r="L26" s="27"/>
      <c r="M26" s="84"/>
      <c r="N26" s="94"/>
    </row>
    <row r="27" spans="1:14" x14ac:dyDescent="0.25">
      <c r="A27" s="85" t="str">
        <f t="shared" si="0"/>
        <v/>
      </c>
      <c r="B27" s="79"/>
      <c r="C27" s="21" t="str">
        <f>IF(B27="","",IFERROR(VLOOKUP(B27,DB_Customers!$A:$D,4,0),"❌ Account Not Found"))</f>
        <v/>
      </c>
      <c r="D27" s="81" t="str">
        <f t="shared" ca="1" si="1"/>
        <v/>
      </c>
      <c r="E27" s="104"/>
      <c r="F27" s="21"/>
      <c r="G27" s="110"/>
      <c r="H27" s="111"/>
      <c r="I27" s="107" t="str">
        <f t="shared" si="2"/>
        <v/>
      </c>
      <c r="J27" s="112" t="str">
        <f t="shared" si="3"/>
        <v/>
      </c>
      <c r="K27" s="113" t="str">
        <f>IF(B27="","Pending",IF(M27="","⚠️ Enter Code",IF(IFERROR(VLOOKUP(L27,DB_Agents!$B:$I,8,0),"")=M27,"Pending","🔒 BLOCKED — Wrong Code")))</f>
        <v>Pending</v>
      </c>
      <c r="L27" s="23"/>
      <c r="M27" s="84"/>
      <c r="N27" s="87"/>
    </row>
    <row r="28" spans="1:14" x14ac:dyDescent="0.25">
      <c r="A28" s="92" t="str">
        <f t="shared" si="0"/>
        <v/>
      </c>
      <c r="B28" s="88"/>
      <c r="C28" s="25" t="str">
        <f>IF(B28="","",IFERROR(VLOOKUP(B28,DB_Customers!$A:$D,4,0),"❌ Account Not Found"))</f>
        <v/>
      </c>
      <c r="D28" s="90" t="str">
        <f t="shared" ca="1" si="1"/>
        <v/>
      </c>
      <c r="E28" s="104"/>
      <c r="F28" s="25"/>
      <c r="G28" s="105"/>
      <c r="H28" s="106"/>
      <c r="I28" s="107" t="str">
        <f t="shared" si="2"/>
        <v/>
      </c>
      <c r="J28" s="108" t="str">
        <f t="shared" si="3"/>
        <v/>
      </c>
      <c r="K28" s="109" t="str">
        <f>IF(B28="","Pending",IF(M28="","⚠️ Enter Code",IF(IFERROR(VLOOKUP(L28,DB_Agents!$B:$I,8,0),"")=M28,"Pending","🔒 BLOCKED — Wrong Code")))</f>
        <v>Pending</v>
      </c>
      <c r="L28" s="27"/>
      <c r="M28" s="84"/>
      <c r="N28" s="94"/>
    </row>
    <row r="29" spans="1:14" x14ac:dyDescent="0.25">
      <c r="A29" s="85" t="str">
        <f t="shared" si="0"/>
        <v/>
      </c>
      <c r="B29" s="79"/>
      <c r="C29" s="21" t="str">
        <f>IF(B29="","",IFERROR(VLOOKUP(B29,DB_Customers!$A:$D,4,0),"❌ Account Not Found"))</f>
        <v/>
      </c>
      <c r="D29" s="81" t="str">
        <f t="shared" ca="1" si="1"/>
        <v/>
      </c>
      <c r="E29" s="104"/>
      <c r="F29" s="21"/>
      <c r="G29" s="110"/>
      <c r="H29" s="111"/>
      <c r="I29" s="107" t="str">
        <f t="shared" si="2"/>
        <v/>
      </c>
      <c r="J29" s="112" t="str">
        <f t="shared" si="3"/>
        <v/>
      </c>
      <c r="K29" s="113" t="str">
        <f>IF(B29="","Pending",IF(M29="","⚠️ Enter Code",IF(IFERROR(VLOOKUP(L29,DB_Agents!$B:$I,8,0),"")=M29,"Pending","🔒 BLOCKED — Wrong Code")))</f>
        <v>Pending</v>
      </c>
      <c r="L29" s="23"/>
      <c r="M29" s="84"/>
      <c r="N29" s="87"/>
    </row>
    <row r="30" spans="1:14" x14ac:dyDescent="0.25">
      <c r="A30" s="92" t="str">
        <f t="shared" si="0"/>
        <v/>
      </c>
      <c r="B30" s="88"/>
      <c r="C30" s="25" t="str">
        <f>IF(B30="","",IFERROR(VLOOKUP(B30,DB_Customers!$A:$D,4,0),"❌ Account Not Found"))</f>
        <v/>
      </c>
      <c r="D30" s="90" t="str">
        <f t="shared" ca="1" si="1"/>
        <v/>
      </c>
      <c r="E30" s="104"/>
      <c r="F30" s="25"/>
      <c r="G30" s="105"/>
      <c r="H30" s="106"/>
      <c r="I30" s="107" t="str">
        <f t="shared" si="2"/>
        <v/>
      </c>
      <c r="J30" s="108" t="str">
        <f t="shared" si="3"/>
        <v/>
      </c>
      <c r="K30" s="109" t="str">
        <f>IF(B30="","Pending",IF(M30="","⚠️ Enter Code",IF(IFERROR(VLOOKUP(L30,DB_Agents!$B:$I,8,0),"")=M30,"Pending","🔒 BLOCKED — Wrong Code")))</f>
        <v>Pending</v>
      </c>
      <c r="L30" s="27"/>
      <c r="M30" s="84"/>
      <c r="N30" s="94"/>
    </row>
    <row r="31" spans="1:14" x14ac:dyDescent="0.25">
      <c r="A31" s="85" t="str">
        <f t="shared" si="0"/>
        <v/>
      </c>
      <c r="B31" s="79"/>
      <c r="C31" s="21" t="str">
        <f>IF(B31="","",IFERROR(VLOOKUP(B31,DB_Customers!$A:$D,4,0),"❌ Account Not Found"))</f>
        <v/>
      </c>
      <c r="D31" s="81" t="str">
        <f t="shared" ca="1" si="1"/>
        <v/>
      </c>
      <c r="E31" s="104"/>
      <c r="F31" s="21"/>
      <c r="G31" s="110"/>
      <c r="H31" s="111"/>
      <c r="I31" s="107" t="str">
        <f t="shared" si="2"/>
        <v/>
      </c>
      <c r="J31" s="112" t="str">
        <f t="shared" si="3"/>
        <v/>
      </c>
      <c r="K31" s="113" t="str">
        <f>IF(B31="","Pending",IF(M31="","⚠️ Enter Code",IF(IFERROR(VLOOKUP(L31,DB_Agents!$B:$I,8,0),"")=M31,"Pending","🔒 BLOCKED — Wrong Code")))</f>
        <v>Pending</v>
      </c>
      <c r="L31" s="23"/>
      <c r="M31" s="84"/>
      <c r="N31" s="87"/>
    </row>
    <row r="32" spans="1:14" x14ac:dyDescent="0.25">
      <c r="A32" s="92" t="str">
        <f t="shared" si="0"/>
        <v/>
      </c>
      <c r="B32" s="88"/>
      <c r="C32" s="25" t="str">
        <f>IF(B32="","",IFERROR(VLOOKUP(B32,DB_Customers!$A:$D,4,0),"❌ Account Not Found"))</f>
        <v/>
      </c>
      <c r="D32" s="90" t="str">
        <f t="shared" ca="1" si="1"/>
        <v/>
      </c>
      <c r="E32" s="104"/>
      <c r="F32" s="25"/>
      <c r="G32" s="105"/>
      <c r="H32" s="106"/>
      <c r="I32" s="107" t="str">
        <f t="shared" si="2"/>
        <v/>
      </c>
      <c r="J32" s="108" t="str">
        <f t="shared" si="3"/>
        <v/>
      </c>
      <c r="K32" s="109" t="str">
        <f>IF(B32="","Pending",IF(M32="","⚠️ Enter Code",IF(IFERROR(VLOOKUP(L32,DB_Agents!$B:$I,8,0),"")=M32,"Pending","🔒 BLOCKED — Wrong Code")))</f>
        <v>Pending</v>
      </c>
      <c r="L32" s="27"/>
      <c r="M32" s="84"/>
      <c r="N32" s="94"/>
    </row>
    <row r="33" spans="1:14" x14ac:dyDescent="0.25">
      <c r="A33" s="85" t="str">
        <f t="shared" si="0"/>
        <v/>
      </c>
      <c r="B33" s="79"/>
      <c r="C33" s="21" t="str">
        <f>IF(B33="","",IFERROR(VLOOKUP(B33,DB_Customers!$A:$D,4,0),"❌ Account Not Found"))</f>
        <v/>
      </c>
      <c r="D33" s="81" t="str">
        <f t="shared" ca="1" si="1"/>
        <v/>
      </c>
      <c r="E33" s="104"/>
      <c r="F33" s="21"/>
      <c r="G33" s="110"/>
      <c r="H33" s="111"/>
      <c r="I33" s="107" t="str">
        <f t="shared" si="2"/>
        <v/>
      </c>
      <c r="J33" s="112" t="str">
        <f t="shared" si="3"/>
        <v/>
      </c>
      <c r="K33" s="113" t="str">
        <f>IF(B33="","Pending",IF(M33="","⚠️ Enter Code",IF(IFERROR(VLOOKUP(L33,DB_Agents!$B:$I,8,0),"")=M33,"Pending","🔒 BLOCKED — Wrong Code")))</f>
        <v>Pending</v>
      </c>
      <c r="L33" s="23"/>
      <c r="M33" s="84"/>
      <c r="N33" s="87"/>
    </row>
    <row r="34" spans="1:14" x14ac:dyDescent="0.25">
      <c r="A34" s="92" t="str">
        <f t="shared" si="0"/>
        <v/>
      </c>
      <c r="B34" s="88"/>
      <c r="C34" s="25" t="str">
        <f>IF(B34="","",IFERROR(VLOOKUP(B34,DB_Customers!$A:$D,4,0),"❌ Account Not Found"))</f>
        <v/>
      </c>
      <c r="D34" s="90" t="str">
        <f t="shared" ca="1" si="1"/>
        <v/>
      </c>
      <c r="E34" s="104"/>
      <c r="F34" s="25"/>
      <c r="G34" s="105"/>
      <c r="H34" s="106"/>
      <c r="I34" s="107" t="str">
        <f t="shared" si="2"/>
        <v/>
      </c>
      <c r="J34" s="108" t="str">
        <f t="shared" si="3"/>
        <v/>
      </c>
      <c r="K34" s="109" t="str">
        <f>IF(B34="","Pending",IF(M34="","⚠️ Enter Code",IF(IFERROR(VLOOKUP(L34,DB_Agents!$B:$I,8,0),"")=M34,"Pending","🔒 BLOCKED — Wrong Code")))</f>
        <v>Pending</v>
      </c>
      <c r="L34" s="27"/>
      <c r="M34" s="84"/>
      <c r="N34" s="94"/>
    </row>
    <row r="35" spans="1:14" x14ac:dyDescent="0.25">
      <c r="A35" s="85" t="str">
        <f t="shared" si="0"/>
        <v/>
      </c>
      <c r="B35" s="79"/>
      <c r="C35" s="21" t="str">
        <f>IF(B35="","",IFERROR(VLOOKUP(B35,DB_Customers!$A:$D,4,0),"❌ Account Not Found"))</f>
        <v/>
      </c>
      <c r="D35" s="81" t="str">
        <f t="shared" ca="1" si="1"/>
        <v/>
      </c>
      <c r="E35" s="104"/>
      <c r="F35" s="21"/>
      <c r="G35" s="110"/>
      <c r="H35" s="111"/>
      <c r="I35" s="107" t="str">
        <f t="shared" si="2"/>
        <v/>
      </c>
      <c r="J35" s="112" t="str">
        <f t="shared" si="3"/>
        <v/>
      </c>
      <c r="K35" s="113" t="str">
        <f>IF(B35="","Pending",IF(M35="","⚠️ Enter Code",IF(IFERROR(VLOOKUP(L35,DB_Agents!$B:$I,8,0),"")=M35,"Pending","🔒 BLOCKED — Wrong Code")))</f>
        <v>Pending</v>
      </c>
      <c r="L35" s="23"/>
      <c r="M35" s="84"/>
      <c r="N35" s="87"/>
    </row>
    <row r="36" spans="1:14" x14ac:dyDescent="0.25">
      <c r="A36" s="92" t="str">
        <f t="shared" si="0"/>
        <v/>
      </c>
      <c r="B36" s="88"/>
      <c r="C36" s="25" t="str">
        <f>IF(B36="","",IFERROR(VLOOKUP(B36,DB_Customers!$A:$D,4,0),"❌ Account Not Found"))</f>
        <v/>
      </c>
      <c r="D36" s="90" t="str">
        <f t="shared" ca="1" si="1"/>
        <v/>
      </c>
      <c r="E36" s="104"/>
      <c r="F36" s="25"/>
      <c r="G36" s="105"/>
      <c r="H36" s="106"/>
      <c r="I36" s="107" t="str">
        <f t="shared" si="2"/>
        <v/>
      </c>
      <c r="J36" s="108" t="str">
        <f t="shared" si="3"/>
        <v/>
      </c>
      <c r="K36" s="109" t="str">
        <f>IF(B36="","Pending",IF(M36="","⚠️ Enter Code",IF(IFERROR(VLOOKUP(L36,DB_Agents!$B:$I,8,0),"")=M36,"Pending","🔒 BLOCKED — Wrong Code")))</f>
        <v>Pending</v>
      </c>
      <c r="L36" s="27"/>
      <c r="M36" s="84"/>
      <c r="N36" s="94"/>
    </row>
    <row r="37" spans="1:14" x14ac:dyDescent="0.25">
      <c r="A37" s="85" t="str">
        <f t="shared" si="0"/>
        <v/>
      </c>
      <c r="B37" s="79"/>
      <c r="C37" s="21" t="str">
        <f>IF(B37="","",IFERROR(VLOOKUP(B37,DB_Customers!$A:$D,4,0),"❌ Account Not Found"))</f>
        <v/>
      </c>
      <c r="D37" s="81" t="str">
        <f t="shared" ca="1" si="1"/>
        <v/>
      </c>
      <c r="E37" s="104"/>
      <c r="F37" s="21"/>
      <c r="G37" s="110"/>
      <c r="H37" s="111"/>
      <c r="I37" s="107" t="str">
        <f t="shared" si="2"/>
        <v/>
      </c>
      <c r="J37" s="112" t="str">
        <f t="shared" si="3"/>
        <v/>
      </c>
      <c r="K37" s="113" t="str">
        <f>IF(B37="","Pending",IF(M37="","⚠️ Enter Code",IF(IFERROR(VLOOKUP(L37,DB_Agents!$B:$I,8,0),"")=M37,"Pending","🔒 BLOCKED — Wrong Code")))</f>
        <v>Pending</v>
      </c>
      <c r="L37" s="23"/>
      <c r="M37" s="84"/>
      <c r="N37" s="87"/>
    </row>
    <row r="38" spans="1:14" x14ac:dyDescent="0.25">
      <c r="A38" s="92" t="str">
        <f t="shared" si="0"/>
        <v/>
      </c>
      <c r="B38" s="88"/>
      <c r="C38" s="25" t="str">
        <f>IF(B38="","",IFERROR(VLOOKUP(B38,DB_Customers!$A:$D,4,0),"❌ Account Not Found"))</f>
        <v/>
      </c>
      <c r="D38" s="90" t="str">
        <f t="shared" ca="1" si="1"/>
        <v/>
      </c>
      <c r="E38" s="104"/>
      <c r="F38" s="25"/>
      <c r="G38" s="105"/>
      <c r="H38" s="106"/>
      <c r="I38" s="107" t="str">
        <f t="shared" si="2"/>
        <v/>
      </c>
      <c r="J38" s="108" t="str">
        <f t="shared" si="3"/>
        <v/>
      </c>
      <c r="K38" s="109" t="str">
        <f>IF(B38="","Pending",IF(M38="","⚠️ Enter Code",IF(IFERROR(VLOOKUP(L38,DB_Agents!$B:$I,8,0),"")=M38,"Pending","🔒 BLOCKED — Wrong Code")))</f>
        <v>Pending</v>
      </c>
      <c r="L38" s="27"/>
      <c r="M38" s="84"/>
      <c r="N38" s="94"/>
    </row>
    <row r="39" spans="1:14" x14ac:dyDescent="0.25">
      <c r="A39" s="85" t="str">
        <f t="shared" si="0"/>
        <v/>
      </c>
      <c r="B39" s="79"/>
      <c r="C39" s="21" t="str">
        <f>IF(B39="","",IFERROR(VLOOKUP(B39,DB_Customers!$A:$D,4,0),"❌ Account Not Found"))</f>
        <v/>
      </c>
      <c r="D39" s="81" t="str">
        <f t="shared" ca="1" si="1"/>
        <v/>
      </c>
      <c r="E39" s="104"/>
      <c r="F39" s="21"/>
      <c r="G39" s="110"/>
      <c r="H39" s="111"/>
      <c r="I39" s="107" t="str">
        <f t="shared" si="2"/>
        <v/>
      </c>
      <c r="J39" s="112" t="str">
        <f t="shared" si="3"/>
        <v/>
      </c>
      <c r="K39" s="113" t="str">
        <f>IF(B39="","Pending",IF(M39="","⚠️ Enter Code",IF(IFERROR(VLOOKUP(L39,DB_Agents!$B:$I,8,0),"")=M39,"Pending","🔒 BLOCKED — Wrong Code")))</f>
        <v>Pending</v>
      </c>
      <c r="L39" s="23"/>
      <c r="M39" s="84"/>
      <c r="N39" s="87"/>
    </row>
    <row r="40" spans="1:14" x14ac:dyDescent="0.25">
      <c r="A40" s="92" t="str">
        <f t="shared" si="0"/>
        <v/>
      </c>
      <c r="B40" s="88"/>
      <c r="C40" s="25" t="str">
        <f>IF(B40="","",IFERROR(VLOOKUP(B40,DB_Customers!$A:$D,4,0),"❌ Account Not Found"))</f>
        <v/>
      </c>
      <c r="D40" s="90" t="str">
        <f t="shared" ca="1" si="1"/>
        <v/>
      </c>
      <c r="E40" s="104"/>
      <c r="F40" s="25"/>
      <c r="G40" s="105"/>
      <c r="H40" s="106"/>
      <c r="I40" s="107" t="str">
        <f t="shared" si="2"/>
        <v/>
      </c>
      <c r="J40" s="108" t="str">
        <f t="shared" si="3"/>
        <v/>
      </c>
      <c r="K40" s="109" t="str">
        <f>IF(B40="","Pending",IF(M40="","⚠️ Enter Code",IF(IFERROR(VLOOKUP(L40,DB_Agents!$B:$I,8,0),"")=M40,"Pending","🔒 BLOCKED — Wrong Code")))</f>
        <v>Pending</v>
      </c>
      <c r="L40" s="27"/>
      <c r="M40" s="84"/>
      <c r="N40" s="94"/>
    </row>
    <row r="41" spans="1:14" x14ac:dyDescent="0.25">
      <c r="A41" s="85" t="str">
        <f t="shared" si="0"/>
        <v/>
      </c>
      <c r="B41" s="79"/>
      <c r="C41" s="21" t="str">
        <f>IF(B41="","",IFERROR(VLOOKUP(B41,DB_Customers!$A:$D,4,0),"❌ Account Not Found"))</f>
        <v/>
      </c>
      <c r="D41" s="81" t="str">
        <f t="shared" ca="1" si="1"/>
        <v/>
      </c>
      <c r="E41" s="104"/>
      <c r="F41" s="21"/>
      <c r="G41" s="110"/>
      <c r="H41" s="111"/>
      <c r="I41" s="107" t="str">
        <f t="shared" si="2"/>
        <v/>
      </c>
      <c r="J41" s="112" t="str">
        <f t="shared" si="3"/>
        <v/>
      </c>
      <c r="K41" s="113" t="str">
        <f>IF(B41="","Pending",IF(M41="","⚠️ Enter Code",IF(IFERROR(VLOOKUP(L41,DB_Agents!$B:$I,8,0),"")=M41,"Pending","🔒 BLOCKED — Wrong Code")))</f>
        <v>Pending</v>
      </c>
      <c r="L41" s="23"/>
      <c r="M41" s="84"/>
      <c r="N41" s="87"/>
    </row>
    <row r="42" spans="1:14" x14ac:dyDescent="0.25">
      <c r="A42" s="92" t="str">
        <f t="shared" si="0"/>
        <v/>
      </c>
      <c r="B42" s="88"/>
      <c r="C42" s="25" t="str">
        <f>IF(B42="","",IFERROR(VLOOKUP(B42,DB_Customers!$A:$D,4,0),"❌ Account Not Found"))</f>
        <v/>
      </c>
      <c r="D42" s="90" t="str">
        <f t="shared" ca="1" si="1"/>
        <v/>
      </c>
      <c r="E42" s="104"/>
      <c r="F42" s="25"/>
      <c r="G42" s="105"/>
      <c r="H42" s="106"/>
      <c r="I42" s="107" t="str">
        <f t="shared" si="2"/>
        <v/>
      </c>
      <c r="J42" s="108" t="str">
        <f t="shared" si="3"/>
        <v/>
      </c>
      <c r="K42" s="109" t="str">
        <f>IF(B42="","Pending",IF(M42="","⚠️ Enter Code",IF(IFERROR(VLOOKUP(L42,DB_Agents!$B:$I,8,0),"")=M42,"Pending","🔒 BLOCKED — Wrong Code")))</f>
        <v>Pending</v>
      </c>
      <c r="L42" s="27"/>
      <c r="M42" s="84"/>
      <c r="N42" s="94"/>
    </row>
    <row r="43" spans="1:14" x14ac:dyDescent="0.25">
      <c r="A43" s="85" t="str">
        <f t="shared" si="0"/>
        <v/>
      </c>
      <c r="B43" s="79"/>
      <c r="C43" s="21" t="str">
        <f>IF(B43="","",IFERROR(VLOOKUP(B43,DB_Customers!$A:$D,4,0),"❌ Account Not Found"))</f>
        <v/>
      </c>
      <c r="D43" s="81" t="str">
        <f t="shared" ca="1" si="1"/>
        <v/>
      </c>
      <c r="E43" s="104"/>
      <c r="F43" s="21"/>
      <c r="G43" s="110"/>
      <c r="H43" s="111"/>
      <c r="I43" s="107" t="str">
        <f t="shared" si="2"/>
        <v/>
      </c>
      <c r="J43" s="112" t="str">
        <f t="shared" si="3"/>
        <v/>
      </c>
      <c r="K43" s="113" t="str">
        <f>IF(B43="","Pending",IF(M43="","⚠️ Enter Code",IF(IFERROR(VLOOKUP(L43,DB_Agents!$B:$I,8,0),"")=M43,"Pending","🔒 BLOCKED — Wrong Code")))</f>
        <v>Pending</v>
      </c>
      <c r="L43" s="23"/>
      <c r="M43" s="84"/>
      <c r="N43" s="87"/>
    </row>
    <row r="44" spans="1:14" x14ac:dyDescent="0.25">
      <c r="A44" s="92" t="str">
        <f t="shared" si="0"/>
        <v/>
      </c>
      <c r="B44" s="88"/>
      <c r="C44" s="25" t="str">
        <f>IF(B44="","",IFERROR(VLOOKUP(B44,DB_Customers!$A:$D,4,0),"❌ Account Not Found"))</f>
        <v/>
      </c>
      <c r="D44" s="90" t="str">
        <f t="shared" ca="1" si="1"/>
        <v/>
      </c>
      <c r="E44" s="104"/>
      <c r="F44" s="25"/>
      <c r="G44" s="105"/>
      <c r="H44" s="106"/>
      <c r="I44" s="107" t="str">
        <f t="shared" si="2"/>
        <v/>
      </c>
      <c r="J44" s="108" t="str">
        <f t="shared" si="3"/>
        <v/>
      </c>
      <c r="K44" s="109" t="str">
        <f>IF(B44="","Pending",IF(M44="","⚠️ Enter Code",IF(IFERROR(VLOOKUP(L44,DB_Agents!$B:$I,8,0),"")=M44,"Pending","🔒 BLOCKED — Wrong Code")))</f>
        <v>Pending</v>
      </c>
      <c r="L44" s="27"/>
      <c r="M44" s="84"/>
      <c r="N44" s="94"/>
    </row>
    <row r="45" spans="1:14" x14ac:dyDescent="0.25">
      <c r="A45" s="85" t="str">
        <f t="shared" si="0"/>
        <v/>
      </c>
      <c r="B45" s="79"/>
      <c r="C45" s="21" t="str">
        <f>IF(B45="","",IFERROR(VLOOKUP(B45,DB_Customers!$A:$D,4,0),"❌ Account Not Found"))</f>
        <v/>
      </c>
      <c r="D45" s="81" t="str">
        <f t="shared" ca="1" si="1"/>
        <v/>
      </c>
      <c r="E45" s="104"/>
      <c r="F45" s="21"/>
      <c r="G45" s="110"/>
      <c r="H45" s="111"/>
      <c r="I45" s="107" t="str">
        <f t="shared" si="2"/>
        <v/>
      </c>
      <c r="J45" s="112" t="str">
        <f t="shared" si="3"/>
        <v/>
      </c>
      <c r="K45" s="113" t="str">
        <f>IF(B45="","Pending",IF(M45="","⚠️ Enter Code",IF(IFERROR(VLOOKUP(L45,DB_Agents!$B:$I,8,0),"")=M45,"Pending","🔒 BLOCKED — Wrong Code")))</f>
        <v>Pending</v>
      </c>
      <c r="L45" s="23"/>
      <c r="M45" s="84"/>
      <c r="N45" s="87"/>
    </row>
    <row r="46" spans="1:14" x14ac:dyDescent="0.25">
      <c r="A46" s="92" t="str">
        <f t="shared" ref="A46:A77" si="4">IF(B46="","",IF(C46="❌ Account Not Found","INVALID","LN"&amp;TEXT(D46,"YYYYMMDD")&amp;TEXT(ROW()-13,"0000")))</f>
        <v/>
      </c>
      <c r="B46" s="88"/>
      <c r="C46" s="25" t="str">
        <f>IF(B46="","",IFERROR(VLOOKUP(B46,DB_Customers!$A:$D,4,0),"❌ Account Not Found"))</f>
        <v/>
      </c>
      <c r="D46" s="90" t="str">
        <f t="shared" ref="D46:D77" ca="1" si="5">IF(B46="","",TODAY())</f>
        <v/>
      </c>
      <c r="E46" s="104"/>
      <c r="F46" s="25"/>
      <c r="G46" s="105"/>
      <c r="H46" s="106"/>
      <c r="I46" s="107" t="str">
        <f t="shared" ref="I46:I77" si="6">IF(E46="","",E46+(E46*H46/100*G46))</f>
        <v/>
      </c>
      <c r="J46" s="108" t="str">
        <f t="shared" ref="J46:J77" si="7">IFERROR(I46/G46,"")</f>
        <v/>
      </c>
      <c r="K46" s="109" t="str">
        <f>IF(B46="","Pending",IF(M46="","⚠️ Enter Code",IF(IFERROR(VLOOKUP(L46,DB_Agents!$B:$I,8,0),"")=M46,"Pending","🔒 BLOCKED — Wrong Code")))</f>
        <v>Pending</v>
      </c>
      <c r="L46" s="27"/>
      <c r="M46" s="84"/>
      <c r="N46" s="94"/>
    </row>
    <row r="47" spans="1:14" x14ac:dyDescent="0.25">
      <c r="A47" s="85" t="str">
        <f t="shared" si="4"/>
        <v/>
      </c>
      <c r="B47" s="79"/>
      <c r="C47" s="21" t="str">
        <f>IF(B47="","",IFERROR(VLOOKUP(B47,DB_Customers!$A:$D,4,0),"❌ Account Not Found"))</f>
        <v/>
      </c>
      <c r="D47" s="81" t="str">
        <f t="shared" ca="1" si="5"/>
        <v/>
      </c>
      <c r="E47" s="104"/>
      <c r="F47" s="21"/>
      <c r="G47" s="110"/>
      <c r="H47" s="111"/>
      <c r="I47" s="107" t="str">
        <f t="shared" si="6"/>
        <v/>
      </c>
      <c r="J47" s="112" t="str">
        <f t="shared" si="7"/>
        <v/>
      </c>
      <c r="K47" s="113" t="str">
        <f>IF(B47="","Pending",IF(M47="","⚠️ Enter Code",IF(IFERROR(VLOOKUP(L47,DB_Agents!$B:$I,8,0),"")=M47,"Pending","🔒 BLOCKED — Wrong Code")))</f>
        <v>Pending</v>
      </c>
      <c r="L47" s="23"/>
      <c r="M47" s="84"/>
      <c r="N47" s="87"/>
    </row>
    <row r="48" spans="1:14" x14ac:dyDescent="0.25">
      <c r="A48" s="92" t="str">
        <f t="shared" si="4"/>
        <v/>
      </c>
      <c r="B48" s="88"/>
      <c r="C48" s="25" t="str">
        <f>IF(B48="","",IFERROR(VLOOKUP(B48,DB_Customers!$A:$D,4,0),"❌ Account Not Found"))</f>
        <v/>
      </c>
      <c r="D48" s="90" t="str">
        <f t="shared" ca="1" si="5"/>
        <v/>
      </c>
      <c r="E48" s="104"/>
      <c r="F48" s="25"/>
      <c r="G48" s="105"/>
      <c r="H48" s="106"/>
      <c r="I48" s="107" t="str">
        <f t="shared" si="6"/>
        <v/>
      </c>
      <c r="J48" s="108" t="str">
        <f t="shared" si="7"/>
        <v/>
      </c>
      <c r="K48" s="109" t="str">
        <f>IF(B48="","Pending",IF(M48="","⚠️ Enter Code",IF(IFERROR(VLOOKUP(L48,DB_Agents!$B:$I,8,0),"")=M48,"Pending","🔒 BLOCKED — Wrong Code")))</f>
        <v>Pending</v>
      </c>
      <c r="L48" s="27"/>
      <c r="M48" s="84"/>
      <c r="N48" s="94"/>
    </row>
    <row r="49" spans="1:14" x14ac:dyDescent="0.25">
      <c r="A49" s="85" t="str">
        <f t="shared" si="4"/>
        <v/>
      </c>
      <c r="B49" s="79"/>
      <c r="C49" s="21" t="str">
        <f>IF(B49="","",IFERROR(VLOOKUP(B49,DB_Customers!$A:$D,4,0),"❌ Account Not Found"))</f>
        <v/>
      </c>
      <c r="D49" s="81" t="str">
        <f t="shared" ca="1" si="5"/>
        <v/>
      </c>
      <c r="E49" s="104"/>
      <c r="F49" s="21"/>
      <c r="G49" s="110"/>
      <c r="H49" s="111"/>
      <c r="I49" s="107" t="str">
        <f t="shared" si="6"/>
        <v/>
      </c>
      <c r="J49" s="112" t="str">
        <f t="shared" si="7"/>
        <v/>
      </c>
      <c r="K49" s="113" t="str">
        <f>IF(B49="","Pending",IF(M49="","⚠️ Enter Code",IF(IFERROR(VLOOKUP(L49,DB_Agents!$B:$I,8,0),"")=M49,"Pending","🔒 BLOCKED — Wrong Code")))</f>
        <v>Pending</v>
      </c>
      <c r="L49" s="23"/>
      <c r="M49" s="84"/>
      <c r="N49" s="87"/>
    </row>
    <row r="50" spans="1:14" x14ac:dyDescent="0.25">
      <c r="A50" s="92" t="str">
        <f t="shared" si="4"/>
        <v/>
      </c>
      <c r="B50" s="88"/>
      <c r="C50" s="25" t="str">
        <f>IF(B50="","",IFERROR(VLOOKUP(B50,DB_Customers!$A:$D,4,0),"❌ Account Not Found"))</f>
        <v/>
      </c>
      <c r="D50" s="90" t="str">
        <f t="shared" ca="1" si="5"/>
        <v/>
      </c>
      <c r="E50" s="104"/>
      <c r="F50" s="25"/>
      <c r="G50" s="105"/>
      <c r="H50" s="106"/>
      <c r="I50" s="107" t="str">
        <f t="shared" si="6"/>
        <v/>
      </c>
      <c r="J50" s="108" t="str">
        <f t="shared" si="7"/>
        <v/>
      </c>
      <c r="K50" s="109" t="str">
        <f>IF(B50="","Pending",IF(M50="","⚠️ Enter Code",IF(IFERROR(VLOOKUP(L50,DB_Agents!$B:$I,8,0),"")=M50,"Pending","🔒 BLOCKED — Wrong Code")))</f>
        <v>Pending</v>
      </c>
      <c r="L50" s="27"/>
      <c r="M50" s="84"/>
      <c r="N50" s="94"/>
    </row>
    <row r="51" spans="1:14" x14ac:dyDescent="0.25">
      <c r="A51" s="85" t="str">
        <f t="shared" si="4"/>
        <v/>
      </c>
      <c r="B51" s="79"/>
      <c r="C51" s="21" t="str">
        <f>IF(B51="","",IFERROR(VLOOKUP(B51,DB_Customers!$A:$D,4,0),"❌ Account Not Found"))</f>
        <v/>
      </c>
      <c r="D51" s="81" t="str">
        <f t="shared" ca="1" si="5"/>
        <v/>
      </c>
      <c r="E51" s="104"/>
      <c r="F51" s="21"/>
      <c r="G51" s="110"/>
      <c r="H51" s="111"/>
      <c r="I51" s="107" t="str">
        <f t="shared" si="6"/>
        <v/>
      </c>
      <c r="J51" s="112" t="str">
        <f t="shared" si="7"/>
        <v/>
      </c>
      <c r="K51" s="113" t="str">
        <f>IF(B51="","Pending",IF(M51="","⚠️ Enter Code",IF(IFERROR(VLOOKUP(L51,DB_Agents!$B:$I,8,0),"")=M51,"Pending","🔒 BLOCKED — Wrong Code")))</f>
        <v>Pending</v>
      </c>
      <c r="L51" s="23"/>
      <c r="M51" s="84"/>
      <c r="N51" s="87"/>
    </row>
    <row r="52" spans="1:14" x14ac:dyDescent="0.25">
      <c r="A52" s="92" t="str">
        <f t="shared" si="4"/>
        <v/>
      </c>
      <c r="B52" s="88"/>
      <c r="C52" s="25" t="str">
        <f>IF(B52="","",IFERROR(VLOOKUP(B52,DB_Customers!$A:$D,4,0),"❌ Account Not Found"))</f>
        <v/>
      </c>
      <c r="D52" s="90" t="str">
        <f t="shared" ca="1" si="5"/>
        <v/>
      </c>
      <c r="E52" s="104"/>
      <c r="F52" s="25"/>
      <c r="G52" s="105"/>
      <c r="H52" s="106"/>
      <c r="I52" s="107" t="str">
        <f t="shared" si="6"/>
        <v/>
      </c>
      <c r="J52" s="108" t="str">
        <f t="shared" si="7"/>
        <v/>
      </c>
      <c r="K52" s="109" t="str">
        <f>IF(B52="","Pending",IF(M52="","⚠️ Enter Code",IF(IFERROR(VLOOKUP(L52,DB_Agents!$B:$I,8,0),"")=M52,"Pending","🔒 BLOCKED — Wrong Code")))</f>
        <v>Pending</v>
      </c>
      <c r="L52" s="27"/>
      <c r="M52" s="84"/>
      <c r="N52" s="94"/>
    </row>
    <row r="53" spans="1:14" x14ac:dyDescent="0.25">
      <c r="A53" s="85" t="str">
        <f t="shared" si="4"/>
        <v/>
      </c>
      <c r="B53" s="79"/>
      <c r="C53" s="21" t="str">
        <f>IF(B53="","",IFERROR(VLOOKUP(B53,DB_Customers!$A:$D,4,0),"❌ Account Not Found"))</f>
        <v/>
      </c>
      <c r="D53" s="81" t="str">
        <f t="shared" ca="1" si="5"/>
        <v/>
      </c>
      <c r="E53" s="104"/>
      <c r="F53" s="21"/>
      <c r="G53" s="110"/>
      <c r="H53" s="111"/>
      <c r="I53" s="107" t="str">
        <f t="shared" si="6"/>
        <v/>
      </c>
      <c r="J53" s="112" t="str">
        <f t="shared" si="7"/>
        <v/>
      </c>
      <c r="K53" s="113" t="str">
        <f>IF(B53="","Pending",IF(M53="","⚠️ Enter Code",IF(IFERROR(VLOOKUP(L53,DB_Agents!$B:$I,8,0),"")=M53,"Pending","🔒 BLOCKED — Wrong Code")))</f>
        <v>Pending</v>
      </c>
      <c r="L53" s="23"/>
      <c r="M53" s="84"/>
      <c r="N53" s="87"/>
    </row>
    <row r="54" spans="1:14" x14ac:dyDescent="0.25">
      <c r="A54" s="92" t="str">
        <f t="shared" si="4"/>
        <v/>
      </c>
      <c r="B54" s="88"/>
      <c r="C54" s="25" t="str">
        <f>IF(B54="","",IFERROR(VLOOKUP(B54,DB_Customers!$A:$D,4,0),"❌ Account Not Found"))</f>
        <v/>
      </c>
      <c r="D54" s="90" t="str">
        <f t="shared" ca="1" si="5"/>
        <v/>
      </c>
      <c r="E54" s="104"/>
      <c r="F54" s="25"/>
      <c r="G54" s="105"/>
      <c r="H54" s="106"/>
      <c r="I54" s="107" t="str">
        <f t="shared" si="6"/>
        <v/>
      </c>
      <c r="J54" s="108" t="str">
        <f t="shared" si="7"/>
        <v/>
      </c>
      <c r="K54" s="109" t="str">
        <f>IF(B54="","Pending",IF(M54="","⚠️ Enter Code",IF(IFERROR(VLOOKUP(L54,DB_Agents!$B:$I,8,0),"")=M54,"Pending","🔒 BLOCKED — Wrong Code")))</f>
        <v>Pending</v>
      </c>
      <c r="L54" s="27"/>
      <c r="M54" s="84"/>
      <c r="N54" s="94"/>
    </row>
    <row r="55" spans="1:14" x14ac:dyDescent="0.25">
      <c r="A55" s="85" t="str">
        <f t="shared" si="4"/>
        <v/>
      </c>
      <c r="B55" s="79"/>
      <c r="C55" s="21" t="str">
        <f>IF(B55="","",IFERROR(VLOOKUP(B55,DB_Customers!$A:$D,4,0),"❌ Account Not Found"))</f>
        <v/>
      </c>
      <c r="D55" s="81" t="str">
        <f t="shared" ca="1" si="5"/>
        <v/>
      </c>
      <c r="E55" s="104"/>
      <c r="F55" s="21"/>
      <c r="G55" s="110"/>
      <c r="H55" s="111"/>
      <c r="I55" s="107" t="str">
        <f t="shared" si="6"/>
        <v/>
      </c>
      <c r="J55" s="112" t="str">
        <f t="shared" si="7"/>
        <v/>
      </c>
      <c r="K55" s="113" t="str">
        <f>IF(B55="","Pending",IF(M55="","⚠️ Enter Code",IF(IFERROR(VLOOKUP(L55,DB_Agents!$B:$I,8,0),"")=M55,"Pending","🔒 BLOCKED — Wrong Code")))</f>
        <v>Pending</v>
      </c>
      <c r="L55" s="23"/>
      <c r="M55" s="84"/>
      <c r="N55" s="87"/>
    </row>
    <row r="56" spans="1:14" x14ac:dyDescent="0.25">
      <c r="A56" s="92" t="str">
        <f t="shared" si="4"/>
        <v/>
      </c>
      <c r="B56" s="88"/>
      <c r="C56" s="25" t="str">
        <f>IF(B56="","",IFERROR(VLOOKUP(B56,DB_Customers!$A:$D,4,0),"❌ Account Not Found"))</f>
        <v/>
      </c>
      <c r="D56" s="90" t="str">
        <f t="shared" ca="1" si="5"/>
        <v/>
      </c>
      <c r="E56" s="104"/>
      <c r="F56" s="25"/>
      <c r="G56" s="105"/>
      <c r="H56" s="106"/>
      <c r="I56" s="107" t="str">
        <f t="shared" si="6"/>
        <v/>
      </c>
      <c r="J56" s="108" t="str">
        <f t="shared" si="7"/>
        <v/>
      </c>
      <c r="K56" s="109" t="str">
        <f>IF(B56="","Pending",IF(M56="","⚠️ Enter Code",IF(IFERROR(VLOOKUP(L56,DB_Agents!$B:$I,8,0),"")=M56,"Pending","🔒 BLOCKED — Wrong Code")))</f>
        <v>Pending</v>
      </c>
      <c r="L56" s="27"/>
      <c r="M56" s="84"/>
      <c r="N56" s="94"/>
    </row>
    <row r="57" spans="1:14" x14ac:dyDescent="0.25">
      <c r="A57" s="85" t="str">
        <f t="shared" si="4"/>
        <v/>
      </c>
      <c r="B57" s="79"/>
      <c r="C57" s="21" t="str">
        <f>IF(B57="","",IFERROR(VLOOKUP(B57,DB_Customers!$A:$D,4,0),"❌ Account Not Found"))</f>
        <v/>
      </c>
      <c r="D57" s="81" t="str">
        <f t="shared" ca="1" si="5"/>
        <v/>
      </c>
      <c r="E57" s="104"/>
      <c r="F57" s="21"/>
      <c r="G57" s="110"/>
      <c r="H57" s="111"/>
      <c r="I57" s="107" t="str">
        <f t="shared" si="6"/>
        <v/>
      </c>
      <c r="J57" s="112" t="str">
        <f t="shared" si="7"/>
        <v/>
      </c>
      <c r="K57" s="113" t="str">
        <f>IF(B57="","Pending",IF(M57="","⚠️ Enter Code",IF(IFERROR(VLOOKUP(L57,DB_Agents!$B:$I,8,0),"")=M57,"Pending","🔒 BLOCKED — Wrong Code")))</f>
        <v>Pending</v>
      </c>
      <c r="L57" s="23"/>
      <c r="M57" s="84"/>
      <c r="N57" s="87"/>
    </row>
    <row r="58" spans="1:14" x14ac:dyDescent="0.25">
      <c r="A58" s="92" t="str">
        <f t="shared" si="4"/>
        <v/>
      </c>
      <c r="B58" s="88"/>
      <c r="C58" s="25" t="str">
        <f>IF(B58="","",IFERROR(VLOOKUP(B58,DB_Customers!$A:$D,4,0),"❌ Account Not Found"))</f>
        <v/>
      </c>
      <c r="D58" s="90" t="str">
        <f t="shared" ca="1" si="5"/>
        <v/>
      </c>
      <c r="E58" s="104"/>
      <c r="F58" s="25"/>
      <c r="G58" s="105"/>
      <c r="H58" s="106"/>
      <c r="I58" s="107" t="str">
        <f t="shared" si="6"/>
        <v/>
      </c>
      <c r="J58" s="108" t="str">
        <f t="shared" si="7"/>
        <v/>
      </c>
      <c r="K58" s="109" t="str">
        <f>IF(B58="","Pending",IF(M58="","⚠️ Enter Code",IF(IFERROR(VLOOKUP(L58,DB_Agents!$B:$I,8,0),"")=M58,"Pending","🔒 BLOCKED — Wrong Code")))</f>
        <v>Pending</v>
      </c>
      <c r="L58" s="27"/>
      <c r="M58" s="84"/>
      <c r="N58" s="94"/>
    </row>
    <row r="59" spans="1:14" x14ac:dyDescent="0.25">
      <c r="A59" s="85" t="str">
        <f t="shared" si="4"/>
        <v/>
      </c>
      <c r="B59" s="79"/>
      <c r="C59" s="21" t="str">
        <f>IF(B59="","",IFERROR(VLOOKUP(B59,DB_Customers!$A:$D,4,0),"❌ Account Not Found"))</f>
        <v/>
      </c>
      <c r="D59" s="81" t="str">
        <f t="shared" ca="1" si="5"/>
        <v/>
      </c>
      <c r="E59" s="104"/>
      <c r="F59" s="21"/>
      <c r="G59" s="110"/>
      <c r="H59" s="111"/>
      <c r="I59" s="107" t="str">
        <f t="shared" si="6"/>
        <v/>
      </c>
      <c r="J59" s="112" t="str">
        <f t="shared" si="7"/>
        <v/>
      </c>
      <c r="K59" s="113" t="str">
        <f>IF(B59="","Pending",IF(M59="","⚠️ Enter Code",IF(IFERROR(VLOOKUP(L59,DB_Agents!$B:$I,8,0),"")=M59,"Pending","🔒 BLOCKED — Wrong Code")))</f>
        <v>Pending</v>
      </c>
      <c r="L59" s="23"/>
      <c r="M59" s="84"/>
      <c r="N59" s="87"/>
    </row>
    <row r="60" spans="1:14" x14ac:dyDescent="0.25">
      <c r="A60" s="92" t="str">
        <f t="shared" si="4"/>
        <v/>
      </c>
      <c r="B60" s="88"/>
      <c r="C60" s="25" t="str">
        <f>IF(B60="","",IFERROR(VLOOKUP(B60,DB_Customers!$A:$D,4,0),"❌ Account Not Found"))</f>
        <v/>
      </c>
      <c r="D60" s="90" t="str">
        <f t="shared" ca="1" si="5"/>
        <v/>
      </c>
      <c r="E60" s="104"/>
      <c r="F60" s="25"/>
      <c r="G60" s="105"/>
      <c r="H60" s="106"/>
      <c r="I60" s="107" t="str">
        <f t="shared" si="6"/>
        <v/>
      </c>
      <c r="J60" s="108" t="str">
        <f t="shared" si="7"/>
        <v/>
      </c>
      <c r="K60" s="109" t="str">
        <f>IF(B60="","Pending",IF(M60="","⚠️ Enter Code",IF(IFERROR(VLOOKUP(L60,DB_Agents!$B:$I,8,0),"")=M60,"Pending","🔒 BLOCKED — Wrong Code")))</f>
        <v>Pending</v>
      </c>
      <c r="L60" s="27"/>
      <c r="M60" s="84"/>
      <c r="N60" s="94"/>
    </row>
    <row r="61" spans="1:14" x14ac:dyDescent="0.25">
      <c r="A61" s="85" t="str">
        <f t="shared" si="4"/>
        <v/>
      </c>
      <c r="B61" s="79"/>
      <c r="C61" s="21" t="str">
        <f>IF(B61="","",IFERROR(VLOOKUP(B61,DB_Customers!$A:$D,4,0),"❌ Account Not Found"))</f>
        <v/>
      </c>
      <c r="D61" s="81" t="str">
        <f t="shared" ca="1" si="5"/>
        <v/>
      </c>
      <c r="E61" s="104"/>
      <c r="F61" s="21"/>
      <c r="G61" s="110"/>
      <c r="H61" s="111"/>
      <c r="I61" s="107" t="str">
        <f t="shared" si="6"/>
        <v/>
      </c>
      <c r="J61" s="112" t="str">
        <f t="shared" si="7"/>
        <v/>
      </c>
      <c r="K61" s="113" t="str">
        <f>IF(B61="","Pending",IF(M61="","⚠️ Enter Code",IF(IFERROR(VLOOKUP(L61,DB_Agents!$B:$I,8,0),"")=M61,"Pending","🔒 BLOCKED — Wrong Code")))</f>
        <v>Pending</v>
      </c>
      <c r="L61" s="23"/>
      <c r="M61" s="84"/>
      <c r="N61" s="87"/>
    </row>
    <row r="62" spans="1:14" x14ac:dyDescent="0.25">
      <c r="A62" s="92" t="str">
        <f t="shared" si="4"/>
        <v/>
      </c>
      <c r="B62" s="88"/>
      <c r="C62" s="25" t="str">
        <f>IF(B62="","",IFERROR(VLOOKUP(B62,DB_Customers!$A:$D,4,0),"❌ Account Not Found"))</f>
        <v/>
      </c>
      <c r="D62" s="90" t="str">
        <f t="shared" ca="1" si="5"/>
        <v/>
      </c>
      <c r="E62" s="104"/>
      <c r="F62" s="25"/>
      <c r="G62" s="105"/>
      <c r="H62" s="106"/>
      <c r="I62" s="107" t="str">
        <f t="shared" si="6"/>
        <v/>
      </c>
      <c r="J62" s="108" t="str">
        <f t="shared" si="7"/>
        <v/>
      </c>
      <c r="K62" s="109" t="str">
        <f>IF(B62="","Pending",IF(M62="","⚠️ Enter Code",IF(IFERROR(VLOOKUP(L62,DB_Agents!$B:$I,8,0),"")=M62,"Pending","🔒 BLOCKED — Wrong Code")))</f>
        <v>Pending</v>
      </c>
      <c r="L62" s="27"/>
      <c r="M62" s="84"/>
      <c r="N62" s="94"/>
    </row>
    <row r="63" spans="1:14" x14ac:dyDescent="0.25">
      <c r="A63" s="85" t="str">
        <f t="shared" si="4"/>
        <v/>
      </c>
      <c r="B63" s="79"/>
      <c r="C63" s="21" t="str">
        <f>IF(B63="","",IFERROR(VLOOKUP(B63,DB_Customers!$A:$D,4,0),"❌ Account Not Found"))</f>
        <v/>
      </c>
      <c r="D63" s="81" t="str">
        <f t="shared" ca="1" si="5"/>
        <v/>
      </c>
      <c r="E63" s="104"/>
      <c r="F63" s="21"/>
      <c r="G63" s="110"/>
      <c r="H63" s="111"/>
      <c r="I63" s="107" t="str">
        <f t="shared" si="6"/>
        <v/>
      </c>
      <c r="J63" s="112" t="str">
        <f t="shared" si="7"/>
        <v/>
      </c>
      <c r="K63" s="113" t="str">
        <f>IF(B63="","Pending",IF(M63="","⚠️ Enter Code",IF(IFERROR(VLOOKUP(L63,DB_Agents!$B:$I,8,0),"")=M63,"Pending","🔒 BLOCKED — Wrong Code")))</f>
        <v>Pending</v>
      </c>
      <c r="L63" s="23"/>
      <c r="M63" s="84"/>
      <c r="N63" s="87"/>
    </row>
    <row r="64" spans="1:14" x14ac:dyDescent="0.25">
      <c r="A64" s="92" t="str">
        <f t="shared" si="4"/>
        <v/>
      </c>
      <c r="B64" s="88"/>
      <c r="C64" s="25" t="str">
        <f>IF(B64="","",IFERROR(VLOOKUP(B64,DB_Customers!$A:$D,4,0),"❌ Account Not Found"))</f>
        <v/>
      </c>
      <c r="D64" s="90" t="str">
        <f t="shared" ca="1" si="5"/>
        <v/>
      </c>
      <c r="E64" s="104"/>
      <c r="F64" s="25"/>
      <c r="G64" s="105"/>
      <c r="H64" s="106"/>
      <c r="I64" s="107" t="str">
        <f t="shared" si="6"/>
        <v/>
      </c>
      <c r="J64" s="108" t="str">
        <f t="shared" si="7"/>
        <v/>
      </c>
      <c r="K64" s="109" t="str">
        <f>IF(B64="","Pending",IF(M64="","⚠️ Enter Code",IF(IFERROR(VLOOKUP(L64,DB_Agents!$B:$I,8,0),"")=M64,"Pending","🔒 BLOCKED — Wrong Code")))</f>
        <v>Pending</v>
      </c>
      <c r="L64" s="27"/>
      <c r="M64" s="84"/>
      <c r="N64" s="94"/>
    </row>
    <row r="65" spans="1:14" x14ac:dyDescent="0.25">
      <c r="A65" s="85" t="str">
        <f t="shared" si="4"/>
        <v/>
      </c>
      <c r="B65" s="79"/>
      <c r="C65" s="21" t="str">
        <f>IF(B65="","",IFERROR(VLOOKUP(B65,DB_Customers!$A:$D,4,0),"❌ Account Not Found"))</f>
        <v/>
      </c>
      <c r="D65" s="81" t="str">
        <f t="shared" ca="1" si="5"/>
        <v/>
      </c>
      <c r="E65" s="104"/>
      <c r="F65" s="21"/>
      <c r="G65" s="110"/>
      <c r="H65" s="111"/>
      <c r="I65" s="107" t="str">
        <f t="shared" si="6"/>
        <v/>
      </c>
      <c r="J65" s="112" t="str">
        <f t="shared" si="7"/>
        <v/>
      </c>
      <c r="K65" s="113" t="str">
        <f>IF(B65="","Pending",IF(M65="","⚠️ Enter Code",IF(IFERROR(VLOOKUP(L65,DB_Agents!$B:$I,8,0),"")=M65,"Pending","🔒 BLOCKED — Wrong Code")))</f>
        <v>Pending</v>
      </c>
      <c r="L65" s="23"/>
      <c r="M65" s="84"/>
      <c r="N65" s="87"/>
    </row>
    <row r="66" spans="1:14" x14ac:dyDescent="0.25">
      <c r="A66" s="92" t="str">
        <f t="shared" si="4"/>
        <v/>
      </c>
      <c r="B66" s="88"/>
      <c r="C66" s="25" t="str">
        <f>IF(B66="","",IFERROR(VLOOKUP(B66,DB_Customers!$A:$D,4,0),"❌ Account Not Found"))</f>
        <v/>
      </c>
      <c r="D66" s="90" t="str">
        <f t="shared" ca="1" si="5"/>
        <v/>
      </c>
      <c r="E66" s="104"/>
      <c r="F66" s="25"/>
      <c r="G66" s="105"/>
      <c r="H66" s="106"/>
      <c r="I66" s="107" t="str">
        <f t="shared" si="6"/>
        <v/>
      </c>
      <c r="J66" s="108" t="str">
        <f t="shared" si="7"/>
        <v/>
      </c>
      <c r="K66" s="109" t="str">
        <f>IF(B66="","Pending",IF(M66="","⚠️ Enter Code",IF(IFERROR(VLOOKUP(L66,DB_Agents!$B:$I,8,0),"")=M66,"Pending","🔒 BLOCKED — Wrong Code")))</f>
        <v>Pending</v>
      </c>
      <c r="L66" s="27"/>
      <c r="M66" s="84"/>
      <c r="N66" s="94"/>
    </row>
    <row r="67" spans="1:14" x14ac:dyDescent="0.25">
      <c r="A67" s="85" t="str">
        <f t="shared" si="4"/>
        <v/>
      </c>
      <c r="B67" s="79"/>
      <c r="C67" s="21" t="str">
        <f>IF(B67="","",IFERROR(VLOOKUP(B67,DB_Customers!$A:$D,4,0),"❌ Account Not Found"))</f>
        <v/>
      </c>
      <c r="D67" s="81" t="str">
        <f t="shared" ca="1" si="5"/>
        <v/>
      </c>
      <c r="E67" s="104"/>
      <c r="F67" s="21"/>
      <c r="G67" s="110"/>
      <c r="H67" s="111"/>
      <c r="I67" s="107" t="str">
        <f t="shared" si="6"/>
        <v/>
      </c>
      <c r="J67" s="112" t="str">
        <f t="shared" si="7"/>
        <v/>
      </c>
      <c r="K67" s="113" t="str">
        <f>IF(B67="","Pending",IF(M67="","⚠️ Enter Code",IF(IFERROR(VLOOKUP(L67,DB_Agents!$B:$I,8,0),"")=M67,"Pending","🔒 BLOCKED — Wrong Code")))</f>
        <v>Pending</v>
      </c>
      <c r="L67" s="23"/>
      <c r="M67" s="84"/>
      <c r="N67" s="87"/>
    </row>
    <row r="68" spans="1:14" x14ac:dyDescent="0.25">
      <c r="A68" s="92" t="str">
        <f t="shared" si="4"/>
        <v/>
      </c>
      <c r="B68" s="88"/>
      <c r="C68" s="25" t="str">
        <f>IF(B68="","",IFERROR(VLOOKUP(B68,DB_Customers!$A:$D,4,0),"❌ Account Not Found"))</f>
        <v/>
      </c>
      <c r="D68" s="90" t="str">
        <f t="shared" ca="1" si="5"/>
        <v/>
      </c>
      <c r="E68" s="104"/>
      <c r="F68" s="25"/>
      <c r="G68" s="105"/>
      <c r="H68" s="106"/>
      <c r="I68" s="107" t="str">
        <f t="shared" si="6"/>
        <v/>
      </c>
      <c r="J68" s="108" t="str">
        <f t="shared" si="7"/>
        <v/>
      </c>
      <c r="K68" s="109" t="str">
        <f>IF(B68="","Pending",IF(M68="","⚠️ Enter Code",IF(IFERROR(VLOOKUP(L68,DB_Agents!$B:$I,8,0),"")=M68,"Pending","🔒 BLOCKED — Wrong Code")))</f>
        <v>Pending</v>
      </c>
      <c r="L68" s="27"/>
      <c r="M68" s="84"/>
      <c r="N68" s="94"/>
    </row>
    <row r="69" spans="1:14" x14ac:dyDescent="0.25">
      <c r="A69" s="85" t="str">
        <f t="shared" si="4"/>
        <v/>
      </c>
      <c r="B69" s="79"/>
      <c r="C69" s="21" t="str">
        <f>IF(B69="","",IFERROR(VLOOKUP(B69,DB_Customers!$A:$D,4,0),"❌ Account Not Found"))</f>
        <v/>
      </c>
      <c r="D69" s="81" t="str">
        <f t="shared" ca="1" si="5"/>
        <v/>
      </c>
      <c r="E69" s="104"/>
      <c r="F69" s="21"/>
      <c r="G69" s="110"/>
      <c r="H69" s="111"/>
      <c r="I69" s="107" t="str">
        <f t="shared" si="6"/>
        <v/>
      </c>
      <c r="J69" s="112" t="str">
        <f t="shared" si="7"/>
        <v/>
      </c>
      <c r="K69" s="113" t="str">
        <f>IF(B69="","Pending",IF(M69="","⚠️ Enter Code",IF(IFERROR(VLOOKUP(L69,DB_Agents!$B:$I,8,0),"")=M69,"Pending","🔒 BLOCKED — Wrong Code")))</f>
        <v>Pending</v>
      </c>
      <c r="L69" s="23"/>
      <c r="M69" s="84"/>
      <c r="N69" s="87"/>
    </row>
    <row r="70" spans="1:14" x14ac:dyDescent="0.25">
      <c r="A70" s="92" t="str">
        <f t="shared" si="4"/>
        <v/>
      </c>
      <c r="B70" s="88"/>
      <c r="C70" s="25" t="str">
        <f>IF(B70="","",IFERROR(VLOOKUP(B70,DB_Customers!$A:$D,4,0),"❌ Account Not Found"))</f>
        <v/>
      </c>
      <c r="D70" s="90" t="str">
        <f t="shared" ca="1" si="5"/>
        <v/>
      </c>
      <c r="E70" s="104"/>
      <c r="F70" s="25"/>
      <c r="G70" s="105"/>
      <c r="H70" s="106"/>
      <c r="I70" s="107" t="str">
        <f t="shared" si="6"/>
        <v/>
      </c>
      <c r="J70" s="108" t="str">
        <f t="shared" si="7"/>
        <v/>
      </c>
      <c r="K70" s="109" t="str">
        <f>IF(B70="","Pending",IF(M70="","⚠️ Enter Code",IF(IFERROR(VLOOKUP(L70,DB_Agents!$B:$I,8,0),"")=M70,"Pending","🔒 BLOCKED — Wrong Code")))</f>
        <v>Pending</v>
      </c>
      <c r="L70" s="27"/>
      <c r="M70" s="84"/>
      <c r="N70" s="94"/>
    </row>
    <row r="71" spans="1:14" x14ac:dyDescent="0.25">
      <c r="A71" s="85" t="str">
        <f t="shared" si="4"/>
        <v/>
      </c>
      <c r="B71" s="79"/>
      <c r="C71" s="21" t="str">
        <f>IF(B71="","",IFERROR(VLOOKUP(B71,DB_Customers!$A:$D,4,0),"❌ Account Not Found"))</f>
        <v/>
      </c>
      <c r="D71" s="81" t="str">
        <f t="shared" ca="1" si="5"/>
        <v/>
      </c>
      <c r="E71" s="104"/>
      <c r="F71" s="21"/>
      <c r="G71" s="110"/>
      <c r="H71" s="111"/>
      <c r="I71" s="107" t="str">
        <f t="shared" si="6"/>
        <v/>
      </c>
      <c r="J71" s="112" t="str">
        <f t="shared" si="7"/>
        <v/>
      </c>
      <c r="K71" s="113" t="str">
        <f>IF(B71="","Pending",IF(M71="","⚠️ Enter Code",IF(IFERROR(VLOOKUP(L71,DB_Agents!$B:$I,8,0),"")=M71,"Pending","🔒 BLOCKED — Wrong Code")))</f>
        <v>Pending</v>
      </c>
      <c r="L71" s="23"/>
      <c r="M71" s="84"/>
      <c r="N71" s="87"/>
    </row>
    <row r="72" spans="1:14" x14ac:dyDescent="0.25">
      <c r="A72" s="92" t="str">
        <f t="shared" si="4"/>
        <v/>
      </c>
      <c r="B72" s="88"/>
      <c r="C72" s="25" t="str">
        <f>IF(B72="","",IFERROR(VLOOKUP(B72,DB_Customers!$A:$D,4,0),"❌ Account Not Found"))</f>
        <v/>
      </c>
      <c r="D72" s="90" t="str">
        <f t="shared" ca="1" si="5"/>
        <v/>
      </c>
      <c r="E72" s="104"/>
      <c r="F72" s="25"/>
      <c r="G72" s="105"/>
      <c r="H72" s="106"/>
      <c r="I72" s="107" t="str">
        <f t="shared" si="6"/>
        <v/>
      </c>
      <c r="J72" s="108" t="str">
        <f t="shared" si="7"/>
        <v/>
      </c>
      <c r="K72" s="109" t="str">
        <f>IF(B72="","Pending",IF(M72="","⚠️ Enter Code",IF(IFERROR(VLOOKUP(L72,DB_Agents!$B:$I,8,0),"")=M72,"Pending","🔒 BLOCKED — Wrong Code")))</f>
        <v>Pending</v>
      </c>
      <c r="L72" s="27"/>
      <c r="M72" s="84"/>
      <c r="N72" s="94"/>
    </row>
    <row r="73" spans="1:14" x14ac:dyDescent="0.25">
      <c r="A73" s="85" t="str">
        <f t="shared" si="4"/>
        <v/>
      </c>
      <c r="B73" s="79"/>
      <c r="C73" s="21" t="str">
        <f>IF(B73="","",IFERROR(VLOOKUP(B73,DB_Customers!$A:$D,4,0),"❌ Account Not Found"))</f>
        <v/>
      </c>
      <c r="D73" s="81" t="str">
        <f t="shared" ca="1" si="5"/>
        <v/>
      </c>
      <c r="E73" s="104"/>
      <c r="F73" s="21"/>
      <c r="G73" s="110"/>
      <c r="H73" s="111"/>
      <c r="I73" s="107" t="str">
        <f t="shared" si="6"/>
        <v/>
      </c>
      <c r="J73" s="112" t="str">
        <f t="shared" si="7"/>
        <v/>
      </c>
      <c r="K73" s="113" t="str">
        <f>IF(B73="","Pending",IF(M73="","⚠️ Enter Code",IF(IFERROR(VLOOKUP(L73,DB_Agents!$B:$I,8,0),"")=M73,"Pending","🔒 BLOCKED — Wrong Code")))</f>
        <v>Pending</v>
      </c>
      <c r="L73" s="23"/>
      <c r="M73" s="84"/>
      <c r="N73" s="87"/>
    </row>
    <row r="74" spans="1:14" x14ac:dyDescent="0.25">
      <c r="A74" s="92" t="str">
        <f t="shared" si="4"/>
        <v/>
      </c>
      <c r="B74" s="88"/>
      <c r="C74" s="25" t="str">
        <f>IF(B74="","",IFERROR(VLOOKUP(B74,DB_Customers!$A:$D,4,0),"❌ Account Not Found"))</f>
        <v/>
      </c>
      <c r="D74" s="90" t="str">
        <f t="shared" ca="1" si="5"/>
        <v/>
      </c>
      <c r="E74" s="104"/>
      <c r="F74" s="25"/>
      <c r="G74" s="105"/>
      <c r="H74" s="106"/>
      <c r="I74" s="107" t="str">
        <f t="shared" si="6"/>
        <v/>
      </c>
      <c r="J74" s="108" t="str">
        <f t="shared" si="7"/>
        <v/>
      </c>
      <c r="K74" s="109" t="str">
        <f>IF(B74="","Pending",IF(M74="","⚠️ Enter Code",IF(IFERROR(VLOOKUP(L74,DB_Agents!$B:$I,8,0),"")=M74,"Pending","🔒 BLOCKED — Wrong Code")))</f>
        <v>Pending</v>
      </c>
      <c r="L74" s="27"/>
      <c r="M74" s="84"/>
      <c r="N74" s="94"/>
    </row>
    <row r="75" spans="1:14" x14ac:dyDescent="0.25">
      <c r="A75" s="85" t="str">
        <f t="shared" si="4"/>
        <v/>
      </c>
      <c r="B75" s="79"/>
      <c r="C75" s="21" t="str">
        <f>IF(B75="","",IFERROR(VLOOKUP(B75,DB_Customers!$A:$D,4,0),"❌ Account Not Found"))</f>
        <v/>
      </c>
      <c r="D75" s="81" t="str">
        <f t="shared" ca="1" si="5"/>
        <v/>
      </c>
      <c r="E75" s="104"/>
      <c r="F75" s="21"/>
      <c r="G75" s="110"/>
      <c r="H75" s="111"/>
      <c r="I75" s="107" t="str">
        <f t="shared" si="6"/>
        <v/>
      </c>
      <c r="J75" s="112" t="str">
        <f t="shared" si="7"/>
        <v/>
      </c>
      <c r="K75" s="113" t="str">
        <f>IF(B75="","Pending",IF(M75="","⚠️ Enter Code",IF(IFERROR(VLOOKUP(L75,DB_Agents!$B:$I,8,0),"")=M75,"Pending","🔒 BLOCKED — Wrong Code")))</f>
        <v>Pending</v>
      </c>
      <c r="L75" s="23"/>
      <c r="M75" s="84"/>
      <c r="N75" s="87"/>
    </row>
    <row r="76" spans="1:14" x14ac:dyDescent="0.25">
      <c r="A76" s="92" t="str">
        <f t="shared" si="4"/>
        <v/>
      </c>
      <c r="B76" s="88"/>
      <c r="C76" s="25" t="str">
        <f>IF(B76="","",IFERROR(VLOOKUP(B76,DB_Customers!$A:$D,4,0),"❌ Account Not Found"))</f>
        <v/>
      </c>
      <c r="D76" s="90" t="str">
        <f t="shared" ca="1" si="5"/>
        <v/>
      </c>
      <c r="E76" s="104"/>
      <c r="F76" s="25"/>
      <c r="G76" s="105"/>
      <c r="H76" s="106"/>
      <c r="I76" s="107" t="str">
        <f t="shared" si="6"/>
        <v/>
      </c>
      <c r="J76" s="108" t="str">
        <f t="shared" si="7"/>
        <v/>
      </c>
      <c r="K76" s="109" t="str">
        <f>IF(B76="","Pending",IF(M76="","⚠️ Enter Code",IF(IFERROR(VLOOKUP(L76,DB_Agents!$B:$I,8,0),"")=M76,"Pending","🔒 BLOCKED — Wrong Code")))</f>
        <v>Pending</v>
      </c>
      <c r="L76" s="27"/>
      <c r="M76" s="84"/>
      <c r="N76" s="94"/>
    </row>
    <row r="77" spans="1:14" x14ac:dyDescent="0.25">
      <c r="A77" s="85" t="str">
        <f t="shared" si="4"/>
        <v/>
      </c>
      <c r="B77" s="79"/>
      <c r="C77" s="21" t="str">
        <f>IF(B77="","",IFERROR(VLOOKUP(B77,DB_Customers!$A:$D,4,0),"❌ Account Not Found"))</f>
        <v/>
      </c>
      <c r="D77" s="81" t="str">
        <f t="shared" ca="1" si="5"/>
        <v/>
      </c>
      <c r="E77" s="104"/>
      <c r="F77" s="21"/>
      <c r="G77" s="110"/>
      <c r="H77" s="111"/>
      <c r="I77" s="107" t="str">
        <f t="shared" si="6"/>
        <v/>
      </c>
      <c r="J77" s="112" t="str">
        <f t="shared" si="7"/>
        <v/>
      </c>
      <c r="K77" s="113" t="str">
        <f>IF(B77="","Pending",IF(M77="","⚠️ Enter Code",IF(IFERROR(VLOOKUP(L77,DB_Agents!$B:$I,8,0),"")=M77,"Pending","🔒 BLOCKED — Wrong Code")))</f>
        <v>Pending</v>
      </c>
      <c r="L77" s="23"/>
      <c r="M77" s="84"/>
      <c r="N77" s="87"/>
    </row>
    <row r="78" spans="1:14" x14ac:dyDescent="0.25">
      <c r="A78" s="92" t="str">
        <f t="shared" ref="A78:A109" si="8">IF(B78="","",IF(C78="❌ Account Not Found","INVALID","LN"&amp;TEXT(D78,"YYYYMMDD")&amp;TEXT(ROW()-13,"0000")))</f>
        <v/>
      </c>
      <c r="B78" s="88"/>
      <c r="C78" s="25" t="str">
        <f>IF(B78="","",IFERROR(VLOOKUP(B78,DB_Customers!$A:$D,4,0),"❌ Account Not Found"))</f>
        <v/>
      </c>
      <c r="D78" s="90" t="str">
        <f t="shared" ref="D78:D113" ca="1" si="9">IF(B78="","",TODAY())</f>
        <v/>
      </c>
      <c r="E78" s="104"/>
      <c r="F78" s="25"/>
      <c r="G78" s="105"/>
      <c r="H78" s="106"/>
      <c r="I78" s="107" t="str">
        <f t="shared" ref="I78:I109" si="10">IF(E78="","",E78+(E78*H78/100*G78))</f>
        <v/>
      </c>
      <c r="J78" s="108" t="str">
        <f t="shared" ref="J78:J109" si="11">IFERROR(I78/G78,"")</f>
        <v/>
      </c>
      <c r="K78" s="109" t="str">
        <f>IF(B78="","Pending",IF(M78="","⚠️ Enter Code",IF(IFERROR(VLOOKUP(L78,DB_Agents!$B:$I,8,0),"")=M78,"Pending","🔒 BLOCKED — Wrong Code")))</f>
        <v>Pending</v>
      </c>
      <c r="L78" s="27"/>
      <c r="M78" s="84"/>
      <c r="N78" s="94"/>
    </row>
    <row r="79" spans="1:14" x14ac:dyDescent="0.25">
      <c r="A79" s="85" t="str">
        <f t="shared" si="8"/>
        <v/>
      </c>
      <c r="B79" s="79"/>
      <c r="C79" s="21" t="str">
        <f>IF(B79="","",IFERROR(VLOOKUP(B79,DB_Customers!$A:$D,4,0),"❌ Account Not Found"))</f>
        <v/>
      </c>
      <c r="D79" s="81" t="str">
        <f t="shared" ca="1" si="9"/>
        <v/>
      </c>
      <c r="E79" s="104"/>
      <c r="F79" s="21"/>
      <c r="G79" s="110"/>
      <c r="H79" s="111"/>
      <c r="I79" s="107" t="str">
        <f t="shared" si="10"/>
        <v/>
      </c>
      <c r="J79" s="112" t="str">
        <f t="shared" si="11"/>
        <v/>
      </c>
      <c r="K79" s="113" t="str">
        <f>IF(B79="","Pending",IF(M79="","⚠️ Enter Code",IF(IFERROR(VLOOKUP(L79,DB_Agents!$B:$I,8,0),"")=M79,"Pending","🔒 BLOCKED — Wrong Code")))</f>
        <v>Pending</v>
      </c>
      <c r="L79" s="23"/>
      <c r="M79" s="84"/>
      <c r="N79" s="87"/>
    </row>
    <row r="80" spans="1:14" x14ac:dyDescent="0.25">
      <c r="A80" s="92" t="str">
        <f t="shared" si="8"/>
        <v/>
      </c>
      <c r="B80" s="88"/>
      <c r="C80" s="25" t="str">
        <f>IF(B80="","",IFERROR(VLOOKUP(B80,DB_Customers!$A:$D,4,0),"❌ Account Not Found"))</f>
        <v/>
      </c>
      <c r="D80" s="90" t="str">
        <f t="shared" ca="1" si="9"/>
        <v/>
      </c>
      <c r="E80" s="104"/>
      <c r="F80" s="25"/>
      <c r="G80" s="105"/>
      <c r="H80" s="106"/>
      <c r="I80" s="107" t="str">
        <f t="shared" si="10"/>
        <v/>
      </c>
      <c r="J80" s="108" t="str">
        <f t="shared" si="11"/>
        <v/>
      </c>
      <c r="K80" s="109" t="str">
        <f>IF(B80="","Pending",IF(M80="","⚠️ Enter Code",IF(IFERROR(VLOOKUP(L80,DB_Agents!$B:$I,8,0),"")=M80,"Pending","🔒 BLOCKED — Wrong Code")))</f>
        <v>Pending</v>
      </c>
      <c r="L80" s="27"/>
      <c r="M80" s="84"/>
      <c r="N80" s="94"/>
    </row>
    <row r="81" spans="1:14" x14ac:dyDescent="0.25">
      <c r="A81" s="85" t="str">
        <f t="shared" si="8"/>
        <v/>
      </c>
      <c r="B81" s="79"/>
      <c r="C81" s="21" t="str">
        <f>IF(B81="","",IFERROR(VLOOKUP(B81,DB_Customers!$A:$D,4,0),"❌ Account Not Found"))</f>
        <v/>
      </c>
      <c r="D81" s="81" t="str">
        <f t="shared" ca="1" si="9"/>
        <v/>
      </c>
      <c r="E81" s="104"/>
      <c r="F81" s="21"/>
      <c r="G81" s="110"/>
      <c r="H81" s="111"/>
      <c r="I81" s="107" t="str">
        <f t="shared" si="10"/>
        <v/>
      </c>
      <c r="J81" s="112" t="str">
        <f t="shared" si="11"/>
        <v/>
      </c>
      <c r="K81" s="113" t="str">
        <f>IF(B81="","Pending",IF(M81="","⚠️ Enter Code",IF(IFERROR(VLOOKUP(L81,DB_Agents!$B:$I,8,0),"")=M81,"Pending","🔒 BLOCKED — Wrong Code")))</f>
        <v>Pending</v>
      </c>
      <c r="L81" s="23"/>
      <c r="M81" s="84"/>
      <c r="N81" s="87"/>
    </row>
    <row r="82" spans="1:14" x14ac:dyDescent="0.25">
      <c r="A82" s="92" t="str">
        <f t="shared" si="8"/>
        <v/>
      </c>
      <c r="B82" s="88"/>
      <c r="C82" s="25" t="str">
        <f>IF(B82="","",IFERROR(VLOOKUP(B82,DB_Customers!$A:$D,4,0),"❌ Account Not Found"))</f>
        <v/>
      </c>
      <c r="D82" s="90" t="str">
        <f t="shared" ca="1" si="9"/>
        <v/>
      </c>
      <c r="E82" s="104"/>
      <c r="F82" s="25"/>
      <c r="G82" s="105"/>
      <c r="H82" s="106"/>
      <c r="I82" s="107" t="str">
        <f t="shared" si="10"/>
        <v/>
      </c>
      <c r="J82" s="108" t="str">
        <f t="shared" si="11"/>
        <v/>
      </c>
      <c r="K82" s="109" t="str">
        <f>IF(B82="","Pending",IF(M82="","⚠️ Enter Code",IF(IFERROR(VLOOKUP(L82,DB_Agents!$B:$I,8,0),"")=M82,"Pending","🔒 BLOCKED — Wrong Code")))</f>
        <v>Pending</v>
      </c>
      <c r="L82" s="27"/>
      <c r="M82" s="84"/>
      <c r="N82" s="94"/>
    </row>
    <row r="83" spans="1:14" x14ac:dyDescent="0.25">
      <c r="A83" s="85" t="str">
        <f t="shared" si="8"/>
        <v/>
      </c>
      <c r="B83" s="79"/>
      <c r="C83" s="21" t="str">
        <f>IF(B83="","",IFERROR(VLOOKUP(B83,DB_Customers!$A:$D,4,0),"❌ Account Not Found"))</f>
        <v/>
      </c>
      <c r="D83" s="81" t="str">
        <f t="shared" ca="1" si="9"/>
        <v/>
      </c>
      <c r="E83" s="104"/>
      <c r="F83" s="21"/>
      <c r="G83" s="110"/>
      <c r="H83" s="111"/>
      <c r="I83" s="107" t="str">
        <f t="shared" si="10"/>
        <v/>
      </c>
      <c r="J83" s="112" t="str">
        <f t="shared" si="11"/>
        <v/>
      </c>
      <c r="K83" s="113" t="str">
        <f>IF(B83="","Pending",IF(M83="","⚠️ Enter Code",IF(IFERROR(VLOOKUP(L83,DB_Agents!$B:$I,8,0),"")=M83,"Pending","🔒 BLOCKED — Wrong Code")))</f>
        <v>Pending</v>
      </c>
      <c r="L83" s="23"/>
      <c r="M83" s="84"/>
      <c r="N83" s="87"/>
    </row>
    <row r="84" spans="1:14" x14ac:dyDescent="0.25">
      <c r="A84" s="92" t="str">
        <f t="shared" si="8"/>
        <v/>
      </c>
      <c r="B84" s="88"/>
      <c r="C84" s="25" t="str">
        <f>IF(B84="","",IFERROR(VLOOKUP(B84,DB_Customers!$A:$D,4,0),"❌ Account Not Found"))</f>
        <v/>
      </c>
      <c r="D84" s="90" t="str">
        <f t="shared" ca="1" si="9"/>
        <v/>
      </c>
      <c r="E84" s="104"/>
      <c r="F84" s="25"/>
      <c r="G84" s="105"/>
      <c r="H84" s="106"/>
      <c r="I84" s="107" t="str">
        <f t="shared" si="10"/>
        <v/>
      </c>
      <c r="J84" s="108" t="str">
        <f t="shared" si="11"/>
        <v/>
      </c>
      <c r="K84" s="109" t="str">
        <f>IF(B84="","Pending",IF(M84="","⚠️ Enter Code",IF(IFERROR(VLOOKUP(L84,DB_Agents!$B:$I,8,0),"")=M84,"Pending","🔒 BLOCKED — Wrong Code")))</f>
        <v>Pending</v>
      </c>
      <c r="L84" s="27"/>
      <c r="M84" s="84"/>
      <c r="N84" s="94"/>
    </row>
    <row r="85" spans="1:14" x14ac:dyDescent="0.25">
      <c r="A85" s="85" t="str">
        <f t="shared" si="8"/>
        <v/>
      </c>
      <c r="B85" s="79"/>
      <c r="C85" s="21" t="str">
        <f>IF(B85="","",IFERROR(VLOOKUP(B85,DB_Customers!$A:$D,4,0),"❌ Account Not Found"))</f>
        <v/>
      </c>
      <c r="D85" s="81" t="str">
        <f t="shared" ca="1" si="9"/>
        <v/>
      </c>
      <c r="E85" s="104"/>
      <c r="F85" s="21"/>
      <c r="G85" s="110"/>
      <c r="H85" s="111"/>
      <c r="I85" s="107" t="str">
        <f t="shared" si="10"/>
        <v/>
      </c>
      <c r="J85" s="112" t="str">
        <f t="shared" si="11"/>
        <v/>
      </c>
      <c r="K85" s="113" t="str">
        <f>IF(B85="","Pending",IF(M85="","⚠️ Enter Code",IF(IFERROR(VLOOKUP(L85,DB_Agents!$B:$I,8,0),"")=M85,"Pending","🔒 BLOCKED — Wrong Code")))</f>
        <v>Pending</v>
      </c>
      <c r="L85" s="23"/>
      <c r="M85" s="84"/>
      <c r="N85" s="87"/>
    </row>
    <row r="86" spans="1:14" x14ac:dyDescent="0.25">
      <c r="A86" s="92" t="str">
        <f t="shared" si="8"/>
        <v/>
      </c>
      <c r="B86" s="88"/>
      <c r="C86" s="25" t="str">
        <f>IF(B86="","",IFERROR(VLOOKUP(B86,DB_Customers!$A:$D,4,0),"❌ Account Not Found"))</f>
        <v/>
      </c>
      <c r="D86" s="90" t="str">
        <f t="shared" ca="1" si="9"/>
        <v/>
      </c>
      <c r="E86" s="104"/>
      <c r="F86" s="25"/>
      <c r="G86" s="105"/>
      <c r="H86" s="106"/>
      <c r="I86" s="107" t="str">
        <f t="shared" si="10"/>
        <v/>
      </c>
      <c r="J86" s="108" t="str">
        <f t="shared" si="11"/>
        <v/>
      </c>
      <c r="K86" s="109" t="str">
        <f>IF(B86="","Pending",IF(M86="","⚠️ Enter Code",IF(IFERROR(VLOOKUP(L86,DB_Agents!$B:$I,8,0),"")=M86,"Pending","🔒 BLOCKED — Wrong Code")))</f>
        <v>Pending</v>
      </c>
      <c r="L86" s="27"/>
      <c r="M86" s="84"/>
      <c r="N86" s="94"/>
    </row>
    <row r="87" spans="1:14" x14ac:dyDescent="0.25">
      <c r="A87" s="85" t="str">
        <f t="shared" si="8"/>
        <v/>
      </c>
      <c r="B87" s="79"/>
      <c r="C87" s="21" t="str">
        <f>IF(B87="","",IFERROR(VLOOKUP(B87,DB_Customers!$A:$D,4,0),"❌ Account Not Found"))</f>
        <v/>
      </c>
      <c r="D87" s="81" t="str">
        <f t="shared" ca="1" si="9"/>
        <v/>
      </c>
      <c r="E87" s="104"/>
      <c r="F87" s="21"/>
      <c r="G87" s="110"/>
      <c r="H87" s="111"/>
      <c r="I87" s="107" t="str">
        <f t="shared" si="10"/>
        <v/>
      </c>
      <c r="J87" s="112" t="str">
        <f t="shared" si="11"/>
        <v/>
      </c>
      <c r="K87" s="113" t="str">
        <f>IF(B87="","Pending",IF(M87="","⚠️ Enter Code",IF(IFERROR(VLOOKUP(L87,DB_Agents!$B:$I,8,0),"")=M87,"Pending","🔒 BLOCKED — Wrong Code")))</f>
        <v>Pending</v>
      </c>
      <c r="L87" s="23"/>
      <c r="M87" s="84"/>
      <c r="N87" s="87"/>
    </row>
    <row r="88" spans="1:14" x14ac:dyDescent="0.25">
      <c r="A88" s="92" t="str">
        <f t="shared" si="8"/>
        <v/>
      </c>
      <c r="B88" s="88"/>
      <c r="C88" s="25" t="str">
        <f>IF(B88="","",IFERROR(VLOOKUP(B88,DB_Customers!$A:$D,4,0),"❌ Account Not Found"))</f>
        <v/>
      </c>
      <c r="D88" s="90" t="str">
        <f t="shared" ca="1" si="9"/>
        <v/>
      </c>
      <c r="E88" s="104"/>
      <c r="F88" s="25"/>
      <c r="G88" s="105"/>
      <c r="H88" s="106"/>
      <c r="I88" s="107" t="str">
        <f t="shared" si="10"/>
        <v/>
      </c>
      <c r="J88" s="108" t="str">
        <f t="shared" si="11"/>
        <v/>
      </c>
      <c r="K88" s="109" t="str">
        <f>IF(B88="","Pending",IF(M88="","⚠️ Enter Code",IF(IFERROR(VLOOKUP(L88,DB_Agents!$B:$I,8,0),"")=M88,"Pending","🔒 BLOCKED — Wrong Code")))</f>
        <v>Pending</v>
      </c>
      <c r="L88" s="27"/>
      <c r="M88" s="84"/>
      <c r="N88" s="94"/>
    </row>
    <row r="89" spans="1:14" x14ac:dyDescent="0.25">
      <c r="A89" s="85" t="str">
        <f t="shared" si="8"/>
        <v/>
      </c>
      <c r="B89" s="79"/>
      <c r="C89" s="21" t="str">
        <f>IF(B89="","",IFERROR(VLOOKUP(B89,DB_Customers!$A:$D,4,0),"❌ Account Not Found"))</f>
        <v/>
      </c>
      <c r="D89" s="81" t="str">
        <f t="shared" ca="1" si="9"/>
        <v/>
      </c>
      <c r="E89" s="104"/>
      <c r="F89" s="21"/>
      <c r="G89" s="110"/>
      <c r="H89" s="111"/>
      <c r="I89" s="107" t="str">
        <f t="shared" si="10"/>
        <v/>
      </c>
      <c r="J89" s="112" t="str">
        <f t="shared" si="11"/>
        <v/>
      </c>
      <c r="K89" s="113" t="str">
        <f>IF(B89="","Pending",IF(M89="","⚠️ Enter Code",IF(IFERROR(VLOOKUP(L89,DB_Agents!$B:$I,8,0),"")=M89,"Pending","🔒 BLOCKED — Wrong Code")))</f>
        <v>Pending</v>
      </c>
      <c r="L89" s="23"/>
      <c r="M89" s="84"/>
      <c r="N89" s="87"/>
    </row>
    <row r="90" spans="1:14" x14ac:dyDescent="0.25">
      <c r="A90" s="92" t="str">
        <f t="shared" si="8"/>
        <v/>
      </c>
      <c r="B90" s="88"/>
      <c r="C90" s="25" t="str">
        <f>IF(B90="","",IFERROR(VLOOKUP(B90,DB_Customers!$A:$D,4,0),"❌ Account Not Found"))</f>
        <v/>
      </c>
      <c r="D90" s="90" t="str">
        <f t="shared" ca="1" si="9"/>
        <v/>
      </c>
      <c r="E90" s="104"/>
      <c r="F90" s="25"/>
      <c r="G90" s="105"/>
      <c r="H90" s="106"/>
      <c r="I90" s="107" t="str">
        <f t="shared" si="10"/>
        <v/>
      </c>
      <c r="J90" s="108" t="str">
        <f t="shared" si="11"/>
        <v/>
      </c>
      <c r="K90" s="109" t="str">
        <f>IF(B90="","Pending",IF(M90="","⚠️ Enter Code",IF(IFERROR(VLOOKUP(L90,DB_Agents!$B:$I,8,0),"")=M90,"Pending","🔒 BLOCKED — Wrong Code")))</f>
        <v>Pending</v>
      </c>
      <c r="L90" s="27"/>
      <c r="M90" s="84"/>
      <c r="N90" s="94"/>
    </row>
    <row r="91" spans="1:14" x14ac:dyDescent="0.25">
      <c r="A91" s="85" t="str">
        <f t="shared" si="8"/>
        <v/>
      </c>
      <c r="B91" s="79"/>
      <c r="C91" s="21" t="str">
        <f>IF(B91="","",IFERROR(VLOOKUP(B91,DB_Customers!$A:$D,4,0),"❌ Account Not Found"))</f>
        <v/>
      </c>
      <c r="D91" s="81" t="str">
        <f t="shared" ca="1" si="9"/>
        <v/>
      </c>
      <c r="E91" s="104"/>
      <c r="F91" s="21"/>
      <c r="G91" s="110"/>
      <c r="H91" s="111"/>
      <c r="I91" s="107" t="str">
        <f t="shared" si="10"/>
        <v/>
      </c>
      <c r="J91" s="112" t="str">
        <f t="shared" si="11"/>
        <v/>
      </c>
      <c r="K91" s="113" t="str">
        <f>IF(B91="","Pending",IF(M91="","⚠️ Enter Code",IF(IFERROR(VLOOKUP(L91,DB_Agents!$B:$I,8,0),"")=M91,"Pending","🔒 BLOCKED — Wrong Code")))</f>
        <v>Pending</v>
      </c>
      <c r="L91" s="23"/>
      <c r="M91" s="84"/>
      <c r="N91" s="87"/>
    </row>
    <row r="92" spans="1:14" x14ac:dyDescent="0.25">
      <c r="A92" s="92" t="str">
        <f t="shared" si="8"/>
        <v/>
      </c>
      <c r="B92" s="88"/>
      <c r="C92" s="25" t="str">
        <f>IF(B92="","",IFERROR(VLOOKUP(B92,DB_Customers!$A:$D,4,0),"❌ Account Not Found"))</f>
        <v/>
      </c>
      <c r="D92" s="90" t="str">
        <f t="shared" ca="1" si="9"/>
        <v/>
      </c>
      <c r="E92" s="104"/>
      <c r="F92" s="25"/>
      <c r="G92" s="105"/>
      <c r="H92" s="106"/>
      <c r="I92" s="107" t="str">
        <f t="shared" si="10"/>
        <v/>
      </c>
      <c r="J92" s="108" t="str">
        <f t="shared" si="11"/>
        <v/>
      </c>
      <c r="K92" s="109" t="str">
        <f>IF(B92="","Pending",IF(M92="","⚠️ Enter Code",IF(IFERROR(VLOOKUP(L92,DB_Agents!$B:$I,8,0),"")=M92,"Pending","🔒 BLOCKED — Wrong Code")))</f>
        <v>Pending</v>
      </c>
      <c r="L92" s="27"/>
      <c r="M92" s="84"/>
      <c r="N92" s="94"/>
    </row>
    <row r="93" spans="1:14" x14ac:dyDescent="0.25">
      <c r="A93" s="85" t="str">
        <f t="shared" si="8"/>
        <v/>
      </c>
      <c r="B93" s="79"/>
      <c r="C93" s="21" t="str">
        <f>IF(B93="","",IFERROR(VLOOKUP(B93,DB_Customers!$A:$D,4,0),"❌ Account Not Found"))</f>
        <v/>
      </c>
      <c r="D93" s="81" t="str">
        <f t="shared" ca="1" si="9"/>
        <v/>
      </c>
      <c r="E93" s="104"/>
      <c r="F93" s="21"/>
      <c r="G93" s="110"/>
      <c r="H93" s="111"/>
      <c r="I93" s="107" t="str">
        <f t="shared" si="10"/>
        <v/>
      </c>
      <c r="J93" s="112" t="str">
        <f t="shared" si="11"/>
        <v/>
      </c>
      <c r="K93" s="113" t="str">
        <f>IF(B93="","Pending",IF(M93="","⚠️ Enter Code",IF(IFERROR(VLOOKUP(L93,DB_Agents!$B:$I,8,0),"")=M93,"Pending","🔒 BLOCKED — Wrong Code")))</f>
        <v>Pending</v>
      </c>
      <c r="L93" s="23"/>
      <c r="M93" s="84"/>
      <c r="N93" s="87"/>
    </row>
    <row r="94" spans="1:14" x14ac:dyDescent="0.25">
      <c r="A94" s="92" t="str">
        <f t="shared" si="8"/>
        <v/>
      </c>
      <c r="B94" s="88"/>
      <c r="C94" s="25" t="str">
        <f>IF(B94="","",IFERROR(VLOOKUP(B94,DB_Customers!$A:$D,4,0),"❌ Account Not Found"))</f>
        <v/>
      </c>
      <c r="D94" s="90" t="str">
        <f t="shared" ca="1" si="9"/>
        <v/>
      </c>
      <c r="E94" s="104"/>
      <c r="F94" s="25"/>
      <c r="G94" s="105"/>
      <c r="H94" s="106"/>
      <c r="I94" s="107" t="str">
        <f t="shared" si="10"/>
        <v/>
      </c>
      <c r="J94" s="108" t="str">
        <f t="shared" si="11"/>
        <v/>
      </c>
      <c r="K94" s="109" t="str">
        <f>IF(B94="","Pending",IF(M94="","⚠️ Enter Code",IF(IFERROR(VLOOKUP(L94,DB_Agents!$B:$I,8,0),"")=M94,"Pending","🔒 BLOCKED — Wrong Code")))</f>
        <v>Pending</v>
      </c>
      <c r="L94" s="27"/>
      <c r="M94" s="84"/>
      <c r="N94" s="94"/>
    </row>
    <row r="95" spans="1:14" x14ac:dyDescent="0.25">
      <c r="A95" s="85" t="str">
        <f t="shared" si="8"/>
        <v/>
      </c>
      <c r="B95" s="79"/>
      <c r="C95" s="21" t="str">
        <f>IF(B95="","",IFERROR(VLOOKUP(B95,DB_Customers!$A:$D,4,0),"❌ Account Not Found"))</f>
        <v/>
      </c>
      <c r="D95" s="81" t="str">
        <f t="shared" ca="1" si="9"/>
        <v/>
      </c>
      <c r="E95" s="104"/>
      <c r="F95" s="21"/>
      <c r="G95" s="110"/>
      <c r="H95" s="111"/>
      <c r="I95" s="107" t="str">
        <f t="shared" si="10"/>
        <v/>
      </c>
      <c r="J95" s="112" t="str">
        <f t="shared" si="11"/>
        <v/>
      </c>
      <c r="K95" s="113" t="str">
        <f>IF(B95="","Pending",IF(M95="","⚠️ Enter Code",IF(IFERROR(VLOOKUP(L95,DB_Agents!$B:$I,8,0),"")=M95,"Pending","🔒 BLOCKED — Wrong Code")))</f>
        <v>Pending</v>
      </c>
      <c r="L95" s="23"/>
      <c r="M95" s="84"/>
      <c r="N95" s="87"/>
    </row>
    <row r="96" spans="1:14" x14ac:dyDescent="0.25">
      <c r="A96" s="92" t="str">
        <f t="shared" si="8"/>
        <v/>
      </c>
      <c r="B96" s="88"/>
      <c r="C96" s="25" t="str">
        <f>IF(B96="","",IFERROR(VLOOKUP(B96,DB_Customers!$A:$D,4,0),"❌ Account Not Found"))</f>
        <v/>
      </c>
      <c r="D96" s="90" t="str">
        <f t="shared" ca="1" si="9"/>
        <v/>
      </c>
      <c r="E96" s="104"/>
      <c r="F96" s="25"/>
      <c r="G96" s="105"/>
      <c r="H96" s="106"/>
      <c r="I96" s="107" t="str">
        <f t="shared" si="10"/>
        <v/>
      </c>
      <c r="J96" s="108" t="str">
        <f t="shared" si="11"/>
        <v/>
      </c>
      <c r="K96" s="109" t="str">
        <f>IF(B96="","Pending",IF(M96="","⚠️ Enter Code",IF(IFERROR(VLOOKUP(L96,DB_Agents!$B:$I,8,0),"")=M96,"Pending","🔒 BLOCKED — Wrong Code")))</f>
        <v>Pending</v>
      </c>
      <c r="L96" s="27"/>
      <c r="M96" s="84"/>
      <c r="N96" s="94"/>
    </row>
    <row r="97" spans="1:14" x14ac:dyDescent="0.25">
      <c r="A97" s="85" t="str">
        <f t="shared" si="8"/>
        <v/>
      </c>
      <c r="B97" s="79"/>
      <c r="C97" s="21" t="str">
        <f>IF(B97="","",IFERROR(VLOOKUP(B97,DB_Customers!$A:$D,4,0),"❌ Account Not Found"))</f>
        <v/>
      </c>
      <c r="D97" s="81" t="str">
        <f t="shared" ca="1" si="9"/>
        <v/>
      </c>
      <c r="E97" s="104"/>
      <c r="F97" s="21"/>
      <c r="G97" s="110"/>
      <c r="H97" s="111"/>
      <c r="I97" s="107" t="str">
        <f t="shared" si="10"/>
        <v/>
      </c>
      <c r="J97" s="112" t="str">
        <f t="shared" si="11"/>
        <v/>
      </c>
      <c r="K97" s="113" t="str">
        <f>IF(B97="","Pending",IF(M97="","⚠️ Enter Code",IF(IFERROR(VLOOKUP(L97,DB_Agents!$B:$I,8,0),"")=M97,"Pending","🔒 BLOCKED — Wrong Code")))</f>
        <v>Pending</v>
      </c>
      <c r="L97" s="23"/>
      <c r="M97" s="84"/>
      <c r="N97" s="87"/>
    </row>
    <row r="98" spans="1:14" x14ac:dyDescent="0.25">
      <c r="A98" s="92" t="str">
        <f t="shared" si="8"/>
        <v/>
      </c>
      <c r="B98" s="88"/>
      <c r="C98" s="25" t="str">
        <f>IF(B98="","",IFERROR(VLOOKUP(B98,DB_Customers!$A:$D,4,0),"❌ Account Not Found"))</f>
        <v/>
      </c>
      <c r="D98" s="90" t="str">
        <f t="shared" ca="1" si="9"/>
        <v/>
      </c>
      <c r="E98" s="104"/>
      <c r="F98" s="25"/>
      <c r="G98" s="105"/>
      <c r="H98" s="106"/>
      <c r="I98" s="107" t="str">
        <f t="shared" si="10"/>
        <v/>
      </c>
      <c r="J98" s="108" t="str">
        <f t="shared" si="11"/>
        <v/>
      </c>
      <c r="K98" s="109" t="str">
        <f>IF(B98="","Pending",IF(M98="","⚠️ Enter Code",IF(IFERROR(VLOOKUP(L98,DB_Agents!$B:$I,8,0),"")=M98,"Pending","🔒 BLOCKED — Wrong Code")))</f>
        <v>Pending</v>
      </c>
      <c r="L98" s="27"/>
      <c r="M98" s="84"/>
      <c r="N98" s="94"/>
    </row>
    <row r="99" spans="1:14" x14ac:dyDescent="0.25">
      <c r="A99" s="85" t="str">
        <f t="shared" si="8"/>
        <v/>
      </c>
      <c r="B99" s="79"/>
      <c r="C99" s="21" t="str">
        <f>IF(B99="","",IFERROR(VLOOKUP(B99,DB_Customers!$A:$D,4,0),"❌ Account Not Found"))</f>
        <v/>
      </c>
      <c r="D99" s="81" t="str">
        <f t="shared" ca="1" si="9"/>
        <v/>
      </c>
      <c r="E99" s="104"/>
      <c r="F99" s="21"/>
      <c r="G99" s="110"/>
      <c r="H99" s="111"/>
      <c r="I99" s="107" t="str">
        <f t="shared" si="10"/>
        <v/>
      </c>
      <c r="J99" s="112" t="str">
        <f t="shared" si="11"/>
        <v/>
      </c>
      <c r="K99" s="113" t="str">
        <f>IF(B99="","Pending",IF(M99="","⚠️ Enter Code",IF(IFERROR(VLOOKUP(L99,DB_Agents!$B:$I,8,0),"")=M99,"Pending","🔒 BLOCKED — Wrong Code")))</f>
        <v>Pending</v>
      </c>
      <c r="L99" s="23"/>
      <c r="M99" s="84"/>
      <c r="N99" s="87"/>
    </row>
    <row r="100" spans="1:14" x14ac:dyDescent="0.25">
      <c r="A100" s="92" t="str">
        <f t="shared" si="8"/>
        <v/>
      </c>
      <c r="B100" s="88"/>
      <c r="C100" s="25" t="str">
        <f>IF(B100="","",IFERROR(VLOOKUP(B100,DB_Customers!$A:$D,4,0),"❌ Account Not Found"))</f>
        <v/>
      </c>
      <c r="D100" s="90" t="str">
        <f t="shared" ca="1" si="9"/>
        <v/>
      </c>
      <c r="E100" s="104"/>
      <c r="F100" s="25"/>
      <c r="G100" s="105"/>
      <c r="H100" s="106"/>
      <c r="I100" s="107" t="str">
        <f t="shared" si="10"/>
        <v/>
      </c>
      <c r="J100" s="108" t="str">
        <f t="shared" si="11"/>
        <v/>
      </c>
      <c r="K100" s="109" t="str">
        <f>IF(B100="","Pending",IF(M100="","⚠️ Enter Code",IF(IFERROR(VLOOKUP(L100,DB_Agents!$B:$I,8,0),"")=M100,"Pending","🔒 BLOCKED — Wrong Code")))</f>
        <v>Pending</v>
      </c>
      <c r="L100" s="27"/>
      <c r="M100" s="84"/>
      <c r="N100" s="94"/>
    </row>
    <row r="101" spans="1:14" x14ac:dyDescent="0.25">
      <c r="A101" s="85" t="str">
        <f t="shared" si="8"/>
        <v/>
      </c>
      <c r="B101" s="79"/>
      <c r="C101" s="21" t="str">
        <f>IF(B101="","",IFERROR(VLOOKUP(B101,DB_Customers!$A:$D,4,0),"❌ Account Not Found"))</f>
        <v/>
      </c>
      <c r="D101" s="81" t="str">
        <f t="shared" ca="1" si="9"/>
        <v/>
      </c>
      <c r="E101" s="104"/>
      <c r="F101" s="21"/>
      <c r="G101" s="110"/>
      <c r="H101" s="111"/>
      <c r="I101" s="107" t="str">
        <f t="shared" si="10"/>
        <v/>
      </c>
      <c r="J101" s="112" t="str">
        <f t="shared" si="11"/>
        <v/>
      </c>
      <c r="K101" s="113" t="str">
        <f>IF(B101="","Pending",IF(M101="","⚠️ Enter Code",IF(IFERROR(VLOOKUP(L101,DB_Agents!$B:$I,8,0),"")=M101,"Pending","🔒 BLOCKED — Wrong Code")))</f>
        <v>Pending</v>
      </c>
      <c r="L101" s="23"/>
      <c r="M101" s="84"/>
      <c r="N101" s="87"/>
    </row>
    <row r="102" spans="1:14" x14ac:dyDescent="0.25">
      <c r="A102" s="92" t="str">
        <f t="shared" si="8"/>
        <v/>
      </c>
      <c r="B102" s="88"/>
      <c r="C102" s="25" t="str">
        <f>IF(B102="","",IFERROR(VLOOKUP(B102,DB_Customers!$A:$D,4,0),"❌ Account Not Found"))</f>
        <v/>
      </c>
      <c r="D102" s="90" t="str">
        <f t="shared" ca="1" si="9"/>
        <v/>
      </c>
      <c r="E102" s="104"/>
      <c r="F102" s="25"/>
      <c r="G102" s="105"/>
      <c r="H102" s="106"/>
      <c r="I102" s="107" t="str">
        <f t="shared" si="10"/>
        <v/>
      </c>
      <c r="J102" s="108" t="str">
        <f t="shared" si="11"/>
        <v/>
      </c>
      <c r="K102" s="109" t="str">
        <f>IF(B102="","Pending",IF(M102="","⚠️ Enter Code",IF(IFERROR(VLOOKUP(L102,DB_Agents!$B:$I,8,0),"")=M102,"Pending","🔒 BLOCKED — Wrong Code")))</f>
        <v>Pending</v>
      </c>
      <c r="L102" s="27"/>
      <c r="M102" s="84"/>
      <c r="N102" s="94"/>
    </row>
    <row r="103" spans="1:14" x14ac:dyDescent="0.25">
      <c r="A103" s="85" t="str">
        <f t="shared" si="8"/>
        <v/>
      </c>
      <c r="B103" s="79"/>
      <c r="C103" s="21" t="str">
        <f>IF(B103="","",IFERROR(VLOOKUP(B103,DB_Customers!$A:$D,4,0),"❌ Account Not Found"))</f>
        <v/>
      </c>
      <c r="D103" s="81" t="str">
        <f t="shared" ca="1" si="9"/>
        <v/>
      </c>
      <c r="E103" s="104"/>
      <c r="F103" s="21"/>
      <c r="G103" s="110"/>
      <c r="H103" s="111"/>
      <c r="I103" s="107" t="str">
        <f t="shared" si="10"/>
        <v/>
      </c>
      <c r="J103" s="112" t="str">
        <f t="shared" si="11"/>
        <v/>
      </c>
      <c r="K103" s="113" t="str">
        <f>IF(B103="","Pending",IF(M103="","⚠️ Enter Code",IF(IFERROR(VLOOKUP(L103,DB_Agents!$B:$I,8,0),"")=M103,"Pending","🔒 BLOCKED — Wrong Code")))</f>
        <v>Pending</v>
      </c>
      <c r="L103" s="23"/>
      <c r="M103" s="84"/>
      <c r="N103" s="87"/>
    </row>
    <row r="104" spans="1:14" x14ac:dyDescent="0.25">
      <c r="A104" s="92" t="str">
        <f t="shared" si="8"/>
        <v/>
      </c>
      <c r="B104" s="88"/>
      <c r="C104" s="25" t="str">
        <f>IF(B104="","",IFERROR(VLOOKUP(B104,DB_Customers!$A:$D,4,0),"❌ Account Not Found"))</f>
        <v/>
      </c>
      <c r="D104" s="90" t="str">
        <f t="shared" ca="1" si="9"/>
        <v/>
      </c>
      <c r="E104" s="104"/>
      <c r="F104" s="25"/>
      <c r="G104" s="105"/>
      <c r="H104" s="106"/>
      <c r="I104" s="107" t="str">
        <f t="shared" si="10"/>
        <v/>
      </c>
      <c r="J104" s="108" t="str">
        <f t="shared" si="11"/>
        <v/>
      </c>
      <c r="K104" s="109" t="str">
        <f>IF(B104="","Pending",IF(M104="","⚠️ Enter Code",IF(IFERROR(VLOOKUP(L104,DB_Agents!$B:$I,8,0),"")=M104,"Pending","🔒 BLOCKED — Wrong Code")))</f>
        <v>Pending</v>
      </c>
      <c r="L104" s="27"/>
      <c r="M104" s="84"/>
      <c r="N104" s="94"/>
    </row>
    <row r="105" spans="1:14" x14ac:dyDescent="0.25">
      <c r="A105" s="85" t="str">
        <f t="shared" si="8"/>
        <v/>
      </c>
      <c r="B105" s="79"/>
      <c r="C105" s="21" t="str">
        <f>IF(B105="","",IFERROR(VLOOKUP(B105,DB_Customers!$A:$D,4,0),"❌ Account Not Found"))</f>
        <v/>
      </c>
      <c r="D105" s="81" t="str">
        <f t="shared" ca="1" si="9"/>
        <v/>
      </c>
      <c r="E105" s="104"/>
      <c r="F105" s="21"/>
      <c r="G105" s="110"/>
      <c r="H105" s="111"/>
      <c r="I105" s="107" t="str">
        <f t="shared" si="10"/>
        <v/>
      </c>
      <c r="J105" s="112" t="str">
        <f t="shared" si="11"/>
        <v/>
      </c>
      <c r="K105" s="113" t="str">
        <f>IF(B105="","Pending",IF(M105="","⚠️ Enter Code",IF(IFERROR(VLOOKUP(L105,DB_Agents!$B:$I,8,0),"")=M105,"Pending","🔒 BLOCKED — Wrong Code")))</f>
        <v>Pending</v>
      </c>
      <c r="L105" s="23"/>
      <c r="M105" s="84"/>
      <c r="N105" s="87"/>
    </row>
    <row r="106" spans="1:14" x14ac:dyDescent="0.25">
      <c r="A106" s="92" t="str">
        <f t="shared" si="8"/>
        <v/>
      </c>
      <c r="B106" s="88"/>
      <c r="C106" s="25" t="str">
        <f>IF(B106="","",IFERROR(VLOOKUP(B106,DB_Customers!$A:$D,4,0),"❌ Account Not Found"))</f>
        <v/>
      </c>
      <c r="D106" s="90" t="str">
        <f t="shared" ca="1" si="9"/>
        <v/>
      </c>
      <c r="E106" s="104"/>
      <c r="F106" s="25"/>
      <c r="G106" s="105"/>
      <c r="H106" s="106"/>
      <c r="I106" s="107" t="str">
        <f t="shared" si="10"/>
        <v/>
      </c>
      <c r="J106" s="108" t="str">
        <f t="shared" si="11"/>
        <v/>
      </c>
      <c r="K106" s="109" t="str">
        <f>IF(B106="","Pending",IF(M106="","⚠️ Enter Code",IF(IFERROR(VLOOKUP(L106,DB_Agents!$B:$I,8,0),"")=M106,"Pending","🔒 BLOCKED — Wrong Code")))</f>
        <v>Pending</v>
      </c>
      <c r="L106" s="27"/>
      <c r="M106" s="84"/>
      <c r="N106" s="94"/>
    </row>
    <row r="107" spans="1:14" x14ac:dyDescent="0.25">
      <c r="A107" s="85" t="str">
        <f t="shared" si="8"/>
        <v/>
      </c>
      <c r="B107" s="79"/>
      <c r="C107" s="21" t="str">
        <f>IF(B107="","",IFERROR(VLOOKUP(B107,DB_Customers!$A:$D,4,0),"❌ Account Not Found"))</f>
        <v/>
      </c>
      <c r="D107" s="81" t="str">
        <f t="shared" ca="1" si="9"/>
        <v/>
      </c>
      <c r="E107" s="104"/>
      <c r="F107" s="21"/>
      <c r="G107" s="110"/>
      <c r="H107" s="111"/>
      <c r="I107" s="107" t="str">
        <f t="shared" si="10"/>
        <v/>
      </c>
      <c r="J107" s="112" t="str">
        <f t="shared" si="11"/>
        <v/>
      </c>
      <c r="K107" s="113" t="str">
        <f>IF(B107="","Pending",IF(M107="","⚠️ Enter Code",IF(IFERROR(VLOOKUP(L107,DB_Agents!$B:$I,8,0),"")=M107,"Pending","🔒 BLOCKED — Wrong Code")))</f>
        <v>Pending</v>
      </c>
      <c r="L107" s="23"/>
      <c r="M107" s="84"/>
      <c r="N107" s="87"/>
    </row>
    <row r="108" spans="1:14" x14ac:dyDescent="0.25">
      <c r="A108" s="92" t="str">
        <f t="shared" si="8"/>
        <v/>
      </c>
      <c r="B108" s="88"/>
      <c r="C108" s="25" t="str">
        <f>IF(B108="","",IFERROR(VLOOKUP(B108,DB_Customers!$A:$D,4,0),"❌ Account Not Found"))</f>
        <v/>
      </c>
      <c r="D108" s="90" t="str">
        <f t="shared" ca="1" si="9"/>
        <v/>
      </c>
      <c r="E108" s="104"/>
      <c r="F108" s="25"/>
      <c r="G108" s="105"/>
      <c r="H108" s="106"/>
      <c r="I108" s="107" t="str">
        <f t="shared" si="10"/>
        <v/>
      </c>
      <c r="J108" s="108" t="str">
        <f t="shared" si="11"/>
        <v/>
      </c>
      <c r="K108" s="109" t="str">
        <f>IF(B108="","Pending",IF(M108="","⚠️ Enter Code",IF(IFERROR(VLOOKUP(L108,DB_Agents!$B:$I,8,0),"")=M108,"Pending","🔒 BLOCKED — Wrong Code")))</f>
        <v>Pending</v>
      </c>
      <c r="L108" s="27"/>
      <c r="M108" s="84"/>
      <c r="N108" s="94"/>
    </row>
    <row r="109" spans="1:14" x14ac:dyDescent="0.25">
      <c r="A109" s="85" t="str">
        <f t="shared" si="8"/>
        <v/>
      </c>
      <c r="B109" s="79"/>
      <c r="C109" s="21" t="str">
        <f>IF(B109="","",IFERROR(VLOOKUP(B109,DB_Customers!$A:$D,4,0),"❌ Account Not Found"))</f>
        <v/>
      </c>
      <c r="D109" s="81" t="str">
        <f t="shared" ca="1" si="9"/>
        <v/>
      </c>
      <c r="E109" s="104"/>
      <c r="F109" s="21"/>
      <c r="G109" s="110"/>
      <c r="H109" s="111"/>
      <c r="I109" s="107" t="str">
        <f t="shared" si="10"/>
        <v/>
      </c>
      <c r="J109" s="112" t="str">
        <f t="shared" si="11"/>
        <v/>
      </c>
      <c r="K109" s="113" t="str">
        <f>IF(B109="","Pending",IF(M109="","⚠️ Enter Code",IF(IFERROR(VLOOKUP(L109,DB_Agents!$B:$I,8,0),"")=M109,"Pending","🔒 BLOCKED — Wrong Code")))</f>
        <v>Pending</v>
      </c>
      <c r="L109" s="23"/>
      <c r="M109" s="84"/>
      <c r="N109" s="87"/>
    </row>
    <row r="110" spans="1:14" x14ac:dyDescent="0.25">
      <c r="A110" s="92" t="str">
        <f t="shared" ref="A110:A141" si="12">IF(B110="","",IF(C110="❌ Account Not Found","INVALID","LN"&amp;TEXT(D110,"YYYYMMDD")&amp;TEXT(ROW()-13,"0000")))</f>
        <v/>
      </c>
      <c r="B110" s="88"/>
      <c r="C110" s="25" t="str">
        <f>IF(B110="","",IFERROR(VLOOKUP(B110,DB_Customers!$A:$D,4,0),"❌ Account Not Found"))</f>
        <v/>
      </c>
      <c r="D110" s="90" t="str">
        <f t="shared" ca="1" si="9"/>
        <v/>
      </c>
      <c r="E110" s="104"/>
      <c r="F110" s="25"/>
      <c r="G110" s="105"/>
      <c r="H110" s="106"/>
      <c r="I110" s="107" t="str">
        <f t="shared" ref="I110:I141" si="13">IF(E110="","",E110+(E110*H110/100*G110))</f>
        <v/>
      </c>
      <c r="J110" s="108" t="str">
        <f t="shared" ref="J110:J141" si="14">IFERROR(I110/G110,"")</f>
        <v/>
      </c>
      <c r="K110" s="109" t="str">
        <f>IF(B110="","Pending",IF(M110="","⚠️ Enter Code",IF(IFERROR(VLOOKUP(L110,DB_Agents!$B:$I,8,0),"")=M110,"Pending","🔒 BLOCKED — Wrong Code")))</f>
        <v>Pending</v>
      </c>
      <c r="L110" s="27"/>
      <c r="M110" s="84"/>
      <c r="N110" s="94"/>
    </row>
    <row r="111" spans="1:14" x14ac:dyDescent="0.25">
      <c r="A111" s="85" t="str">
        <f t="shared" si="12"/>
        <v/>
      </c>
      <c r="B111" s="79"/>
      <c r="C111" s="21" t="str">
        <f>IF(B111="","",IFERROR(VLOOKUP(B111,DB_Customers!$A:$D,4,0),"❌ Account Not Found"))</f>
        <v/>
      </c>
      <c r="D111" s="81" t="str">
        <f t="shared" ca="1" si="9"/>
        <v/>
      </c>
      <c r="E111" s="104"/>
      <c r="F111" s="21"/>
      <c r="G111" s="110"/>
      <c r="H111" s="111"/>
      <c r="I111" s="107" t="str">
        <f t="shared" si="13"/>
        <v/>
      </c>
      <c r="J111" s="112" t="str">
        <f t="shared" si="14"/>
        <v/>
      </c>
      <c r="K111" s="113" t="str">
        <f>IF(B111="","Pending",IF(M111="","⚠️ Enter Code",IF(IFERROR(VLOOKUP(L111,DB_Agents!$B:$I,8,0),"")=M111,"Pending","🔒 BLOCKED — Wrong Code")))</f>
        <v>Pending</v>
      </c>
      <c r="L111" s="23"/>
      <c r="M111" s="84"/>
      <c r="N111" s="87"/>
    </row>
    <row r="112" spans="1:14" x14ac:dyDescent="0.25">
      <c r="A112" s="92" t="str">
        <f t="shared" si="12"/>
        <v/>
      </c>
      <c r="B112" s="88"/>
      <c r="C112" s="25" t="str">
        <f>IF(B112="","",IFERROR(VLOOKUP(B112,DB_Customers!$A:$D,4,0),"❌ Account Not Found"))</f>
        <v/>
      </c>
      <c r="D112" s="90" t="str">
        <f t="shared" ca="1" si="9"/>
        <v/>
      </c>
      <c r="E112" s="104"/>
      <c r="F112" s="25"/>
      <c r="G112" s="105"/>
      <c r="H112" s="106"/>
      <c r="I112" s="107" t="str">
        <f t="shared" si="13"/>
        <v/>
      </c>
      <c r="J112" s="108" t="str">
        <f t="shared" si="14"/>
        <v/>
      </c>
      <c r="K112" s="109" t="str">
        <f>IF(B112="","Pending",IF(M112="","⚠️ Enter Code",IF(IFERROR(VLOOKUP(L112,DB_Agents!$B:$I,8,0),"")=M112,"Pending","🔒 BLOCKED — Wrong Code")))</f>
        <v>Pending</v>
      </c>
      <c r="L112" s="27"/>
      <c r="M112" s="84"/>
      <c r="N112" s="94"/>
    </row>
    <row r="113" spans="1:14" x14ac:dyDescent="0.25">
      <c r="A113" s="85" t="str">
        <f t="shared" si="12"/>
        <v/>
      </c>
      <c r="B113" s="79"/>
      <c r="C113" s="21" t="str">
        <f>IF(B113="","",IFERROR(VLOOKUP(B113,DB_Customers!$A:$D,4,0),"❌ Account Not Found"))</f>
        <v/>
      </c>
      <c r="D113" s="81" t="str">
        <f t="shared" ca="1" si="9"/>
        <v/>
      </c>
      <c r="E113" s="104"/>
      <c r="F113" s="21"/>
      <c r="G113" s="110"/>
      <c r="H113" s="111"/>
      <c r="I113" s="107" t="str">
        <f t="shared" si="13"/>
        <v/>
      </c>
      <c r="J113" s="112" t="str">
        <f t="shared" si="14"/>
        <v/>
      </c>
      <c r="K113" s="113" t="str">
        <f>IF(B113="","Pending",IF(M113="","⚠️ Enter Code",IF(IFERROR(VLOOKUP(L113,DB_Agents!$B:$I,8,0),"")=M113,"Pending","🔒 BLOCKED — Wrong Code")))</f>
        <v>Pending</v>
      </c>
      <c r="L113" s="23"/>
      <c r="M113" s="84"/>
      <c r="N113" s="87"/>
    </row>
    <row r="114" spans="1:14" x14ac:dyDescent="0.25">
      <c r="H114" s="114"/>
      <c r="K114" s="115" t="str">
        <f>IF(B114="","Pending",IF(M114="","⚠️ Enter Code",IF(IFERROR(VLOOKUP(L114,DB_Agents!$B:$I,8,0),"")=M114,"Pending","🔒 BLOCKED — Wrong Code")))</f>
        <v>Pending</v>
      </c>
      <c r="M114" s="84"/>
    </row>
    <row r="115" spans="1:14" x14ac:dyDescent="0.25">
      <c r="H115" s="114"/>
      <c r="K115" s="15" t="str">
        <f>IF(B115="","Pending",IF(M115="","⚠️ Enter Code",IF(IFERROR(VLOOKUP(L115,DB_Agents!$B:$I,8,0),"")=M115,"Pending","🔒 BLOCKED — Wrong Code")))</f>
        <v>Pending</v>
      </c>
      <c r="M115" s="84"/>
    </row>
    <row r="116" spans="1:14" x14ac:dyDescent="0.25">
      <c r="H116" s="114"/>
      <c r="K116" s="115" t="str">
        <f>IF(B116="","Pending",IF(M116="","⚠️ Enter Code",IF(IFERROR(VLOOKUP(L116,DB_Agents!$B:$I,8,0),"")=M116,"Pending","🔒 BLOCKED — Wrong Code")))</f>
        <v>Pending</v>
      </c>
      <c r="M116" s="84"/>
    </row>
    <row r="117" spans="1:14" x14ac:dyDescent="0.25">
      <c r="H117" s="114"/>
      <c r="K117" s="15" t="str">
        <f>IF(B117="","Pending",IF(M117="","⚠️ Enter Code",IF(IFERROR(VLOOKUP(L117,DB_Agents!$B:$I,8,0),"")=M117,"Pending","🔒 BLOCKED — Wrong Code")))</f>
        <v>Pending</v>
      </c>
      <c r="M117" s="84"/>
    </row>
    <row r="118" spans="1:14" x14ac:dyDescent="0.25">
      <c r="H118" s="114"/>
      <c r="K118" s="115" t="str">
        <f>IF(B118="","Pending",IF(M118="","⚠️ Enter Code",IF(IFERROR(VLOOKUP(L118,DB_Agents!$B:$I,8,0),"")=M118,"Pending","🔒 BLOCKED — Wrong Code")))</f>
        <v>Pending</v>
      </c>
      <c r="M118" s="84"/>
    </row>
    <row r="119" spans="1:14" x14ac:dyDescent="0.25">
      <c r="H119" s="114"/>
      <c r="K119" s="15" t="str">
        <f>IF(B119="","Pending",IF(M119="","⚠️ Enter Code",IF(IFERROR(VLOOKUP(L119,DB_Agents!$B:$I,8,0),"")=M119,"Pending","🔒 BLOCKED — Wrong Code")))</f>
        <v>Pending</v>
      </c>
      <c r="M119" s="84"/>
    </row>
    <row r="120" spans="1:14" x14ac:dyDescent="0.25">
      <c r="H120" s="114"/>
      <c r="K120" s="115" t="str">
        <f>IF(B120="","Pending",IF(M120="","⚠️ Enter Code",IF(IFERROR(VLOOKUP(L120,DB_Agents!$B:$I,8,0),"")=M120,"Pending","🔒 BLOCKED — Wrong Code")))</f>
        <v>Pending</v>
      </c>
      <c r="M120" s="84"/>
    </row>
    <row r="121" spans="1:14" x14ac:dyDescent="0.25">
      <c r="H121" s="114"/>
      <c r="K121" s="15" t="str">
        <f>IF(B121="","Pending",IF(M121="","⚠️ Enter Code",IF(IFERROR(VLOOKUP(L121,DB_Agents!$B:$I,8,0),"")=M121,"Pending","🔒 BLOCKED — Wrong Code")))</f>
        <v>Pending</v>
      </c>
      <c r="M121" s="84"/>
    </row>
    <row r="122" spans="1:14" x14ac:dyDescent="0.25">
      <c r="H122" s="114"/>
      <c r="K122" s="115" t="str">
        <f>IF(B122="","Pending",IF(M122="","⚠️ Enter Code",IF(IFERROR(VLOOKUP(L122,DB_Agents!$B:$I,8,0),"")=M122,"Pending","🔒 BLOCKED — Wrong Code")))</f>
        <v>Pending</v>
      </c>
      <c r="M122" s="84"/>
    </row>
    <row r="123" spans="1:14" x14ac:dyDescent="0.25">
      <c r="H123" s="114"/>
      <c r="K123" s="15" t="str">
        <f>IF(B123="","Pending",IF(M123="","⚠️ Enter Code",IF(IFERROR(VLOOKUP(L123,DB_Agents!$B:$I,8,0),"")=M123,"Pending","🔒 BLOCKED — Wrong Code")))</f>
        <v>Pending</v>
      </c>
      <c r="M123" s="84"/>
    </row>
    <row r="124" spans="1:14" x14ac:dyDescent="0.25">
      <c r="H124" s="114"/>
      <c r="K124" s="115" t="str">
        <f>IF(B124="","Pending",IF(M124="","⚠️ Enter Code",IF(IFERROR(VLOOKUP(L124,DB_Agents!$B:$I,8,0),"")=M124,"Pending","🔒 BLOCKED — Wrong Code")))</f>
        <v>Pending</v>
      </c>
      <c r="M124" s="84"/>
    </row>
    <row r="125" spans="1:14" x14ac:dyDescent="0.25">
      <c r="H125" s="114"/>
      <c r="K125" s="15" t="str">
        <f>IF(B125="","Pending",IF(M125="","⚠️ Enter Code",IF(IFERROR(VLOOKUP(L125,DB_Agents!$B:$I,8,0),"")=M125,"Pending","🔒 BLOCKED — Wrong Code")))</f>
        <v>Pending</v>
      </c>
      <c r="M125" s="84"/>
    </row>
    <row r="126" spans="1:14" x14ac:dyDescent="0.25">
      <c r="H126" s="114"/>
      <c r="K126" s="115" t="str">
        <f>IF(B126="","Pending",IF(M126="","⚠️ Enter Code",IF(IFERROR(VLOOKUP(L126,DB_Agents!$B:$I,8,0),"")=M126,"Pending","🔒 BLOCKED — Wrong Code")))</f>
        <v>Pending</v>
      </c>
      <c r="M126" s="84"/>
    </row>
    <row r="127" spans="1:14" x14ac:dyDescent="0.25">
      <c r="H127" s="114"/>
      <c r="K127" s="15" t="str">
        <f>IF(B127="","Pending",IF(M127="","⚠️ Enter Code",IF(IFERROR(VLOOKUP(L127,DB_Agents!$B:$I,8,0),"")=M127,"Pending","🔒 BLOCKED — Wrong Code")))</f>
        <v>Pending</v>
      </c>
      <c r="M127" s="84"/>
    </row>
    <row r="128" spans="1:14" x14ac:dyDescent="0.25">
      <c r="H128" s="114"/>
      <c r="K128" s="115" t="str">
        <f>IF(B128="","Pending",IF(M128="","⚠️ Enter Code",IF(IFERROR(VLOOKUP(L128,DB_Agents!$B:$I,8,0),"")=M128,"Pending","🔒 BLOCKED — Wrong Code")))</f>
        <v>Pending</v>
      </c>
      <c r="M128" s="84"/>
    </row>
    <row r="129" spans="8:13" x14ac:dyDescent="0.25">
      <c r="H129" s="114"/>
      <c r="K129" s="15" t="str">
        <f>IF(B129="","Pending",IF(M129="","⚠️ Enter Code",IF(IFERROR(VLOOKUP(L129,DB_Agents!$B:$I,8,0),"")=M129,"Pending","🔒 BLOCKED — Wrong Code")))</f>
        <v>Pending</v>
      </c>
      <c r="M129" s="84"/>
    </row>
    <row r="130" spans="8:13" x14ac:dyDescent="0.25">
      <c r="H130" s="114"/>
      <c r="K130" s="115" t="str">
        <f>IF(B130="","Pending",IF(M130="","⚠️ Enter Code",IF(IFERROR(VLOOKUP(L130,DB_Agents!$B:$I,8,0),"")=M130,"Pending","🔒 BLOCKED — Wrong Code")))</f>
        <v>Pending</v>
      </c>
      <c r="M130" s="84"/>
    </row>
    <row r="131" spans="8:13" x14ac:dyDescent="0.25">
      <c r="H131" s="114"/>
      <c r="K131" s="15" t="str">
        <f>IF(B131="","Pending",IF(M131="","⚠️ Enter Code",IF(IFERROR(VLOOKUP(L131,DB_Agents!$B:$I,8,0),"")=M131,"Pending","🔒 BLOCKED — Wrong Code")))</f>
        <v>Pending</v>
      </c>
      <c r="M131" s="84"/>
    </row>
    <row r="132" spans="8:13" x14ac:dyDescent="0.25">
      <c r="H132" s="114"/>
      <c r="K132" s="115" t="str">
        <f>IF(B132="","Pending",IF(M132="","⚠️ Enter Code",IF(IFERROR(VLOOKUP(L132,DB_Agents!$B:$I,8,0),"")=M132,"Pending","🔒 BLOCKED — Wrong Code")))</f>
        <v>Pending</v>
      </c>
      <c r="M132" s="84"/>
    </row>
    <row r="133" spans="8:13" x14ac:dyDescent="0.25">
      <c r="H133" s="114"/>
      <c r="K133" s="15" t="str">
        <f>IF(B133="","Pending",IF(M133="","⚠️ Enter Code",IF(IFERROR(VLOOKUP(L133,DB_Agents!$B:$I,8,0),"")=M133,"Pending","🔒 BLOCKED — Wrong Code")))</f>
        <v>Pending</v>
      </c>
      <c r="M133" s="84"/>
    </row>
    <row r="134" spans="8:13" x14ac:dyDescent="0.25">
      <c r="H134" s="114"/>
      <c r="K134" s="115" t="str">
        <f>IF(B134="","Pending",IF(M134="","⚠️ Enter Code",IF(IFERROR(VLOOKUP(L134,DB_Agents!$B:$I,8,0),"")=M134,"Pending","🔒 BLOCKED — Wrong Code")))</f>
        <v>Pending</v>
      </c>
      <c r="M134" s="84"/>
    </row>
    <row r="135" spans="8:13" x14ac:dyDescent="0.25">
      <c r="H135" s="114"/>
      <c r="K135" s="15" t="str">
        <f>IF(B135="","Pending",IF(M135="","⚠️ Enter Code",IF(IFERROR(VLOOKUP(L135,DB_Agents!$B:$I,8,0),"")=M135,"Pending","🔒 BLOCKED — Wrong Code")))</f>
        <v>Pending</v>
      </c>
      <c r="M135" s="84"/>
    </row>
    <row r="136" spans="8:13" x14ac:dyDescent="0.25">
      <c r="H136" s="114"/>
      <c r="K136" s="115" t="str">
        <f>IF(B136="","Pending",IF(M136="","⚠️ Enter Code",IF(IFERROR(VLOOKUP(L136,DB_Agents!$B:$I,8,0),"")=M136,"Pending","🔒 BLOCKED — Wrong Code")))</f>
        <v>Pending</v>
      </c>
      <c r="M136" s="84"/>
    </row>
    <row r="137" spans="8:13" x14ac:dyDescent="0.25">
      <c r="H137" s="114"/>
      <c r="K137" s="15" t="str">
        <f>IF(B137="","Pending",IF(M137="","⚠️ Enter Code",IF(IFERROR(VLOOKUP(L137,DB_Agents!$B:$I,8,0),"")=M137,"Pending","🔒 BLOCKED — Wrong Code")))</f>
        <v>Pending</v>
      </c>
      <c r="M137" s="84"/>
    </row>
    <row r="138" spans="8:13" x14ac:dyDescent="0.25">
      <c r="H138" s="114"/>
      <c r="K138" s="115" t="str">
        <f>IF(B138="","Pending",IF(M138="","⚠️ Enter Code",IF(IFERROR(VLOOKUP(L138,DB_Agents!$B:$I,8,0),"")=M138,"Pending","🔒 BLOCKED — Wrong Code")))</f>
        <v>Pending</v>
      </c>
      <c r="M138" s="84"/>
    </row>
    <row r="139" spans="8:13" x14ac:dyDescent="0.25">
      <c r="H139" s="114"/>
      <c r="K139" s="15" t="str">
        <f>IF(B139="","Pending",IF(M139="","⚠️ Enter Code",IF(IFERROR(VLOOKUP(L139,DB_Agents!$B:$I,8,0),"")=M139,"Pending","🔒 BLOCKED — Wrong Code")))</f>
        <v>Pending</v>
      </c>
      <c r="M139" s="84"/>
    </row>
    <row r="140" spans="8:13" x14ac:dyDescent="0.25">
      <c r="H140" s="114"/>
      <c r="K140" s="115" t="str">
        <f>IF(B140="","Pending",IF(M140="","⚠️ Enter Code",IF(IFERROR(VLOOKUP(L140,DB_Agents!$B:$I,8,0),"")=M140,"Pending","🔒 BLOCKED — Wrong Code")))</f>
        <v>Pending</v>
      </c>
      <c r="M140" s="84"/>
    </row>
    <row r="141" spans="8:13" x14ac:dyDescent="0.25">
      <c r="H141" s="114"/>
      <c r="K141" s="15" t="str">
        <f>IF(B141="","Pending",IF(M141="","⚠️ Enter Code",IF(IFERROR(VLOOKUP(L141,DB_Agents!$B:$I,8,0),"")=M141,"Pending","🔒 BLOCKED — Wrong Code")))</f>
        <v>Pending</v>
      </c>
      <c r="M141" s="84"/>
    </row>
    <row r="142" spans="8:13" x14ac:dyDescent="0.25">
      <c r="H142" s="114"/>
      <c r="K142" s="115" t="str">
        <f>IF(B142="","Pending",IF(M142="","⚠️ Enter Code",IF(IFERROR(VLOOKUP(L142,DB_Agents!$B:$I,8,0),"")=M142,"Pending","🔒 BLOCKED — Wrong Code")))</f>
        <v>Pending</v>
      </c>
      <c r="M142" s="84"/>
    </row>
    <row r="143" spans="8:13" x14ac:dyDescent="0.25">
      <c r="H143" s="114"/>
      <c r="K143" s="15" t="str">
        <f>IF(B143="","Pending",IF(M143="","⚠️ Enter Code",IF(IFERROR(VLOOKUP(L143,DB_Agents!$B:$I,8,0),"")=M143,"Pending","🔒 BLOCKED — Wrong Code")))</f>
        <v>Pending</v>
      </c>
      <c r="M143" s="84"/>
    </row>
    <row r="144" spans="8:13" x14ac:dyDescent="0.25">
      <c r="H144" s="114"/>
      <c r="K144" s="115" t="str">
        <f>IF(B144="","Pending",IF(M144="","⚠️ Enter Code",IF(IFERROR(VLOOKUP(L144,DB_Agents!$B:$I,8,0),"")=M144,"Pending","🔒 BLOCKED — Wrong Code")))</f>
        <v>Pending</v>
      </c>
      <c r="M144" s="84"/>
    </row>
    <row r="145" spans="8:13" x14ac:dyDescent="0.25">
      <c r="H145" s="114"/>
      <c r="K145" s="15" t="str">
        <f>IF(B145="","Pending",IF(M145="","⚠️ Enter Code",IF(IFERROR(VLOOKUP(L145,DB_Agents!$B:$I,8,0),"")=M145,"Pending","🔒 BLOCKED — Wrong Code")))</f>
        <v>Pending</v>
      </c>
      <c r="M145" s="84"/>
    </row>
    <row r="146" spans="8:13" x14ac:dyDescent="0.25">
      <c r="H146" s="114"/>
      <c r="K146" s="115" t="str">
        <f>IF(B146="","Pending",IF(M146="","⚠️ Enter Code",IF(IFERROR(VLOOKUP(L146,DB_Agents!$B:$I,8,0),"")=M146,"Pending","🔒 BLOCKED — Wrong Code")))</f>
        <v>Pending</v>
      </c>
      <c r="M146" s="84"/>
    </row>
    <row r="147" spans="8:13" x14ac:dyDescent="0.25">
      <c r="H147" s="114"/>
      <c r="K147" s="15" t="str">
        <f>IF(B147="","Pending",IF(M147="","⚠️ Enter Code",IF(IFERROR(VLOOKUP(L147,DB_Agents!$B:$I,8,0),"")=M147,"Pending","🔒 BLOCKED — Wrong Code")))</f>
        <v>Pending</v>
      </c>
      <c r="M147" s="84"/>
    </row>
    <row r="148" spans="8:13" x14ac:dyDescent="0.25">
      <c r="H148" s="114"/>
      <c r="K148" s="115" t="str">
        <f>IF(B148="","Pending",IF(M148="","⚠️ Enter Code",IF(IFERROR(VLOOKUP(L148,DB_Agents!$B:$I,8,0),"")=M148,"Pending","🔒 BLOCKED — Wrong Code")))</f>
        <v>Pending</v>
      </c>
      <c r="M148" s="84"/>
    </row>
    <row r="149" spans="8:13" x14ac:dyDescent="0.25">
      <c r="H149" s="114"/>
      <c r="K149" s="15" t="str">
        <f>IF(B149="","Pending",IF(M149="","⚠️ Enter Code",IF(IFERROR(VLOOKUP(L149,DB_Agents!$B:$I,8,0),"")=M149,"Pending","🔒 BLOCKED — Wrong Code")))</f>
        <v>Pending</v>
      </c>
      <c r="M149" s="84"/>
    </row>
    <row r="150" spans="8:13" x14ac:dyDescent="0.25">
      <c r="H150" s="114"/>
      <c r="K150" s="115" t="str">
        <f>IF(B150="","Pending",IF(M150="","⚠️ Enter Code",IF(IFERROR(VLOOKUP(L150,DB_Agents!$B:$I,8,0),"")=M150,"Pending","🔒 BLOCKED — Wrong Code")))</f>
        <v>Pending</v>
      </c>
      <c r="M150" s="84"/>
    </row>
    <row r="151" spans="8:13" x14ac:dyDescent="0.25">
      <c r="H151" s="114"/>
      <c r="K151" s="15" t="str">
        <f>IF(B151="","Pending",IF(M151="","⚠️ Enter Code",IF(IFERROR(VLOOKUP(L151,DB_Agents!$B:$I,8,0),"")=M151,"Pending","🔒 BLOCKED — Wrong Code")))</f>
        <v>Pending</v>
      </c>
      <c r="M151" s="84"/>
    </row>
    <row r="152" spans="8:13" x14ac:dyDescent="0.25">
      <c r="H152" s="114"/>
      <c r="K152" s="115" t="str">
        <f>IF(B152="","Pending",IF(M152="","⚠️ Enter Code",IF(IFERROR(VLOOKUP(L152,DB_Agents!$B:$I,8,0),"")=M152,"Pending","🔒 BLOCKED — Wrong Code")))</f>
        <v>Pending</v>
      </c>
      <c r="M152" s="84"/>
    </row>
    <row r="153" spans="8:13" x14ac:dyDescent="0.25">
      <c r="H153" s="114"/>
      <c r="K153" s="15" t="str">
        <f>IF(B153="","Pending",IF(M153="","⚠️ Enter Code",IF(IFERROR(VLOOKUP(L153,DB_Agents!$B:$I,8,0),"")=M153,"Pending","🔒 BLOCKED — Wrong Code")))</f>
        <v>Pending</v>
      </c>
      <c r="M153" s="84"/>
    </row>
    <row r="154" spans="8:13" x14ac:dyDescent="0.25">
      <c r="H154" s="114"/>
      <c r="K154" s="115" t="str">
        <f>IF(B154="","Pending",IF(M154="","⚠️ Enter Code",IF(IFERROR(VLOOKUP(L154,DB_Agents!$B:$I,8,0),"")=M154,"Pending","🔒 BLOCKED — Wrong Code")))</f>
        <v>Pending</v>
      </c>
      <c r="M154" s="84"/>
    </row>
    <row r="155" spans="8:13" x14ac:dyDescent="0.25">
      <c r="H155" s="114"/>
      <c r="K155" s="15" t="str">
        <f>IF(B155="","Pending",IF(M155="","⚠️ Enter Code",IF(IFERROR(VLOOKUP(L155,DB_Agents!$B:$I,8,0),"")=M155,"Pending","🔒 BLOCKED — Wrong Code")))</f>
        <v>Pending</v>
      </c>
      <c r="M155" s="84"/>
    </row>
    <row r="156" spans="8:13" x14ac:dyDescent="0.25">
      <c r="H156" s="114"/>
      <c r="K156" s="115" t="str">
        <f>IF(B156="","Pending",IF(M156="","⚠️ Enter Code",IF(IFERROR(VLOOKUP(L156,DB_Agents!$B:$I,8,0),"")=M156,"Pending","🔒 BLOCKED — Wrong Code")))</f>
        <v>Pending</v>
      </c>
      <c r="M156" s="84"/>
    </row>
    <row r="157" spans="8:13" x14ac:dyDescent="0.25">
      <c r="H157" s="114"/>
      <c r="K157" s="15" t="str">
        <f>IF(B157="","Pending",IF(M157="","⚠️ Enter Code",IF(IFERROR(VLOOKUP(L157,DB_Agents!$B:$I,8,0),"")=M157,"Pending","🔒 BLOCKED — Wrong Code")))</f>
        <v>Pending</v>
      </c>
      <c r="M157" s="84"/>
    </row>
    <row r="158" spans="8:13" x14ac:dyDescent="0.25">
      <c r="H158" s="114"/>
      <c r="K158" s="115" t="str">
        <f>IF(B158="","Pending",IF(M158="","⚠️ Enter Code",IF(IFERROR(VLOOKUP(L158,DB_Agents!$B:$I,8,0),"")=M158,"Pending","🔒 BLOCKED — Wrong Code")))</f>
        <v>Pending</v>
      </c>
      <c r="M158" s="84"/>
    </row>
    <row r="159" spans="8:13" x14ac:dyDescent="0.25">
      <c r="H159" s="114"/>
      <c r="K159" s="15" t="str">
        <f>IF(B159="","Pending",IF(M159="","⚠️ Enter Code",IF(IFERROR(VLOOKUP(L159,DB_Agents!$B:$I,8,0),"")=M159,"Pending","🔒 BLOCKED — Wrong Code")))</f>
        <v>Pending</v>
      </c>
      <c r="M159" s="84"/>
    </row>
    <row r="160" spans="8:13" x14ac:dyDescent="0.25">
      <c r="H160" s="114"/>
      <c r="K160" s="115" t="str">
        <f>IF(B160="","Pending",IF(M160="","⚠️ Enter Code",IF(IFERROR(VLOOKUP(L160,DB_Agents!$B:$I,8,0),"")=M160,"Pending","🔒 BLOCKED — Wrong Code")))</f>
        <v>Pending</v>
      </c>
      <c r="M160" s="84"/>
    </row>
    <row r="161" spans="8:13" x14ac:dyDescent="0.25">
      <c r="H161" s="114"/>
      <c r="K161" s="15" t="str">
        <f>IF(B161="","Pending",IF(M161="","⚠️ Enter Code",IF(IFERROR(VLOOKUP(L161,DB_Agents!$B:$I,8,0),"")=M161,"Pending","🔒 BLOCKED — Wrong Code")))</f>
        <v>Pending</v>
      </c>
      <c r="M161" s="84"/>
    </row>
    <row r="162" spans="8:13" x14ac:dyDescent="0.25">
      <c r="H162" s="114"/>
      <c r="K162" s="115" t="str">
        <f>IF(B162="","Pending",IF(M162="","⚠️ Enter Code",IF(IFERROR(VLOOKUP(L162,DB_Agents!$B:$I,8,0),"")=M162,"Pending","🔒 BLOCKED — Wrong Code")))</f>
        <v>Pending</v>
      </c>
      <c r="M162" s="84"/>
    </row>
    <row r="163" spans="8:13" x14ac:dyDescent="0.25">
      <c r="H163" s="114"/>
      <c r="K163" s="15" t="str">
        <f>IF(B163="","Pending",IF(M163="","⚠️ Enter Code",IF(IFERROR(VLOOKUP(L163,DB_Agents!$B:$I,8,0),"")=M163,"Pending","🔒 BLOCKED — Wrong Code")))</f>
        <v>Pending</v>
      </c>
      <c r="M163" s="84"/>
    </row>
    <row r="164" spans="8:13" x14ac:dyDescent="0.25">
      <c r="H164" s="114"/>
      <c r="K164" s="115" t="str">
        <f>IF(B164="","Pending",IF(M164="","⚠️ Enter Code",IF(IFERROR(VLOOKUP(L164,DB_Agents!$B:$I,8,0),"")=M164,"Pending","🔒 BLOCKED — Wrong Code")))</f>
        <v>Pending</v>
      </c>
      <c r="M164" s="84"/>
    </row>
    <row r="165" spans="8:13" x14ac:dyDescent="0.25">
      <c r="H165" s="114"/>
      <c r="K165" s="15" t="str">
        <f>IF(B165="","Pending",IF(M165="","⚠️ Enter Code",IF(IFERROR(VLOOKUP(L165,DB_Agents!$B:$I,8,0),"")=M165,"Pending","🔒 BLOCKED — Wrong Code")))</f>
        <v>Pending</v>
      </c>
      <c r="M165" s="84"/>
    </row>
    <row r="166" spans="8:13" x14ac:dyDescent="0.25">
      <c r="H166" s="114"/>
      <c r="K166" s="115" t="str">
        <f>IF(B166="","Pending",IF(M166="","⚠️ Enter Code",IF(IFERROR(VLOOKUP(L166,DB_Agents!$B:$I,8,0),"")=M166,"Pending","🔒 BLOCKED — Wrong Code")))</f>
        <v>Pending</v>
      </c>
      <c r="M166" s="84"/>
    </row>
    <row r="167" spans="8:13" x14ac:dyDescent="0.25">
      <c r="H167" s="114"/>
      <c r="K167" s="15" t="str">
        <f>IF(B167="","Pending",IF(M167="","⚠️ Enter Code",IF(IFERROR(VLOOKUP(L167,DB_Agents!$B:$I,8,0),"")=M167,"Pending","🔒 BLOCKED — Wrong Code")))</f>
        <v>Pending</v>
      </c>
      <c r="M167" s="84"/>
    </row>
    <row r="168" spans="8:13" x14ac:dyDescent="0.25">
      <c r="H168" s="114"/>
      <c r="K168" s="115" t="str">
        <f>IF(B168="","Pending",IF(M168="","⚠️ Enter Code",IF(IFERROR(VLOOKUP(L168,DB_Agents!$B:$I,8,0),"")=M168,"Pending","🔒 BLOCKED — Wrong Code")))</f>
        <v>Pending</v>
      </c>
      <c r="M168" s="84"/>
    </row>
    <row r="169" spans="8:13" x14ac:dyDescent="0.25">
      <c r="H169" s="114"/>
      <c r="K169" s="15" t="str">
        <f>IF(B169="","Pending",IF(M169="","⚠️ Enter Code",IF(IFERROR(VLOOKUP(L169,DB_Agents!$B:$I,8,0),"")=M169,"Pending","🔒 BLOCKED — Wrong Code")))</f>
        <v>Pending</v>
      </c>
      <c r="M169" s="84"/>
    </row>
    <row r="170" spans="8:13" x14ac:dyDescent="0.25">
      <c r="H170" s="114"/>
      <c r="K170" s="115" t="str">
        <f>IF(B170="","Pending",IF(M170="","⚠️ Enter Code",IF(IFERROR(VLOOKUP(L170,DB_Agents!$B:$I,8,0),"")=M170,"Pending","🔒 BLOCKED — Wrong Code")))</f>
        <v>Pending</v>
      </c>
      <c r="M170" s="84"/>
    </row>
    <row r="171" spans="8:13" x14ac:dyDescent="0.25">
      <c r="H171" s="114"/>
      <c r="K171" s="15" t="str">
        <f>IF(B171="","Pending",IF(M171="","⚠️ Enter Code",IF(IFERROR(VLOOKUP(L171,DB_Agents!$B:$I,8,0),"")=M171,"Pending","🔒 BLOCKED — Wrong Code")))</f>
        <v>Pending</v>
      </c>
      <c r="M171" s="84"/>
    </row>
    <row r="172" spans="8:13" x14ac:dyDescent="0.25">
      <c r="H172" s="114"/>
      <c r="K172" s="115" t="str">
        <f>IF(B172="","Pending",IF(M172="","⚠️ Enter Code",IF(IFERROR(VLOOKUP(L172,DB_Agents!$B:$I,8,0),"")=M172,"Pending","🔒 BLOCKED — Wrong Code")))</f>
        <v>Pending</v>
      </c>
      <c r="M172" s="84"/>
    </row>
    <row r="173" spans="8:13" x14ac:dyDescent="0.25">
      <c r="H173" s="114"/>
      <c r="K173" s="15" t="str">
        <f>IF(B173="","Pending",IF(M173="","⚠️ Enter Code",IF(IFERROR(VLOOKUP(L173,DB_Agents!$B:$I,8,0),"")=M173,"Pending","🔒 BLOCKED — Wrong Code")))</f>
        <v>Pending</v>
      </c>
      <c r="M173" s="84"/>
    </row>
    <row r="174" spans="8:13" x14ac:dyDescent="0.25">
      <c r="H174" s="114"/>
      <c r="K174" s="115" t="str">
        <f>IF(B174="","Pending",IF(M174="","⚠️ Enter Code",IF(IFERROR(VLOOKUP(L174,DB_Agents!$B:$I,8,0),"")=M174,"Pending","🔒 BLOCKED — Wrong Code")))</f>
        <v>Pending</v>
      </c>
      <c r="M174" s="84"/>
    </row>
    <row r="175" spans="8:13" x14ac:dyDescent="0.25">
      <c r="H175" s="114"/>
      <c r="K175" s="15" t="str">
        <f>IF(B175="","Pending",IF(M175="","⚠️ Enter Code",IF(IFERROR(VLOOKUP(L175,DB_Agents!$B:$I,8,0),"")=M175,"Pending","🔒 BLOCKED — Wrong Code")))</f>
        <v>Pending</v>
      </c>
      <c r="M175" s="84"/>
    </row>
    <row r="176" spans="8:13" x14ac:dyDescent="0.25">
      <c r="H176" s="114"/>
      <c r="K176" s="115" t="str">
        <f>IF(B176="","Pending",IF(M176="","⚠️ Enter Code",IF(IFERROR(VLOOKUP(L176,DB_Agents!$B:$I,8,0),"")=M176,"Pending","🔒 BLOCKED — Wrong Code")))</f>
        <v>Pending</v>
      </c>
      <c r="M176" s="84"/>
    </row>
    <row r="177" spans="8:13" x14ac:dyDescent="0.25">
      <c r="H177" s="114"/>
      <c r="K177" s="15" t="str">
        <f>IF(B177="","Pending",IF(M177="","⚠️ Enter Code",IF(IFERROR(VLOOKUP(L177,DB_Agents!$B:$I,8,0),"")=M177,"Pending","🔒 BLOCKED — Wrong Code")))</f>
        <v>Pending</v>
      </c>
      <c r="M177" s="84"/>
    </row>
    <row r="178" spans="8:13" x14ac:dyDescent="0.25">
      <c r="H178" s="114"/>
      <c r="K178" s="115" t="str">
        <f>IF(B178="","Pending",IF(M178="","⚠️ Enter Code",IF(IFERROR(VLOOKUP(L178,DB_Agents!$B:$I,8,0),"")=M178,"Pending","🔒 BLOCKED — Wrong Code")))</f>
        <v>Pending</v>
      </c>
      <c r="M178" s="84"/>
    </row>
    <row r="179" spans="8:13" x14ac:dyDescent="0.25">
      <c r="H179" s="114"/>
      <c r="K179" s="15" t="str">
        <f>IF(B179="","Pending",IF(M179="","⚠️ Enter Code",IF(IFERROR(VLOOKUP(L179,DB_Agents!$B:$I,8,0),"")=M179,"Pending","🔒 BLOCKED — Wrong Code")))</f>
        <v>Pending</v>
      </c>
      <c r="M179" s="84"/>
    </row>
    <row r="180" spans="8:13" x14ac:dyDescent="0.25">
      <c r="H180" s="114"/>
      <c r="K180" s="115" t="str">
        <f>IF(B180="","Pending",IF(M180="","⚠️ Enter Code",IF(IFERROR(VLOOKUP(L180,DB_Agents!$B:$I,8,0),"")=M180,"Pending","🔒 BLOCKED — Wrong Code")))</f>
        <v>Pending</v>
      </c>
      <c r="M180" s="84"/>
    </row>
    <row r="181" spans="8:13" x14ac:dyDescent="0.25">
      <c r="H181" s="114"/>
      <c r="K181" s="15" t="str">
        <f>IF(B181="","Pending",IF(M181="","⚠️ Enter Code",IF(IFERROR(VLOOKUP(L181,DB_Agents!$B:$I,8,0),"")=M181,"Pending","🔒 BLOCKED — Wrong Code")))</f>
        <v>Pending</v>
      </c>
      <c r="M181" s="84"/>
    </row>
    <row r="182" spans="8:13" x14ac:dyDescent="0.25">
      <c r="H182" s="114"/>
      <c r="K182" s="115" t="str">
        <f>IF(B182="","Pending",IF(M182="","⚠️ Enter Code",IF(IFERROR(VLOOKUP(L182,DB_Agents!$B:$I,8,0),"")=M182,"Pending","🔒 BLOCKED — Wrong Code")))</f>
        <v>Pending</v>
      </c>
      <c r="M182" s="84"/>
    </row>
    <row r="183" spans="8:13" x14ac:dyDescent="0.25">
      <c r="H183" s="114"/>
      <c r="K183" s="15" t="str">
        <f>IF(B183="","Pending",IF(M183="","⚠️ Enter Code",IF(IFERROR(VLOOKUP(L183,DB_Agents!$B:$I,8,0),"")=M183,"Pending","🔒 BLOCKED — Wrong Code")))</f>
        <v>Pending</v>
      </c>
      <c r="M183" s="84"/>
    </row>
    <row r="184" spans="8:13" x14ac:dyDescent="0.25">
      <c r="H184" s="114"/>
      <c r="K184" s="115" t="str">
        <f>IF(B184="","Pending",IF(M184="","⚠️ Enter Code",IF(IFERROR(VLOOKUP(L184,DB_Agents!$B:$I,8,0),"")=M184,"Pending","🔒 BLOCKED — Wrong Code")))</f>
        <v>Pending</v>
      </c>
      <c r="M184" s="84"/>
    </row>
    <row r="185" spans="8:13" x14ac:dyDescent="0.25">
      <c r="H185" s="114"/>
      <c r="K185" s="15" t="str">
        <f>IF(B185="","Pending",IF(M185="","⚠️ Enter Code",IF(IFERROR(VLOOKUP(L185,DB_Agents!$B:$I,8,0),"")=M185,"Pending","🔒 BLOCKED — Wrong Code")))</f>
        <v>Pending</v>
      </c>
      <c r="M185" s="84"/>
    </row>
    <row r="186" spans="8:13" x14ac:dyDescent="0.25">
      <c r="H186" s="114"/>
      <c r="K186" s="115" t="str">
        <f>IF(B186="","Pending",IF(M186="","⚠️ Enter Code",IF(IFERROR(VLOOKUP(L186,DB_Agents!$B:$I,8,0),"")=M186,"Pending","🔒 BLOCKED — Wrong Code")))</f>
        <v>Pending</v>
      </c>
      <c r="M186" s="84"/>
    </row>
    <row r="187" spans="8:13" x14ac:dyDescent="0.25">
      <c r="H187" s="114"/>
      <c r="K187" s="15" t="str">
        <f>IF(B187="","Pending",IF(M187="","⚠️ Enter Code",IF(IFERROR(VLOOKUP(L187,DB_Agents!$B:$I,8,0),"")=M187,"Pending","🔒 BLOCKED — Wrong Code")))</f>
        <v>Pending</v>
      </c>
      <c r="M187" s="84"/>
    </row>
    <row r="188" spans="8:13" x14ac:dyDescent="0.25">
      <c r="H188" s="114"/>
      <c r="K188" s="115" t="str">
        <f>IF(B188="","Pending",IF(M188="","⚠️ Enter Code",IF(IFERROR(VLOOKUP(L188,DB_Agents!$B:$I,8,0),"")=M188,"Pending","🔒 BLOCKED — Wrong Code")))</f>
        <v>Pending</v>
      </c>
      <c r="M188" s="84"/>
    </row>
    <row r="189" spans="8:13" x14ac:dyDescent="0.25">
      <c r="H189" s="114"/>
      <c r="K189" s="15" t="str">
        <f>IF(B189="","Pending",IF(M189="","⚠️ Enter Code",IF(IFERROR(VLOOKUP(L189,DB_Agents!$B:$I,8,0),"")=M189,"Pending","🔒 BLOCKED — Wrong Code")))</f>
        <v>Pending</v>
      </c>
      <c r="M189" s="84"/>
    </row>
    <row r="190" spans="8:13" x14ac:dyDescent="0.25">
      <c r="H190" s="114"/>
      <c r="K190" s="115" t="str">
        <f>IF(B190="","Pending",IF(M190="","⚠️ Enter Code",IF(IFERROR(VLOOKUP(L190,DB_Agents!$B:$I,8,0),"")=M190,"Pending","🔒 BLOCKED — Wrong Code")))</f>
        <v>Pending</v>
      </c>
      <c r="M190" s="84"/>
    </row>
    <row r="191" spans="8:13" x14ac:dyDescent="0.25">
      <c r="H191" s="114"/>
      <c r="K191" s="15" t="str">
        <f>IF(B191="","Pending",IF(M191="","⚠️ Enter Code",IF(IFERROR(VLOOKUP(L191,DB_Agents!$B:$I,8,0),"")=M191,"Pending","🔒 BLOCKED — Wrong Code")))</f>
        <v>Pending</v>
      </c>
      <c r="M191" s="84"/>
    </row>
    <row r="192" spans="8:13" x14ac:dyDescent="0.25">
      <c r="H192" s="114"/>
      <c r="K192" s="115" t="str">
        <f>IF(B192="","Pending",IF(M192="","⚠️ Enter Code",IF(IFERROR(VLOOKUP(L192,DB_Agents!$B:$I,8,0),"")=M192,"Pending","🔒 BLOCKED — Wrong Code")))</f>
        <v>Pending</v>
      </c>
      <c r="M192" s="84"/>
    </row>
    <row r="193" spans="8:13" x14ac:dyDescent="0.25">
      <c r="H193" s="114"/>
      <c r="K193" s="15" t="str">
        <f>IF(B193="","Pending",IF(M193="","⚠️ Enter Code",IF(IFERROR(VLOOKUP(L193,DB_Agents!$B:$I,8,0),"")=M193,"Pending","🔒 BLOCKED — Wrong Code")))</f>
        <v>Pending</v>
      </c>
      <c r="M193" s="84"/>
    </row>
    <row r="194" spans="8:13" x14ac:dyDescent="0.25">
      <c r="H194" s="114"/>
      <c r="K194" s="115" t="str">
        <f>IF(B194="","Pending",IF(M194="","⚠️ Enter Code",IF(IFERROR(VLOOKUP(L194,DB_Agents!$B:$I,8,0),"")=M194,"Pending","🔒 BLOCKED — Wrong Code")))</f>
        <v>Pending</v>
      </c>
      <c r="M194" s="84"/>
    </row>
    <row r="195" spans="8:13" x14ac:dyDescent="0.25">
      <c r="H195" s="114"/>
      <c r="K195" s="15" t="str">
        <f>IF(B195="","Pending",IF(M195="","⚠️ Enter Code",IF(IFERROR(VLOOKUP(L195,DB_Agents!$B:$I,8,0),"")=M195,"Pending","🔒 BLOCKED — Wrong Code")))</f>
        <v>Pending</v>
      </c>
      <c r="M195" s="84"/>
    </row>
    <row r="196" spans="8:13" x14ac:dyDescent="0.25">
      <c r="H196" s="114"/>
      <c r="K196" s="115" t="str">
        <f>IF(B196="","Pending",IF(M196="","⚠️ Enter Code",IF(IFERROR(VLOOKUP(L196,DB_Agents!$B:$I,8,0),"")=M196,"Pending","🔒 BLOCKED — Wrong Code")))</f>
        <v>Pending</v>
      </c>
      <c r="M196" s="84"/>
    </row>
    <row r="197" spans="8:13" x14ac:dyDescent="0.25">
      <c r="H197" s="114"/>
      <c r="K197" s="15" t="str">
        <f>IF(B197="","Pending",IF(M197="","⚠️ Enter Code",IF(IFERROR(VLOOKUP(L197,DB_Agents!$B:$I,8,0),"")=M197,"Pending","🔒 BLOCKED — Wrong Code")))</f>
        <v>Pending</v>
      </c>
      <c r="M197" s="84"/>
    </row>
    <row r="198" spans="8:13" x14ac:dyDescent="0.25">
      <c r="H198" s="114"/>
      <c r="K198" s="115" t="str">
        <f>IF(B198="","Pending",IF(M198="","⚠️ Enter Code",IF(IFERROR(VLOOKUP(L198,DB_Agents!$B:$I,8,0),"")=M198,"Pending","🔒 BLOCKED — Wrong Code")))</f>
        <v>Pending</v>
      </c>
      <c r="M198" s="84"/>
    </row>
    <row r="199" spans="8:13" x14ac:dyDescent="0.25">
      <c r="H199" s="114"/>
      <c r="K199" s="15" t="str">
        <f>IF(B199="","Pending",IF(M199="","⚠️ Enter Code",IF(IFERROR(VLOOKUP(L199,DB_Agents!$B:$I,8,0),"")=M199,"Pending","🔒 BLOCKED — Wrong Code")))</f>
        <v>Pending</v>
      </c>
      <c r="M199" s="84"/>
    </row>
    <row r="200" spans="8:13" x14ac:dyDescent="0.25">
      <c r="H200" s="114"/>
      <c r="K200" s="115" t="str">
        <f>IF(B200="","Pending",IF(M200="","⚠️ Enter Code",IF(IFERROR(VLOOKUP(L200,DB_Agents!$B:$I,8,0),"")=M200,"Pending","🔒 BLOCKED — Wrong Code")))</f>
        <v>Pending</v>
      </c>
      <c r="M200" s="84"/>
    </row>
    <row r="201" spans="8:13" x14ac:dyDescent="0.25">
      <c r="K201" s="15" t="str">
        <f>IF(B201="","Pending",IF(M201="","⚠️ Enter Code",IF(IFERROR(VLOOKUP(L201,DB_Agents!$B:$I,8,0),"")=M201,"Pending","🔒 BLOCKED — Wrong Code")))</f>
        <v>Pending</v>
      </c>
      <c r="M201" s="84"/>
    </row>
    <row r="202" spans="8:13" x14ac:dyDescent="0.25">
      <c r="K202" s="115" t="str">
        <f>IF(B202="","Pending",IF(M202="","⚠️ Enter Code",IF(IFERROR(VLOOKUP(L202,DB_Agents!$B:$I,8,0),"")=M202,"Pending","🔒 BLOCKED — Wrong Code")))</f>
        <v>Pending</v>
      </c>
      <c r="M202" s="84"/>
    </row>
    <row r="203" spans="8:13" x14ac:dyDescent="0.25">
      <c r="K203" s="15" t="str">
        <f>IF(B203="","Pending",IF(M203="","⚠️ Enter Code",IF(IFERROR(VLOOKUP(L203,DB_Agents!$B:$I,8,0),"")=M203,"Pending","🔒 BLOCKED — Wrong Code")))</f>
        <v>Pending</v>
      </c>
      <c r="M203" s="84"/>
    </row>
    <row r="204" spans="8:13" x14ac:dyDescent="0.25">
      <c r="K204" s="115" t="str">
        <f>IF(B204="","Pending",IF(M204="","⚠️ Enter Code",IF(IFERROR(VLOOKUP(L204,DB_Agents!$B:$I,8,0),"")=M204,"Pending","🔒 BLOCKED — Wrong Code")))</f>
        <v>Pending</v>
      </c>
      <c r="M204" s="84"/>
    </row>
    <row r="205" spans="8:13" x14ac:dyDescent="0.25">
      <c r="K205" s="15" t="str">
        <f>IF(B205="","Pending",IF(M205="","⚠️ Enter Code",IF(IFERROR(VLOOKUP(L205,DB_Agents!$B:$I,8,0),"")=M205,"Pending","🔒 BLOCKED — Wrong Code")))</f>
        <v>Pending</v>
      </c>
      <c r="M205" s="84"/>
    </row>
    <row r="206" spans="8:13" x14ac:dyDescent="0.25">
      <c r="K206" s="115" t="str">
        <f>IF(B206="","Pending",IF(M206="","⚠️ Enter Code",IF(IFERROR(VLOOKUP(L206,DB_Agents!$B:$I,8,0),"")=M206,"Pending","🔒 BLOCKED — Wrong Code")))</f>
        <v>Pending</v>
      </c>
      <c r="M206" s="84"/>
    </row>
    <row r="207" spans="8:13" x14ac:dyDescent="0.25">
      <c r="K207" s="15" t="str">
        <f>IF(B207="","Pending",IF(M207="","⚠️ Enter Code",IF(IFERROR(VLOOKUP(L207,DB_Agents!$B:$I,8,0),"")=M207,"Pending","🔒 BLOCKED — Wrong Code")))</f>
        <v>Pending</v>
      </c>
      <c r="M207" s="84"/>
    </row>
    <row r="208" spans="8:13" x14ac:dyDescent="0.25">
      <c r="K208" s="115" t="str">
        <f>IF(B208="","Pending",IF(M208="","⚠️ Enter Code",IF(IFERROR(VLOOKUP(L208,DB_Agents!$B:$I,8,0),"")=M208,"Pending","🔒 BLOCKED — Wrong Code")))</f>
        <v>Pending</v>
      </c>
      <c r="M208" s="84"/>
    </row>
    <row r="209" spans="11:13" x14ac:dyDescent="0.25">
      <c r="K209" s="15" t="str">
        <f>IF(B209="","Pending",IF(M209="","⚠️ Enter Code",IF(IFERROR(VLOOKUP(L209,DB_Agents!$B:$I,8,0),"")=M209,"Pending","🔒 BLOCKED — Wrong Code")))</f>
        <v>Pending</v>
      </c>
      <c r="M209" s="84"/>
    </row>
    <row r="210" spans="11:13" x14ac:dyDescent="0.25">
      <c r="K210" s="115" t="str">
        <f>IF(B210="","Pending",IF(M210="","⚠️ Enter Code",IF(IFERROR(VLOOKUP(L210,DB_Agents!$B:$I,8,0),"")=M210,"Pending","🔒 BLOCKED — Wrong Code")))</f>
        <v>Pending</v>
      </c>
      <c r="M210" s="84"/>
    </row>
    <row r="211" spans="11:13" x14ac:dyDescent="0.25">
      <c r="K211" s="15" t="str">
        <f>IF(B211="","Pending",IF(M211="","⚠️ Enter Code",IF(IFERROR(VLOOKUP(L211,DB_Agents!$B:$I,8,0),"")=M211,"Pending","🔒 BLOCKED — Wrong Code")))</f>
        <v>Pending</v>
      </c>
      <c r="M211" s="84"/>
    </row>
    <row r="212" spans="11:13" x14ac:dyDescent="0.25">
      <c r="K212" s="115" t="str">
        <f>IF(B212="","Pending",IF(M212="","⚠️ Enter Code",IF(IFERROR(VLOOKUP(L212,DB_Agents!$B:$I,8,0),"")=M212,"Pending","🔒 BLOCKED — Wrong Code")))</f>
        <v>Pending</v>
      </c>
      <c r="M212" s="84"/>
    </row>
    <row r="213" spans="11:13" x14ac:dyDescent="0.25">
      <c r="K213" s="15" t="str">
        <f>IF(B213="","Pending",IF(M213="","⚠️ Enter Code",IF(IFERROR(VLOOKUP(L213,DB_Agents!$B:$I,8,0),"")=M213,"Pending","🔒 BLOCKED — Wrong Code")))</f>
        <v>Pending</v>
      </c>
      <c r="M213" s="84"/>
    </row>
  </sheetData>
  <mergeCells count="10">
    <mergeCell ref="B7:D7"/>
    <mergeCell ref="B8:D8"/>
    <mergeCell ref="B9:D9"/>
    <mergeCell ref="B10:D10"/>
    <mergeCell ref="A12:N12"/>
    <mergeCell ref="A1:N1"/>
    <mergeCell ref="A2:N2"/>
    <mergeCell ref="A4:D4"/>
    <mergeCell ref="B5:D5"/>
    <mergeCell ref="B6:D6"/>
  </mergeCells>
  <conditionalFormatting sqref="K14:K113">
    <cfRule type="cellIs" dxfId="15" priority="2" operator="equal">
      <formula>"Approved"</formula>
    </cfRule>
    <cfRule type="cellIs" dxfId="14" priority="3" operator="equal">
      <formula>"Pending"</formula>
    </cfRule>
    <cfRule type="cellIs" dxfId="13" priority="4" operator="equal">
      <formula>"Rejected"</formula>
    </cfRule>
  </conditionalFormatting>
  <dataValidations count="2">
    <dataValidation type="whole" showErrorMessage="1" error="Enter 1-36 months" sqref="G14:G113" xr:uid="{00000000-0002-0000-1F00-000000000000}">
      <formula1>1</formula1>
      <formula2>36</formula2>
    </dataValidation>
    <dataValidation type="list" sqref="L14:L113" xr:uid="{00000000-0002-0000-1F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tabColor rgb="FF27AE60"/>
  </sheetPr>
  <dimension ref="A1:L208"/>
  <sheetViews>
    <sheetView zoomScaleNormal="100" workbookViewId="0">
      <pane ySplit="8" topLeftCell="A9" activePane="bottomLeft" state="frozen"/>
      <selection pane="bottomLeft"/>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2" customWidth="1"/>
    <col min="8" max="8" width="14" customWidth="1"/>
    <col min="9" max="10" width="22" customWidth="1"/>
  </cols>
  <sheetData>
    <row r="1" spans="1:12" ht="31.5" customHeight="1" x14ac:dyDescent="0.25">
      <c r="A1" s="14" t="s">
        <v>235</v>
      </c>
      <c r="B1" s="14"/>
      <c r="C1" s="14"/>
      <c r="D1" s="14"/>
      <c r="E1" s="14"/>
      <c r="F1" s="14"/>
      <c r="G1" s="14"/>
      <c r="H1" s="14"/>
      <c r="I1" s="14"/>
      <c r="J1" s="14"/>
      <c r="K1" s="14"/>
      <c r="L1" s="14"/>
    </row>
    <row r="2" spans="1:12" ht="19.5" customHeight="1" x14ac:dyDescent="0.25">
      <c r="A2" s="204" t="s">
        <v>236</v>
      </c>
      <c r="B2" s="204"/>
      <c r="C2" s="204"/>
      <c r="D2" s="204"/>
      <c r="E2" s="204"/>
      <c r="F2" s="204"/>
      <c r="G2" s="204"/>
      <c r="H2" s="204"/>
      <c r="I2" s="204"/>
      <c r="J2" s="204"/>
      <c r="K2" s="204"/>
      <c r="L2" s="204"/>
    </row>
    <row r="3" spans="1:12" ht="18" customHeight="1" x14ac:dyDescent="0.25">
      <c r="A3" s="177" t="s">
        <v>167</v>
      </c>
      <c r="B3" s="177"/>
      <c r="C3" s="177"/>
      <c r="D3" s="180" t="s">
        <v>168</v>
      </c>
      <c r="E3" s="180"/>
      <c r="F3" s="180"/>
      <c r="G3" s="154" t="s">
        <v>169</v>
      </c>
      <c r="H3" s="154"/>
      <c r="I3" s="154"/>
      <c r="J3" s="2"/>
      <c r="K3" s="2"/>
      <c r="L3" s="2"/>
    </row>
    <row r="4" spans="1:12" ht="27.75" customHeight="1" x14ac:dyDescent="0.25">
      <c r="A4" s="205">
        <f ca="1">SUMIFS(DB_Savings!$F:$F,DB_Savings!$G:$G,"Agent 10",DB_Savings!$E:$E,TODAY())</f>
        <v>0</v>
      </c>
      <c r="B4" s="205"/>
      <c r="C4" s="205"/>
      <c r="D4" s="206">
        <f ca="1">COUNTIFS(DB_Savings!$G:$G,"Agent 10",DB_Savings!$E:$E,TODAY())</f>
        <v>0</v>
      </c>
      <c r="E4" s="206"/>
      <c r="F4" s="206"/>
      <c r="G4" s="207" t="str">
        <f ca="1">TEXT(TODAY(),"DDDD, DD MMMM YYYY")</f>
        <v>Sunday, 19 April 2026</v>
      </c>
      <c r="H4" s="207"/>
      <c r="I4" s="207"/>
      <c r="J4" s="2"/>
      <c r="K4" s="2"/>
      <c r="L4" s="2"/>
    </row>
    <row r="5" spans="1:12" ht="21.75" customHeight="1" x14ac:dyDescent="0.25">
      <c r="A5" s="208" t="str">
        <f ca="1">IF(SUMIFS(DB_Savings!$F:$F,DB_Savings!$G:$G,"Agent 10",DB_Savings!$E:$E,TODAY())&gt;=J4,"✅ DAILY TARGET ACHIEVED! Well done Agent 10!","⏳ Collection in progress — Keep going! Remaining: GHC "&amp;TEXT(J4-SUMIFS(DB_Savings!$F:$F,DB_Savings!$G:$G,"Agent 10",DB_Savings!$E:$E,TODAY()),"#,##0.00"))</f>
        <v>✅ DAILY TARGET ACHIEVED! Well done Agent 10!</v>
      </c>
      <c r="B5" s="208"/>
      <c r="C5" s="208"/>
      <c r="D5" s="208"/>
      <c r="E5" s="208"/>
      <c r="F5" s="208"/>
      <c r="G5" s="208"/>
      <c r="H5" s="208"/>
      <c r="I5" s="208"/>
      <c r="J5" s="208"/>
      <c r="K5" s="208"/>
      <c r="L5" s="208"/>
    </row>
    <row r="6" spans="1:12" ht="7.5" customHeight="1" x14ac:dyDescent="0.25"/>
    <row r="7" spans="1:12" ht="19.5" customHeight="1" x14ac:dyDescent="0.25">
      <c r="A7" s="209" t="s">
        <v>170</v>
      </c>
      <c r="B7" s="209"/>
      <c r="C7" s="209"/>
      <c r="D7" s="209"/>
      <c r="E7" s="209"/>
      <c r="F7" s="209"/>
      <c r="G7" s="209"/>
      <c r="H7" s="209"/>
      <c r="I7" s="209"/>
      <c r="J7" s="209"/>
      <c r="K7" s="209"/>
      <c r="L7" s="209"/>
    </row>
    <row r="8" spans="1:12" ht="19.5" customHeight="1" x14ac:dyDescent="0.25">
      <c r="A8" s="20" t="s">
        <v>171</v>
      </c>
      <c r="B8" s="20" t="s">
        <v>118</v>
      </c>
      <c r="C8" s="20" t="s">
        <v>172</v>
      </c>
      <c r="D8" s="20" t="s">
        <v>111</v>
      </c>
      <c r="E8" s="20" t="s">
        <v>173</v>
      </c>
      <c r="F8" s="20" t="s">
        <v>174</v>
      </c>
      <c r="G8" s="20" t="s">
        <v>32</v>
      </c>
      <c r="H8" s="78" t="s">
        <v>175</v>
      </c>
      <c r="I8" s="20" t="s">
        <v>155</v>
      </c>
      <c r="J8" s="20" t="s">
        <v>176</v>
      </c>
      <c r="K8" s="20" t="s">
        <v>177</v>
      </c>
    </row>
    <row r="9" spans="1:12" x14ac:dyDescent="0.25">
      <c r="A9" s="79"/>
      <c r="B9" s="21" t="str">
        <f>IF(A9="","",IFERROR(VLOOKUP(A9,DB_Customers!$A:$D,4,0),"❌ Account Not Found"))</f>
        <v/>
      </c>
      <c r="C9" s="80" t="str">
        <f>IF(A9="","",IFERROR(VLOOKUP(A9,DB_Customers!$A:$N,14,0),""))</f>
        <v/>
      </c>
      <c r="D9" s="81" t="str">
        <f t="shared" ref="D9:D40" ca="1" si="0">IF(A9="","",TODAY())</f>
        <v/>
      </c>
      <c r="E9" s="82"/>
      <c r="F9" s="83" t="str">
        <f t="shared" ref="F9:F40" si="1">IF(OR(A9="",E9=""),"",IF(C9="","",C9+E9))</f>
        <v/>
      </c>
      <c r="G9" s="23" t="s">
        <v>50</v>
      </c>
      <c r="H9" s="84"/>
      <c r="I9" s="85" t="str">
        <f>IF(A9="","Pending",IF(H9="","⚠️ Enter Code",IF(IFERROR(VLOOKUP(G9,DB_Agents!$B:$I,8,0),"")=H9,IF(AND(A9&lt;&gt;"",E9&lt;&gt;""),"Saved","Pending"),"🔒 BLOCKED — Wrong Code")))</f>
        <v>Pending</v>
      </c>
      <c r="J9" s="86" t="str">
        <f t="shared" ref="J9:J40" ca="1" si="2">IF(I9="Saved",TEXT(TODAY(),"YYYY-MM-DD")&amp;" Auto","—")</f>
        <v>—</v>
      </c>
      <c r="K9" s="87"/>
    </row>
    <row r="10" spans="1:12" x14ac:dyDescent="0.25">
      <c r="A10" s="88"/>
      <c r="B10" s="25" t="str">
        <f>IF(A10="","",IFERROR(VLOOKUP(A10,DB_Customers!$A:$D,4,0),"❌ Account Not Found"))</f>
        <v/>
      </c>
      <c r="C10" s="89" t="str">
        <f>IF(A10="","",IFERROR(VLOOKUP(A10,DB_Customers!$A:$N,14,0),""))</f>
        <v/>
      </c>
      <c r="D10" s="90" t="str">
        <f t="shared" ca="1" si="0"/>
        <v/>
      </c>
      <c r="E10" s="82"/>
      <c r="F10" s="91" t="str">
        <f t="shared" si="1"/>
        <v/>
      </c>
      <c r="G10" s="27" t="s">
        <v>50</v>
      </c>
      <c r="H10" s="84"/>
      <c r="I10" s="92" t="str">
        <f>IF(A10="","Pending",IF(H10="","⚠️ Enter Code",IF(IFERROR(VLOOKUP(G10,DB_Agents!$B:$I,8,0),"")=H10,IF(AND(A10&lt;&gt;"",E10&lt;&gt;""),"Saved","Pending"),"🔒 BLOCKED — Wrong Code")))</f>
        <v>Pending</v>
      </c>
      <c r="J10" s="93" t="str">
        <f t="shared" ca="1" si="2"/>
        <v>—</v>
      </c>
      <c r="K10" s="94"/>
    </row>
    <row r="11" spans="1:12" x14ac:dyDescent="0.25">
      <c r="A11" s="79"/>
      <c r="B11" s="21" t="str">
        <f>IF(A11="","",IFERROR(VLOOKUP(A11,DB_Customers!$A:$D,4,0),"❌ Account Not Found"))</f>
        <v/>
      </c>
      <c r="C11" s="80" t="str">
        <f>IF(A11="","",IFERROR(VLOOKUP(A11,DB_Customers!$A:$N,14,0),""))</f>
        <v/>
      </c>
      <c r="D11" s="81" t="str">
        <f t="shared" ca="1" si="0"/>
        <v/>
      </c>
      <c r="E11" s="82"/>
      <c r="F11" s="83" t="str">
        <f t="shared" si="1"/>
        <v/>
      </c>
      <c r="G11" s="23" t="s">
        <v>50</v>
      </c>
      <c r="H11" s="84"/>
      <c r="I11" s="85" t="str">
        <f>IF(A11="","Pending",IF(H11="","⚠️ Enter Code",IF(IFERROR(VLOOKUP(G11,DB_Agents!$B:$I,8,0),"")=H11,IF(AND(A11&lt;&gt;"",E11&lt;&gt;""),"Saved","Pending"),"🔒 BLOCKED — Wrong Code")))</f>
        <v>Pending</v>
      </c>
      <c r="J11" s="86" t="str">
        <f t="shared" ca="1" si="2"/>
        <v>—</v>
      </c>
      <c r="K11" s="87"/>
    </row>
    <row r="12" spans="1:12" x14ac:dyDescent="0.25">
      <c r="A12" s="88"/>
      <c r="B12" s="25" t="str">
        <f>IF(A12="","",IFERROR(VLOOKUP(A12,DB_Customers!$A:$D,4,0),"❌ Account Not Found"))</f>
        <v/>
      </c>
      <c r="C12" s="89" t="str">
        <f>IF(A12="","",IFERROR(VLOOKUP(A12,DB_Customers!$A:$N,14,0),""))</f>
        <v/>
      </c>
      <c r="D12" s="90" t="str">
        <f t="shared" ca="1" si="0"/>
        <v/>
      </c>
      <c r="E12" s="82"/>
      <c r="F12" s="91" t="str">
        <f t="shared" si="1"/>
        <v/>
      </c>
      <c r="G12" s="27" t="s">
        <v>50</v>
      </c>
      <c r="H12" s="84"/>
      <c r="I12" s="92" t="str">
        <f>IF(A12="","Pending",IF(H12="","⚠️ Enter Code",IF(IFERROR(VLOOKUP(G12,DB_Agents!$B:$I,8,0),"")=H12,IF(AND(A12&lt;&gt;"",E12&lt;&gt;""),"Saved","Pending"),"🔒 BLOCKED — Wrong Code")))</f>
        <v>Pending</v>
      </c>
      <c r="J12" s="93" t="str">
        <f t="shared" ca="1" si="2"/>
        <v>—</v>
      </c>
      <c r="K12" s="94"/>
    </row>
    <row r="13" spans="1:12" x14ac:dyDescent="0.25">
      <c r="A13" s="79"/>
      <c r="B13" s="21" t="str">
        <f>IF(A13="","",IFERROR(VLOOKUP(A13,DB_Customers!$A:$D,4,0),"❌ Account Not Found"))</f>
        <v/>
      </c>
      <c r="C13" s="80" t="str">
        <f>IF(A13="","",IFERROR(VLOOKUP(A13,DB_Customers!$A:$N,14,0),""))</f>
        <v/>
      </c>
      <c r="D13" s="81" t="str">
        <f t="shared" ca="1" si="0"/>
        <v/>
      </c>
      <c r="E13" s="82"/>
      <c r="F13" s="83" t="str">
        <f t="shared" si="1"/>
        <v/>
      </c>
      <c r="G13" s="23" t="s">
        <v>50</v>
      </c>
      <c r="H13" s="84"/>
      <c r="I13" s="85" t="str">
        <f>IF(A13="","Pending",IF(H13="","⚠️ Enter Code",IF(IFERROR(VLOOKUP(G13,DB_Agents!$B:$I,8,0),"")=H13,IF(AND(A13&lt;&gt;"",E13&lt;&gt;""),"Saved","Pending"),"🔒 BLOCKED — Wrong Code")))</f>
        <v>Pending</v>
      </c>
      <c r="J13" s="86" t="str">
        <f t="shared" ca="1" si="2"/>
        <v>—</v>
      </c>
      <c r="K13" s="87"/>
    </row>
    <row r="14" spans="1:12" x14ac:dyDescent="0.25">
      <c r="A14" s="88"/>
      <c r="B14" s="25" t="str">
        <f>IF(A14="","",IFERROR(VLOOKUP(A14,DB_Customers!$A:$D,4,0),"❌ Account Not Found"))</f>
        <v/>
      </c>
      <c r="C14" s="89" t="str">
        <f>IF(A14="","",IFERROR(VLOOKUP(A14,DB_Customers!$A:$N,14,0),""))</f>
        <v/>
      </c>
      <c r="D14" s="90" t="str">
        <f t="shared" ca="1" si="0"/>
        <v/>
      </c>
      <c r="E14" s="82"/>
      <c r="F14" s="91" t="str">
        <f t="shared" si="1"/>
        <v/>
      </c>
      <c r="G14" s="27"/>
      <c r="H14" s="84"/>
      <c r="I14" s="92" t="str">
        <f>IF(A14="","Pending",IF(H14="","⚠️ Enter Code",IF(IFERROR(VLOOKUP(G14,DB_Agents!$B:$I,8,0),"")=H14,IF(AND(A14&lt;&gt;"",E14&lt;&gt;""),"Saved","Pending"),"🔒 BLOCKED — Wrong Code")))</f>
        <v>Pending</v>
      </c>
      <c r="J14" s="93" t="str">
        <f t="shared" ca="1" si="2"/>
        <v>—</v>
      </c>
      <c r="K14" s="94"/>
    </row>
    <row r="15" spans="1:12" x14ac:dyDescent="0.25">
      <c r="A15" s="79"/>
      <c r="B15" s="21" t="str">
        <f>IF(A15="","",IFERROR(VLOOKUP(A15,DB_Customers!$A:$D,4,0),"❌ Account Not Found"))</f>
        <v/>
      </c>
      <c r="C15" s="80" t="str">
        <f>IF(A15="","",IFERROR(VLOOKUP(A15,DB_Customers!$A:$N,14,0),""))</f>
        <v/>
      </c>
      <c r="D15" s="81" t="str">
        <f t="shared" ca="1" si="0"/>
        <v/>
      </c>
      <c r="E15" s="82"/>
      <c r="F15" s="83" t="str">
        <f t="shared" si="1"/>
        <v/>
      </c>
      <c r="G15" s="23"/>
      <c r="H15" s="84"/>
      <c r="I15" s="85" t="str">
        <f>IF(A15="","Pending",IF(H15="","⚠️ Enter Code",IF(IFERROR(VLOOKUP(G15,DB_Agents!$B:$I,8,0),"")=H15,IF(AND(A15&lt;&gt;"",E15&lt;&gt;""),"Saved","Pending"),"🔒 BLOCKED — Wrong Code")))</f>
        <v>Pending</v>
      </c>
      <c r="J15" s="86" t="str">
        <f t="shared" ca="1" si="2"/>
        <v>—</v>
      </c>
      <c r="K15" s="87"/>
    </row>
    <row r="16" spans="1:12" x14ac:dyDescent="0.25">
      <c r="A16" s="88"/>
      <c r="B16" s="25" t="str">
        <f>IF(A16="","",IFERROR(VLOOKUP(A16,DB_Customers!$A:$D,4,0),"❌ Account Not Found"))</f>
        <v/>
      </c>
      <c r="C16" s="89" t="str">
        <f>IF(A16="","",IFERROR(VLOOKUP(A16,DB_Customers!$A:$N,14,0),""))</f>
        <v/>
      </c>
      <c r="D16" s="90" t="str">
        <f t="shared" ca="1" si="0"/>
        <v/>
      </c>
      <c r="E16" s="82"/>
      <c r="F16" s="91" t="str">
        <f t="shared" si="1"/>
        <v/>
      </c>
      <c r="G16" s="27"/>
      <c r="H16" s="84"/>
      <c r="I16" s="92" t="str">
        <f>IF(A16="","Pending",IF(H16="","⚠️ Enter Code",IF(IFERROR(VLOOKUP(G16,DB_Agents!$B:$I,8,0),"")=H16,IF(AND(A16&lt;&gt;"",E16&lt;&gt;""),"Saved","Pending"),"🔒 BLOCKED — Wrong Code")))</f>
        <v>Pending</v>
      </c>
      <c r="J16" s="93" t="str">
        <f t="shared" ca="1" si="2"/>
        <v>—</v>
      </c>
      <c r="K16" s="94"/>
    </row>
    <row r="17" spans="1:11" x14ac:dyDescent="0.25">
      <c r="A17" s="79"/>
      <c r="B17" s="21" t="str">
        <f>IF(A17="","",IFERROR(VLOOKUP(A17,DB_Customers!$A:$D,4,0),"❌ Account Not Found"))</f>
        <v/>
      </c>
      <c r="C17" s="80" t="str">
        <f>IF(A17="","",IFERROR(VLOOKUP(A17,DB_Customers!$A:$N,14,0),""))</f>
        <v/>
      </c>
      <c r="D17" s="81" t="str">
        <f t="shared" ca="1" si="0"/>
        <v/>
      </c>
      <c r="E17" s="82"/>
      <c r="F17" s="83" t="str">
        <f t="shared" si="1"/>
        <v/>
      </c>
      <c r="G17" s="23"/>
      <c r="H17" s="84"/>
      <c r="I17" s="85" t="str">
        <f>IF(A17="","Pending",IF(H17="","⚠️ Enter Code",IF(IFERROR(VLOOKUP(G17,DB_Agents!$B:$I,8,0),"")=H17,IF(AND(A17&lt;&gt;"",E17&lt;&gt;""),"Saved","Pending"),"🔒 BLOCKED — Wrong Code")))</f>
        <v>Pending</v>
      </c>
      <c r="J17" s="86" t="str">
        <f t="shared" ca="1" si="2"/>
        <v>—</v>
      </c>
      <c r="K17" s="87"/>
    </row>
    <row r="18" spans="1:11" x14ac:dyDescent="0.25">
      <c r="A18" s="88"/>
      <c r="B18" s="25" t="str">
        <f>IF(A18="","",IFERROR(VLOOKUP(A18,DB_Customers!$A:$D,4,0),"❌ Account Not Found"))</f>
        <v/>
      </c>
      <c r="C18" s="89" t="str">
        <f>IF(A18="","",IFERROR(VLOOKUP(A18,DB_Customers!$A:$N,14,0),""))</f>
        <v/>
      </c>
      <c r="D18" s="90" t="str">
        <f t="shared" ca="1" si="0"/>
        <v/>
      </c>
      <c r="E18" s="82"/>
      <c r="F18" s="91" t="str">
        <f t="shared" si="1"/>
        <v/>
      </c>
      <c r="G18" s="27"/>
      <c r="H18" s="84"/>
      <c r="I18" s="92" t="str">
        <f>IF(A18="","Pending",IF(H18="","⚠️ Enter Code",IF(IFERROR(VLOOKUP(G18,DB_Agents!$B:$I,8,0),"")=H18,IF(AND(A18&lt;&gt;"",E18&lt;&gt;""),"Saved","Pending"),"🔒 BLOCKED — Wrong Code")))</f>
        <v>Pending</v>
      </c>
      <c r="J18" s="93" t="str">
        <f t="shared" ca="1" si="2"/>
        <v>—</v>
      </c>
      <c r="K18" s="94"/>
    </row>
    <row r="19" spans="1:11" x14ac:dyDescent="0.25">
      <c r="A19" s="79"/>
      <c r="B19" s="21" t="str">
        <f>IF(A19="","",IFERROR(VLOOKUP(A19,DB_Customers!$A:$D,4,0),"❌ Account Not Found"))</f>
        <v/>
      </c>
      <c r="C19" s="80" t="str">
        <f>IF(A19="","",IFERROR(VLOOKUP(A19,DB_Customers!$A:$N,14,0),""))</f>
        <v/>
      </c>
      <c r="D19" s="81" t="str">
        <f t="shared" ca="1" si="0"/>
        <v/>
      </c>
      <c r="E19" s="82"/>
      <c r="F19" s="83" t="str">
        <f t="shared" si="1"/>
        <v/>
      </c>
      <c r="G19" s="23"/>
      <c r="H19" s="84"/>
      <c r="I19" s="85" t="str">
        <f>IF(A19="","Pending",IF(H19="","⚠️ Enter Code",IF(IFERROR(VLOOKUP(G19,DB_Agents!$B:$I,8,0),"")=H19,IF(AND(A19&lt;&gt;"",E19&lt;&gt;""),"Saved","Pending"),"🔒 BLOCKED — Wrong Code")))</f>
        <v>Pending</v>
      </c>
      <c r="J19" s="86" t="str">
        <f t="shared" ca="1" si="2"/>
        <v>—</v>
      </c>
      <c r="K19" s="87"/>
    </row>
    <row r="20" spans="1:11" x14ac:dyDescent="0.25">
      <c r="A20" s="88"/>
      <c r="B20" s="25" t="str">
        <f>IF(A20="","",IFERROR(VLOOKUP(A20,DB_Customers!$A:$D,4,0),"❌ Account Not Found"))</f>
        <v/>
      </c>
      <c r="C20" s="89" t="str">
        <f>IF(A20="","",IFERROR(VLOOKUP(A20,DB_Customers!$A:$N,14,0),""))</f>
        <v/>
      </c>
      <c r="D20" s="90" t="str">
        <f t="shared" ca="1" si="0"/>
        <v/>
      </c>
      <c r="E20" s="82"/>
      <c r="F20" s="91" t="str">
        <f t="shared" si="1"/>
        <v/>
      </c>
      <c r="G20" s="27"/>
      <c r="H20" s="84"/>
      <c r="I20" s="92" t="str">
        <f>IF(A20="","Pending",IF(H20="","⚠️ Enter Code",IF(IFERROR(VLOOKUP(G20,DB_Agents!$B:$I,8,0),"")=H20,IF(AND(A20&lt;&gt;"",E20&lt;&gt;""),"Saved","Pending"),"🔒 BLOCKED — Wrong Code")))</f>
        <v>Pending</v>
      </c>
      <c r="J20" s="93" t="str">
        <f t="shared" ca="1" si="2"/>
        <v>—</v>
      </c>
      <c r="K20" s="94"/>
    </row>
    <row r="21" spans="1:11" x14ac:dyDescent="0.25">
      <c r="A21" s="79"/>
      <c r="B21" s="21" t="str">
        <f>IF(A21="","",IFERROR(VLOOKUP(A21,DB_Customers!$A:$D,4,0),"❌ Account Not Found"))</f>
        <v/>
      </c>
      <c r="C21" s="80" t="str">
        <f>IF(A21="","",IFERROR(VLOOKUP(A21,DB_Customers!$A:$N,14,0),""))</f>
        <v/>
      </c>
      <c r="D21" s="81" t="str">
        <f t="shared" ca="1" si="0"/>
        <v/>
      </c>
      <c r="E21" s="82"/>
      <c r="F21" s="83" t="str">
        <f t="shared" si="1"/>
        <v/>
      </c>
      <c r="G21" s="23"/>
      <c r="H21" s="84"/>
      <c r="I21" s="85" t="str">
        <f>IF(A21="","Pending",IF(H21="","⚠️ Enter Code",IF(IFERROR(VLOOKUP(G21,DB_Agents!$B:$I,8,0),"")=H21,IF(AND(A21&lt;&gt;"",E21&lt;&gt;""),"Saved","Pending"),"🔒 BLOCKED — Wrong Code")))</f>
        <v>Pending</v>
      </c>
      <c r="J21" s="86" t="str">
        <f t="shared" ca="1" si="2"/>
        <v>—</v>
      </c>
      <c r="K21" s="87"/>
    </row>
    <row r="22" spans="1:11" x14ac:dyDescent="0.25">
      <c r="A22" s="88"/>
      <c r="B22" s="25" t="str">
        <f>IF(A22="","",IFERROR(VLOOKUP(A22,DB_Customers!$A:$D,4,0),"❌ Account Not Found"))</f>
        <v/>
      </c>
      <c r="C22" s="89" t="str">
        <f>IF(A22="","",IFERROR(VLOOKUP(A22,DB_Customers!$A:$N,14,0),""))</f>
        <v/>
      </c>
      <c r="D22" s="90" t="str">
        <f t="shared" ca="1" si="0"/>
        <v/>
      </c>
      <c r="E22" s="82"/>
      <c r="F22" s="91" t="str">
        <f t="shared" si="1"/>
        <v/>
      </c>
      <c r="G22" s="27"/>
      <c r="H22" s="84"/>
      <c r="I22" s="92" t="str">
        <f>IF(A22="","Pending",IF(H22="","⚠️ Enter Code",IF(IFERROR(VLOOKUP(G22,DB_Agents!$B:$I,8,0),"")=H22,IF(AND(A22&lt;&gt;"",E22&lt;&gt;""),"Saved","Pending"),"🔒 BLOCKED — Wrong Code")))</f>
        <v>Pending</v>
      </c>
      <c r="J22" s="93" t="str">
        <f t="shared" ca="1" si="2"/>
        <v>—</v>
      </c>
      <c r="K22" s="94"/>
    </row>
    <row r="23" spans="1:11" x14ac:dyDescent="0.25">
      <c r="A23" s="79"/>
      <c r="B23" s="21" t="str">
        <f>IF(A23="","",IFERROR(VLOOKUP(A23,DB_Customers!$A:$D,4,0),"❌ Account Not Found"))</f>
        <v/>
      </c>
      <c r="C23" s="80" t="str">
        <f>IF(A23="","",IFERROR(VLOOKUP(A23,DB_Customers!$A:$N,14,0),""))</f>
        <v/>
      </c>
      <c r="D23" s="81" t="str">
        <f t="shared" ca="1" si="0"/>
        <v/>
      </c>
      <c r="E23" s="82"/>
      <c r="F23" s="83" t="str">
        <f t="shared" si="1"/>
        <v/>
      </c>
      <c r="G23" s="23"/>
      <c r="H23" s="84"/>
      <c r="I23" s="85" t="str">
        <f>IF(A23="","Pending",IF(H23="","⚠️ Enter Code",IF(IFERROR(VLOOKUP(G23,DB_Agents!$B:$I,8,0),"")=H23,IF(AND(A23&lt;&gt;"",E23&lt;&gt;""),"Saved","Pending"),"🔒 BLOCKED — Wrong Code")))</f>
        <v>Pending</v>
      </c>
      <c r="J23" s="86" t="str">
        <f t="shared" ca="1" si="2"/>
        <v>—</v>
      </c>
      <c r="K23" s="87"/>
    </row>
    <row r="24" spans="1:11" x14ac:dyDescent="0.25">
      <c r="A24" s="88"/>
      <c r="B24" s="25" t="str">
        <f>IF(A24="","",IFERROR(VLOOKUP(A24,DB_Customers!$A:$D,4,0),"❌ Account Not Found"))</f>
        <v/>
      </c>
      <c r="C24" s="89" t="str">
        <f>IF(A24="","",IFERROR(VLOOKUP(A24,DB_Customers!$A:$N,14,0),""))</f>
        <v/>
      </c>
      <c r="D24" s="90" t="str">
        <f t="shared" ca="1" si="0"/>
        <v/>
      </c>
      <c r="E24" s="82"/>
      <c r="F24" s="91" t="str">
        <f t="shared" si="1"/>
        <v/>
      </c>
      <c r="G24" s="27"/>
      <c r="H24" s="84"/>
      <c r="I24" s="92" t="str">
        <f>IF(A24="","Pending",IF(H24="","⚠️ Enter Code",IF(IFERROR(VLOOKUP(G24,DB_Agents!$B:$I,8,0),"")=H24,IF(AND(A24&lt;&gt;"",E24&lt;&gt;""),"Saved","Pending"),"🔒 BLOCKED — Wrong Code")))</f>
        <v>Pending</v>
      </c>
      <c r="J24" s="93" t="str">
        <f t="shared" ca="1" si="2"/>
        <v>—</v>
      </c>
      <c r="K24" s="94"/>
    </row>
    <row r="25" spans="1:11" x14ac:dyDescent="0.25">
      <c r="A25" s="79"/>
      <c r="B25" s="21" t="str">
        <f>IF(A25="","",IFERROR(VLOOKUP(A25,DB_Customers!$A:$D,4,0),"❌ Account Not Found"))</f>
        <v/>
      </c>
      <c r="C25" s="80" t="str">
        <f>IF(A25="","",IFERROR(VLOOKUP(A25,DB_Customers!$A:$N,14,0),""))</f>
        <v/>
      </c>
      <c r="D25" s="81" t="str">
        <f t="shared" ca="1" si="0"/>
        <v/>
      </c>
      <c r="E25" s="82"/>
      <c r="F25" s="83" t="str">
        <f t="shared" si="1"/>
        <v/>
      </c>
      <c r="G25" s="23"/>
      <c r="H25" s="84"/>
      <c r="I25" s="85" t="str">
        <f>IF(A25="","Pending",IF(H25="","⚠️ Enter Code",IF(IFERROR(VLOOKUP(G25,DB_Agents!$B:$I,8,0),"")=H25,IF(AND(A25&lt;&gt;"",E25&lt;&gt;""),"Saved","Pending"),"🔒 BLOCKED — Wrong Code")))</f>
        <v>Pending</v>
      </c>
      <c r="J25" s="86" t="str">
        <f t="shared" ca="1" si="2"/>
        <v>—</v>
      </c>
      <c r="K25" s="87"/>
    </row>
    <row r="26" spans="1:11" x14ac:dyDescent="0.25">
      <c r="A26" s="88"/>
      <c r="B26" s="25" t="str">
        <f>IF(A26="","",IFERROR(VLOOKUP(A26,DB_Customers!$A:$D,4,0),"❌ Account Not Found"))</f>
        <v/>
      </c>
      <c r="C26" s="89" t="str">
        <f>IF(A26="","",IFERROR(VLOOKUP(A26,DB_Customers!$A:$N,14,0),""))</f>
        <v/>
      </c>
      <c r="D26" s="90" t="str">
        <f t="shared" ca="1" si="0"/>
        <v/>
      </c>
      <c r="E26" s="82"/>
      <c r="F26" s="91" t="str">
        <f t="shared" si="1"/>
        <v/>
      </c>
      <c r="G26" s="27"/>
      <c r="H26" s="84"/>
      <c r="I26" s="92" t="str">
        <f>IF(A26="","Pending",IF(H26="","⚠️ Enter Code",IF(IFERROR(VLOOKUP(G26,DB_Agents!$B:$I,8,0),"")=H26,IF(AND(A26&lt;&gt;"",E26&lt;&gt;""),"Saved","Pending"),"🔒 BLOCKED — Wrong Code")))</f>
        <v>Pending</v>
      </c>
      <c r="J26" s="93" t="str">
        <f t="shared" ca="1" si="2"/>
        <v>—</v>
      </c>
      <c r="K26" s="94"/>
    </row>
    <row r="27" spans="1:11" x14ac:dyDescent="0.25">
      <c r="A27" s="79"/>
      <c r="B27" s="21" t="str">
        <f>IF(A27="","",IFERROR(VLOOKUP(A27,DB_Customers!$A:$D,4,0),"❌ Account Not Found"))</f>
        <v/>
      </c>
      <c r="C27" s="80" t="str">
        <f>IF(A27="","",IFERROR(VLOOKUP(A27,DB_Customers!$A:$N,14,0),""))</f>
        <v/>
      </c>
      <c r="D27" s="81" t="str">
        <f t="shared" ca="1" si="0"/>
        <v/>
      </c>
      <c r="E27" s="82"/>
      <c r="F27" s="83" t="str">
        <f t="shared" si="1"/>
        <v/>
      </c>
      <c r="G27" s="23"/>
      <c r="H27" s="84"/>
      <c r="I27" s="85" t="str">
        <f>IF(A27="","Pending",IF(H27="","⚠️ Enter Code",IF(IFERROR(VLOOKUP(G27,DB_Agents!$B:$I,8,0),"")=H27,IF(AND(A27&lt;&gt;"",E27&lt;&gt;""),"Saved","Pending"),"🔒 BLOCKED — Wrong Code")))</f>
        <v>Pending</v>
      </c>
      <c r="J27" s="86" t="str">
        <f t="shared" ca="1" si="2"/>
        <v>—</v>
      </c>
      <c r="K27" s="87"/>
    </row>
    <row r="28" spans="1:11" x14ac:dyDescent="0.25">
      <c r="A28" s="88"/>
      <c r="B28" s="25" t="str">
        <f>IF(A28="","",IFERROR(VLOOKUP(A28,DB_Customers!$A:$D,4,0),"❌ Account Not Found"))</f>
        <v/>
      </c>
      <c r="C28" s="89" t="str">
        <f>IF(A28="","",IFERROR(VLOOKUP(A28,DB_Customers!$A:$N,14,0),""))</f>
        <v/>
      </c>
      <c r="D28" s="90" t="str">
        <f t="shared" ca="1" si="0"/>
        <v/>
      </c>
      <c r="E28" s="82"/>
      <c r="F28" s="91" t="str">
        <f t="shared" si="1"/>
        <v/>
      </c>
      <c r="G28" s="27"/>
      <c r="H28" s="84"/>
      <c r="I28" s="92" t="str">
        <f>IF(A28="","Pending",IF(H28="","⚠️ Enter Code",IF(IFERROR(VLOOKUP(G28,DB_Agents!$B:$I,8,0),"")=H28,IF(AND(A28&lt;&gt;"",E28&lt;&gt;""),"Saved","Pending"),"🔒 BLOCKED — Wrong Code")))</f>
        <v>Pending</v>
      </c>
      <c r="J28" s="93" t="str">
        <f t="shared" ca="1" si="2"/>
        <v>—</v>
      </c>
      <c r="K28" s="94"/>
    </row>
    <row r="29" spans="1:11" x14ac:dyDescent="0.25">
      <c r="A29" s="79"/>
      <c r="B29" s="21" t="str">
        <f>IF(A29="","",IFERROR(VLOOKUP(A29,DB_Customers!$A:$D,4,0),"❌ Account Not Found"))</f>
        <v/>
      </c>
      <c r="C29" s="80" t="str">
        <f>IF(A29="","",IFERROR(VLOOKUP(A29,DB_Customers!$A:$N,14,0),""))</f>
        <v/>
      </c>
      <c r="D29" s="81" t="str">
        <f t="shared" ca="1" si="0"/>
        <v/>
      </c>
      <c r="E29" s="82"/>
      <c r="F29" s="83" t="str">
        <f t="shared" si="1"/>
        <v/>
      </c>
      <c r="G29" s="23"/>
      <c r="H29" s="84"/>
      <c r="I29" s="85" t="str">
        <f>IF(A29="","Pending",IF(H29="","⚠️ Enter Code",IF(IFERROR(VLOOKUP(G29,DB_Agents!$B:$I,8,0),"")=H29,IF(AND(A29&lt;&gt;"",E29&lt;&gt;""),"Saved","Pending"),"🔒 BLOCKED — Wrong Code")))</f>
        <v>Pending</v>
      </c>
      <c r="J29" s="86" t="str">
        <f t="shared" ca="1" si="2"/>
        <v>—</v>
      </c>
      <c r="K29" s="87"/>
    </row>
    <row r="30" spans="1:11" x14ac:dyDescent="0.25">
      <c r="A30" s="88"/>
      <c r="B30" s="25" t="str">
        <f>IF(A30="","",IFERROR(VLOOKUP(A30,DB_Customers!$A:$D,4,0),"❌ Account Not Found"))</f>
        <v/>
      </c>
      <c r="C30" s="89" t="str">
        <f>IF(A30="","",IFERROR(VLOOKUP(A30,DB_Customers!$A:$N,14,0),""))</f>
        <v/>
      </c>
      <c r="D30" s="90" t="str">
        <f t="shared" ca="1" si="0"/>
        <v/>
      </c>
      <c r="E30" s="82"/>
      <c r="F30" s="91" t="str">
        <f t="shared" si="1"/>
        <v/>
      </c>
      <c r="G30" s="27"/>
      <c r="H30" s="84"/>
      <c r="I30" s="92" t="str">
        <f>IF(A30="","Pending",IF(H30="","⚠️ Enter Code",IF(IFERROR(VLOOKUP(G30,DB_Agents!$B:$I,8,0),"")=H30,IF(AND(A30&lt;&gt;"",E30&lt;&gt;""),"Saved","Pending"),"🔒 BLOCKED — Wrong Code")))</f>
        <v>Pending</v>
      </c>
      <c r="J30" s="93" t="str">
        <f t="shared" ca="1" si="2"/>
        <v>—</v>
      </c>
      <c r="K30" s="94"/>
    </row>
    <row r="31" spans="1:11" x14ac:dyDescent="0.25">
      <c r="A31" s="79"/>
      <c r="B31" s="21" t="str">
        <f>IF(A31="","",IFERROR(VLOOKUP(A31,DB_Customers!$A:$D,4,0),"❌ Account Not Found"))</f>
        <v/>
      </c>
      <c r="C31" s="80" t="str">
        <f>IF(A31="","",IFERROR(VLOOKUP(A31,DB_Customers!$A:$N,14,0),""))</f>
        <v/>
      </c>
      <c r="D31" s="81" t="str">
        <f t="shared" ca="1" si="0"/>
        <v/>
      </c>
      <c r="E31" s="82"/>
      <c r="F31" s="83" t="str">
        <f t="shared" si="1"/>
        <v/>
      </c>
      <c r="G31" s="23"/>
      <c r="H31" s="84"/>
      <c r="I31" s="85" t="str">
        <f>IF(A31="","Pending",IF(H31="","⚠️ Enter Code",IF(IFERROR(VLOOKUP(G31,DB_Agents!$B:$I,8,0),"")=H31,IF(AND(A31&lt;&gt;"",E31&lt;&gt;""),"Saved","Pending"),"🔒 BLOCKED — Wrong Code")))</f>
        <v>Pending</v>
      </c>
      <c r="J31" s="86" t="str">
        <f t="shared" ca="1" si="2"/>
        <v>—</v>
      </c>
      <c r="K31" s="87"/>
    </row>
    <row r="32" spans="1:11" x14ac:dyDescent="0.25">
      <c r="A32" s="88"/>
      <c r="B32" s="25" t="str">
        <f>IF(A32="","",IFERROR(VLOOKUP(A32,DB_Customers!$A:$D,4,0),"❌ Account Not Found"))</f>
        <v/>
      </c>
      <c r="C32" s="89" t="str">
        <f>IF(A32="","",IFERROR(VLOOKUP(A32,DB_Customers!$A:$N,14,0),""))</f>
        <v/>
      </c>
      <c r="D32" s="90" t="str">
        <f t="shared" ca="1" si="0"/>
        <v/>
      </c>
      <c r="E32" s="82"/>
      <c r="F32" s="91" t="str">
        <f t="shared" si="1"/>
        <v/>
      </c>
      <c r="G32" s="27"/>
      <c r="H32" s="84"/>
      <c r="I32" s="92" t="str">
        <f>IF(A32="","Pending",IF(H32="","⚠️ Enter Code",IF(IFERROR(VLOOKUP(G32,DB_Agents!$B:$I,8,0),"")=H32,IF(AND(A32&lt;&gt;"",E32&lt;&gt;""),"Saved","Pending"),"🔒 BLOCKED — Wrong Code")))</f>
        <v>Pending</v>
      </c>
      <c r="J32" s="93" t="str">
        <f t="shared" ca="1" si="2"/>
        <v>—</v>
      </c>
      <c r="K32" s="94"/>
    </row>
    <row r="33" spans="1:11" x14ac:dyDescent="0.25">
      <c r="A33" s="79"/>
      <c r="B33" s="21" t="str">
        <f>IF(A33="","",IFERROR(VLOOKUP(A33,DB_Customers!$A:$D,4,0),"❌ Account Not Found"))</f>
        <v/>
      </c>
      <c r="C33" s="80" t="str">
        <f>IF(A33="","",IFERROR(VLOOKUP(A33,DB_Customers!$A:$N,14,0),""))</f>
        <v/>
      </c>
      <c r="D33" s="81" t="str">
        <f t="shared" ca="1" si="0"/>
        <v/>
      </c>
      <c r="E33" s="82"/>
      <c r="F33" s="83" t="str">
        <f t="shared" si="1"/>
        <v/>
      </c>
      <c r="G33" s="23"/>
      <c r="H33" s="84"/>
      <c r="I33" s="85" t="str">
        <f>IF(A33="","Pending",IF(H33="","⚠️ Enter Code",IF(IFERROR(VLOOKUP(G33,DB_Agents!$B:$I,8,0),"")=H33,IF(AND(A33&lt;&gt;"",E33&lt;&gt;""),"Saved","Pending"),"🔒 BLOCKED — Wrong Code")))</f>
        <v>Pending</v>
      </c>
      <c r="J33" s="86" t="str">
        <f t="shared" ca="1" si="2"/>
        <v>—</v>
      </c>
      <c r="K33" s="87"/>
    </row>
    <row r="34" spans="1:11" x14ac:dyDescent="0.25">
      <c r="A34" s="88"/>
      <c r="B34" s="25" t="str">
        <f>IF(A34="","",IFERROR(VLOOKUP(A34,DB_Customers!$A:$D,4,0),"❌ Account Not Found"))</f>
        <v/>
      </c>
      <c r="C34" s="89" t="str">
        <f>IF(A34="","",IFERROR(VLOOKUP(A34,DB_Customers!$A:$N,14,0),""))</f>
        <v/>
      </c>
      <c r="D34" s="90" t="str">
        <f t="shared" ca="1" si="0"/>
        <v/>
      </c>
      <c r="E34" s="82"/>
      <c r="F34" s="91" t="str">
        <f t="shared" si="1"/>
        <v/>
      </c>
      <c r="G34" s="27"/>
      <c r="H34" s="84"/>
      <c r="I34" s="92" t="str">
        <f>IF(A34="","Pending",IF(H34="","⚠️ Enter Code",IF(IFERROR(VLOOKUP(G34,DB_Agents!$B:$I,8,0),"")=H34,IF(AND(A34&lt;&gt;"",E34&lt;&gt;""),"Saved","Pending"),"🔒 BLOCKED — Wrong Code")))</f>
        <v>Pending</v>
      </c>
      <c r="J34" s="93" t="str">
        <f t="shared" ca="1" si="2"/>
        <v>—</v>
      </c>
      <c r="K34" s="94"/>
    </row>
    <row r="35" spans="1:11" x14ac:dyDescent="0.25">
      <c r="A35" s="79"/>
      <c r="B35" s="21" t="str">
        <f>IF(A35="","",IFERROR(VLOOKUP(A35,DB_Customers!$A:$D,4,0),"❌ Account Not Found"))</f>
        <v/>
      </c>
      <c r="C35" s="80" t="str">
        <f>IF(A35="","",IFERROR(VLOOKUP(A35,DB_Customers!$A:$N,14,0),""))</f>
        <v/>
      </c>
      <c r="D35" s="81" t="str">
        <f t="shared" ca="1" si="0"/>
        <v/>
      </c>
      <c r="E35" s="82"/>
      <c r="F35" s="83" t="str">
        <f t="shared" si="1"/>
        <v/>
      </c>
      <c r="G35" s="23"/>
      <c r="H35" s="84"/>
      <c r="I35" s="85" t="str">
        <f>IF(A35="","Pending",IF(H35="","⚠️ Enter Code",IF(IFERROR(VLOOKUP(G35,DB_Agents!$B:$I,8,0),"")=H35,IF(AND(A35&lt;&gt;"",E35&lt;&gt;""),"Saved","Pending"),"🔒 BLOCKED — Wrong Code")))</f>
        <v>Pending</v>
      </c>
      <c r="J35" s="86" t="str">
        <f t="shared" ca="1" si="2"/>
        <v>—</v>
      </c>
      <c r="K35" s="87"/>
    </row>
    <row r="36" spans="1:11" x14ac:dyDescent="0.25">
      <c r="A36" s="88"/>
      <c r="B36" s="25" t="str">
        <f>IF(A36="","",IFERROR(VLOOKUP(A36,DB_Customers!$A:$D,4,0),"❌ Account Not Found"))</f>
        <v/>
      </c>
      <c r="C36" s="89" t="str">
        <f>IF(A36="","",IFERROR(VLOOKUP(A36,DB_Customers!$A:$N,14,0),""))</f>
        <v/>
      </c>
      <c r="D36" s="90" t="str">
        <f t="shared" ca="1" si="0"/>
        <v/>
      </c>
      <c r="E36" s="82"/>
      <c r="F36" s="91" t="str">
        <f t="shared" si="1"/>
        <v/>
      </c>
      <c r="G36" s="27"/>
      <c r="H36" s="84"/>
      <c r="I36" s="92" t="str">
        <f>IF(A36="","Pending",IF(H36="","⚠️ Enter Code",IF(IFERROR(VLOOKUP(G36,DB_Agents!$B:$I,8,0),"")=H36,IF(AND(A36&lt;&gt;"",E36&lt;&gt;""),"Saved","Pending"),"🔒 BLOCKED — Wrong Code")))</f>
        <v>Pending</v>
      </c>
      <c r="J36" s="93" t="str">
        <f t="shared" ca="1" si="2"/>
        <v>—</v>
      </c>
      <c r="K36" s="94"/>
    </row>
    <row r="37" spans="1:11" x14ac:dyDescent="0.25">
      <c r="A37" s="79"/>
      <c r="B37" s="21" t="str">
        <f>IF(A37="","",IFERROR(VLOOKUP(A37,DB_Customers!$A:$D,4,0),"❌ Account Not Found"))</f>
        <v/>
      </c>
      <c r="C37" s="80" t="str">
        <f>IF(A37="","",IFERROR(VLOOKUP(A37,DB_Customers!$A:$N,14,0),""))</f>
        <v/>
      </c>
      <c r="D37" s="81" t="str">
        <f t="shared" ca="1" si="0"/>
        <v/>
      </c>
      <c r="E37" s="82"/>
      <c r="F37" s="83" t="str">
        <f t="shared" si="1"/>
        <v/>
      </c>
      <c r="G37" s="23"/>
      <c r="H37" s="84"/>
      <c r="I37" s="85" t="str">
        <f>IF(A37="","Pending",IF(H37="","⚠️ Enter Code",IF(IFERROR(VLOOKUP(G37,DB_Agents!$B:$I,8,0),"")=H37,IF(AND(A37&lt;&gt;"",E37&lt;&gt;""),"Saved","Pending"),"🔒 BLOCKED — Wrong Code")))</f>
        <v>Pending</v>
      </c>
      <c r="J37" s="86" t="str">
        <f t="shared" ca="1" si="2"/>
        <v>—</v>
      </c>
      <c r="K37" s="87"/>
    </row>
    <row r="38" spans="1:11" x14ac:dyDescent="0.25">
      <c r="A38" s="88"/>
      <c r="B38" s="25" t="str">
        <f>IF(A38="","",IFERROR(VLOOKUP(A38,DB_Customers!$A:$D,4,0),"❌ Account Not Found"))</f>
        <v/>
      </c>
      <c r="C38" s="89" t="str">
        <f>IF(A38="","",IFERROR(VLOOKUP(A38,DB_Customers!$A:$N,14,0),""))</f>
        <v/>
      </c>
      <c r="D38" s="90" t="str">
        <f t="shared" ca="1" si="0"/>
        <v/>
      </c>
      <c r="E38" s="82"/>
      <c r="F38" s="91" t="str">
        <f t="shared" si="1"/>
        <v/>
      </c>
      <c r="G38" s="27"/>
      <c r="H38" s="84"/>
      <c r="I38" s="92" t="str">
        <f>IF(A38="","Pending",IF(H38="","⚠️ Enter Code",IF(IFERROR(VLOOKUP(G38,DB_Agents!$B:$I,8,0),"")=H38,IF(AND(A38&lt;&gt;"",E38&lt;&gt;""),"Saved","Pending"),"🔒 BLOCKED — Wrong Code")))</f>
        <v>Pending</v>
      </c>
      <c r="J38" s="93" t="str">
        <f t="shared" ca="1" si="2"/>
        <v>—</v>
      </c>
      <c r="K38" s="94"/>
    </row>
    <row r="39" spans="1:11" x14ac:dyDescent="0.25">
      <c r="A39" s="79"/>
      <c r="B39" s="21" t="str">
        <f>IF(A39="","",IFERROR(VLOOKUP(A39,DB_Customers!$A:$D,4,0),"❌ Account Not Found"))</f>
        <v/>
      </c>
      <c r="C39" s="80" t="str">
        <f>IF(A39="","",IFERROR(VLOOKUP(A39,DB_Customers!$A:$N,14,0),""))</f>
        <v/>
      </c>
      <c r="D39" s="81" t="str">
        <f t="shared" ca="1" si="0"/>
        <v/>
      </c>
      <c r="E39" s="82"/>
      <c r="F39" s="83" t="str">
        <f t="shared" si="1"/>
        <v/>
      </c>
      <c r="G39" s="23"/>
      <c r="H39" s="84"/>
      <c r="I39" s="85" t="str">
        <f>IF(A39="","Pending",IF(H39="","⚠️ Enter Code",IF(IFERROR(VLOOKUP(G39,DB_Agents!$B:$I,8,0),"")=H39,IF(AND(A39&lt;&gt;"",E39&lt;&gt;""),"Saved","Pending"),"🔒 BLOCKED — Wrong Code")))</f>
        <v>Pending</v>
      </c>
      <c r="J39" s="86" t="str">
        <f t="shared" ca="1" si="2"/>
        <v>—</v>
      </c>
      <c r="K39" s="87"/>
    </row>
    <row r="40" spans="1:11" x14ac:dyDescent="0.25">
      <c r="A40" s="88"/>
      <c r="B40" s="25" t="str">
        <f>IF(A40="","",IFERROR(VLOOKUP(A40,DB_Customers!$A:$D,4,0),"❌ Account Not Found"))</f>
        <v/>
      </c>
      <c r="C40" s="89" t="str">
        <f>IF(A40="","",IFERROR(VLOOKUP(A40,DB_Customers!$A:$N,14,0),""))</f>
        <v/>
      </c>
      <c r="D40" s="90" t="str">
        <f t="shared" ca="1" si="0"/>
        <v/>
      </c>
      <c r="E40" s="82"/>
      <c r="F40" s="91" t="str">
        <f t="shared" si="1"/>
        <v/>
      </c>
      <c r="G40" s="27"/>
      <c r="H40" s="84"/>
      <c r="I40" s="92" t="str">
        <f>IF(A40="","Pending",IF(H40="","⚠️ Enter Code",IF(IFERROR(VLOOKUP(G40,DB_Agents!$B:$I,8,0),"")=H40,IF(AND(A40&lt;&gt;"",E40&lt;&gt;""),"Saved","Pending"),"🔒 BLOCKED — Wrong Code")))</f>
        <v>Pending</v>
      </c>
      <c r="J40" s="93" t="str">
        <f t="shared" ca="1" si="2"/>
        <v>—</v>
      </c>
      <c r="K40" s="94"/>
    </row>
    <row r="41" spans="1:11" x14ac:dyDescent="0.25">
      <c r="A41" s="79"/>
      <c r="B41" s="21" t="str">
        <f>IF(A41="","",IFERROR(VLOOKUP(A41,DB_Customers!$A:$D,4,0),"❌ Account Not Found"))</f>
        <v/>
      </c>
      <c r="C41" s="80" t="str">
        <f>IF(A41="","",IFERROR(VLOOKUP(A41,DB_Customers!$A:$N,14,0),""))</f>
        <v/>
      </c>
      <c r="D41" s="81" t="str">
        <f t="shared" ref="D41:D72" ca="1" si="3">IF(A41="","",TODAY())</f>
        <v/>
      </c>
      <c r="E41" s="82"/>
      <c r="F41" s="83" t="str">
        <f t="shared" ref="F41:F72" si="4">IF(OR(A41="",E41=""),"",IF(C41="","",C41+E41))</f>
        <v/>
      </c>
      <c r="G41" s="23"/>
      <c r="H41" s="84"/>
      <c r="I41" s="85" t="str">
        <f>IF(A41="","Pending",IF(H41="","⚠️ Enter Code",IF(IFERROR(VLOOKUP(G41,DB_Agents!$B:$I,8,0),"")=H41,IF(AND(A41&lt;&gt;"",E41&lt;&gt;""),"Saved","Pending"),"🔒 BLOCKED — Wrong Code")))</f>
        <v>Pending</v>
      </c>
      <c r="J41" s="86" t="str">
        <f t="shared" ref="J41:J72" ca="1" si="5">IF(I41="Saved",TEXT(TODAY(),"YYYY-MM-DD")&amp;" Auto","—")</f>
        <v>—</v>
      </c>
      <c r="K41" s="87"/>
    </row>
    <row r="42" spans="1:11" x14ac:dyDescent="0.25">
      <c r="A42" s="88"/>
      <c r="B42" s="25" t="str">
        <f>IF(A42="","",IFERROR(VLOOKUP(A42,DB_Customers!$A:$D,4,0),"❌ Account Not Found"))</f>
        <v/>
      </c>
      <c r="C42" s="89" t="str">
        <f>IF(A42="","",IFERROR(VLOOKUP(A42,DB_Customers!$A:$N,14,0),""))</f>
        <v/>
      </c>
      <c r="D42" s="90" t="str">
        <f t="shared" ca="1" si="3"/>
        <v/>
      </c>
      <c r="E42" s="82"/>
      <c r="F42" s="91" t="str">
        <f t="shared" si="4"/>
        <v/>
      </c>
      <c r="G42" s="27"/>
      <c r="H42" s="84"/>
      <c r="I42" s="92" t="str">
        <f>IF(A42="","Pending",IF(H42="","⚠️ Enter Code",IF(IFERROR(VLOOKUP(G42,DB_Agents!$B:$I,8,0),"")=H42,IF(AND(A42&lt;&gt;"",E42&lt;&gt;""),"Saved","Pending"),"🔒 BLOCKED — Wrong Code")))</f>
        <v>Pending</v>
      </c>
      <c r="J42" s="93" t="str">
        <f t="shared" ca="1" si="5"/>
        <v>—</v>
      </c>
      <c r="K42" s="94"/>
    </row>
    <row r="43" spans="1:11" x14ac:dyDescent="0.25">
      <c r="A43" s="79"/>
      <c r="B43" s="21" t="str">
        <f>IF(A43="","",IFERROR(VLOOKUP(A43,DB_Customers!$A:$D,4,0),"❌ Account Not Found"))</f>
        <v/>
      </c>
      <c r="C43" s="80" t="str">
        <f>IF(A43="","",IFERROR(VLOOKUP(A43,DB_Customers!$A:$N,14,0),""))</f>
        <v/>
      </c>
      <c r="D43" s="81" t="str">
        <f t="shared" ca="1" si="3"/>
        <v/>
      </c>
      <c r="E43" s="82"/>
      <c r="F43" s="83" t="str">
        <f t="shared" si="4"/>
        <v/>
      </c>
      <c r="G43" s="23"/>
      <c r="H43" s="84"/>
      <c r="I43" s="85" t="str">
        <f>IF(A43="","Pending",IF(H43="","⚠️ Enter Code",IF(IFERROR(VLOOKUP(G43,DB_Agents!$B:$I,8,0),"")=H43,IF(AND(A43&lt;&gt;"",E43&lt;&gt;""),"Saved","Pending"),"🔒 BLOCKED — Wrong Code")))</f>
        <v>Pending</v>
      </c>
      <c r="J43" s="86" t="str">
        <f t="shared" ca="1" si="5"/>
        <v>—</v>
      </c>
      <c r="K43" s="87"/>
    </row>
    <row r="44" spans="1:11" x14ac:dyDescent="0.25">
      <c r="A44" s="88"/>
      <c r="B44" s="25" t="str">
        <f>IF(A44="","",IFERROR(VLOOKUP(A44,DB_Customers!$A:$D,4,0),"❌ Account Not Found"))</f>
        <v/>
      </c>
      <c r="C44" s="89" t="str">
        <f>IF(A44="","",IFERROR(VLOOKUP(A44,DB_Customers!$A:$N,14,0),""))</f>
        <v/>
      </c>
      <c r="D44" s="90" t="str">
        <f t="shared" ca="1" si="3"/>
        <v/>
      </c>
      <c r="E44" s="82"/>
      <c r="F44" s="91" t="str">
        <f t="shared" si="4"/>
        <v/>
      </c>
      <c r="G44" s="27"/>
      <c r="H44" s="84"/>
      <c r="I44" s="92" t="str">
        <f>IF(A44="","Pending",IF(H44="","⚠️ Enter Code",IF(IFERROR(VLOOKUP(G44,DB_Agents!$B:$I,8,0),"")=H44,IF(AND(A44&lt;&gt;"",E44&lt;&gt;""),"Saved","Pending"),"🔒 BLOCKED — Wrong Code")))</f>
        <v>Pending</v>
      </c>
      <c r="J44" s="93" t="str">
        <f t="shared" ca="1" si="5"/>
        <v>—</v>
      </c>
      <c r="K44" s="94"/>
    </row>
    <row r="45" spans="1:11" x14ac:dyDescent="0.25">
      <c r="A45" s="79"/>
      <c r="B45" s="21" t="str">
        <f>IF(A45="","",IFERROR(VLOOKUP(A45,DB_Customers!$A:$D,4,0),"❌ Account Not Found"))</f>
        <v/>
      </c>
      <c r="C45" s="80" t="str">
        <f>IF(A45="","",IFERROR(VLOOKUP(A45,DB_Customers!$A:$N,14,0),""))</f>
        <v/>
      </c>
      <c r="D45" s="81" t="str">
        <f t="shared" ca="1" si="3"/>
        <v/>
      </c>
      <c r="E45" s="82"/>
      <c r="F45" s="83" t="str">
        <f t="shared" si="4"/>
        <v/>
      </c>
      <c r="G45" s="23"/>
      <c r="H45" s="84"/>
      <c r="I45" s="85" t="str">
        <f>IF(A45="","Pending",IF(H45="","⚠️ Enter Code",IF(IFERROR(VLOOKUP(G45,DB_Agents!$B:$I,8,0),"")=H45,IF(AND(A45&lt;&gt;"",E45&lt;&gt;""),"Saved","Pending"),"🔒 BLOCKED — Wrong Code")))</f>
        <v>Pending</v>
      </c>
      <c r="J45" s="86" t="str">
        <f t="shared" ca="1" si="5"/>
        <v>—</v>
      </c>
      <c r="K45" s="87"/>
    </row>
    <row r="46" spans="1:11" x14ac:dyDescent="0.25">
      <c r="A46" s="88"/>
      <c r="B46" s="25" t="str">
        <f>IF(A46="","",IFERROR(VLOOKUP(A46,DB_Customers!$A:$D,4,0),"❌ Account Not Found"))</f>
        <v/>
      </c>
      <c r="C46" s="89" t="str">
        <f>IF(A46="","",IFERROR(VLOOKUP(A46,DB_Customers!$A:$N,14,0),""))</f>
        <v/>
      </c>
      <c r="D46" s="90" t="str">
        <f t="shared" ca="1" si="3"/>
        <v/>
      </c>
      <c r="E46" s="82"/>
      <c r="F46" s="91" t="str">
        <f t="shared" si="4"/>
        <v/>
      </c>
      <c r="G46" s="27"/>
      <c r="H46" s="84"/>
      <c r="I46" s="92" t="str">
        <f>IF(A46="","Pending",IF(H46="","⚠️ Enter Code",IF(IFERROR(VLOOKUP(G46,DB_Agents!$B:$I,8,0),"")=H46,IF(AND(A46&lt;&gt;"",E46&lt;&gt;""),"Saved","Pending"),"🔒 BLOCKED — Wrong Code")))</f>
        <v>Pending</v>
      </c>
      <c r="J46" s="93" t="str">
        <f t="shared" ca="1" si="5"/>
        <v>—</v>
      </c>
      <c r="K46" s="94"/>
    </row>
    <row r="47" spans="1:11" x14ac:dyDescent="0.25">
      <c r="A47" s="79"/>
      <c r="B47" s="21" t="str">
        <f>IF(A47="","",IFERROR(VLOOKUP(A47,DB_Customers!$A:$D,4,0),"❌ Account Not Found"))</f>
        <v/>
      </c>
      <c r="C47" s="80" t="str">
        <f>IF(A47="","",IFERROR(VLOOKUP(A47,DB_Customers!$A:$N,14,0),""))</f>
        <v/>
      </c>
      <c r="D47" s="81" t="str">
        <f t="shared" ca="1" si="3"/>
        <v/>
      </c>
      <c r="E47" s="82"/>
      <c r="F47" s="83" t="str">
        <f t="shared" si="4"/>
        <v/>
      </c>
      <c r="G47" s="23"/>
      <c r="H47" s="84"/>
      <c r="I47" s="85" t="str">
        <f>IF(A47="","Pending",IF(H47="","⚠️ Enter Code",IF(IFERROR(VLOOKUP(G47,DB_Agents!$B:$I,8,0),"")=H47,IF(AND(A47&lt;&gt;"",E47&lt;&gt;""),"Saved","Pending"),"🔒 BLOCKED — Wrong Code")))</f>
        <v>Pending</v>
      </c>
      <c r="J47" s="86" t="str">
        <f t="shared" ca="1" si="5"/>
        <v>—</v>
      </c>
      <c r="K47" s="87"/>
    </row>
    <row r="48" spans="1:11" x14ac:dyDescent="0.25">
      <c r="A48" s="88"/>
      <c r="B48" s="25" t="str">
        <f>IF(A48="","",IFERROR(VLOOKUP(A48,DB_Customers!$A:$D,4,0),"❌ Account Not Found"))</f>
        <v/>
      </c>
      <c r="C48" s="89" t="str">
        <f>IF(A48="","",IFERROR(VLOOKUP(A48,DB_Customers!$A:$N,14,0),""))</f>
        <v/>
      </c>
      <c r="D48" s="90" t="str">
        <f t="shared" ca="1" si="3"/>
        <v/>
      </c>
      <c r="E48" s="82"/>
      <c r="F48" s="91" t="str">
        <f t="shared" si="4"/>
        <v/>
      </c>
      <c r="G48" s="27"/>
      <c r="H48" s="84"/>
      <c r="I48" s="92" t="str">
        <f>IF(A48="","Pending",IF(H48="","⚠️ Enter Code",IF(IFERROR(VLOOKUP(G48,DB_Agents!$B:$I,8,0),"")=H48,IF(AND(A48&lt;&gt;"",E48&lt;&gt;""),"Saved","Pending"),"🔒 BLOCKED — Wrong Code")))</f>
        <v>Pending</v>
      </c>
      <c r="J48" s="93" t="str">
        <f t="shared" ca="1" si="5"/>
        <v>—</v>
      </c>
      <c r="K48" s="94"/>
    </row>
    <row r="49" spans="1:11" x14ac:dyDescent="0.25">
      <c r="A49" s="79"/>
      <c r="B49" s="21" t="str">
        <f>IF(A49="","",IFERROR(VLOOKUP(A49,DB_Customers!$A:$D,4,0),"❌ Account Not Found"))</f>
        <v/>
      </c>
      <c r="C49" s="80" t="str">
        <f>IF(A49="","",IFERROR(VLOOKUP(A49,DB_Customers!$A:$N,14,0),""))</f>
        <v/>
      </c>
      <c r="D49" s="81" t="str">
        <f t="shared" ca="1" si="3"/>
        <v/>
      </c>
      <c r="E49" s="82"/>
      <c r="F49" s="83" t="str">
        <f t="shared" si="4"/>
        <v/>
      </c>
      <c r="G49" s="23"/>
      <c r="H49" s="84"/>
      <c r="I49" s="85" t="str">
        <f>IF(A49="","Pending",IF(H49="","⚠️ Enter Code",IF(IFERROR(VLOOKUP(G49,DB_Agents!$B:$I,8,0),"")=H49,IF(AND(A49&lt;&gt;"",E49&lt;&gt;""),"Saved","Pending"),"🔒 BLOCKED — Wrong Code")))</f>
        <v>Pending</v>
      </c>
      <c r="J49" s="86" t="str">
        <f t="shared" ca="1" si="5"/>
        <v>—</v>
      </c>
      <c r="K49" s="87"/>
    </row>
    <row r="50" spans="1:11" x14ac:dyDescent="0.25">
      <c r="A50" s="88"/>
      <c r="B50" s="25" t="str">
        <f>IF(A50="","",IFERROR(VLOOKUP(A50,DB_Customers!$A:$D,4,0),"❌ Account Not Found"))</f>
        <v/>
      </c>
      <c r="C50" s="89" t="str">
        <f>IF(A50="","",IFERROR(VLOOKUP(A50,DB_Customers!$A:$N,14,0),""))</f>
        <v/>
      </c>
      <c r="D50" s="90" t="str">
        <f t="shared" ca="1" si="3"/>
        <v/>
      </c>
      <c r="E50" s="82"/>
      <c r="F50" s="91" t="str">
        <f t="shared" si="4"/>
        <v/>
      </c>
      <c r="G50" s="27"/>
      <c r="H50" s="84"/>
      <c r="I50" s="92" t="str">
        <f>IF(A50="","Pending",IF(H50="","⚠️ Enter Code",IF(IFERROR(VLOOKUP(G50,DB_Agents!$B:$I,8,0),"")=H50,IF(AND(A50&lt;&gt;"",E50&lt;&gt;""),"Saved","Pending"),"🔒 BLOCKED — Wrong Code")))</f>
        <v>Pending</v>
      </c>
      <c r="J50" s="93" t="str">
        <f t="shared" ca="1" si="5"/>
        <v>—</v>
      </c>
      <c r="K50" s="94"/>
    </row>
    <row r="51" spans="1:11" x14ac:dyDescent="0.25">
      <c r="A51" s="79"/>
      <c r="B51" s="21" t="str">
        <f>IF(A51="","",IFERROR(VLOOKUP(A51,DB_Customers!$A:$D,4,0),"❌ Account Not Found"))</f>
        <v/>
      </c>
      <c r="C51" s="80" t="str">
        <f>IF(A51="","",IFERROR(VLOOKUP(A51,DB_Customers!$A:$N,14,0),""))</f>
        <v/>
      </c>
      <c r="D51" s="81" t="str">
        <f t="shared" ca="1" si="3"/>
        <v/>
      </c>
      <c r="E51" s="82"/>
      <c r="F51" s="83" t="str">
        <f t="shared" si="4"/>
        <v/>
      </c>
      <c r="G51" s="23"/>
      <c r="H51" s="84"/>
      <c r="I51" s="85" t="str">
        <f>IF(A51="","Pending",IF(H51="","⚠️ Enter Code",IF(IFERROR(VLOOKUP(G51,DB_Agents!$B:$I,8,0),"")=H51,IF(AND(A51&lt;&gt;"",E51&lt;&gt;""),"Saved","Pending"),"🔒 BLOCKED — Wrong Code")))</f>
        <v>Pending</v>
      </c>
      <c r="J51" s="86" t="str">
        <f t="shared" ca="1" si="5"/>
        <v>—</v>
      </c>
      <c r="K51" s="87"/>
    </row>
    <row r="52" spans="1:11" x14ac:dyDescent="0.25">
      <c r="A52" s="88"/>
      <c r="B52" s="25" t="str">
        <f>IF(A52="","",IFERROR(VLOOKUP(A52,DB_Customers!$A:$D,4,0),"❌ Account Not Found"))</f>
        <v/>
      </c>
      <c r="C52" s="89" t="str">
        <f>IF(A52="","",IFERROR(VLOOKUP(A52,DB_Customers!$A:$N,14,0),""))</f>
        <v/>
      </c>
      <c r="D52" s="90" t="str">
        <f t="shared" ca="1" si="3"/>
        <v/>
      </c>
      <c r="E52" s="82"/>
      <c r="F52" s="91" t="str">
        <f t="shared" si="4"/>
        <v/>
      </c>
      <c r="G52" s="27"/>
      <c r="H52" s="84"/>
      <c r="I52" s="92" t="str">
        <f>IF(A52="","Pending",IF(H52="","⚠️ Enter Code",IF(IFERROR(VLOOKUP(G52,DB_Agents!$B:$I,8,0),"")=H52,IF(AND(A52&lt;&gt;"",E52&lt;&gt;""),"Saved","Pending"),"🔒 BLOCKED — Wrong Code")))</f>
        <v>Pending</v>
      </c>
      <c r="J52" s="93" t="str">
        <f t="shared" ca="1" si="5"/>
        <v>—</v>
      </c>
      <c r="K52" s="94"/>
    </row>
    <row r="53" spans="1:11" x14ac:dyDescent="0.25">
      <c r="A53" s="79"/>
      <c r="B53" s="21" t="str">
        <f>IF(A53="","",IFERROR(VLOOKUP(A53,DB_Customers!$A:$D,4,0),"❌ Account Not Found"))</f>
        <v/>
      </c>
      <c r="C53" s="80" t="str">
        <f>IF(A53="","",IFERROR(VLOOKUP(A53,DB_Customers!$A:$N,14,0),""))</f>
        <v/>
      </c>
      <c r="D53" s="81" t="str">
        <f t="shared" ca="1" si="3"/>
        <v/>
      </c>
      <c r="E53" s="82"/>
      <c r="F53" s="83" t="str">
        <f t="shared" si="4"/>
        <v/>
      </c>
      <c r="G53" s="23"/>
      <c r="H53" s="84"/>
      <c r="I53" s="85" t="str">
        <f>IF(A53="","Pending",IF(H53="","⚠️ Enter Code",IF(IFERROR(VLOOKUP(G53,DB_Agents!$B:$I,8,0),"")=H53,IF(AND(A53&lt;&gt;"",E53&lt;&gt;""),"Saved","Pending"),"🔒 BLOCKED — Wrong Code")))</f>
        <v>Pending</v>
      </c>
      <c r="J53" s="86" t="str">
        <f t="shared" ca="1" si="5"/>
        <v>—</v>
      </c>
      <c r="K53" s="87"/>
    </row>
    <row r="54" spans="1:11" x14ac:dyDescent="0.25">
      <c r="A54" s="88"/>
      <c r="B54" s="25" t="str">
        <f>IF(A54="","",IFERROR(VLOOKUP(A54,DB_Customers!$A:$D,4,0),"❌ Account Not Found"))</f>
        <v/>
      </c>
      <c r="C54" s="89" t="str">
        <f>IF(A54="","",IFERROR(VLOOKUP(A54,DB_Customers!$A:$N,14,0),""))</f>
        <v/>
      </c>
      <c r="D54" s="90" t="str">
        <f t="shared" ca="1" si="3"/>
        <v/>
      </c>
      <c r="E54" s="82"/>
      <c r="F54" s="91" t="str">
        <f t="shared" si="4"/>
        <v/>
      </c>
      <c r="G54" s="27"/>
      <c r="H54" s="84"/>
      <c r="I54" s="92" t="str">
        <f>IF(A54="","Pending",IF(H54="","⚠️ Enter Code",IF(IFERROR(VLOOKUP(G54,DB_Agents!$B:$I,8,0),"")=H54,IF(AND(A54&lt;&gt;"",E54&lt;&gt;""),"Saved","Pending"),"🔒 BLOCKED — Wrong Code")))</f>
        <v>Pending</v>
      </c>
      <c r="J54" s="93" t="str">
        <f t="shared" ca="1" si="5"/>
        <v>—</v>
      </c>
      <c r="K54" s="94"/>
    </row>
    <row r="55" spans="1:11" x14ac:dyDescent="0.25">
      <c r="A55" s="79"/>
      <c r="B55" s="21" t="str">
        <f>IF(A55="","",IFERROR(VLOOKUP(A55,DB_Customers!$A:$D,4,0),"❌ Account Not Found"))</f>
        <v/>
      </c>
      <c r="C55" s="80" t="str">
        <f>IF(A55="","",IFERROR(VLOOKUP(A55,DB_Customers!$A:$N,14,0),""))</f>
        <v/>
      </c>
      <c r="D55" s="81" t="str">
        <f t="shared" ca="1" si="3"/>
        <v/>
      </c>
      <c r="E55" s="82"/>
      <c r="F55" s="83" t="str">
        <f t="shared" si="4"/>
        <v/>
      </c>
      <c r="G55" s="23"/>
      <c r="H55" s="84"/>
      <c r="I55" s="85" t="str">
        <f>IF(A55="","Pending",IF(H55="","⚠️ Enter Code",IF(IFERROR(VLOOKUP(G55,DB_Agents!$B:$I,8,0),"")=H55,IF(AND(A55&lt;&gt;"",E55&lt;&gt;""),"Saved","Pending"),"🔒 BLOCKED — Wrong Code")))</f>
        <v>Pending</v>
      </c>
      <c r="J55" s="86" t="str">
        <f t="shared" ca="1" si="5"/>
        <v>—</v>
      </c>
      <c r="K55" s="87"/>
    </row>
    <row r="56" spans="1:11" x14ac:dyDescent="0.25">
      <c r="A56" s="88"/>
      <c r="B56" s="25" t="str">
        <f>IF(A56="","",IFERROR(VLOOKUP(A56,DB_Customers!$A:$D,4,0),"❌ Account Not Found"))</f>
        <v/>
      </c>
      <c r="C56" s="89" t="str">
        <f>IF(A56="","",IFERROR(VLOOKUP(A56,DB_Customers!$A:$N,14,0),""))</f>
        <v/>
      </c>
      <c r="D56" s="90" t="str">
        <f t="shared" ca="1" si="3"/>
        <v/>
      </c>
      <c r="E56" s="82"/>
      <c r="F56" s="91" t="str">
        <f t="shared" si="4"/>
        <v/>
      </c>
      <c r="G56" s="27"/>
      <c r="H56" s="84"/>
      <c r="I56" s="92" t="str">
        <f>IF(A56="","Pending",IF(H56="","⚠️ Enter Code",IF(IFERROR(VLOOKUP(G56,DB_Agents!$B:$I,8,0),"")=H56,IF(AND(A56&lt;&gt;"",E56&lt;&gt;""),"Saved","Pending"),"🔒 BLOCKED — Wrong Code")))</f>
        <v>Pending</v>
      </c>
      <c r="J56" s="93" t="str">
        <f t="shared" ca="1" si="5"/>
        <v>—</v>
      </c>
      <c r="K56" s="94"/>
    </row>
    <row r="57" spans="1:11" x14ac:dyDescent="0.25">
      <c r="A57" s="79"/>
      <c r="B57" s="21" t="str">
        <f>IF(A57="","",IFERROR(VLOOKUP(A57,DB_Customers!$A:$D,4,0),"❌ Account Not Found"))</f>
        <v/>
      </c>
      <c r="C57" s="80" t="str">
        <f>IF(A57="","",IFERROR(VLOOKUP(A57,DB_Customers!$A:$N,14,0),""))</f>
        <v/>
      </c>
      <c r="D57" s="81" t="str">
        <f t="shared" ca="1" si="3"/>
        <v/>
      </c>
      <c r="E57" s="82"/>
      <c r="F57" s="83" t="str">
        <f t="shared" si="4"/>
        <v/>
      </c>
      <c r="G57" s="23"/>
      <c r="H57" s="84"/>
      <c r="I57" s="85" t="str">
        <f>IF(A57="","Pending",IF(H57="","⚠️ Enter Code",IF(IFERROR(VLOOKUP(G57,DB_Agents!$B:$I,8,0),"")=H57,IF(AND(A57&lt;&gt;"",E57&lt;&gt;""),"Saved","Pending"),"🔒 BLOCKED — Wrong Code")))</f>
        <v>Pending</v>
      </c>
      <c r="J57" s="86" t="str">
        <f t="shared" ca="1" si="5"/>
        <v>—</v>
      </c>
      <c r="K57" s="87"/>
    </row>
    <row r="58" spans="1:11" x14ac:dyDescent="0.25">
      <c r="A58" s="88"/>
      <c r="B58" s="25" t="str">
        <f>IF(A58="","",IFERROR(VLOOKUP(A58,DB_Customers!$A:$D,4,0),"❌ Account Not Found"))</f>
        <v/>
      </c>
      <c r="C58" s="89" t="str">
        <f>IF(A58="","",IFERROR(VLOOKUP(A58,DB_Customers!$A:$N,14,0),""))</f>
        <v/>
      </c>
      <c r="D58" s="90" t="str">
        <f t="shared" ca="1" si="3"/>
        <v/>
      </c>
      <c r="E58" s="82"/>
      <c r="F58" s="91" t="str">
        <f t="shared" si="4"/>
        <v/>
      </c>
      <c r="G58" s="27"/>
      <c r="H58" s="84"/>
      <c r="I58" s="92" t="str">
        <f>IF(A58="","Pending",IF(H58="","⚠️ Enter Code",IF(IFERROR(VLOOKUP(G58,DB_Agents!$B:$I,8,0),"")=H58,IF(AND(A58&lt;&gt;"",E58&lt;&gt;""),"Saved","Pending"),"🔒 BLOCKED — Wrong Code")))</f>
        <v>Pending</v>
      </c>
      <c r="J58" s="93" t="str">
        <f t="shared" ca="1" si="5"/>
        <v>—</v>
      </c>
      <c r="K58" s="94"/>
    </row>
    <row r="59" spans="1:11" x14ac:dyDescent="0.25">
      <c r="A59" s="79"/>
      <c r="B59" s="21" t="str">
        <f>IF(A59="","",IFERROR(VLOOKUP(A59,DB_Customers!$A:$D,4,0),"❌ Account Not Found"))</f>
        <v/>
      </c>
      <c r="C59" s="80" t="str">
        <f>IF(A59="","",IFERROR(VLOOKUP(A59,DB_Customers!$A:$N,14,0),""))</f>
        <v/>
      </c>
      <c r="D59" s="81" t="str">
        <f t="shared" ca="1" si="3"/>
        <v/>
      </c>
      <c r="E59" s="82"/>
      <c r="F59" s="83" t="str">
        <f t="shared" si="4"/>
        <v/>
      </c>
      <c r="G59" s="23"/>
      <c r="H59" s="84"/>
      <c r="I59" s="85" t="str">
        <f>IF(A59="","Pending",IF(H59="","⚠️ Enter Code",IF(IFERROR(VLOOKUP(G59,DB_Agents!$B:$I,8,0),"")=H59,IF(AND(A59&lt;&gt;"",E59&lt;&gt;""),"Saved","Pending"),"🔒 BLOCKED — Wrong Code")))</f>
        <v>Pending</v>
      </c>
      <c r="J59" s="86" t="str">
        <f t="shared" ca="1" si="5"/>
        <v>—</v>
      </c>
      <c r="K59" s="87"/>
    </row>
    <row r="60" spans="1:11" x14ac:dyDescent="0.25">
      <c r="A60" s="88"/>
      <c r="B60" s="25" t="str">
        <f>IF(A60="","",IFERROR(VLOOKUP(A60,DB_Customers!$A:$D,4,0),"❌ Account Not Found"))</f>
        <v/>
      </c>
      <c r="C60" s="89" t="str">
        <f>IF(A60="","",IFERROR(VLOOKUP(A60,DB_Customers!$A:$N,14,0),""))</f>
        <v/>
      </c>
      <c r="D60" s="90" t="str">
        <f t="shared" ca="1" si="3"/>
        <v/>
      </c>
      <c r="E60" s="82"/>
      <c r="F60" s="91" t="str">
        <f t="shared" si="4"/>
        <v/>
      </c>
      <c r="G60" s="27"/>
      <c r="H60" s="84"/>
      <c r="I60" s="92" t="str">
        <f>IF(A60="","Pending",IF(H60="","⚠️ Enter Code",IF(IFERROR(VLOOKUP(G60,DB_Agents!$B:$I,8,0),"")=H60,IF(AND(A60&lt;&gt;"",E60&lt;&gt;""),"Saved","Pending"),"🔒 BLOCKED — Wrong Code")))</f>
        <v>Pending</v>
      </c>
      <c r="J60" s="93" t="str">
        <f t="shared" ca="1" si="5"/>
        <v>—</v>
      </c>
      <c r="K60" s="94"/>
    </row>
    <row r="61" spans="1:11" x14ac:dyDescent="0.25">
      <c r="A61" s="79"/>
      <c r="B61" s="21" t="str">
        <f>IF(A61="","",IFERROR(VLOOKUP(A61,DB_Customers!$A:$D,4,0),"❌ Account Not Found"))</f>
        <v/>
      </c>
      <c r="C61" s="80" t="str">
        <f>IF(A61="","",IFERROR(VLOOKUP(A61,DB_Customers!$A:$N,14,0),""))</f>
        <v/>
      </c>
      <c r="D61" s="81" t="str">
        <f t="shared" ca="1" si="3"/>
        <v/>
      </c>
      <c r="E61" s="82"/>
      <c r="F61" s="83" t="str">
        <f t="shared" si="4"/>
        <v/>
      </c>
      <c r="G61" s="23"/>
      <c r="H61" s="84"/>
      <c r="I61" s="85" t="str">
        <f>IF(A61="","Pending",IF(H61="","⚠️ Enter Code",IF(IFERROR(VLOOKUP(G61,DB_Agents!$B:$I,8,0),"")=H61,IF(AND(A61&lt;&gt;"",E61&lt;&gt;""),"Saved","Pending"),"🔒 BLOCKED — Wrong Code")))</f>
        <v>Pending</v>
      </c>
      <c r="J61" s="86" t="str">
        <f t="shared" ca="1" si="5"/>
        <v>—</v>
      </c>
      <c r="K61" s="87"/>
    </row>
    <row r="62" spans="1:11" x14ac:dyDescent="0.25">
      <c r="A62" s="88"/>
      <c r="B62" s="25" t="str">
        <f>IF(A62="","",IFERROR(VLOOKUP(A62,DB_Customers!$A:$D,4,0),"❌ Account Not Found"))</f>
        <v/>
      </c>
      <c r="C62" s="89" t="str">
        <f>IF(A62="","",IFERROR(VLOOKUP(A62,DB_Customers!$A:$N,14,0),""))</f>
        <v/>
      </c>
      <c r="D62" s="90" t="str">
        <f t="shared" ca="1" si="3"/>
        <v/>
      </c>
      <c r="E62" s="82"/>
      <c r="F62" s="91" t="str">
        <f t="shared" si="4"/>
        <v/>
      </c>
      <c r="G62" s="27"/>
      <c r="H62" s="84"/>
      <c r="I62" s="92" t="str">
        <f>IF(A62="","Pending",IF(H62="","⚠️ Enter Code",IF(IFERROR(VLOOKUP(G62,DB_Agents!$B:$I,8,0),"")=H62,IF(AND(A62&lt;&gt;"",E62&lt;&gt;""),"Saved","Pending"),"🔒 BLOCKED — Wrong Code")))</f>
        <v>Pending</v>
      </c>
      <c r="J62" s="93" t="str">
        <f t="shared" ca="1" si="5"/>
        <v>—</v>
      </c>
      <c r="K62" s="94"/>
    </row>
    <row r="63" spans="1:11" x14ac:dyDescent="0.25">
      <c r="A63" s="79"/>
      <c r="B63" s="21" t="str">
        <f>IF(A63="","",IFERROR(VLOOKUP(A63,DB_Customers!$A:$D,4,0),"❌ Account Not Found"))</f>
        <v/>
      </c>
      <c r="C63" s="80" t="str">
        <f>IF(A63="","",IFERROR(VLOOKUP(A63,DB_Customers!$A:$N,14,0),""))</f>
        <v/>
      </c>
      <c r="D63" s="81" t="str">
        <f t="shared" ca="1" si="3"/>
        <v/>
      </c>
      <c r="E63" s="82"/>
      <c r="F63" s="83" t="str">
        <f t="shared" si="4"/>
        <v/>
      </c>
      <c r="G63" s="23"/>
      <c r="H63" s="84"/>
      <c r="I63" s="85" t="str">
        <f>IF(A63="","Pending",IF(H63="","⚠️ Enter Code",IF(IFERROR(VLOOKUP(G63,DB_Agents!$B:$I,8,0),"")=H63,IF(AND(A63&lt;&gt;"",E63&lt;&gt;""),"Saved","Pending"),"🔒 BLOCKED — Wrong Code")))</f>
        <v>Pending</v>
      </c>
      <c r="J63" s="86" t="str">
        <f t="shared" ca="1" si="5"/>
        <v>—</v>
      </c>
      <c r="K63" s="87"/>
    </row>
    <row r="64" spans="1:11" x14ac:dyDescent="0.25">
      <c r="A64" s="88"/>
      <c r="B64" s="25" t="str">
        <f>IF(A64="","",IFERROR(VLOOKUP(A64,DB_Customers!$A:$D,4,0),"❌ Account Not Found"))</f>
        <v/>
      </c>
      <c r="C64" s="89" t="str">
        <f>IF(A64="","",IFERROR(VLOOKUP(A64,DB_Customers!$A:$N,14,0),""))</f>
        <v/>
      </c>
      <c r="D64" s="90" t="str">
        <f t="shared" ca="1" si="3"/>
        <v/>
      </c>
      <c r="E64" s="82"/>
      <c r="F64" s="91" t="str">
        <f t="shared" si="4"/>
        <v/>
      </c>
      <c r="G64" s="27"/>
      <c r="H64" s="84"/>
      <c r="I64" s="92" t="str">
        <f>IF(A64="","Pending",IF(H64="","⚠️ Enter Code",IF(IFERROR(VLOOKUP(G64,DB_Agents!$B:$I,8,0),"")=H64,IF(AND(A64&lt;&gt;"",E64&lt;&gt;""),"Saved","Pending"),"🔒 BLOCKED — Wrong Code")))</f>
        <v>Pending</v>
      </c>
      <c r="J64" s="93" t="str">
        <f t="shared" ca="1" si="5"/>
        <v>—</v>
      </c>
      <c r="K64" s="94"/>
    </row>
    <row r="65" spans="1:11" x14ac:dyDescent="0.25">
      <c r="A65" s="79"/>
      <c r="B65" s="21" t="str">
        <f>IF(A65="","",IFERROR(VLOOKUP(A65,DB_Customers!$A:$D,4,0),"❌ Account Not Found"))</f>
        <v/>
      </c>
      <c r="C65" s="80" t="str">
        <f>IF(A65="","",IFERROR(VLOOKUP(A65,DB_Customers!$A:$N,14,0),""))</f>
        <v/>
      </c>
      <c r="D65" s="81" t="str">
        <f t="shared" ca="1" si="3"/>
        <v/>
      </c>
      <c r="E65" s="82"/>
      <c r="F65" s="83" t="str">
        <f t="shared" si="4"/>
        <v/>
      </c>
      <c r="G65" s="23"/>
      <c r="H65" s="84"/>
      <c r="I65" s="85" t="str">
        <f>IF(A65="","Pending",IF(H65="","⚠️ Enter Code",IF(IFERROR(VLOOKUP(G65,DB_Agents!$B:$I,8,0),"")=H65,IF(AND(A65&lt;&gt;"",E65&lt;&gt;""),"Saved","Pending"),"🔒 BLOCKED — Wrong Code")))</f>
        <v>Pending</v>
      </c>
      <c r="J65" s="86" t="str">
        <f t="shared" ca="1" si="5"/>
        <v>—</v>
      </c>
      <c r="K65" s="87"/>
    </row>
    <row r="66" spans="1:11" x14ac:dyDescent="0.25">
      <c r="A66" s="88"/>
      <c r="B66" s="25" t="str">
        <f>IF(A66="","",IFERROR(VLOOKUP(A66,DB_Customers!$A:$D,4,0),"❌ Account Not Found"))</f>
        <v/>
      </c>
      <c r="C66" s="89" t="str">
        <f>IF(A66="","",IFERROR(VLOOKUP(A66,DB_Customers!$A:$N,14,0),""))</f>
        <v/>
      </c>
      <c r="D66" s="90" t="str">
        <f t="shared" ca="1" si="3"/>
        <v/>
      </c>
      <c r="E66" s="82"/>
      <c r="F66" s="91" t="str">
        <f t="shared" si="4"/>
        <v/>
      </c>
      <c r="G66" s="27"/>
      <c r="H66" s="84"/>
      <c r="I66" s="92" t="str">
        <f>IF(A66="","Pending",IF(H66="","⚠️ Enter Code",IF(IFERROR(VLOOKUP(G66,DB_Agents!$B:$I,8,0),"")=H66,IF(AND(A66&lt;&gt;"",E66&lt;&gt;""),"Saved","Pending"),"🔒 BLOCKED — Wrong Code")))</f>
        <v>Pending</v>
      </c>
      <c r="J66" s="93" t="str">
        <f t="shared" ca="1" si="5"/>
        <v>—</v>
      </c>
      <c r="K66" s="94"/>
    </row>
    <row r="67" spans="1:11" x14ac:dyDescent="0.25">
      <c r="A67" s="79"/>
      <c r="B67" s="21" t="str">
        <f>IF(A67="","",IFERROR(VLOOKUP(A67,DB_Customers!$A:$D,4,0),"❌ Account Not Found"))</f>
        <v/>
      </c>
      <c r="C67" s="80" t="str">
        <f>IF(A67="","",IFERROR(VLOOKUP(A67,DB_Customers!$A:$N,14,0),""))</f>
        <v/>
      </c>
      <c r="D67" s="81" t="str">
        <f t="shared" ca="1" si="3"/>
        <v/>
      </c>
      <c r="E67" s="82"/>
      <c r="F67" s="83" t="str">
        <f t="shared" si="4"/>
        <v/>
      </c>
      <c r="G67" s="23"/>
      <c r="H67" s="84"/>
      <c r="I67" s="85" t="str">
        <f>IF(A67="","Pending",IF(H67="","⚠️ Enter Code",IF(IFERROR(VLOOKUP(G67,DB_Agents!$B:$I,8,0),"")=H67,IF(AND(A67&lt;&gt;"",E67&lt;&gt;""),"Saved","Pending"),"🔒 BLOCKED — Wrong Code")))</f>
        <v>Pending</v>
      </c>
      <c r="J67" s="86" t="str">
        <f t="shared" ca="1" si="5"/>
        <v>—</v>
      </c>
      <c r="K67" s="87"/>
    </row>
    <row r="68" spans="1:11" x14ac:dyDescent="0.25">
      <c r="A68" s="88"/>
      <c r="B68" s="25" t="str">
        <f>IF(A68="","",IFERROR(VLOOKUP(A68,DB_Customers!$A:$D,4,0),"❌ Account Not Found"))</f>
        <v/>
      </c>
      <c r="C68" s="89" t="str">
        <f>IF(A68="","",IFERROR(VLOOKUP(A68,DB_Customers!$A:$N,14,0),""))</f>
        <v/>
      </c>
      <c r="D68" s="90" t="str">
        <f t="shared" ca="1" si="3"/>
        <v/>
      </c>
      <c r="E68" s="82"/>
      <c r="F68" s="91" t="str">
        <f t="shared" si="4"/>
        <v/>
      </c>
      <c r="G68" s="27"/>
      <c r="H68" s="84"/>
      <c r="I68" s="92" t="str">
        <f>IF(A68="","Pending",IF(H68="","⚠️ Enter Code",IF(IFERROR(VLOOKUP(G68,DB_Agents!$B:$I,8,0),"")=H68,IF(AND(A68&lt;&gt;"",E68&lt;&gt;""),"Saved","Pending"),"🔒 BLOCKED — Wrong Code")))</f>
        <v>Pending</v>
      </c>
      <c r="J68" s="93" t="str">
        <f t="shared" ca="1" si="5"/>
        <v>—</v>
      </c>
      <c r="K68" s="94"/>
    </row>
    <row r="69" spans="1:11" x14ac:dyDescent="0.25">
      <c r="A69" s="79"/>
      <c r="B69" s="21" t="str">
        <f>IF(A69="","",IFERROR(VLOOKUP(A69,DB_Customers!$A:$D,4,0),"❌ Account Not Found"))</f>
        <v/>
      </c>
      <c r="C69" s="80" t="str">
        <f>IF(A69="","",IFERROR(VLOOKUP(A69,DB_Customers!$A:$N,14,0),""))</f>
        <v/>
      </c>
      <c r="D69" s="81" t="str">
        <f t="shared" ca="1" si="3"/>
        <v/>
      </c>
      <c r="E69" s="82"/>
      <c r="F69" s="83" t="str">
        <f t="shared" si="4"/>
        <v/>
      </c>
      <c r="G69" s="23"/>
      <c r="H69" s="84"/>
      <c r="I69" s="85" t="str">
        <f>IF(A69="","Pending",IF(H69="","⚠️ Enter Code",IF(IFERROR(VLOOKUP(G69,DB_Agents!$B:$I,8,0),"")=H69,IF(AND(A69&lt;&gt;"",E69&lt;&gt;""),"Saved","Pending"),"🔒 BLOCKED — Wrong Code")))</f>
        <v>Pending</v>
      </c>
      <c r="J69" s="86" t="str">
        <f t="shared" ca="1" si="5"/>
        <v>—</v>
      </c>
      <c r="K69" s="87"/>
    </row>
    <row r="70" spans="1:11" x14ac:dyDescent="0.25">
      <c r="A70" s="88"/>
      <c r="B70" s="25" t="str">
        <f>IF(A70="","",IFERROR(VLOOKUP(A70,DB_Customers!$A:$D,4,0),"❌ Account Not Found"))</f>
        <v/>
      </c>
      <c r="C70" s="89" t="str">
        <f>IF(A70="","",IFERROR(VLOOKUP(A70,DB_Customers!$A:$N,14,0),""))</f>
        <v/>
      </c>
      <c r="D70" s="90" t="str">
        <f t="shared" ca="1" si="3"/>
        <v/>
      </c>
      <c r="E70" s="82"/>
      <c r="F70" s="91" t="str">
        <f t="shared" si="4"/>
        <v/>
      </c>
      <c r="G70" s="27"/>
      <c r="H70" s="84"/>
      <c r="I70" s="92" t="str">
        <f>IF(A70="","Pending",IF(H70="","⚠️ Enter Code",IF(IFERROR(VLOOKUP(G70,DB_Agents!$B:$I,8,0),"")=H70,IF(AND(A70&lt;&gt;"",E70&lt;&gt;""),"Saved","Pending"),"🔒 BLOCKED — Wrong Code")))</f>
        <v>Pending</v>
      </c>
      <c r="J70" s="93" t="str">
        <f t="shared" ca="1" si="5"/>
        <v>—</v>
      </c>
      <c r="K70" s="94"/>
    </row>
    <row r="71" spans="1:11" x14ac:dyDescent="0.25">
      <c r="A71" s="79"/>
      <c r="B71" s="21" t="str">
        <f>IF(A71="","",IFERROR(VLOOKUP(A71,DB_Customers!$A:$D,4,0),"❌ Account Not Found"))</f>
        <v/>
      </c>
      <c r="C71" s="80" t="str">
        <f>IF(A71="","",IFERROR(VLOOKUP(A71,DB_Customers!$A:$N,14,0),""))</f>
        <v/>
      </c>
      <c r="D71" s="81" t="str">
        <f t="shared" ca="1" si="3"/>
        <v/>
      </c>
      <c r="E71" s="82"/>
      <c r="F71" s="83" t="str">
        <f t="shared" si="4"/>
        <v/>
      </c>
      <c r="G71" s="23"/>
      <c r="H71" s="84"/>
      <c r="I71" s="85" t="str">
        <f>IF(A71="","Pending",IF(H71="","⚠️ Enter Code",IF(IFERROR(VLOOKUP(G71,DB_Agents!$B:$I,8,0),"")=H71,IF(AND(A71&lt;&gt;"",E71&lt;&gt;""),"Saved","Pending"),"🔒 BLOCKED — Wrong Code")))</f>
        <v>Pending</v>
      </c>
      <c r="J71" s="86" t="str">
        <f t="shared" ca="1" si="5"/>
        <v>—</v>
      </c>
      <c r="K71" s="87"/>
    </row>
    <row r="72" spans="1:11" x14ac:dyDescent="0.25">
      <c r="A72" s="88"/>
      <c r="B72" s="25" t="str">
        <f>IF(A72="","",IFERROR(VLOOKUP(A72,DB_Customers!$A:$D,4,0),"❌ Account Not Found"))</f>
        <v/>
      </c>
      <c r="C72" s="89" t="str">
        <f>IF(A72="","",IFERROR(VLOOKUP(A72,DB_Customers!$A:$N,14,0),""))</f>
        <v/>
      </c>
      <c r="D72" s="90" t="str">
        <f t="shared" ca="1" si="3"/>
        <v/>
      </c>
      <c r="E72" s="82"/>
      <c r="F72" s="91" t="str">
        <f t="shared" si="4"/>
        <v/>
      </c>
      <c r="G72" s="27"/>
      <c r="H72" s="84"/>
      <c r="I72" s="92" t="str">
        <f>IF(A72="","Pending",IF(H72="","⚠️ Enter Code",IF(IFERROR(VLOOKUP(G72,DB_Agents!$B:$I,8,0),"")=H72,IF(AND(A72&lt;&gt;"",E72&lt;&gt;""),"Saved","Pending"),"🔒 BLOCKED — Wrong Code")))</f>
        <v>Pending</v>
      </c>
      <c r="J72" s="93" t="str">
        <f t="shared" ca="1" si="5"/>
        <v>—</v>
      </c>
      <c r="K72" s="94"/>
    </row>
    <row r="73" spans="1:11" x14ac:dyDescent="0.25">
      <c r="A73" s="79"/>
      <c r="B73" s="21" t="str">
        <f>IF(A73="","",IFERROR(VLOOKUP(A73,DB_Customers!$A:$D,4,0),"❌ Account Not Found"))</f>
        <v/>
      </c>
      <c r="C73" s="80" t="str">
        <f>IF(A73="","",IFERROR(VLOOKUP(A73,DB_Customers!$A:$N,14,0),""))</f>
        <v/>
      </c>
      <c r="D73" s="81" t="str">
        <f t="shared" ref="D73:D104" ca="1" si="6">IF(A73="","",TODAY())</f>
        <v/>
      </c>
      <c r="E73" s="82"/>
      <c r="F73" s="83" t="str">
        <f t="shared" ref="F73:F104" si="7">IF(OR(A73="",E73=""),"",IF(C73="","",C73+E73))</f>
        <v/>
      </c>
      <c r="G73" s="23"/>
      <c r="H73" s="84"/>
      <c r="I73" s="85" t="str">
        <f>IF(A73="","Pending",IF(H73="","⚠️ Enter Code",IF(IFERROR(VLOOKUP(G73,DB_Agents!$B:$I,8,0),"")=H73,IF(AND(A73&lt;&gt;"",E73&lt;&gt;""),"Saved","Pending"),"🔒 BLOCKED — Wrong Code")))</f>
        <v>Pending</v>
      </c>
      <c r="J73" s="86" t="str">
        <f t="shared" ref="J73:J104" ca="1" si="8">IF(I73="Saved",TEXT(TODAY(),"YYYY-MM-DD")&amp;" Auto","—")</f>
        <v>—</v>
      </c>
      <c r="K73" s="87"/>
    </row>
    <row r="74" spans="1:11" x14ac:dyDescent="0.25">
      <c r="A74" s="88"/>
      <c r="B74" s="25" t="str">
        <f>IF(A74="","",IFERROR(VLOOKUP(A74,DB_Customers!$A:$D,4,0),"❌ Account Not Found"))</f>
        <v/>
      </c>
      <c r="C74" s="89" t="str">
        <f>IF(A74="","",IFERROR(VLOOKUP(A74,DB_Customers!$A:$N,14,0),""))</f>
        <v/>
      </c>
      <c r="D74" s="90" t="str">
        <f t="shared" ca="1" si="6"/>
        <v/>
      </c>
      <c r="E74" s="82"/>
      <c r="F74" s="91" t="str">
        <f t="shared" si="7"/>
        <v/>
      </c>
      <c r="G74" s="27"/>
      <c r="H74" s="84"/>
      <c r="I74" s="92" t="str">
        <f>IF(A74="","Pending",IF(H74="","⚠️ Enter Code",IF(IFERROR(VLOOKUP(G74,DB_Agents!$B:$I,8,0),"")=H74,IF(AND(A74&lt;&gt;"",E74&lt;&gt;""),"Saved","Pending"),"🔒 BLOCKED — Wrong Code")))</f>
        <v>Pending</v>
      </c>
      <c r="J74" s="93" t="str">
        <f t="shared" ca="1" si="8"/>
        <v>—</v>
      </c>
      <c r="K74" s="94"/>
    </row>
    <row r="75" spans="1:11" x14ac:dyDescent="0.25">
      <c r="A75" s="79"/>
      <c r="B75" s="21" t="str">
        <f>IF(A75="","",IFERROR(VLOOKUP(A75,DB_Customers!$A:$D,4,0),"❌ Account Not Found"))</f>
        <v/>
      </c>
      <c r="C75" s="80" t="str">
        <f>IF(A75="","",IFERROR(VLOOKUP(A75,DB_Customers!$A:$N,14,0),""))</f>
        <v/>
      </c>
      <c r="D75" s="81" t="str">
        <f t="shared" ca="1" si="6"/>
        <v/>
      </c>
      <c r="E75" s="82"/>
      <c r="F75" s="83" t="str">
        <f t="shared" si="7"/>
        <v/>
      </c>
      <c r="G75" s="23"/>
      <c r="H75" s="84"/>
      <c r="I75" s="85" t="str">
        <f>IF(A75="","Pending",IF(H75="","⚠️ Enter Code",IF(IFERROR(VLOOKUP(G75,DB_Agents!$B:$I,8,0),"")=H75,IF(AND(A75&lt;&gt;"",E75&lt;&gt;""),"Saved","Pending"),"🔒 BLOCKED — Wrong Code")))</f>
        <v>Pending</v>
      </c>
      <c r="J75" s="86" t="str">
        <f t="shared" ca="1" si="8"/>
        <v>—</v>
      </c>
      <c r="K75" s="87"/>
    </row>
    <row r="76" spans="1:11" x14ac:dyDescent="0.25">
      <c r="A76" s="88"/>
      <c r="B76" s="25" t="str">
        <f>IF(A76="","",IFERROR(VLOOKUP(A76,DB_Customers!$A:$D,4,0),"❌ Account Not Found"))</f>
        <v/>
      </c>
      <c r="C76" s="89" t="str">
        <f>IF(A76="","",IFERROR(VLOOKUP(A76,DB_Customers!$A:$N,14,0),""))</f>
        <v/>
      </c>
      <c r="D76" s="90" t="str">
        <f t="shared" ca="1" si="6"/>
        <v/>
      </c>
      <c r="E76" s="82"/>
      <c r="F76" s="91" t="str">
        <f t="shared" si="7"/>
        <v/>
      </c>
      <c r="G76" s="27"/>
      <c r="H76" s="84"/>
      <c r="I76" s="92" t="str">
        <f>IF(A76="","Pending",IF(H76="","⚠️ Enter Code",IF(IFERROR(VLOOKUP(G76,DB_Agents!$B:$I,8,0),"")=H76,IF(AND(A76&lt;&gt;"",E76&lt;&gt;""),"Saved","Pending"),"🔒 BLOCKED — Wrong Code")))</f>
        <v>Pending</v>
      </c>
      <c r="J76" s="93" t="str">
        <f t="shared" ca="1" si="8"/>
        <v>—</v>
      </c>
      <c r="K76" s="94"/>
    </row>
    <row r="77" spans="1:11" x14ac:dyDescent="0.25">
      <c r="A77" s="79"/>
      <c r="B77" s="21" t="str">
        <f>IF(A77="","",IFERROR(VLOOKUP(A77,DB_Customers!$A:$D,4,0),"❌ Account Not Found"))</f>
        <v/>
      </c>
      <c r="C77" s="80" t="str">
        <f>IF(A77="","",IFERROR(VLOOKUP(A77,DB_Customers!$A:$N,14,0),""))</f>
        <v/>
      </c>
      <c r="D77" s="81" t="str">
        <f t="shared" ca="1" si="6"/>
        <v/>
      </c>
      <c r="E77" s="82"/>
      <c r="F77" s="83" t="str">
        <f t="shared" si="7"/>
        <v/>
      </c>
      <c r="G77" s="23"/>
      <c r="H77" s="84"/>
      <c r="I77" s="85" t="str">
        <f>IF(A77="","Pending",IF(H77="","⚠️ Enter Code",IF(IFERROR(VLOOKUP(G77,DB_Agents!$B:$I,8,0),"")=H77,IF(AND(A77&lt;&gt;"",E77&lt;&gt;""),"Saved","Pending"),"🔒 BLOCKED — Wrong Code")))</f>
        <v>Pending</v>
      </c>
      <c r="J77" s="86" t="str">
        <f t="shared" ca="1" si="8"/>
        <v>—</v>
      </c>
      <c r="K77" s="87"/>
    </row>
    <row r="78" spans="1:11" x14ac:dyDescent="0.25">
      <c r="A78" s="88"/>
      <c r="B78" s="25" t="str">
        <f>IF(A78="","",IFERROR(VLOOKUP(A78,DB_Customers!$A:$D,4,0),"❌ Account Not Found"))</f>
        <v/>
      </c>
      <c r="C78" s="89" t="str">
        <f>IF(A78="","",IFERROR(VLOOKUP(A78,DB_Customers!$A:$N,14,0),""))</f>
        <v/>
      </c>
      <c r="D78" s="90" t="str">
        <f t="shared" ca="1" si="6"/>
        <v/>
      </c>
      <c r="E78" s="82"/>
      <c r="F78" s="91" t="str">
        <f t="shared" si="7"/>
        <v/>
      </c>
      <c r="G78" s="27"/>
      <c r="H78" s="84"/>
      <c r="I78" s="92" t="str">
        <f>IF(A78="","Pending",IF(H78="","⚠️ Enter Code",IF(IFERROR(VLOOKUP(G78,DB_Agents!$B:$I,8,0),"")=H78,IF(AND(A78&lt;&gt;"",E78&lt;&gt;""),"Saved","Pending"),"🔒 BLOCKED — Wrong Code")))</f>
        <v>Pending</v>
      </c>
      <c r="J78" s="93" t="str">
        <f t="shared" ca="1" si="8"/>
        <v>—</v>
      </c>
      <c r="K78" s="94"/>
    </row>
    <row r="79" spans="1:11" x14ac:dyDescent="0.25">
      <c r="A79" s="79"/>
      <c r="B79" s="21" t="str">
        <f>IF(A79="","",IFERROR(VLOOKUP(A79,DB_Customers!$A:$D,4,0),"❌ Account Not Found"))</f>
        <v/>
      </c>
      <c r="C79" s="80" t="str">
        <f>IF(A79="","",IFERROR(VLOOKUP(A79,DB_Customers!$A:$N,14,0),""))</f>
        <v/>
      </c>
      <c r="D79" s="81" t="str">
        <f t="shared" ca="1" si="6"/>
        <v/>
      </c>
      <c r="E79" s="82"/>
      <c r="F79" s="83" t="str">
        <f t="shared" si="7"/>
        <v/>
      </c>
      <c r="G79" s="23"/>
      <c r="H79" s="84"/>
      <c r="I79" s="85" t="str">
        <f>IF(A79="","Pending",IF(H79="","⚠️ Enter Code",IF(IFERROR(VLOOKUP(G79,DB_Agents!$B:$I,8,0),"")=H79,IF(AND(A79&lt;&gt;"",E79&lt;&gt;""),"Saved","Pending"),"🔒 BLOCKED — Wrong Code")))</f>
        <v>Pending</v>
      </c>
      <c r="J79" s="86" t="str">
        <f t="shared" ca="1" si="8"/>
        <v>—</v>
      </c>
      <c r="K79" s="87"/>
    </row>
    <row r="80" spans="1:11" x14ac:dyDescent="0.25">
      <c r="A80" s="88"/>
      <c r="B80" s="25" t="str">
        <f>IF(A80="","",IFERROR(VLOOKUP(A80,DB_Customers!$A:$D,4,0),"❌ Account Not Found"))</f>
        <v/>
      </c>
      <c r="C80" s="89" t="str">
        <f>IF(A80="","",IFERROR(VLOOKUP(A80,DB_Customers!$A:$N,14,0),""))</f>
        <v/>
      </c>
      <c r="D80" s="90" t="str">
        <f t="shared" ca="1" si="6"/>
        <v/>
      </c>
      <c r="E80" s="82"/>
      <c r="F80" s="91" t="str">
        <f t="shared" si="7"/>
        <v/>
      </c>
      <c r="G80" s="27"/>
      <c r="H80" s="84"/>
      <c r="I80" s="92" t="str">
        <f>IF(A80="","Pending",IF(H80="","⚠️ Enter Code",IF(IFERROR(VLOOKUP(G80,DB_Agents!$B:$I,8,0),"")=H80,IF(AND(A80&lt;&gt;"",E80&lt;&gt;""),"Saved","Pending"),"🔒 BLOCKED — Wrong Code")))</f>
        <v>Pending</v>
      </c>
      <c r="J80" s="93" t="str">
        <f t="shared" ca="1" si="8"/>
        <v>—</v>
      </c>
      <c r="K80" s="94"/>
    </row>
    <row r="81" spans="1:11" x14ac:dyDescent="0.25">
      <c r="A81" s="79"/>
      <c r="B81" s="21" t="str">
        <f>IF(A81="","",IFERROR(VLOOKUP(A81,DB_Customers!$A:$D,4,0),"❌ Account Not Found"))</f>
        <v/>
      </c>
      <c r="C81" s="80" t="str">
        <f>IF(A81="","",IFERROR(VLOOKUP(A81,DB_Customers!$A:$N,14,0),""))</f>
        <v/>
      </c>
      <c r="D81" s="81" t="str">
        <f t="shared" ca="1" si="6"/>
        <v/>
      </c>
      <c r="E81" s="82"/>
      <c r="F81" s="83" t="str">
        <f t="shared" si="7"/>
        <v/>
      </c>
      <c r="G81" s="23"/>
      <c r="H81" s="84"/>
      <c r="I81" s="85" t="str">
        <f>IF(A81="","Pending",IF(H81="","⚠️ Enter Code",IF(IFERROR(VLOOKUP(G81,DB_Agents!$B:$I,8,0),"")=H81,IF(AND(A81&lt;&gt;"",E81&lt;&gt;""),"Saved","Pending"),"🔒 BLOCKED — Wrong Code")))</f>
        <v>Pending</v>
      </c>
      <c r="J81" s="86" t="str">
        <f t="shared" ca="1" si="8"/>
        <v>—</v>
      </c>
      <c r="K81" s="87"/>
    </row>
    <row r="82" spans="1:11" x14ac:dyDescent="0.25">
      <c r="A82" s="88"/>
      <c r="B82" s="25" t="str">
        <f>IF(A82="","",IFERROR(VLOOKUP(A82,DB_Customers!$A:$D,4,0),"❌ Account Not Found"))</f>
        <v/>
      </c>
      <c r="C82" s="89" t="str">
        <f>IF(A82="","",IFERROR(VLOOKUP(A82,DB_Customers!$A:$N,14,0),""))</f>
        <v/>
      </c>
      <c r="D82" s="90" t="str">
        <f t="shared" ca="1" si="6"/>
        <v/>
      </c>
      <c r="E82" s="82"/>
      <c r="F82" s="91" t="str">
        <f t="shared" si="7"/>
        <v/>
      </c>
      <c r="G82" s="27"/>
      <c r="H82" s="84"/>
      <c r="I82" s="92" t="str">
        <f>IF(A82="","Pending",IF(H82="","⚠️ Enter Code",IF(IFERROR(VLOOKUP(G82,DB_Agents!$B:$I,8,0),"")=H82,IF(AND(A82&lt;&gt;"",E82&lt;&gt;""),"Saved","Pending"),"🔒 BLOCKED — Wrong Code")))</f>
        <v>Pending</v>
      </c>
      <c r="J82" s="93" t="str">
        <f t="shared" ca="1" si="8"/>
        <v>—</v>
      </c>
      <c r="K82" s="94"/>
    </row>
    <row r="83" spans="1:11" x14ac:dyDescent="0.25">
      <c r="A83" s="79"/>
      <c r="B83" s="21" t="str">
        <f>IF(A83="","",IFERROR(VLOOKUP(A83,DB_Customers!$A:$D,4,0),"❌ Account Not Found"))</f>
        <v/>
      </c>
      <c r="C83" s="80" t="str">
        <f>IF(A83="","",IFERROR(VLOOKUP(A83,DB_Customers!$A:$N,14,0),""))</f>
        <v/>
      </c>
      <c r="D83" s="81" t="str">
        <f t="shared" ca="1" si="6"/>
        <v/>
      </c>
      <c r="E83" s="82"/>
      <c r="F83" s="83" t="str">
        <f t="shared" si="7"/>
        <v/>
      </c>
      <c r="G83" s="23"/>
      <c r="H83" s="84"/>
      <c r="I83" s="85" t="str">
        <f>IF(A83="","Pending",IF(H83="","⚠️ Enter Code",IF(IFERROR(VLOOKUP(G83,DB_Agents!$B:$I,8,0),"")=H83,IF(AND(A83&lt;&gt;"",E83&lt;&gt;""),"Saved","Pending"),"🔒 BLOCKED — Wrong Code")))</f>
        <v>Pending</v>
      </c>
      <c r="J83" s="86" t="str">
        <f t="shared" ca="1" si="8"/>
        <v>—</v>
      </c>
      <c r="K83" s="87"/>
    </row>
    <row r="84" spans="1:11" x14ac:dyDescent="0.25">
      <c r="A84" s="88"/>
      <c r="B84" s="25" t="str">
        <f>IF(A84="","",IFERROR(VLOOKUP(A84,DB_Customers!$A:$D,4,0),"❌ Account Not Found"))</f>
        <v/>
      </c>
      <c r="C84" s="89" t="str">
        <f>IF(A84="","",IFERROR(VLOOKUP(A84,DB_Customers!$A:$N,14,0),""))</f>
        <v/>
      </c>
      <c r="D84" s="90" t="str">
        <f t="shared" ca="1" si="6"/>
        <v/>
      </c>
      <c r="E84" s="82"/>
      <c r="F84" s="91" t="str">
        <f t="shared" si="7"/>
        <v/>
      </c>
      <c r="G84" s="27"/>
      <c r="H84" s="84"/>
      <c r="I84" s="92" t="str">
        <f>IF(A84="","Pending",IF(H84="","⚠️ Enter Code",IF(IFERROR(VLOOKUP(G84,DB_Agents!$B:$I,8,0),"")=H84,IF(AND(A84&lt;&gt;"",E84&lt;&gt;""),"Saved","Pending"),"🔒 BLOCKED — Wrong Code")))</f>
        <v>Pending</v>
      </c>
      <c r="J84" s="93" t="str">
        <f t="shared" ca="1" si="8"/>
        <v>—</v>
      </c>
      <c r="K84" s="94"/>
    </row>
    <row r="85" spans="1:11" x14ac:dyDescent="0.25">
      <c r="A85" s="79"/>
      <c r="B85" s="21" t="str">
        <f>IF(A85="","",IFERROR(VLOOKUP(A85,DB_Customers!$A:$D,4,0),"❌ Account Not Found"))</f>
        <v/>
      </c>
      <c r="C85" s="80" t="str">
        <f>IF(A85="","",IFERROR(VLOOKUP(A85,DB_Customers!$A:$N,14,0),""))</f>
        <v/>
      </c>
      <c r="D85" s="81" t="str">
        <f t="shared" ca="1" si="6"/>
        <v/>
      </c>
      <c r="E85" s="82"/>
      <c r="F85" s="83" t="str">
        <f t="shared" si="7"/>
        <v/>
      </c>
      <c r="G85" s="23"/>
      <c r="H85" s="84"/>
      <c r="I85" s="85" t="str">
        <f>IF(A85="","Pending",IF(H85="","⚠️ Enter Code",IF(IFERROR(VLOOKUP(G85,DB_Agents!$B:$I,8,0),"")=H85,IF(AND(A85&lt;&gt;"",E85&lt;&gt;""),"Saved","Pending"),"🔒 BLOCKED — Wrong Code")))</f>
        <v>Pending</v>
      </c>
      <c r="J85" s="86" t="str">
        <f t="shared" ca="1" si="8"/>
        <v>—</v>
      </c>
      <c r="K85" s="87"/>
    </row>
    <row r="86" spans="1:11" x14ac:dyDescent="0.25">
      <c r="A86" s="88"/>
      <c r="B86" s="25" t="str">
        <f>IF(A86="","",IFERROR(VLOOKUP(A86,DB_Customers!$A:$D,4,0),"❌ Account Not Found"))</f>
        <v/>
      </c>
      <c r="C86" s="89" t="str">
        <f>IF(A86="","",IFERROR(VLOOKUP(A86,DB_Customers!$A:$N,14,0),""))</f>
        <v/>
      </c>
      <c r="D86" s="90" t="str">
        <f t="shared" ca="1" si="6"/>
        <v/>
      </c>
      <c r="E86" s="82"/>
      <c r="F86" s="91" t="str">
        <f t="shared" si="7"/>
        <v/>
      </c>
      <c r="G86" s="27"/>
      <c r="H86" s="84"/>
      <c r="I86" s="92" t="str">
        <f>IF(A86="","Pending",IF(H86="","⚠️ Enter Code",IF(IFERROR(VLOOKUP(G86,DB_Agents!$B:$I,8,0),"")=H86,IF(AND(A86&lt;&gt;"",E86&lt;&gt;""),"Saved","Pending"),"🔒 BLOCKED — Wrong Code")))</f>
        <v>Pending</v>
      </c>
      <c r="J86" s="93" t="str">
        <f t="shared" ca="1" si="8"/>
        <v>—</v>
      </c>
      <c r="K86" s="94"/>
    </row>
    <row r="87" spans="1:11" x14ac:dyDescent="0.25">
      <c r="A87" s="79"/>
      <c r="B87" s="21" t="str">
        <f>IF(A87="","",IFERROR(VLOOKUP(A87,DB_Customers!$A:$D,4,0),"❌ Account Not Found"))</f>
        <v/>
      </c>
      <c r="C87" s="80" t="str">
        <f>IF(A87="","",IFERROR(VLOOKUP(A87,DB_Customers!$A:$N,14,0),""))</f>
        <v/>
      </c>
      <c r="D87" s="81" t="str">
        <f t="shared" ca="1" si="6"/>
        <v/>
      </c>
      <c r="E87" s="82"/>
      <c r="F87" s="83" t="str">
        <f t="shared" si="7"/>
        <v/>
      </c>
      <c r="G87" s="23"/>
      <c r="H87" s="84"/>
      <c r="I87" s="85" t="str">
        <f>IF(A87="","Pending",IF(H87="","⚠️ Enter Code",IF(IFERROR(VLOOKUP(G87,DB_Agents!$B:$I,8,0),"")=H87,IF(AND(A87&lt;&gt;"",E87&lt;&gt;""),"Saved","Pending"),"🔒 BLOCKED — Wrong Code")))</f>
        <v>Pending</v>
      </c>
      <c r="J87" s="86" t="str">
        <f t="shared" ca="1" si="8"/>
        <v>—</v>
      </c>
      <c r="K87" s="87"/>
    </row>
    <row r="88" spans="1:11" x14ac:dyDescent="0.25">
      <c r="A88" s="88"/>
      <c r="B88" s="25" t="str">
        <f>IF(A88="","",IFERROR(VLOOKUP(A88,DB_Customers!$A:$D,4,0),"❌ Account Not Found"))</f>
        <v/>
      </c>
      <c r="C88" s="89" t="str">
        <f>IF(A88="","",IFERROR(VLOOKUP(A88,DB_Customers!$A:$N,14,0),""))</f>
        <v/>
      </c>
      <c r="D88" s="90" t="str">
        <f t="shared" ca="1" si="6"/>
        <v/>
      </c>
      <c r="E88" s="82"/>
      <c r="F88" s="91" t="str">
        <f t="shared" si="7"/>
        <v/>
      </c>
      <c r="G88" s="27"/>
      <c r="H88" s="84"/>
      <c r="I88" s="92" t="str">
        <f>IF(A88="","Pending",IF(H88="","⚠️ Enter Code",IF(IFERROR(VLOOKUP(G88,DB_Agents!$B:$I,8,0),"")=H88,IF(AND(A88&lt;&gt;"",E88&lt;&gt;""),"Saved","Pending"),"🔒 BLOCKED — Wrong Code")))</f>
        <v>Pending</v>
      </c>
      <c r="J88" s="93" t="str">
        <f t="shared" ca="1" si="8"/>
        <v>—</v>
      </c>
      <c r="K88" s="94"/>
    </row>
    <row r="89" spans="1:11" x14ac:dyDescent="0.25">
      <c r="A89" s="79"/>
      <c r="B89" s="21" t="str">
        <f>IF(A89="","",IFERROR(VLOOKUP(A89,DB_Customers!$A:$D,4,0),"❌ Account Not Found"))</f>
        <v/>
      </c>
      <c r="C89" s="80" t="str">
        <f>IF(A89="","",IFERROR(VLOOKUP(A89,DB_Customers!$A:$N,14,0),""))</f>
        <v/>
      </c>
      <c r="D89" s="81" t="str">
        <f t="shared" ca="1" si="6"/>
        <v/>
      </c>
      <c r="E89" s="82"/>
      <c r="F89" s="83" t="str">
        <f t="shared" si="7"/>
        <v/>
      </c>
      <c r="G89" s="23"/>
      <c r="H89" s="84"/>
      <c r="I89" s="85" t="str">
        <f>IF(A89="","Pending",IF(H89="","⚠️ Enter Code",IF(IFERROR(VLOOKUP(G89,DB_Agents!$B:$I,8,0),"")=H89,IF(AND(A89&lt;&gt;"",E89&lt;&gt;""),"Saved","Pending"),"🔒 BLOCKED — Wrong Code")))</f>
        <v>Pending</v>
      </c>
      <c r="J89" s="86" t="str">
        <f t="shared" ca="1" si="8"/>
        <v>—</v>
      </c>
      <c r="K89" s="87"/>
    </row>
    <row r="90" spans="1:11" x14ac:dyDescent="0.25">
      <c r="A90" s="88"/>
      <c r="B90" s="25" t="str">
        <f>IF(A90="","",IFERROR(VLOOKUP(A90,DB_Customers!$A:$D,4,0),"❌ Account Not Found"))</f>
        <v/>
      </c>
      <c r="C90" s="89" t="str">
        <f>IF(A90="","",IFERROR(VLOOKUP(A90,DB_Customers!$A:$N,14,0),""))</f>
        <v/>
      </c>
      <c r="D90" s="90" t="str">
        <f t="shared" ca="1" si="6"/>
        <v/>
      </c>
      <c r="E90" s="82"/>
      <c r="F90" s="91" t="str">
        <f t="shared" si="7"/>
        <v/>
      </c>
      <c r="G90" s="27"/>
      <c r="H90" s="84"/>
      <c r="I90" s="92" t="str">
        <f>IF(A90="","Pending",IF(H90="","⚠️ Enter Code",IF(IFERROR(VLOOKUP(G90,DB_Agents!$B:$I,8,0),"")=H90,IF(AND(A90&lt;&gt;"",E90&lt;&gt;""),"Saved","Pending"),"🔒 BLOCKED — Wrong Code")))</f>
        <v>Pending</v>
      </c>
      <c r="J90" s="93" t="str">
        <f t="shared" ca="1" si="8"/>
        <v>—</v>
      </c>
      <c r="K90" s="94"/>
    </row>
    <row r="91" spans="1:11" x14ac:dyDescent="0.25">
      <c r="A91" s="79"/>
      <c r="B91" s="21" t="str">
        <f>IF(A91="","",IFERROR(VLOOKUP(A91,DB_Customers!$A:$D,4,0),"❌ Account Not Found"))</f>
        <v/>
      </c>
      <c r="C91" s="80" t="str">
        <f>IF(A91="","",IFERROR(VLOOKUP(A91,DB_Customers!$A:$N,14,0),""))</f>
        <v/>
      </c>
      <c r="D91" s="81" t="str">
        <f t="shared" ca="1" si="6"/>
        <v/>
      </c>
      <c r="E91" s="82"/>
      <c r="F91" s="83" t="str">
        <f t="shared" si="7"/>
        <v/>
      </c>
      <c r="G91" s="23"/>
      <c r="H91" s="84"/>
      <c r="I91" s="85" t="str">
        <f>IF(A91="","Pending",IF(H91="","⚠️ Enter Code",IF(IFERROR(VLOOKUP(G91,DB_Agents!$B:$I,8,0),"")=H91,IF(AND(A91&lt;&gt;"",E91&lt;&gt;""),"Saved","Pending"),"🔒 BLOCKED — Wrong Code")))</f>
        <v>Pending</v>
      </c>
      <c r="J91" s="86" t="str">
        <f t="shared" ca="1" si="8"/>
        <v>—</v>
      </c>
      <c r="K91" s="87"/>
    </row>
    <row r="92" spans="1:11" x14ac:dyDescent="0.25">
      <c r="A92" s="88"/>
      <c r="B92" s="25" t="str">
        <f>IF(A92="","",IFERROR(VLOOKUP(A92,DB_Customers!$A:$D,4,0),"❌ Account Not Found"))</f>
        <v/>
      </c>
      <c r="C92" s="89" t="str">
        <f>IF(A92="","",IFERROR(VLOOKUP(A92,DB_Customers!$A:$N,14,0),""))</f>
        <v/>
      </c>
      <c r="D92" s="90" t="str">
        <f t="shared" ca="1" si="6"/>
        <v/>
      </c>
      <c r="E92" s="82"/>
      <c r="F92" s="91" t="str">
        <f t="shared" si="7"/>
        <v/>
      </c>
      <c r="G92" s="27"/>
      <c r="H92" s="84"/>
      <c r="I92" s="92" t="str">
        <f>IF(A92="","Pending",IF(H92="","⚠️ Enter Code",IF(IFERROR(VLOOKUP(G92,DB_Agents!$B:$I,8,0),"")=H92,IF(AND(A92&lt;&gt;"",E92&lt;&gt;""),"Saved","Pending"),"🔒 BLOCKED — Wrong Code")))</f>
        <v>Pending</v>
      </c>
      <c r="J92" s="93" t="str">
        <f t="shared" ca="1" si="8"/>
        <v>—</v>
      </c>
      <c r="K92" s="94"/>
    </row>
    <row r="93" spans="1:11" x14ac:dyDescent="0.25">
      <c r="A93" s="79"/>
      <c r="B93" s="21" t="str">
        <f>IF(A93="","",IFERROR(VLOOKUP(A93,DB_Customers!$A:$D,4,0),"❌ Account Not Found"))</f>
        <v/>
      </c>
      <c r="C93" s="80" t="str">
        <f>IF(A93="","",IFERROR(VLOOKUP(A93,DB_Customers!$A:$N,14,0),""))</f>
        <v/>
      </c>
      <c r="D93" s="81" t="str">
        <f t="shared" ca="1" si="6"/>
        <v/>
      </c>
      <c r="E93" s="82"/>
      <c r="F93" s="83" t="str">
        <f t="shared" si="7"/>
        <v/>
      </c>
      <c r="G93" s="23"/>
      <c r="H93" s="84"/>
      <c r="I93" s="85" t="str">
        <f>IF(A93="","Pending",IF(H93="","⚠️ Enter Code",IF(IFERROR(VLOOKUP(G93,DB_Agents!$B:$I,8,0),"")=H93,IF(AND(A93&lt;&gt;"",E93&lt;&gt;""),"Saved","Pending"),"🔒 BLOCKED — Wrong Code")))</f>
        <v>Pending</v>
      </c>
      <c r="J93" s="86" t="str">
        <f t="shared" ca="1" si="8"/>
        <v>—</v>
      </c>
      <c r="K93" s="87"/>
    </row>
    <row r="94" spans="1:11" x14ac:dyDescent="0.25">
      <c r="A94" s="88"/>
      <c r="B94" s="25" t="str">
        <f>IF(A94="","",IFERROR(VLOOKUP(A94,DB_Customers!$A:$D,4,0),"❌ Account Not Found"))</f>
        <v/>
      </c>
      <c r="C94" s="89" t="str">
        <f>IF(A94="","",IFERROR(VLOOKUP(A94,DB_Customers!$A:$N,14,0),""))</f>
        <v/>
      </c>
      <c r="D94" s="90" t="str">
        <f t="shared" ca="1" si="6"/>
        <v/>
      </c>
      <c r="E94" s="82"/>
      <c r="F94" s="91" t="str">
        <f t="shared" si="7"/>
        <v/>
      </c>
      <c r="G94" s="27"/>
      <c r="H94" s="84"/>
      <c r="I94" s="92" t="str">
        <f>IF(A94="","Pending",IF(H94="","⚠️ Enter Code",IF(IFERROR(VLOOKUP(G94,DB_Agents!$B:$I,8,0),"")=H94,IF(AND(A94&lt;&gt;"",E94&lt;&gt;""),"Saved","Pending"),"🔒 BLOCKED — Wrong Code")))</f>
        <v>Pending</v>
      </c>
      <c r="J94" s="93" t="str">
        <f t="shared" ca="1" si="8"/>
        <v>—</v>
      </c>
      <c r="K94" s="94"/>
    </row>
    <row r="95" spans="1:11" x14ac:dyDescent="0.25">
      <c r="A95" s="79"/>
      <c r="B95" s="21" t="str">
        <f>IF(A95="","",IFERROR(VLOOKUP(A95,DB_Customers!$A:$D,4,0),"❌ Account Not Found"))</f>
        <v/>
      </c>
      <c r="C95" s="80" t="str">
        <f>IF(A95="","",IFERROR(VLOOKUP(A95,DB_Customers!$A:$N,14,0),""))</f>
        <v/>
      </c>
      <c r="D95" s="81" t="str">
        <f t="shared" ca="1" si="6"/>
        <v/>
      </c>
      <c r="E95" s="82"/>
      <c r="F95" s="83" t="str">
        <f t="shared" si="7"/>
        <v/>
      </c>
      <c r="G95" s="23"/>
      <c r="H95" s="84"/>
      <c r="I95" s="85" t="str">
        <f>IF(A95="","Pending",IF(H95="","⚠️ Enter Code",IF(IFERROR(VLOOKUP(G95,DB_Agents!$B:$I,8,0),"")=H95,IF(AND(A95&lt;&gt;"",E95&lt;&gt;""),"Saved","Pending"),"🔒 BLOCKED — Wrong Code")))</f>
        <v>Pending</v>
      </c>
      <c r="J95" s="86" t="str">
        <f t="shared" ca="1" si="8"/>
        <v>—</v>
      </c>
      <c r="K95" s="87"/>
    </row>
    <row r="96" spans="1:11" x14ac:dyDescent="0.25">
      <c r="A96" s="88"/>
      <c r="B96" s="25" t="str">
        <f>IF(A96="","",IFERROR(VLOOKUP(A96,DB_Customers!$A:$D,4,0),"❌ Account Not Found"))</f>
        <v/>
      </c>
      <c r="C96" s="89" t="str">
        <f>IF(A96="","",IFERROR(VLOOKUP(A96,DB_Customers!$A:$N,14,0),""))</f>
        <v/>
      </c>
      <c r="D96" s="90" t="str">
        <f t="shared" ca="1" si="6"/>
        <v/>
      </c>
      <c r="E96" s="82"/>
      <c r="F96" s="91" t="str">
        <f t="shared" si="7"/>
        <v/>
      </c>
      <c r="G96" s="27"/>
      <c r="H96" s="84"/>
      <c r="I96" s="92" t="str">
        <f>IF(A96="","Pending",IF(H96="","⚠️ Enter Code",IF(IFERROR(VLOOKUP(G96,DB_Agents!$B:$I,8,0),"")=H96,IF(AND(A96&lt;&gt;"",E96&lt;&gt;""),"Saved","Pending"),"🔒 BLOCKED — Wrong Code")))</f>
        <v>Pending</v>
      </c>
      <c r="J96" s="93" t="str">
        <f t="shared" ca="1" si="8"/>
        <v>—</v>
      </c>
      <c r="K96" s="94"/>
    </row>
    <row r="97" spans="1:11" x14ac:dyDescent="0.25">
      <c r="A97" s="79"/>
      <c r="B97" s="21" t="str">
        <f>IF(A97="","",IFERROR(VLOOKUP(A97,DB_Customers!$A:$D,4,0),"❌ Account Not Found"))</f>
        <v/>
      </c>
      <c r="C97" s="80" t="str">
        <f>IF(A97="","",IFERROR(VLOOKUP(A97,DB_Customers!$A:$N,14,0),""))</f>
        <v/>
      </c>
      <c r="D97" s="81" t="str">
        <f t="shared" ca="1" si="6"/>
        <v/>
      </c>
      <c r="E97" s="82"/>
      <c r="F97" s="83" t="str">
        <f t="shared" si="7"/>
        <v/>
      </c>
      <c r="G97" s="23"/>
      <c r="H97" s="84"/>
      <c r="I97" s="85" t="str">
        <f>IF(A97="","Pending",IF(H97="","⚠️ Enter Code",IF(IFERROR(VLOOKUP(G97,DB_Agents!$B:$I,8,0),"")=H97,IF(AND(A97&lt;&gt;"",E97&lt;&gt;""),"Saved","Pending"),"🔒 BLOCKED — Wrong Code")))</f>
        <v>Pending</v>
      </c>
      <c r="J97" s="86" t="str">
        <f t="shared" ca="1" si="8"/>
        <v>—</v>
      </c>
      <c r="K97" s="87"/>
    </row>
    <row r="98" spans="1:11" x14ac:dyDescent="0.25">
      <c r="A98" s="88"/>
      <c r="B98" s="25" t="str">
        <f>IF(A98="","",IFERROR(VLOOKUP(A98,DB_Customers!$A:$D,4,0),"❌ Account Not Found"))</f>
        <v/>
      </c>
      <c r="C98" s="89" t="str">
        <f>IF(A98="","",IFERROR(VLOOKUP(A98,DB_Customers!$A:$N,14,0),""))</f>
        <v/>
      </c>
      <c r="D98" s="90" t="str">
        <f t="shared" ca="1" si="6"/>
        <v/>
      </c>
      <c r="E98" s="82"/>
      <c r="F98" s="91" t="str">
        <f t="shared" si="7"/>
        <v/>
      </c>
      <c r="G98" s="27"/>
      <c r="H98" s="84"/>
      <c r="I98" s="92" t="str">
        <f>IF(A98="","Pending",IF(H98="","⚠️ Enter Code",IF(IFERROR(VLOOKUP(G98,DB_Agents!$B:$I,8,0),"")=H98,IF(AND(A98&lt;&gt;"",E98&lt;&gt;""),"Saved","Pending"),"🔒 BLOCKED — Wrong Code")))</f>
        <v>Pending</v>
      </c>
      <c r="J98" s="93" t="str">
        <f t="shared" ca="1" si="8"/>
        <v>—</v>
      </c>
      <c r="K98" s="94"/>
    </row>
    <row r="99" spans="1:11" x14ac:dyDescent="0.25">
      <c r="A99" s="79"/>
      <c r="B99" s="21" t="str">
        <f>IF(A99="","",IFERROR(VLOOKUP(A99,DB_Customers!$A:$D,4,0),"❌ Account Not Found"))</f>
        <v/>
      </c>
      <c r="C99" s="80" t="str">
        <f>IF(A99="","",IFERROR(VLOOKUP(A99,DB_Customers!$A:$N,14,0),""))</f>
        <v/>
      </c>
      <c r="D99" s="81" t="str">
        <f t="shared" ca="1" si="6"/>
        <v/>
      </c>
      <c r="E99" s="82"/>
      <c r="F99" s="83" t="str">
        <f t="shared" si="7"/>
        <v/>
      </c>
      <c r="G99" s="23"/>
      <c r="H99" s="84"/>
      <c r="I99" s="85" t="str">
        <f>IF(A99="","Pending",IF(H99="","⚠️ Enter Code",IF(IFERROR(VLOOKUP(G99,DB_Agents!$B:$I,8,0),"")=H99,IF(AND(A99&lt;&gt;"",E99&lt;&gt;""),"Saved","Pending"),"🔒 BLOCKED — Wrong Code")))</f>
        <v>Pending</v>
      </c>
      <c r="J99" s="86" t="str">
        <f t="shared" ca="1" si="8"/>
        <v>—</v>
      </c>
      <c r="K99" s="87"/>
    </row>
    <row r="100" spans="1:11" x14ac:dyDescent="0.25">
      <c r="A100" s="88"/>
      <c r="B100" s="25" t="str">
        <f>IF(A100="","",IFERROR(VLOOKUP(A100,DB_Customers!$A:$D,4,0),"❌ Account Not Found"))</f>
        <v/>
      </c>
      <c r="C100" s="89" t="str">
        <f>IF(A100="","",IFERROR(VLOOKUP(A100,DB_Customers!$A:$N,14,0),""))</f>
        <v/>
      </c>
      <c r="D100" s="90" t="str">
        <f t="shared" ca="1" si="6"/>
        <v/>
      </c>
      <c r="E100" s="82"/>
      <c r="F100" s="91" t="str">
        <f t="shared" si="7"/>
        <v/>
      </c>
      <c r="G100" s="27"/>
      <c r="H100" s="84"/>
      <c r="I100" s="92" t="str">
        <f>IF(A100="","Pending",IF(H100="","⚠️ Enter Code",IF(IFERROR(VLOOKUP(G100,DB_Agents!$B:$I,8,0),"")=H100,IF(AND(A100&lt;&gt;"",E100&lt;&gt;""),"Saved","Pending"),"🔒 BLOCKED — Wrong Code")))</f>
        <v>Pending</v>
      </c>
      <c r="J100" s="93" t="str">
        <f t="shared" ca="1" si="8"/>
        <v>—</v>
      </c>
      <c r="K100" s="94"/>
    </row>
    <row r="101" spans="1:11" x14ac:dyDescent="0.25">
      <c r="A101" s="79"/>
      <c r="B101" s="21" t="str">
        <f>IF(A101="","",IFERROR(VLOOKUP(A101,DB_Customers!$A:$D,4,0),"❌ Account Not Found"))</f>
        <v/>
      </c>
      <c r="C101" s="80" t="str">
        <f>IF(A101="","",IFERROR(VLOOKUP(A101,DB_Customers!$A:$N,14,0),""))</f>
        <v/>
      </c>
      <c r="D101" s="81" t="str">
        <f t="shared" ca="1" si="6"/>
        <v/>
      </c>
      <c r="E101" s="82"/>
      <c r="F101" s="83" t="str">
        <f t="shared" si="7"/>
        <v/>
      </c>
      <c r="G101" s="23"/>
      <c r="H101" s="84"/>
      <c r="I101" s="85" t="str">
        <f>IF(A101="","Pending",IF(H101="","⚠️ Enter Code",IF(IFERROR(VLOOKUP(G101,DB_Agents!$B:$I,8,0),"")=H101,IF(AND(A101&lt;&gt;"",E101&lt;&gt;""),"Saved","Pending"),"🔒 BLOCKED — Wrong Code")))</f>
        <v>Pending</v>
      </c>
      <c r="J101" s="86" t="str">
        <f t="shared" ca="1" si="8"/>
        <v>—</v>
      </c>
      <c r="K101" s="87"/>
    </row>
    <row r="102" spans="1:11" x14ac:dyDescent="0.25">
      <c r="A102" s="88"/>
      <c r="B102" s="25" t="str">
        <f>IF(A102="","",IFERROR(VLOOKUP(A102,DB_Customers!$A:$D,4,0),"❌ Account Not Found"))</f>
        <v/>
      </c>
      <c r="C102" s="89" t="str">
        <f>IF(A102="","",IFERROR(VLOOKUP(A102,DB_Customers!$A:$N,14,0),""))</f>
        <v/>
      </c>
      <c r="D102" s="90" t="str">
        <f t="shared" ca="1" si="6"/>
        <v/>
      </c>
      <c r="E102" s="82"/>
      <c r="F102" s="91" t="str">
        <f t="shared" si="7"/>
        <v/>
      </c>
      <c r="G102" s="27"/>
      <c r="H102" s="84"/>
      <c r="I102" s="92" t="str">
        <f>IF(A102="","Pending",IF(H102="","⚠️ Enter Code",IF(IFERROR(VLOOKUP(G102,DB_Agents!$B:$I,8,0),"")=H102,IF(AND(A102&lt;&gt;"",E102&lt;&gt;""),"Saved","Pending"),"🔒 BLOCKED — Wrong Code")))</f>
        <v>Pending</v>
      </c>
      <c r="J102" s="93" t="str">
        <f t="shared" ca="1" si="8"/>
        <v>—</v>
      </c>
      <c r="K102" s="94"/>
    </row>
    <row r="103" spans="1:11" x14ac:dyDescent="0.25">
      <c r="A103" s="79"/>
      <c r="B103" s="21" t="str">
        <f>IF(A103="","",IFERROR(VLOOKUP(A103,DB_Customers!$A:$D,4,0),"❌ Account Not Found"))</f>
        <v/>
      </c>
      <c r="C103" s="80" t="str">
        <f>IF(A103="","",IFERROR(VLOOKUP(A103,DB_Customers!$A:$N,14,0),""))</f>
        <v/>
      </c>
      <c r="D103" s="81" t="str">
        <f t="shared" ca="1" si="6"/>
        <v/>
      </c>
      <c r="E103" s="82"/>
      <c r="F103" s="83" t="str">
        <f t="shared" si="7"/>
        <v/>
      </c>
      <c r="G103" s="23"/>
      <c r="H103" s="84"/>
      <c r="I103" s="85" t="str">
        <f>IF(A103="","Pending",IF(H103="","⚠️ Enter Code",IF(IFERROR(VLOOKUP(G103,DB_Agents!$B:$I,8,0),"")=H103,IF(AND(A103&lt;&gt;"",E103&lt;&gt;""),"Saved","Pending"),"🔒 BLOCKED — Wrong Code")))</f>
        <v>Pending</v>
      </c>
      <c r="J103" s="86" t="str">
        <f t="shared" ca="1" si="8"/>
        <v>—</v>
      </c>
      <c r="K103" s="87"/>
    </row>
    <row r="104" spans="1:11" x14ac:dyDescent="0.25">
      <c r="A104" s="88"/>
      <c r="B104" s="25" t="str">
        <f>IF(A104="","",IFERROR(VLOOKUP(A104,DB_Customers!$A:$D,4,0),"❌ Account Not Found"))</f>
        <v/>
      </c>
      <c r="C104" s="89" t="str">
        <f>IF(A104="","",IFERROR(VLOOKUP(A104,DB_Customers!$A:$N,14,0),""))</f>
        <v/>
      </c>
      <c r="D104" s="90" t="str">
        <f t="shared" ca="1" si="6"/>
        <v/>
      </c>
      <c r="E104" s="82"/>
      <c r="F104" s="91" t="str">
        <f t="shared" si="7"/>
        <v/>
      </c>
      <c r="G104" s="27"/>
      <c r="H104" s="84"/>
      <c r="I104" s="92" t="str">
        <f>IF(A104="","Pending",IF(H104="","⚠️ Enter Code",IF(IFERROR(VLOOKUP(G104,DB_Agents!$B:$I,8,0),"")=H104,IF(AND(A104&lt;&gt;"",E104&lt;&gt;""),"Saved","Pending"),"🔒 BLOCKED — Wrong Code")))</f>
        <v>Pending</v>
      </c>
      <c r="J104" s="93" t="str">
        <f t="shared" ca="1" si="8"/>
        <v>—</v>
      </c>
      <c r="K104" s="94"/>
    </row>
    <row r="105" spans="1:11" x14ac:dyDescent="0.25">
      <c r="A105" s="79"/>
      <c r="B105" s="21" t="str">
        <f>IF(A105="","",IFERROR(VLOOKUP(A105,DB_Customers!$A:$D,4,0),"❌ Account Not Found"))</f>
        <v/>
      </c>
      <c r="C105" s="80" t="str">
        <f>IF(A105="","",IFERROR(VLOOKUP(A105,DB_Customers!$A:$N,14,0),""))</f>
        <v/>
      </c>
      <c r="D105" s="81" t="str">
        <f t="shared" ref="D105:D136" ca="1" si="9">IF(A105="","",TODAY())</f>
        <v/>
      </c>
      <c r="E105" s="82"/>
      <c r="F105" s="83" t="str">
        <f t="shared" ref="F105:F136" si="10">IF(OR(A105="",E105=""),"",IF(C105="","",C105+E105))</f>
        <v/>
      </c>
      <c r="G105" s="23"/>
      <c r="H105" s="84"/>
      <c r="I105" s="85" t="str">
        <f>IF(A105="","Pending",IF(H105="","⚠️ Enter Code",IF(IFERROR(VLOOKUP(G105,DB_Agents!$B:$I,8,0),"")=H105,IF(AND(A105&lt;&gt;"",E105&lt;&gt;""),"Saved","Pending"),"🔒 BLOCKED — Wrong Code")))</f>
        <v>Pending</v>
      </c>
      <c r="J105" s="86" t="str">
        <f t="shared" ref="J105:J136" ca="1" si="11">IF(I105="Saved",TEXT(TODAY(),"YYYY-MM-DD")&amp;" Auto","—")</f>
        <v>—</v>
      </c>
      <c r="K105" s="87"/>
    </row>
    <row r="106" spans="1:11" x14ac:dyDescent="0.25">
      <c r="A106" s="88"/>
      <c r="B106" s="25" t="str">
        <f>IF(A106="","",IFERROR(VLOOKUP(A106,DB_Customers!$A:$D,4,0),"❌ Account Not Found"))</f>
        <v/>
      </c>
      <c r="C106" s="89" t="str">
        <f>IF(A106="","",IFERROR(VLOOKUP(A106,DB_Customers!$A:$N,14,0),""))</f>
        <v/>
      </c>
      <c r="D106" s="90" t="str">
        <f t="shared" ca="1" si="9"/>
        <v/>
      </c>
      <c r="E106" s="82"/>
      <c r="F106" s="91" t="str">
        <f t="shared" si="10"/>
        <v/>
      </c>
      <c r="G106" s="27"/>
      <c r="H106" s="84"/>
      <c r="I106" s="92" t="str">
        <f>IF(A106="","Pending",IF(H106="","⚠️ Enter Code",IF(IFERROR(VLOOKUP(G106,DB_Agents!$B:$I,8,0),"")=H106,IF(AND(A106&lt;&gt;"",E106&lt;&gt;""),"Saved","Pending"),"🔒 BLOCKED — Wrong Code")))</f>
        <v>Pending</v>
      </c>
      <c r="J106" s="93" t="str">
        <f t="shared" ca="1" si="11"/>
        <v>—</v>
      </c>
      <c r="K106" s="94"/>
    </row>
    <row r="107" spans="1:11" x14ac:dyDescent="0.25">
      <c r="A107" s="79"/>
      <c r="B107" s="21" t="str">
        <f>IF(A107="","",IFERROR(VLOOKUP(A107,DB_Customers!$A:$D,4,0),"❌ Account Not Found"))</f>
        <v/>
      </c>
      <c r="C107" s="80" t="str">
        <f>IF(A107="","",IFERROR(VLOOKUP(A107,DB_Customers!$A:$N,14,0),""))</f>
        <v/>
      </c>
      <c r="D107" s="81" t="str">
        <f t="shared" ca="1" si="9"/>
        <v/>
      </c>
      <c r="E107" s="82"/>
      <c r="F107" s="83" t="str">
        <f t="shared" si="10"/>
        <v/>
      </c>
      <c r="G107" s="23"/>
      <c r="H107" s="84"/>
      <c r="I107" s="85" t="str">
        <f>IF(A107="","Pending",IF(H107="","⚠️ Enter Code",IF(IFERROR(VLOOKUP(G107,DB_Agents!$B:$I,8,0),"")=H107,IF(AND(A107&lt;&gt;"",E107&lt;&gt;""),"Saved","Pending"),"🔒 BLOCKED — Wrong Code")))</f>
        <v>Pending</v>
      </c>
      <c r="J107" s="86" t="str">
        <f t="shared" ca="1" si="11"/>
        <v>—</v>
      </c>
      <c r="K107" s="87"/>
    </row>
    <row r="108" spans="1:11" x14ac:dyDescent="0.25">
      <c r="A108" s="88"/>
      <c r="B108" s="25" t="str">
        <f>IF(A108="","",IFERROR(VLOOKUP(A108,DB_Customers!$A:$D,4,0),"❌ Account Not Found"))</f>
        <v/>
      </c>
      <c r="C108" s="89" t="str">
        <f>IF(A108="","",IFERROR(VLOOKUP(A108,DB_Customers!$A:$N,14,0),""))</f>
        <v/>
      </c>
      <c r="D108" s="90" t="str">
        <f t="shared" ca="1" si="9"/>
        <v/>
      </c>
      <c r="E108" s="82"/>
      <c r="F108" s="91" t="str">
        <f t="shared" si="10"/>
        <v/>
      </c>
      <c r="G108" s="27"/>
      <c r="H108" s="84"/>
      <c r="I108" s="92" t="str">
        <f>IF(A108="","Pending",IF(H108="","⚠️ Enter Code",IF(IFERROR(VLOOKUP(G108,DB_Agents!$B:$I,8,0),"")=H108,IF(AND(A108&lt;&gt;"",E108&lt;&gt;""),"Saved","Pending"),"🔒 BLOCKED — Wrong Code")))</f>
        <v>Pending</v>
      </c>
      <c r="J108" s="93" t="str">
        <f t="shared" ca="1" si="11"/>
        <v>—</v>
      </c>
      <c r="K108" s="94"/>
    </row>
    <row r="109" spans="1:11" x14ac:dyDescent="0.25">
      <c r="A109" s="79"/>
      <c r="B109" s="21" t="str">
        <f>IF(A109="","",IFERROR(VLOOKUP(A109,DB_Customers!$A:$D,4,0),"❌ Account Not Found"))</f>
        <v/>
      </c>
      <c r="C109" s="80" t="str">
        <f>IF(A109="","",IFERROR(VLOOKUP(A109,DB_Customers!$A:$N,14,0),""))</f>
        <v/>
      </c>
      <c r="D109" s="81" t="str">
        <f t="shared" ca="1" si="9"/>
        <v/>
      </c>
      <c r="E109" s="82"/>
      <c r="F109" s="83" t="str">
        <f t="shared" si="10"/>
        <v/>
      </c>
      <c r="G109" s="23"/>
      <c r="H109" s="84"/>
      <c r="I109" s="85" t="str">
        <f>IF(A109="","Pending",IF(H109="","⚠️ Enter Code",IF(IFERROR(VLOOKUP(G109,DB_Agents!$B:$I,8,0),"")=H109,IF(AND(A109&lt;&gt;"",E109&lt;&gt;""),"Saved","Pending"),"🔒 BLOCKED — Wrong Code")))</f>
        <v>Pending</v>
      </c>
      <c r="J109" s="86" t="str">
        <f t="shared" ca="1" si="11"/>
        <v>—</v>
      </c>
      <c r="K109" s="87"/>
    </row>
    <row r="110" spans="1:11" x14ac:dyDescent="0.25">
      <c r="A110" s="88"/>
      <c r="B110" s="25" t="str">
        <f>IF(A110="","",IFERROR(VLOOKUP(A110,DB_Customers!$A:$D,4,0),"❌ Account Not Found"))</f>
        <v/>
      </c>
      <c r="C110" s="89" t="str">
        <f>IF(A110="","",IFERROR(VLOOKUP(A110,DB_Customers!$A:$N,14,0),""))</f>
        <v/>
      </c>
      <c r="D110" s="90" t="str">
        <f t="shared" ca="1" si="9"/>
        <v/>
      </c>
      <c r="E110" s="82"/>
      <c r="F110" s="91" t="str">
        <f t="shared" si="10"/>
        <v/>
      </c>
      <c r="G110" s="27"/>
      <c r="H110" s="84"/>
      <c r="I110" s="92" t="str">
        <f>IF(A110="","Pending",IF(H110="","⚠️ Enter Code",IF(IFERROR(VLOOKUP(G110,DB_Agents!$B:$I,8,0),"")=H110,IF(AND(A110&lt;&gt;"",E110&lt;&gt;""),"Saved","Pending"),"🔒 BLOCKED — Wrong Code")))</f>
        <v>Pending</v>
      </c>
      <c r="J110" s="93" t="str">
        <f t="shared" ca="1" si="11"/>
        <v>—</v>
      </c>
      <c r="K110" s="94"/>
    </row>
    <row r="111" spans="1:11" x14ac:dyDescent="0.25">
      <c r="A111" s="79"/>
      <c r="B111" s="21" t="str">
        <f>IF(A111="","",IFERROR(VLOOKUP(A111,DB_Customers!$A:$D,4,0),"❌ Account Not Found"))</f>
        <v/>
      </c>
      <c r="C111" s="80" t="str">
        <f>IF(A111="","",IFERROR(VLOOKUP(A111,DB_Customers!$A:$N,14,0),""))</f>
        <v/>
      </c>
      <c r="D111" s="81" t="str">
        <f t="shared" ca="1" si="9"/>
        <v/>
      </c>
      <c r="E111" s="82"/>
      <c r="F111" s="83" t="str">
        <f t="shared" si="10"/>
        <v/>
      </c>
      <c r="G111" s="23"/>
      <c r="H111" s="84"/>
      <c r="I111" s="85" t="str">
        <f>IF(A111="","Pending",IF(H111="","⚠️ Enter Code",IF(IFERROR(VLOOKUP(G111,DB_Agents!$B:$I,8,0),"")=H111,IF(AND(A111&lt;&gt;"",E111&lt;&gt;""),"Saved","Pending"),"🔒 BLOCKED — Wrong Code")))</f>
        <v>Pending</v>
      </c>
      <c r="J111" s="86" t="str">
        <f t="shared" ca="1" si="11"/>
        <v>—</v>
      </c>
      <c r="K111" s="87"/>
    </row>
    <row r="112" spans="1:11" x14ac:dyDescent="0.25">
      <c r="A112" s="88"/>
      <c r="B112" s="25" t="str">
        <f>IF(A112="","",IFERROR(VLOOKUP(A112,DB_Customers!$A:$D,4,0),"❌ Account Not Found"))</f>
        <v/>
      </c>
      <c r="C112" s="89" t="str">
        <f>IF(A112="","",IFERROR(VLOOKUP(A112,DB_Customers!$A:$N,14,0),""))</f>
        <v/>
      </c>
      <c r="D112" s="90" t="str">
        <f t="shared" ca="1" si="9"/>
        <v/>
      </c>
      <c r="E112" s="82"/>
      <c r="F112" s="91" t="str">
        <f t="shared" si="10"/>
        <v/>
      </c>
      <c r="G112" s="27"/>
      <c r="H112" s="84"/>
      <c r="I112" s="92" t="str">
        <f>IF(A112="","Pending",IF(H112="","⚠️ Enter Code",IF(IFERROR(VLOOKUP(G112,DB_Agents!$B:$I,8,0),"")=H112,IF(AND(A112&lt;&gt;"",E112&lt;&gt;""),"Saved","Pending"),"🔒 BLOCKED — Wrong Code")))</f>
        <v>Pending</v>
      </c>
      <c r="J112" s="93" t="str">
        <f t="shared" ca="1" si="11"/>
        <v>—</v>
      </c>
      <c r="K112" s="94"/>
    </row>
    <row r="113" spans="1:11" x14ac:dyDescent="0.25">
      <c r="A113" s="79"/>
      <c r="B113" s="21" t="str">
        <f>IF(A113="","",IFERROR(VLOOKUP(A113,DB_Customers!$A:$D,4,0),"❌ Account Not Found"))</f>
        <v/>
      </c>
      <c r="C113" s="80" t="str">
        <f>IF(A113="","",IFERROR(VLOOKUP(A113,DB_Customers!$A:$N,14,0),""))</f>
        <v/>
      </c>
      <c r="D113" s="81" t="str">
        <f t="shared" ca="1" si="9"/>
        <v/>
      </c>
      <c r="E113" s="82"/>
      <c r="F113" s="83" t="str">
        <f t="shared" si="10"/>
        <v/>
      </c>
      <c r="G113" s="23"/>
      <c r="H113" s="84"/>
      <c r="I113" s="85" t="str">
        <f>IF(A113="","Pending",IF(H113="","⚠️ Enter Code",IF(IFERROR(VLOOKUP(G113,DB_Agents!$B:$I,8,0),"")=H113,IF(AND(A113&lt;&gt;"",E113&lt;&gt;""),"Saved","Pending"),"🔒 BLOCKED — Wrong Code")))</f>
        <v>Pending</v>
      </c>
      <c r="J113" s="86" t="str">
        <f t="shared" ca="1" si="11"/>
        <v>—</v>
      </c>
      <c r="K113" s="87"/>
    </row>
    <row r="114" spans="1:11" x14ac:dyDescent="0.25">
      <c r="A114" s="88"/>
      <c r="B114" s="25" t="str">
        <f>IF(A114="","",IFERROR(VLOOKUP(A114,DB_Customers!$A:$D,4,0),"❌ Account Not Found"))</f>
        <v/>
      </c>
      <c r="C114" s="89" t="str">
        <f>IF(A114="","",IFERROR(VLOOKUP(A114,DB_Customers!$A:$N,14,0),""))</f>
        <v/>
      </c>
      <c r="D114" s="90" t="str">
        <f t="shared" ca="1" si="9"/>
        <v/>
      </c>
      <c r="E114" s="82"/>
      <c r="F114" s="91" t="str">
        <f t="shared" si="10"/>
        <v/>
      </c>
      <c r="G114" s="27"/>
      <c r="H114" s="84"/>
      <c r="I114" s="92" t="str">
        <f>IF(A114="","Pending",IF(H114="","⚠️ Enter Code",IF(IFERROR(VLOOKUP(G114,DB_Agents!$B:$I,8,0),"")=H114,IF(AND(A114&lt;&gt;"",E114&lt;&gt;""),"Saved","Pending"),"🔒 BLOCKED — Wrong Code")))</f>
        <v>Pending</v>
      </c>
      <c r="J114" s="93" t="str">
        <f t="shared" ca="1" si="11"/>
        <v>—</v>
      </c>
      <c r="K114" s="94"/>
    </row>
    <row r="115" spans="1:11" x14ac:dyDescent="0.25">
      <c r="A115" s="79"/>
      <c r="B115" s="21" t="str">
        <f>IF(A115="","",IFERROR(VLOOKUP(A115,DB_Customers!$A:$D,4,0),"❌ Account Not Found"))</f>
        <v/>
      </c>
      <c r="C115" s="80" t="str">
        <f>IF(A115="","",IFERROR(VLOOKUP(A115,DB_Customers!$A:$N,14,0),""))</f>
        <v/>
      </c>
      <c r="D115" s="81" t="str">
        <f t="shared" ca="1" si="9"/>
        <v/>
      </c>
      <c r="E115" s="82"/>
      <c r="F115" s="83" t="str">
        <f t="shared" si="10"/>
        <v/>
      </c>
      <c r="G115" s="23"/>
      <c r="H115" s="84"/>
      <c r="I115" s="85" t="str">
        <f>IF(A115="","Pending",IF(H115="","⚠️ Enter Code",IF(IFERROR(VLOOKUP(G115,DB_Agents!$B:$I,8,0),"")=H115,IF(AND(A115&lt;&gt;"",E115&lt;&gt;""),"Saved","Pending"),"🔒 BLOCKED — Wrong Code")))</f>
        <v>Pending</v>
      </c>
      <c r="J115" s="86" t="str">
        <f t="shared" ca="1" si="11"/>
        <v>—</v>
      </c>
      <c r="K115" s="87"/>
    </row>
    <row r="116" spans="1:11" x14ac:dyDescent="0.25">
      <c r="A116" s="88"/>
      <c r="B116" s="25" t="str">
        <f>IF(A116="","",IFERROR(VLOOKUP(A116,DB_Customers!$A:$D,4,0),"❌ Account Not Found"))</f>
        <v/>
      </c>
      <c r="C116" s="89" t="str">
        <f>IF(A116="","",IFERROR(VLOOKUP(A116,DB_Customers!$A:$N,14,0),""))</f>
        <v/>
      </c>
      <c r="D116" s="90" t="str">
        <f t="shared" ca="1" si="9"/>
        <v/>
      </c>
      <c r="E116" s="82"/>
      <c r="F116" s="91" t="str">
        <f t="shared" si="10"/>
        <v/>
      </c>
      <c r="G116" s="27"/>
      <c r="H116" s="84"/>
      <c r="I116" s="92" t="str">
        <f>IF(A116="","Pending",IF(H116="","⚠️ Enter Code",IF(IFERROR(VLOOKUP(G116,DB_Agents!$B:$I,8,0),"")=H116,IF(AND(A116&lt;&gt;"",E116&lt;&gt;""),"Saved","Pending"),"🔒 BLOCKED — Wrong Code")))</f>
        <v>Pending</v>
      </c>
      <c r="J116" s="93" t="str">
        <f t="shared" ca="1" si="11"/>
        <v>—</v>
      </c>
      <c r="K116" s="94"/>
    </row>
    <row r="117" spans="1:11" x14ac:dyDescent="0.25">
      <c r="A117" s="79"/>
      <c r="B117" s="21" t="str">
        <f>IF(A117="","",IFERROR(VLOOKUP(A117,DB_Customers!$A:$D,4,0),"❌ Account Not Found"))</f>
        <v/>
      </c>
      <c r="C117" s="80" t="str">
        <f>IF(A117="","",IFERROR(VLOOKUP(A117,DB_Customers!$A:$N,14,0),""))</f>
        <v/>
      </c>
      <c r="D117" s="81" t="str">
        <f t="shared" ca="1" si="9"/>
        <v/>
      </c>
      <c r="E117" s="82"/>
      <c r="F117" s="83" t="str">
        <f t="shared" si="10"/>
        <v/>
      </c>
      <c r="G117" s="23"/>
      <c r="H117" s="84"/>
      <c r="I117" s="85" t="str">
        <f>IF(A117="","Pending",IF(H117="","⚠️ Enter Code",IF(IFERROR(VLOOKUP(G117,DB_Agents!$B:$I,8,0),"")=H117,IF(AND(A117&lt;&gt;"",E117&lt;&gt;""),"Saved","Pending"),"🔒 BLOCKED — Wrong Code")))</f>
        <v>Pending</v>
      </c>
      <c r="J117" s="86" t="str">
        <f t="shared" ca="1" si="11"/>
        <v>—</v>
      </c>
      <c r="K117" s="87"/>
    </row>
    <row r="118" spans="1:11" x14ac:dyDescent="0.25">
      <c r="A118" s="88"/>
      <c r="B118" s="25" t="str">
        <f>IF(A118="","",IFERROR(VLOOKUP(A118,DB_Customers!$A:$D,4,0),"❌ Account Not Found"))</f>
        <v/>
      </c>
      <c r="C118" s="89" t="str">
        <f>IF(A118="","",IFERROR(VLOOKUP(A118,DB_Customers!$A:$N,14,0),""))</f>
        <v/>
      </c>
      <c r="D118" s="90" t="str">
        <f t="shared" ca="1" si="9"/>
        <v/>
      </c>
      <c r="E118" s="82"/>
      <c r="F118" s="91" t="str">
        <f t="shared" si="10"/>
        <v/>
      </c>
      <c r="G118" s="27"/>
      <c r="H118" s="84"/>
      <c r="I118" s="92" t="str">
        <f>IF(A118="","Pending",IF(H118="","⚠️ Enter Code",IF(IFERROR(VLOOKUP(G118,DB_Agents!$B:$I,8,0),"")=H118,IF(AND(A118&lt;&gt;"",E118&lt;&gt;""),"Saved","Pending"),"🔒 BLOCKED — Wrong Code")))</f>
        <v>Pending</v>
      </c>
      <c r="J118" s="93" t="str">
        <f t="shared" ca="1" si="11"/>
        <v>—</v>
      </c>
      <c r="K118" s="94"/>
    </row>
    <row r="119" spans="1:11" x14ac:dyDescent="0.25">
      <c r="A119" s="79"/>
      <c r="B119" s="21" t="str">
        <f>IF(A119="","",IFERROR(VLOOKUP(A119,DB_Customers!$A:$D,4,0),"❌ Account Not Found"))</f>
        <v/>
      </c>
      <c r="C119" s="80" t="str">
        <f>IF(A119="","",IFERROR(VLOOKUP(A119,DB_Customers!$A:$N,14,0),""))</f>
        <v/>
      </c>
      <c r="D119" s="81" t="str">
        <f t="shared" ca="1" si="9"/>
        <v/>
      </c>
      <c r="E119" s="82"/>
      <c r="F119" s="83" t="str">
        <f t="shared" si="10"/>
        <v/>
      </c>
      <c r="G119" s="23"/>
      <c r="H119" s="84"/>
      <c r="I119" s="85" t="str">
        <f>IF(A119="","Pending",IF(H119="","⚠️ Enter Code",IF(IFERROR(VLOOKUP(G119,DB_Agents!$B:$I,8,0),"")=H119,IF(AND(A119&lt;&gt;"",E119&lt;&gt;""),"Saved","Pending"),"🔒 BLOCKED — Wrong Code")))</f>
        <v>Pending</v>
      </c>
      <c r="J119" s="86" t="str">
        <f t="shared" ca="1" si="11"/>
        <v>—</v>
      </c>
      <c r="K119" s="87"/>
    </row>
    <row r="120" spans="1:11" x14ac:dyDescent="0.25">
      <c r="A120" s="88"/>
      <c r="B120" s="25" t="str">
        <f>IF(A120="","",IFERROR(VLOOKUP(A120,DB_Customers!$A:$D,4,0),"❌ Account Not Found"))</f>
        <v/>
      </c>
      <c r="C120" s="89" t="str">
        <f>IF(A120="","",IFERROR(VLOOKUP(A120,DB_Customers!$A:$N,14,0),""))</f>
        <v/>
      </c>
      <c r="D120" s="90" t="str">
        <f t="shared" ca="1" si="9"/>
        <v/>
      </c>
      <c r="E120" s="82"/>
      <c r="F120" s="91" t="str">
        <f t="shared" si="10"/>
        <v/>
      </c>
      <c r="G120" s="27"/>
      <c r="H120" s="84"/>
      <c r="I120" s="92" t="str">
        <f>IF(A120="","Pending",IF(H120="","⚠️ Enter Code",IF(IFERROR(VLOOKUP(G120,DB_Agents!$B:$I,8,0),"")=H120,IF(AND(A120&lt;&gt;"",E120&lt;&gt;""),"Saved","Pending"),"🔒 BLOCKED — Wrong Code")))</f>
        <v>Pending</v>
      </c>
      <c r="J120" s="93" t="str">
        <f t="shared" ca="1" si="11"/>
        <v>—</v>
      </c>
      <c r="K120" s="94"/>
    </row>
    <row r="121" spans="1:11" x14ac:dyDescent="0.25">
      <c r="A121" s="79"/>
      <c r="B121" s="21" t="str">
        <f>IF(A121="","",IFERROR(VLOOKUP(A121,DB_Customers!$A:$D,4,0),"❌ Account Not Found"))</f>
        <v/>
      </c>
      <c r="C121" s="80" t="str">
        <f>IF(A121="","",IFERROR(VLOOKUP(A121,DB_Customers!$A:$N,14,0),""))</f>
        <v/>
      </c>
      <c r="D121" s="81" t="str">
        <f t="shared" ca="1" si="9"/>
        <v/>
      </c>
      <c r="E121" s="82"/>
      <c r="F121" s="83" t="str">
        <f t="shared" si="10"/>
        <v/>
      </c>
      <c r="G121" s="23"/>
      <c r="H121" s="84"/>
      <c r="I121" s="85" t="str">
        <f>IF(A121="","Pending",IF(H121="","⚠️ Enter Code",IF(IFERROR(VLOOKUP(G121,DB_Agents!$B:$I,8,0),"")=H121,IF(AND(A121&lt;&gt;"",E121&lt;&gt;""),"Saved","Pending"),"🔒 BLOCKED — Wrong Code")))</f>
        <v>Pending</v>
      </c>
      <c r="J121" s="86" t="str">
        <f t="shared" ca="1" si="11"/>
        <v>—</v>
      </c>
      <c r="K121" s="87"/>
    </row>
    <row r="122" spans="1:11" x14ac:dyDescent="0.25">
      <c r="A122" s="88"/>
      <c r="B122" s="25" t="str">
        <f>IF(A122="","",IFERROR(VLOOKUP(A122,DB_Customers!$A:$D,4,0),"❌ Account Not Found"))</f>
        <v/>
      </c>
      <c r="C122" s="89" t="str">
        <f>IF(A122="","",IFERROR(VLOOKUP(A122,DB_Customers!$A:$N,14,0),""))</f>
        <v/>
      </c>
      <c r="D122" s="90" t="str">
        <f t="shared" ca="1" si="9"/>
        <v/>
      </c>
      <c r="E122" s="82"/>
      <c r="F122" s="91" t="str">
        <f t="shared" si="10"/>
        <v/>
      </c>
      <c r="G122" s="27"/>
      <c r="H122" s="84"/>
      <c r="I122" s="92" t="str">
        <f>IF(A122="","Pending",IF(H122="","⚠️ Enter Code",IF(IFERROR(VLOOKUP(G122,DB_Agents!$B:$I,8,0),"")=H122,IF(AND(A122&lt;&gt;"",E122&lt;&gt;""),"Saved","Pending"),"🔒 BLOCKED — Wrong Code")))</f>
        <v>Pending</v>
      </c>
      <c r="J122" s="93" t="str">
        <f t="shared" ca="1" si="11"/>
        <v>—</v>
      </c>
      <c r="K122" s="94"/>
    </row>
    <row r="123" spans="1:11" x14ac:dyDescent="0.25">
      <c r="A123" s="79"/>
      <c r="B123" s="21" t="str">
        <f>IF(A123="","",IFERROR(VLOOKUP(A123,DB_Customers!$A:$D,4,0),"❌ Account Not Found"))</f>
        <v/>
      </c>
      <c r="C123" s="80" t="str">
        <f>IF(A123="","",IFERROR(VLOOKUP(A123,DB_Customers!$A:$N,14,0),""))</f>
        <v/>
      </c>
      <c r="D123" s="81" t="str">
        <f t="shared" ca="1" si="9"/>
        <v/>
      </c>
      <c r="E123" s="82"/>
      <c r="F123" s="83" t="str">
        <f t="shared" si="10"/>
        <v/>
      </c>
      <c r="G123" s="23"/>
      <c r="H123" s="84"/>
      <c r="I123" s="85" t="str">
        <f>IF(A123="","Pending",IF(H123="","⚠️ Enter Code",IF(IFERROR(VLOOKUP(G123,DB_Agents!$B:$I,8,0),"")=H123,IF(AND(A123&lt;&gt;"",E123&lt;&gt;""),"Saved","Pending"),"🔒 BLOCKED — Wrong Code")))</f>
        <v>Pending</v>
      </c>
      <c r="J123" s="86" t="str">
        <f t="shared" ca="1" si="11"/>
        <v>—</v>
      </c>
      <c r="K123" s="87"/>
    </row>
    <row r="124" spans="1:11" x14ac:dyDescent="0.25">
      <c r="A124" s="88"/>
      <c r="B124" s="25" t="str">
        <f>IF(A124="","",IFERROR(VLOOKUP(A124,DB_Customers!$A:$D,4,0),"❌ Account Not Found"))</f>
        <v/>
      </c>
      <c r="C124" s="89" t="str">
        <f>IF(A124="","",IFERROR(VLOOKUP(A124,DB_Customers!$A:$N,14,0),""))</f>
        <v/>
      </c>
      <c r="D124" s="90" t="str">
        <f t="shared" ca="1" si="9"/>
        <v/>
      </c>
      <c r="E124" s="82"/>
      <c r="F124" s="91" t="str">
        <f t="shared" si="10"/>
        <v/>
      </c>
      <c r="G124" s="27"/>
      <c r="H124" s="84"/>
      <c r="I124" s="92" t="str">
        <f>IF(A124="","Pending",IF(H124="","⚠️ Enter Code",IF(IFERROR(VLOOKUP(G124,DB_Agents!$B:$I,8,0),"")=H124,IF(AND(A124&lt;&gt;"",E124&lt;&gt;""),"Saved","Pending"),"🔒 BLOCKED — Wrong Code")))</f>
        <v>Pending</v>
      </c>
      <c r="J124" s="93" t="str">
        <f t="shared" ca="1" si="11"/>
        <v>—</v>
      </c>
      <c r="K124" s="94"/>
    </row>
    <row r="125" spans="1:11" x14ac:dyDescent="0.25">
      <c r="A125" s="79"/>
      <c r="B125" s="21" t="str">
        <f>IF(A125="","",IFERROR(VLOOKUP(A125,DB_Customers!$A:$D,4,0),"❌ Account Not Found"))</f>
        <v/>
      </c>
      <c r="C125" s="80" t="str">
        <f>IF(A125="","",IFERROR(VLOOKUP(A125,DB_Customers!$A:$N,14,0),""))</f>
        <v/>
      </c>
      <c r="D125" s="81" t="str">
        <f t="shared" ca="1" si="9"/>
        <v/>
      </c>
      <c r="E125" s="82"/>
      <c r="F125" s="83" t="str">
        <f t="shared" si="10"/>
        <v/>
      </c>
      <c r="G125" s="23"/>
      <c r="H125" s="84"/>
      <c r="I125" s="85" t="str">
        <f>IF(A125="","Pending",IF(H125="","⚠️ Enter Code",IF(IFERROR(VLOOKUP(G125,DB_Agents!$B:$I,8,0),"")=H125,IF(AND(A125&lt;&gt;"",E125&lt;&gt;""),"Saved","Pending"),"🔒 BLOCKED — Wrong Code")))</f>
        <v>Pending</v>
      </c>
      <c r="J125" s="86" t="str">
        <f t="shared" ca="1" si="11"/>
        <v>—</v>
      </c>
      <c r="K125" s="87"/>
    </row>
    <row r="126" spans="1:11" x14ac:dyDescent="0.25">
      <c r="A126" s="88"/>
      <c r="B126" s="25" t="str">
        <f>IF(A126="","",IFERROR(VLOOKUP(A126,DB_Customers!$A:$D,4,0),"❌ Account Not Found"))</f>
        <v/>
      </c>
      <c r="C126" s="89" t="str">
        <f>IF(A126="","",IFERROR(VLOOKUP(A126,DB_Customers!$A:$N,14,0),""))</f>
        <v/>
      </c>
      <c r="D126" s="90" t="str">
        <f t="shared" ca="1" si="9"/>
        <v/>
      </c>
      <c r="E126" s="82"/>
      <c r="F126" s="91" t="str">
        <f t="shared" si="10"/>
        <v/>
      </c>
      <c r="G126" s="27"/>
      <c r="H126" s="84"/>
      <c r="I126" s="92" t="str">
        <f>IF(A126="","Pending",IF(H126="","⚠️ Enter Code",IF(IFERROR(VLOOKUP(G126,DB_Agents!$B:$I,8,0),"")=H126,IF(AND(A126&lt;&gt;"",E126&lt;&gt;""),"Saved","Pending"),"🔒 BLOCKED — Wrong Code")))</f>
        <v>Pending</v>
      </c>
      <c r="J126" s="93" t="str">
        <f t="shared" ca="1" si="11"/>
        <v>—</v>
      </c>
      <c r="K126" s="94"/>
    </row>
    <row r="127" spans="1:11" x14ac:dyDescent="0.25">
      <c r="A127" s="79"/>
      <c r="B127" s="21" t="str">
        <f>IF(A127="","",IFERROR(VLOOKUP(A127,DB_Customers!$A:$D,4,0),"❌ Account Not Found"))</f>
        <v/>
      </c>
      <c r="C127" s="80" t="str">
        <f>IF(A127="","",IFERROR(VLOOKUP(A127,DB_Customers!$A:$N,14,0),""))</f>
        <v/>
      </c>
      <c r="D127" s="81" t="str">
        <f t="shared" ca="1" si="9"/>
        <v/>
      </c>
      <c r="E127" s="82"/>
      <c r="F127" s="83" t="str">
        <f t="shared" si="10"/>
        <v/>
      </c>
      <c r="G127" s="23"/>
      <c r="H127" s="84"/>
      <c r="I127" s="85" t="str">
        <f>IF(A127="","Pending",IF(H127="","⚠️ Enter Code",IF(IFERROR(VLOOKUP(G127,DB_Agents!$B:$I,8,0),"")=H127,IF(AND(A127&lt;&gt;"",E127&lt;&gt;""),"Saved","Pending"),"🔒 BLOCKED — Wrong Code")))</f>
        <v>Pending</v>
      </c>
      <c r="J127" s="86" t="str">
        <f t="shared" ca="1" si="11"/>
        <v>—</v>
      </c>
      <c r="K127" s="87"/>
    </row>
    <row r="128" spans="1:11" x14ac:dyDescent="0.25">
      <c r="A128" s="88"/>
      <c r="B128" s="25" t="str">
        <f>IF(A128="","",IFERROR(VLOOKUP(A128,DB_Customers!$A:$D,4,0),"❌ Account Not Found"))</f>
        <v/>
      </c>
      <c r="C128" s="89" t="str">
        <f>IF(A128="","",IFERROR(VLOOKUP(A128,DB_Customers!$A:$N,14,0),""))</f>
        <v/>
      </c>
      <c r="D128" s="90" t="str">
        <f t="shared" ca="1" si="9"/>
        <v/>
      </c>
      <c r="E128" s="82"/>
      <c r="F128" s="91" t="str">
        <f t="shared" si="10"/>
        <v/>
      </c>
      <c r="G128" s="27"/>
      <c r="H128" s="84"/>
      <c r="I128" s="92" t="str">
        <f>IF(A128="","Pending",IF(H128="","⚠️ Enter Code",IF(IFERROR(VLOOKUP(G128,DB_Agents!$B:$I,8,0),"")=H128,IF(AND(A128&lt;&gt;"",E128&lt;&gt;""),"Saved","Pending"),"🔒 BLOCKED — Wrong Code")))</f>
        <v>Pending</v>
      </c>
      <c r="J128" s="93" t="str">
        <f t="shared" ca="1" si="11"/>
        <v>—</v>
      </c>
      <c r="K128" s="94"/>
    </row>
    <row r="129" spans="1:11" x14ac:dyDescent="0.25">
      <c r="A129" s="79"/>
      <c r="B129" s="21" t="str">
        <f>IF(A129="","",IFERROR(VLOOKUP(A129,DB_Customers!$A:$D,4,0),"❌ Account Not Found"))</f>
        <v/>
      </c>
      <c r="C129" s="80" t="str">
        <f>IF(A129="","",IFERROR(VLOOKUP(A129,DB_Customers!$A:$N,14,0),""))</f>
        <v/>
      </c>
      <c r="D129" s="81" t="str">
        <f t="shared" ca="1" si="9"/>
        <v/>
      </c>
      <c r="E129" s="82"/>
      <c r="F129" s="83" t="str">
        <f t="shared" si="10"/>
        <v/>
      </c>
      <c r="G129" s="23"/>
      <c r="H129" s="84"/>
      <c r="I129" s="85" t="str">
        <f>IF(A129="","Pending",IF(H129="","⚠️ Enter Code",IF(IFERROR(VLOOKUP(G129,DB_Agents!$B:$I,8,0),"")=H129,IF(AND(A129&lt;&gt;"",E129&lt;&gt;""),"Saved","Pending"),"🔒 BLOCKED — Wrong Code")))</f>
        <v>Pending</v>
      </c>
      <c r="J129" s="86" t="str">
        <f t="shared" ca="1" si="11"/>
        <v>—</v>
      </c>
      <c r="K129" s="87"/>
    </row>
    <row r="130" spans="1:11" x14ac:dyDescent="0.25">
      <c r="A130" s="88"/>
      <c r="B130" s="25" t="str">
        <f>IF(A130="","",IFERROR(VLOOKUP(A130,DB_Customers!$A:$D,4,0),"❌ Account Not Found"))</f>
        <v/>
      </c>
      <c r="C130" s="89" t="str">
        <f>IF(A130="","",IFERROR(VLOOKUP(A130,DB_Customers!$A:$N,14,0),""))</f>
        <v/>
      </c>
      <c r="D130" s="90" t="str">
        <f t="shared" ca="1" si="9"/>
        <v/>
      </c>
      <c r="E130" s="82"/>
      <c r="F130" s="91" t="str">
        <f t="shared" si="10"/>
        <v/>
      </c>
      <c r="G130" s="27"/>
      <c r="H130" s="84"/>
      <c r="I130" s="92" t="str">
        <f>IF(A130="","Pending",IF(H130="","⚠️ Enter Code",IF(IFERROR(VLOOKUP(G130,DB_Agents!$B:$I,8,0),"")=H130,IF(AND(A130&lt;&gt;"",E130&lt;&gt;""),"Saved","Pending"),"🔒 BLOCKED — Wrong Code")))</f>
        <v>Pending</v>
      </c>
      <c r="J130" s="93" t="str">
        <f t="shared" ca="1" si="11"/>
        <v>—</v>
      </c>
      <c r="K130" s="94"/>
    </row>
    <row r="131" spans="1:11" x14ac:dyDescent="0.25">
      <c r="A131" s="79"/>
      <c r="B131" s="21" t="str">
        <f>IF(A131="","",IFERROR(VLOOKUP(A131,DB_Customers!$A:$D,4,0),"❌ Account Not Found"))</f>
        <v/>
      </c>
      <c r="C131" s="80" t="str">
        <f>IF(A131="","",IFERROR(VLOOKUP(A131,DB_Customers!$A:$N,14,0),""))</f>
        <v/>
      </c>
      <c r="D131" s="81" t="str">
        <f t="shared" ca="1" si="9"/>
        <v/>
      </c>
      <c r="E131" s="82"/>
      <c r="F131" s="83" t="str">
        <f t="shared" si="10"/>
        <v/>
      </c>
      <c r="G131" s="23"/>
      <c r="H131" s="84"/>
      <c r="I131" s="85" t="str">
        <f>IF(A131="","Pending",IF(H131="","⚠️ Enter Code",IF(IFERROR(VLOOKUP(G131,DB_Agents!$B:$I,8,0),"")=H131,IF(AND(A131&lt;&gt;"",E131&lt;&gt;""),"Saved","Pending"),"🔒 BLOCKED — Wrong Code")))</f>
        <v>Pending</v>
      </c>
      <c r="J131" s="86" t="str">
        <f t="shared" ca="1" si="11"/>
        <v>—</v>
      </c>
      <c r="K131" s="87"/>
    </row>
    <row r="132" spans="1:11" x14ac:dyDescent="0.25">
      <c r="A132" s="88"/>
      <c r="B132" s="25" t="str">
        <f>IF(A132="","",IFERROR(VLOOKUP(A132,DB_Customers!$A:$D,4,0),"❌ Account Not Found"))</f>
        <v/>
      </c>
      <c r="C132" s="89" t="str">
        <f>IF(A132="","",IFERROR(VLOOKUP(A132,DB_Customers!$A:$N,14,0),""))</f>
        <v/>
      </c>
      <c r="D132" s="90" t="str">
        <f t="shared" ca="1" si="9"/>
        <v/>
      </c>
      <c r="E132" s="82"/>
      <c r="F132" s="91" t="str">
        <f t="shared" si="10"/>
        <v/>
      </c>
      <c r="G132" s="27"/>
      <c r="H132" s="84"/>
      <c r="I132" s="92" t="str">
        <f>IF(A132="","Pending",IF(H132="","⚠️ Enter Code",IF(IFERROR(VLOOKUP(G132,DB_Agents!$B:$I,8,0),"")=H132,IF(AND(A132&lt;&gt;"",E132&lt;&gt;""),"Saved","Pending"),"🔒 BLOCKED — Wrong Code")))</f>
        <v>Pending</v>
      </c>
      <c r="J132" s="93" t="str">
        <f t="shared" ca="1" si="11"/>
        <v>—</v>
      </c>
      <c r="K132" s="94"/>
    </row>
    <row r="133" spans="1:11" x14ac:dyDescent="0.25">
      <c r="A133" s="79"/>
      <c r="B133" s="21" t="str">
        <f>IF(A133="","",IFERROR(VLOOKUP(A133,DB_Customers!$A:$D,4,0),"❌ Account Not Found"))</f>
        <v/>
      </c>
      <c r="C133" s="80" t="str">
        <f>IF(A133="","",IFERROR(VLOOKUP(A133,DB_Customers!$A:$N,14,0),""))</f>
        <v/>
      </c>
      <c r="D133" s="81" t="str">
        <f t="shared" ca="1" si="9"/>
        <v/>
      </c>
      <c r="E133" s="82"/>
      <c r="F133" s="83" t="str">
        <f t="shared" si="10"/>
        <v/>
      </c>
      <c r="G133" s="23"/>
      <c r="H133" s="84"/>
      <c r="I133" s="85" t="str">
        <f>IF(A133="","Pending",IF(H133="","⚠️ Enter Code",IF(IFERROR(VLOOKUP(G133,DB_Agents!$B:$I,8,0),"")=H133,IF(AND(A133&lt;&gt;"",E133&lt;&gt;""),"Saved","Pending"),"🔒 BLOCKED — Wrong Code")))</f>
        <v>Pending</v>
      </c>
      <c r="J133" s="86" t="str">
        <f t="shared" ca="1" si="11"/>
        <v>—</v>
      </c>
      <c r="K133" s="87"/>
    </row>
    <row r="134" spans="1:11" x14ac:dyDescent="0.25">
      <c r="A134" s="88"/>
      <c r="B134" s="25" t="str">
        <f>IF(A134="","",IFERROR(VLOOKUP(A134,DB_Customers!$A:$D,4,0),"❌ Account Not Found"))</f>
        <v/>
      </c>
      <c r="C134" s="89" t="str">
        <f>IF(A134="","",IFERROR(VLOOKUP(A134,DB_Customers!$A:$N,14,0),""))</f>
        <v/>
      </c>
      <c r="D134" s="90" t="str">
        <f t="shared" ca="1" si="9"/>
        <v/>
      </c>
      <c r="E134" s="82"/>
      <c r="F134" s="91" t="str">
        <f t="shared" si="10"/>
        <v/>
      </c>
      <c r="G134" s="27"/>
      <c r="H134" s="84"/>
      <c r="I134" s="92" t="str">
        <f>IF(A134="","Pending",IF(H134="","⚠️ Enter Code",IF(IFERROR(VLOOKUP(G134,DB_Agents!$B:$I,8,0),"")=H134,IF(AND(A134&lt;&gt;"",E134&lt;&gt;""),"Saved","Pending"),"🔒 BLOCKED — Wrong Code")))</f>
        <v>Pending</v>
      </c>
      <c r="J134" s="93" t="str">
        <f t="shared" ca="1" si="11"/>
        <v>—</v>
      </c>
      <c r="K134" s="94"/>
    </row>
    <row r="135" spans="1:11" x14ac:dyDescent="0.25">
      <c r="A135" s="79"/>
      <c r="B135" s="21" t="str">
        <f>IF(A135="","",IFERROR(VLOOKUP(A135,DB_Customers!$A:$D,4,0),"❌ Account Not Found"))</f>
        <v/>
      </c>
      <c r="C135" s="80" t="str">
        <f>IF(A135="","",IFERROR(VLOOKUP(A135,DB_Customers!$A:$N,14,0),""))</f>
        <v/>
      </c>
      <c r="D135" s="81" t="str">
        <f t="shared" ca="1" si="9"/>
        <v/>
      </c>
      <c r="E135" s="82"/>
      <c r="F135" s="83" t="str">
        <f t="shared" si="10"/>
        <v/>
      </c>
      <c r="G135" s="23"/>
      <c r="H135" s="84"/>
      <c r="I135" s="85" t="str">
        <f>IF(A135="","Pending",IF(H135="","⚠️ Enter Code",IF(IFERROR(VLOOKUP(G135,DB_Agents!$B:$I,8,0),"")=H135,IF(AND(A135&lt;&gt;"",E135&lt;&gt;""),"Saved","Pending"),"🔒 BLOCKED — Wrong Code")))</f>
        <v>Pending</v>
      </c>
      <c r="J135" s="86" t="str">
        <f t="shared" ca="1" si="11"/>
        <v>—</v>
      </c>
      <c r="K135" s="87"/>
    </row>
    <row r="136" spans="1:11" x14ac:dyDescent="0.25">
      <c r="A136" s="88"/>
      <c r="B136" s="25" t="str">
        <f>IF(A136="","",IFERROR(VLOOKUP(A136,DB_Customers!$A:$D,4,0),"❌ Account Not Found"))</f>
        <v/>
      </c>
      <c r="C136" s="89" t="str">
        <f>IF(A136="","",IFERROR(VLOOKUP(A136,DB_Customers!$A:$N,14,0),""))</f>
        <v/>
      </c>
      <c r="D136" s="90" t="str">
        <f t="shared" ca="1" si="9"/>
        <v/>
      </c>
      <c r="E136" s="82"/>
      <c r="F136" s="91" t="str">
        <f t="shared" si="10"/>
        <v/>
      </c>
      <c r="G136" s="27"/>
      <c r="H136" s="84"/>
      <c r="I136" s="92" t="str">
        <f>IF(A136="","Pending",IF(H136="","⚠️ Enter Code",IF(IFERROR(VLOOKUP(G136,DB_Agents!$B:$I,8,0),"")=H136,IF(AND(A136&lt;&gt;"",E136&lt;&gt;""),"Saved","Pending"),"🔒 BLOCKED — Wrong Code")))</f>
        <v>Pending</v>
      </c>
      <c r="J136" s="93" t="str">
        <f t="shared" ca="1" si="11"/>
        <v>—</v>
      </c>
      <c r="K136" s="94"/>
    </row>
    <row r="137" spans="1:11" x14ac:dyDescent="0.25">
      <c r="A137" s="79"/>
      <c r="B137" s="21" t="str">
        <f>IF(A137="","",IFERROR(VLOOKUP(A137,DB_Customers!$A:$D,4,0),"❌ Account Not Found"))</f>
        <v/>
      </c>
      <c r="C137" s="80" t="str">
        <f>IF(A137="","",IFERROR(VLOOKUP(A137,DB_Customers!$A:$N,14,0),""))</f>
        <v/>
      </c>
      <c r="D137" s="81" t="str">
        <f t="shared" ref="D137:D168" ca="1" si="12">IF(A137="","",TODAY())</f>
        <v/>
      </c>
      <c r="E137" s="82"/>
      <c r="F137" s="83" t="str">
        <f t="shared" ref="F137:F168" si="13">IF(OR(A137="",E137=""),"",IF(C137="","",C137+E137))</f>
        <v/>
      </c>
      <c r="G137" s="23"/>
      <c r="H137" s="84"/>
      <c r="I137" s="85" t="str">
        <f>IF(A137="","Pending",IF(H137="","⚠️ Enter Code",IF(IFERROR(VLOOKUP(G137,DB_Agents!$B:$I,8,0),"")=H137,IF(AND(A137&lt;&gt;"",E137&lt;&gt;""),"Saved","Pending"),"🔒 BLOCKED — Wrong Code")))</f>
        <v>Pending</v>
      </c>
      <c r="J137" s="86" t="str">
        <f t="shared" ref="J137:J168" ca="1" si="14">IF(I137="Saved",TEXT(TODAY(),"YYYY-MM-DD")&amp;" Auto","—")</f>
        <v>—</v>
      </c>
      <c r="K137" s="87"/>
    </row>
    <row r="138" spans="1:11" x14ac:dyDescent="0.25">
      <c r="A138" s="88"/>
      <c r="B138" s="25" t="str">
        <f>IF(A138="","",IFERROR(VLOOKUP(A138,DB_Customers!$A:$D,4,0),"❌ Account Not Found"))</f>
        <v/>
      </c>
      <c r="C138" s="89" t="str">
        <f>IF(A138="","",IFERROR(VLOOKUP(A138,DB_Customers!$A:$N,14,0),""))</f>
        <v/>
      </c>
      <c r="D138" s="90" t="str">
        <f t="shared" ca="1" si="12"/>
        <v/>
      </c>
      <c r="E138" s="82"/>
      <c r="F138" s="91" t="str">
        <f t="shared" si="13"/>
        <v/>
      </c>
      <c r="G138" s="27"/>
      <c r="H138" s="84"/>
      <c r="I138" s="92" t="str">
        <f>IF(A138="","Pending",IF(H138="","⚠️ Enter Code",IF(IFERROR(VLOOKUP(G138,DB_Agents!$B:$I,8,0),"")=H138,IF(AND(A138&lt;&gt;"",E138&lt;&gt;""),"Saved","Pending"),"🔒 BLOCKED — Wrong Code")))</f>
        <v>Pending</v>
      </c>
      <c r="J138" s="93" t="str">
        <f t="shared" ca="1" si="14"/>
        <v>—</v>
      </c>
      <c r="K138" s="94"/>
    </row>
    <row r="139" spans="1:11" x14ac:dyDescent="0.25">
      <c r="A139" s="79"/>
      <c r="B139" s="21" t="str">
        <f>IF(A139="","",IFERROR(VLOOKUP(A139,DB_Customers!$A:$D,4,0),"❌ Account Not Found"))</f>
        <v/>
      </c>
      <c r="C139" s="80" t="str">
        <f>IF(A139="","",IFERROR(VLOOKUP(A139,DB_Customers!$A:$N,14,0),""))</f>
        <v/>
      </c>
      <c r="D139" s="81" t="str">
        <f t="shared" ca="1" si="12"/>
        <v/>
      </c>
      <c r="E139" s="82"/>
      <c r="F139" s="83" t="str">
        <f t="shared" si="13"/>
        <v/>
      </c>
      <c r="G139" s="23"/>
      <c r="H139" s="84"/>
      <c r="I139" s="85" t="str">
        <f>IF(A139="","Pending",IF(H139="","⚠️ Enter Code",IF(IFERROR(VLOOKUP(G139,DB_Agents!$B:$I,8,0),"")=H139,IF(AND(A139&lt;&gt;"",E139&lt;&gt;""),"Saved","Pending"),"🔒 BLOCKED — Wrong Code")))</f>
        <v>Pending</v>
      </c>
      <c r="J139" s="86" t="str">
        <f t="shared" ca="1" si="14"/>
        <v>—</v>
      </c>
      <c r="K139" s="87"/>
    </row>
    <row r="140" spans="1:11" x14ac:dyDescent="0.25">
      <c r="A140" s="88"/>
      <c r="B140" s="25" t="str">
        <f>IF(A140="","",IFERROR(VLOOKUP(A140,DB_Customers!$A:$D,4,0),"❌ Account Not Found"))</f>
        <v/>
      </c>
      <c r="C140" s="89" t="str">
        <f>IF(A140="","",IFERROR(VLOOKUP(A140,DB_Customers!$A:$N,14,0),""))</f>
        <v/>
      </c>
      <c r="D140" s="90" t="str">
        <f t="shared" ca="1" si="12"/>
        <v/>
      </c>
      <c r="E140" s="82"/>
      <c r="F140" s="91" t="str">
        <f t="shared" si="13"/>
        <v/>
      </c>
      <c r="G140" s="27"/>
      <c r="H140" s="84"/>
      <c r="I140" s="92" t="str">
        <f>IF(A140="","Pending",IF(H140="","⚠️ Enter Code",IF(IFERROR(VLOOKUP(G140,DB_Agents!$B:$I,8,0),"")=H140,IF(AND(A140&lt;&gt;"",E140&lt;&gt;""),"Saved","Pending"),"🔒 BLOCKED — Wrong Code")))</f>
        <v>Pending</v>
      </c>
      <c r="J140" s="93" t="str">
        <f t="shared" ca="1" si="14"/>
        <v>—</v>
      </c>
      <c r="K140" s="94"/>
    </row>
    <row r="141" spans="1:11" x14ac:dyDescent="0.25">
      <c r="A141" s="79"/>
      <c r="B141" s="21" t="str">
        <f>IF(A141="","",IFERROR(VLOOKUP(A141,DB_Customers!$A:$D,4,0),"❌ Account Not Found"))</f>
        <v/>
      </c>
      <c r="C141" s="80" t="str">
        <f>IF(A141="","",IFERROR(VLOOKUP(A141,DB_Customers!$A:$N,14,0),""))</f>
        <v/>
      </c>
      <c r="D141" s="81" t="str">
        <f t="shared" ca="1" si="12"/>
        <v/>
      </c>
      <c r="E141" s="82"/>
      <c r="F141" s="83" t="str">
        <f t="shared" si="13"/>
        <v/>
      </c>
      <c r="G141" s="23"/>
      <c r="H141" s="84"/>
      <c r="I141" s="85" t="str">
        <f>IF(A141="","Pending",IF(H141="","⚠️ Enter Code",IF(IFERROR(VLOOKUP(G141,DB_Agents!$B:$I,8,0),"")=H141,IF(AND(A141&lt;&gt;"",E141&lt;&gt;""),"Saved","Pending"),"🔒 BLOCKED — Wrong Code")))</f>
        <v>Pending</v>
      </c>
      <c r="J141" s="86" t="str">
        <f t="shared" ca="1" si="14"/>
        <v>—</v>
      </c>
      <c r="K141" s="87"/>
    </row>
    <row r="142" spans="1:11" x14ac:dyDescent="0.25">
      <c r="A142" s="88"/>
      <c r="B142" s="25" t="str">
        <f>IF(A142="","",IFERROR(VLOOKUP(A142,DB_Customers!$A:$D,4,0),"❌ Account Not Found"))</f>
        <v/>
      </c>
      <c r="C142" s="89" t="str">
        <f>IF(A142="","",IFERROR(VLOOKUP(A142,DB_Customers!$A:$N,14,0),""))</f>
        <v/>
      </c>
      <c r="D142" s="90" t="str">
        <f t="shared" ca="1" si="12"/>
        <v/>
      </c>
      <c r="E142" s="82"/>
      <c r="F142" s="91" t="str">
        <f t="shared" si="13"/>
        <v/>
      </c>
      <c r="G142" s="27"/>
      <c r="H142" s="84"/>
      <c r="I142" s="92" t="str">
        <f>IF(A142="","Pending",IF(H142="","⚠️ Enter Code",IF(IFERROR(VLOOKUP(G142,DB_Agents!$B:$I,8,0),"")=H142,IF(AND(A142&lt;&gt;"",E142&lt;&gt;""),"Saved","Pending"),"🔒 BLOCKED — Wrong Code")))</f>
        <v>Pending</v>
      </c>
      <c r="J142" s="93" t="str">
        <f t="shared" ca="1" si="14"/>
        <v>—</v>
      </c>
      <c r="K142" s="94"/>
    </row>
    <row r="143" spans="1:11" x14ac:dyDescent="0.25">
      <c r="A143" s="79"/>
      <c r="B143" s="21" t="str">
        <f>IF(A143="","",IFERROR(VLOOKUP(A143,DB_Customers!$A:$D,4,0),"❌ Account Not Found"))</f>
        <v/>
      </c>
      <c r="C143" s="80" t="str">
        <f>IF(A143="","",IFERROR(VLOOKUP(A143,DB_Customers!$A:$N,14,0),""))</f>
        <v/>
      </c>
      <c r="D143" s="81" t="str">
        <f t="shared" ca="1" si="12"/>
        <v/>
      </c>
      <c r="E143" s="82"/>
      <c r="F143" s="83" t="str">
        <f t="shared" si="13"/>
        <v/>
      </c>
      <c r="G143" s="23"/>
      <c r="H143" s="84"/>
      <c r="I143" s="85" t="str">
        <f>IF(A143="","Pending",IF(H143="","⚠️ Enter Code",IF(IFERROR(VLOOKUP(G143,DB_Agents!$B:$I,8,0),"")=H143,IF(AND(A143&lt;&gt;"",E143&lt;&gt;""),"Saved","Pending"),"🔒 BLOCKED — Wrong Code")))</f>
        <v>Pending</v>
      </c>
      <c r="J143" s="86" t="str">
        <f t="shared" ca="1" si="14"/>
        <v>—</v>
      </c>
      <c r="K143" s="87"/>
    </row>
    <row r="144" spans="1:11" x14ac:dyDescent="0.25">
      <c r="A144" s="88"/>
      <c r="B144" s="25" t="str">
        <f>IF(A144="","",IFERROR(VLOOKUP(A144,DB_Customers!$A:$D,4,0),"❌ Account Not Found"))</f>
        <v/>
      </c>
      <c r="C144" s="89" t="str">
        <f>IF(A144="","",IFERROR(VLOOKUP(A144,DB_Customers!$A:$N,14,0),""))</f>
        <v/>
      </c>
      <c r="D144" s="90" t="str">
        <f t="shared" ca="1" si="12"/>
        <v/>
      </c>
      <c r="E144" s="82"/>
      <c r="F144" s="91" t="str">
        <f t="shared" si="13"/>
        <v/>
      </c>
      <c r="G144" s="27"/>
      <c r="H144" s="84"/>
      <c r="I144" s="92" t="str">
        <f>IF(A144="","Pending",IF(H144="","⚠️ Enter Code",IF(IFERROR(VLOOKUP(G144,DB_Agents!$B:$I,8,0),"")=H144,IF(AND(A144&lt;&gt;"",E144&lt;&gt;""),"Saved","Pending"),"🔒 BLOCKED — Wrong Code")))</f>
        <v>Pending</v>
      </c>
      <c r="J144" s="93" t="str">
        <f t="shared" ca="1" si="14"/>
        <v>—</v>
      </c>
      <c r="K144" s="94"/>
    </row>
    <row r="145" spans="1:11" x14ac:dyDescent="0.25">
      <c r="A145" s="79"/>
      <c r="B145" s="21" t="str">
        <f>IF(A145="","",IFERROR(VLOOKUP(A145,DB_Customers!$A:$D,4,0),"❌ Account Not Found"))</f>
        <v/>
      </c>
      <c r="C145" s="80" t="str">
        <f>IF(A145="","",IFERROR(VLOOKUP(A145,DB_Customers!$A:$N,14,0),""))</f>
        <v/>
      </c>
      <c r="D145" s="81" t="str">
        <f t="shared" ca="1" si="12"/>
        <v/>
      </c>
      <c r="E145" s="82"/>
      <c r="F145" s="83" t="str">
        <f t="shared" si="13"/>
        <v/>
      </c>
      <c r="G145" s="23"/>
      <c r="H145" s="84"/>
      <c r="I145" s="85" t="str">
        <f>IF(A145="","Pending",IF(H145="","⚠️ Enter Code",IF(IFERROR(VLOOKUP(G145,DB_Agents!$B:$I,8,0),"")=H145,IF(AND(A145&lt;&gt;"",E145&lt;&gt;""),"Saved","Pending"),"🔒 BLOCKED — Wrong Code")))</f>
        <v>Pending</v>
      </c>
      <c r="J145" s="86" t="str">
        <f t="shared" ca="1" si="14"/>
        <v>—</v>
      </c>
      <c r="K145" s="87"/>
    </row>
    <row r="146" spans="1:11" x14ac:dyDescent="0.25">
      <c r="A146" s="88"/>
      <c r="B146" s="25" t="str">
        <f>IF(A146="","",IFERROR(VLOOKUP(A146,DB_Customers!$A:$D,4,0),"❌ Account Not Found"))</f>
        <v/>
      </c>
      <c r="C146" s="89" t="str">
        <f>IF(A146="","",IFERROR(VLOOKUP(A146,DB_Customers!$A:$N,14,0),""))</f>
        <v/>
      </c>
      <c r="D146" s="90" t="str">
        <f t="shared" ca="1" si="12"/>
        <v/>
      </c>
      <c r="E146" s="82"/>
      <c r="F146" s="91" t="str">
        <f t="shared" si="13"/>
        <v/>
      </c>
      <c r="G146" s="27"/>
      <c r="H146" s="84"/>
      <c r="I146" s="92" t="str">
        <f>IF(A146="","Pending",IF(H146="","⚠️ Enter Code",IF(IFERROR(VLOOKUP(G146,DB_Agents!$B:$I,8,0),"")=H146,IF(AND(A146&lt;&gt;"",E146&lt;&gt;""),"Saved","Pending"),"🔒 BLOCKED — Wrong Code")))</f>
        <v>Pending</v>
      </c>
      <c r="J146" s="93" t="str">
        <f t="shared" ca="1" si="14"/>
        <v>—</v>
      </c>
      <c r="K146" s="94"/>
    </row>
    <row r="147" spans="1:11" x14ac:dyDescent="0.25">
      <c r="A147" s="79"/>
      <c r="B147" s="21" t="str">
        <f>IF(A147="","",IFERROR(VLOOKUP(A147,DB_Customers!$A:$D,4,0),"❌ Account Not Found"))</f>
        <v/>
      </c>
      <c r="C147" s="80" t="str">
        <f>IF(A147="","",IFERROR(VLOOKUP(A147,DB_Customers!$A:$N,14,0),""))</f>
        <v/>
      </c>
      <c r="D147" s="81" t="str">
        <f t="shared" ca="1" si="12"/>
        <v/>
      </c>
      <c r="E147" s="82"/>
      <c r="F147" s="83" t="str">
        <f t="shared" si="13"/>
        <v/>
      </c>
      <c r="G147" s="23"/>
      <c r="H147" s="84"/>
      <c r="I147" s="85" t="str">
        <f>IF(A147="","Pending",IF(H147="","⚠️ Enter Code",IF(IFERROR(VLOOKUP(G147,DB_Agents!$B:$I,8,0),"")=H147,IF(AND(A147&lt;&gt;"",E147&lt;&gt;""),"Saved","Pending"),"🔒 BLOCKED — Wrong Code")))</f>
        <v>Pending</v>
      </c>
      <c r="J147" s="86" t="str">
        <f t="shared" ca="1" si="14"/>
        <v>—</v>
      </c>
      <c r="K147" s="87"/>
    </row>
    <row r="148" spans="1:11" x14ac:dyDescent="0.25">
      <c r="A148" s="88"/>
      <c r="B148" s="25" t="str">
        <f>IF(A148="","",IFERROR(VLOOKUP(A148,DB_Customers!$A:$D,4,0),"❌ Account Not Found"))</f>
        <v/>
      </c>
      <c r="C148" s="89" t="str">
        <f>IF(A148="","",IFERROR(VLOOKUP(A148,DB_Customers!$A:$N,14,0),""))</f>
        <v/>
      </c>
      <c r="D148" s="90" t="str">
        <f t="shared" ca="1" si="12"/>
        <v/>
      </c>
      <c r="E148" s="82"/>
      <c r="F148" s="91" t="str">
        <f t="shared" si="13"/>
        <v/>
      </c>
      <c r="G148" s="27"/>
      <c r="H148" s="84"/>
      <c r="I148" s="92" t="str">
        <f>IF(A148="","Pending",IF(H148="","⚠️ Enter Code",IF(IFERROR(VLOOKUP(G148,DB_Agents!$B:$I,8,0),"")=H148,IF(AND(A148&lt;&gt;"",E148&lt;&gt;""),"Saved","Pending"),"🔒 BLOCKED — Wrong Code")))</f>
        <v>Pending</v>
      </c>
      <c r="J148" s="93" t="str">
        <f t="shared" ca="1" si="14"/>
        <v>—</v>
      </c>
      <c r="K148" s="94"/>
    </row>
    <row r="149" spans="1:11" x14ac:dyDescent="0.25">
      <c r="A149" s="79"/>
      <c r="B149" s="21" t="str">
        <f>IF(A149="","",IFERROR(VLOOKUP(A149,DB_Customers!$A:$D,4,0),"❌ Account Not Found"))</f>
        <v/>
      </c>
      <c r="C149" s="80" t="str">
        <f>IF(A149="","",IFERROR(VLOOKUP(A149,DB_Customers!$A:$N,14,0),""))</f>
        <v/>
      </c>
      <c r="D149" s="81" t="str">
        <f t="shared" ca="1" si="12"/>
        <v/>
      </c>
      <c r="E149" s="82"/>
      <c r="F149" s="83" t="str">
        <f t="shared" si="13"/>
        <v/>
      </c>
      <c r="G149" s="23"/>
      <c r="H149" s="84"/>
      <c r="I149" s="85" t="str">
        <f>IF(A149="","Pending",IF(H149="","⚠️ Enter Code",IF(IFERROR(VLOOKUP(G149,DB_Agents!$B:$I,8,0),"")=H149,IF(AND(A149&lt;&gt;"",E149&lt;&gt;""),"Saved","Pending"),"🔒 BLOCKED — Wrong Code")))</f>
        <v>Pending</v>
      </c>
      <c r="J149" s="86" t="str">
        <f t="shared" ca="1" si="14"/>
        <v>—</v>
      </c>
      <c r="K149" s="87"/>
    </row>
    <row r="150" spans="1:11" x14ac:dyDescent="0.25">
      <c r="A150" s="88"/>
      <c r="B150" s="25" t="str">
        <f>IF(A150="","",IFERROR(VLOOKUP(A150,DB_Customers!$A:$D,4,0),"❌ Account Not Found"))</f>
        <v/>
      </c>
      <c r="C150" s="89" t="str">
        <f>IF(A150="","",IFERROR(VLOOKUP(A150,DB_Customers!$A:$N,14,0),""))</f>
        <v/>
      </c>
      <c r="D150" s="90" t="str">
        <f t="shared" ca="1" si="12"/>
        <v/>
      </c>
      <c r="E150" s="82"/>
      <c r="F150" s="91" t="str">
        <f t="shared" si="13"/>
        <v/>
      </c>
      <c r="G150" s="27"/>
      <c r="H150" s="84"/>
      <c r="I150" s="92" t="str">
        <f>IF(A150="","Pending",IF(H150="","⚠️ Enter Code",IF(IFERROR(VLOOKUP(G150,DB_Agents!$B:$I,8,0),"")=H150,IF(AND(A150&lt;&gt;"",E150&lt;&gt;""),"Saved","Pending"),"🔒 BLOCKED — Wrong Code")))</f>
        <v>Pending</v>
      </c>
      <c r="J150" s="93" t="str">
        <f t="shared" ca="1" si="14"/>
        <v>—</v>
      </c>
      <c r="K150" s="94"/>
    </row>
    <row r="151" spans="1:11" x14ac:dyDescent="0.25">
      <c r="A151" s="79"/>
      <c r="B151" s="21" t="str">
        <f>IF(A151="","",IFERROR(VLOOKUP(A151,DB_Customers!$A:$D,4,0),"❌ Account Not Found"))</f>
        <v/>
      </c>
      <c r="C151" s="80" t="str">
        <f>IF(A151="","",IFERROR(VLOOKUP(A151,DB_Customers!$A:$N,14,0),""))</f>
        <v/>
      </c>
      <c r="D151" s="81" t="str">
        <f t="shared" ca="1" si="12"/>
        <v/>
      </c>
      <c r="E151" s="82"/>
      <c r="F151" s="83" t="str">
        <f t="shared" si="13"/>
        <v/>
      </c>
      <c r="G151" s="23"/>
      <c r="H151" s="84"/>
      <c r="I151" s="85" t="str">
        <f>IF(A151="","Pending",IF(H151="","⚠️ Enter Code",IF(IFERROR(VLOOKUP(G151,DB_Agents!$B:$I,8,0),"")=H151,IF(AND(A151&lt;&gt;"",E151&lt;&gt;""),"Saved","Pending"),"🔒 BLOCKED — Wrong Code")))</f>
        <v>Pending</v>
      </c>
      <c r="J151" s="86" t="str">
        <f t="shared" ca="1" si="14"/>
        <v>—</v>
      </c>
      <c r="K151" s="87"/>
    </row>
    <row r="152" spans="1:11" x14ac:dyDescent="0.25">
      <c r="A152" s="88"/>
      <c r="B152" s="25" t="str">
        <f>IF(A152="","",IFERROR(VLOOKUP(A152,DB_Customers!$A:$D,4,0),"❌ Account Not Found"))</f>
        <v/>
      </c>
      <c r="C152" s="89" t="str">
        <f>IF(A152="","",IFERROR(VLOOKUP(A152,DB_Customers!$A:$N,14,0),""))</f>
        <v/>
      </c>
      <c r="D152" s="90" t="str">
        <f t="shared" ca="1" si="12"/>
        <v/>
      </c>
      <c r="E152" s="82"/>
      <c r="F152" s="91" t="str">
        <f t="shared" si="13"/>
        <v/>
      </c>
      <c r="G152" s="27"/>
      <c r="H152" s="84"/>
      <c r="I152" s="92" t="str">
        <f>IF(A152="","Pending",IF(H152="","⚠️ Enter Code",IF(IFERROR(VLOOKUP(G152,DB_Agents!$B:$I,8,0),"")=H152,IF(AND(A152&lt;&gt;"",E152&lt;&gt;""),"Saved","Pending"),"🔒 BLOCKED — Wrong Code")))</f>
        <v>Pending</v>
      </c>
      <c r="J152" s="93" t="str">
        <f t="shared" ca="1" si="14"/>
        <v>—</v>
      </c>
      <c r="K152" s="94"/>
    </row>
    <row r="153" spans="1:11" x14ac:dyDescent="0.25">
      <c r="A153" s="79"/>
      <c r="B153" s="21" t="str">
        <f>IF(A153="","",IFERROR(VLOOKUP(A153,DB_Customers!$A:$D,4,0),"❌ Account Not Found"))</f>
        <v/>
      </c>
      <c r="C153" s="80" t="str">
        <f>IF(A153="","",IFERROR(VLOOKUP(A153,DB_Customers!$A:$N,14,0),""))</f>
        <v/>
      </c>
      <c r="D153" s="81" t="str">
        <f t="shared" ca="1" si="12"/>
        <v/>
      </c>
      <c r="E153" s="82"/>
      <c r="F153" s="83" t="str">
        <f t="shared" si="13"/>
        <v/>
      </c>
      <c r="G153" s="23"/>
      <c r="H153" s="84"/>
      <c r="I153" s="85" t="str">
        <f>IF(A153="","Pending",IF(H153="","⚠️ Enter Code",IF(IFERROR(VLOOKUP(G153,DB_Agents!$B:$I,8,0),"")=H153,IF(AND(A153&lt;&gt;"",E153&lt;&gt;""),"Saved","Pending"),"🔒 BLOCKED — Wrong Code")))</f>
        <v>Pending</v>
      </c>
      <c r="J153" s="86" t="str">
        <f t="shared" ca="1" si="14"/>
        <v>—</v>
      </c>
      <c r="K153" s="87"/>
    </row>
    <row r="154" spans="1:11" x14ac:dyDescent="0.25">
      <c r="A154" s="88"/>
      <c r="B154" s="25" t="str">
        <f>IF(A154="","",IFERROR(VLOOKUP(A154,DB_Customers!$A:$D,4,0),"❌ Account Not Found"))</f>
        <v/>
      </c>
      <c r="C154" s="89" t="str">
        <f>IF(A154="","",IFERROR(VLOOKUP(A154,DB_Customers!$A:$N,14,0),""))</f>
        <v/>
      </c>
      <c r="D154" s="90" t="str">
        <f t="shared" ca="1" si="12"/>
        <v/>
      </c>
      <c r="E154" s="82"/>
      <c r="F154" s="91" t="str">
        <f t="shared" si="13"/>
        <v/>
      </c>
      <c r="G154" s="27"/>
      <c r="H154" s="84"/>
      <c r="I154" s="92" t="str">
        <f>IF(A154="","Pending",IF(H154="","⚠️ Enter Code",IF(IFERROR(VLOOKUP(G154,DB_Agents!$B:$I,8,0),"")=H154,IF(AND(A154&lt;&gt;"",E154&lt;&gt;""),"Saved","Pending"),"🔒 BLOCKED — Wrong Code")))</f>
        <v>Pending</v>
      </c>
      <c r="J154" s="93" t="str">
        <f t="shared" ca="1" si="14"/>
        <v>—</v>
      </c>
      <c r="K154" s="94"/>
    </row>
    <row r="155" spans="1:11" x14ac:dyDescent="0.25">
      <c r="A155" s="79"/>
      <c r="B155" s="21" t="str">
        <f>IF(A155="","",IFERROR(VLOOKUP(A155,DB_Customers!$A:$D,4,0),"❌ Account Not Found"))</f>
        <v/>
      </c>
      <c r="C155" s="80" t="str">
        <f>IF(A155="","",IFERROR(VLOOKUP(A155,DB_Customers!$A:$N,14,0),""))</f>
        <v/>
      </c>
      <c r="D155" s="81" t="str">
        <f t="shared" ca="1" si="12"/>
        <v/>
      </c>
      <c r="E155" s="82"/>
      <c r="F155" s="83" t="str">
        <f t="shared" si="13"/>
        <v/>
      </c>
      <c r="G155" s="23"/>
      <c r="H155" s="84"/>
      <c r="I155" s="85" t="str">
        <f>IF(A155="","Pending",IF(H155="","⚠️ Enter Code",IF(IFERROR(VLOOKUP(G155,DB_Agents!$B:$I,8,0),"")=H155,IF(AND(A155&lt;&gt;"",E155&lt;&gt;""),"Saved","Pending"),"🔒 BLOCKED — Wrong Code")))</f>
        <v>Pending</v>
      </c>
      <c r="J155" s="86" t="str">
        <f t="shared" ca="1" si="14"/>
        <v>—</v>
      </c>
      <c r="K155" s="87"/>
    </row>
    <row r="156" spans="1:11" x14ac:dyDescent="0.25">
      <c r="A156" s="88"/>
      <c r="B156" s="25" t="str">
        <f>IF(A156="","",IFERROR(VLOOKUP(A156,DB_Customers!$A:$D,4,0),"❌ Account Not Found"))</f>
        <v/>
      </c>
      <c r="C156" s="89" t="str">
        <f>IF(A156="","",IFERROR(VLOOKUP(A156,DB_Customers!$A:$N,14,0),""))</f>
        <v/>
      </c>
      <c r="D156" s="90" t="str">
        <f t="shared" ca="1" si="12"/>
        <v/>
      </c>
      <c r="E156" s="82"/>
      <c r="F156" s="91" t="str">
        <f t="shared" si="13"/>
        <v/>
      </c>
      <c r="G156" s="27"/>
      <c r="H156" s="84"/>
      <c r="I156" s="92" t="str">
        <f>IF(A156="","Pending",IF(H156="","⚠️ Enter Code",IF(IFERROR(VLOOKUP(G156,DB_Agents!$B:$I,8,0),"")=H156,IF(AND(A156&lt;&gt;"",E156&lt;&gt;""),"Saved","Pending"),"🔒 BLOCKED — Wrong Code")))</f>
        <v>Pending</v>
      </c>
      <c r="J156" s="93" t="str">
        <f t="shared" ca="1" si="14"/>
        <v>—</v>
      </c>
      <c r="K156" s="94"/>
    </row>
    <row r="157" spans="1:11" x14ac:dyDescent="0.25">
      <c r="A157" s="79"/>
      <c r="B157" s="21" t="str">
        <f>IF(A157="","",IFERROR(VLOOKUP(A157,DB_Customers!$A:$D,4,0),"❌ Account Not Found"))</f>
        <v/>
      </c>
      <c r="C157" s="80" t="str">
        <f>IF(A157="","",IFERROR(VLOOKUP(A157,DB_Customers!$A:$N,14,0),""))</f>
        <v/>
      </c>
      <c r="D157" s="81" t="str">
        <f t="shared" ca="1" si="12"/>
        <v/>
      </c>
      <c r="E157" s="82"/>
      <c r="F157" s="83" t="str">
        <f t="shared" si="13"/>
        <v/>
      </c>
      <c r="G157" s="23"/>
      <c r="H157" s="84"/>
      <c r="I157" s="85" t="str">
        <f>IF(A157="","Pending",IF(H157="","⚠️ Enter Code",IF(IFERROR(VLOOKUP(G157,DB_Agents!$B:$I,8,0),"")=H157,IF(AND(A157&lt;&gt;"",E157&lt;&gt;""),"Saved","Pending"),"🔒 BLOCKED — Wrong Code")))</f>
        <v>Pending</v>
      </c>
      <c r="J157" s="86" t="str">
        <f t="shared" ca="1" si="14"/>
        <v>—</v>
      </c>
      <c r="K157" s="87"/>
    </row>
    <row r="158" spans="1:11" x14ac:dyDescent="0.25">
      <c r="A158" s="88"/>
      <c r="B158" s="25" t="str">
        <f>IF(A158="","",IFERROR(VLOOKUP(A158,DB_Customers!$A:$D,4,0),"❌ Account Not Found"))</f>
        <v/>
      </c>
      <c r="C158" s="89" t="str">
        <f>IF(A158="","",IFERROR(VLOOKUP(A158,DB_Customers!$A:$N,14,0),""))</f>
        <v/>
      </c>
      <c r="D158" s="90" t="str">
        <f t="shared" ca="1" si="12"/>
        <v/>
      </c>
      <c r="E158" s="82"/>
      <c r="F158" s="91" t="str">
        <f t="shared" si="13"/>
        <v/>
      </c>
      <c r="G158" s="27"/>
      <c r="H158" s="84"/>
      <c r="I158" s="92" t="str">
        <f>IF(A158="","Pending",IF(H158="","⚠️ Enter Code",IF(IFERROR(VLOOKUP(G158,DB_Agents!$B:$I,8,0),"")=H158,IF(AND(A158&lt;&gt;"",E158&lt;&gt;""),"Saved","Pending"),"🔒 BLOCKED — Wrong Code")))</f>
        <v>Pending</v>
      </c>
      <c r="J158" s="93" t="str">
        <f t="shared" ca="1" si="14"/>
        <v>—</v>
      </c>
      <c r="K158" s="94"/>
    </row>
    <row r="159" spans="1:11" x14ac:dyDescent="0.25">
      <c r="A159" s="79"/>
      <c r="B159" s="21" t="str">
        <f>IF(A159="","",IFERROR(VLOOKUP(A159,DB_Customers!$A:$D,4,0),"❌ Account Not Found"))</f>
        <v/>
      </c>
      <c r="C159" s="80" t="str">
        <f>IF(A159="","",IFERROR(VLOOKUP(A159,DB_Customers!$A:$N,14,0),""))</f>
        <v/>
      </c>
      <c r="D159" s="81" t="str">
        <f t="shared" ca="1" si="12"/>
        <v/>
      </c>
      <c r="E159" s="82"/>
      <c r="F159" s="83" t="str">
        <f t="shared" si="13"/>
        <v/>
      </c>
      <c r="G159" s="23"/>
      <c r="H159" s="84"/>
      <c r="I159" s="85" t="str">
        <f>IF(A159="","Pending",IF(H159="","⚠️ Enter Code",IF(IFERROR(VLOOKUP(G159,DB_Agents!$B:$I,8,0),"")=H159,IF(AND(A159&lt;&gt;"",E159&lt;&gt;""),"Saved","Pending"),"🔒 BLOCKED — Wrong Code")))</f>
        <v>Pending</v>
      </c>
      <c r="J159" s="86" t="str">
        <f t="shared" ca="1" si="14"/>
        <v>—</v>
      </c>
      <c r="K159" s="87"/>
    </row>
    <row r="160" spans="1:11" x14ac:dyDescent="0.25">
      <c r="A160" s="88"/>
      <c r="B160" s="25" t="str">
        <f>IF(A160="","",IFERROR(VLOOKUP(A160,DB_Customers!$A:$D,4,0),"❌ Account Not Found"))</f>
        <v/>
      </c>
      <c r="C160" s="89" t="str">
        <f>IF(A160="","",IFERROR(VLOOKUP(A160,DB_Customers!$A:$N,14,0),""))</f>
        <v/>
      </c>
      <c r="D160" s="90" t="str">
        <f t="shared" ca="1" si="12"/>
        <v/>
      </c>
      <c r="E160" s="82"/>
      <c r="F160" s="91" t="str">
        <f t="shared" si="13"/>
        <v/>
      </c>
      <c r="G160" s="27"/>
      <c r="H160" s="84"/>
      <c r="I160" s="92" t="str">
        <f>IF(A160="","Pending",IF(H160="","⚠️ Enter Code",IF(IFERROR(VLOOKUP(G160,DB_Agents!$B:$I,8,0),"")=H160,IF(AND(A160&lt;&gt;"",E160&lt;&gt;""),"Saved","Pending"),"🔒 BLOCKED — Wrong Code")))</f>
        <v>Pending</v>
      </c>
      <c r="J160" s="93" t="str">
        <f t="shared" ca="1" si="14"/>
        <v>—</v>
      </c>
      <c r="K160" s="94"/>
    </row>
    <row r="161" spans="1:11" x14ac:dyDescent="0.25">
      <c r="A161" s="79"/>
      <c r="B161" s="21" t="str">
        <f>IF(A161="","",IFERROR(VLOOKUP(A161,DB_Customers!$A:$D,4,0),"❌ Account Not Found"))</f>
        <v/>
      </c>
      <c r="C161" s="80" t="str">
        <f>IF(A161="","",IFERROR(VLOOKUP(A161,DB_Customers!$A:$N,14,0),""))</f>
        <v/>
      </c>
      <c r="D161" s="81" t="str">
        <f t="shared" ca="1" si="12"/>
        <v/>
      </c>
      <c r="E161" s="82"/>
      <c r="F161" s="83" t="str">
        <f t="shared" si="13"/>
        <v/>
      </c>
      <c r="G161" s="23"/>
      <c r="H161" s="84"/>
      <c r="I161" s="85" t="str">
        <f>IF(A161="","Pending",IF(H161="","⚠️ Enter Code",IF(IFERROR(VLOOKUP(G161,DB_Agents!$B:$I,8,0),"")=H161,IF(AND(A161&lt;&gt;"",E161&lt;&gt;""),"Saved","Pending"),"🔒 BLOCKED — Wrong Code")))</f>
        <v>Pending</v>
      </c>
      <c r="J161" s="86" t="str">
        <f t="shared" ca="1" si="14"/>
        <v>—</v>
      </c>
      <c r="K161" s="87"/>
    </row>
    <row r="162" spans="1:11" x14ac:dyDescent="0.25">
      <c r="A162" s="88"/>
      <c r="B162" s="25" t="str">
        <f>IF(A162="","",IFERROR(VLOOKUP(A162,DB_Customers!$A:$D,4,0),"❌ Account Not Found"))</f>
        <v/>
      </c>
      <c r="C162" s="89" t="str">
        <f>IF(A162="","",IFERROR(VLOOKUP(A162,DB_Customers!$A:$N,14,0),""))</f>
        <v/>
      </c>
      <c r="D162" s="90" t="str">
        <f t="shared" ca="1" si="12"/>
        <v/>
      </c>
      <c r="E162" s="82"/>
      <c r="F162" s="91" t="str">
        <f t="shared" si="13"/>
        <v/>
      </c>
      <c r="G162" s="27"/>
      <c r="H162" s="84"/>
      <c r="I162" s="92" t="str">
        <f>IF(A162="","Pending",IF(H162="","⚠️ Enter Code",IF(IFERROR(VLOOKUP(G162,DB_Agents!$B:$I,8,0),"")=H162,IF(AND(A162&lt;&gt;"",E162&lt;&gt;""),"Saved","Pending"),"🔒 BLOCKED — Wrong Code")))</f>
        <v>Pending</v>
      </c>
      <c r="J162" s="93" t="str">
        <f t="shared" ca="1" si="14"/>
        <v>—</v>
      </c>
      <c r="K162" s="94"/>
    </row>
    <row r="163" spans="1:11" x14ac:dyDescent="0.25">
      <c r="A163" s="79"/>
      <c r="B163" s="21" t="str">
        <f>IF(A163="","",IFERROR(VLOOKUP(A163,DB_Customers!$A:$D,4,0),"❌ Account Not Found"))</f>
        <v/>
      </c>
      <c r="C163" s="80" t="str">
        <f>IF(A163="","",IFERROR(VLOOKUP(A163,DB_Customers!$A:$N,14,0),""))</f>
        <v/>
      </c>
      <c r="D163" s="81" t="str">
        <f t="shared" ca="1" si="12"/>
        <v/>
      </c>
      <c r="E163" s="82"/>
      <c r="F163" s="83" t="str">
        <f t="shared" si="13"/>
        <v/>
      </c>
      <c r="G163" s="23"/>
      <c r="H163" s="84"/>
      <c r="I163" s="85" t="str">
        <f>IF(A163="","Pending",IF(H163="","⚠️ Enter Code",IF(IFERROR(VLOOKUP(G163,DB_Agents!$B:$I,8,0),"")=H163,IF(AND(A163&lt;&gt;"",E163&lt;&gt;""),"Saved","Pending"),"🔒 BLOCKED — Wrong Code")))</f>
        <v>Pending</v>
      </c>
      <c r="J163" s="86" t="str">
        <f t="shared" ca="1" si="14"/>
        <v>—</v>
      </c>
      <c r="K163" s="87"/>
    </row>
    <row r="164" spans="1:11" x14ac:dyDescent="0.25">
      <c r="A164" s="88"/>
      <c r="B164" s="25" t="str">
        <f>IF(A164="","",IFERROR(VLOOKUP(A164,DB_Customers!$A:$D,4,0),"❌ Account Not Found"))</f>
        <v/>
      </c>
      <c r="C164" s="89" t="str">
        <f>IF(A164="","",IFERROR(VLOOKUP(A164,DB_Customers!$A:$N,14,0),""))</f>
        <v/>
      </c>
      <c r="D164" s="90" t="str">
        <f t="shared" ca="1" si="12"/>
        <v/>
      </c>
      <c r="E164" s="82"/>
      <c r="F164" s="91" t="str">
        <f t="shared" si="13"/>
        <v/>
      </c>
      <c r="G164" s="27"/>
      <c r="H164" s="84"/>
      <c r="I164" s="92" t="str">
        <f>IF(A164="","Pending",IF(H164="","⚠️ Enter Code",IF(IFERROR(VLOOKUP(G164,DB_Agents!$B:$I,8,0),"")=H164,IF(AND(A164&lt;&gt;"",E164&lt;&gt;""),"Saved","Pending"),"🔒 BLOCKED — Wrong Code")))</f>
        <v>Pending</v>
      </c>
      <c r="J164" s="93" t="str">
        <f t="shared" ca="1" si="14"/>
        <v>—</v>
      </c>
      <c r="K164" s="94"/>
    </row>
    <row r="165" spans="1:11" x14ac:dyDescent="0.25">
      <c r="A165" s="79"/>
      <c r="B165" s="21" t="str">
        <f>IF(A165="","",IFERROR(VLOOKUP(A165,DB_Customers!$A:$D,4,0),"❌ Account Not Found"))</f>
        <v/>
      </c>
      <c r="C165" s="80" t="str">
        <f>IF(A165="","",IFERROR(VLOOKUP(A165,DB_Customers!$A:$N,14,0),""))</f>
        <v/>
      </c>
      <c r="D165" s="81" t="str">
        <f t="shared" ca="1" si="12"/>
        <v/>
      </c>
      <c r="E165" s="82"/>
      <c r="F165" s="83" t="str">
        <f t="shared" si="13"/>
        <v/>
      </c>
      <c r="G165" s="23"/>
      <c r="H165" s="84"/>
      <c r="I165" s="85" t="str">
        <f>IF(A165="","Pending",IF(H165="","⚠️ Enter Code",IF(IFERROR(VLOOKUP(G165,DB_Agents!$B:$I,8,0),"")=H165,IF(AND(A165&lt;&gt;"",E165&lt;&gt;""),"Saved","Pending"),"🔒 BLOCKED — Wrong Code")))</f>
        <v>Pending</v>
      </c>
      <c r="J165" s="86" t="str">
        <f t="shared" ca="1" si="14"/>
        <v>—</v>
      </c>
      <c r="K165" s="87"/>
    </row>
    <row r="166" spans="1:11" x14ac:dyDescent="0.25">
      <c r="A166" s="88"/>
      <c r="B166" s="25" t="str">
        <f>IF(A166="","",IFERROR(VLOOKUP(A166,DB_Customers!$A:$D,4,0),"❌ Account Not Found"))</f>
        <v/>
      </c>
      <c r="C166" s="89" t="str">
        <f>IF(A166="","",IFERROR(VLOOKUP(A166,DB_Customers!$A:$N,14,0),""))</f>
        <v/>
      </c>
      <c r="D166" s="90" t="str">
        <f t="shared" ca="1" si="12"/>
        <v/>
      </c>
      <c r="E166" s="82"/>
      <c r="F166" s="91" t="str">
        <f t="shared" si="13"/>
        <v/>
      </c>
      <c r="G166" s="27"/>
      <c r="H166" s="84"/>
      <c r="I166" s="92" t="str">
        <f>IF(A166="","Pending",IF(H166="","⚠️ Enter Code",IF(IFERROR(VLOOKUP(G166,DB_Agents!$B:$I,8,0),"")=H166,IF(AND(A166&lt;&gt;"",E166&lt;&gt;""),"Saved","Pending"),"🔒 BLOCKED — Wrong Code")))</f>
        <v>Pending</v>
      </c>
      <c r="J166" s="93" t="str">
        <f t="shared" ca="1" si="14"/>
        <v>—</v>
      </c>
      <c r="K166" s="94"/>
    </row>
    <row r="167" spans="1:11" x14ac:dyDescent="0.25">
      <c r="A167" s="79"/>
      <c r="B167" s="21" t="str">
        <f>IF(A167="","",IFERROR(VLOOKUP(A167,DB_Customers!$A:$D,4,0),"❌ Account Not Found"))</f>
        <v/>
      </c>
      <c r="C167" s="80" t="str">
        <f>IF(A167="","",IFERROR(VLOOKUP(A167,DB_Customers!$A:$N,14,0),""))</f>
        <v/>
      </c>
      <c r="D167" s="81" t="str">
        <f t="shared" ca="1" si="12"/>
        <v/>
      </c>
      <c r="E167" s="82"/>
      <c r="F167" s="83" t="str">
        <f t="shared" si="13"/>
        <v/>
      </c>
      <c r="G167" s="23"/>
      <c r="H167" s="84"/>
      <c r="I167" s="85" t="str">
        <f>IF(A167="","Pending",IF(H167="","⚠️ Enter Code",IF(IFERROR(VLOOKUP(G167,DB_Agents!$B:$I,8,0),"")=H167,IF(AND(A167&lt;&gt;"",E167&lt;&gt;""),"Saved","Pending"),"🔒 BLOCKED — Wrong Code")))</f>
        <v>Pending</v>
      </c>
      <c r="J167" s="86" t="str">
        <f t="shared" ca="1" si="14"/>
        <v>—</v>
      </c>
      <c r="K167" s="87"/>
    </row>
    <row r="168" spans="1:11" x14ac:dyDescent="0.25">
      <c r="A168" s="88"/>
      <c r="B168" s="25" t="str">
        <f>IF(A168="","",IFERROR(VLOOKUP(A168,DB_Customers!$A:$D,4,0),"❌ Account Not Found"))</f>
        <v/>
      </c>
      <c r="C168" s="89" t="str">
        <f>IF(A168="","",IFERROR(VLOOKUP(A168,DB_Customers!$A:$N,14,0),""))</f>
        <v/>
      </c>
      <c r="D168" s="90" t="str">
        <f t="shared" ca="1" si="12"/>
        <v/>
      </c>
      <c r="E168" s="82"/>
      <c r="F168" s="91" t="str">
        <f t="shared" si="13"/>
        <v/>
      </c>
      <c r="G168" s="27"/>
      <c r="H168" s="84"/>
      <c r="I168" s="92" t="str">
        <f>IF(A168="","Pending",IF(H168="","⚠️ Enter Code",IF(IFERROR(VLOOKUP(G168,DB_Agents!$B:$I,8,0),"")=H168,IF(AND(A168&lt;&gt;"",E168&lt;&gt;""),"Saved","Pending"),"🔒 BLOCKED — Wrong Code")))</f>
        <v>Pending</v>
      </c>
      <c r="J168" s="93" t="str">
        <f t="shared" ca="1" si="14"/>
        <v>—</v>
      </c>
      <c r="K168" s="94"/>
    </row>
    <row r="169" spans="1:11" x14ac:dyDescent="0.25">
      <c r="A169" s="79"/>
      <c r="B169" s="21" t="str">
        <f>IF(A169="","",IFERROR(VLOOKUP(A169,DB_Customers!$A:$D,4,0),"❌ Account Not Found"))</f>
        <v/>
      </c>
      <c r="C169" s="80" t="str">
        <f>IF(A169="","",IFERROR(VLOOKUP(A169,DB_Customers!$A:$N,14,0),""))</f>
        <v/>
      </c>
      <c r="D169" s="81" t="str">
        <f t="shared" ref="D169:D200" ca="1" si="15">IF(A169="","",TODAY())</f>
        <v/>
      </c>
      <c r="E169" s="82"/>
      <c r="F169" s="83" t="str">
        <f t="shared" ref="F169:F200" si="16">IF(OR(A169="",E169=""),"",IF(C169="","",C169+E169))</f>
        <v/>
      </c>
      <c r="G169" s="23"/>
      <c r="H169" s="84"/>
      <c r="I169" s="85" t="str">
        <f>IF(A169="","Pending",IF(H169="","⚠️ Enter Code",IF(IFERROR(VLOOKUP(G169,DB_Agents!$B:$I,8,0),"")=H169,IF(AND(A169&lt;&gt;"",E169&lt;&gt;""),"Saved","Pending"),"🔒 BLOCKED — Wrong Code")))</f>
        <v>Pending</v>
      </c>
      <c r="J169" s="86" t="str">
        <f t="shared" ref="J169:J200" ca="1" si="17">IF(I169="Saved",TEXT(TODAY(),"YYYY-MM-DD")&amp;" Auto","—")</f>
        <v>—</v>
      </c>
      <c r="K169" s="87"/>
    </row>
    <row r="170" spans="1:11" x14ac:dyDescent="0.25">
      <c r="A170" s="88"/>
      <c r="B170" s="25" t="str">
        <f>IF(A170="","",IFERROR(VLOOKUP(A170,DB_Customers!$A:$D,4,0),"❌ Account Not Found"))</f>
        <v/>
      </c>
      <c r="C170" s="89" t="str">
        <f>IF(A170="","",IFERROR(VLOOKUP(A170,DB_Customers!$A:$N,14,0),""))</f>
        <v/>
      </c>
      <c r="D170" s="90" t="str">
        <f t="shared" ca="1" si="15"/>
        <v/>
      </c>
      <c r="E170" s="82"/>
      <c r="F170" s="91" t="str">
        <f t="shared" si="16"/>
        <v/>
      </c>
      <c r="G170" s="27"/>
      <c r="H170" s="84"/>
      <c r="I170" s="92" t="str">
        <f>IF(A170="","Pending",IF(H170="","⚠️ Enter Code",IF(IFERROR(VLOOKUP(G170,DB_Agents!$B:$I,8,0),"")=H170,IF(AND(A170&lt;&gt;"",E170&lt;&gt;""),"Saved","Pending"),"🔒 BLOCKED — Wrong Code")))</f>
        <v>Pending</v>
      </c>
      <c r="J170" s="93" t="str">
        <f t="shared" ca="1" si="17"/>
        <v>—</v>
      </c>
      <c r="K170" s="94"/>
    </row>
    <row r="171" spans="1:11" x14ac:dyDescent="0.25">
      <c r="A171" s="79"/>
      <c r="B171" s="21" t="str">
        <f>IF(A171="","",IFERROR(VLOOKUP(A171,DB_Customers!$A:$D,4,0),"❌ Account Not Found"))</f>
        <v/>
      </c>
      <c r="C171" s="80" t="str">
        <f>IF(A171="","",IFERROR(VLOOKUP(A171,DB_Customers!$A:$N,14,0),""))</f>
        <v/>
      </c>
      <c r="D171" s="81" t="str">
        <f t="shared" ca="1" si="15"/>
        <v/>
      </c>
      <c r="E171" s="82"/>
      <c r="F171" s="83" t="str">
        <f t="shared" si="16"/>
        <v/>
      </c>
      <c r="G171" s="23"/>
      <c r="H171" s="84"/>
      <c r="I171" s="85" t="str">
        <f>IF(A171="","Pending",IF(H171="","⚠️ Enter Code",IF(IFERROR(VLOOKUP(G171,DB_Agents!$B:$I,8,0),"")=H171,IF(AND(A171&lt;&gt;"",E171&lt;&gt;""),"Saved","Pending"),"🔒 BLOCKED — Wrong Code")))</f>
        <v>Pending</v>
      </c>
      <c r="J171" s="86" t="str">
        <f t="shared" ca="1" si="17"/>
        <v>—</v>
      </c>
      <c r="K171" s="87"/>
    </row>
    <row r="172" spans="1:11" x14ac:dyDescent="0.25">
      <c r="A172" s="88"/>
      <c r="B172" s="25" t="str">
        <f>IF(A172="","",IFERROR(VLOOKUP(A172,DB_Customers!$A:$D,4,0),"❌ Account Not Found"))</f>
        <v/>
      </c>
      <c r="C172" s="89" t="str">
        <f>IF(A172="","",IFERROR(VLOOKUP(A172,DB_Customers!$A:$N,14,0),""))</f>
        <v/>
      </c>
      <c r="D172" s="90" t="str">
        <f t="shared" ca="1" si="15"/>
        <v/>
      </c>
      <c r="E172" s="82"/>
      <c r="F172" s="91" t="str">
        <f t="shared" si="16"/>
        <v/>
      </c>
      <c r="G172" s="27"/>
      <c r="H172" s="84"/>
      <c r="I172" s="92" t="str">
        <f>IF(A172="","Pending",IF(H172="","⚠️ Enter Code",IF(IFERROR(VLOOKUP(G172,DB_Agents!$B:$I,8,0),"")=H172,IF(AND(A172&lt;&gt;"",E172&lt;&gt;""),"Saved","Pending"),"🔒 BLOCKED — Wrong Code")))</f>
        <v>Pending</v>
      </c>
      <c r="J172" s="93" t="str">
        <f t="shared" ca="1" si="17"/>
        <v>—</v>
      </c>
      <c r="K172" s="94"/>
    </row>
    <row r="173" spans="1:11" x14ac:dyDescent="0.25">
      <c r="A173" s="79"/>
      <c r="B173" s="21" t="str">
        <f>IF(A173="","",IFERROR(VLOOKUP(A173,DB_Customers!$A:$D,4,0),"❌ Account Not Found"))</f>
        <v/>
      </c>
      <c r="C173" s="80" t="str">
        <f>IF(A173="","",IFERROR(VLOOKUP(A173,DB_Customers!$A:$N,14,0),""))</f>
        <v/>
      </c>
      <c r="D173" s="81" t="str">
        <f t="shared" ca="1" si="15"/>
        <v/>
      </c>
      <c r="E173" s="82"/>
      <c r="F173" s="83" t="str">
        <f t="shared" si="16"/>
        <v/>
      </c>
      <c r="G173" s="23"/>
      <c r="H173" s="84"/>
      <c r="I173" s="85" t="str">
        <f>IF(A173="","Pending",IF(H173="","⚠️ Enter Code",IF(IFERROR(VLOOKUP(G173,DB_Agents!$B:$I,8,0),"")=H173,IF(AND(A173&lt;&gt;"",E173&lt;&gt;""),"Saved","Pending"),"🔒 BLOCKED — Wrong Code")))</f>
        <v>Pending</v>
      </c>
      <c r="J173" s="86" t="str">
        <f t="shared" ca="1" si="17"/>
        <v>—</v>
      </c>
      <c r="K173" s="87"/>
    </row>
    <row r="174" spans="1:11" x14ac:dyDescent="0.25">
      <c r="A174" s="88"/>
      <c r="B174" s="25" t="str">
        <f>IF(A174="","",IFERROR(VLOOKUP(A174,DB_Customers!$A:$D,4,0),"❌ Account Not Found"))</f>
        <v/>
      </c>
      <c r="C174" s="89" t="str">
        <f>IF(A174="","",IFERROR(VLOOKUP(A174,DB_Customers!$A:$N,14,0),""))</f>
        <v/>
      </c>
      <c r="D174" s="90" t="str">
        <f t="shared" ca="1" si="15"/>
        <v/>
      </c>
      <c r="E174" s="82"/>
      <c r="F174" s="91" t="str">
        <f t="shared" si="16"/>
        <v/>
      </c>
      <c r="G174" s="27"/>
      <c r="H174" s="84"/>
      <c r="I174" s="92" t="str">
        <f>IF(A174="","Pending",IF(H174="","⚠️ Enter Code",IF(IFERROR(VLOOKUP(G174,DB_Agents!$B:$I,8,0),"")=H174,IF(AND(A174&lt;&gt;"",E174&lt;&gt;""),"Saved","Pending"),"🔒 BLOCKED — Wrong Code")))</f>
        <v>Pending</v>
      </c>
      <c r="J174" s="93" t="str">
        <f t="shared" ca="1" si="17"/>
        <v>—</v>
      </c>
      <c r="K174" s="94"/>
    </row>
    <row r="175" spans="1:11" x14ac:dyDescent="0.25">
      <c r="A175" s="79"/>
      <c r="B175" s="21" t="str">
        <f>IF(A175="","",IFERROR(VLOOKUP(A175,DB_Customers!$A:$D,4,0),"❌ Account Not Found"))</f>
        <v/>
      </c>
      <c r="C175" s="80" t="str">
        <f>IF(A175="","",IFERROR(VLOOKUP(A175,DB_Customers!$A:$N,14,0),""))</f>
        <v/>
      </c>
      <c r="D175" s="81" t="str">
        <f t="shared" ca="1" si="15"/>
        <v/>
      </c>
      <c r="E175" s="82"/>
      <c r="F175" s="83" t="str">
        <f t="shared" si="16"/>
        <v/>
      </c>
      <c r="G175" s="23"/>
      <c r="H175" s="84"/>
      <c r="I175" s="85" t="str">
        <f>IF(A175="","Pending",IF(H175="","⚠️ Enter Code",IF(IFERROR(VLOOKUP(G175,DB_Agents!$B:$I,8,0),"")=H175,IF(AND(A175&lt;&gt;"",E175&lt;&gt;""),"Saved","Pending"),"🔒 BLOCKED — Wrong Code")))</f>
        <v>Pending</v>
      </c>
      <c r="J175" s="86" t="str">
        <f t="shared" ca="1" si="17"/>
        <v>—</v>
      </c>
      <c r="K175" s="87"/>
    </row>
    <row r="176" spans="1:11" x14ac:dyDescent="0.25">
      <c r="A176" s="88"/>
      <c r="B176" s="25" t="str">
        <f>IF(A176="","",IFERROR(VLOOKUP(A176,DB_Customers!$A:$D,4,0),"❌ Account Not Found"))</f>
        <v/>
      </c>
      <c r="C176" s="89" t="str">
        <f>IF(A176="","",IFERROR(VLOOKUP(A176,DB_Customers!$A:$N,14,0),""))</f>
        <v/>
      </c>
      <c r="D176" s="90" t="str">
        <f t="shared" ca="1" si="15"/>
        <v/>
      </c>
      <c r="E176" s="82"/>
      <c r="F176" s="91" t="str">
        <f t="shared" si="16"/>
        <v/>
      </c>
      <c r="G176" s="27"/>
      <c r="H176" s="84"/>
      <c r="I176" s="92" t="str">
        <f>IF(A176="","Pending",IF(H176="","⚠️ Enter Code",IF(IFERROR(VLOOKUP(G176,DB_Agents!$B:$I,8,0),"")=H176,IF(AND(A176&lt;&gt;"",E176&lt;&gt;""),"Saved","Pending"),"🔒 BLOCKED — Wrong Code")))</f>
        <v>Pending</v>
      </c>
      <c r="J176" s="93" t="str">
        <f t="shared" ca="1" si="17"/>
        <v>—</v>
      </c>
      <c r="K176" s="94"/>
    </row>
    <row r="177" spans="1:11" x14ac:dyDescent="0.25">
      <c r="A177" s="79"/>
      <c r="B177" s="21" t="str">
        <f>IF(A177="","",IFERROR(VLOOKUP(A177,DB_Customers!$A:$D,4,0),"❌ Account Not Found"))</f>
        <v/>
      </c>
      <c r="C177" s="80" t="str">
        <f>IF(A177="","",IFERROR(VLOOKUP(A177,DB_Customers!$A:$N,14,0),""))</f>
        <v/>
      </c>
      <c r="D177" s="81" t="str">
        <f t="shared" ca="1" si="15"/>
        <v/>
      </c>
      <c r="E177" s="82"/>
      <c r="F177" s="83" t="str">
        <f t="shared" si="16"/>
        <v/>
      </c>
      <c r="G177" s="23"/>
      <c r="H177" s="84"/>
      <c r="I177" s="85" t="str">
        <f>IF(A177="","Pending",IF(H177="","⚠️ Enter Code",IF(IFERROR(VLOOKUP(G177,DB_Agents!$B:$I,8,0),"")=H177,IF(AND(A177&lt;&gt;"",E177&lt;&gt;""),"Saved","Pending"),"🔒 BLOCKED — Wrong Code")))</f>
        <v>Pending</v>
      </c>
      <c r="J177" s="86" t="str">
        <f t="shared" ca="1" si="17"/>
        <v>—</v>
      </c>
      <c r="K177" s="87"/>
    </row>
    <row r="178" spans="1:11" x14ac:dyDescent="0.25">
      <c r="A178" s="88"/>
      <c r="B178" s="25" t="str">
        <f>IF(A178="","",IFERROR(VLOOKUP(A178,DB_Customers!$A:$D,4,0),"❌ Account Not Found"))</f>
        <v/>
      </c>
      <c r="C178" s="89" t="str">
        <f>IF(A178="","",IFERROR(VLOOKUP(A178,DB_Customers!$A:$N,14,0),""))</f>
        <v/>
      </c>
      <c r="D178" s="90" t="str">
        <f t="shared" ca="1" si="15"/>
        <v/>
      </c>
      <c r="E178" s="82"/>
      <c r="F178" s="91" t="str">
        <f t="shared" si="16"/>
        <v/>
      </c>
      <c r="G178" s="27"/>
      <c r="H178" s="84"/>
      <c r="I178" s="92" t="str">
        <f>IF(A178="","Pending",IF(H178="","⚠️ Enter Code",IF(IFERROR(VLOOKUP(G178,DB_Agents!$B:$I,8,0),"")=H178,IF(AND(A178&lt;&gt;"",E178&lt;&gt;""),"Saved","Pending"),"🔒 BLOCKED — Wrong Code")))</f>
        <v>Pending</v>
      </c>
      <c r="J178" s="93" t="str">
        <f t="shared" ca="1" si="17"/>
        <v>—</v>
      </c>
      <c r="K178" s="94"/>
    </row>
    <row r="179" spans="1:11" x14ac:dyDescent="0.25">
      <c r="A179" s="79"/>
      <c r="B179" s="21" t="str">
        <f>IF(A179="","",IFERROR(VLOOKUP(A179,DB_Customers!$A:$D,4,0),"❌ Account Not Found"))</f>
        <v/>
      </c>
      <c r="C179" s="80" t="str">
        <f>IF(A179="","",IFERROR(VLOOKUP(A179,DB_Customers!$A:$N,14,0),""))</f>
        <v/>
      </c>
      <c r="D179" s="81" t="str">
        <f t="shared" ca="1" si="15"/>
        <v/>
      </c>
      <c r="E179" s="82"/>
      <c r="F179" s="83" t="str">
        <f t="shared" si="16"/>
        <v/>
      </c>
      <c r="G179" s="23"/>
      <c r="H179" s="84"/>
      <c r="I179" s="85" t="str">
        <f>IF(A179="","Pending",IF(H179="","⚠️ Enter Code",IF(IFERROR(VLOOKUP(G179,DB_Agents!$B:$I,8,0),"")=H179,IF(AND(A179&lt;&gt;"",E179&lt;&gt;""),"Saved","Pending"),"🔒 BLOCKED — Wrong Code")))</f>
        <v>Pending</v>
      </c>
      <c r="J179" s="86" t="str">
        <f t="shared" ca="1" si="17"/>
        <v>—</v>
      </c>
      <c r="K179" s="87"/>
    </row>
    <row r="180" spans="1:11" x14ac:dyDescent="0.25">
      <c r="A180" s="88"/>
      <c r="B180" s="25" t="str">
        <f>IF(A180="","",IFERROR(VLOOKUP(A180,DB_Customers!$A:$D,4,0),"❌ Account Not Found"))</f>
        <v/>
      </c>
      <c r="C180" s="89" t="str">
        <f>IF(A180="","",IFERROR(VLOOKUP(A180,DB_Customers!$A:$N,14,0),""))</f>
        <v/>
      </c>
      <c r="D180" s="90" t="str">
        <f t="shared" ca="1" si="15"/>
        <v/>
      </c>
      <c r="E180" s="82"/>
      <c r="F180" s="91" t="str">
        <f t="shared" si="16"/>
        <v/>
      </c>
      <c r="G180" s="27"/>
      <c r="H180" s="84"/>
      <c r="I180" s="92" t="str">
        <f>IF(A180="","Pending",IF(H180="","⚠️ Enter Code",IF(IFERROR(VLOOKUP(G180,DB_Agents!$B:$I,8,0),"")=H180,IF(AND(A180&lt;&gt;"",E180&lt;&gt;""),"Saved","Pending"),"🔒 BLOCKED — Wrong Code")))</f>
        <v>Pending</v>
      </c>
      <c r="J180" s="93" t="str">
        <f t="shared" ca="1" si="17"/>
        <v>—</v>
      </c>
      <c r="K180" s="94"/>
    </row>
    <row r="181" spans="1:11" x14ac:dyDescent="0.25">
      <c r="A181" s="79"/>
      <c r="B181" s="21" t="str">
        <f>IF(A181="","",IFERROR(VLOOKUP(A181,DB_Customers!$A:$D,4,0),"❌ Account Not Found"))</f>
        <v/>
      </c>
      <c r="C181" s="80" t="str">
        <f>IF(A181="","",IFERROR(VLOOKUP(A181,DB_Customers!$A:$N,14,0),""))</f>
        <v/>
      </c>
      <c r="D181" s="81" t="str">
        <f t="shared" ca="1" si="15"/>
        <v/>
      </c>
      <c r="E181" s="82"/>
      <c r="F181" s="83" t="str">
        <f t="shared" si="16"/>
        <v/>
      </c>
      <c r="G181" s="23"/>
      <c r="H181" s="84"/>
      <c r="I181" s="85" t="str">
        <f>IF(A181="","Pending",IF(H181="","⚠️ Enter Code",IF(IFERROR(VLOOKUP(G181,DB_Agents!$B:$I,8,0),"")=H181,IF(AND(A181&lt;&gt;"",E181&lt;&gt;""),"Saved","Pending"),"🔒 BLOCKED — Wrong Code")))</f>
        <v>Pending</v>
      </c>
      <c r="J181" s="86" t="str">
        <f t="shared" ca="1" si="17"/>
        <v>—</v>
      </c>
      <c r="K181" s="87"/>
    </row>
    <row r="182" spans="1:11" x14ac:dyDescent="0.25">
      <c r="A182" s="88"/>
      <c r="B182" s="25" t="str">
        <f>IF(A182="","",IFERROR(VLOOKUP(A182,DB_Customers!$A:$D,4,0),"❌ Account Not Found"))</f>
        <v/>
      </c>
      <c r="C182" s="89" t="str">
        <f>IF(A182="","",IFERROR(VLOOKUP(A182,DB_Customers!$A:$N,14,0),""))</f>
        <v/>
      </c>
      <c r="D182" s="90" t="str">
        <f t="shared" ca="1" si="15"/>
        <v/>
      </c>
      <c r="E182" s="82"/>
      <c r="F182" s="91" t="str">
        <f t="shared" si="16"/>
        <v/>
      </c>
      <c r="G182" s="27"/>
      <c r="H182" s="84"/>
      <c r="I182" s="92" t="str">
        <f>IF(A182="","Pending",IF(H182="","⚠️ Enter Code",IF(IFERROR(VLOOKUP(G182,DB_Agents!$B:$I,8,0),"")=H182,IF(AND(A182&lt;&gt;"",E182&lt;&gt;""),"Saved","Pending"),"🔒 BLOCKED — Wrong Code")))</f>
        <v>Pending</v>
      </c>
      <c r="J182" s="93" t="str">
        <f t="shared" ca="1" si="17"/>
        <v>—</v>
      </c>
      <c r="K182" s="94"/>
    </row>
    <row r="183" spans="1:11" x14ac:dyDescent="0.25">
      <c r="A183" s="79"/>
      <c r="B183" s="21" t="str">
        <f>IF(A183="","",IFERROR(VLOOKUP(A183,DB_Customers!$A:$D,4,0),"❌ Account Not Found"))</f>
        <v/>
      </c>
      <c r="C183" s="80" t="str">
        <f>IF(A183="","",IFERROR(VLOOKUP(A183,DB_Customers!$A:$N,14,0),""))</f>
        <v/>
      </c>
      <c r="D183" s="81" t="str">
        <f t="shared" ca="1" si="15"/>
        <v/>
      </c>
      <c r="E183" s="82"/>
      <c r="F183" s="83" t="str">
        <f t="shared" si="16"/>
        <v/>
      </c>
      <c r="G183" s="23"/>
      <c r="H183" s="84"/>
      <c r="I183" s="85" t="str">
        <f>IF(A183="","Pending",IF(H183="","⚠️ Enter Code",IF(IFERROR(VLOOKUP(G183,DB_Agents!$B:$I,8,0),"")=H183,IF(AND(A183&lt;&gt;"",E183&lt;&gt;""),"Saved","Pending"),"🔒 BLOCKED — Wrong Code")))</f>
        <v>Pending</v>
      </c>
      <c r="J183" s="86" t="str">
        <f t="shared" ca="1" si="17"/>
        <v>—</v>
      </c>
      <c r="K183" s="87"/>
    </row>
    <row r="184" spans="1:11" x14ac:dyDescent="0.25">
      <c r="A184" s="88"/>
      <c r="B184" s="25" t="str">
        <f>IF(A184="","",IFERROR(VLOOKUP(A184,DB_Customers!$A:$D,4,0),"❌ Account Not Found"))</f>
        <v/>
      </c>
      <c r="C184" s="89" t="str">
        <f>IF(A184="","",IFERROR(VLOOKUP(A184,DB_Customers!$A:$N,14,0),""))</f>
        <v/>
      </c>
      <c r="D184" s="90" t="str">
        <f t="shared" ca="1" si="15"/>
        <v/>
      </c>
      <c r="E184" s="82"/>
      <c r="F184" s="91" t="str">
        <f t="shared" si="16"/>
        <v/>
      </c>
      <c r="G184" s="27"/>
      <c r="H184" s="84"/>
      <c r="I184" s="92" t="str">
        <f>IF(A184="","Pending",IF(H184="","⚠️ Enter Code",IF(IFERROR(VLOOKUP(G184,DB_Agents!$B:$I,8,0),"")=H184,IF(AND(A184&lt;&gt;"",E184&lt;&gt;""),"Saved","Pending"),"🔒 BLOCKED — Wrong Code")))</f>
        <v>Pending</v>
      </c>
      <c r="J184" s="93" t="str">
        <f t="shared" ca="1" si="17"/>
        <v>—</v>
      </c>
      <c r="K184" s="94"/>
    </row>
    <row r="185" spans="1:11" x14ac:dyDescent="0.25">
      <c r="A185" s="79"/>
      <c r="B185" s="21" t="str">
        <f>IF(A185="","",IFERROR(VLOOKUP(A185,DB_Customers!$A:$D,4,0),"❌ Account Not Found"))</f>
        <v/>
      </c>
      <c r="C185" s="80" t="str">
        <f>IF(A185="","",IFERROR(VLOOKUP(A185,DB_Customers!$A:$N,14,0),""))</f>
        <v/>
      </c>
      <c r="D185" s="81" t="str">
        <f t="shared" ca="1" si="15"/>
        <v/>
      </c>
      <c r="E185" s="82"/>
      <c r="F185" s="83" t="str">
        <f t="shared" si="16"/>
        <v/>
      </c>
      <c r="G185" s="23"/>
      <c r="H185" s="84"/>
      <c r="I185" s="85" t="str">
        <f>IF(A185="","Pending",IF(H185="","⚠️ Enter Code",IF(IFERROR(VLOOKUP(G185,DB_Agents!$B:$I,8,0),"")=H185,IF(AND(A185&lt;&gt;"",E185&lt;&gt;""),"Saved","Pending"),"🔒 BLOCKED — Wrong Code")))</f>
        <v>Pending</v>
      </c>
      <c r="J185" s="86" t="str">
        <f t="shared" ca="1" si="17"/>
        <v>—</v>
      </c>
      <c r="K185" s="87"/>
    </row>
    <row r="186" spans="1:11" x14ac:dyDescent="0.25">
      <c r="A186" s="88"/>
      <c r="B186" s="25" t="str">
        <f>IF(A186="","",IFERROR(VLOOKUP(A186,DB_Customers!$A:$D,4,0),"❌ Account Not Found"))</f>
        <v/>
      </c>
      <c r="C186" s="89" t="str">
        <f>IF(A186="","",IFERROR(VLOOKUP(A186,DB_Customers!$A:$N,14,0),""))</f>
        <v/>
      </c>
      <c r="D186" s="90" t="str">
        <f t="shared" ca="1" si="15"/>
        <v/>
      </c>
      <c r="E186" s="82"/>
      <c r="F186" s="91" t="str">
        <f t="shared" si="16"/>
        <v/>
      </c>
      <c r="G186" s="27"/>
      <c r="H186" s="84"/>
      <c r="I186" s="92" t="str">
        <f>IF(A186="","Pending",IF(H186="","⚠️ Enter Code",IF(IFERROR(VLOOKUP(G186,DB_Agents!$B:$I,8,0),"")=H186,IF(AND(A186&lt;&gt;"",E186&lt;&gt;""),"Saved","Pending"),"🔒 BLOCKED — Wrong Code")))</f>
        <v>Pending</v>
      </c>
      <c r="J186" s="93" t="str">
        <f t="shared" ca="1" si="17"/>
        <v>—</v>
      </c>
      <c r="K186" s="94"/>
    </row>
    <row r="187" spans="1:11" x14ac:dyDescent="0.25">
      <c r="A187" s="79"/>
      <c r="B187" s="21" t="str">
        <f>IF(A187="","",IFERROR(VLOOKUP(A187,DB_Customers!$A:$D,4,0),"❌ Account Not Found"))</f>
        <v/>
      </c>
      <c r="C187" s="80" t="str">
        <f>IF(A187="","",IFERROR(VLOOKUP(A187,DB_Customers!$A:$N,14,0),""))</f>
        <v/>
      </c>
      <c r="D187" s="81" t="str">
        <f t="shared" ca="1" si="15"/>
        <v/>
      </c>
      <c r="E187" s="82"/>
      <c r="F187" s="83" t="str">
        <f t="shared" si="16"/>
        <v/>
      </c>
      <c r="G187" s="23"/>
      <c r="H187" s="84"/>
      <c r="I187" s="85" t="str">
        <f>IF(A187="","Pending",IF(H187="","⚠️ Enter Code",IF(IFERROR(VLOOKUP(G187,DB_Agents!$B:$I,8,0),"")=H187,IF(AND(A187&lt;&gt;"",E187&lt;&gt;""),"Saved","Pending"),"🔒 BLOCKED — Wrong Code")))</f>
        <v>Pending</v>
      </c>
      <c r="J187" s="86" t="str">
        <f t="shared" ca="1" si="17"/>
        <v>—</v>
      </c>
      <c r="K187" s="87"/>
    </row>
    <row r="188" spans="1:11" x14ac:dyDescent="0.25">
      <c r="A188" s="88"/>
      <c r="B188" s="25" t="str">
        <f>IF(A188="","",IFERROR(VLOOKUP(A188,DB_Customers!$A:$D,4,0),"❌ Account Not Found"))</f>
        <v/>
      </c>
      <c r="C188" s="89" t="str">
        <f>IF(A188="","",IFERROR(VLOOKUP(A188,DB_Customers!$A:$N,14,0),""))</f>
        <v/>
      </c>
      <c r="D188" s="90" t="str">
        <f t="shared" ca="1" si="15"/>
        <v/>
      </c>
      <c r="E188" s="82"/>
      <c r="F188" s="91" t="str">
        <f t="shared" si="16"/>
        <v/>
      </c>
      <c r="G188" s="27"/>
      <c r="H188" s="84"/>
      <c r="I188" s="92" t="str">
        <f>IF(A188="","Pending",IF(H188="","⚠️ Enter Code",IF(IFERROR(VLOOKUP(G188,DB_Agents!$B:$I,8,0),"")=H188,IF(AND(A188&lt;&gt;"",E188&lt;&gt;""),"Saved","Pending"),"🔒 BLOCKED — Wrong Code")))</f>
        <v>Pending</v>
      </c>
      <c r="J188" s="93" t="str">
        <f t="shared" ca="1" si="17"/>
        <v>—</v>
      </c>
      <c r="K188" s="94"/>
    </row>
    <row r="189" spans="1:11" x14ac:dyDescent="0.25">
      <c r="A189" s="79"/>
      <c r="B189" s="21" t="str">
        <f>IF(A189="","",IFERROR(VLOOKUP(A189,DB_Customers!$A:$D,4,0),"❌ Account Not Found"))</f>
        <v/>
      </c>
      <c r="C189" s="80" t="str">
        <f>IF(A189="","",IFERROR(VLOOKUP(A189,DB_Customers!$A:$N,14,0),""))</f>
        <v/>
      </c>
      <c r="D189" s="81" t="str">
        <f t="shared" ca="1" si="15"/>
        <v/>
      </c>
      <c r="E189" s="82"/>
      <c r="F189" s="83" t="str">
        <f t="shared" si="16"/>
        <v/>
      </c>
      <c r="G189" s="23"/>
      <c r="H189" s="84"/>
      <c r="I189" s="85" t="str">
        <f>IF(A189="","Pending",IF(H189="","⚠️ Enter Code",IF(IFERROR(VLOOKUP(G189,DB_Agents!$B:$I,8,0),"")=H189,IF(AND(A189&lt;&gt;"",E189&lt;&gt;""),"Saved","Pending"),"🔒 BLOCKED — Wrong Code")))</f>
        <v>Pending</v>
      </c>
      <c r="J189" s="86" t="str">
        <f t="shared" ca="1" si="17"/>
        <v>—</v>
      </c>
      <c r="K189" s="87"/>
    </row>
    <row r="190" spans="1:11" x14ac:dyDescent="0.25">
      <c r="A190" s="88"/>
      <c r="B190" s="25" t="str">
        <f>IF(A190="","",IFERROR(VLOOKUP(A190,DB_Customers!$A:$D,4,0),"❌ Account Not Found"))</f>
        <v/>
      </c>
      <c r="C190" s="89" t="str">
        <f>IF(A190="","",IFERROR(VLOOKUP(A190,DB_Customers!$A:$N,14,0),""))</f>
        <v/>
      </c>
      <c r="D190" s="90" t="str">
        <f t="shared" ca="1" si="15"/>
        <v/>
      </c>
      <c r="E190" s="82"/>
      <c r="F190" s="91" t="str">
        <f t="shared" si="16"/>
        <v/>
      </c>
      <c r="G190" s="27"/>
      <c r="H190" s="84"/>
      <c r="I190" s="92" t="str">
        <f>IF(A190="","Pending",IF(H190="","⚠️ Enter Code",IF(IFERROR(VLOOKUP(G190,DB_Agents!$B:$I,8,0),"")=H190,IF(AND(A190&lt;&gt;"",E190&lt;&gt;""),"Saved","Pending"),"🔒 BLOCKED — Wrong Code")))</f>
        <v>Pending</v>
      </c>
      <c r="J190" s="93" t="str">
        <f t="shared" ca="1" si="17"/>
        <v>—</v>
      </c>
      <c r="K190" s="94"/>
    </row>
    <row r="191" spans="1:11" x14ac:dyDescent="0.25">
      <c r="A191" s="79"/>
      <c r="B191" s="21" t="str">
        <f>IF(A191="","",IFERROR(VLOOKUP(A191,DB_Customers!$A:$D,4,0),"❌ Account Not Found"))</f>
        <v/>
      </c>
      <c r="C191" s="80" t="str">
        <f>IF(A191="","",IFERROR(VLOOKUP(A191,DB_Customers!$A:$N,14,0),""))</f>
        <v/>
      </c>
      <c r="D191" s="81" t="str">
        <f t="shared" ca="1" si="15"/>
        <v/>
      </c>
      <c r="E191" s="82"/>
      <c r="F191" s="83" t="str">
        <f t="shared" si="16"/>
        <v/>
      </c>
      <c r="G191" s="23"/>
      <c r="H191" s="84"/>
      <c r="I191" s="85" t="str">
        <f>IF(A191="","Pending",IF(H191="","⚠️ Enter Code",IF(IFERROR(VLOOKUP(G191,DB_Agents!$B:$I,8,0),"")=H191,IF(AND(A191&lt;&gt;"",E191&lt;&gt;""),"Saved","Pending"),"🔒 BLOCKED — Wrong Code")))</f>
        <v>Pending</v>
      </c>
      <c r="J191" s="86" t="str">
        <f t="shared" ca="1" si="17"/>
        <v>—</v>
      </c>
      <c r="K191" s="87"/>
    </row>
    <row r="192" spans="1:11" x14ac:dyDescent="0.25">
      <c r="A192" s="88"/>
      <c r="B192" s="25" t="str">
        <f>IF(A192="","",IFERROR(VLOOKUP(A192,DB_Customers!$A:$D,4,0),"❌ Account Not Found"))</f>
        <v/>
      </c>
      <c r="C192" s="89" t="str">
        <f>IF(A192="","",IFERROR(VLOOKUP(A192,DB_Customers!$A:$N,14,0),""))</f>
        <v/>
      </c>
      <c r="D192" s="90" t="str">
        <f t="shared" ca="1" si="15"/>
        <v/>
      </c>
      <c r="E192" s="82"/>
      <c r="F192" s="91" t="str">
        <f t="shared" si="16"/>
        <v/>
      </c>
      <c r="G192" s="27"/>
      <c r="H192" s="84"/>
      <c r="I192" s="92" t="str">
        <f>IF(A192="","Pending",IF(H192="","⚠️ Enter Code",IF(IFERROR(VLOOKUP(G192,DB_Agents!$B:$I,8,0),"")=H192,IF(AND(A192&lt;&gt;"",E192&lt;&gt;""),"Saved","Pending"),"🔒 BLOCKED — Wrong Code")))</f>
        <v>Pending</v>
      </c>
      <c r="J192" s="93" t="str">
        <f t="shared" ca="1" si="17"/>
        <v>—</v>
      </c>
      <c r="K192" s="94"/>
    </row>
    <row r="193" spans="1:11" x14ac:dyDescent="0.25">
      <c r="A193" s="79"/>
      <c r="B193" s="21" t="str">
        <f>IF(A193="","",IFERROR(VLOOKUP(A193,DB_Customers!$A:$D,4,0),"❌ Account Not Found"))</f>
        <v/>
      </c>
      <c r="C193" s="80" t="str">
        <f>IF(A193="","",IFERROR(VLOOKUP(A193,DB_Customers!$A:$N,14,0),""))</f>
        <v/>
      </c>
      <c r="D193" s="81" t="str">
        <f t="shared" ca="1" si="15"/>
        <v/>
      </c>
      <c r="E193" s="82"/>
      <c r="F193" s="83" t="str">
        <f t="shared" si="16"/>
        <v/>
      </c>
      <c r="G193" s="23"/>
      <c r="H193" s="84"/>
      <c r="I193" s="85" t="str">
        <f>IF(A193="","Pending",IF(H193="","⚠️ Enter Code",IF(IFERROR(VLOOKUP(G193,DB_Agents!$B:$I,8,0),"")=H193,IF(AND(A193&lt;&gt;"",E193&lt;&gt;""),"Saved","Pending"),"🔒 BLOCKED — Wrong Code")))</f>
        <v>Pending</v>
      </c>
      <c r="J193" s="86" t="str">
        <f t="shared" ca="1" si="17"/>
        <v>—</v>
      </c>
      <c r="K193" s="87"/>
    </row>
    <row r="194" spans="1:11" x14ac:dyDescent="0.25">
      <c r="A194" s="88"/>
      <c r="B194" s="25" t="str">
        <f>IF(A194="","",IFERROR(VLOOKUP(A194,DB_Customers!$A:$D,4,0),"❌ Account Not Found"))</f>
        <v/>
      </c>
      <c r="C194" s="89" t="str">
        <f>IF(A194="","",IFERROR(VLOOKUP(A194,DB_Customers!$A:$N,14,0),""))</f>
        <v/>
      </c>
      <c r="D194" s="90" t="str">
        <f t="shared" ca="1" si="15"/>
        <v/>
      </c>
      <c r="E194" s="82"/>
      <c r="F194" s="91" t="str">
        <f t="shared" si="16"/>
        <v/>
      </c>
      <c r="G194" s="27"/>
      <c r="H194" s="84"/>
      <c r="I194" s="92" t="str">
        <f>IF(A194="","Pending",IF(H194="","⚠️ Enter Code",IF(IFERROR(VLOOKUP(G194,DB_Agents!$B:$I,8,0),"")=H194,IF(AND(A194&lt;&gt;"",E194&lt;&gt;""),"Saved","Pending"),"🔒 BLOCKED — Wrong Code")))</f>
        <v>Pending</v>
      </c>
      <c r="J194" s="93" t="str">
        <f t="shared" ca="1" si="17"/>
        <v>—</v>
      </c>
      <c r="K194" s="94"/>
    </row>
    <row r="195" spans="1:11" x14ac:dyDescent="0.25">
      <c r="A195" s="79"/>
      <c r="B195" s="21" t="str">
        <f>IF(A195="","",IFERROR(VLOOKUP(A195,DB_Customers!$A:$D,4,0),"❌ Account Not Found"))</f>
        <v/>
      </c>
      <c r="C195" s="80" t="str">
        <f>IF(A195="","",IFERROR(VLOOKUP(A195,DB_Customers!$A:$N,14,0),""))</f>
        <v/>
      </c>
      <c r="D195" s="81" t="str">
        <f t="shared" ca="1" si="15"/>
        <v/>
      </c>
      <c r="E195" s="82"/>
      <c r="F195" s="83" t="str">
        <f t="shared" si="16"/>
        <v/>
      </c>
      <c r="G195" s="23"/>
      <c r="H195" s="84"/>
      <c r="I195" s="85" t="str">
        <f>IF(A195="","Pending",IF(H195="","⚠️ Enter Code",IF(IFERROR(VLOOKUP(G195,DB_Agents!$B:$I,8,0),"")=H195,IF(AND(A195&lt;&gt;"",E195&lt;&gt;""),"Saved","Pending"),"🔒 BLOCKED — Wrong Code")))</f>
        <v>Pending</v>
      </c>
      <c r="J195" s="86" t="str">
        <f t="shared" ca="1" si="17"/>
        <v>—</v>
      </c>
      <c r="K195" s="87"/>
    </row>
    <row r="196" spans="1:11" x14ac:dyDescent="0.25">
      <c r="A196" s="88"/>
      <c r="B196" s="25" t="str">
        <f>IF(A196="","",IFERROR(VLOOKUP(A196,DB_Customers!$A:$D,4,0),"❌ Account Not Found"))</f>
        <v/>
      </c>
      <c r="C196" s="89" t="str">
        <f>IF(A196="","",IFERROR(VLOOKUP(A196,DB_Customers!$A:$N,14,0),""))</f>
        <v/>
      </c>
      <c r="D196" s="90" t="str">
        <f t="shared" ca="1" si="15"/>
        <v/>
      </c>
      <c r="E196" s="82"/>
      <c r="F196" s="91" t="str">
        <f t="shared" si="16"/>
        <v/>
      </c>
      <c r="G196" s="27"/>
      <c r="H196" s="84"/>
      <c r="I196" s="92" t="str">
        <f>IF(A196="","Pending",IF(H196="","⚠️ Enter Code",IF(IFERROR(VLOOKUP(G196,DB_Agents!$B:$I,8,0),"")=H196,IF(AND(A196&lt;&gt;"",E196&lt;&gt;""),"Saved","Pending"),"🔒 BLOCKED — Wrong Code")))</f>
        <v>Pending</v>
      </c>
      <c r="J196" s="93" t="str">
        <f t="shared" ca="1" si="17"/>
        <v>—</v>
      </c>
      <c r="K196" s="94"/>
    </row>
    <row r="197" spans="1:11" x14ac:dyDescent="0.25">
      <c r="A197" s="79"/>
      <c r="B197" s="21" t="str">
        <f>IF(A197="","",IFERROR(VLOOKUP(A197,DB_Customers!$A:$D,4,0),"❌ Account Not Found"))</f>
        <v/>
      </c>
      <c r="C197" s="80" t="str">
        <f>IF(A197="","",IFERROR(VLOOKUP(A197,DB_Customers!$A:$N,14,0),""))</f>
        <v/>
      </c>
      <c r="D197" s="81" t="str">
        <f t="shared" ca="1" si="15"/>
        <v/>
      </c>
      <c r="E197" s="82"/>
      <c r="F197" s="83" t="str">
        <f t="shared" si="16"/>
        <v/>
      </c>
      <c r="G197" s="23"/>
      <c r="H197" s="84"/>
      <c r="I197" s="85" t="str">
        <f>IF(A197="","Pending",IF(H197="","⚠️ Enter Code",IF(IFERROR(VLOOKUP(G197,DB_Agents!$B:$I,8,0),"")=H197,IF(AND(A197&lt;&gt;"",E197&lt;&gt;""),"Saved","Pending"),"🔒 BLOCKED — Wrong Code")))</f>
        <v>Pending</v>
      </c>
      <c r="J197" s="86" t="str">
        <f t="shared" ca="1" si="17"/>
        <v>—</v>
      </c>
      <c r="K197" s="87"/>
    </row>
    <row r="198" spans="1:11" x14ac:dyDescent="0.25">
      <c r="A198" s="88"/>
      <c r="B198" s="25" t="str">
        <f>IF(A198="","",IFERROR(VLOOKUP(A198,DB_Customers!$A:$D,4,0),"❌ Account Not Found"))</f>
        <v/>
      </c>
      <c r="C198" s="89" t="str">
        <f>IF(A198="","",IFERROR(VLOOKUP(A198,DB_Customers!$A:$N,14,0),""))</f>
        <v/>
      </c>
      <c r="D198" s="90" t="str">
        <f t="shared" ca="1" si="15"/>
        <v/>
      </c>
      <c r="E198" s="82"/>
      <c r="F198" s="91" t="str">
        <f t="shared" si="16"/>
        <v/>
      </c>
      <c r="G198" s="27"/>
      <c r="H198" s="84"/>
      <c r="I198" s="92" t="str">
        <f>IF(A198="","Pending",IF(H198="","⚠️ Enter Code",IF(IFERROR(VLOOKUP(G198,DB_Agents!$B:$I,8,0),"")=H198,IF(AND(A198&lt;&gt;"",E198&lt;&gt;""),"Saved","Pending"),"🔒 BLOCKED — Wrong Code")))</f>
        <v>Pending</v>
      </c>
      <c r="J198" s="93" t="str">
        <f t="shared" ca="1" si="17"/>
        <v>—</v>
      </c>
      <c r="K198" s="94"/>
    </row>
    <row r="199" spans="1:11" x14ac:dyDescent="0.25">
      <c r="A199" s="79"/>
      <c r="B199" s="21" t="str">
        <f>IF(A199="","",IFERROR(VLOOKUP(A199,DB_Customers!$A:$D,4,0),"❌ Account Not Found"))</f>
        <v/>
      </c>
      <c r="C199" s="80" t="str">
        <f>IF(A199="","",IFERROR(VLOOKUP(A199,DB_Customers!$A:$N,14,0),""))</f>
        <v/>
      </c>
      <c r="D199" s="81" t="str">
        <f t="shared" ca="1" si="15"/>
        <v/>
      </c>
      <c r="E199" s="82"/>
      <c r="F199" s="83" t="str">
        <f t="shared" si="16"/>
        <v/>
      </c>
      <c r="G199" s="23"/>
      <c r="H199" s="84"/>
      <c r="I199" s="85" t="str">
        <f>IF(A199="","Pending",IF(H199="","⚠️ Enter Code",IF(IFERROR(VLOOKUP(G199,DB_Agents!$B:$I,8,0),"")=H199,IF(AND(A199&lt;&gt;"",E199&lt;&gt;""),"Saved","Pending"),"🔒 BLOCKED — Wrong Code")))</f>
        <v>Pending</v>
      </c>
      <c r="J199" s="86" t="str">
        <f t="shared" ca="1" si="17"/>
        <v>—</v>
      </c>
      <c r="K199" s="87"/>
    </row>
    <row r="200" spans="1:11" x14ac:dyDescent="0.25">
      <c r="A200" s="88"/>
      <c r="B200" s="25" t="str">
        <f>IF(A200="","",IFERROR(VLOOKUP(A200,DB_Customers!$A:$D,4,0),"❌ Account Not Found"))</f>
        <v/>
      </c>
      <c r="C200" s="89" t="str">
        <f>IF(A200="","",IFERROR(VLOOKUP(A200,DB_Customers!$A:$N,14,0),""))</f>
        <v/>
      </c>
      <c r="D200" s="90" t="str">
        <f t="shared" ca="1" si="15"/>
        <v/>
      </c>
      <c r="E200" s="82"/>
      <c r="F200" s="91" t="str">
        <f t="shared" si="16"/>
        <v/>
      </c>
      <c r="G200" s="27"/>
      <c r="H200" s="84"/>
      <c r="I200" s="92" t="str">
        <f>IF(A200="","Pending",IF(H200="","⚠️ Enter Code",IF(IFERROR(VLOOKUP(G200,DB_Agents!$B:$I,8,0),"")=H200,IF(AND(A200&lt;&gt;"",E200&lt;&gt;""),"Saved","Pending"),"🔒 BLOCKED — Wrong Code")))</f>
        <v>Pending</v>
      </c>
      <c r="J200" s="93" t="str">
        <f t="shared" ca="1" si="17"/>
        <v>—</v>
      </c>
      <c r="K200" s="94"/>
    </row>
    <row r="201" spans="1:11" x14ac:dyDescent="0.25">
      <c r="A201" s="79"/>
      <c r="B201" s="21" t="str">
        <f>IF(A201="","",IFERROR(VLOOKUP(A201,DB_Customers!$A:$D,4,0),"❌ Account Not Found"))</f>
        <v/>
      </c>
      <c r="C201" s="80" t="str">
        <f>IF(A201="","",IFERROR(VLOOKUP(A201,DB_Customers!$A:$N,14,0),""))</f>
        <v/>
      </c>
      <c r="D201" s="81" t="str">
        <f t="shared" ref="D201:D208" ca="1" si="18">IF(A201="","",TODAY())</f>
        <v/>
      </c>
      <c r="E201" s="82"/>
      <c r="F201" s="83" t="str">
        <f t="shared" ref="F201:F232" si="19">IF(OR(A201="",E201=""),"",IF(C201="","",C201+E201))</f>
        <v/>
      </c>
      <c r="G201" s="23"/>
      <c r="H201" s="84"/>
      <c r="I201" s="85" t="str">
        <f>IF(A201="","Pending",IF(H201="","⚠️ Enter Code",IF(IFERROR(VLOOKUP(G201,DB_Agents!$B:$I,8,0),"")=H201,IF(AND(A201&lt;&gt;"",E201&lt;&gt;""),"Saved","Pending"),"🔒 BLOCKED — Wrong Code")))</f>
        <v>Pending</v>
      </c>
      <c r="J201" s="86" t="str">
        <f t="shared" ref="J201:J232" ca="1" si="20">IF(I201="Saved",TEXT(TODAY(),"YYYY-MM-DD")&amp;" Auto","—")</f>
        <v>—</v>
      </c>
      <c r="K201" s="87"/>
    </row>
    <row r="202" spans="1:11" x14ac:dyDescent="0.25">
      <c r="A202" s="88"/>
      <c r="B202" s="25" t="str">
        <f>IF(A202="","",IFERROR(VLOOKUP(A202,DB_Customers!$A:$D,4,0),"❌ Account Not Found"))</f>
        <v/>
      </c>
      <c r="C202" s="89" t="str">
        <f>IF(A202="","",IFERROR(VLOOKUP(A202,DB_Customers!$A:$N,14,0),""))</f>
        <v/>
      </c>
      <c r="D202" s="90" t="str">
        <f t="shared" ca="1" si="18"/>
        <v/>
      </c>
      <c r="E202" s="82"/>
      <c r="F202" s="91" t="str">
        <f t="shared" si="19"/>
        <v/>
      </c>
      <c r="G202" s="27"/>
      <c r="H202" s="84"/>
      <c r="I202" s="92" t="str">
        <f>IF(A202="","Pending",IF(H202="","⚠️ Enter Code",IF(IFERROR(VLOOKUP(G202,DB_Agents!$B:$I,8,0),"")=H202,IF(AND(A202&lt;&gt;"",E202&lt;&gt;""),"Saved","Pending"),"🔒 BLOCKED — Wrong Code")))</f>
        <v>Pending</v>
      </c>
      <c r="J202" s="93" t="str">
        <f t="shared" ca="1" si="20"/>
        <v>—</v>
      </c>
      <c r="K202" s="94"/>
    </row>
    <row r="203" spans="1:11" x14ac:dyDescent="0.25">
      <c r="A203" s="79"/>
      <c r="B203" s="21" t="str">
        <f>IF(A203="","",IFERROR(VLOOKUP(A203,DB_Customers!$A:$D,4,0),"❌ Account Not Found"))</f>
        <v/>
      </c>
      <c r="C203" s="80" t="str">
        <f>IF(A203="","",IFERROR(VLOOKUP(A203,DB_Customers!$A:$N,14,0),""))</f>
        <v/>
      </c>
      <c r="D203" s="81" t="str">
        <f t="shared" ca="1" si="18"/>
        <v/>
      </c>
      <c r="E203" s="82"/>
      <c r="F203" s="83" t="str">
        <f t="shared" si="19"/>
        <v/>
      </c>
      <c r="G203" s="23"/>
      <c r="H203" s="84"/>
      <c r="I203" s="85" t="str">
        <f>IF(A203="","Pending",IF(H203="","⚠️ Enter Code",IF(IFERROR(VLOOKUP(G203,DB_Agents!$B:$I,8,0),"")=H203,IF(AND(A203&lt;&gt;"",E203&lt;&gt;""),"Saved","Pending"),"🔒 BLOCKED — Wrong Code")))</f>
        <v>Pending</v>
      </c>
      <c r="J203" s="86" t="str">
        <f t="shared" ca="1" si="20"/>
        <v>—</v>
      </c>
      <c r="K203" s="87"/>
    </row>
    <row r="204" spans="1:11" x14ac:dyDescent="0.25">
      <c r="A204" s="88"/>
      <c r="B204" s="25" t="str">
        <f>IF(A204="","",IFERROR(VLOOKUP(A204,DB_Customers!$A:$D,4,0),"❌ Account Not Found"))</f>
        <v/>
      </c>
      <c r="C204" s="89" t="str">
        <f>IF(A204="","",IFERROR(VLOOKUP(A204,DB_Customers!$A:$N,14,0),""))</f>
        <v/>
      </c>
      <c r="D204" s="90" t="str">
        <f t="shared" ca="1" si="18"/>
        <v/>
      </c>
      <c r="E204" s="82"/>
      <c r="F204" s="91" t="str">
        <f t="shared" si="19"/>
        <v/>
      </c>
      <c r="G204" s="27"/>
      <c r="H204" s="84"/>
      <c r="I204" s="92" t="str">
        <f>IF(A204="","Pending",IF(H204="","⚠️ Enter Code",IF(IFERROR(VLOOKUP(G204,DB_Agents!$B:$I,8,0),"")=H204,IF(AND(A204&lt;&gt;"",E204&lt;&gt;""),"Saved","Pending"),"🔒 BLOCKED — Wrong Code")))</f>
        <v>Pending</v>
      </c>
      <c r="J204" s="93" t="str">
        <f t="shared" ca="1" si="20"/>
        <v>—</v>
      </c>
      <c r="K204" s="94"/>
    </row>
    <row r="205" spans="1:11" x14ac:dyDescent="0.25">
      <c r="A205" s="79"/>
      <c r="B205" s="21" t="str">
        <f>IF(A205="","",IFERROR(VLOOKUP(A205,DB_Customers!$A:$D,4,0),"❌ Account Not Found"))</f>
        <v/>
      </c>
      <c r="C205" s="80" t="str">
        <f>IF(A205="","",IFERROR(VLOOKUP(A205,DB_Customers!$A:$N,14,0),""))</f>
        <v/>
      </c>
      <c r="D205" s="81" t="str">
        <f t="shared" ca="1" si="18"/>
        <v/>
      </c>
      <c r="E205" s="82"/>
      <c r="F205" s="83" t="str">
        <f t="shared" si="19"/>
        <v/>
      </c>
      <c r="G205" s="23"/>
      <c r="H205" s="84"/>
      <c r="I205" s="85" t="str">
        <f>IF(A205="","Pending",IF(H205="","⚠️ Enter Code",IF(IFERROR(VLOOKUP(G205,DB_Agents!$B:$I,8,0),"")=H205,IF(AND(A205&lt;&gt;"",E205&lt;&gt;""),"Saved","Pending"),"🔒 BLOCKED — Wrong Code")))</f>
        <v>Pending</v>
      </c>
      <c r="J205" s="86" t="str">
        <f t="shared" ca="1" si="20"/>
        <v>—</v>
      </c>
      <c r="K205" s="87"/>
    </row>
    <row r="206" spans="1:11" x14ac:dyDescent="0.25">
      <c r="A206" s="88"/>
      <c r="B206" s="25" t="str">
        <f>IF(A206="","",IFERROR(VLOOKUP(A206,DB_Customers!$A:$D,4,0),"❌ Account Not Found"))</f>
        <v/>
      </c>
      <c r="C206" s="89" t="str">
        <f>IF(A206="","",IFERROR(VLOOKUP(A206,DB_Customers!$A:$N,14,0),""))</f>
        <v/>
      </c>
      <c r="D206" s="90" t="str">
        <f t="shared" ca="1" si="18"/>
        <v/>
      </c>
      <c r="E206" s="82"/>
      <c r="F206" s="91" t="str">
        <f t="shared" si="19"/>
        <v/>
      </c>
      <c r="G206" s="27"/>
      <c r="H206" s="84"/>
      <c r="I206" s="92" t="str">
        <f>IF(A206="","Pending",IF(H206="","⚠️ Enter Code",IF(IFERROR(VLOOKUP(G206,DB_Agents!$B:$I,8,0),"")=H206,IF(AND(A206&lt;&gt;"",E206&lt;&gt;""),"Saved","Pending"),"🔒 BLOCKED — Wrong Code")))</f>
        <v>Pending</v>
      </c>
      <c r="J206" s="93" t="str">
        <f t="shared" ca="1" si="20"/>
        <v>—</v>
      </c>
      <c r="K206" s="94"/>
    </row>
    <row r="207" spans="1:11" x14ac:dyDescent="0.25">
      <c r="A207" s="79"/>
      <c r="B207" s="21" t="str">
        <f>IF(A207="","",IFERROR(VLOOKUP(A207,DB_Customers!$A:$D,4,0),"❌ Account Not Found"))</f>
        <v/>
      </c>
      <c r="C207" s="80" t="str">
        <f>IF(A207="","",IFERROR(VLOOKUP(A207,DB_Customers!$A:$N,14,0),""))</f>
        <v/>
      </c>
      <c r="D207" s="81" t="str">
        <f t="shared" ca="1" si="18"/>
        <v/>
      </c>
      <c r="E207" s="82"/>
      <c r="F207" s="83" t="str">
        <f t="shared" si="19"/>
        <v/>
      </c>
      <c r="G207" s="23"/>
      <c r="H207" s="84"/>
      <c r="I207" s="85" t="str">
        <f>IF(A207="","Pending",IF(H207="","⚠️ Enter Code",IF(IFERROR(VLOOKUP(G207,DB_Agents!$B:$I,8,0),"")=H207,IF(AND(A207&lt;&gt;"",E207&lt;&gt;""),"Saved","Pending"),"🔒 BLOCKED — Wrong Code")))</f>
        <v>Pending</v>
      </c>
      <c r="J207" s="86" t="str">
        <f t="shared" ca="1" si="20"/>
        <v>—</v>
      </c>
      <c r="K207" s="87"/>
    </row>
    <row r="208" spans="1:11" x14ac:dyDescent="0.25">
      <c r="A208" s="88"/>
      <c r="B208" s="25" t="str">
        <f>IF(A208="","",IFERROR(VLOOKUP(A208,DB_Customers!$A:$D,4,0),"❌ Account Not Found"))</f>
        <v/>
      </c>
      <c r="C208" s="89" t="str">
        <f>IF(A208="","",IFERROR(VLOOKUP(A208,DB_Customers!$A:$N,14,0),""))</f>
        <v/>
      </c>
      <c r="D208" s="90" t="str">
        <f t="shared" ca="1" si="18"/>
        <v/>
      </c>
      <c r="E208" s="82"/>
      <c r="F208" s="91" t="str">
        <f t="shared" si="19"/>
        <v/>
      </c>
      <c r="G208" s="27"/>
      <c r="H208" s="84"/>
      <c r="I208" s="92" t="str">
        <f>IF(A208="","Pending",IF(H208="","⚠️ Enter Code",IF(IFERROR(VLOOKUP(G208,DB_Agents!$B:$I,8,0),"")=H208,IF(AND(A208&lt;&gt;"",E208&lt;&gt;""),"Saved","Pending"),"🔒 BLOCKED — Wrong Code")))</f>
        <v>Pending</v>
      </c>
      <c r="J208" s="93" t="str">
        <f t="shared" ca="1" si="20"/>
        <v>—</v>
      </c>
      <c r="K208" s="94"/>
    </row>
  </sheetData>
  <mergeCells count="12">
    <mergeCell ref="A7:L7"/>
    <mergeCell ref="A4:C4"/>
    <mergeCell ref="D4:F4"/>
    <mergeCell ref="G4:I4"/>
    <mergeCell ref="J4:L4"/>
    <mergeCell ref="A5:L5"/>
    <mergeCell ref="A1:L1"/>
    <mergeCell ref="A2:L2"/>
    <mergeCell ref="A3:C3"/>
    <mergeCell ref="D3:F3"/>
    <mergeCell ref="G3:I3"/>
    <mergeCell ref="J3:L3"/>
  </mergeCells>
  <conditionalFormatting sqref="H9:H208">
    <cfRule type="cellIs" dxfId="12" priority="2" operator="equal">
      <formula>"Saved"</formula>
    </cfRule>
    <cfRule type="cellIs" dxfId="11" priority="3" operator="equal">
      <formula>"Pending"</formula>
    </cfRule>
  </conditionalFormatting>
  <conditionalFormatting sqref="A9:J208">
    <cfRule type="expression" dxfId="10" priority="4">
      <formula>$H9="Saved"</formula>
    </cfRule>
  </conditionalFormatting>
  <dataValidations count="2">
    <dataValidation type="decimal" operator="greaterThan" showErrorMessage="1" error="Must be &gt; 0" sqref="E9:E208" xr:uid="{00000000-0002-0000-2000-000000000000}">
      <formula1>0</formula1>
      <formula2>0</formula2>
    </dataValidation>
    <dataValidation type="list" sqref="G9:G208" xr:uid="{00000000-0002-0000-20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tabColor rgb="FFC0392B"/>
  </sheetPr>
  <dimension ref="A1:M208"/>
  <sheetViews>
    <sheetView zoomScaleNormal="100" workbookViewId="0">
      <pane ySplit="8" topLeftCell="A9" activePane="bottomLeft" state="frozen"/>
      <selection pane="bottomLeft"/>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5" customWidth="1"/>
    <col min="8" max="8" width="12" customWidth="1"/>
    <col min="9" max="9" width="14" customWidth="1"/>
    <col min="10" max="10" width="22" customWidth="1"/>
    <col min="11" max="11" width="20" customWidth="1"/>
  </cols>
  <sheetData>
    <row r="1" spans="1:13" ht="31.5" customHeight="1" x14ac:dyDescent="0.25">
      <c r="A1" s="210" t="s">
        <v>237</v>
      </c>
      <c r="B1" s="210"/>
      <c r="C1" s="210"/>
      <c r="D1" s="210"/>
      <c r="E1" s="210"/>
      <c r="F1" s="210"/>
      <c r="G1" s="210"/>
      <c r="H1" s="210"/>
      <c r="I1" s="210"/>
      <c r="J1" s="210"/>
      <c r="K1" s="210"/>
      <c r="L1" s="210"/>
      <c r="M1" s="210"/>
    </row>
    <row r="2" spans="1:13" ht="19.5" customHeight="1" x14ac:dyDescent="0.25">
      <c r="A2" s="211" t="s">
        <v>238</v>
      </c>
      <c r="B2" s="211"/>
      <c r="C2" s="211"/>
      <c r="D2" s="211"/>
      <c r="E2" s="211"/>
      <c r="F2" s="211"/>
      <c r="G2" s="211"/>
      <c r="H2" s="211"/>
      <c r="I2" s="211"/>
      <c r="J2" s="211"/>
      <c r="K2" s="211"/>
      <c r="L2" s="211"/>
      <c r="M2" s="211"/>
    </row>
    <row r="3" spans="1:13" ht="18" customHeight="1" x14ac:dyDescent="0.25">
      <c r="A3" s="178" t="s">
        <v>180</v>
      </c>
      <c r="B3" s="178"/>
      <c r="C3" s="178"/>
      <c r="D3" s="177" t="s">
        <v>181</v>
      </c>
      <c r="E3" s="177"/>
      <c r="F3" s="177"/>
      <c r="G3" s="19" t="s">
        <v>182</v>
      </c>
      <c r="K3" s="48" t="s">
        <v>169</v>
      </c>
    </row>
    <row r="4" spans="1:13" ht="27.75" customHeight="1" x14ac:dyDescent="0.25">
      <c r="A4" s="212">
        <f ca="1">SUMIFS(DB_Withdrawals!$G:$G,DB_Withdrawals!$J:$J,"Agent 10",DB_Withdrawals!$F:$F,TODAY())</f>
        <v>0</v>
      </c>
      <c r="B4" s="212"/>
      <c r="C4" s="212"/>
      <c r="D4" s="213">
        <f ca="1">COUNTIFS(DB_Withdrawals!$J:$J,"Agent 10",DB_Withdrawals!$K:$K,"Successful",DB_Withdrawals!$F:$F,TODAY())</f>
        <v>0</v>
      </c>
      <c r="E4" s="213"/>
      <c r="F4" s="213"/>
      <c r="G4" s="95">
        <f ca="1">COUNTIFS(DB_Withdrawals!$J:$J,"Agent 10",DB_Withdrawals!$K:$K,"Unsuccessful",DB_Withdrawals!$F:$F,TODAY())</f>
        <v>0</v>
      </c>
      <c r="K4" s="77" t="str">
        <f ca="1">TEXT(TODAY(),"DD MMM YYYY")</f>
        <v>19 Apr 2026</v>
      </c>
    </row>
    <row r="5" spans="1:13" ht="19.5" customHeight="1" x14ac:dyDescent="0.25">
      <c r="A5" s="214" t="s">
        <v>183</v>
      </c>
      <c r="B5" s="214"/>
      <c r="C5" s="214"/>
      <c r="D5" s="214"/>
      <c r="E5" s="214"/>
      <c r="F5" s="214"/>
      <c r="G5" s="214"/>
      <c r="H5" s="214"/>
      <c r="I5" s="214"/>
      <c r="J5" s="214"/>
      <c r="K5" s="214"/>
      <c r="L5" s="214"/>
      <c r="M5" s="214"/>
    </row>
    <row r="6" spans="1:13" ht="7.5" customHeight="1" x14ac:dyDescent="0.25"/>
    <row r="7" spans="1:13" ht="19.5" customHeight="1" x14ac:dyDescent="0.25">
      <c r="A7" s="215" t="s">
        <v>184</v>
      </c>
      <c r="B7" s="215"/>
      <c r="C7" s="215"/>
      <c r="D7" s="215"/>
      <c r="E7" s="215"/>
      <c r="F7" s="215"/>
      <c r="G7" s="215"/>
      <c r="H7" s="215"/>
      <c r="I7" s="215"/>
      <c r="J7" s="215"/>
      <c r="K7" s="215"/>
      <c r="L7" s="215"/>
      <c r="M7" s="215"/>
    </row>
    <row r="8" spans="1:13" ht="19.5" customHeight="1" x14ac:dyDescent="0.25">
      <c r="A8" s="96" t="s">
        <v>171</v>
      </c>
      <c r="B8" s="96" t="s">
        <v>118</v>
      </c>
      <c r="C8" s="96" t="s">
        <v>185</v>
      </c>
      <c r="D8" s="96" t="s">
        <v>111</v>
      </c>
      <c r="E8" s="96" t="s">
        <v>186</v>
      </c>
      <c r="F8" s="96" t="s">
        <v>187</v>
      </c>
      <c r="G8" s="96" t="s">
        <v>174</v>
      </c>
      <c r="H8" s="96" t="s">
        <v>32</v>
      </c>
      <c r="I8" s="78" t="s">
        <v>175</v>
      </c>
      <c r="J8" s="96" t="s">
        <v>155</v>
      </c>
      <c r="K8" s="96" t="s">
        <v>176</v>
      </c>
      <c r="L8" s="96" t="s">
        <v>177</v>
      </c>
    </row>
    <row r="9" spans="1:13" x14ac:dyDescent="0.25">
      <c r="A9" s="79"/>
      <c r="B9" s="21" t="str">
        <f>IF(A9="","",IFERROR(VLOOKUP(A9,DB_Customers!$A:$D,4,0),"❌ Account Not Found"))</f>
        <v/>
      </c>
      <c r="C9" s="80" t="str">
        <f>IF(A9="","",IFERROR(VLOOKUP(A9,DB_Customers!$A:$N,14,0),""))</f>
        <v/>
      </c>
      <c r="D9" s="81" t="str">
        <f t="shared" ref="D9:D40" ca="1" si="0">IF(A9="","",TODAY())</f>
        <v/>
      </c>
      <c r="E9" s="97"/>
      <c r="F9" s="21"/>
      <c r="G9" s="98" t="str">
        <f t="shared" ref="G9:G40" si="1">IF(OR(A9="",E9=""),"",IF(C9="","",C9-E9))</f>
        <v/>
      </c>
      <c r="H9" s="23" t="s">
        <v>50</v>
      </c>
      <c r="I9" s="84"/>
      <c r="J9" s="85" t="str">
        <f>IF(AND(A9&lt;&gt;"",E9&lt;&gt;""),IF(I9="","⚠️ Enter Code",IF(IFERROR(VLOOKUP(H9,DB_Agents!$B:$I,8,0),"")=I9,IF(C9&gt;=E9,"Successful","Unsuccessful"),"🔒 BLOCKED — Wrong Code")),"—")</f>
        <v>—</v>
      </c>
      <c r="K9" s="86" t="str">
        <f t="shared" ref="K9:K40" ca="1" si="2">IF(J9="Successful",TEXT(TODAY(),"YYYY-MM-DD")&amp;" Auto","—")</f>
        <v>—</v>
      </c>
      <c r="L9" s="87"/>
    </row>
    <row r="10" spans="1:13" x14ac:dyDescent="0.25">
      <c r="A10" s="88"/>
      <c r="B10" s="25" t="str">
        <f>IF(A10="","",IFERROR(VLOOKUP(A10,DB_Customers!$A:$D,4,0),"❌ Account Not Found"))</f>
        <v/>
      </c>
      <c r="C10" s="89" t="str">
        <f>IF(A10="","",IFERROR(VLOOKUP(A10,DB_Customers!$A:$N,14,0),""))</f>
        <v/>
      </c>
      <c r="D10" s="90" t="str">
        <f t="shared" ca="1" si="0"/>
        <v/>
      </c>
      <c r="E10" s="97"/>
      <c r="F10" s="25"/>
      <c r="G10" s="99" t="str">
        <f t="shared" si="1"/>
        <v/>
      </c>
      <c r="H10" s="27" t="s">
        <v>50</v>
      </c>
      <c r="I10" s="84"/>
      <c r="J10" s="92" t="str">
        <f>IF(AND(A10&lt;&gt;"",E10&lt;&gt;""),IF(I10="","⚠️ Enter Code",IF(IFERROR(VLOOKUP(H10,DB_Agents!$B:$I,8,0),"")=I10,IF(C10&gt;=E10,"Successful","Unsuccessful"),"🔒 BLOCKED — Wrong Code")),"—")</f>
        <v>—</v>
      </c>
      <c r="K10" s="93" t="str">
        <f t="shared" ca="1" si="2"/>
        <v>—</v>
      </c>
      <c r="L10" s="94"/>
    </row>
    <row r="11" spans="1:13" x14ac:dyDescent="0.25">
      <c r="A11" s="79"/>
      <c r="B11" s="21" t="str">
        <f>IF(A11="","",IFERROR(VLOOKUP(A11,DB_Customers!$A:$D,4,0),"❌ Account Not Found"))</f>
        <v/>
      </c>
      <c r="C11" s="80" t="str">
        <f>IF(A11="","",IFERROR(VLOOKUP(A11,DB_Customers!$A:$N,14,0),""))</f>
        <v/>
      </c>
      <c r="D11" s="81" t="str">
        <f t="shared" ca="1" si="0"/>
        <v/>
      </c>
      <c r="E11" s="97"/>
      <c r="F11" s="21"/>
      <c r="G11" s="98" t="str">
        <f t="shared" si="1"/>
        <v/>
      </c>
      <c r="H11" s="23" t="s">
        <v>50</v>
      </c>
      <c r="I11" s="84"/>
      <c r="J11" s="85" t="str">
        <f>IF(AND(A11&lt;&gt;"",E11&lt;&gt;""),IF(I11="","⚠️ Enter Code",IF(IFERROR(VLOOKUP(H11,DB_Agents!$B:$I,8,0),"")=I11,IF(C11&gt;=E11,"Successful","Unsuccessful"),"🔒 BLOCKED — Wrong Code")),"—")</f>
        <v>—</v>
      </c>
      <c r="K11" s="86" t="str">
        <f t="shared" ca="1" si="2"/>
        <v>—</v>
      </c>
      <c r="L11" s="87"/>
    </row>
    <row r="12" spans="1:13" x14ac:dyDescent="0.25">
      <c r="A12" s="88"/>
      <c r="B12" s="25" t="str">
        <f>IF(A12="","",IFERROR(VLOOKUP(A12,DB_Customers!$A:$D,4,0),"❌ Account Not Found"))</f>
        <v/>
      </c>
      <c r="C12" s="89" t="str">
        <f>IF(A12="","",IFERROR(VLOOKUP(A12,DB_Customers!$A:$N,14,0),""))</f>
        <v/>
      </c>
      <c r="D12" s="90" t="str">
        <f t="shared" ca="1" si="0"/>
        <v/>
      </c>
      <c r="E12" s="97"/>
      <c r="F12" s="25"/>
      <c r="G12" s="99" t="str">
        <f t="shared" si="1"/>
        <v/>
      </c>
      <c r="H12" s="27" t="s">
        <v>50</v>
      </c>
      <c r="I12" s="84"/>
      <c r="J12" s="92" t="str">
        <f>IF(AND(A12&lt;&gt;"",E12&lt;&gt;""),IF(I12="","⚠️ Enter Code",IF(IFERROR(VLOOKUP(H12,DB_Agents!$B:$I,8,0),"")=I12,IF(C12&gt;=E12,"Successful","Unsuccessful"),"🔒 BLOCKED — Wrong Code")),"—")</f>
        <v>—</v>
      </c>
      <c r="K12" s="93" t="str">
        <f t="shared" ca="1" si="2"/>
        <v>—</v>
      </c>
      <c r="L12" s="94"/>
    </row>
    <row r="13" spans="1:13" x14ac:dyDescent="0.25">
      <c r="A13" s="79"/>
      <c r="B13" s="21" t="str">
        <f>IF(A13="","",IFERROR(VLOOKUP(A13,DB_Customers!$A:$D,4,0),"❌ Account Not Found"))</f>
        <v/>
      </c>
      <c r="C13" s="80" t="str">
        <f>IF(A13="","",IFERROR(VLOOKUP(A13,DB_Customers!$A:$N,14,0),""))</f>
        <v/>
      </c>
      <c r="D13" s="81" t="str">
        <f t="shared" ca="1" si="0"/>
        <v/>
      </c>
      <c r="E13" s="97"/>
      <c r="F13" s="21"/>
      <c r="G13" s="98" t="str">
        <f t="shared" si="1"/>
        <v/>
      </c>
      <c r="H13" s="23" t="s">
        <v>50</v>
      </c>
      <c r="I13" s="84"/>
      <c r="J13" s="85" t="str">
        <f>IF(AND(A13&lt;&gt;"",E13&lt;&gt;""),IF(I13="","⚠️ Enter Code",IF(IFERROR(VLOOKUP(H13,DB_Agents!$B:$I,8,0),"")=I13,IF(C13&gt;=E13,"Successful","Unsuccessful"),"🔒 BLOCKED — Wrong Code")),"—")</f>
        <v>—</v>
      </c>
      <c r="K13" s="86" t="str">
        <f t="shared" ca="1" si="2"/>
        <v>—</v>
      </c>
      <c r="L13" s="87"/>
    </row>
    <row r="14" spans="1:13" x14ac:dyDescent="0.25">
      <c r="A14" s="88"/>
      <c r="B14" s="25" t="str">
        <f>IF(A14="","",IFERROR(VLOOKUP(A14,DB_Customers!$A:$D,4,0),"❌ Account Not Found"))</f>
        <v/>
      </c>
      <c r="C14" s="89" t="str">
        <f>IF(A14="","",IFERROR(VLOOKUP(A14,DB_Customers!$A:$N,14,0),""))</f>
        <v/>
      </c>
      <c r="D14" s="90" t="str">
        <f t="shared" ca="1" si="0"/>
        <v/>
      </c>
      <c r="E14" s="97"/>
      <c r="F14" s="25"/>
      <c r="G14" s="99" t="str">
        <f t="shared" si="1"/>
        <v/>
      </c>
      <c r="H14" s="27"/>
      <c r="I14" s="84"/>
      <c r="J14" s="92" t="str">
        <f>IF(AND(A14&lt;&gt;"",E14&lt;&gt;""),IF(I14="","⚠️ Enter Code",IF(IFERROR(VLOOKUP(H14,DB_Agents!$B:$I,8,0),"")=I14,IF(C14&gt;=E14,"Successful","Unsuccessful"),"🔒 BLOCKED — Wrong Code")),"—")</f>
        <v>—</v>
      </c>
      <c r="K14" s="93" t="str">
        <f t="shared" ca="1" si="2"/>
        <v>—</v>
      </c>
      <c r="L14" s="94"/>
    </row>
    <row r="15" spans="1:13" x14ac:dyDescent="0.25">
      <c r="A15" s="79"/>
      <c r="B15" s="21" t="str">
        <f>IF(A15="","",IFERROR(VLOOKUP(A15,DB_Customers!$A:$D,4,0),"❌ Account Not Found"))</f>
        <v/>
      </c>
      <c r="C15" s="80" t="str">
        <f>IF(A15="","",IFERROR(VLOOKUP(A15,DB_Customers!$A:$N,14,0),""))</f>
        <v/>
      </c>
      <c r="D15" s="81" t="str">
        <f t="shared" ca="1" si="0"/>
        <v/>
      </c>
      <c r="E15" s="97"/>
      <c r="F15" s="21"/>
      <c r="G15" s="98" t="str">
        <f t="shared" si="1"/>
        <v/>
      </c>
      <c r="H15" s="23"/>
      <c r="I15" s="84"/>
      <c r="J15" s="85" t="str">
        <f>IF(AND(A15&lt;&gt;"",E15&lt;&gt;""),IF(I15="","⚠️ Enter Code",IF(IFERROR(VLOOKUP(H15,DB_Agents!$B:$I,8,0),"")=I15,IF(C15&gt;=E15,"Successful","Unsuccessful"),"🔒 BLOCKED — Wrong Code")),"—")</f>
        <v>—</v>
      </c>
      <c r="K15" s="86" t="str">
        <f t="shared" ca="1" si="2"/>
        <v>—</v>
      </c>
      <c r="L15" s="87"/>
    </row>
    <row r="16" spans="1:13" x14ac:dyDescent="0.25">
      <c r="A16" s="88"/>
      <c r="B16" s="25" t="str">
        <f>IF(A16="","",IFERROR(VLOOKUP(A16,DB_Customers!$A:$D,4,0),"❌ Account Not Found"))</f>
        <v/>
      </c>
      <c r="C16" s="89" t="str">
        <f>IF(A16="","",IFERROR(VLOOKUP(A16,DB_Customers!$A:$N,14,0),""))</f>
        <v/>
      </c>
      <c r="D16" s="90" t="str">
        <f t="shared" ca="1" si="0"/>
        <v/>
      </c>
      <c r="E16" s="97"/>
      <c r="F16" s="25"/>
      <c r="G16" s="99" t="str">
        <f t="shared" si="1"/>
        <v/>
      </c>
      <c r="H16" s="27"/>
      <c r="I16" s="84"/>
      <c r="J16" s="92" t="str">
        <f>IF(AND(A16&lt;&gt;"",E16&lt;&gt;""),IF(I16="","⚠️ Enter Code",IF(IFERROR(VLOOKUP(H16,DB_Agents!$B:$I,8,0),"")=I16,IF(C16&gt;=E16,"Successful","Unsuccessful"),"🔒 BLOCKED — Wrong Code")),"—")</f>
        <v>—</v>
      </c>
      <c r="K16" s="93" t="str">
        <f t="shared" ca="1" si="2"/>
        <v>—</v>
      </c>
      <c r="L16" s="94"/>
    </row>
    <row r="17" spans="1:12" x14ac:dyDescent="0.25">
      <c r="A17" s="79"/>
      <c r="B17" s="21" t="str">
        <f>IF(A17="","",IFERROR(VLOOKUP(A17,DB_Customers!$A:$D,4,0),"❌ Account Not Found"))</f>
        <v/>
      </c>
      <c r="C17" s="80" t="str">
        <f>IF(A17="","",IFERROR(VLOOKUP(A17,DB_Customers!$A:$N,14,0),""))</f>
        <v/>
      </c>
      <c r="D17" s="81" t="str">
        <f t="shared" ca="1" si="0"/>
        <v/>
      </c>
      <c r="E17" s="97"/>
      <c r="F17" s="21"/>
      <c r="G17" s="98" t="str">
        <f t="shared" si="1"/>
        <v/>
      </c>
      <c r="H17" s="23"/>
      <c r="I17" s="84"/>
      <c r="J17" s="85" t="str">
        <f>IF(AND(A17&lt;&gt;"",E17&lt;&gt;""),IF(I17="","⚠️ Enter Code",IF(IFERROR(VLOOKUP(H17,DB_Agents!$B:$I,8,0),"")=I17,IF(C17&gt;=E17,"Successful","Unsuccessful"),"🔒 BLOCKED — Wrong Code")),"—")</f>
        <v>—</v>
      </c>
      <c r="K17" s="86" t="str">
        <f t="shared" ca="1" si="2"/>
        <v>—</v>
      </c>
      <c r="L17" s="87"/>
    </row>
    <row r="18" spans="1:12" x14ac:dyDescent="0.25">
      <c r="A18" s="88"/>
      <c r="B18" s="25" t="str">
        <f>IF(A18="","",IFERROR(VLOOKUP(A18,DB_Customers!$A:$D,4,0),"❌ Account Not Found"))</f>
        <v/>
      </c>
      <c r="C18" s="89" t="str">
        <f>IF(A18="","",IFERROR(VLOOKUP(A18,DB_Customers!$A:$N,14,0),""))</f>
        <v/>
      </c>
      <c r="D18" s="90" t="str">
        <f t="shared" ca="1" si="0"/>
        <v/>
      </c>
      <c r="E18" s="97"/>
      <c r="F18" s="25"/>
      <c r="G18" s="99" t="str">
        <f t="shared" si="1"/>
        <v/>
      </c>
      <c r="H18" s="27"/>
      <c r="I18" s="84"/>
      <c r="J18" s="92" t="str">
        <f>IF(AND(A18&lt;&gt;"",E18&lt;&gt;""),IF(I18="","⚠️ Enter Code",IF(IFERROR(VLOOKUP(H18,DB_Agents!$B:$I,8,0),"")=I18,IF(C18&gt;=E18,"Successful","Unsuccessful"),"🔒 BLOCKED — Wrong Code")),"—")</f>
        <v>—</v>
      </c>
      <c r="K18" s="93" t="str">
        <f t="shared" ca="1" si="2"/>
        <v>—</v>
      </c>
      <c r="L18" s="94"/>
    </row>
    <row r="19" spans="1:12" x14ac:dyDescent="0.25">
      <c r="A19" s="79"/>
      <c r="B19" s="21" t="str">
        <f>IF(A19="","",IFERROR(VLOOKUP(A19,DB_Customers!$A:$D,4,0),"❌ Account Not Found"))</f>
        <v/>
      </c>
      <c r="C19" s="80" t="str">
        <f>IF(A19="","",IFERROR(VLOOKUP(A19,DB_Customers!$A:$N,14,0),""))</f>
        <v/>
      </c>
      <c r="D19" s="81" t="str">
        <f t="shared" ca="1" si="0"/>
        <v/>
      </c>
      <c r="E19" s="97"/>
      <c r="F19" s="21"/>
      <c r="G19" s="98" t="str">
        <f t="shared" si="1"/>
        <v/>
      </c>
      <c r="H19" s="23"/>
      <c r="I19" s="84"/>
      <c r="J19" s="85" t="str">
        <f>IF(AND(A19&lt;&gt;"",E19&lt;&gt;""),IF(I19="","⚠️ Enter Code",IF(IFERROR(VLOOKUP(H19,DB_Agents!$B:$I,8,0),"")=I19,IF(C19&gt;=E19,"Successful","Unsuccessful"),"🔒 BLOCKED — Wrong Code")),"—")</f>
        <v>—</v>
      </c>
      <c r="K19" s="86" t="str">
        <f t="shared" ca="1" si="2"/>
        <v>—</v>
      </c>
      <c r="L19" s="87"/>
    </row>
    <row r="20" spans="1:12" x14ac:dyDescent="0.25">
      <c r="A20" s="88"/>
      <c r="B20" s="25" t="str">
        <f>IF(A20="","",IFERROR(VLOOKUP(A20,DB_Customers!$A:$D,4,0),"❌ Account Not Found"))</f>
        <v/>
      </c>
      <c r="C20" s="89" t="str">
        <f>IF(A20="","",IFERROR(VLOOKUP(A20,DB_Customers!$A:$N,14,0),""))</f>
        <v/>
      </c>
      <c r="D20" s="90" t="str">
        <f t="shared" ca="1" si="0"/>
        <v/>
      </c>
      <c r="E20" s="97"/>
      <c r="F20" s="25"/>
      <c r="G20" s="99" t="str">
        <f t="shared" si="1"/>
        <v/>
      </c>
      <c r="H20" s="27"/>
      <c r="I20" s="84"/>
      <c r="J20" s="92" t="str">
        <f>IF(AND(A20&lt;&gt;"",E20&lt;&gt;""),IF(I20="","⚠️ Enter Code",IF(IFERROR(VLOOKUP(H20,DB_Agents!$B:$I,8,0),"")=I20,IF(C20&gt;=E20,"Successful","Unsuccessful"),"🔒 BLOCKED — Wrong Code")),"—")</f>
        <v>—</v>
      </c>
      <c r="K20" s="93" t="str">
        <f t="shared" ca="1" si="2"/>
        <v>—</v>
      </c>
      <c r="L20" s="94"/>
    </row>
    <row r="21" spans="1:12" x14ac:dyDescent="0.25">
      <c r="A21" s="79"/>
      <c r="B21" s="21" t="str">
        <f>IF(A21="","",IFERROR(VLOOKUP(A21,DB_Customers!$A:$D,4,0),"❌ Account Not Found"))</f>
        <v/>
      </c>
      <c r="C21" s="80" t="str">
        <f>IF(A21="","",IFERROR(VLOOKUP(A21,DB_Customers!$A:$N,14,0),""))</f>
        <v/>
      </c>
      <c r="D21" s="81" t="str">
        <f t="shared" ca="1" si="0"/>
        <v/>
      </c>
      <c r="E21" s="97"/>
      <c r="F21" s="21"/>
      <c r="G21" s="98" t="str">
        <f t="shared" si="1"/>
        <v/>
      </c>
      <c r="H21" s="23"/>
      <c r="I21" s="84"/>
      <c r="J21" s="85" t="str">
        <f>IF(AND(A21&lt;&gt;"",E21&lt;&gt;""),IF(I21="","⚠️ Enter Code",IF(IFERROR(VLOOKUP(H21,DB_Agents!$B:$I,8,0),"")=I21,IF(C21&gt;=E21,"Successful","Unsuccessful"),"🔒 BLOCKED — Wrong Code")),"—")</f>
        <v>—</v>
      </c>
      <c r="K21" s="86" t="str">
        <f t="shared" ca="1" si="2"/>
        <v>—</v>
      </c>
      <c r="L21" s="87"/>
    </row>
    <row r="22" spans="1:12" x14ac:dyDescent="0.25">
      <c r="A22" s="88"/>
      <c r="B22" s="25" t="str">
        <f>IF(A22="","",IFERROR(VLOOKUP(A22,DB_Customers!$A:$D,4,0),"❌ Account Not Found"))</f>
        <v/>
      </c>
      <c r="C22" s="89" t="str">
        <f>IF(A22="","",IFERROR(VLOOKUP(A22,DB_Customers!$A:$N,14,0),""))</f>
        <v/>
      </c>
      <c r="D22" s="90" t="str">
        <f t="shared" ca="1" si="0"/>
        <v/>
      </c>
      <c r="E22" s="97"/>
      <c r="F22" s="25"/>
      <c r="G22" s="99" t="str">
        <f t="shared" si="1"/>
        <v/>
      </c>
      <c r="H22" s="27"/>
      <c r="I22" s="84"/>
      <c r="J22" s="92" t="str">
        <f>IF(AND(A22&lt;&gt;"",E22&lt;&gt;""),IF(I22="","⚠️ Enter Code",IF(IFERROR(VLOOKUP(H22,DB_Agents!$B:$I,8,0),"")=I22,IF(C22&gt;=E22,"Successful","Unsuccessful"),"🔒 BLOCKED — Wrong Code")),"—")</f>
        <v>—</v>
      </c>
      <c r="K22" s="93" t="str">
        <f t="shared" ca="1" si="2"/>
        <v>—</v>
      </c>
      <c r="L22" s="94"/>
    </row>
    <row r="23" spans="1:12" x14ac:dyDescent="0.25">
      <c r="A23" s="79"/>
      <c r="B23" s="21" t="str">
        <f>IF(A23="","",IFERROR(VLOOKUP(A23,DB_Customers!$A:$D,4,0),"❌ Account Not Found"))</f>
        <v/>
      </c>
      <c r="C23" s="80" t="str">
        <f>IF(A23="","",IFERROR(VLOOKUP(A23,DB_Customers!$A:$N,14,0),""))</f>
        <v/>
      </c>
      <c r="D23" s="81" t="str">
        <f t="shared" ca="1" si="0"/>
        <v/>
      </c>
      <c r="E23" s="97"/>
      <c r="F23" s="21"/>
      <c r="G23" s="98" t="str">
        <f t="shared" si="1"/>
        <v/>
      </c>
      <c r="H23" s="23"/>
      <c r="I23" s="84"/>
      <c r="J23" s="85" t="str">
        <f>IF(AND(A23&lt;&gt;"",E23&lt;&gt;""),IF(I23="","⚠️ Enter Code",IF(IFERROR(VLOOKUP(H23,DB_Agents!$B:$I,8,0),"")=I23,IF(C23&gt;=E23,"Successful","Unsuccessful"),"🔒 BLOCKED — Wrong Code")),"—")</f>
        <v>—</v>
      </c>
      <c r="K23" s="86" t="str">
        <f t="shared" ca="1" si="2"/>
        <v>—</v>
      </c>
      <c r="L23" s="87"/>
    </row>
    <row r="24" spans="1:12" x14ac:dyDescent="0.25">
      <c r="A24" s="88"/>
      <c r="B24" s="25" t="str">
        <f>IF(A24="","",IFERROR(VLOOKUP(A24,DB_Customers!$A:$D,4,0),"❌ Account Not Found"))</f>
        <v/>
      </c>
      <c r="C24" s="89" t="str">
        <f>IF(A24="","",IFERROR(VLOOKUP(A24,DB_Customers!$A:$N,14,0),""))</f>
        <v/>
      </c>
      <c r="D24" s="90" t="str">
        <f t="shared" ca="1" si="0"/>
        <v/>
      </c>
      <c r="E24" s="97"/>
      <c r="F24" s="25"/>
      <c r="G24" s="99" t="str">
        <f t="shared" si="1"/>
        <v/>
      </c>
      <c r="H24" s="27"/>
      <c r="I24" s="84"/>
      <c r="J24" s="92" t="str">
        <f>IF(AND(A24&lt;&gt;"",E24&lt;&gt;""),IF(I24="","⚠️ Enter Code",IF(IFERROR(VLOOKUP(H24,DB_Agents!$B:$I,8,0),"")=I24,IF(C24&gt;=E24,"Successful","Unsuccessful"),"🔒 BLOCKED — Wrong Code")),"—")</f>
        <v>—</v>
      </c>
      <c r="K24" s="93" t="str">
        <f t="shared" ca="1" si="2"/>
        <v>—</v>
      </c>
      <c r="L24" s="94"/>
    </row>
    <row r="25" spans="1:12" x14ac:dyDescent="0.25">
      <c r="A25" s="79"/>
      <c r="B25" s="21" t="str">
        <f>IF(A25="","",IFERROR(VLOOKUP(A25,DB_Customers!$A:$D,4,0),"❌ Account Not Found"))</f>
        <v/>
      </c>
      <c r="C25" s="80" t="str">
        <f>IF(A25="","",IFERROR(VLOOKUP(A25,DB_Customers!$A:$N,14,0),""))</f>
        <v/>
      </c>
      <c r="D25" s="81" t="str">
        <f t="shared" ca="1" si="0"/>
        <v/>
      </c>
      <c r="E25" s="97"/>
      <c r="F25" s="21"/>
      <c r="G25" s="98" t="str">
        <f t="shared" si="1"/>
        <v/>
      </c>
      <c r="H25" s="23"/>
      <c r="I25" s="84"/>
      <c r="J25" s="85" t="str">
        <f>IF(AND(A25&lt;&gt;"",E25&lt;&gt;""),IF(I25="","⚠️ Enter Code",IF(IFERROR(VLOOKUP(H25,DB_Agents!$B:$I,8,0),"")=I25,IF(C25&gt;=E25,"Successful","Unsuccessful"),"🔒 BLOCKED — Wrong Code")),"—")</f>
        <v>—</v>
      </c>
      <c r="K25" s="86" t="str">
        <f t="shared" ca="1" si="2"/>
        <v>—</v>
      </c>
      <c r="L25" s="87"/>
    </row>
    <row r="26" spans="1:12" x14ac:dyDescent="0.25">
      <c r="A26" s="88"/>
      <c r="B26" s="25" t="str">
        <f>IF(A26="","",IFERROR(VLOOKUP(A26,DB_Customers!$A:$D,4,0),"❌ Account Not Found"))</f>
        <v/>
      </c>
      <c r="C26" s="89" t="str">
        <f>IF(A26="","",IFERROR(VLOOKUP(A26,DB_Customers!$A:$N,14,0),""))</f>
        <v/>
      </c>
      <c r="D26" s="90" t="str">
        <f t="shared" ca="1" si="0"/>
        <v/>
      </c>
      <c r="E26" s="97"/>
      <c r="F26" s="25"/>
      <c r="G26" s="99" t="str">
        <f t="shared" si="1"/>
        <v/>
      </c>
      <c r="H26" s="27"/>
      <c r="I26" s="84"/>
      <c r="J26" s="92" t="str">
        <f>IF(AND(A26&lt;&gt;"",E26&lt;&gt;""),IF(I26="","⚠️ Enter Code",IF(IFERROR(VLOOKUP(H26,DB_Agents!$B:$I,8,0),"")=I26,IF(C26&gt;=E26,"Successful","Unsuccessful"),"🔒 BLOCKED — Wrong Code")),"—")</f>
        <v>—</v>
      </c>
      <c r="K26" s="93" t="str">
        <f t="shared" ca="1" si="2"/>
        <v>—</v>
      </c>
      <c r="L26" s="94"/>
    </row>
    <row r="27" spans="1:12" x14ac:dyDescent="0.25">
      <c r="A27" s="79"/>
      <c r="B27" s="21" t="str">
        <f>IF(A27="","",IFERROR(VLOOKUP(A27,DB_Customers!$A:$D,4,0),"❌ Account Not Found"))</f>
        <v/>
      </c>
      <c r="C27" s="80" t="str">
        <f>IF(A27="","",IFERROR(VLOOKUP(A27,DB_Customers!$A:$N,14,0),""))</f>
        <v/>
      </c>
      <c r="D27" s="81" t="str">
        <f t="shared" ca="1" si="0"/>
        <v/>
      </c>
      <c r="E27" s="97"/>
      <c r="F27" s="21"/>
      <c r="G27" s="98" t="str">
        <f t="shared" si="1"/>
        <v/>
      </c>
      <c r="H27" s="23"/>
      <c r="I27" s="84"/>
      <c r="J27" s="85" t="str">
        <f>IF(AND(A27&lt;&gt;"",E27&lt;&gt;""),IF(I27="","⚠️ Enter Code",IF(IFERROR(VLOOKUP(H27,DB_Agents!$B:$I,8,0),"")=I27,IF(C27&gt;=E27,"Successful","Unsuccessful"),"🔒 BLOCKED — Wrong Code")),"—")</f>
        <v>—</v>
      </c>
      <c r="K27" s="86" t="str">
        <f t="shared" ca="1" si="2"/>
        <v>—</v>
      </c>
      <c r="L27" s="87"/>
    </row>
    <row r="28" spans="1:12" x14ac:dyDescent="0.25">
      <c r="A28" s="88"/>
      <c r="B28" s="25" t="str">
        <f>IF(A28="","",IFERROR(VLOOKUP(A28,DB_Customers!$A:$D,4,0),"❌ Account Not Found"))</f>
        <v/>
      </c>
      <c r="C28" s="89" t="str">
        <f>IF(A28="","",IFERROR(VLOOKUP(A28,DB_Customers!$A:$N,14,0),""))</f>
        <v/>
      </c>
      <c r="D28" s="90" t="str">
        <f t="shared" ca="1" si="0"/>
        <v/>
      </c>
      <c r="E28" s="97"/>
      <c r="F28" s="25"/>
      <c r="G28" s="99" t="str">
        <f t="shared" si="1"/>
        <v/>
      </c>
      <c r="H28" s="27"/>
      <c r="I28" s="84"/>
      <c r="J28" s="92" t="str">
        <f>IF(AND(A28&lt;&gt;"",E28&lt;&gt;""),IF(I28="","⚠️ Enter Code",IF(IFERROR(VLOOKUP(H28,DB_Agents!$B:$I,8,0),"")=I28,IF(C28&gt;=E28,"Successful","Unsuccessful"),"🔒 BLOCKED — Wrong Code")),"—")</f>
        <v>—</v>
      </c>
      <c r="K28" s="93" t="str">
        <f t="shared" ca="1" si="2"/>
        <v>—</v>
      </c>
      <c r="L28" s="94"/>
    </row>
    <row r="29" spans="1:12" x14ac:dyDescent="0.25">
      <c r="A29" s="79"/>
      <c r="B29" s="21" t="str">
        <f>IF(A29="","",IFERROR(VLOOKUP(A29,DB_Customers!$A:$D,4,0),"❌ Account Not Found"))</f>
        <v/>
      </c>
      <c r="C29" s="80" t="str">
        <f>IF(A29="","",IFERROR(VLOOKUP(A29,DB_Customers!$A:$N,14,0),""))</f>
        <v/>
      </c>
      <c r="D29" s="81" t="str">
        <f t="shared" ca="1" si="0"/>
        <v/>
      </c>
      <c r="E29" s="97"/>
      <c r="F29" s="21"/>
      <c r="G29" s="98" t="str">
        <f t="shared" si="1"/>
        <v/>
      </c>
      <c r="H29" s="23"/>
      <c r="I29" s="84"/>
      <c r="J29" s="85" t="str">
        <f>IF(AND(A29&lt;&gt;"",E29&lt;&gt;""),IF(I29="","⚠️ Enter Code",IF(IFERROR(VLOOKUP(H29,DB_Agents!$B:$I,8,0),"")=I29,IF(C29&gt;=E29,"Successful","Unsuccessful"),"🔒 BLOCKED — Wrong Code")),"—")</f>
        <v>—</v>
      </c>
      <c r="K29" s="86" t="str">
        <f t="shared" ca="1" si="2"/>
        <v>—</v>
      </c>
      <c r="L29" s="87"/>
    </row>
    <row r="30" spans="1:12" x14ac:dyDescent="0.25">
      <c r="A30" s="88"/>
      <c r="B30" s="25" t="str">
        <f>IF(A30="","",IFERROR(VLOOKUP(A30,DB_Customers!$A:$D,4,0),"❌ Account Not Found"))</f>
        <v/>
      </c>
      <c r="C30" s="89" t="str">
        <f>IF(A30="","",IFERROR(VLOOKUP(A30,DB_Customers!$A:$N,14,0),""))</f>
        <v/>
      </c>
      <c r="D30" s="90" t="str">
        <f t="shared" ca="1" si="0"/>
        <v/>
      </c>
      <c r="E30" s="97"/>
      <c r="F30" s="25"/>
      <c r="G30" s="99" t="str">
        <f t="shared" si="1"/>
        <v/>
      </c>
      <c r="H30" s="27"/>
      <c r="I30" s="84"/>
      <c r="J30" s="92" t="str">
        <f>IF(AND(A30&lt;&gt;"",E30&lt;&gt;""),IF(I30="","⚠️ Enter Code",IF(IFERROR(VLOOKUP(H30,DB_Agents!$B:$I,8,0),"")=I30,IF(C30&gt;=E30,"Successful","Unsuccessful"),"🔒 BLOCKED — Wrong Code")),"—")</f>
        <v>—</v>
      </c>
      <c r="K30" s="93" t="str">
        <f t="shared" ca="1" si="2"/>
        <v>—</v>
      </c>
      <c r="L30" s="94"/>
    </row>
    <row r="31" spans="1:12" x14ac:dyDescent="0.25">
      <c r="A31" s="79"/>
      <c r="B31" s="21" t="str">
        <f>IF(A31="","",IFERROR(VLOOKUP(A31,DB_Customers!$A:$D,4,0),"❌ Account Not Found"))</f>
        <v/>
      </c>
      <c r="C31" s="80" t="str">
        <f>IF(A31="","",IFERROR(VLOOKUP(A31,DB_Customers!$A:$N,14,0),""))</f>
        <v/>
      </c>
      <c r="D31" s="81" t="str">
        <f t="shared" ca="1" si="0"/>
        <v/>
      </c>
      <c r="E31" s="97"/>
      <c r="F31" s="21"/>
      <c r="G31" s="98" t="str">
        <f t="shared" si="1"/>
        <v/>
      </c>
      <c r="H31" s="23"/>
      <c r="I31" s="84"/>
      <c r="J31" s="85" t="str">
        <f>IF(AND(A31&lt;&gt;"",E31&lt;&gt;""),IF(I31="","⚠️ Enter Code",IF(IFERROR(VLOOKUP(H31,DB_Agents!$B:$I,8,0),"")=I31,IF(C31&gt;=E31,"Successful","Unsuccessful"),"🔒 BLOCKED — Wrong Code")),"—")</f>
        <v>—</v>
      </c>
      <c r="K31" s="86" t="str">
        <f t="shared" ca="1" si="2"/>
        <v>—</v>
      </c>
      <c r="L31" s="87"/>
    </row>
    <row r="32" spans="1:12" x14ac:dyDescent="0.25">
      <c r="A32" s="88"/>
      <c r="B32" s="25" t="str">
        <f>IF(A32="","",IFERROR(VLOOKUP(A32,DB_Customers!$A:$D,4,0),"❌ Account Not Found"))</f>
        <v/>
      </c>
      <c r="C32" s="89" t="str">
        <f>IF(A32="","",IFERROR(VLOOKUP(A32,DB_Customers!$A:$N,14,0),""))</f>
        <v/>
      </c>
      <c r="D32" s="90" t="str">
        <f t="shared" ca="1" si="0"/>
        <v/>
      </c>
      <c r="E32" s="97"/>
      <c r="F32" s="25"/>
      <c r="G32" s="99" t="str">
        <f t="shared" si="1"/>
        <v/>
      </c>
      <c r="H32" s="27"/>
      <c r="I32" s="84"/>
      <c r="J32" s="92" t="str">
        <f>IF(AND(A32&lt;&gt;"",E32&lt;&gt;""),IF(I32="","⚠️ Enter Code",IF(IFERROR(VLOOKUP(H32,DB_Agents!$B:$I,8,0),"")=I32,IF(C32&gt;=E32,"Successful","Unsuccessful"),"🔒 BLOCKED — Wrong Code")),"—")</f>
        <v>—</v>
      </c>
      <c r="K32" s="93" t="str">
        <f t="shared" ca="1" si="2"/>
        <v>—</v>
      </c>
      <c r="L32" s="94"/>
    </row>
    <row r="33" spans="1:12" x14ac:dyDescent="0.25">
      <c r="A33" s="79"/>
      <c r="B33" s="21" t="str">
        <f>IF(A33="","",IFERROR(VLOOKUP(A33,DB_Customers!$A:$D,4,0),"❌ Account Not Found"))</f>
        <v/>
      </c>
      <c r="C33" s="80" t="str">
        <f>IF(A33="","",IFERROR(VLOOKUP(A33,DB_Customers!$A:$N,14,0),""))</f>
        <v/>
      </c>
      <c r="D33" s="81" t="str">
        <f t="shared" ca="1" si="0"/>
        <v/>
      </c>
      <c r="E33" s="97"/>
      <c r="F33" s="21"/>
      <c r="G33" s="98" t="str">
        <f t="shared" si="1"/>
        <v/>
      </c>
      <c r="H33" s="23"/>
      <c r="I33" s="84"/>
      <c r="J33" s="85" t="str">
        <f>IF(AND(A33&lt;&gt;"",E33&lt;&gt;""),IF(I33="","⚠️ Enter Code",IF(IFERROR(VLOOKUP(H33,DB_Agents!$B:$I,8,0),"")=I33,IF(C33&gt;=E33,"Successful","Unsuccessful"),"🔒 BLOCKED — Wrong Code")),"—")</f>
        <v>—</v>
      </c>
      <c r="K33" s="86" t="str">
        <f t="shared" ca="1" si="2"/>
        <v>—</v>
      </c>
      <c r="L33" s="87"/>
    </row>
    <row r="34" spans="1:12" x14ac:dyDescent="0.25">
      <c r="A34" s="88"/>
      <c r="B34" s="25" t="str">
        <f>IF(A34="","",IFERROR(VLOOKUP(A34,DB_Customers!$A:$D,4,0),"❌ Account Not Found"))</f>
        <v/>
      </c>
      <c r="C34" s="89" t="str">
        <f>IF(A34="","",IFERROR(VLOOKUP(A34,DB_Customers!$A:$N,14,0),""))</f>
        <v/>
      </c>
      <c r="D34" s="90" t="str">
        <f t="shared" ca="1" si="0"/>
        <v/>
      </c>
      <c r="E34" s="97"/>
      <c r="F34" s="25"/>
      <c r="G34" s="99" t="str">
        <f t="shared" si="1"/>
        <v/>
      </c>
      <c r="H34" s="27"/>
      <c r="I34" s="84"/>
      <c r="J34" s="92" t="str">
        <f>IF(AND(A34&lt;&gt;"",E34&lt;&gt;""),IF(I34="","⚠️ Enter Code",IF(IFERROR(VLOOKUP(H34,DB_Agents!$B:$I,8,0),"")=I34,IF(C34&gt;=E34,"Successful","Unsuccessful"),"🔒 BLOCKED — Wrong Code")),"—")</f>
        <v>—</v>
      </c>
      <c r="K34" s="93" t="str">
        <f t="shared" ca="1" si="2"/>
        <v>—</v>
      </c>
      <c r="L34" s="94"/>
    </row>
    <row r="35" spans="1:12" x14ac:dyDescent="0.25">
      <c r="A35" s="79"/>
      <c r="B35" s="21" t="str">
        <f>IF(A35="","",IFERROR(VLOOKUP(A35,DB_Customers!$A:$D,4,0),"❌ Account Not Found"))</f>
        <v/>
      </c>
      <c r="C35" s="80" t="str">
        <f>IF(A35="","",IFERROR(VLOOKUP(A35,DB_Customers!$A:$N,14,0),""))</f>
        <v/>
      </c>
      <c r="D35" s="81" t="str">
        <f t="shared" ca="1" si="0"/>
        <v/>
      </c>
      <c r="E35" s="97"/>
      <c r="F35" s="21"/>
      <c r="G35" s="98" t="str">
        <f t="shared" si="1"/>
        <v/>
      </c>
      <c r="H35" s="23"/>
      <c r="I35" s="84"/>
      <c r="J35" s="85" t="str">
        <f>IF(AND(A35&lt;&gt;"",E35&lt;&gt;""),IF(I35="","⚠️ Enter Code",IF(IFERROR(VLOOKUP(H35,DB_Agents!$B:$I,8,0),"")=I35,IF(C35&gt;=E35,"Successful","Unsuccessful"),"🔒 BLOCKED — Wrong Code")),"—")</f>
        <v>—</v>
      </c>
      <c r="K35" s="86" t="str">
        <f t="shared" ca="1" si="2"/>
        <v>—</v>
      </c>
      <c r="L35" s="87"/>
    </row>
    <row r="36" spans="1:12" x14ac:dyDescent="0.25">
      <c r="A36" s="88"/>
      <c r="B36" s="25" t="str">
        <f>IF(A36="","",IFERROR(VLOOKUP(A36,DB_Customers!$A:$D,4,0),"❌ Account Not Found"))</f>
        <v/>
      </c>
      <c r="C36" s="89" t="str">
        <f>IF(A36="","",IFERROR(VLOOKUP(A36,DB_Customers!$A:$N,14,0),""))</f>
        <v/>
      </c>
      <c r="D36" s="90" t="str">
        <f t="shared" ca="1" si="0"/>
        <v/>
      </c>
      <c r="E36" s="97"/>
      <c r="F36" s="25"/>
      <c r="G36" s="99" t="str">
        <f t="shared" si="1"/>
        <v/>
      </c>
      <c r="H36" s="27"/>
      <c r="I36" s="84"/>
      <c r="J36" s="92" t="str">
        <f>IF(AND(A36&lt;&gt;"",E36&lt;&gt;""),IF(I36="","⚠️ Enter Code",IF(IFERROR(VLOOKUP(H36,DB_Agents!$B:$I,8,0),"")=I36,IF(C36&gt;=E36,"Successful","Unsuccessful"),"🔒 BLOCKED — Wrong Code")),"—")</f>
        <v>—</v>
      </c>
      <c r="K36" s="93" t="str">
        <f t="shared" ca="1" si="2"/>
        <v>—</v>
      </c>
      <c r="L36" s="94"/>
    </row>
    <row r="37" spans="1:12" x14ac:dyDescent="0.25">
      <c r="A37" s="79"/>
      <c r="B37" s="21" t="str">
        <f>IF(A37="","",IFERROR(VLOOKUP(A37,DB_Customers!$A:$D,4,0),"❌ Account Not Found"))</f>
        <v/>
      </c>
      <c r="C37" s="80" t="str">
        <f>IF(A37="","",IFERROR(VLOOKUP(A37,DB_Customers!$A:$N,14,0),""))</f>
        <v/>
      </c>
      <c r="D37" s="81" t="str">
        <f t="shared" ca="1" si="0"/>
        <v/>
      </c>
      <c r="E37" s="97"/>
      <c r="F37" s="21"/>
      <c r="G37" s="98" t="str">
        <f t="shared" si="1"/>
        <v/>
      </c>
      <c r="H37" s="23"/>
      <c r="I37" s="84"/>
      <c r="J37" s="85" t="str">
        <f>IF(AND(A37&lt;&gt;"",E37&lt;&gt;""),IF(I37="","⚠️ Enter Code",IF(IFERROR(VLOOKUP(H37,DB_Agents!$B:$I,8,0),"")=I37,IF(C37&gt;=E37,"Successful","Unsuccessful"),"🔒 BLOCKED — Wrong Code")),"—")</f>
        <v>—</v>
      </c>
      <c r="K37" s="86" t="str">
        <f t="shared" ca="1" si="2"/>
        <v>—</v>
      </c>
      <c r="L37" s="87"/>
    </row>
    <row r="38" spans="1:12" x14ac:dyDescent="0.25">
      <c r="A38" s="88"/>
      <c r="B38" s="25" t="str">
        <f>IF(A38="","",IFERROR(VLOOKUP(A38,DB_Customers!$A:$D,4,0),"❌ Account Not Found"))</f>
        <v/>
      </c>
      <c r="C38" s="89" t="str">
        <f>IF(A38="","",IFERROR(VLOOKUP(A38,DB_Customers!$A:$N,14,0),""))</f>
        <v/>
      </c>
      <c r="D38" s="90" t="str">
        <f t="shared" ca="1" si="0"/>
        <v/>
      </c>
      <c r="E38" s="97"/>
      <c r="F38" s="25"/>
      <c r="G38" s="99" t="str">
        <f t="shared" si="1"/>
        <v/>
      </c>
      <c r="H38" s="27"/>
      <c r="I38" s="84"/>
      <c r="J38" s="92" t="str">
        <f>IF(AND(A38&lt;&gt;"",E38&lt;&gt;""),IF(I38="","⚠️ Enter Code",IF(IFERROR(VLOOKUP(H38,DB_Agents!$B:$I,8,0),"")=I38,IF(C38&gt;=E38,"Successful","Unsuccessful"),"🔒 BLOCKED — Wrong Code")),"—")</f>
        <v>—</v>
      </c>
      <c r="K38" s="93" t="str">
        <f t="shared" ca="1" si="2"/>
        <v>—</v>
      </c>
      <c r="L38" s="94"/>
    </row>
    <row r="39" spans="1:12" x14ac:dyDescent="0.25">
      <c r="A39" s="79"/>
      <c r="B39" s="21" t="str">
        <f>IF(A39="","",IFERROR(VLOOKUP(A39,DB_Customers!$A:$D,4,0),"❌ Account Not Found"))</f>
        <v/>
      </c>
      <c r="C39" s="80" t="str">
        <f>IF(A39="","",IFERROR(VLOOKUP(A39,DB_Customers!$A:$N,14,0),""))</f>
        <v/>
      </c>
      <c r="D39" s="81" t="str">
        <f t="shared" ca="1" si="0"/>
        <v/>
      </c>
      <c r="E39" s="97"/>
      <c r="F39" s="21"/>
      <c r="G39" s="98" t="str">
        <f t="shared" si="1"/>
        <v/>
      </c>
      <c r="H39" s="23"/>
      <c r="I39" s="84"/>
      <c r="J39" s="85" t="str">
        <f>IF(AND(A39&lt;&gt;"",E39&lt;&gt;""),IF(I39="","⚠️ Enter Code",IF(IFERROR(VLOOKUP(H39,DB_Agents!$B:$I,8,0),"")=I39,IF(C39&gt;=E39,"Successful","Unsuccessful"),"🔒 BLOCKED — Wrong Code")),"—")</f>
        <v>—</v>
      </c>
      <c r="K39" s="86" t="str">
        <f t="shared" ca="1" si="2"/>
        <v>—</v>
      </c>
      <c r="L39" s="87"/>
    </row>
    <row r="40" spans="1:12" x14ac:dyDescent="0.25">
      <c r="A40" s="88"/>
      <c r="B40" s="25" t="str">
        <f>IF(A40="","",IFERROR(VLOOKUP(A40,DB_Customers!$A:$D,4,0),"❌ Account Not Found"))</f>
        <v/>
      </c>
      <c r="C40" s="89" t="str">
        <f>IF(A40="","",IFERROR(VLOOKUP(A40,DB_Customers!$A:$N,14,0),""))</f>
        <v/>
      </c>
      <c r="D40" s="90" t="str">
        <f t="shared" ca="1" si="0"/>
        <v/>
      </c>
      <c r="E40" s="97"/>
      <c r="F40" s="25"/>
      <c r="G40" s="99" t="str">
        <f t="shared" si="1"/>
        <v/>
      </c>
      <c r="H40" s="27"/>
      <c r="I40" s="84"/>
      <c r="J40" s="92" t="str">
        <f>IF(AND(A40&lt;&gt;"",E40&lt;&gt;""),IF(I40="","⚠️ Enter Code",IF(IFERROR(VLOOKUP(H40,DB_Agents!$B:$I,8,0),"")=I40,IF(C40&gt;=E40,"Successful","Unsuccessful"),"🔒 BLOCKED — Wrong Code")),"—")</f>
        <v>—</v>
      </c>
      <c r="K40" s="93" t="str">
        <f t="shared" ca="1" si="2"/>
        <v>—</v>
      </c>
      <c r="L40" s="94"/>
    </row>
    <row r="41" spans="1:12" x14ac:dyDescent="0.25">
      <c r="A41" s="79"/>
      <c r="B41" s="21" t="str">
        <f>IF(A41="","",IFERROR(VLOOKUP(A41,DB_Customers!$A:$D,4,0),"❌ Account Not Found"))</f>
        <v/>
      </c>
      <c r="C41" s="80" t="str">
        <f>IF(A41="","",IFERROR(VLOOKUP(A41,DB_Customers!$A:$N,14,0),""))</f>
        <v/>
      </c>
      <c r="D41" s="81" t="str">
        <f t="shared" ref="D41:D72" ca="1" si="3">IF(A41="","",TODAY())</f>
        <v/>
      </c>
      <c r="E41" s="97"/>
      <c r="F41" s="21"/>
      <c r="G41" s="98" t="str">
        <f t="shared" ref="G41:G72" si="4">IF(OR(A41="",E41=""),"",IF(C41="","",C41-E41))</f>
        <v/>
      </c>
      <c r="H41" s="23"/>
      <c r="I41" s="84"/>
      <c r="J41" s="85" t="str">
        <f>IF(AND(A41&lt;&gt;"",E41&lt;&gt;""),IF(I41="","⚠️ Enter Code",IF(IFERROR(VLOOKUP(H41,DB_Agents!$B:$I,8,0),"")=I41,IF(C41&gt;=E41,"Successful","Unsuccessful"),"🔒 BLOCKED — Wrong Code")),"—")</f>
        <v>—</v>
      </c>
      <c r="K41" s="86" t="str">
        <f t="shared" ref="K41:K72" ca="1" si="5">IF(J41="Successful",TEXT(TODAY(),"YYYY-MM-DD")&amp;" Auto","—")</f>
        <v>—</v>
      </c>
      <c r="L41" s="87"/>
    </row>
    <row r="42" spans="1:12" x14ac:dyDescent="0.25">
      <c r="A42" s="88"/>
      <c r="B42" s="25" t="str">
        <f>IF(A42="","",IFERROR(VLOOKUP(A42,DB_Customers!$A:$D,4,0),"❌ Account Not Found"))</f>
        <v/>
      </c>
      <c r="C42" s="89" t="str">
        <f>IF(A42="","",IFERROR(VLOOKUP(A42,DB_Customers!$A:$N,14,0),""))</f>
        <v/>
      </c>
      <c r="D42" s="90" t="str">
        <f t="shared" ca="1" si="3"/>
        <v/>
      </c>
      <c r="E42" s="97"/>
      <c r="F42" s="25"/>
      <c r="G42" s="99" t="str">
        <f t="shared" si="4"/>
        <v/>
      </c>
      <c r="H42" s="27"/>
      <c r="I42" s="84"/>
      <c r="J42" s="92" t="str">
        <f>IF(AND(A42&lt;&gt;"",E42&lt;&gt;""),IF(I42="","⚠️ Enter Code",IF(IFERROR(VLOOKUP(H42,DB_Agents!$B:$I,8,0),"")=I42,IF(C42&gt;=E42,"Successful","Unsuccessful"),"🔒 BLOCKED — Wrong Code")),"—")</f>
        <v>—</v>
      </c>
      <c r="K42" s="93" t="str">
        <f t="shared" ca="1" si="5"/>
        <v>—</v>
      </c>
      <c r="L42" s="94"/>
    </row>
    <row r="43" spans="1:12" x14ac:dyDescent="0.25">
      <c r="A43" s="79"/>
      <c r="B43" s="21" t="str">
        <f>IF(A43="","",IFERROR(VLOOKUP(A43,DB_Customers!$A:$D,4,0),"❌ Account Not Found"))</f>
        <v/>
      </c>
      <c r="C43" s="80" t="str">
        <f>IF(A43="","",IFERROR(VLOOKUP(A43,DB_Customers!$A:$N,14,0),""))</f>
        <v/>
      </c>
      <c r="D43" s="81" t="str">
        <f t="shared" ca="1" si="3"/>
        <v/>
      </c>
      <c r="E43" s="97"/>
      <c r="F43" s="21"/>
      <c r="G43" s="98" t="str">
        <f t="shared" si="4"/>
        <v/>
      </c>
      <c r="H43" s="23"/>
      <c r="I43" s="84"/>
      <c r="J43" s="85" t="str">
        <f>IF(AND(A43&lt;&gt;"",E43&lt;&gt;""),IF(I43="","⚠️ Enter Code",IF(IFERROR(VLOOKUP(H43,DB_Agents!$B:$I,8,0),"")=I43,IF(C43&gt;=E43,"Successful","Unsuccessful"),"🔒 BLOCKED — Wrong Code")),"—")</f>
        <v>—</v>
      </c>
      <c r="K43" s="86" t="str">
        <f t="shared" ca="1" si="5"/>
        <v>—</v>
      </c>
      <c r="L43" s="87"/>
    </row>
    <row r="44" spans="1:12" x14ac:dyDescent="0.25">
      <c r="A44" s="88"/>
      <c r="B44" s="25" t="str">
        <f>IF(A44="","",IFERROR(VLOOKUP(A44,DB_Customers!$A:$D,4,0),"❌ Account Not Found"))</f>
        <v/>
      </c>
      <c r="C44" s="89" t="str">
        <f>IF(A44="","",IFERROR(VLOOKUP(A44,DB_Customers!$A:$N,14,0),""))</f>
        <v/>
      </c>
      <c r="D44" s="90" t="str">
        <f t="shared" ca="1" si="3"/>
        <v/>
      </c>
      <c r="E44" s="97"/>
      <c r="F44" s="25"/>
      <c r="G44" s="99" t="str">
        <f t="shared" si="4"/>
        <v/>
      </c>
      <c r="H44" s="27"/>
      <c r="I44" s="84"/>
      <c r="J44" s="92" t="str">
        <f>IF(AND(A44&lt;&gt;"",E44&lt;&gt;""),IF(I44="","⚠️ Enter Code",IF(IFERROR(VLOOKUP(H44,DB_Agents!$B:$I,8,0),"")=I44,IF(C44&gt;=E44,"Successful","Unsuccessful"),"🔒 BLOCKED — Wrong Code")),"—")</f>
        <v>—</v>
      </c>
      <c r="K44" s="93" t="str">
        <f t="shared" ca="1" si="5"/>
        <v>—</v>
      </c>
      <c r="L44" s="94"/>
    </row>
    <row r="45" spans="1:12" x14ac:dyDescent="0.25">
      <c r="A45" s="79"/>
      <c r="B45" s="21" t="str">
        <f>IF(A45="","",IFERROR(VLOOKUP(A45,DB_Customers!$A:$D,4,0),"❌ Account Not Found"))</f>
        <v/>
      </c>
      <c r="C45" s="80" t="str">
        <f>IF(A45="","",IFERROR(VLOOKUP(A45,DB_Customers!$A:$N,14,0),""))</f>
        <v/>
      </c>
      <c r="D45" s="81" t="str">
        <f t="shared" ca="1" si="3"/>
        <v/>
      </c>
      <c r="E45" s="97"/>
      <c r="F45" s="21"/>
      <c r="G45" s="98" t="str">
        <f t="shared" si="4"/>
        <v/>
      </c>
      <c r="H45" s="23"/>
      <c r="I45" s="84"/>
      <c r="J45" s="85" t="str">
        <f>IF(AND(A45&lt;&gt;"",E45&lt;&gt;""),IF(I45="","⚠️ Enter Code",IF(IFERROR(VLOOKUP(H45,DB_Agents!$B:$I,8,0),"")=I45,IF(C45&gt;=E45,"Successful","Unsuccessful"),"🔒 BLOCKED — Wrong Code")),"—")</f>
        <v>—</v>
      </c>
      <c r="K45" s="86" t="str">
        <f t="shared" ca="1" si="5"/>
        <v>—</v>
      </c>
      <c r="L45" s="87"/>
    </row>
    <row r="46" spans="1:12" x14ac:dyDescent="0.25">
      <c r="A46" s="88"/>
      <c r="B46" s="25" t="str">
        <f>IF(A46="","",IFERROR(VLOOKUP(A46,DB_Customers!$A:$D,4,0),"❌ Account Not Found"))</f>
        <v/>
      </c>
      <c r="C46" s="89" t="str">
        <f>IF(A46="","",IFERROR(VLOOKUP(A46,DB_Customers!$A:$N,14,0),""))</f>
        <v/>
      </c>
      <c r="D46" s="90" t="str">
        <f t="shared" ca="1" si="3"/>
        <v/>
      </c>
      <c r="E46" s="97"/>
      <c r="F46" s="25"/>
      <c r="G46" s="99" t="str">
        <f t="shared" si="4"/>
        <v/>
      </c>
      <c r="H46" s="27"/>
      <c r="I46" s="84"/>
      <c r="J46" s="92" t="str">
        <f>IF(AND(A46&lt;&gt;"",E46&lt;&gt;""),IF(I46="","⚠️ Enter Code",IF(IFERROR(VLOOKUP(H46,DB_Agents!$B:$I,8,0),"")=I46,IF(C46&gt;=E46,"Successful","Unsuccessful"),"🔒 BLOCKED — Wrong Code")),"—")</f>
        <v>—</v>
      </c>
      <c r="K46" s="93" t="str">
        <f t="shared" ca="1" si="5"/>
        <v>—</v>
      </c>
      <c r="L46" s="94"/>
    </row>
    <row r="47" spans="1:12" x14ac:dyDescent="0.25">
      <c r="A47" s="79"/>
      <c r="B47" s="21" t="str">
        <f>IF(A47="","",IFERROR(VLOOKUP(A47,DB_Customers!$A:$D,4,0),"❌ Account Not Found"))</f>
        <v/>
      </c>
      <c r="C47" s="80" t="str">
        <f>IF(A47="","",IFERROR(VLOOKUP(A47,DB_Customers!$A:$N,14,0),""))</f>
        <v/>
      </c>
      <c r="D47" s="81" t="str">
        <f t="shared" ca="1" si="3"/>
        <v/>
      </c>
      <c r="E47" s="97"/>
      <c r="F47" s="21"/>
      <c r="G47" s="98" t="str">
        <f t="shared" si="4"/>
        <v/>
      </c>
      <c r="H47" s="23"/>
      <c r="I47" s="84"/>
      <c r="J47" s="85" t="str">
        <f>IF(AND(A47&lt;&gt;"",E47&lt;&gt;""),IF(I47="","⚠️ Enter Code",IF(IFERROR(VLOOKUP(H47,DB_Agents!$B:$I,8,0),"")=I47,IF(C47&gt;=E47,"Successful","Unsuccessful"),"🔒 BLOCKED — Wrong Code")),"—")</f>
        <v>—</v>
      </c>
      <c r="K47" s="86" t="str">
        <f t="shared" ca="1" si="5"/>
        <v>—</v>
      </c>
      <c r="L47" s="87"/>
    </row>
    <row r="48" spans="1:12" x14ac:dyDescent="0.25">
      <c r="A48" s="88"/>
      <c r="B48" s="25" t="str">
        <f>IF(A48="","",IFERROR(VLOOKUP(A48,DB_Customers!$A:$D,4,0),"❌ Account Not Found"))</f>
        <v/>
      </c>
      <c r="C48" s="89" t="str">
        <f>IF(A48="","",IFERROR(VLOOKUP(A48,DB_Customers!$A:$N,14,0),""))</f>
        <v/>
      </c>
      <c r="D48" s="90" t="str">
        <f t="shared" ca="1" si="3"/>
        <v/>
      </c>
      <c r="E48" s="97"/>
      <c r="F48" s="25"/>
      <c r="G48" s="99" t="str">
        <f t="shared" si="4"/>
        <v/>
      </c>
      <c r="H48" s="27"/>
      <c r="I48" s="84"/>
      <c r="J48" s="92" t="str">
        <f>IF(AND(A48&lt;&gt;"",E48&lt;&gt;""),IF(I48="","⚠️ Enter Code",IF(IFERROR(VLOOKUP(H48,DB_Agents!$B:$I,8,0),"")=I48,IF(C48&gt;=E48,"Successful","Unsuccessful"),"🔒 BLOCKED — Wrong Code")),"—")</f>
        <v>—</v>
      </c>
      <c r="K48" s="93" t="str">
        <f t="shared" ca="1" si="5"/>
        <v>—</v>
      </c>
      <c r="L48" s="94"/>
    </row>
    <row r="49" spans="1:12" x14ac:dyDescent="0.25">
      <c r="A49" s="79"/>
      <c r="B49" s="21" t="str">
        <f>IF(A49="","",IFERROR(VLOOKUP(A49,DB_Customers!$A:$D,4,0),"❌ Account Not Found"))</f>
        <v/>
      </c>
      <c r="C49" s="80" t="str">
        <f>IF(A49="","",IFERROR(VLOOKUP(A49,DB_Customers!$A:$N,14,0),""))</f>
        <v/>
      </c>
      <c r="D49" s="81" t="str">
        <f t="shared" ca="1" si="3"/>
        <v/>
      </c>
      <c r="E49" s="97"/>
      <c r="F49" s="21"/>
      <c r="G49" s="98" t="str">
        <f t="shared" si="4"/>
        <v/>
      </c>
      <c r="H49" s="23"/>
      <c r="I49" s="84"/>
      <c r="J49" s="85" t="str">
        <f>IF(AND(A49&lt;&gt;"",E49&lt;&gt;""),IF(I49="","⚠️ Enter Code",IF(IFERROR(VLOOKUP(H49,DB_Agents!$B:$I,8,0),"")=I49,IF(C49&gt;=E49,"Successful","Unsuccessful"),"🔒 BLOCKED — Wrong Code")),"—")</f>
        <v>—</v>
      </c>
      <c r="K49" s="86" t="str">
        <f t="shared" ca="1" si="5"/>
        <v>—</v>
      </c>
      <c r="L49" s="87"/>
    </row>
    <row r="50" spans="1:12" x14ac:dyDescent="0.25">
      <c r="A50" s="88"/>
      <c r="B50" s="25" t="str">
        <f>IF(A50="","",IFERROR(VLOOKUP(A50,DB_Customers!$A:$D,4,0),"❌ Account Not Found"))</f>
        <v/>
      </c>
      <c r="C50" s="89" t="str">
        <f>IF(A50="","",IFERROR(VLOOKUP(A50,DB_Customers!$A:$N,14,0),""))</f>
        <v/>
      </c>
      <c r="D50" s="90" t="str">
        <f t="shared" ca="1" si="3"/>
        <v/>
      </c>
      <c r="E50" s="97"/>
      <c r="F50" s="25"/>
      <c r="G50" s="99" t="str">
        <f t="shared" si="4"/>
        <v/>
      </c>
      <c r="H50" s="27"/>
      <c r="I50" s="84"/>
      <c r="J50" s="92" t="str">
        <f>IF(AND(A50&lt;&gt;"",E50&lt;&gt;""),IF(I50="","⚠️ Enter Code",IF(IFERROR(VLOOKUP(H50,DB_Agents!$B:$I,8,0),"")=I50,IF(C50&gt;=E50,"Successful","Unsuccessful"),"🔒 BLOCKED — Wrong Code")),"—")</f>
        <v>—</v>
      </c>
      <c r="K50" s="93" t="str">
        <f t="shared" ca="1" si="5"/>
        <v>—</v>
      </c>
      <c r="L50" s="94"/>
    </row>
    <row r="51" spans="1:12" x14ac:dyDescent="0.25">
      <c r="A51" s="79"/>
      <c r="B51" s="21" t="str">
        <f>IF(A51="","",IFERROR(VLOOKUP(A51,DB_Customers!$A:$D,4,0),"❌ Account Not Found"))</f>
        <v/>
      </c>
      <c r="C51" s="80" t="str">
        <f>IF(A51="","",IFERROR(VLOOKUP(A51,DB_Customers!$A:$N,14,0),""))</f>
        <v/>
      </c>
      <c r="D51" s="81" t="str">
        <f t="shared" ca="1" si="3"/>
        <v/>
      </c>
      <c r="E51" s="97"/>
      <c r="F51" s="21"/>
      <c r="G51" s="98" t="str">
        <f t="shared" si="4"/>
        <v/>
      </c>
      <c r="H51" s="23"/>
      <c r="I51" s="84"/>
      <c r="J51" s="85" t="str">
        <f>IF(AND(A51&lt;&gt;"",E51&lt;&gt;""),IF(I51="","⚠️ Enter Code",IF(IFERROR(VLOOKUP(H51,DB_Agents!$B:$I,8,0),"")=I51,IF(C51&gt;=E51,"Successful","Unsuccessful"),"🔒 BLOCKED — Wrong Code")),"—")</f>
        <v>—</v>
      </c>
      <c r="K51" s="86" t="str">
        <f t="shared" ca="1" si="5"/>
        <v>—</v>
      </c>
      <c r="L51" s="87"/>
    </row>
    <row r="52" spans="1:12" x14ac:dyDescent="0.25">
      <c r="A52" s="88"/>
      <c r="B52" s="25" t="str">
        <f>IF(A52="","",IFERROR(VLOOKUP(A52,DB_Customers!$A:$D,4,0),"❌ Account Not Found"))</f>
        <v/>
      </c>
      <c r="C52" s="89" t="str">
        <f>IF(A52="","",IFERROR(VLOOKUP(A52,DB_Customers!$A:$N,14,0),""))</f>
        <v/>
      </c>
      <c r="D52" s="90" t="str">
        <f t="shared" ca="1" si="3"/>
        <v/>
      </c>
      <c r="E52" s="97"/>
      <c r="F52" s="25"/>
      <c r="G52" s="99" t="str">
        <f t="shared" si="4"/>
        <v/>
      </c>
      <c r="H52" s="27"/>
      <c r="I52" s="84"/>
      <c r="J52" s="92" t="str">
        <f>IF(AND(A52&lt;&gt;"",E52&lt;&gt;""),IF(I52="","⚠️ Enter Code",IF(IFERROR(VLOOKUP(H52,DB_Agents!$B:$I,8,0),"")=I52,IF(C52&gt;=E52,"Successful","Unsuccessful"),"🔒 BLOCKED — Wrong Code")),"—")</f>
        <v>—</v>
      </c>
      <c r="K52" s="93" t="str">
        <f t="shared" ca="1" si="5"/>
        <v>—</v>
      </c>
      <c r="L52" s="94"/>
    </row>
    <row r="53" spans="1:12" x14ac:dyDescent="0.25">
      <c r="A53" s="79"/>
      <c r="B53" s="21" t="str">
        <f>IF(A53="","",IFERROR(VLOOKUP(A53,DB_Customers!$A:$D,4,0),"❌ Account Not Found"))</f>
        <v/>
      </c>
      <c r="C53" s="80" t="str">
        <f>IF(A53="","",IFERROR(VLOOKUP(A53,DB_Customers!$A:$N,14,0),""))</f>
        <v/>
      </c>
      <c r="D53" s="81" t="str">
        <f t="shared" ca="1" si="3"/>
        <v/>
      </c>
      <c r="E53" s="97"/>
      <c r="F53" s="21"/>
      <c r="G53" s="98" t="str">
        <f t="shared" si="4"/>
        <v/>
      </c>
      <c r="H53" s="23"/>
      <c r="I53" s="84"/>
      <c r="J53" s="85" t="str">
        <f>IF(AND(A53&lt;&gt;"",E53&lt;&gt;""),IF(I53="","⚠️ Enter Code",IF(IFERROR(VLOOKUP(H53,DB_Agents!$B:$I,8,0),"")=I53,IF(C53&gt;=E53,"Successful","Unsuccessful"),"🔒 BLOCKED — Wrong Code")),"—")</f>
        <v>—</v>
      </c>
      <c r="K53" s="86" t="str">
        <f t="shared" ca="1" si="5"/>
        <v>—</v>
      </c>
      <c r="L53" s="87"/>
    </row>
    <row r="54" spans="1:12" x14ac:dyDescent="0.25">
      <c r="A54" s="88"/>
      <c r="B54" s="25" t="str">
        <f>IF(A54="","",IFERROR(VLOOKUP(A54,DB_Customers!$A:$D,4,0),"❌ Account Not Found"))</f>
        <v/>
      </c>
      <c r="C54" s="89" t="str">
        <f>IF(A54="","",IFERROR(VLOOKUP(A54,DB_Customers!$A:$N,14,0),""))</f>
        <v/>
      </c>
      <c r="D54" s="90" t="str">
        <f t="shared" ca="1" si="3"/>
        <v/>
      </c>
      <c r="E54" s="97"/>
      <c r="F54" s="25"/>
      <c r="G54" s="99" t="str">
        <f t="shared" si="4"/>
        <v/>
      </c>
      <c r="H54" s="27"/>
      <c r="I54" s="84"/>
      <c r="J54" s="92" t="str">
        <f>IF(AND(A54&lt;&gt;"",E54&lt;&gt;""),IF(I54="","⚠️ Enter Code",IF(IFERROR(VLOOKUP(H54,DB_Agents!$B:$I,8,0),"")=I54,IF(C54&gt;=E54,"Successful","Unsuccessful"),"🔒 BLOCKED — Wrong Code")),"—")</f>
        <v>—</v>
      </c>
      <c r="K54" s="93" t="str">
        <f t="shared" ca="1" si="5"/>
        <v>—</v>
      </c>
      <c r="L54" s="94"/>
    </row>
    <row r="55" spans="1:12" x14ac:dyDescent="0.25">
      <c r="A55" s="79"/>
      <c r="B55" s="21" t="str">
        <f>IF(A55="","",IFERROR(VLOOKUP(A55,DB_Customers!$A:$D,4,0),"❌ Account Not Found"))</f>
        <v/>
      </c>
      <c r="C55" s="80" t="str">
        <f>IF(A55="","",IFERROR(VLOOKUP(A55,DB_Customers!$A:$N,14,0),""))</f>
        <v/>
      </c>
      <c r="D55" s="81" t="str">
        <f t="shared" ca="1" si="3"/>
        <v/>
      </c>
      <c r="E55" s="97"/>
      <c r="F55" s="21"/>
      <c r="G55" s="98" t="str">
        <f t="shared" si="4"/>
        <v/>
      </c>
      <c r="H55" s="23"/>
      <c r="I55" s="84"/>
      <c r="J55" s="85" t="str">
        <f>IF(AND(A55&lt;&gt;"",E55&lt;&gt;""),IF(I55="","⚠️ Enter Code",IF(IFERROR(VLOOKUP(H55,DB_Agents!$B:$I,8,0),"")=I55,IF(C55&gt;=E55,"Successful","Unsuccessful"),"🔒 BLOCKED — Wrong Code")),"—")</f>
        <v>—</v>
      </c>
      <c r="K55" s="86" t="str">
        <f t="shared" ca="1" si="5"/>
        <v>—</v>
      </c>
      <c r="L55" s="87"/>
    </row>
    <row r="56" spans="1:12" x14ac:dyDescent="0.25">
      <c r="A56" s="88"/>
      <c r="B56" s="25" t="str">
        <f>IF(A56="","",IFERROR(VLOOKUP(A56,DB_Customers!$A:$D,4,0),"❌ Account Not Found"))</f>
        <v/>
      </c>
      <c r="C56" s="89" t="str">
        <f>IF(A56="","",IFERROR(VLOOKUP(A56,DB_Customers!$A:$N,14,0),""))</f>
        <v/>
      </c>
      <c r="D56" s="90" t="str">
        <f t="shared" ca="1" si="3"/>
        <v/>
      </c>
      <c r="E56" s="97"/>
      <c r="F56" s="25"/>
      <c r="G56" s="99" t="str">
        <f t="shared" si="4"/>
        <v/>
      </c>
      <c r="H56" s="27"/>
      <c r="I56" s="84"/>
      <c r="J56" s="92" t="str">
        <f>IF(AND(A56&lt;&gt;"",E56&lt;&gt;""),IF(I56="","⚠️ Enter Code",IF(IFERROR(VLOOKUP(H56,DB_Agents!$B:$I,8,0),"")=I56,IF(C56&gt;=E56,"Successful","Unsuccessful"),"🔒 BLOCKED — Wrong Code")),"—")</f>
        <v>—</v>
      </c>
      <c r="K56" s="93" t="str">
        <f t="shared" ca="1" si="5"/>
        <v>—</v>
      </c>
      <c r="L56" s="94"/>
    </row>
    <row r="57" spans="1:12" x14ac:dyDescent="0.25">
      <c r="A57" s="79"/>
      <c r="B57" s="21" t="str">
        <f>IF(A57="","",IFERROR(VLOOKUP(A57,DB_Customers!$A:$D,4,0),"❌ Account Not Found"))</f>
        <v/>
      </c>
      <c r="C57" s="80" t="str">
        <f>IF(A57="","",IFERROR(VLOOKUP(A57,DB_Customers!$A:$N,14,0),""))</f>
        <v/>
      </c>
      <c r="D57" s="81" t="str">
        <f t="shared" ca="1" si="3"/>
        <v/>
      </c>
      <c r="E57" s="97"/>
      <c r="F57" s="21"/>
      <c r="G57" s="98" t="str">
        <f t="shared" si="4"/>
        <v/>
      </c>
      <c r="H57" s="23"/>
      <c r="I57" s="84"/>
      <c r="J57" s="85" t="str">
        <f>IF(AND(A57&lt;&gt;"",E57&lt;&gt;""),IF(I57="","⚠️ Enter Code",IF(IFERROR(VLOOKUP(H57,DB_Agents!$B:$I,8,0),"")=I57,IF(C57&gt;=E57,"Successful","Unsuccessful"),"🔒 BLOCKED — Wrong Code")),"—")</f>
        <v>—</v>
      </c>
      <c r="K57" s="86" t="str">
        <f t="shared" ca="1" si="5"/>
        <v>—</v>
      </c>
      <c r="L57" s="87"/>
    </row>
    <row r="58" spans="1:12" x14ac:dyDescent="0.25">
      <c r="A58" s="88"/>
      <c r="B58" s="25" t="str">
        <f>IF(A58="","",IFERROR(VLOOKUP(A58,DB_Customers!$A:$D,4,0),"❌ Account Not Found"))</f>
        <v/>
      </c>
      <c r="C58" s="89" t="str">
        <f>IF(A58="","",IFERROR(VLOOKUP(A58,DB_Customers!$A:$N,14,0),""))</f>
        <v/>
      </c>
      <c r="D58" s="90" t="str">
        <f t="shared" ca="1" si="3"/>
        <v/>
      </c>
      <c r="E58" s="97"/>
      <c r="F58" s="25"/>
      <c r="G58" s="99" t="str">
        <f t="shared" si="4"/>
        <v/>
      </c>
      <c r="H58" s="27"/>
      <c r="I58" s="84"/>
      <c r="J58" s="92" t="str">
        <f>IF(AND(A58&lt;&gt;"",E58&lt;&gt;""),IF(I58="","⚠️ Enter Code",IF(IFERROR(VLOOKUP(H58,DB_Agents!$B:$I,8,0),"")=I58,IF(C58&gt;=E58,"Successful","Unsuccessful"),"🔒 BLOCKED — Wrong Code")),"—")</f>
        <v>—</v>
      </c>
      <c r="K58" s="93" t="str">
        <f t="shared" ca="1" si="5"/>
        <v>—</v>
      </c>
      <c r="L58" s="94"/>
    </row>
    <row r="59" spans="1:12" x14ac:dyDescent="0.25">
      <c r="A59" s="79"/>
      <c r="B59" s="21" t="str">
        <f>IF(A59="","",IFERROR(VLOOKUP(A59,DB_Customers!$A:$D,4,0),"❌ Account Not Found"))</f>
        <v/>
      </c>
      <c r="C59" s="80" t="str">
        <f>IF(A59="","",IFERROR(VLOOKUP(A59,DB_Customers!$A:$N,14,0),""))</f>
        <v/>
      </c>
      <c r="D59" s="81" t="str">
        <f t="shared" ca="1" si="3"/>
        <v/>
      </c>
      <c r="E59" s="97"/>
      <c r="F59" s="21"/>
      <c r="G59" s="98" t="str">
        <f t="shared" si="4"/>
        <v/>
      </c>
      <c r="H59" s="23"/>
      <c r="I59" s="84"/>
      <c r="J59" s="85" t="str">
        <f>IF(AND(A59&lt;&gt;"",E59&lt;&gt;""),IF(I59="","⚠️ Enter Code",IF(IFERROR(VLOOKUP(H59,DB_Agents!$B:$I,8,0),"")=I59,IF(C59&gt;=E59,"Successful","Unsuccessful"),"🔒 BLOCKED — Wrong Code")),"—")</f>
        <v>—</v>
      </c>
      <c r="K59" s="86" t="str">
        <f t="shared" ca="1" si="5"/>
        <v>—</v>
      </c>
      <c r="L59" s="87"/>
    </row>
    <row r="60" spans="1:12" x14ac:dyDescent="0.25">
      <c r="A60" s="88"/>
      <c r="B60" s="25" t="str">
        <f>IF(A60="","",IFERROR(VLOOKUP(A60,DB_Customers!$A:$D,4,0),"❌ Account Not Found"))</f>
        <v/>
      </c>
      <c r="C60" s="89" t="str">
        <f>IF(A60="","",IFERROR(VLOOKUP(A60,DB_Customers!$A:$N,14,0),""))</f>
        <v/>
      </c>
      <c r="D60" s="90" t="str">
        <f t="shared" ca="1" si="3"/>
        <v/>
      </c>
      <c r="E60" s="97"/>
      <c r="F60" s="25"/>
      <c r="G60" s="99" t="str">
        <f t="shared" si="4"/>
        <v/>
      </c>
      <c r="H60" s="27"/>
      <c r="I60" s="84"/>
      <c r="J60" s="92" t="str">
        <f>IF(AND(A60&lt;&gt;"",E60&lt;&gt;""),IF(I60="","⚠️ Enter Code",IF(IFERROR(VLOOKUP(H60,DB_Agents!$B:$I,8,0),"")=I60,IF(C60&gt;=E60,"Successful","Unsuccessful"),"🔒 BLOCKED — Wrong Code")),"—")</f>
        <v>—</v>
      </c>
      <c r="K60" s="93" t="str">
        <f t="shared" ca="1" si="5"/>
        <v>—</v>
      </c>
      <c r="L60" s="94"/>
    </row>
    <row r="61" spans="1:12" x14ac:dyDescent="0.25">
      <c r="A61" s="79"/>
      <c r="B61" s="21" t="str">
        <f>IF(A61="","",IFERROR(VLOOKUP(A61,DB_Customers!$A:$D,4,0),"❌ Account Not Found"))</f>
        <v/>
      </c>
      <c r="C61" s="80" t="str">
        <f>IF(A61="","",IFERROR(VLOOKUP(A61,DB_Customers!$A:$N,14,0),""))</f>
        <v/>
      </c>
      <c r="D61" s="81" t="str">
        <f t="shared" ca="1" si="3"/>
        <v/>
      </c>
      <c r="E61" s="97"/>
      <c r="F61" s="21"/>
      <c r="G61" s="98" t="str">
        <f t="shared" si="4"/>
        <v/>
      </c>
      <c r="H61" s="23"/>
      <c r="I61" s="84"/>
      <c r="J61" s="85" t="str">
        <f>IF(AND(A61&lt;&gt;"",E61&lt;&gt;""),IF(I61="","⚠️ Enter Code",IF(IFERROR(VLOOKUP(H61,DB_Agents!$B:$I,8,0),"")=I61,IF(C61&gt;=E61,"Successful","Unsuccessful"),"🔒 BLOCKED — Wrong Code")),"—")</f>
        <v>—</v>
      </c>
      <c r="K61" s="86" t="str">
        <f t="shared" ca="1" si="5"/>
        <v>—</v>
      </c>
      <c r="L61" s="87"/>
    </row>
    <row r="62" spans="1:12" x14ac:dyDescent="0.25">
      <c r="A62" s="88"/>
      <c r="B62" s="25" t="str">
        <f>IF(A62="","",IFERROR(VLOOKUP(A62,DB_Customers!$A:$D,4,0),"❌ Account Not Found"))</f>
        <v/>
      </c>
      <c r="C62" s="89" t="str">
        <f>IF(A62="","",IFERROR(VLOOKUP(A62,DB_Customers!$A:$N,14,0),""))</f>
        <v/>
      </c>
      <c r="D62" s="90" t="str">
        <f t="shared" ca="1" si="3"/>
        <v/>
      </c>
      <c r="E62" s="97"/>
      <c r="F62" s="25"/>
      <c r="G62" s="99" t="str">
        <f t="shared" si="4"/>
        <v/>
      </c>
      <c r="H62" s="27"/>
      <c r="I62" s="84"/>
      <c r="J62" s="92" t="str">
        <f>IF(AND(A62&lt;&gt;"",E62&lt;&gt;""),IF(I62="","⚠️ Enter Code",IF(IFERROR(VLOOKUP(H62,DB_Agents!$B:$I,8,0),"")=I62,IF(C62&gt;=E62,"Successful","Unsuccessful"),"🔒 BLOCKED — Wrong Code")),"—")</f>
        <v>—</v>
      </c>
      <c r="K62" s="93" t="str">
        <f t="shared" ca="1" si="5"/>
        <v>—</v>
      </c>
      <c r="L62" s="94"/>
    </row>
    <row r="63" spans="1:12" x14ac:dyDescent="0.25">
      <c r="A63" s="79"/>
      <c r="B63" s="21" t="str">
        <f>IF(A63="","",IFERROR(VLOOKUP(A63,DB_Customers!$A:$D,4,0),"❌ Account Not Found"))</f>
        <v/>
      </c>
      <c r="C63" s="80" t="str">
        <f>IF(A63="","",IFERROR(VLOOKUP(A63,DB_Customers!$A:$N,14,0),""))</f>
        <v/>
      </c>
      <c r="D63" s="81" t="str">
        <f t="shared" ca="1" si="3"/>
        <v/>
      </c>
      <c r="E63" s="97"/>
      <c r="F63" s="21"/>
      <c r="G63" s="98" t="str">
        <f t="shared" si="4"/>
        <v/>
      </c>
      <c r="H63" s="23"/>
      <c r="I63" s="84"/>
      <c r="J63" s="85" t="str">
        <f>IF(AND(A63&lt;&gt;"",E63&lt;&gt;""),IF(I63="","⚠️ Enter Code",IF(IFERROR(VLOOKUP(H63,DB_Agents!$B:$I,8,0),"")=I63,IF(C63&gt;=E63,"Successful","Unsuccessful"),"🔒 BLOCKED — Wrong Code")),"—")</f>
        <v>—</v>
      </c>
      <c r="K63" s="86" t="str">
        <f t="shared" ca="1" si="5"/>
        <v>—</v>
      </c>
      <c r="L63" s="87"/>
    </row>
    <row r="64" spans="1:12" x14ac:dyDescent="0.25">
      <c r="A64" s="88"/>
      <c r="B64" s="25" t="str">
        <f>IF(A64="","",IFERROR(VLOOKUP(A64,DB_Customers!$A:$D,4,0),"❌ Account Not Found"))</f>
        <v/>
      </c>
      <c r="C64" s="89" t="str">
        <f>IF(A64="","",IFERROR(VLOOKUP(A64,DB_Customers!$A:$N,14,0),""))</f>
        <v/>
      </c>
      <c r="D64" s="90" t="str">
        <f t="shared" ca="1" si="3"/>
        <v/>
      </c>
      <c r="E64" s="97"/>
      <c r="F64" s="25"/>
      <c r="G64" s="99" t="str">
        <f t="shared" si="4"/>
        <v/>
      </c>
      <c r="H64" s="27"/>
      <c r="I64" s="84"/>
      <c r="J64" s="92" t="str">
        <f>IF(AND(A64&lt;&gt;"",E64&lt;&gt;""),IF(I64="","⚠️ Enter Code",IF(IFERROR(VLOOKUP(H64,DB_Agents!$B:$I,8,0),"")=I64,IF(C64&gt;=E64,"Successful","Unsuccessful"),"🔒 BLOCKED — Wrong Code")),"—")</f>
        <v>—</v>
      </c>
      <c r="K64" s="93" t="str">
        <f t="shared" ca="1" si="5"/>
        <v>—</v>
      </c>
      <c r="L64" s="94"/>
    </row>
    <row r="65" spans="1:12" x14ac:dyDescent="0.25">
      <c r="A65" s="79"/>
      <c r="B65" s="21" t="str">
        <f>IF(A65="","",IFERROR(VLOOKUP(A65,DB_Customers!$A:$D,4,0),"❌ Account Not Found"))</f>
        <v/>
      </c>
      <c r="C65" s="80" t="str">
        <f>IF(A65="","",IFERROR(VLOOKUP(A65,DB_Customers!$A:$N,14,0),""))</f>
        <v/>
      </c>
      <c r="D65" s="81" t="str">
        <f t="shared" ca="1" si="3"/>
        <v/>
      </c>
      <c r="E65" s="97"/>
      <c r="F65" s="21"/>
      <c r="G65" s="98" t="str">
        <f t="shared" si="4"/>
        <v/>
      </c>
      <c r="H65" s="23"/>
      <c r="I65" s="84"/>
      <c r="J65" s="85" t="str">
        <f>IF(AND(A65&lt;&gt;"",E65&lt;&gt;""),IF(I65="","⚠️ Enter Code",IF(IFERROR(VLOOKUP(H65,DB_Agents!$B:$I,8,0),"")=I65,IF(C65&gt;=E65,"Successful","Unsuccessful"),"🔒 BLOCKED — Wrong Code")),"—")</f>
        <v>—</v>
      </c>
      <c r="K65" s="86" t="str">
        <f t="shared" ca="1" si="5"/>
        <v>—</v>
      </c>
      <c r="L65" s="87"/>
    </row>
    <row r="66" spans="1:12" x14ac:dyDescent="0.25">
      <c r="A66" s="88"/>
      <c r="B66" s="25" t="str">
        <f>IF(A66="","",IFERROR(VLOOKUP(A66,DB_Customers!$A:$D,4,0),"❌ Account Not Found"))</f>
        <v/>
      </c>
      <c r="C66" s="89" t="str">
        <f>IF(A66="","",IFERROR(VLOOKUP(A66,DB_Customers!$A:$N,14,0),""))</f>
        <v/>
      </c>
      <c r="D66" s="90" t="str">
        <f t="shared" ca="1" si="3"/>
        <v/>
      </c>
      <c r="E66" s="97"/>
      <c r="F66" s="25"/>
      <c r="G66" s="99" t="str">
        <f t="shared" si="4"/>
        <v/>
      </c>
      <c r="H66" s="27"/>
      <c r="I66" s="84"/>
      <c r="J66" s="92" t="str">
        <f>IF(AND(A66&lt;&gt;"",E66&lt;&gt;""),IF(I66="","⚠️ Enter Code",IF(IFERROR(VLOOKUP(H66,DB_Agents!$B:$I,8,0),"")=I66,IF(C66&gt;=E66,"Successful","Unsuccessful"),"🔒 BLOCKED — Wrong Code")),"—")</f>
        <v>—</v>
      </c>
      <c r="K66" s="93" t="str">
        <f t="shared" ca="1" si="5"/>
        <v>—</v>
      </c>
      <c r="L66" s="94"/>
    </row>
    <row r="67" spans="1:12" x14ac:dyDescent="0.25">
      <c r="A67" s="79"/>
      <c r="B67" s="21" t="str">
        <f>IF(A67="","",IFERROR(VLOOKUP(A67,DB_Customers!$A:$D,4,0),"❌ Account Not Found"))</f>
        <v/>
      </c>
      <c r="C67" s="80" t="str">
        <f>IF(A67="","",IFERROR(VLOOKUP(A67,DB_Customers!$A:$N,14,0),""))</f>
        <v/>
      </c>
      <c r="D67" s="81" t="str">
        <f t="shared" ca="1" si="3"/>
        <v/>
      </c>
      <c r="E67" s="97"/>
      <c r="F67" s="21"/>
      <c r="G67" s="98" t="str">
        <f t="shared" si="4"/>
        <v/>
      </c>
      <c r="H67" s="23"/>
      <c r="I67" s="84"/>
      <c r="J67" s="85" t="str">
        <f>IF(AND(A67&lt;&gt;"",E67&lt;&gt;""),IF(I67="","⚠️ Enter Code",IF(IFERROR(VLOOKUP(H67,DB_Agents!$B:$I,8,0),"")=I67,IF(C67&gt;=E67,"Successful","Unsuccessful"),"🔒 BLOCKED — Wrong Code")),"—")</f>
        <v>—</v>
      </c>
      <c r="K67" s="86" t="str">
        <f t="shared" ca="1" si="5"/>
        <v>—</v>
      </c>
      <c r="L67" s="87"/>
    </row>
    <row r="68" spans="1:12" x14ac:dyDescent="0.25">
      <c r="A68" s="88"/>
      <c r="B68" s="25" t="str">
        <f>IF(A68="","",IFERROR(VLOOKUP(A68,DB_Customers!$A:$D,4,0),"❌ Account Not Found"))</f>
        <v/>
      </c>
      <c r="C68" s="89" t="str">
        <f>IF(A68="","",IFERROR(VLOOKUP(A68,DB_Customers!$A:$N,14,0),""))</f>
        <v/>
      </c>
      <c r="D68" s="90" t="str">
        <f t="shared" ca="1" si="3"/>
        <v/>
      </c>
      <c r="E68" s="97"/>
      <c r="F68" s="25"/>
      <c r="G68" s="99" t="str">
        <f t="shared" si="4"/>
        <v/>
      </c>
      <c r="H68" s="27"/>
      <c r="I68" s="84"/>
      <c r="J68" s="92" t="str">
        <f>IF(AND(A68&lt;&gt;"",E68&lt;&gt;""),IF(I68="","⚠️ Enter Code",IF(IFERROR(VLOOKUP(H68,DB_Agents!$B:$I,8,0),"")=I68,IF(C68&gt;=E68,"Successful","Unsuccessful"),"🔒 BLOCKED — Wrong Code")),"—")</f>
        <v>—</v>
      </c>
      <c r="K68" s="93" t="str">
        <f t="shared" ca="1" si="5"/>
        <v>—</v>
      </c>
      <c r="L68" s="94"/>
    </row>
    <row r="69" spans="1:12" x14ac:dyDescent="0.25">
      <c r="A69" s="79"/>
      <c r="B69" s="21" t="str">
        <f>IF(A69="","",IFERROR(VLOOKUP(A69,DB_Customers!$A:$D,4,0),"❌ Account Not Found"))</f>
        <v/>
      </c>
      <c r="C69" s="80" t="str">
        <f>IF(A69="","",IFERROR(VLOOKUP(A69,DB_Customers!$A:$N,14,0),""))</f>
        <v/>
      </c>
      <c r="D69" s="81" t="str">
        <f t="shared" ca="1" si="3"/>
        <v/>
      </c>
      <c r="E69" s="97"/>
      <c r="F69" s="21"/>
      <c r="G69" s="98" t="str">
        <f t="shared" si="4"/>
        <v/>
      </c>
      <c r="H69" s="23"/>
      <c r="I69" s="84"/>
      <c r="J69" s="85" t="str">
        <f>IF(AND(A69&lt;&gt;"",E69&lt;&gt;""),IF(I69="","⚠️ Enter Code",IF(IFERROR(VLOOKUP(H69,DB_Agents!$B:$I,8,0),"")=I69,IF(C69&gt;=E69,"Successful","Unsuccessful"),"🔒 BLOCKED — Wrong Code")),"—")</f>
        <v>—</v>
      </c>
      <c r="K69" s="86" t="str">
        <f t="shared" ca="1" si="5"/>
        <v>—</v>
      </c>
      <c r="L69" s="87"/>
    </row>
    <row r="70" spans="1:12" x14ac:dyDescent="0.25">
      <c r="A70" s="88"/>
      <c r="B70" s="25" t="str">
        <f>IF(A70="","",IFERROR(VLOOKUP(A70,DB_Customers!$A:$D,4,0),"❌ Account Not Found"))</f>
        <v/>
      </c>
      <c r="C70" s="89" t="str">
        <f>IF(A70="","",IFERROR(VLOOKUP(A70,DB_Customers!$A:$N,14,0),""))</f>
        <v/>
      </c>
      <c r="D70" s="90" t="str">
        <f t="shared" ca="1" si="3"/>
        <v/>
      </c>
      <c r="E70" s="97"/>
      <c r="F70" s="25"/>
      <c r="G70" s="99" t="str">
        <f t="shared" si="4"/>
        <v/>
      </c>
      <c r="H70" s="27"/>
      <c r="I70" s="84"/>
      <c r="J70" s="92" t="str">
        <f>IF(AND(A70&lt;&gt;"",E70&lt;&gt;""),IF(I70="","⚠️ Enter Code",IF(IFERROR(VLOOKUP(H70,DB_Agents!$B:$I,8,0),"")=I70,IF(C70&gt;=E70,"Successful","Unsuccessful"),"🔒 BLOCKED — Wrong Code")),"—")</f>
        <v>—</v>
      </c>
      <c r="K70" s="93" t="str">
        <f t="shared" ca="1" si="5"/>
        <v>—</v>
      </c>
      <c r="L70" s="94"/>
    </row>
    <row r="71" spans="1:12" x14ac:dyDescent="0.25">
      <c r="A71" s="79"/>
      <c r="B71" s="21" t="str">
        <f>IF(A71="","",IFERROR(VLOOKUP(A71,DB_Customers!$A:$D,4,0),"❌ Account Not Found"))</f>
        <v/>
      </c>
      <c r="C71" s="80" t="str">
        <f>IF(A71="","",IFERROR(VLOOKUP(A71,DB_Customers!$A:$N,14,0),""))</f>
        <v/>
      </c>
      <c r="D71" s="81" t="str">
        <f t="shared" ca="1" si="3"/>
        <v/>
      </c>
      <c r="E71" s="97"/>
      <c r="F71" s="21"/>
      <c r="G71" s="98" t="str">
        <f t="shared" si="4"/>
        <v/>
      </c>
      <c r="H71" s="23"/>
      <c r="I71" s="84"/>
      <c r="J71" s="85" t="str">
        <f>IF(AND(A71&lt;&gt;"",E71&lt;&gt;""),IF(I71="","⚠️ Enter Code",IF(IFERROR(VLOOKUP(H71,DB_Agents!$B:$I,8,0),"")=I71,IF(C71&gt;=E71,"Successful","Unsuccessful"),"🔒 BLOCKED — Wrong Code")),"—")</f>
        <v>—</v>
      </c>
      <c r="K71" s="86" t="str">
        <f t="shared" ca="1" si="5"/>
        <v>—</v>
      </c>
      <c r="L71" s="87"/>
    </row>
    <row r="72" spans="1:12" x14ac:dyDescent="0.25">
      <c r="A72" s="88"/>
      <c r="B72" s="25" t="str">
        <f>IF(A72="","",IFERROR(VLOOKUP(A72,DB_Customers!$A:$D,4,0),"❌ Account Not Found"))</f>
        <v/>
      </c>
      <c r="C72" s="89" t="str">
        <f>IF(A72="","",IFERROR(VLOOKUP(A72,DB_Customers!$A:$N,14,0),""))</f>
        <v/>
      </c>
      <c r="D72" s="90" t="str">
        <f t="shared" ca="1" si="3"/>
        <v/>
      </c>
      <c r="E72" s="97"/>
      <c r="F72" s="25"/>
      <c r="G72" s="99" t="str">
        <f t="shared" si="4"/>
        <v/>
      </c>
      <c r="H72" s="27"/>
      <c r="I72" s="84"/>
      <c r="J72" s="92" t="str">
        <f>IF(AND(A72&lt;&gt;"",E72&lt;&gt;""),IF(I72="","⚠️ Enter Code",IF(IFERROR(VLOOKUP(H72,DB_Agents!$B:$I,8,0),"")=I72,IF(C72&gt;=E72,"Successful","Unsuccessful"),"🔒 BLOCKED — Wrong Code")),"—")</f>
        <v>—</v>
      </c>
      <c r="K72" s="93" t="str">
        <f t="shared" ca="1" si="5"/>
        <v>—</v>
      </c>
      <c r="L72" s="94"/>
    </row>
    <row r="73" spans="1:12" x14ac:dyDescent="0.25">
      <c r="A73" s="79"/>
      <c r="B73" s="21" t="str">
        <f>IF(A73="","",IFERROR(VLOOKUP(A73,DB_Customers!$A:$D,4,0),"❌ Account Not Found"))</f>
        <v/>
      </c>
      <c r="C73" s="80" t="str">
        <f>IF(A73="","",IFERROR(VLOOKUP(A73,DB_Customers!$A:$N,14,0),""))</f>
        <v/>
      </c>
      <c r="D73" s="81" t="str">
        <f t="shared" ref="D73:D104" ca="1" si="6">IF(A73="","",TODAY())</f>
        <v/>
      </c>
      <c r="E73" s="97"/>
      <c r="F73" s="21"/>
      <c r="G73" s="98" t="str">
        <f t="shared" ref="G73:G104" si="7">IF(OR(A73="",E73=""),"",IF(C73="","",C73-E73))</f>
        <v/>
      </c>
      <c r="H73" s="23"/>
      <c r="I73" s="84"/>
      <c r="J73" s="85" t="str">
        <f>IF(AND(A73&lt;&gt;"",E73&lt;&gt;""),IF(I73="","⚠️ Enter Code",IF(IFERROR(VLOOKUP(H73,DB_Agents!$B:$I,8,0),"")=I73,IF(C73&gt;=E73,"Successful","Unsuccessful"),"🔒 BLOCKED — Wrong Code")),"—")</f>
        <v>—</v>
      </c>
      <c r="K73" s="86" t="str">
        <f t="shared" ref="K73:K104" ca="1" si="8">IF(J73="Successful",TEXT(TODAY(),"YYYY-MM-DD")&amp;" Auto","—")</f>
        <v>—</v>
      </c>
      <c r="L73" s="87"/>
    </row>
    <row r="74" spans="1:12" x14ac:dyDescent="0.25">
      <c r="A74" s="88"/>
      <c r="B74" s="25" t="str">
        <f>IF(A74="","",IFERROR(VLOOKUP(A74,DB_Customers!$A:$D,4,0),"❌ Account Not Found"))</f>
        <v/>
      </c>
      <c r="C74" s="89" t="str">
        <f>IF(A74="","",IFERROR(VLOOKUP(A74,DB_Customers!$A:$N,14,0),""))</f>
        <v/>
      </c>
      <c r="D74" s="90" t="str">
        <f t="shared" ca="1" si="6"/>
        <v/>
      </c>
      <c r="E74" s="97"/>
      <c r="F74" s="25"/>
      <c r="G74" s="99" t="str">
        <f t="shared" si="7"/>
        <v/>
      </c>
      <c r="H74" s="27"/>
      <c r="I74" s="84"/>
      <c r="J74" s="92" t="str">
        <f>IF(AND(A74&lt;&gt;"",E74&lt;&gt;""),IF(I74="","⚠️ Enter Code",IF(IFERROR(VLOOKUP(H74,DB_Agents!$B:$I,8,0),"")=I74,IF(C74&gt;=E74,"Successful","Unsuccessful"),"🔒 BLOCKED — Wrong Code")),"—")</f>
        <v>—</v>
      </c>
      <c r="K74" s="93" t="str">
        <f t="shared" ca="1" si="8"/>
        <v>—</v>
      </c>
      <c r="L74" s="94"/>
    </row>
    <row r="75" spans="1:12" x14ac:dyDescent="0.25">
      <c r="A75" s="79"/>
      <c r="B75" s="21" t="str">
        <f>IF(A75="","",IFERROR(VLOOKUP(A75,DB_Customers!$A:$D,4,0),"❌ Account Not Found"))</f>
        <v/>
      </c>
      <c r="C75" s="80" t="str">
        <f>IF(A75="","",IFERROR(VLOOKUP(A75,DB_Customers!$A:$N,14,0),""))</f>
        <v/>
      </c>
      <c r="D75" s="81" t="str">
        <f t="shared" ca="1" si="6"/>
        <v/>
      </c>
      <c r="E75" s="97"/>
      <c r="F75" s="21"/>
      <c r="G75" s="98" t="str">
        <f t="shared" si="7"/>
        <v/>
      </c>
      <c r="H75" s="23"/>
      <c r="I75" s="84"/>
      <c r="J75" s="85" t="str">
        <f>IF(AND(A75&lt;&gt;"",E75&lt;&gt;""),IF(I75="","⚠️ Enter Code",IF(IFERROR(VLOOKUP(H75,DB_Agents!$B:$I,8,0),"")=I75,IF(C75&gt;=E75,"Successful","Unsuccessful"),"🔒 BLOCKED — Wrong Code")),"—")</f>
        <v>—</v>
      </c>
      <c r="K75" s="86" t="str">
        <f t="shared" ca="1" si="8"/>
        <v>—</v>
      </c>
      <c r="L75" s="87"/>
    </row>
    <row r="76" spans="1:12" x14ac:dyDescent="0.25">
      <c r="A76" s="88"/>
      <c r="B76" s="25" t="str">
        <f>IF(A76="","",IFERROR(VLOOKUP(A76,DB_Customers!$A:$D,4,0),"❌ Account Not Found"))</f>
        <v/>
      </c>
      <c r="C76" s="89" t="str">
        <f>IF(A76="","",IFERROR(VLOOKUP(A76,DB_Customers!$A:$N,14,0),""))</f>
        <v/>
      </c>
      <c r="D76" s="90" t="str">
        <f t="shared" ca="1" si="6"/>
        <v/>
      </c>
      <c r="E76" s="97"/>
      <c r="F76" s="25"/>
      <c r="G76" s="99" t="str">
        <f t="shared" si="7"/>
        <v/>
      </c>
      <c r="H76" s="27"/>
      <c r="I76" s="84"/>
      <c r="J76" s="92" t="str">
        <f>IF(AND(A76&lt;&gt;"",E76&lt;&gt;""),IF(I76="","⚠️ Enter Code",IF(IFERROR(VLOOKUP(H76,DB_Agents!$B:$I,8,0),"")=I76,IF(C76&gt;=E76,"Successful","Unsuccessful"),"🔒 BLOCKED — Wrong Code")),"—")</f>
        <v>—</v>
      </c>
      <c r="K76" s="93" t="str">
        <f t="shared" ca="1" si="8"/>
        <v>—</v>
      </c>
      <c r="L76" s="94"/>
    </row>
    <row r="77" spans="1:12" x14ac:dyDescent="0.25">
      <c r="A77" s="79"/>
      <c r="B77" s="21" t="str">
        <f>IF(A77="","",IFERROR(VLOOKUP(A77,DB_Customers!$A:$D,4,0),"❌ Account Not Found"))</f>
        <v/>
      </c>
      <c r="C77" s="80" t="str">
        <f>IF(A77="","",IFERROR(VLOOKUP(A77,DB_Customers!$A:$N,14,0),""))</f>
        <v/>
      </c>
      <c r="D77" s="81" t="str">
        <f t="shared" ca="1" si="6"/>
        <v/>
      </c>
      <c r="E77" s="97"/>
      <c r="F77" s="21"/>
      <c r="G77" s="98" t="str">
        <f t="shared" si="7"/>
        <v/>
      </c>
      <c r="H77" s="23"/>
      <c r="I77" s="84"/>
      <c r="J77" s="85" t="str">
        <f>IF(AND(A77&lt;&gt;"",E77&lt;&gt;""),IF(I77="","⚠️ Enter Code",IF(IFERROR(VLOOKUP(H77,DB_Agents!$B:$I,8,0),"")=I77,IF(C77&gt;=E77,"Successful","Unsuccessful"),"🔒 BLOCKED — Wrong Code")),"—")</f>
        <v>—</v>
      </c>
      <c r="K77" s="86" t="str">
        <f t="shared" ca="1" si="8"/>
        <v>—</v>
      </c>
      <c r="L77" s="87"/>
    </row>
    <row r="78" spans="1:12" x14ac:dyDescent="0.25">
      <c r="A78" s="88"/>
      <c r="B78" s="25" t="str">
        <f>IF(A78="","",IFERROR(VLOOKUP(A78,DB_Customers!$A:$D,4,0),"❌ Account Not Found"))</f>
        <v/>
      </c>
      <c r="C78" s="89" t="str">
        <f>IF(A78="","",IFERROR(VLOOKUP(A78,DB_Customers!$A:$N,14,0),""))</f>
        <v/>
      </c>
      <c r="D78" s="90" t="str">
        <f t="shared" ca="1" si="6"/>
        <v/>
      </c>
      <c r="E78" s="97"/>
      <c r="F78" s="25"/>
      <c r="G78" s="99" t="str">
        <f t="shared" si="7"/>
        <v/>
      </c>
      <c r="H78" s="27"/>
      <c r="I78" s="84"/>
      <c r="J78" s="92" t="str">
        <f>IF(AND(A78&lt;&gt;"",E78&lt;&gt;""),IF(I78="","⚠️ Enter Code",IF(IFERROR(VLOOKUP(H78,DB_Agents!$B:$I,8,0),"")=I78,IF(C78&gt;=E78,"Successful","Unsuccessful"),"🔒 BLOCKED — Wrong Code")),"—")</f>
        <v>—</v>
      </c>
      <c r="K78" s="93" t="str">
        <f t="shared" ca="1" si="8"/>
        <v>—</v>
      </c>
      <c r="L78" s="94"/>
    </row>
    <row r="79" spans="1:12" x14ac:dyDescent="0.25">
      <c r="A79" s="79"/>
      <c r="B79" s="21" t="str">
        <f>IF(A79="","",IFERROR(VLOOKUP(A79,DB_Customers!$A:$D,4,0),"❌ Account Not Found"))</f>
        <v/>
      </c>
      <c r="C79" s="80" t="str">
        <f>IF(A79="","",IFERROR(VLOOKUP(A79,DB_Customers!$A:$N,14,0),""))</f>
        <v/>
      </c>
      <c r="D79" s="81" t="str">
        <f t="shared" ca="1" si="6"/>
        <v/>
      </c>
      <c r="E79" s="97"/>
      <c r="F79" s="21"/>
      <c r="G79" s="98" t="str">
        <f t="shared" si="7"/>
        <v/>
      </c>
      <c r="H79" s="23"/>
      <c r="I79" s="84"/>
      <c r="J79" s="85" t="str">
        <f>IF(AND(A79&lt;&gt;"",E79&lt;&gt;""),IF(I79="","⚠️ Enter Code",IF(IFERROR(VLOOKUP(H79,DB_Agents!$B:$I,8,0),"")=I79,IF(C79&gt;=E79,"Successful","Unsuccessful"),"🔒 BLOCKED — Wrong Code")),"—")</f>
        <v>—</v>
      </c>
      <c r="K79" s="86" t="str">
        <f t="shared" ca="1" si="8"/>
        <v>—</v>
      </c>
      <c r="L79" s="87"/>
    </row>
    <row r="80" spans="1:12" x14ac:dyDescent="0.25">
      <c r="A80" s="88"/>
      <c r="B80" s="25" t="str">
        <f>IF(A80="","",IFERROR(VLOOKUP(A80,DB_Customers!$A:$D,4,0),"❌ Account Not Found"))</f>
        <v/>
      </c>
      <c r="C80" s="89" t="str">
        <f>IF(A80="","",IFERROR(VLOOKUP(A80,DB_Customers!$A:$N,14,0),""))</f>
        <v/>
      </c>
      <c r="D80" s="90" t="str">
        <f t="shared" ca="1" si="6"/>
        <v/>
      </c>
      <c r="E80" s="97"/>
      <c r="F80" s="25"/>
      <c r="G80" s="99" t="str">
        <f t="shared" si="7"/>
        <v/>
      </c>
      <c r="H80" s="27"/>
      <c r="I80" s="84"/>
      <c r="J80" s="92" t="str">
        <f>IF(AND(A80&lt;&gt;"",E80&lt;&gt;""),IF(I80="","⚠️ Enter Code",IF(IFERROR(VLOOKUP(H80,DB_Agents!$B:$I,8,0),"")=I80,IF(C80&gt;=E80,"Successful","Unsuccessful"),"🔒 BLOCKED — Wrong Code")),"—")</f>
        <v>—</v>
      </c>
      <c r="K80" s="93" t="str">
        <f t="shared" ca="1" si="8"/>
        <v>—</v>
      </c>
      <c r="L80" s="94"/>
    </row>
    <row r="81" spans="1:12" x14ac:dyDescent="0.25">
      <c r="A81" s="79"/>
      <c r="B81" s="21" t="str">
        <f>IF(A81="","",IFERROR(VLOOKUP(A81,DB_Customers!$A:$D,4,0),"❌ Account Not Found"))</f>
        <v/>
      </c>
      <c r="C81" s="80" t="str">
        <f>IF(A81="","",IFERROR(VLOOKUP(A81,DB_Customers!$A:$N,14,0),""))</f>
        <v/>
      </c>
      <c r="D81" s="81" t="str">
        <f t="shared" ca="1" si="6"/>
        <v/>
      </c>
      <c r="E81" s="97"/>
      <c r="F81" s="21"/>
      <c r="G81" s="98" t="str">
        <f t="shared" si="7"/>
        <v/>
      </c>
      <c r="H81" s="23"/>
      <c r="I81" s="84"/>
      <c r="J81" s="85" t="str">
        <f>IF(AND(A81&lt;&gt;"",E81&lt;&gt;""),IF(I81="","⚠️ Enter Code",IF(IFERROR(VLOOKUP(H81,DB_Agents!$B:$I,8,0),"")=I81,IF(C81&gt;=E81,"Successful","Unsuccessful"),"🔒 BLOCKED — Wrong Code")),"—")</f>
        <v>—</v>
      </c>
      <c r="K81" s="86" t="str">
        <f t="shared" ca="1" si="8"/>
        <v>—</v>
      </c>
      <c r="L81" s="87"/>
    </row>
    <row r="82" spans="1:12" x14ac:dyDescent="0.25">
      <c r="A82" s="88"/>
      <c r="B82" s="25" t="str">
        <f>IF(A82="","",IFERROR(VLOOKUP(A82,DB_Customers!$A:$D,4,0),"❌ Account Not Found"))</f>
        <v/>
      </c>
      <c r="C82" s="89" t="str">
        <f>IF(A82="","",IFERROR(VLOOKUP(A82,DB_Customers!$A:$N,14,0),""))</f>
        <v/>
      </c>
      <c r="D82" s="90" t="str">
        <f t="shared" ca="1" si="6"/>
        <v/>
      </c>
      <c r="E82" s="97"/>
      <c r="F82" s="25"/>
      <c r="G82" s="99" t="str">
        <f t="shared" si="7"/>
        <v/>
      </c>
      <c r="H82" s="27"/>
      <c r="I82" s="84"/>
      <c r="J82" s="92" t="str">
        <f>IF(AND(A82&lt;&gt;"",E82&lt;&gt;""),IF(I82="","⚠️ Enter Code",IF(IFERROR(VLOOKUP(H82,DB_Agents!$B:$I,8,0),"")=I82,IF(C82&gt;=E82,"Successful","Unsuccessful"),"🔒 BLOCKED — Wrong Code")),"—")</f>
        <v>—</v>
      </c>
      <c r="K82" s="93" t="str">
        <f t="shared" ca="1" si="8"/>
        <v>—</v>
      </c>
      <c r="L82" s="94"/>
    </row>
    <row r="83" spans="1:12" x14ac:dyDescent="0.25">
      <c r="A83" s="79"/>
      <c r="B83" s="21" t="str">
        <f>IF(A83="","",IFERROR(VLOOKUP(A83,DB_Customers!$A:$D,4,0),"❌ Account Not Found"))</f>
        <v/>
      </c>
      <c r="C83" s="80" t="str">
        <f>IF(A83="","",IFERROR(VLOOKUP(A83,DB_Customers!$A:$N,14,0),""))</f>
        <v/>
      </c>
      <c r="D83" s="81" t="str">
        <f t="shared" ca="1" si="6"/>
        <v/>
      </c>
      <c r="E83" s="97"/>
      <c r="F83" s="21"/>
      <c r="G83" s="98" t="str">
        <f t="shared" si="7"/>
        <v/>
      </c>
      <c r="H83" s="23"/>
      <c r="I83" s="84"/>
      <c r="J83" s="85" t="str">
        <f>IF(AND(A83&lt;&gt;"",E83&lt;&gt;""),IF(I83="","⚠️ Enter Code",IF(IFERROR(VLOOKUP(H83,DB_Agents!$B:$I,8,0),"")=I83,IF(C83&gt;=E83,"Successful","Unsuccessful"),"🔒 BLOCKED — Wrong Code")),"—")</f>
        <v>—</v>
      </c>
      <c r="K83" s="86" t="str">
        <f t="shared" ca="1" si="8"/>
        <v>—</v>
      </c>
      <c r="L83" s="87"/>
    </row>
    <row r="84" spans="1:12" x14ac:dyDescent="0.25">
      <c r="A84" s="88"/>
      <c r="B84" s="25" t="str">
        <f>IF(A84="","",IFERROR(VLOOKUP(A84,DB_Customers!$A:$D,4,0),"❌ Account Not Found"))</f>
        <v/>
      </c>
      <c r="C84" s="89" t="str">
        <f>IF(A84="","",IFERROR(VLOOKUP(A84,DB_Customers!$A:$N,14,0),""))</f>
        <v/>
      </c>
      <c r="D84" s="90" t="str">
        <f t="shared" ca="1" si="6"/>
        <v/>
      </c>
      <c r="E84" s="97"/>
      <c r="F84" s="25"/>
      <c r="G84" s="99" t="str">
        <f t="shared" si="7"/>
        <v/>
      </c>
      <c r="H84" s="27"/>
      <c r="I84" s="84"/>
      <c r="J84" s="92" t="str">
        <f>IF(AND(A84&lt;&gt;"",E84&lt;&gt;""),IF(I84="","⚠️ Enter Code",IF(IFERROR(VLOOKUP(H84,DB_Agents!$B:$I,8,0),"")=I84,IF(C84&gt;=E84,"Successful","Unsuccessful"),"🔒 BLOCKED — Wrong Code")),"—")</f>
        <v>—</v>
      </c>
      <c r="K84" s="93" t="str">
        <f t="shared" ca="1" si="8"/>
        <v>—</v>
      </c>
      <c r="L84" s="94"/>
    </row>
    <row r="85" spans="1:12" x14ac:dyDescent="0.25">
      <c r="A85" s="79"/>
      <c r="B85" s="21" t="str">
        <f>IF(A85="","",IFERROR(VLOOKUP(A85,DB_Customers!$A:$D,4,0),"❌ Account Not Found"))</f>
        <v/>
      </c>
      <c r="C85" s="80" t="str">
        <f>IF(A85="","",IFERROR(VLOOKUP(A85,DB_Customers!$A:$N,14,0),""))</f>
        <v/>
      </c>
      <c r="D85" s="81" t="str">
        <f t="shared" ca="1" si="6"/>
        <v/>
      </c>
      <c r="E85" s="97"/>
      <c r="F85" s="21"/>
      <c r="G85" s="98" t="str">
        <f t="shared" si="7"/>
        <v/>
      </c>
      <c r="H85" s="23"/>
      <c r="I85" s="84"/>
      <c r="J85" s="85" t="str">
        <f>IF(AND(A85&lt;&gt;"",E85&lt;&gt;""),IF(I85="","⚠️ Enter Code",IF(IFERROR(VLOOKUP(H85,DB_Agents!$B:$I,8,0),"")=I85,IF(C85&gt;=E85,"Successful","Unsuccessful"),"🔒 BLOCKED — Wrong Code")),"—")</f>
        <v>—</v>
      </c>
      <c r="K85" s="86" t="str">
        <f t="shared" ca="1" si="8"/>
        <v>—</v>
      </c>
      <c r="L85" s="87"/>
    </row>
    <row r="86" spans="1:12" x14ac:dyDescent="0.25">
      <c r="A86" s="88"/>
      <c r="B86" s="25" t="str">
        <f>IF(A86="","",IFERROR(VLOOKUP(A86,DB_Customers!$A:$D,4,0),"❌ Account Not Found"))</f>
        <v/>
      </c>
      <c r="C86" s="89" t="str">
        <f>IF(A86="","",IFERROR(VLOOKUP(A86,DB_Customers!$A:$N,14,0),""))</f>
        <v/>
      </c>
      <c r="D86" s="90" t="str">
        <f t="shared" ca="1" si="6"/>
        <v/>
      </c>
      <c r="E86" s="97"/>
      <c r="F86" s="25"/>
      <c r="G86" s="99" t="str">
        <f t="shared" si="7"/>
        <v/>
      </c>
      <c r="H86" s="27"/>
      <c r="I86" s="84"/>
      <c r="J86" s="92" t="str">
        <f>IF(AND(A86&lt;&gt;"",E86&lt;&gt;""),IF(I86="","⚠️ Enter Code",IF(IFERROR(VLOOKUP(H86,DB_Agents!$B:$I,8,0),"")=I86,IF(C86&gt;=E86,"Successful","Unsuccessful"),"🔒 BLOCKED — Wrong Code")),"—")</f>
        <v>—</v>
      </c>
      <c r="K86" s="93" t="str">
        <f t="shared" ca="1" si="8"/>
        <v>—</v>
      </c>
      <c r="L86" s="94"/>
    </row>
    <row r="87" spans="1:12" x14ac:dyDescent="0.25">
      <c r="A87" s="79"/>
      <c r="B87" s="21" t="str">
        <f>IF(A87="","",IFERROR(VLOOKUP(A87,DB_Customers!$A:$D,4,0),"❌ Account Not Found"))</f>
        <v/>
      </c>
      <c r="C87" s="80" t="str">
        <f>IF(A87="","",IFERROR(VLOOKUP(A87,DB_Customers!$A:$N,14,0),""))</f>
        <v/>
      </c>
      <c r="D87" s="81" t="str">
        <f t="shared" ca="1" si="6"/>
        <v/>
      </c>
      <c r="E87" s="97"/>
      <c r="F87" s="21"/>
      <c r="G87" s="98" t="str">
        <f t="shared" si="7"/>
        <v/>
      </c>
      <c r="H87" s="23"/>
      <c r="I87" s="84"/>
      <c r="J87" s="85" t="str">
        <f>IF(AND(A87&lt;&gt;"",E87&lt;&gt;""),IF(I87="","⚠️ Enter Code",IF(IFERROR(VLOOKUP(H87,DB_Agents!$B:$I,8,0),"")=I87,IF(C87&gt;=E87,"Successful","Unsuccessful"),"🔒 BLOCKED — Wrong Code")),"—")</f>
        <v>—</v>
      </c>
      <c r="K87" s="86" t="str">
        <f t="shared" ca="1" si="8"/>
        <v>—</v>
      </c>
      <c r="L87" s="87"/>
    </row>
    <row r="88" spans="1:12" x14ac:dyDescent="0.25">
      <c r="A88" s="88"/>
      <c r="B88" s="25" t="str">
        <f>IF(A88="","",IFERROR(VLOOKUP(A88,DB_Customers!$A:$D,4,0),"❌ Account Not Found"))</f>
        <v/>
      </c>
      <c r="C88" s="89" t="str">
        <f>IF(A88="","",IFERROR(VLOOKUP(A88,DB_Customers!$A:$N,14,0),""))</f>
        <v/>
      </c>
      <c r="D88" s="90" t="str">
        <f t="shared" ca="1" si="6"/>
        <v/>
      </c>
      <c r="E88" s="97"/>
      <c r="F88" s="25"/>
      <c r="G88" s="99" t="str">
        <f t="shared" si="7"/>
        <v/>
      </c>
      <c r="H88" s="27"/>
      <c r="I88" s="84"/>
      <c r="J88" s="92" t="str">
        <f>IF(AND(A88&lt;&gt;"",E88&lt;&gt;""),IF(I88="","⚠️ Enter Code",IF(IFERROR(VLOOKUP(H88,DB_Agents!$B:$I,8,0),"")=I88,IF(C88&gt;=E88,"Successful","Unsuccessful"),"🔒 BLOCKED — Wrong Code")),"—")</f>
        <v>—</v>
      </c>
      <c r="K88" s="93" t="str">
        <f t="shared" ca="1" si="8"/>
        <v>—</v>
      </c>
      <c r="L88" s="94"/>
    </row>
    <row r="89" spans="1:12" x14ac:dyDescent="0.25">
      <c r="A89" s="79"/>
      <c r="B89" s="21" t="str">
        <f>IF(A89="","",IFERROR(VLOOKUP(A89,DB_Customers!$A:$D,4,0),"❌ Account Not Found"))</f>
        <v/>
      </c>
      <c r="C89" s="80" t="str">
        <f>IF(A89="","",IFERROR(VLOOKUP(A89,DB_Customers!$A:$N,14,0),""))</f>
        <v/>
      </c>
      <c r="D89" s="81" t="str">
        <f t="shared" ca="1" si="6"/>
        <v/>
      </c>
      <c r="E89" s="97"/>
      <c r="F89" s="21"/>
      <c r="G89" s="98" t="str">
        <f t="shared" si="7"/>
        <v/>
      </c>
      <c r="H89" s="23"/>
      <c r="I89" s="84"/>
      <c r="J89" s="85" t="str">
        <f>IF(AND(A89&lt;&gt;"",E89&lt;&gt;""),IF(I89="","⚠️ Enter Code",IF(IFERROR(VLOOKUP(H89,DB_Agents!$B:$I,8,0),"")=I89,IF(C89&gt;=E89,"Successful","Unsuccessful"),"🔒 BLOCKED — Wrong Code")),"—")</f>
        <v>—</v>
      </c>
      <c r="K89" s="86" t="str">
        <f t="shared" ca="1" si="8"/>
        <v>—</v>
      </c>
      <c r="L89" s="87"/>
    </row>
    <row r="90" spans="1:12" x14ac:dyDescent="0.25">
      <c r="A90" s="88"/>
      <c r="B90" s="25" t="str">
        <f>IF(A90="","",IFERROR(VLOOKUP(A90,DB_Customers!$A:$D,4,0),"❌ Account Not Found"))</f>
        <v/>
      </c>
      <c r="C90" s="89" t="str">
        <f>IF(A90="","",IFERROR(VLOOKUP(A90,DB_Customers!$A:$N,14,0),""))</f>
        <v/>
      </c>
      <c r="D90" s="90" t="str">
        <f t="shared" ca="1" si="6"/>
        <v/>
      </c>
      <c r="E90" s="97"/>
      <c r="F90" s="25"/>
      <c r="G90" s="99" t="str">
        <f t="shared" si="7"/>
        <v/>
      </c>
      <c r="H90" s="27"/>
      <c r="I90" s="84"/>
      <c r="J90" s="92" t="str">
        <f>IF(AND(A90&lt;&gt;"",E90&lt;&gt;""),IF(I90="","⚠️ Enter Code",IF(IFERROR(VLOOKUP(H90,DB_Agents!$B:$I,8,0),"")=I90,IF(C90&gt;=E90,"Successful","Unsuccessful"),"🔒 BLOCKED — Wrong Code")),"—")</f>
        <v>—</v>
      </c>
      <c r="K90" s="93" t="str">
        <f t="shared" ca="1" si="8"/>
        <v>—</v>
      </c>
      <c r="L90" s="94"/>
    </row>
    <row r="91" spans="1:12" x14ac:dyDescent="0.25">
      <c r="A91" s="79"/>
      <c r="B91" s="21" t="str">
        <f>IF(A91="","",IFERROR(VLOOKUP(A91,DB_Customers!$A:$D,4,0),"❌ Account Not Found"))</f>
        <v/>
      </c>
      <c r="C91" s="80" t="str">
        <f>IF(A91="","",IFERROR(VLOOKUP(A91,DB_Customers!$A:$N,14,0),""))</f>
        <v/>
      </c>
      <c r="D91" s="81" t="str">
        <f t="shared" ca="1" si="6"/>
        <v/>
      </c>
      <c r="E91" s="97"/>
      <c r="F91" s="21"/>
      <c r="G91" s="98" t="str">
        <f t="shared" si="7"/>
        <v/>
      </c>
      <c r="H91" s="23"/>
      <c r="I91" s="84"/>
      <c r="J91" s="85" t="str">
        <f>IF(AND(A91&lt;&gt;"",E91&lt;&gt;""),IF(I91="","⚠️ Enter Code",IF(IFERROR(VLOOKUP(H91,DB_Agents!$B:$I,8,0),"")=I91,IF(C91&gt;=E91,"Successful","Unsuccessful"),"🔒 BLOCKED — Wrong Code")),"—")</f>
        <v>—</v>
      </c>
      <c r="K91" s="86" t="str">
        <f t="shared" ca="1" si="8"/>
        <v>—</v>
      </c>
      <c r="L91" s="87"/>
    </row>
    <row r="92" spans="1:12" x14ac:dyDescent="0.25">
      <c r="A92" s="88"/>
      <c r="B92" s="25" t="str">
        <f>IF(A92="","",IFERROR(VLOOKUP(A92,DB_Customers!$A:$D,4,0),"❌ Account Not Found"))</f>
        <v/>
      </c>
      <c r="C92" s="89" t="str">
        <f>IF(A92="","",IFERROR(VLOOKUP(A92,DB_Customers!$A:$N,14,0),""))</f>
        <v/>
      </c>
      <c r="D92" s="90" t="str">
        <f t="shared" ca="1" si="6"/>
        <v/>
      </c>
      <c r="E92" s="97"/>
      <c r="F92" s="25"/>
      <c r="G92" s="99" t="str">
        <f t="shared" si="7"/>
        <v/>
      </c>
      <c r="H92" s="27"/>
      <c r="I92" s="84"/>
      <c r="J92" s="92" t="str">
        <f>IF(AND(A92&lt;&gt;"",E92&lt;&gt;""),IF(I92="","⚠️ Enter Code",IF(IFERROR(VLOOKUP(H92,DB_Agents!$B:$I,8,0),"")=I92,IF(C92&gt;=E92,"Successful","Unsuccessful"),"🔒 BLOCKED — Wrong Code")),"—")</f>
        <v>—</v>
      </c>
      <c r="K92" s="93" t="str">
        <f t="shared" ca="1" si="8"/>
        <v>—</v>
      </c>
      <c r="L92" s="94"/>
    </row>
    <row r="93" spans="1:12" x14ac:dyDescent="0.25">
      <c r="A93" s="79"/>
      <c r="B93" s="21" t="str">
        <f>IF(A93="","",IFERROR(VLOOKUP(A93,DB_Customers!$A:$D,4,0),"❌ Account Not Found"))</f>
        <v/>
      </c>
      <c r="C93" s="80" t="str">
        <f>IF(A93="","",IFERROR(VLOOKUP(A93,DB_Customers!$A:$N,14,0),""))</f>
        <v/>
      </c>
      <c r="D93" s="81" t="str">
        <f t="shared" ca="1" si="6"/>
        <v/>
      </c>
      <c r="E93" s="97"/>
      <c r="F93" s="21"/>
      <c r="G93" s="98" t="str">
        <f t="shared" si="7"/>
        <v/>
      </c>
      <c r="H93" s="23"/>
      <c r="I93" s="84"/>
      <c r="J93" s="85" t="str">
        <f>IF(AND(A93&lt;&gt;"",E93&lt;&gt;""),IF(I93="","⚠️ Enter Code",IF(IFERROR(VLOOKUP(H93,DB_Agents!$B:$I,8,0),"")=I93,IF(C93&gt;=E93,"Successful","Unsuccessful"),"🔒 BLOCKED — Wrong Code")),"—")</f>
        <v>—</v>
      </c>
      <c r="K93" s="86" t="str">
        <f t="shared" ca="1" si="8"/>
        <v>—</v>
      </c>
      <c r="L93" s="87"/>
    </row>
    <row r="94" spans="1:12" x14ac:dyDescent="0.25">
      <c r="A94" s="88"/>
      <c r="B94" s="25" t="str">
        <f>IF(A94="","",IFERROR(VLOOKUP(A94,DB_Customers!$A:$D,4,0),"❌ Account Not Found"))</f>
        <v/>
      </c>
      <c r="C94" s="89" t="str">
        <f>IF(A94="","",IFERROR(VLOOKUP(A94,DB_Customers!$A:$N,14,0),""))</f>
        <v/>
      </c>
      <c r="D94" s="90" t="str">
        <f t="shared" ca="1" si="6"/>
        <v/>
      </c>
      <c r="E94" s="97"/>
      <c r="F94" s="25"/>
      <c r="G94" s="99" t="str">
        <f t="shared" si="7"/>
        <v/>
      </c>
      <c r="H94" s="27"/>
      <c r="I94" s="84"/>
      <c r="J94" s="92" t="str">
        <f>IF(AND(A94&lt;&gt;"",E94&lt;&gt;""),IF(I94="","⚠️ Enter Code",IF(IFERROR(VLOOKUP(H94,DB_Agents!$B:$I,8,0),"")=I94,IF(C94&gt;=E94,"Successful","Unsuccessful"),"🔒 BLOCKED — Wrong Code")),"—")</f>
        <v>—</v>
      </c>
      <c r="K94" s="93" t="str">
        <f t="shared" ca="1" si="8"/>
        <v>—</v>
      </c>
      <c r="L94" s="94"/>
    </row>
    <row r="95" spans="1:12" x14ac:dyDescent="0.25">
      <c r="A95" s="79"/>
      <c r="B95" s="21" t="str">
        <f>IF(A95="","",IFERROR(VLOOKUP(A95,DB_Customers!$A:$D,4,0),"❌ Account Not Found"))</f>
        <v/>
      </c>
      <c r="C95" s="80" t="str">
        <f>IF(A95="","",IFERROR(VLOOKUP(A95,DB_Customers!$A:$N,14,0),""))</f>
        <v/>
      </c>
      <c r="D95" s="81" t="str">
        <f t="shared" ca="1" si="6"/>
        <v/>
      </c>
      <c r="E95" s="97"/>
      <c r="F95" s="21"/>
      <c r="G95" s="98" t="str">
        <f t="shared" si="7"/>
        <v/>
      </c>
      <c r="H95" s="23"/>
      <c r="I95" s="84"/>
      <c r="J95" s="85" t="str">
        <f>IF(AND(A95&lt;&gt;"",E95&lt;&gt;""),IF(I95="","⚠️ Enter Code",IF(IFERROR(VLOOKUP(H95,DB_Agents!$B:$I,8,0),"")=I95,IF(C95&gt;=E95,"Successful","Unsuccessful"),"🔒 BLOCKED — Wrong Code")),"—")</f>
        <v>—</v>
      </c>
      <c r="K95" s="86" t="str">
        <f t="shared" ca="1" si="8"/>
        <v>—</v>
      </c>
      <c r="L95" s="87"/>
    </row>
    <row r="96" spans="1:12" x14ac:dyDescent="0.25">
      <c r="A96" s="88"/>
      <c r="B96" s="25" t="str">
        <f>IF(A96="","",IFERROR(VLOOKUP(A96,DB_Customers!$A:$D,4,0),"❌ Account Not Found"))</f>
        <v/>
      </c>
      <c r="C96" s="89" t="str">
        <f>IF(A96="","",IFERROR(VLOOKUP(A96,DB_Customers!$A:$N,14,0),""))</f>
        <v/>
      </c>
      <c r="D96" s="90" t="str">
        <f t="shared" ca="1" si="6"/>
        <v/>
      </c>
      <c r="E96" s="97"/>
      <c r="F96" s="25"/>
      <c r="G96" s="99" t="str">
        <f t="shared" si="7"/>
        <v/>
      </c>
      <c r="H96" s="27"/>
      <c r="I96" s="84"/>
      <c r="J96" s="92" t="str">
        <f>IF(AND(A96&lt;&gt;"",E96&lt;&gt;""),IF(I96="","⚠️ Enter Code",IF(IFERROR(VLOOKUP(H96,DB_Agents!$B:$I,8,0),"")=I96,IF(C96&gt;=E96,"Successful","Unsuccessful"),"🔒 BLOCKED — Wrong Code")),"—")</f>
        <v>—</v>
      </c>
      <c r="K96" s="93" t="str">
        <f t="shared" ca="1" si="8"/>
        <v>—</v>
      </c>
      <c r="L96" s="94"/>
    </row>
    <row r="97" spans="1:12" x14ac:dyDescent="0.25">
      <c r="A97" s="79"/>
      <c r="B97" s="21" t="str">
        <f>IF(A97="","",IFERROR(VLOOKUP(A97,DB_Customers!$A:$D,4,0),"❌ Account Not Found"))</f>
        <v/>
      </c>
      <c r="C97" s="80" t="str">
        <f>IF(A97="","",IFERROR(VLOOKUP(A97,DB_Customers!$A:$N,14,0),""))</f>
        <v/>
      </c>
      <c r="D97" s="81" t="str">
        <f t="shared" ca="1" si="6"/>
        <v/>
      </c>
      <c r="E97" s="97"/>
      <c r="F97" s="21"/>
      <c r="G97" s="98" t="str">
        <f t="shared" si="7"/>
        <v/>
      </c>
      <c r="H97" s="23"/>
      <c r="I97" s="84"/>
      <c r="J97" s="85" t="str">
        <f>IF(AND(A97&lt;&gt;"",E97&lt;&gt;""),IF(I97="","⚠️ Enter Code",IF(IFERROR(VLOOKUP(H97,DB_Agents!$B:$I,8,0),"")=I97,IF(C97&gt;=E97,"Successful","Unsuccessful"),"🔒 BLOCKED — Wrong Code")),"—")</f>
        <v>—</v>
      </c>
      <c r="K97" s="86" t="str">
        <f t="shared" ca="1" si="8"/>
        <v>—</v>
      </c>
      <c r="L97" s="87"/>
    </row>
    <row r="98" spans="1:12" x14ac:dyDescent="0.25">
      <c r="A98" s="88"/>
      <c r="B98" s="25" t="str">
        <f>IF(A98="","",IFERROR(VLOOKUP(A98,DB_Customers!$A:$D,4,0),"❌ Account Not Found"))</f>
        <v/>
      </c>
      <c r="C98" s="89" t="str">
        <f>IF(A98="","",IFERROR(VLOOKUP(A98,DB_Customers!$A:$N,14,0),""))</f>
        <v/>
      </c>
      <c r="D98" s="90" t="str">
        <f t="shared" ca="1" si="6"/>
        <v/>
      </c>
      <c r="E98" s="97"/>
      <c r="F98" s="25"/>
      <c r="G98" s="99" t="str">
        <f t="shared" si="7"/>
        <v/>
      </c>
      <c r="H98" s="27"/>
      <c r="I98" s="84"/>
      <c r="J98" s="92" t="str">
        <f>IF(AND(A98&lt;&gt;"",E98&lt;&gt;""),IF(I98="","⚠️ Enter Code",IF(IFERROR(VLOOKUP(H98,DB_Agents!$B:$I,8,0),"")=I98,IF(C98&gt;=E98,"Successful","Unsuccessful"),"🔒 BLOCKED — Wrong Code")),"—")</f>
        <v>—</v>
      </c>
      <c r="K98" s="93" t="str">
        <f t="shared" ca="1" si="8"/>
        <v>—</v>
      </c>
      <c r="L98" s="94"/>
    </row>
    <row r="99" spans="1:12" x14ac:dyDescent="0.25">
      <c r="A99" s="79"/>
      <c r="B99" s="21" t="str">
        <f>IF(A99="","",IFERROR(VLOOKUP(A99,DB_Customers!$A:$D,4,0),"❌ Account Not Found"))</f>
        <v/>
      </c>
      <c r="C99" s="80" t="str">
        <f>IF(A99="","",IFERROR(VLOOKUP(A99,DB_Customers!$A:$N,14,0),""))</f>
        <v/>
      </c>
      <c r="D99" s="81" t="str">
        <f t="shared" ca="1" si="6"/>
        <v/>
      </c>
      <c r="E99" s="97"/>
      <c r="F99" s="21"/>
      <c r="G99" s="98" t="str">
        <f t="shared" si="7"/>
        <v/>
      </c>
      <c r="H99" s="23"/>
      <c r="I99" s="84"/>
      <c r="J99" s="85" t="str">
        <f>IF(AND(A99&lt;&gt;"",E99&lt;&gt;""),IF(I99="","⚠️ Enter Code",IF(IFERROR(VLOOKUP(H99,DB_Agents!$B:$I,8,0),"")=I99,IF(C99&gt;=E99,"Successful","Unsuccessful"),"🔒 BLOCKED — Wrong Code")),"—")</f>
        <v>—</v>
      </c>
      <c r="K99" s="86" t="str">
        <f t="shared" ca="1" si="8"/>
        <v>—</v>
      </c>
      <c r="L99" s="87"/>
    </row>
    <row r="100" spans="1:12" x14ac:dyDescent="0.25">
      <c r="A100" s="88"/>
      <c r="B100" s="25" t="str">
        <f>IF(A100="","",IFERROR(VLOOKUP(A100,DB_Customers!$A:$D,4,0),"❌ Account Not Found"))</f>
        <v/>
      </c>
      <c r="C100" s="89" t="str">
        <f>IF(A100="","",IFERROR(VLOOKUP(A100,DB_Customers!$A:$N,14,0),""))</f>
        <v/>
      </c>
      <c r="D100" s="90" t="str">
        <f t="shared" ca="1" si="6"/>
        <v/>
      </c>
      <c r="E100" s="97"/>
      <c r="F100" s="25"/>
      <c r="G100" s="99" t="str">
        <f t="shared" si="7"/>
        <v/>
      </c>
      <c r="H100" s="27"/>
      <c r="I100" s="84"/>
      <c r="J100" s="92" t="str">
        <f>IF(AND(A100&lt;&gt;"",E100&lt;&gt;""),IF(I100="","⚠️ Enter Code",IF(IFERROR(VLOOKUP(H100,DB_Agents!$B:$I,8,0),"")=I100,IF(C100&gt;=E100,"Successful","Unsuccessful"),"🔒 BLOCKED — Wrong Code")),"—")</f>
        <v>—</v>
      </c>
      <c r="K100" s="93" t="str">
        <f t="shared" ca="1" si="8"/>
        <v>—</v>
      </c>
      <c r="L100" s="94"/>
    </row>
    <row r="101" spans="1:12" x14ac:dyDescent="0.25">
      <c r="A101" s="79"/>
      <c r="B101" s="21" t="str">
        <f>IF(A101="","",IFERROR(VLOOKUP(A101,DB_Customers!$A:$D,4,0),"❌ Account Not Found"))</f>
        <v/>
      </c>
      <c r="C101" s="80" t="str">
        <f>IF(A101="","",IFERROR(VLOOKUP(A101,DB_Customers!$A:$N,14,0),""))</f>
        <v/>
      </c>
      <c r="D101" s="81" t="str">
        <f t="shared" ca="1" si="6"/>
        <v/>
      </c>
      <c r="E101" s="97"/>
      <c r="F101" s="21"/>
      <c r="G101" s="98" t="str">
        <f t="shared" si="7"/>
        <v/>
      </c>
      <c r="H101" s="23"/>
      <c r="I101" s="84"/>
      <c r="J101" s="85" t="str">
        <f>IF(AND(A101&lt;&gt;"",E101&lt;&gt;""),IF(I101="","⚠️ Enter Code",IF(IFERROR(VLOOKUP(H101,DB_Agents!$B:$I,8,0),"")=I101,IF(C101&gt;=E101,"Successful","Unsuccessful"),"🔒 BLOCKED — Wrong Code")),"—")</f>
        <v>—</v>
      </c>
      <c r="K101" s="86" t="str">
        <f t="shared" ca="1" si="8"/>
        <v>—</v>
      </c>
      <c r="L101" s="87"/>
    </row>
    <row r="102" spans="1:12" x14ac:dyDescent="0.25">
      <c r="A102" s="88"/>
      <c r="B102" s="25" t="str">
        <f>IF(A102="","",IFERROR(VLOOKUP(A102,DB_Customers!$A:$D,4,0),"❌ Account Not Found"))</f>
        <v/>
      </c>
      <c r="C102" s="89" t="str">
        <f>IF(A102="","",IFERROR(VLOOKUP(A102,DB_Customers!$A:$N,14,0),""))</f>
        <v/>
      </c>
      <c r="D102" s="90" t="str">
        <f t="shared" ca="1" si="6"/>
        <v/>
      </c>
      <c r="E102" s="97"/>
      <c r="F102" s="25"/>
      <c r="G102" s="99" t="str">
        <f t="shared" si="7"/>
        <v/>
      </c>
      <c r="H102" s="27"/>
      <c r="I102" s="84"/>
      <c r="J102" s="92" t="str">
        <f>IF(AND(A102&lt;&gt;"",E102&lt;&gt;""),IF(I102="","⚠️ Enter Code",IF(IFERROR(VLOOKUP(H102,DB_Agents!$B:$I,8,0),"")=I102,IF(C102&gt;=E102,"Successful","Unsuccessful"),"🔒 BLOCKED — Wrong Code")),"—")</f>
        <v>—</v>
      </c>
      <c r="K102" s="93" t="str">
        <f t="shared" ca="1" si="8"/>
        <v>—</v>
      </c>
      <c r="L102" s="94"/>
    </row>
    <row r="103" spans="1:12" x14ac:dyDescent="0.25">
      <c r="A103" s="79"/>
      <c r="B103" s="21" t="str">
        <f>IF(A103="","",IFERROR(VLOOKUP(A103,DB_Customers!$A:$D,4,0),"❌ Account Not Found"))</f>
        <v/>
      </c>
      <c r="C103" s="80" t="str">
        <f>IF(A103="","",IFERROR(VLOOKUP(A103,DB_Customers!$A:$N,14,0),""))</f>
        <v/>
      </c>
      <c r="D103" s="81" t="str">
        <f t="shared" ca="1" si="6"/>
        <v/>
      </c>
      <c r="E103" s="97"/>
      <c r="F103" s="21"/>
      <c r="G103" s="98" t="str">
        <f t="shared" si="7"/>
        <v/>
      </c>
      <c r="H103" s="23"/>
      <c r="I103" s="84"/>
      <c r="J103" s="85" t="str">
        <f>IF(AND(A103&lt;&gt;"",E103&lt;&gt;""),IF(I103="","⚠️ Enter Code",IF(IFERROR(VLOOKUP(H103,DB_Agents!$B:$I,8,0),"")=I103,IF(C103&gt;=E103,"Successful","Unsuccessful"),"🔒 BLOCKED — Wrong Code")),"—")</f>
        <v>—</v>
      </c>
      <c r="K103" s="86" t="str">
        <f t="shared" ca="1" si="8"/>
        <v>—</v>
      </c>
      <c r="L103" s="87"/>
    </row>
    <row r="104" spans="1:12" x14ac:dyDescent="0.25">
      <c r="A104" s="88"/>
      <c r="B104" s="25" t="str">
        <f>IF(A104="","",IFERROR(VLOOKUP(A104,DB_Customers!$A:$D,4,0),"❌ Account Not Found"))</f>
        <v/>
      </c>
      <c r="C104" s="89" t="str">
        <f>IF(A104="","",IFERROR(VLOOKUP(A104,DB_Customers!$A:$N,14,0),""))</f>
        <v/>
      </c>
      <c r="D104" s="90" t="str">
        <f t="shared" ca="1" si="6"/>
        <v/>
      </c>
      <c r="E104" s="97"/>
      <c r="F104" s="25"/>
      <c r="G104" s="99" t="str">
        <f t="shared" si="7"/>
        <v/>
      </c>
      <c r="H104" s="27"/>
      <c r="I104" s="84"/>
      <c r="J104" s="92" t="str">
        <f>IF(AND(A104&lt;&gt;"",E104&lt;&gt;""),IF(I104="","⚠️ Enter Code",IF(IFERROR(VLOOKUP(H104,DB_Agents!$B:$I,8,0),"")=I104,IF(C104&gt;=E104,"Successful","Unsuccessful"),"🔒 BLOCKED — Wrong Code")),"—")</f>
        <v>—</v>
      </c>
      <c r="K104" s="93" t="str">
        <f t="shared" ca="1" si="8"/>
        <v>—</v>
      </c>
      <c r="L104" s="94"/>
    </row>
    <row r="105" spans="1:12" x14ac:dyDescent="0.25">
      <c r="A105" s="79"/>
      <c r="B105" s="21" t="str">
        <f>IF(A105="","",IFERROR(VLOOKUP(A105,DB_Customers!$A:$D,4,0),"❌ Account Not Found"))</f>
        <v/>
      </c>
      <c r="C105" s="80" t="str">
        <f>IF(A105="","",IFERROR(VLOOKUP(A105,DB_Customers!$A:$N,14,0),""))</f>
        <v/>
      </c>
      <c r="D105" s="81" t="str">
        <f t="shared" ref="D105:D136" ca="1" si="9">IF(A105="","",TODAY())</f>
        <v/>
      </c>
      <c r="E105" s="97"/>
      <c r="F105" s="21"/>
      <c r="G105" s="98" t="str">
        <f t="shared" ref="G105:G136" si="10">IF(OR(A105="",E105=""),"",IF(C105="","",C105-E105))</f>
        <v/>
      </c>
      <c r="H105" s="23"/>
      <c r="I105" s="84"/>
      <c r="J105" s="85" t="str">
        <f>IF(AND(A105&lt;&gt;"",E105&lt;&gt;""),IF(I105="","⚠️ Enter Code",IF(IFERROR(VLOOKUP(H105,DB_Agents!$B:$I,8,0),"")=I105,IF(C105&gt;=E105,"Successful","Unsuccessful"),"🔒 BLOCKED — Wrong Code")),"—")</f>
        <v>—</v>
      </c>
      <c r="K105" s="86" t="str">
        <f t="shared" ref="K105:K136" ca="1" si="11">IF(J105="Successful",TEXT(TODAY(),"YYYY-MM-DD")&amp;" Auto","—")</f>
        <v>—</v>
      </c>
      <c r="L105" s="87"/>
    </row>
    <row r="106" spans="1:12" x14ac:dyDescent="0.25">
      <c r="A106" s="88"/>
      <c r="B106" s="25" t="str">
        <f>IF(A106="","",IFERROR(VLOOKUP(A106,DB_Customers!$A:$D,4,0),"❌ Account Not Found"))</f>
        <v/>
      </c>
      <c r="C106" s="89" t="str">
        <f>IF(A106="","",IFERROR(VLOOKUP(A106,DB_Customers!$A:$N,14,0),""))</f>
        <v/>
      </c>
      <c r="D106" s="90" t="str">
        <f t="shared" ca="1" si="9"/>
        <v/>
      </c>
      <c r="E106" s="97"/>
      <c r="F106" s="25"/>
      <c r="G106" s="99" t="str">
        <f t="shared" si="10"/>
        <v/>
      </c>
      <c r="H106" s="27"/>
      <c r="I106" s="84"/>
      <c r="J106" s="92" t="str">
        <f>IF(AND(A106&lt;&gt;"",E106&lt;&gt;""),IF(I106="","⚠️ Enter Code",IF(IFERROR(VLOOKUP(H106,DB_Agents!$B:$I,8,0),"")=I106,IF(C106&gt;=E106,"Successful","Unsuccessful"),"🔒 BLOCKED — Wrong Code")),"—")</f>
        <v>—</v>
      </c>
      <c r="K106" s="93" t="str">
        <f t="shared" ca="1" si="11"/>
        <v>—</v>
      </c>
      <c r="L106" s="94"/>
    </row>
    <row r="107" spans="1:12" x14ac:dyDescent="0.25">
      <c r="A107" s="79"/>
      <c r="B107" s="21" t="str">
        <f>IF(A107="","",IFERROR(VLOOKUP(A107,DB_Customers!$A:$D,4,0),"❌ Account Not Found"))</f>
        <v/>
      </c>
      <c r="C107" s="80" t="str">
        <f>IF(A107="","",IFERROR(VLOOKUP(A107,DB_Customers!$A:$N,14,0),""))</f>
        <v/>
      </c>
      <c r="D107" s="81" t="str">
        <f t="shared" ca="1" si="9"/>
        <v/>
      </c>
      <c r="E107" s="97"/>
      <c r="F107" s="21"/>
      <c r="G107" s="98" t="str">
        <f t="shared" si="10"/>
        <v/>
      </c>
      <c r="H107" s="23"/>
      <c r="I107" s="84"/>
      <c r="J107" s="85" t="str">
        <f>IF(AND(A107&lt;&gt;"",E107&lt;&gt;""),IF(I107="","⚠️ Enter Code",IF(IFERROR(VLOOKUP(H107,DB_Agents!$B:$I,8,0),"")=I107,IF(C107&gt;=E107,"Successful","Unsuccessful"),"🔒 BLOCKED — Wrong Code")),"—")</f>
        <v>—</v>
      </c>
      <c r="K107" s="86" t="str">
        <f t="shared" ca="1" si="11"/>
        <v>—</v>
      </c>
      <c r="L107" s="87"/>
    </row>
    <row r="108" spans="1:12" x14ac:dyDescent="0.25">
      <c r="A108" s="88"/>
      <c r="B108" s="25" t="str">
        <f>IF(A108="","",IFERROR(VLOOKUP(A108,DB_Customers!$A:$D,4,0),"❌ Account Not Found"))</f>
        <v/>
      </c>
      <c r="C108" s="89" t="str">
        <f>IF(A108="","",IFERROR(VLOOKUP(A108,DB_Customers!$A:$N,14,0),""))</f>
        <v/>
      </c>
      <c r="D108" s="90" t="str">
        <f t="shared" ca="1" si="9"/>
        <v/>
      </c>
      <c r="E108" s="97"/>
      <c r="F108" s="25"/>
      <c r="G108" s="99" t="str">
        <f t="shared" si="10"/>
        <v/>
      </c>
      <c r="H108" s="27"/>
      <c r="I108" s="84"/>
      <c r="J108" s="92" t="str">
        <f>IF(AND(A108&lt;&gt;"",E108&lt;&gt;""),IF(I108="","⚠️ Enter Code",IF(IFERROR(VLOOKUP(H108,DB_Agents!$B:$I,8,0),"")=I108,IF(C108&gt;=E108,"Successful","Unsuccessful"),"🔒 BLOCKED — Wrong Code")),"—")</f>
        <v>—</v>
      </c>
      <c r="K108" s="93" t="str">
        <f t="shared" ca="1" si="11"/>
        <v>—</v>
      </c>
      <c r="L108" s="94"/>
    </row>
    <row r="109" spans="1:12" x14ac:dyDescent="0.25">
      <c r="A109" s="79"/>
      <c r="B109" s="21" t="str">
        <f>IF(A109="","",IFERROR(VLOOKUP(A109,DB_Customers!$A:$D,4,0),"❌ Account Not Found"))</f>
        <v/>
      </c>
      <c r="C109" s="80" t="str">
        <f>IF(A109="","",IFERROR(VLOOKUP(A109,DB_Customers!$A:$N,14,0),""))</f>
        <v/>
      </c>
      <c r="D109" s="81" t="str">
        <f t="shared" ca="1" si="9"/>
        <v/>
      </c>
      <c r="E109" s="97"/>
      <c r="F109" s="21"/>
      <c r="G109" s="98" t="str">
        <f t="shared" si="10"/>
        <v/>
      </c>
      <c r="H109" s="23"/>
      <c r="I109" s="84"/>
      <c r="J109" s="85" t="str">
        <f>IF(AND(A109&lt;&gt;"",E109&lt;&gt;""),IF(I109="","⚠️ Enter Code",IF(IFERROR(VLOOKUP(H109,DB_Agents!$B:$I,8,0),"")=I109,IF(C109&gt;=E109,"Successful","Unsuccessful"),"🔒 BLOCKED — Wrong Code")),"—")</f>
        <v>—</v>
      </c>
      <c r="K109" s="86" t="str">
        <f t="shared" ca="1" si="11"/>
        <v>—</v>
      </c>
      <c r="L109" s="87"/>
    </row>
    <row r="110" spans="1:12" x14ac:dyDescent="0.25">
      <c r="A110" s="88"/>
      <c r="B110" s="25" t="str">
        <f>IF(A110="","",IFERROR(VLOOKUP(A110,DB_Customers!$A:$D,4,0),"❌ Account Not Found"))</f>
        <v/>
      </c>
      <c r="C110" s="89" t="str">
        <f>IF(A110="","",IFERROR(VLOOKUP(A110,DB_Customers!$A:$N,14,0),""))</f>
        <v/>
      </c>
      <c r="D110" s="90" t="str">
        <f t="shared" ca="1" si="9"/>
        <v/>
      </c>
      <c r="E110" s="97"/>
      <c r="F110" s="25"/>
      <c r="G110" s="99" t="str">
        <f t="shared" si="10"/>
        <v/>
      </c>
      <c r="H110" s="27"/>
      <c r="I110" s="84"/>
      <c r="J110" s="92" t="str">
        <f>IF(AND(A110&lt;&gt;"",E110&lt;&gt;""),IF(I110="","⚠️ Enter Code",IF(IFERROR(VLOOKUP(H110,DB_Agents!$B:$I,8,0),"")=I110,IF(C110&gt;=E110,"Successful","Unsuccessful"),"🔒 BLOCKED — Wrong Code")),"—")</f>
        <v>—</v>
      </c>
      <c r="K110" s="93" t="str">
        <f t="shared" ca="1" si="11"/>
        <v>—</v>
      </c>
      <c r="L110" s="94"/>
    </row>
    <row r="111" spans="1:12" x14ac:dyDescent="0.25">
      <c r="A111" s="79"/>
      <c r="B111" s="21" t="str">
        <f>IF(A111="","",IFERROR(VLOOKUP(A111,DB_Customers!$A:$D,4,0),"❌ Account Not Found"))</f>
        <v/>
      </c>
      <c r="C111" s="80" t="str">
        <f>IF(A111="","",IFERROR(VLOOKUP(A111,DB_Customers!$A:$N,14,0),""))</f>
        <v/>
      </c>
      <c r="D111" s="81" t="str">
        <f t="shared" ca="1" si="9"/>
        <v/>
      </c>
      <c r="E111" s="97"/>
      <c r="F111" s="21"/>
      <c r="G111" s="98" t="str">
        <f t="shared" si="10"/>
        <v/>
      </c>
      <c r="H111" s="23"/>
      <c r="I111" s="84"/>
      <c r="J111" s="85" t="str">
        <f>IF(AND(A111&lt;&gt;"",E111&lt;&gt;""),IF(I111="","⚠️ Enter Code",IF(IFERROR(VLOOKUP(H111,DB_Agents!$B:$I,8,0),"")=I111,IF(C111&gt;=E111,"Successful","Unsuccessful"),"🔒 BLOCKED — Wrong Code")),"—")</f>
        <v>—</v>
      </c>
      <c r="K111" s="86" t="str">
        <f t="shared" ca="1" si="11"/>
        <v>—</v>
      </c>
      <c r="L111" s="87"/>
    </row>
    <row r="112" spans="1:12" x14ac:dyDescent="0.25">
      <c r="A112" s="88"/>
      <c r="B112" s="25" t="str">
        <f>IF(A112="","",IFERROR(VLOOKUP(A112,DB_Customers!$A:$D,4,0),"❌ Account Not Found"))</f>
        <v/>
      </c>
      <c r="C112" s="89" t="str">
        <f>IF(A112="","",IFERROR(VLOOKUP(A112,DB_Customers!$A:$N,14,0),""))</f>
        <v/>
      </c>
      <c r="D112" s="90" t="str">
        <f t="shared" ca="1" si="9"/>
        <v/>
      </c>
      <c r="E112" s="97"/>
      <c r="F112" s="25"/>
      <c r="G112" s="99" t="str">
        <f t="shared" si="10"/>
        <v/>
      </c>
      <c r="H112" s="27"/>
      <c r="I112" s="84"/>
      <c r="J112" s="92" t="str">
        <f>IF(AND(A112&lt;&gt;"",E112&lt;&gt;""),IF(I112="","⚠️ Enter Code",IF(IFERROR(VLOOKUP(H112,DB_Agents!$B:$I,8,0),"")=I112,IF(C112&gt;=E112,"Successful","Unsuccessful"),"🔒 BLOCKED — Wrong Code")),"—")</f>
        <v>—</v>
      </c>
      <c r="K112" s="93" t="str">
        <f t="shared" ca="1" si="11"/>
        <v>—</v>
      </c>
      <c r="L112" s="94"/>
    </row>
    <row r="113" spans="1:12" x14ac:dyDescent="0.25">
      <c r="A113" s="79"/>
      <c r="B113" s="21" t="str">
        <f>IF(A113="","",IFERROR(VLOOKUP(A113,DB_Customers!$A:$D,4,0),"❌ Account Not Found"))</f>
        <v/>
      </c>
      <c r="C113" s="80" t="str">
        <f>IF(A113="","",IFERROR(VLOOKUP(A113,DB_Customers!$A:$N,14,0),""))</f>
        <v/>
      </c>
      <c r="D113" s="81" t="str">
        <f t="shared" ca="1" si="9"/>
        <v/>
      </c>
      <c r="E113" s="97"/>
      <c r="F113" s="21"/>
      <c r="G113" s="98" t="str">
        <f t="shared" si="10"/>
        <v/>
      </c>
      <c r="H113" s="23"/>
      <c r="I113" s="84"/>
      <c r="J113" s="85" t="str">
        <f>IF(AND(A113&lt;&gt;"",E113&lt;&gt;""),IF(I113="","⚠️ Enter Code",IF(IFERROR(VLOOKUP(H113,DB_Agents!$B:$I,8,0),"")=I113,IF(C113&gt;=E113,"Successful","Unsuccessful"),"🔒 BLOCKED — Wrong Code")),"—")</f>
        <v>—</v>
      </c>
      <c r="K113" s="86" t="str">
        <f t="shared" ca="1" si="11"/>
        <v>—</v>
      </c>
      <c r="L113" s="87"/>
    </row>
    <row r="114" spans="1:12" x14ac:dyDescent="0.25">
      <c r="A114" s="88"/>
      <c r="B114" s="25" t="str">
        <f>IF(A114="","",IFERROR(VLOOKUP(A114,DB_Customers!$A:$D,4,0),"❌ Account Not Found"))</f>
        <v/>
      </c>
      <c r="C114" s="89" t="str">
        <f>IF(A114="","",IFERROR(VLOOKUP(A114,DB_Customers!$A:$N,14,0),""))</f>
        <v/>
      </c>
      <c r="D114" s="90" t="str">
        <f t="shared" ca="1" si="9"/>
        <v/>
      </c>
      <c r="E114" s="97"/>
      <c r="F114" s="25"/>
      <c r="G114" s="99" t="str">
        <f t="shared" si="10"/>
        <v/>
      </c>
      <c r="H114" s="27"/>
      <c r="I114" s="84"/>
      <c r="J114" s="92" t="str">
        <f>IF(AND(A114&lt;&gt;"",E114&lt;&gt;""),IF(I114="","⚠️ Enter Code",IF(IFERROR(VLOOKUP(H114,DB_Agents!$B:$I,8,0),"")=I114,IF(C114&gt;=E114,"Successful","Unsuccessful"),"🔒 BLOCKED — Wrong Code")),"—")</f>
        <v>—</v>
      </c>
      <c r="K114" s="93" t="str">
        <f t="shared" ca="1" si="11"/>
        <v>—</v>
      </c>
      <c r="L114" s="94"/>
    </row>
    <row r="115" spans="1:12" x14ac:dyDescent="0.25">
      <c r="A115" s="79"/>
      <c r="B115" s="21" t="str">
        <f>IF(A115="","",IFERROR(VLOOKUP(A115,DB_Customers!$A:$D,4,0),"❌ Account Not Found"))</f>
        <v/>
      </c>
      <c r="C115" s="80" t="str">
        <f>IF(A115="","",IFERROR(VLOOKUP(A115,DB_Customers!$A:$N,14,0),""))</f>
        <v/>
      </c>
      <c r="D115" s="81" t="str">
        <f t="shared" ca="1" si="9"/>
        <v/>
      </c>
      <c r="E115" s="97"/>
      <c r="F115" s="21"/>
      <c r="G115" s="98" t="str">
        <f t="shared" si="10"/>
        <v/>
      </c>
      <c r="H115" s="23"/>
      <c r="I115" s="84"/>
      <c r="J115" s="85" t="str">
        <f>IF(AND(A115&lt;&gt;"",E115&lt;&gt;""),IF(I115="","⚠️ Enter Code",IF(IFERROR(VLOOKUP(H115,DB_Agents!$B:$I,8,0),"")=I115,IF(C115&gt;=E115,"Successful","Unsuccessful"),"🔒 BLOCKED — Wrong Code")),"—")</f>
        <v>—</v>
      </c>
      <c r="K115" s="86" t="str">
        <f t="shared" ca="1" si="11"/>
        <v>—</v>
      </c>
      <c r="L115" s="87"/>
    </row>
    <row r="116" spans="1:12" x14ac:dyDescent="0.25">
      <c r="A116" s="88"/>
      <c r="B116" s="25" t="str">
        <f>IF(A116="","",IFERROR(VLOOKUP(A116,DB_Customers!$A:$D,4,0),"❌ Account Not Found"))</f>
        <v/>
      </c>
      <c r="C116" s="89" t="str">
        <f>IF(A116="","",IFERROR(VLOOKUP(A116,DB_Customers!$A:$N,14,0),""))</f>
        <v/>
      </c>
      <c r="D116" s="90" t="str">
        <f t="shared" ca="1" si="9"/>
        <v/>
      </c>
      <c r="E116" s="97"/>
      <c r="F116" s="25"/>
      <c r="G116" s="99" t="str">
        <f t="shared" si="10"/>
        <v/>
      </c>
      <c r="H116" s="27"/>
      <c r="I116" s="84"/>
      <c r="J116" s="92" t="str">
        <f>IF(AND(A116&lt;&gt;"",E116&lt;&gt;""),IF(I116="","⚠️ Enter Code",IF(IFERROR(VLOOKUP(H116,DB_Agents!$B:$I,8,0),"")=I116,IF(C116&gt;=E116,"Successful","Unsuccessful"),"🔒 BLOCKED — Wrong Code")),"—")</f>
        <v>—</v>
      </c>
      <c r="K116" s="93" t="str">
        <f t="shared" ca="1" si="11"/>
        <v>—</v>
      </c>
      <c r="L116" s="94"/>
    </row>
    <row r="117" spans="1:12" x14ac:dyDescent="0.25">
      <c r="A117" s="79"/>
      <c r="B117" s="21" t="str">
        <f>IF(A117="","",IFERROR(VLOOKUP(A117,DB_Customers!$A:$D,4,0),"❌ Account Not Found"))</f>
        <v/>
      </c>
      <c r="C117" s="80" t="str">
        <f>IF(A117="","",IFERROR(VLOOKUP(A117,DB_Customers!$A:$N,14,0),""))</f>
        <v/>
      </c>
      <c r="D117" s="81" t="str">
        <f t="shared" ca="1" si="9"/>
        <v/>
      </c>
      <c r="E117" s="97"/>
      <c r="F117" s="21"/>
      <c r="G117" s="98" t="str">
        <f t="shared" si="10"/>
        <v/>
      </c>
      <c r="H117" s="23"/>
      <c r="I117" s="84"/>
      <c r="J117" s="85" t="str">
        <f>IF(AND(A117&lt;&gt;"",E117&lt;&gt;""),IF(I117="","⚠️ Enter Code",IF(IFERROR(VLOOKUP(H117,DB_Agents!$B:$I,8,0),"")=I117,IF(C117&gt;=E117,"Successful","Unsuccessful"),"🔒 BLOCKED — Wrong Code")),"—")</f>
        <v>—</v>
      </c>
      <c r="K117" s="86" t="str">
        <f t="shared" ca="1" si="11"/>
        <v>—</v>
      </c>
      <c r="L117" s="87"/>
    </row>
    <row r="118" spans="1:12" x14ac:dyDescent="0.25">
      <c r="A118" s="88"/>
      <c r="B118" s="25" t="str">
        <f>IF(A118="","",IFERROR(VLOOKUP(A118,DB_Customers!$A:$D,4,0),"❌ Account Not Found"))</f>
        <v/>
      </c>
      <c r="C118" s="89" t="str">
        <f>IF(A118="","",IFERROR(VLOOKUP(A118,DB_Customers!$A:$N,14,0),""))</f>
        <v/>
      </c>
      <c r="D118" s="90" t="str">
        <f t="shared" ca="1" si="9"/>
        <v/>
      </c>
      <c r="E118" s="97"/>
      <c r="F118" s="25"/>
      <c r="G118" s="99" t="str">
        <f t="shared" si="10"/>
        <v/>
      </c>
      <c r="H118" s="27"/>
      <c r="I118" s="84"/>
      <c r="J118" s="92" t="str">
        <f>IF(AND(A118&lt;&gt;"",E118&lt;&gt;""),IF(I118="","⚠️ Enter Code",IF(IFERROR(VLOOKUP(H118,DB_Agents!$B:$I,8,0),"")=I118,IF(C118&gt;=E118,"Successful","Unsuccessful"),"🔒 BLOCKED — Wrong Code")),"—")</f>
        <v>—</v>
      </c>
      <c r="K118" s="93" t="str">
        <f t="shared" ca="1" si="11"/>
        <v>—</v>
      </c>
      <c r="L118" s="94"/>
    </row>
    <row r="119" spans="1:12" x14ac:dyDescent="0.25">
      <c r="A119" s="79"/>
      <c r="B119" s="21" t="str">
        <f>IF(A119="","",IFERROR(VLOOKUP(A119,DB_Customers!$A:$D,4,0),"❌ Account Not Found"))</f>
        <v/>
      </c>
      <c r="C119" s="80" t="str">
        <f>IF(A119="","",IFERROR(VLOOKUP(A119,DB_Customers!$A:$N,14,0),""))</f>
        <v/>
      </c>
      <c r="D119" s="81" t="str">
        <f t="shared" ca="1" si="9"/>
        <v/>
      </c>
      <c r="E119" s="97"/>
      <c r="F119" s="21"/>
      <c r="G119" s="98" t="str">
        <f t="shared" si="10"/>
        <v/>
      </c>
      <c r="H119" s="23"/>
      <c r="I119" s="84"/>
      <c r="J119" s="85" t="str">
        <f>IF(AND(A119&lt;&gt;"",E119&lt;&gt;""),IF(I119="","⚠️ Enter Code",IF(IFERROR(VLOOKUP(H119,DB_Agents!$B:$I,8,0),"")=I119,IF(C119&gt;=E119,"Successful","Unsuccessful"),"🔒 BLOCKED — Wrong Code")),"—")</f>
        <v>—</v>
      </c>
      <c r="K119" s="86" t="str">
        <f t="shared" ca="1" si="11"/>
        <v>—</v>
      </c>
      <c r="L119" s="87"/>
    </row>
    <row r="120" spans="1:12" x14ac:dyDescent="0.25">
      <c r="A120" s="88"/>
      <c r="B120" s="25" t="str">
        <f>IF(A120="","",IFERROR(VLOOKUP(A120,DB_Customers!$A:$D,4,0),"❌ Account Not Found"))</f>
        <v/>
      </c>
      <c r="C120" s="89" t="str">
        <f>IF(A120="","",IFERROR(VLOOKUP(A120,DB_Customers!$A:$N,14,0),""))</f>
        <v/>
      </c>
      <c r="D120" s="90" t="str">
        <f t="shared" ca="1" si="9"/>
        <v/>
      </c>
      <c r="E120" s="97"/>
      <c r="F120" s="25"/>
      <c r="G120" s="99" t="str">
        <f t="shared" si="10"/>
        <v/>
      </c>
      <c r="H120" s="27"/>
      <c r="I120" s="84"/>
      <c r="J120" s="92" t="str">
        <f>IF(AND(A120&lt;&gt;"",E120&lt;&gt;""),IF(I120="","⚠️ Enter Code",IF(IFERROR(VLOOKUP(H120,DB_Agents!$B:$I,8,0),"")=I120,IF(C120&gt;=E120,"Successful","Unsuccessful"),"🔒 BLOCKED — Wrong Code")),"—")</f>
        <v>—</v>
      </c>
      <c r="K120" s="93" t="str">
        <f t="shared" ca="1" si="11"/>
        <v>—</v>
      </c>
      <c r="L120" s="94"/>
    </row>
    <row r="121" spans="1:12" x14ac:dyDescent="0.25">
      <c r="A121" s="79"/>
      <c r="B121" s="21" t="str">
        <f>IF(A121="","",IFERROR(VLOOKUP(A121,DB_Customers!$A:$D,4,0),"❌ Account Not Found"))</f>
        <v/>
      </c>
      <c r="C121" s="80" t="str">
        <f>IF(A121="","",IFERROR(VLOOKUP(A121,DB_Customers!$A:$N,14,0),""))</f>
        <v/>
      </c>
      <c r="D121" s="81" t="str">
        <f t="shared" ca="1" si="9"/>
        <v/>
      </c>
      <c r="E121" s="97"/>
      <c r="F121" s="21"/>
      <c r="G121" s="98" t="str">
        <f t="shared" si="10"/>
        <v/>
      </c>
      <c r="H121" s="23"/>
      <c r="I121" s="84"/>
      <c r="J121" s="85" t="str">
        <f>IF(AND(A121&lt;&gt;"",E121&lt;&gt;""),IF(I121="","⚠️ Enter Code",IF(IFERROR(VLOOKUP(H121,DB_Agents!$B:$I,8,0),"")=I121,IF(C121&gt;=E121,"Successful","Unsuccessful"),"🔒 BLOCKED — Wrong Code")),"—")</f>
        <v>—</v>
      </c>
      <c r="K121" s="86" t="str">
        <f t="shared" ca="1" si="11"/>
        <v>—</v>
      </c>
      <c r="L121" s="87"/>
    </row>
    <row r="122" spans="1:12" x14ac:dyDescent="0.25">
      <c r="A122" s="88"/>
      <c r="B122" s="25" t="str">
        <f>IF(A122="","",IFERROR(VLOOKUP(A122,DB_Customers!$A:$D,4,0),"❌ Account Not Found"))</f>
        <v/>
      </c>
      <c r="C122" s="89" t="str">
        <f>IF(A122="","",IFERROR(VLOOKUP(A122,DB_Customers!$A:$N,14,0),""))</f>
        <v/>
      </c>
      <c r="D122" s="90" t="str">
        <f t="shared" ca="1" si="9"/>
        <v/>
      </c>
      <c r="E122" s="97"/>
      <c r="F122" s="25"/>
      <c r="G122" s="99" t="str">
        <f t="shared" si="10"/>
        <v/>
      </c>
      <c r="H122" s="27"/>
      <c r="I122" s="84"/>
      <c r="J122" s="92" t="str">
        <f>IF(AND(A122&lt;&gt;"",E122&lt;&gt;""),IF(I122="","⚠️ Enter Code",IF(IFERROR(VLOOKUP(H122,DB_Agents!$B:$I,8,0),"")=I122,IF(C122&gt;=E122,"Successful","Unsuccessful"),"🔒 BLOCKED — Wrong Code")),"—")</f>
        <v>—</v>
      </c>
      <c r="K122" s="93" t="str">
        <f t="shared" ca="1" si="11"/>
        <v>—</v>
      </c>
      <c r="L122" s="94"/>
    </row>
    <row r="123" spans="1:12" x14ac:dyDescent="0.25">
      <c r="A123" s="79"/>
      <c r="B123" s="21" t="str">
        <f>IF(A123="","",IFERROR(VLOOKUP(A123,DB_Customers!$A:$D,4,0),"❌ Account Not Found"))</f>
        <v/>
      </c>
      <c r="C123" s="80" t="str">
        <f>IF(A123="","",IFERROR(VLOOKUP(A123,DB_Customers!$A:$N,14,0),""))</f>
        <v/>
      </c>
      <c r="D123" s="81" t="str">
        <f t="shared" ca="1" si="9"/>
        <v/>
      </c>
      <c r="E123" s="97"/>
      <c r="F123" s="21"/>
      <c r="G123" s="98" t="str">
        <f t="shared" si="10"/>
        <v/>
      </c>
      <c r="H123" s="23"/>
      <c r="I123" s="84"/>
      <c r="J123" s="85" t="str">
        <f>IF(AND(A123&lt;&gt;"",E123&lt;&gt;""),IF(I123="","⚠️ Enter Code",IF(IFERROR(VLOOKUP(H123,DB_Agents!$B:$I,8,0),"")=I123,IF(C123&gt;=E123,"Successful","Unsuccessful"),"🔒 BLOCKED — Wrong Code")),"—")</f>
        <v>—</v>
      </c>
      <c r="K123" s="86" t="str">
        <f t="shared" ca="1" si="11"/>
        <v>—</v>
      </c>
      <c r="L123" s="87"/>
    </row>
    <row r="124" spans="1:12" x14ac:dyDescent="0.25">
      <c r="A124" s="88"/>
      <c r="B124" s="25" t="str">
        <f>IF(A124="","",IFERROR(VLOOKUP(A124,DB_Customers!$A:$D,4,0),"❌ Account Not Found"))</f>
        <v/>
      </c>
      <c r="C124" s="89" t="str">
        <f>IF(A124="","",IFERROR(VLOOKUP(A124,DB_Customers!$A:$N,14,0),""))</f>
        <v/>
      </c>
      <c r="D124" s="90" t="str">
        <f t="shared" ca="1" si="9"/>
        <v/>
      </c>
      <c r="E124" s="97"/>
      <c r="F124" s="25"/>
      <c r="G124" s="99" t="str">
        <f t="shared" si="10"/>
        <v/>
      </c>
      <c r="H124" s="27"/>
      <c r="I124" s="84"/>
      <c r="J124" s="92" t="str">
        <f>IF(AND(A124&lt;&gt;"",E124&lt;&gt;""),IF(I124="","⚠️ Enter Code",IF(IFERROR(VLOOKUP(H124,DB_Agents!$B:$I,8,0),"")=I124,IF(C124&gt;=E124,"Successful","Unsuccessful"),"🔒 BLOCKED — Wrong Code")),"—")</f>
        <v>—</v>
      </c>
      <c r="K124" s="93" t="str">
        <f t="shared" ca="1" si="11"/>
        <v>—</v>
      </c>
      <c r="L124" s="94"/>
    </row>
    <row r="125" spans="1:12" x14ac:dyDescent="0.25">
      <c r="A125" s="79"/>
      <c r="B125" s="21" t="str">
        <f>IF(A125="","",IFERROR(VLOOKUP(A125,DB_Customers!$A:$D,4,0),"❌ Account Not Found"))</f>
        <v/>
      </c>
      <c r="C125" s="80" t="str">
        <f>IF(A125="","",IFERROR(VLOOKUP(A125,DB_Customers!$A:$N,14,0),""))</f>
        <v/>
      </c>
      <c r="D125" s="81" t="str">
        <f t="shared" ca="1" si="9"/>
        <v/>
      </c>
      <c r="E125" s="97"/>
      <c r="F125" s="21"/>
      <c r="G125" s="98" t="str">
        <f t="shared" si="10"/>
        <v/>
      </c>
      <c r="H125" s="23"/>
      <c r="I125" s="84"/>
      <c r="J125" s="85" t="str">
        <f>IF(AND(A125&lt;&gt;"",E125&lt;&gt;""),IF(I125="","⚠️ Enter Code",IF(IFERROR(VLOOKUP(H125,DB_Agents!$B:$I,8,0),"")=I125,IF(C125&gt;=E125,"Successful","Unsuccessful"),"🔒 BLOCKED — Wrong Code")),"—")</f>
        <v>—</v>
      </c>
      <c r="K125" s="86" t="str">
        <f t="shared" ca="1" si="11"/>
        <v>—</v>
      </c>
      <c r="L125" s="87"/>
    </row>
    <row r="126" spans="1:12" x14ac:dyDescent="0.25">
      <c r="A126" s="88"/>
      <c r="B126" s="25" t="str">
        <f>IF(A126="","",IFERROR(VLOOKUP(A126,DB_Customers!$A:$D,4,0),"❌ Account Not Found"))</f>
        <v/>
      </c>
      <c r="C126" s="89" t="str">
        <f>IF(A126="","",IFERROR(VLOOKUP(A126,DB_Customers!$A:$N,14,0),""))</f>
        <v/>
      </c>
      <c r="D126" s="90" t="str">
        <f t="shared" ca="1" si="9"/>
        <v/>
      </c>
      <c r="E126" s="97"/>
      <c r="F126" s="25"/>
      <c r="G126" s="99" t="str">
        <f t="shared" si="10"/>
        <v/>
      </c>
      <c r="H126" s="27"/>
      <c r="I126" s="84"/>
      <c r="J126" s="92" t="str">
        <f>IF(AND(A126&lt;&gt;"",E126&lt;&gt;""),IF(I126="","⚠️ Enter Code",IF(IFERROR(VLOOKUP(H126,DB_Agents!$B:$I,8,0),"")=I126,IF(C126&gt;=E126,"Successful","Unsuccessful"),"🔒 BLOCKED — Wrong Code")),"—")</f>
        <v>—</v>
      </c>
      <c r="K126" s="93" t="str">
        <f t="shared" ca="1" si="11"/>
        <v>—</v>
      </c>
      <c r="L126" s="94"/>
    </row>
    <row r="127" spans="1:12" x14ac:dyDescent="0.25">
      <c r="A127" s="79"/>
      <c r="B127" s="21" t="str">
        <f>IF(A127="","",IFERROR(VLOOKUP(A127,DB_Customers!$A:$D,4,0),"❌ Account Not Found"))</f>
        <v/>
      </c>
      <c r="C127" s="80" t="str">
        <f>IF(A127="","",IFERROR(VLOOKUP(A127,DB_Customers!$A:$N,14,0),""))</f>
        <v/>
      </c>
      <c r="D127" s="81" t="str">
        <f t="shared" ca="1" si="9"/>
        <v/>
      </c>
      <c r="E127" s="97"/>
      <c r="F127" s="21"/>
      <c r="G127" s="98" t="str">
        <f t="shared" si="10"/>
        <v/>
      </c>
      <c r="H127" s="23"/>
      <c r="I127" s="84"/>
      <c r="J127" s="85" t="str">
        <f>IF(AND(A127&lt;&gt;"",E127&lt;&gt;""),IF(I127="","⚠️ Enter Code",IF(IFERROR(VLOOKUP(H127,DB_Agents!$B:$I,8,0),"")=I127,IF(C127&gt;=E127,"Successful","Unsuccessful"),"🔒 BLOCKED — Wrong Code")),"—")</f>
        <v>—</v>
      </c>
      <c r="K127" s="86" t="str">
        <f t="shared" ca="1" si="11"/>
        <v>—</v>
      </c>
      <c r="L127" s="87"/>
    </row>
    <row r="128" spans="1:12" x14ac:dyDescent="0.25">
      <c r="A128" s="88"/>
      <c r="B128" s="25" t="str">
        <f>IF(A128="","",IFERROR(VLOOKUP(A128,DB_Customers!$A:$D,4,0),"❌ Account Not Found"))</f>
        <v/>
      </c>
      <c r="C128" s="89" t="str">
        <f>IF(A128="","",IFERROR(VLOOKUP(A128,DB_Customers!$A:$N,14,0),""))</f>
        <v/>
      </c>
      <c r="D128" s="90" t="str">
        <f t="shared" ca="1" si="9"/>
        <v/>
      </c>
      <c r="E128" s="97"/>
      <c r="F128" s="25"/>
      <c r="G128" s="99" t="str">
        <f t="shared" si="10"/>
        <v/>
      </c>
      <c r="H128" s="27"/>
      <c r="I128" s="84"/>
      <c r="J128" s="92" t="str">
        <f>IF(AND(A128&lt;&gt;"",E128&lt;&gt;""),IF(I128="","⚠️ Enter Code",IF(IFERROR(VLOOKUP(H128,DB_Agents!$B:$I,8,0),"")=I128,IF(C128&gt;=E128,"Successful","Unsuccessful"),"🔒 BLOCKED — Wrong Code")),"—")</f>
        <v>—</v>
      </c>
      <c r="K128" s="93" t="str">
        <f t="shared" ca="1" si="11"/>
        <v>—</v>
      </c>
      <c r="L128" s="94"/>
    </row>
    <row r="129" spans="1:12" x14ac:dyDescent="0.25">
      <c r="A129" s="79"/>
      <c r="B129" s="21" t="str">
        <f>IF(A129="","",IFERROR(VLOOKUP(A129,DB_Customers!$A:$D,4,0),"❌ Account Not Found"))</f>
        <v/>
      </c>
      <c r="C129" s="80" t="str">
        <f>IF(A129="","",IFERROR(VLOOKUP(A129,DB_Customers!$A:$N,14,0),""))</f>
        <v/>
      </c>
      <c r="D129" s="81" t="str">
        <f t="shared" ca="1" si="9"/>
        <v/>
      </c>
      <c r="E129" s="97"/>
      <c r="F129" s="21"/>
      <c r="G129" s="98" t="str">
        <f t="shared" si="10"/>
        <v/>
      </c>
      <c r="H129" s="23"/>
      <c r="I129" s="84"/>
      <c r="J129" s="85" t="str">
        <f>IF(AND(A129&lt;&gt;"",E129&lt;&gt;""),IF(I129="","⚠️ Enter Code",IF(IFERROR(VLOOKUP(H129,DB_Agents!$B:$I,8,0),"")=I129,IF(C129&gt;=E129,"Successful","Unsuccessful"),"🔒 BLOCKED — Wrong Code")),"—")</f>
        <v>—</v>
      </c>
      <c r="K129" s="86" t="str">
        <f t="shared" ca="1" si="11"/>
        <v>—</v>
      </c>
      <c r="L129" s="87"/>
    </row>
    <row r="130" spans="1:12" x14ac:dyDescent="0.25">
      <c r="A130" s="88"/>
      <c r="B130" s="25" t="str">
        <f>IF(A130="","",IFERROR(VLOOKUP(A130,DB_Customers!$A:$D,4,0),"❌ Account Not Found"))</f>
        <v/>
      </c>
      <c r="C130" s="89" t="str">
        <f>IF(A130="","",IFERROR(VLOOKUP(A130,DB_Customers!$A:$N,14,0),""))</f>
        <v/>
      </c>
      <c r="D130" s="90" t="str">
        <f t="shared" ca="1" si="9"/>
        <v/>
      </c>
      <c r="E130" s="97"/>
      <c r="F130" s="25"/>
      <c r="G130" s="99" t="str">
        <f t="shared" si="10"/>
        <v/>
      </c>
      <c r="H130" s="27"/>
      <c r="I130" s="84"/>
      <c r="J130" s="92" t="str">
        <f>IF(AND(A130&lt;&gt;"",E130&lt;&gt;""),IF(I130="","⚠️ Enter Code",IF(IFERROR(VLOOKUP(H130,DB_Agents!$B:$I,8,0),"")=I130,IF(C130&gt;=E130,"Successful","Unsuccessful"),"🔒 BLOCKED — Wrong Code")),"—")</f>
        <v>—</v>
      </c>
      <c r="K130" s="93" t="str">
        <f t="shared" ca="1" si="11"/>
        <v>—</v>
      </c>
      <c r="L130" s="94"/>
    </row>
    <row r="131" spans="1:12" x14ac:dyDescent="0.25">
      <c r="A131" s="79"/>
      <c r="B131" s="21" t="str">
        <f>IF(A131="","",IFERROR(VLOOKUP(A131,DB_Customers!$A:$D,4,0),"❌ Account Not Found"))</f>
        <v/>
      </c>
      <c r="C131" s="80" t="str">
        <f>IF(A131="","",IFERROR(VLOOKUP(A131,DB_Customers!$A:$N,14,0),""))</f>
        <v/>
      </c>
      <c r="D131" s="81" t="str">
        <f t="shared" ca="1" si="9"/>
        <v/>
      </c>
      <c r="E131" s="97"/>
      <c r="F131" s="21"/>
      <c r="G131" s="98" t="str">
        <f t="shared" si="10"/>
        <v/>
      </c>
      <c r="H131" s="23"/>
      <c r="I131" s="84"/>
      <c r="J131" s="85" t="str">
        <f>IF(AND(A131&lt;&gt;"",E131&lt;&gt;""),IF(I131="","⚠️ Enter Code",IF(IFERROR(VLOOKUP(H131,DB_Agents!$B:$I,8,0),"")=I131,IF(C131&gt;=E131,"Successful","Unsuccessful"),"🔒 BLOCKED — Wrong Code")),"—")</f>
        <v>—</v>
      </c>
      <c r="K131" s="86" t="str">
        <f t="shared" ca="1" si="11"/>
        <v>—</v>
      </c>
      <c r="L131" s="87"/>
    </row>
    <row r="132" spans="1:12" x14ac:dyDescent="0.25">
      <c r="A132" s="88"/>
      <c r="B132" s="25" t="str">
        <f>IF(A132="","",IFERROR(VLOOKUP(A132,DB_Customers!$A:$D,4,0),"❌ Account Not Found"))</f>
        <v/>
      </c>
      <c r="C132" s="89" t="str">
        <f>IF(A132="","",IFERROR(VLOOKUP(A132,DB_Customers!$A:$N,14,0),""))</f>
        <v/>
      </c>
      <c r="D132" s="90" t="str">
        <f t="shared" ca="1" si="9"/>
        <v/>
      </c>
      <c r="E132" s="97"/>
      <c r="F132" s="25"/>
      <c r="G132" s="99" t="str">
        <f t="shared" si="10"/>
        <v/>
      </c>
      <c r="H132" s="27"/>
      <c r="I132" s="84"/>
      <c r="J132" s="92" t="str">
        <f>IF(AND(A132&lt;&gt;"",E132&lt;&gt;""),IF(I132="","⚠️ Enter Code",IF(IFERROR(VLOOKUP(H132,DB_Agents!$B:$I,8,0),"")=I132,IF(C132&gt;=E132,"Successful","Unsuccessful"),"🔒 BLOCKED — Wrong Code")),"—")</f>
        <v>—</v>
      </c>
      <c r="K132" s="93" t="str">
        <f t="shared" ca="1" si="11"/>
        <v>—</v>
      </c>
      <c r="L132" s="94"/>
    </row>
    <row r="133" spans="1:12" x14ac:dyDescent="0.25">
      <c r="A133" s="79"/>
      <c r="B133" s="21" t="str">
        <f>IF(A133="","",IFERROR(VLOOKUP(A133,DB_Customers!$A:$D,4,0),"❌ Account Not Found"))</f>
        <v/>
      </c>
      <c r="C133" s="80" t="str">
        <f>IF(A133="","",IFERROR(VLOOKUP(A133,DB_Customers!$A:$N,14,0),""))</f>
        <v/>
      </c>
      <c r="D133" s="81" t="str">
        <f t="shared" ca="1" si="9"/>
        <v/>
      </c>
      <c r="E133" s="97"/>
      <c r="F133" s="21"/>
      <c r="G133" s="98" t="str">
        <f t="shared" si="10"/>
        <v/>
      </c>
      <c r="H133" s="23"/>
      <c r="I133" s="84"/>
      <c r="J133" s="85" t="str">
        <f>IF(AND(A133&lt;&gt;"",E133&lt;&gt;""),IF(I133="","⚠️ Enter Code",IF(IFERROR(VLOOKUP(H133,DB_Agents!$B:$I,8,0),"")=I133,IF(C133&gt;=E133,"Successful","Unsuccessful"),"🔒 BLOCKED — Wrong Code")),"—")</f>
        <v>—</v>
      </c>
      <c r="K133" s="86" t="str">
        <f t="shared" ca="1" si="11"/>
        <v>—</v>
      </c>
      <c r="L133" s="87"/>
    </row>
    <row r="134" spans="1:12" x14ac:dyDescent="0.25">
      <c r="A134" s="88"/>
      <c r="B134" s="25" t="str">
        <f>IF(A134="","",IFERROR(VLOOKUP(A134,DB_Customers!$A:$D,4,0),"❌ Account Not Found"))</f>
        <v/>
      </c>
      <c r="C134" s="89" t="str">
        <f>IF(A134="","",IFERROR(VLOOKUP(A134,DB_Customers!$A:$N,14,0),""))</f>
        <v/>
      </c>
      <c r="D134" s="90" t="str">
        <f t="shared" ca="1" si="9"/>
        <v/>
      </c>
      <c r="E134" s="97"/>
      <c r="F134" s="25"/>
      <c r="G134" s="99" t="str">
        <f t="shared" si="10"/>
        <v/>
      </c>
      <c r="H134" s="27"/>
      <c r="I134" s="84"/>
      <c r="J134" s="92" t="str">
        <f>IF(AND(A134&lt;&gt;"",E134&lt;&gt;""),IF(I134="","⚠️ Enter Code",IF(IFERROR(VLOOKUP(H134,DB_Agents!$B:$I,8,0),"")=I134,IF(C134&gt;=E134,"Successful","Unsuccessful"),"🔒 BLOCKED — Wrong Code")),"—")</f>
        <v>—</v>
      </c>
      <c r="K134" s="93" t="str">
        <f t="shared" ca="1" si="11"/>
        <v>—</v>
      </c>
      <c r="L134" s="94"/>
    </row>
    <row r="135" spans="1:12" x14ac:dyDescent="0.25">
      <c r="A135" s="79"/>
      <c r="B135" s="21" t="str">
        <f>IF(A135="","",IFERROR(VLOOKUP(A135,DB_Customers!$A:$D,4,0),"❌ Account Not Found"))</f>
        <v/>
      </c>
      <c r="C135" s="80" t="str">
        <f>IF(A135="","",IFERROR(VLOOKUP(A135,DB_Customers!$A:$N,14,0),""))</f>
        <v/>
      </c>
      <c r="D135" s="81" t="str">
        <f t="shared" ca="1" si="9"/>
        <v/>
      </c>
      <c r="E135" s="97"/>
      <c r="F135" s="21"/>
      <c r="G135" s="98" t="str">
        <f t="shared" si="10"/>
        <v/>
      </c>
      <c r="H135" s="23"/>
      <c r="I135" s="84"/>
      <c r="J135" s="85" t="str">
        <f>IF(AND(A135&lt;&gt;"",E135&lt;&gt;""),IF(I135="","⚠️ Enter Code",IF(IFERROR(VLOOKUP(H135,DB_Agents!$B:$I,8,0),"")=I135,IF(C135&gt;=E135,"Successful","Unsuccessful"),"🔒 BLOCKED — Wrong Code")),"—")</f>
        <v>—</v>
      </c>
      <c r="K135" s="86" t="str">
        <f t="shared" ca="1" si="11"/>
        <v>—</v>
      </c>
      <c r="L135" s="87"/>
    </row>
    <row r="136" spans="1:12" x14ac:dyDescent="0.25">
      <c r="A136" s="88"/>
      <c r="B136" s="25" t="str">
        <f>IF(A136="","",IFERROR(VLOOKUP(A136,DB_Customers!$A:$D,4,0),"❌ Account Not Found"))</f>
        <v/>
      </c>
      <c r="C136" s="89" t="str">
        <f>IF(A136="","",IFERROR(VLOOKUP(A136,DB_Customers!$A:$N,14,0),""))</f>
        <v/>
      </c>
      <c r="D136" s="90" t="str">
        <f t="shared" ca="1" si="9"/>
        <v/>
      </c>
      <c r="E136" s="97"/>
      <c r="F136" s="25"/>
      <c r="G136" s="99" t="str">
        <f t="shared" si="10"/>
        <v/>
      </c>
      <c r="H136" s="27"/>
      <c r="I136" s="84"/>
      <c r="J136" s="92" t="str">
        <f>IF(AND(A136&lt;&gt;"",E136&lt;&gt;""),IF(I136="","⚠️ Enter Code",IF(IFERROR(VLOOKUP(H136,DB_Agents!$B:$I,8,0),"")=I136,IF(C136&gt;=E136,"Successful","Unsuccessful"),"🔒 BLOCKED — Wrong Code")),"—")</f>
        <v>—</v>
      </c>
      <c r="K136" s="93" t="str">
        <f t="shared" ca="1" si="11"/>
        <v>—</v>
      </c>
      <c r="L136" s="94"/>
    </row>
    <row r="137" spans="1:12" x14ac:dyDescent="0.25">
      <c r="A137" s="79"/>
      <c r="B137" s="21" t="str">
        <f>IF(A137="","",IFERROR(VLOOKUP(A137,DB_Customers!$A:$D,4,0),"❌ Account Not Found"))</f>
        <v/>
      </c>
      <c r="C137" s="80" t="str">
        <f>IF(A137="","",IFERROR(VLOOKUP(A137,DB_Customers!$A:$N,14,0),""))</f>
        <v/>
      </c>
      <c r="D137" s="81" t="str">
        <f t="shared" ref="D137:D168" ca="1" si="12">IF(A137="","",TODAY())</f>
        <v/>
      </c>
      <c r="E137" s="97"/>
      <c r="F137" s="21"/>
      <c r="G137" s="98" t="str">
        <f t="shared" ref="G137:G168" si="13">IF(OR(A137="",E137=""),"",IF(C137="","",C137-E137))</f>
        <v/>
      </c>
      <c r="H137" s="23"/>
      <c r="I137" s="84"/>
      <c r="J137" s="85" t="str">
        <f>IF(AND(A137&lt;&gt;"",E137&lt;&gt;""),IF(I137="","⚠️ Enter Code",IF(IFERROR(VLOOKUP(H137,DB_Agents!$B:$I,8,0),"")=I137,IF(C137&gt;=E137,"Successful","Unsuccessful"),"🔒 BLOCKED — Wrong Code")),"—")</f>
        <v>—</v>
      </c>
      <c r="K137" s="86" t="str">
        <f t="shared" ref="K137:K168" ca="1" si="14">IF(J137="Successful",TEXT(TODAY(),"YYYY-MM-DD")&amp;" Auto","—")</f>
        <v>—</v>
      </c>
      <c r="L137" s="87"/>
    </row>
    <row r="138" spans="1:12" x14ac:dyDescent="0.25">
      <c r="A138" s="88"/>
      <c r="B138" s="25" t="str">
        <f>IF(A138="","",IFERROR(VLOOKUP(A138,DB_Customers!$A:$D,4,0),"❌ Account Not Found"))</f>
        <v/>
      </c>
      <c r="C138" s="89" t="str">
        <f>IF(A138="","",IFERROR(VLOOKUP(A138,DB_Customers!$A:$N,14,0),""))</f>
        <v/>
      </c>
      <c r="D138" s="90" t="str">
        <f t="shared" ca="1" si="12"/>
        <v/>
      </c>
      <c r="E138" s="97"/>
      <c r="F138" s="25"/>
      <c r="G138" s="99" t="str">
        <f t="shared" si="13"/>
        <v/>
      </c>
      <c r="H138" s="27"/>
      <c r="I138" s="84"/>
      <c r="J138" s="92" t="str">
        <f>IF(AND(A138&lt;&gt;"",E138&lt;&gt;""),IF(I138="","⚠️ Enter Code",IF(IFERROR(VLOOKUP(H138,DB_Agents!$B:$I,8,0),"")=I138,IF(C138&gt;=E138,"Successful","Unsuccessful"),"🔒 BLOCKED — Wrong Code")),"—")</f>
        <v>—</v>
      </c>
      <c r="K138" s="93" t="str">
        <f t="shared" ca="1" si="14"/>
        <v>—</v>
      </c>
      <c r="L138" s="94"/>
    </row>
    <row r="139" spans="1:12" x14ac:dyDescent="0.25">
      <c r="A139" s="79"/>
      <c r="B139" s="21" t="str">
        <f>IF(A139="","",IFERROR(VLOOKUP(A139,DB_Customers!$A:$D,4,0),"❌ Account Not Found"))</f>
        <v/>
      </c>
      <c r="C139" s="80" t="str">
        <f>IF(A139="","",IFERROR(VLOOKUP(A139,DB_Customers!$A:$N,14,0),""))</f>
        <v/>
      </c>
      <c r="D139" s="81" t="str">
        <f t="shared" ca="1" si="12"/>
        <v/>
      </c>
      <c r="E139" s="97"/>
      <c r="F139" s="21"/>
      <c r="G139" s="98" t="str">
        <f t="shared" si="13"/>
        <v/>
      </c>
      <c r="H139" s="23"/>
      <c r="I139" s="84"/>
      <c r="J139" s="85" t="str">
        <f>IF(AND(A139&lt;&gt;"",E139&lt;&gt;""),IF(I139="","⚠️ Enter Code",IF(IFERROR(VLOOKUP(H139,DB_Agents!$B:$I,8,0),"")=I139,IF(C139&gt;=E139,"Successful","Unsuccessful"),"🔒 BLOCKED — Wrong Code")),"—")</f>
        <v>—</v>
      </c>
      <c r="K139" s="86" t="str">
        <f t="shared" ca="1" si="14"/>
        <v>—</v>
      </c>
      <c r="L139" s="87"/>
    </row>
    <row r="140" spans="1:12" x14ac:dyDescent="0.25">
      <c r="A140" s="88"/>
      <c r="B140" s="25" t="str">
        <f>IF(A140="","",IFERROR(VLOOKUP(A140,DB_Customers!$A:$D,4,0),"❌ Account Not Found"))</f>
        <v/>
      </c>
      <c r="C140" s="89" t="str">
        <f>IF(A140="","",IFERROR(VLOOKUP(A140,DB_Customers!$A:$N,14,0),""))</f>
        <v/>
      </c>
      <c r="D140" s="90" t="str">
        <f t="shared" ca="1" si="12"/>
        <v/>
      </c>
      <c r="E140" s="97"/>
      <c r="F140" s="25"/>
      <c r="G140" s="99" t="str">
        <f t="shared" si="13"/>
        <v/>
      </c>
      <c r="H140" s="27"/>
      <c r="I140" s="84"/>
      <c r="J140" s="92" t="str">
        <f>IF(AND(A140&lt;&gt;"",E140&lt;&gt;""),IF(I140="","⚠️ Enter Code",IF(IFERROR(VLOOKUP(H140,DB_Agents!$B:$I,8,0),"")=I140,IF(C140&gt;=E140,"Successful","Unsuccessful"),"🔒 BLOCKED — Wrong Code")),"—")</f>
        <v>—</v>
      </c>
      <c r="K140" s="93" t="str">
        <f t="shared" ca="1" si="14"/>
        <v>—</v>
      </c>
      <c r="L140" s="94"/>
    </row>
    <row r="141" spans="1:12" x14ac:dyDescent="0.25">
      <c r="A141" s="79"/>
      <c r="B141" s="21" t="str">
        <f>IF(A141="","",IFERROR(VLOOKUP(A141,DB_Customers!$A:$D,4,0),"❌ Account Not Found"))</f>
        <v/>
      </c>
      <c r="C141" s="80" t="str">
        <f>IF(A141="","",IFERROR(VLOOKUP(A141,DB_Customers!$A:$N,14,0),""))</f>
        <v/>
      </c>
      <c r="D141" s="81" t="str">
        <f t="shared" ca="1" si="12"/>
        <v/>
      </c>
      <c r="E141" s="97"/>
      <c r="F141" s="21"/>
      <c r="G141" s="98" t="str">
        <f t="shared" si="13"/>
        <v/>
      </c>
      <c r="H141" s="23"/>
      <c r="I141" s="84"/>
      <c r="J141" s="85" t="str">
        <f>IF(AND(A141&lt;&gt;"",E141&lt;&gt;""),IF(I141="","⚠️ Enter Code",IF(IFERROR(VLOOKUP(H141,DB_Agents!$B:$I,8,0),"")=I141,IF(C141&gt;=E141,"Successful","Unsuccessful"),"🔒 BLOCKED — Wrong Code")),"—")</f>
        <v>—</v>
      </c>
      <c r="K141" s="86" t="str">
        <f t="shared" ca="1" si="14"/>
        <v>—</v>
      </c>
      <c r="L141" s="87"/>
    </row>
    <row r="142" spans="1:12" x14ac:dyDescent="0.25">
      <c r="A142" s="88"/>
      <c r="B142" s="25" t="str">
        <f>IF(A142="","",IFERROR(VLOOKUP(A142,DB_Customers!$A:$D,4,0),"❌ Account Not Found"))</f>
        <v/>
      </c>
      <c r="C142" s="89" t="str">
        <f>IF(A142="","",IFERROR(VLOOKUP(A142,DB_Customers!$A:$N,14,0),""))</f>
        <v/>
      </c>
      <c r="D142" s="90" t="str">
        <f t="shared" ca="1" si="12"/>
        <v/>
      </c>
      <c r="E142" s="97"/>
      <c r="F142" s="25"/>
      <c r="G142" s="99" t="str">
        <f t="shared" si="13"/>
        <v/>
      </c>
      <c r="H142" s="27"/>
      <c r="I142" s="84"/>
      <c r="J142" s="92" t="str">
        <f>IF(AND(A142&lt;&gt;"",E142&lt;&gt;""),IF(I142="","⚠️ Enter Code",IF(IFERROR(VLOOKUP(H142,DB_Agents!$B:$I,8,0),"")=I142,IF(C142&gt;=E142,"Successful","Unsuccessful"),"🔒 BLOCKED — Wrong Code")),"—")</f>
        <v>—</v>
      </c>
      <c r="K142" s="93" t="str">
        <f t="shared" ca="1" si="14"/>
        <v>—</v>
      </c>
      <c r="L142" s="94"/>
    </row>
    <row r="143" spans="1:12" x14ac:dyDescent="0.25">
      <c r="A143" s="79"/>
      <c r="B143" s="21" t="str">
        <f>IF(A143="","",IFERROR(VLOOKUP(A143,DB_Customers!$A:$D,4,0),"❌ Account Not Found"))</f>
        <v/>
      </c>
      <c r="C143" s="80" t="str">
        <f>IF(A143="","",IFERROR(VLOOKUP(A143,DB_Customers!$A:$N,14,0),""))</f>
        <v/>
      </c>
      <c r="D143" s="81" t="str">
        <f t="shared" ca="1" si="12"/>
        <v/>
      </c>
      <c r="E143" s="97"/>
      <c r="F143" s="21"/>
      <c r="G143" s="98" t="str">
        <f t="shared" si="13"/>
        <v/>
      </c>
      <c r="H143" s="23"/>
      <c r="I143" s="84"/>
      <c r="J143" s="85" t="str">
        <f>IF(AND(A143&lt;&gt;"",E143&lt;&gt;""),IF(I143="","⚠️ Enter Code",IF(IFERROR(VLOOKUP(H143,DB_Agents!$B:$I,8,0),"")=I143,IF(C143&gt;=E143,"Successful","Unsuccessful"),"🔒 BLOCKED — Wrong Code")),"—")</f>
        <v>—</v>
      </c>
      <c r="K143" s="86" t="str">
        <f t="shared" ca="1" si="14"/>
        <v>—</v>
      </c>
      <c r="L143" s="87"/>
    </row>
    <row r="144" spans="1:12" x14ac:dyDescent="0.25">
      <c r="A144" s="88"/>
      <c r="B144" s="25" t="str">
        <f>IF(A144="","",IFERROR(VLOOKUP(A144,DB_Customers!$A:$D,4,0),"❌ Account Not Found"))</f>
        <v/>
      </c>
      <c r="C144" s="89" t="str">
        <f>IF(A144="","",IFERROR(VLOOKUP(A144,DB_Customers!$A:$N,14,0),""))</f>
        <v/>
      </c>
      <c r="D144" s="90" t="str">
        <f t="shared" ca="1" si="12"/>
        <v/>
      </c>
      <c r="E144" s="97"/>
      <c r="F144" s="25"/>
      <c r="G144" s="99" t="str">
        <f t="shared" si="13"/>
        <v/>
      </c>
      <c r="H144" s="27"/>
      <c r="I144" s="84"/>
      <c r="J144" s="92" t="str">
        <f>IF(AND(A144&lt;&gt;"",E144&lt;&gt;""),IF(I144="","⚠️ Enter Code",IF(IFERROR(VLOOKUP(H144,DB_Agents!$B:$I,8,0),"")=I144,IF(C144&gt;=E144,"Successful","Unsuccessful"),"🔒 BLOCKED — Wrong Code")),"—")</f>
        <v>—</v>
      </c>
      <c r="K144" s="93" t="str">
        <f t="shared" ca="1" si="14"/>
        <v>—</v>
      </c>
      <c r="L144" s="94"/>
    </row>
    <row r="145" spans="1:12" x14ac:dyDescent="0.25">
      <c r="A145" s="79"/>
      <c r="B145" s="21" t="str">
        <f>IF(A145="","",IFERROR(VLOOKUP(A145,DB_Customers!$A:$D,4,0),"❌ Account Not Found"))</f>
        <v/>
      </c>
      <c r="C145" s="80" t="str">
        <f>IF(A145="","",IFERROR(VLOOKUP(A145,DB_Customers!$A:$N,14,0),""))</f>
        <v/>
      </c>
      <c r="D145" s="81" t="str">
        <f t="shared" ca="1" si="12"/>
        <v/>
      </c>
      <c r="E145" s="97"/>
      <c r="F145" s="21"/>
      <c r="G145" s="98" t="str">
        <f t="shared" si="13"/>
        <v/>
      </c>
      <c r="H145" s="23"/>
      <c r="I145" s="84"/>
      <c r="J145" s="85" t="str">
        <f>IF(AND(A145&lt;&gt;"",E145&lt;&gt;""),IF(I145="","⚠️ Enter Code",IF(IFERROR(VLOOKUP(H145,DB_Agents!$B:$I,8,0),"")=I145,IF(C145&gt;=E145,"Successful","Unsuccessful"),"🔒 BLOCKED — Wrong Code")),"—")</f>
        <v>—</v>
      </c>
      <c r="K145" s="86" t="str">
        <f t="shared" ca="1" si="14"/>
        <v>—</v>
      </c>
      <c r="L145" s="87"/>
    </row>
    <row r="146" spans="1:12" x14ac:dyDescent="0.25">
      <c r="A146" s="88"/>
      <c r="B146" s="25" t="str">
        <f>IF(A146="","",IFERROR(VLOOKUP(A146,DB_Customers!$A:$D,4,0),"❌ Account Not Found"))</f>
        <v/>
      </c>
      <c r="C146" s="89" t="str">
        <f>IF(A146="","",IFERROR(VLOOKUP(A146,DB_Customers!$A:$N,14,0),""))</f>
        <v/>
      </c>
      <c r="D146" s="90" t="str">
        <f t="shared" ca="1" si="12"/>
        <v/>
      </c>
      <c r="E146" s="97"/>
      <c r="F146" s="25"/>
      <c r="G146" s="99" t="str">
        <f t="shared" si="13"/>
        <v/>
      </c>
      <c r="H146" s="27"/>
      <c r="I146" s="84"/>
      <c r="J146" s="92" t="str">
        <f>IF(AND(A146&lt;&gt;"",E146&lt;&gt;""),IF(I146="","⚠️ Enter Code",IF(IFERROR(VLOOKUP(H146,DB_Agents!$B:$I,8,0),"")=I146,IF(C146&gt;=E146,"Successful","Unsuccessful"),"🔒 BLOCKED — Wrong Code")),"—")</f>
        <v>—</v>
      </c>
      <c r="K146" s="93" t="str">
        <f t="shared" ca="1" si="14"/>
        <v>—</v>
      </c>
      <c r="L146" s="94"/>
    </row>
    <row r="147" spans="1:12" x14ac:dyDescent="0.25">
      <c r="A147" s="79"/>
      <c r="B147" s="21" t="str">
        <f>IF(A147="","",IFERROR(VLOOKUP(A147,DB_Customers!$A:$D,4,0),"❌ Account Not Found"))</f>
        <v/>
      </c>
      <c r="C147" s="80" t="str">
        <f>IF(A147="","",IFERROR(VLOOKUP(A147,DB_Customers!$A:$N,14,0),""))</f>
        <v/>
      </c>
      <c r="D147" s="81" t="str">
        <f t="shared" ca="1" si="12"/>
        <v/>
      </c>
      <c r="E147" s="97"/>
      <c r="F147" s="21"/>
      <c r="G147" s="98" t="str">
        <f t="shared" si="13"/>
        <v/>
      </c>
      <c r="H147" s="23"/>
      <c r="I147" s="84"/>
      <c r="J147" s="85" t="str">
        <f>IF(AND(A147&lt;&gt;"",E147&lt;&gt;""),IF(I147="","⚠️ Enter Code",IF(IFERROR(VLOOKUP(H147,DB_Agents!$B:$I,8,0),"")=I147,IF(C147&gt;=E147,"Successful","Unsuccessful"),"🔒 BLOCKED — Wrong Code")),"—")</f>
        <v>—</v>
      </c>
      <c r="K147" s="86" t="str">
        <f t="shared" ca="1" si="14"/>
        <v>—</v>
      </c>
      <c r="L147" s="87"/>
    </row>
    <row r="148" spans="1:12" x14ac:dyDescent="0.25">
      <c r="A148" s="88"/>
      <c r="B148" s="25" t="str">
        <f>IF(A148="","",IFERROR(VLOOKUP(A148,DB_Customers!$A:$D,4,0),"❌ Account Not Found"))</f>
        <v/>
      </c>
      <c r="C148" s="89" t="str">
        <f>IF(A148="","",IFERROR(VLOOKUP(A148,DB_Customers!$A:$N,14,0),""))</f>
        <v/>
      </c>
      <c r="D148" s="90" t="str">
        <f t="shared" ca="1" si="12"/>
        <v/>
      </c>
      <c r="E148" s="97"/>
      <c r="F148" s="25"/>
      <c r="G148" s="99" t="str">
        <f t="shared" si="13"/>
        <v/>
      </c>
      <c r="H148" s="27"/>
      <c r="I148" s="84"/>
      <c r="J148" s="92" t="str">
        <f>IF(AND(A148&lt;&gt;"",E148&lt;&gt;""),IF(I148="","⚠️ Enter Code",IF(IFERROR(VLOOKUP(H148,DB_Agents!$B:$I,8,0),"")=I148,IF(C148&gt;=E148,"Successful","Unsuccessful"),"🔒 BLOCKED — Wrong Code")),"—")</f>
        <v>—</v>
      </c>
      <c r="K148" s="93" t="str">
        <f t="shared" ca="1" si="14"/>
        <v>—</v>
      </c>
      <c r="L148" s="94"/>
    </row>
    <row r="149" spans="1:12" x14ac:dyDescent="0.25">
      <c r="A149" s="79"/>
      <c r="B149" s="21" t="str">
        <f>IF(A149="","",IFERROR(VLOOKUP(A149,DB_Customers!$A:$D,4,0),"❌ Account Not Found"))</f>
        <v/>
      </c>
      <c r="C149" s="80" t="str">
        <f>IF(A149="","",IFERROR(VLOOKUP(A149,DB_Customers!$A:$N,14,0),""))</f>
        <v/>
      </c>
      <c r="D149" s="81" t="str">
        <f t="shared" ca="1" si="12"/>
        <v/>
      </c>
      <c r="E149" s="97"/>
      <c r="F149" s="21"/>
      <c r="G149" s="98" t="str">
        <f t="shared" si="13"/>
        <v/>
      </c>
      <c r="H149" s="23"/>
      <c r="I149" s="84"/>
      <c r="J149" s="85" t="str">
        <f>IF(AND(A149&lt;&gt;"",E149&lt;&gt;""),IF(I149="","⚠️ Enter Code",IF(IFERROR(VLOOKUP(H149,DB_Agents!$B:$I,8,0),"")=I149,IF(C149&gt;=E149,"Successful","Unsuccessful"),"🔒 BLOCKED — Wrong Code")),"—")</f>
        <v>—</v>
      </c>
      <c r="K149" s="86" t="str">
        <f t="shared" ca="1" si="14"/>
        <v>—</v>
      </c>
      <c r="L149" s="87"/>
    </row>
    <row r="150" spans="1:12" x14ac:dyDescent="0.25">
      <c r="A150" s="88"/>
      <c r="B150" s="25" t="str">
        <f>IF(A150="","",IFERROR(VLOOKUP(A150,DB_Customers!$A:$D,4,0),"❌ Account Not Found"))</f>
        <v/>
      </c>
      <c r="C150" s="89" t="str">
        <f>IF(A150="","",IFERROR(VLOOKUP(A150,DB_Customers!$A:$N,14,0),""))</f>
        <v/>
      </c>
      <c r="D150" s="90" t="str">
        <f t="shared" ca="1" si="12"/>
        <v/>
      </c>
      <c r="E150" s="97"/>
      <c r="F150" s="25"/>
      <c r="G150" s="99" t="str">
        <f t="shared" si="13"/>
        <v/>
      </c>
      <c r="H150" s="27"/>
      <c r="I150" s="84"/>
      <c r="J150" s="92" t="str">
        <f>IF(AND(A150&lt;&gt;"",E150&lt;&gt;""),IF(I150="","⚠️ Enter Code",IF(IFERROR(VLOOKUP(H150,DB_Agents!$B:$I,8,0),"")=I150,IF(C150&gt;=E150,"Successful","Unsuccessful"),"🔒 BLOCKED — Wrong Code")),"—")</f>
        <v>—</v>
      </c>
      <c r="K150" s="93" t="str">
        <f t="shared" ca="1" si="14"/>
        <v>—</v>
      </c>
      <c r="L150" s="94"/>
    </row>
    <row r="151" spans="1:12" x14ac:dyDescent="0.25">
      <c r="A151" s="79"/>
      <c r="B151" s="21" t="str">
        <f>IF(A151="","",IFERROR(VLOOKUP(A151,DB_Customers!$A:$D,4,0),"❌ Account Not Found"))</f>
        <v/>
      </c>
      <c r="C151" s="80" t="str">
        <f>IF(A151="","",IFERROR(VLOOKUP(A151,DB_Customers!$A:$N,14,0),""))</f>
        <v/>
      </c>
      <c r="D151" s="81" t="str">
        <f t="shared" ca="1" si="12"/>
        <v/>
      </c>
      <c r="E151" s="97"/>
      <c r="F151" s="21"/>
      <c r="G151" s="98" t="str">
        <f t="shared" si="13"/>
        <v/>
      </c>
      <c r="H151" s="23"/>
      <c r="I151" s="84"/>
      <c r="J151" s="85" t="str">
        <f>IF(AND(A151&lt;&gt;"",E151&lt;&gt;""),IF(I151="","⚠️ Enter Code",IF(IFERROR(VLOOKUP(H151,DB_Agents!$B:$I,8,0),"")=I151,IF(C151&gt;=E151,"Successful","Unsuccessful"),"🔒 BLOCKED — Wrong Code")),"—")</f>
        <v>—</v>
      </c>
      <c r="K151" s="86" t="str">
        <f t="shared" ca="1" si="14"/>
        <v>—</v>
      </c>
      <c r="L151" s="87"/>
    </row>
    <row r="152" spans="1:12" x14ac:dyDescent="0.25">
      <c r="A152" s="88"/>
      <c r="B152" s="25" t="str">
        <f>IF(A152="","",IFERROR(VLOOKUP(A152,DB_Customers!$A:$D,4,0),"❌ Account Not Found"))</f>
        <v/>
      </c>
      <c r="C152" s="89" t="str">
        <f>IF(A152="","",IFERROR(VLOOKUP(A152,DB_Customers!$A:$N,14,0),""))</f>
        <v/>
      </c>
      <c r="D152" s="90" t="str">
        <f t="shared" ca="1" si="12"/>
        <v/>
      </c>
      <c r="E152" s="97"/>
      <c r="F152" s="25"/>
      <c r="G152" s="99" t="str">
        <f t="shared" si="13"/>
        <v/>
      </c>
      <c r="H152" s="27"/>
      <c r="I152" s="84"/>
      <c r="J152" s="92" t="str">
        <f>IF(AND(A152&lt;&gt;"",E152&lt;&gt;""),IF(I152="","⚠️ Enter Code",IF(IFERROR(VLOOKUP(H152,DB_Agents!$B:$I,8,0),"")=I152,IF(C152&gt;=E152,"Successful","Unsuccessful"),"🔒 BLOCKED — Wrong Code")),"—")</f>
        <v>—</v>
      </c>
      <c r="K152" s="93" t="str">
        <f t="shared" ca="1" si="14"/>
        <v>—</v>
      </c>
      <c r="L152" s="94"/>
    </row>
    <row r="153" spans="1:12" x14ac:dyDescent="0.25">
      <c r="A153" s="79"/>
      <c r="B153" s="21" t="str">
        <f>IF(A153="","",IFERROR(VLOOKUP(A153,DB_Customers!$A:$D,4,0),"❌ Account Not Found"))</f>
        <v/>
      </c>
      <c r="C153" s="80" t="str">
        <f>IF(A153="","",IFERROR(VLOOKUP(A153,DB_Customers!$A:$N,14,0),""))</f>
        <v/>
      </c>
      <c r="D153" s="81" t="str">
        <f t="shared" ca="1" si="12"/>
        <v/>
      </c>
      <c r="E153" s="97"/>
      <c r="F153" s="21"/>
      <c r="G153" s="98" t="str">
        <f t="shared" si="13"/>
        <v/>
      </c>
      <c r="H153" s="23"/>
      <c r="I153" s="84"/>
      <c r="J153" s="85" t="str">
        <f>IF(AND(A153&lt;&gt;"",E153&lt;&gt;""),IF(I153="","⚠️ Enter Code",IF(IFERROR(VLOOKUP(H153,DB_Agents!$B:$I,8,0),"")=I153,IF(C153&gt;=E153,"Successful","Unsuccessful"),"🔒 BLOCKED — Wrong Code")),"—")</f>
        <v>—</v>
      </c>
      <c r="K153" s="86" t="str">
        <f t="shared" ca="1" si="14"/>
        <v>—</v>
      </c>
      <c r="L153" s="87"/>
    </row>
    <row r="154" spans="1:12" x14ac:dyDescent="0.25">
      <c r="A154" s="88"/>
      <c r="B154" s="25" t="str">
        <f>IF(A154="","",IFERROR(VLOOKUP(A154,DB_Customers!$A:$D,4,0),"❌ Account Not Found"))</f>
        <v/>
      </c>
      <c r="C154" s="89" t="str">
        <f>IF(A154="","",IFERROR(VLOOKUP(A154,DB_Customers!$A:$N,14,0),""))</f>
        <v/>
      </c>
      <c r="D154" s="90" t="str">
        <f t="shared" ca="1" si="12"/>
        <v/>
      </c>
      <c r="E154" s="97"/>
      <c r="F154" s="25"/>
      <c r="G154" s="99" t="str">
        <f t="shared" si="13"/>
        <v/>
      </c>
      <c r="H154" s="27"/>
      <c r="I154" s="84"/>
      <c r="J154" s="92" t="str">
        <f>IF(AND(A154&lt;&gt;"",E154&lt;&gt;""),IF(I154="","⚠️ Enter Code",IF(IFERROR(VLOOKUP(H154,DB_Agents!$B:$I,8,0),"")=I154,IF(C154&gt;=E154,"Successful","Unsuccessful"),"🔒 BLOCKED — Wrong Code")),"—")</f>
        <v>—</v>
      </c>
      <c r="K154" s="93" t="str">
        <f t="shared" ca="1" si="14"/>
        <v>—</v>
      </c>
      <c r="L154" s="94"/>
    </row>
    <row r="155" spans="1:12" x14ac:dyDescent="0.25">
      <c r="A155" s="79"/>
      <c r="B155" s="21" t="str">
        <f>IF(A155="","",IFERROR(VLOOKUP(A155,DB_Customers!$A:$D,4,0),"❌ Account Not Found"))</f>
        <v/>
      </c>
      <c r="C155" s="80" t="str">
        <f>IF(A155="","",IFERROR(VLOOKUP(A155,DB_Customers!$A:$N,14,0),""))</f>
        <v/>
      </c>
      <c r="D155" s="81" t="str">
        <f t="shared" ca="1" si="12"/>
        <v/>
      </c>
      <c r="E155" s="97"/>
      <c r="F155" s="21"/>
      <c r="G155" s="98" t="str">
        <f t="shared" si="13"/>
        <v/>
      </c>
      <c r="H155" s="23"/>
      <c r="I155" s="84"/>
      <c r="J155" s="85" t="str">
        <f>IF(AND(A155&lt;&gt;"",E155&lt;&gt;""),IF(I155="","⚠️ Enter Code",IF(IFERROR(VLOOKUP(H155,DB_Agents!$B:$I,8,0),"")=I155,IF(C155&gt;=E155,"Successful","Unsuccessful"),"🔒 BLOCKED — Wrong Code")),"—")</f>
        <v>—</v>
      </c>
      <c r="K155" s="86" t="str">
        <f t="shared" ca="1" si="14"/>
        <v>—</v>
      </c>
      <c r="L155" s="87"/>
    </row>
    <row r="156" spans="1:12" x14ac:dyDescent="0.25">
      <c r="A156" s="88"/>
      <c r="B156" s="25" t="str">
        <f>IF(A156="","",IFERROR(VLOOKUP(A156,DB_Customers!$A:$D,4,0),"❌ Account Not Found"))</f>
        <v/>
      </c>
      <c r="C156" s="89" t="str">
        <f>IF(A156="","",IFERROR(VLOOKUP(A156,DB_Customers!$A:$N,14,0),""))</f>
        <v/>
      </c>
      <c r="D156" s="90" t="str">
        <f t="shared" ca="1" si="12"/>
        <v/>
      </c>
      <c r="E156" s="97"/>
      <c r="F156" s="25"/>
      <c r="G156" s="99" t="str">
        <f t="shared" si="13"/>
        <v/>
      </c>
      <c r="H156" s="27"/>
      <c r="I156" s="84"/>
      <c r="J156" s="92" t="str">
        <f>IF(AND(A156&lt;&gt;"",E156&lt;&gt;""),IF(I156="","⚠️ Enter Code",IF(IFERROR(VLOOKUP(H156,DB_Agents!$B:$I,8,0),"")=I156,IF(C156&gt;=E156,"Successful","Unsuccessful"),"🔒 BLOCKED — Wrong Code")),"—")</f>
        <v>—</v>
      </c>
      <c r="K156" s="93" t="str">
        <f t="shared" ca="1" si="14"/>
        <v>—</v>
      </c>
      <c r="L156" s="94"/>
    </row>
    <row r="157" spans="1:12" x14ac:dyDescent="0.25">
      <c r="A157" s="79"/>
      <c r="B157" s="21" t="str">
        <f>IF(A157="","",IFERROR(VLOOKUP(A157,DB_Customers!$A:$D,4,0),"❌ Account Not Found"))</f>
        <v/>
      </c>
      <c r="C157" s="80" t="str">
        <f>IF(A157="","",IFERROR(VLOOKUP(A157,DB_Customers!$A:$N,14,0),""))</f>
        <v/>
      </c>
      <c r="D157" s="81" t="str">
        <f t="shared" ca="1" si="12"/>
        <v/>
      </c>
      <c r="E157" s="97"/>
      <c r="F157" s="21"/>
      <c r="G157" s="98" t="str">
        <f t="shared" si="13"/>
        <v/>
      </c>
      <c r="H157" s="23"/>
      <c r="I157" s="84"/>
      <c r="J157" s="85" t="str">
        <f>IF(AND(A157&lt;&gt;"",E157&lt;&gt;""),IF(I157="","⚠️ Enter Code",IF(IFERROR(VLOOKUP(H157,DB_Agents!$B:$I,8,0),"")=I157,IF(C157&gt;=E157,"Successful","Unsuccessful"),"🔒 BLOCKED — Wrong Code")),"—")</f>
        <v>—</v>
      </c>
      <c r="K157" s="86" t="str">
        <f t="shared" ca="1" si="14"/>
        <v>—</v>
      </c>
      <c r="L157" s="87"/>
    </row>
    <row r="158" spans="1:12" x14ac:dyDescent="0.25">
      <c r="A158" s="88"/>
      <c r="B158" s="25" t="str">
        <f>IF(A158="","",IFERROR(VLOOKUP(A158,DB_Customers!$A:$D,4,0),"❌ Account Not Found"))</f>
        <v/>
      </c>
      <c r="C158" s="89" t="str">
        <f>IF(A158="","",IFERROR(VLOOKUP(A158,DB_Customers!$A:$N,14,0),""))</f>
        <v/>
      </c>
      <c r="D158" s="90" t="str">
        <f t="shared" ca="1" si="12"/>
        <v/>
      </c>
      <c r="E158" s="97"/>
      <c r="F158" s="25"/>
      <c r="G158" s="99" t="str">
        <f t="shared" si="13"/>
        <v/>
      </c>
      <c r="H158" s="27"/>
      <c r="I158" s="84"/>
      <c r="J158" s="92" t="str">
        <f>IF(AND(A158&lt;&gt;"",E158&lt;&gt;""),IF(I158="","⚠️ Enter Code",IF(IFERROR(VLOOKUP(H158,DB_Agents!$B:$I,8,0),"")=I158,IF(C158&gt;=E158,"Successful","Unsuccessful"),"🔒 BLOCKED — Wrong Code")),"—")</f>
        <v>—</v>
      </c>
      <c r="K158" s="93" t="str">
        <f t="shared" ca="1" si="14"/>
        <v>—</v>
      </c>
      <c r="L158" s="94"/>
    </row>
    <row r="159" spans="1:12" x14ac:dyDescent="0.25">
      <c r="A159" s="79"/>
      <c r="B159" s="21" t="str">
        <f>IF(A159="","",IFERROR(VLOOKUP(A159,DB_Customers!$A:$D,4,0),"❌ Account Not Found"))</f>
        <v/>
      </c>
      <c r="C159" s="80" t="str">
        <f>IF(A159="","",IFERROR(VLOOKUP(A159,DB_Customers!$A:$N,14,0),""))</f>
        <v/>
      </c>
      <c r="D159" s="81" t="str">
        <f t="shared" ca="1" si="12"/>
        <v/>
      </c>
      <c r="E159" s="97"/>
      <c r="F159" s="21"/>
      <c r="G159" s="98" t="str">
        <f t="shared" si="13"/>
        <v/>
      </c>
      <c r="H159" s="23"/>
      <c r="I159" s="84"/>
      <c r="J159" s="85" t="str">
        <f>IF(AND(A159&lt;&gt;"",E159&lt;&gt;""),IF(I159="","⚠️ Enter Code",IF(IFERROR(VLOOKUP(H159,DB_Agents!$B:$I,8,0),"")=I159,IF(C159&gt;=E159,"Successful","Unsuccessful"),"🔒 BLOCKED — Wrong Code")),"—")</f>
        <v>—</v>
      </c>
      <c r="K159" s="86" t="str">
        <f t="shared" ca="1" si="14"/>
        <v>—</v>
      </c>
      <c r="L159" s="87"/>
    </row>
    <row r="160" spans="1:12" x14ac:dyDescent="0.25">
      <c r="A160" s="88"/>
      <c r="B160" s="25" t="str">
        <f>IF(A160="","",IFERROR(VLOOKUP(A160,DB_Customers!$A:$D,4,0),"❌ Account Not Found"))</f>
        <v/>
      </c>
      <c r="C160" s="89" t="str">
        <f>IF(A160="","",IFERROR(VLOOKUP(A160,DB_Customers!$A:$N,14,0),""))</f>
        <v/>
      </c>
      <c r="D160" s="90" t="str">
        <f t="shared" ca="1" si="12"/>
        <v/>
      </c>
      <c r="E160" s="97"/>
      <c r="F160" s="25"/>
      <c r="G160" s="99" t="str">
        <f t="shared" si="13"/>
        <v/>
      </c>
      <c r="H160" s="27"/>
      <c r="I160" s="84"/>
      <c r="J160" s="92" t="str">
        <f>IF(AND(A160&lt;&gt;"",E160&lt;&gt;""),IF(I160="","⚠️ Enter Code",IF(IFERROR(VLOOKUP(H160,DB_Agents!$B:$I,8,0),"")=I160,IF(C160&gt;=E160,"Successful","Unsuccessful"),"🔒 BLOCKED — Wrong Code")),"—")</f>
        <v>—</v>
      </c>
      <c r="K160" s="93" t="str">
        <f t="shared" ca="1" si="14"/>
        <v>—</v>
      </c>
      <c r="L160" s="94"/>
    </row>
    <row r="161" spans="1:12" x14ac:dyDescent="0.25">
      <c r="A161" s="79"/>
      <c r="B161" s="21" t="str">
        <f>IF(A161="","",IFERROR(VLOOKUP(A161,DB_Customers!$A:$D,4,0),"❌ Account Not Found"))</f>
        <v/>
      </c>
      <c r="C161" s="80" t="str">
        <f>IF(A161="","",IFERROR(VLOOKUP(A161,DB_Customers!$A:$N,14,0),""))</f>
        <v/>
      </c>
      <c r="D161" s="81" t="str">
        <f t="shared" ca="1" si="12"/>
        <v/>
      </c>
      <c r="E161" s="97"/>
      <c r="F161" s="21"/>
      <c r="G161" s="98" t="str">
        <f t="shared" si="13"/>
        <v/>
      </c>
      <c r="H161" s="23"/>
      <c r="I161" s="84"/>
      <c r="J161" s="85" t="str">
        <f>IF(AND(A161&lt;&gt;"",E161&lt;&gt;""),IF(I161="","⚠️ Enter Code",IF(IFERROR(VLOOKUP(H161,DB_Agents!$B:$I,8,0),"")=I161,IF(C161&gt;=E161,"Successful","Unsuccessful"),"🔒 BLOCKED — Wrong Code")),"—")</f>
        <v>—</v>
      </c>
      <c r="K161" s="86" t="str">
        <f t="shared" ca="1" si="14"/>
        <v>—</v>
      </c>
      <c r="L161" s="87"/>
    </row>
    <row r="162" spans="1:12" x14ac:dyDescent="0.25">
      <c r="A162" s="88"/>
      <c r="B162" s="25" t="str">
        <f>IF(A162="","",IFERROR(VLOOKUP(A162,DB_Customers!$A:$D,4,0),"❌ Account Not Found"))</f>
        <v/>
      </c>
      <c r="C162" s="89" t="str">
        <f>IF(A162="","",IFERROR(VLOOKUP(A162,DB_Customers!$A:$N,14,0),""))</f>
        <v/>
      </c>
      <c r="D162" s="90" t="str">
        <f t="shared" ca="1" si="12"/>
        <v/>
      </c>
      <c r="E162" s="97"/>
      <c r="F162" s="25"/>
      <c r="G162" s="99" t="str">
        <f t="shared" si="13"/>
        <v/>
      </c>
      <c r="H162" s="27"/>
      <c r="I162" s="84"/>
      <c r="J162" s="92" t="str">
        <f>IF(AND(A162&lt;&gt;"",E162&lt;&gt;""),IF(I162="","⚠️ Enter Code",IF(IFERROR(VLOOKUP(H162,DB_Agents!$B:$I,8,0),"")=I162,IF(C162&gt;=E162,"Successful","Unsuccessful"),"🔒 BLOCKED — Wrong Code")),"—")</f>
        <v>—</v>
      </c>
      <c r="K162" s="93" t="str">
        <f t="shared" ca="1" si="14"/>
        <v>—</v>
      </c>
      <c r="L162" s="94"/>
    </row>
    <row r="163" spans="1:12" x14ac:dyDescent="0.25">
      <c r="A163" s="79"/>
      <c r="B163" s="21" t="str">
        <f>IF(A163="","",IFERROR(VLOOKUP(A163,DB_Customers!$A:$D,4,0),"❌ Account Not Found"))</f>
        <v/>
      </c>
      <c r="C163" s="80" t="str">
        <f>IF(A163="","",IFERROR(VLOOKUP(A163,DB_Customers!$A:$N,14,0),""))</f>
        <v/>
      </c>
      <c r="D163" s="81" t="str">
        <f t="shared" ca="1" si="12"/>
        <v/>
      </c>
      <c r="E163" s="97"/>
      <c r="F163" s="21"/>
      <c r="G163" s="98" t="str">
        <f t="shared" si="13"/>
        <v/>
      </c>
      <c r="H163" s="23"/>
      <c r="I163" s="84"/>
      <c r="J163" s="85" t="str">
        <f>IF(AND(A163&lt;&gt;"",E163&lt;&gt;""),IF(I163="","⚠️ Enter Code",IF(IFERROR(VLOOKUP(H163,DB_Agents!$B:$I,8,0),"")=I163,IF(C163&gt;=E163,"Successful","Unsuccessful"),"🔒 BLOCKED — Wrong Code")),"—")</f>
        <v>—</v>
      </c>
      <c r="K163" s="86" t="str">
        <f t="shared" ca="1" si="14"/>
        <v>—</v>
      </c>
      <c r="L163" s="87"/>
    </row>
    <row r="164" spans="1:12" x14ac:dyDescent="0.25">
      <c r="A164" s="88"/>
      <c r="B164" s="25" t="str">
        <f>IF(A164="","",IFERROR(VLOOKUP(A164,DB_Customers!$A:$D,4,0),"❌ Account Not Found"))</f>
        <v/>
      </c>
      <c r="C164" s="89" t="str">
        <f>IF(A164="","",IFERROR(VLOOKUP(A164,DB_Customers!$A:$N,14,0),""))</f>
        <v/>
      </c>
      <c r="D164" s="90" t="str">
        <f t="shared" ca="1" si="12"/>
        <v/>
      </c>
      <c r="E164" s="97"/>
      <c r="F164" s="25"/>
      <c r="G164" s="99" t="str">
        <f t="shared" si="13"/>
        <v/>
      </c>
      <c r="H164" s="27"/>
      <c r="I164" s="84"/>
      <c r="J164" s="92" t="str">
        <f>IF(AND(A164&lt;&gt;"",E164&lt;&gt;""),IF(I164="","⚠️ Enter Code",IF(IFERROR(VLOOKUP(H164,DB_Agents!$B:$I,8,0),"")=I164,IF(C164&gt;=E164,"Successful","Unsuccessful"),"🔒 BLOCKED — Wrong Code")),"—")</f>
        <v>—</v>
      </c>
      <c r="K164" s="93" t="str">
        <f t="shared" ca="1" si="14"/>
        <v>—</v>
      </c>
      <c r="L164" s="94"/>
    </row>
    <row r="165" spans="1:12" x14ac:dyDescent="0.25">
      <c r="A165" s="79"/>
      <c r="B165" s="21" t="str">
        <f>IF(A165="","",IFERROR(VLOOKUP(A165,DB_Customers!$A:$D,4,0),"❌ Account Not Found"))</f>
        <v/>
      </c>
      <c r="C165" s="80" t="str">
        <f>IF(A165="","",IFERROR(VLOOKUP(A165,DB_Customers!$A:$N,14,0),""))</f>
        <v/>
      </c>
      <c r="D165" s="81" t="str">
        <f t="shared" ca="1" si="12"/>
        <v/>
      </c>
      <c r="E165" s="97"/>
      <c r="F165" s="21"/>
      <c r="G165" s="98" t="str">
        <f t="shared" si="13"/>
        <v/>
      </c>
      <c r="H165" s="23"/>
      <c r="I165" s="84"/>
      <c r="J165" s="85" t="str">
        <f>IF(AND(A165&lt;&gt;"",E165&lt;&gt;""),IF(I165="","⚠️ Enter Code",IF(IFERROR(VLOOKUP(H165,DB_Agents!$B:$I,8,0),"")=I165,IF(C165&gt;=E165,"Successful","Unsuccessful"),"🔒 BLOCKED — Wrong Code")),"—")</f>
        <v>—</v>
      </c>
      <c r="K165" s="86" t="str">
        <f t="shared" ca="1" si="14"/>
        <v>—</v>
      </c>
      <c r="L165" s="87"/>
    </row>
    <row r="166" spans="1:12" x14ac:dyDescent="0.25">
      <c r="A166" s="88"/>
      <c r="B166" s="25" t="str">
        <f>IF(A166="","",IFERROR(VLOOKUP(A166,DB_Customers!$A:$D,4,0),"❌ Account Not Found"))</f>
        <v/>
      </c>
      <c r="C166" s="89" t="str">
        <f>IF(A166="","",IFERROR(VLOOKUP(A166,DB_Customers!$A:$N,14,0),""))</f>
        <v/>
      </c>
      <c r="D166" s="90" t="str">
        <f t="shared" ca="1" si="12"/>
        <v/>
      </c>
      <c r="E166" s="97"/>
      <c r="F166" s="25"/>
      <c r="G166" s="99" t="str">
        <f t="shared" si="13"/>
        <v/>
      </c>
      <c r="H166" s="27"/>
      <c r="I166" s="84"/>
      <c r="J166" s="92" t="str">
        <f>IF(AND(A166&lt;&gt;"",E166&lt;&gt;""),IF(I166="","⚠️ Enter Code",IF(IFERROR(VLOOKUP(H166,DB_Agents!$B:$I,8,0),"")=I166,IF(C166&gt;=E166,"Successful","Unsuccessful"),"🔒 BLOCKED — Wrong Code")),"—")</f>
        <v>—</v>
      </c>
      <c r="K166" s="93" t="str">
        <f t="shared" ca="1" si="14"/>
        <v>—</v>
      </c>
      <c r="L166" s="94"/>
    </row>
    <row r="167" spans="1:12" x14ac:dyDescent="0.25">
      <c r="A167" s="79"/>
      <c r="B167" s="21" t="str">
        <f>IF(A167="","",IFERROR(VLOOKUP(A167,DB_Customers!$A:$D,4,0),"❌ Account Not Found"))</f>
        <v/>
      </c>
      <c r="C167" s="80" t="str">
        <f>IF(A167="","",IFERROR(VLOOKUP(A167,DB_Customers!$A:$N,14,0),""))</f>
        <v/>
      </c>
      <c r="D167" s="81" t="str">
        <f t="shared" ca="1" si="12"/>
        <v/>
      </c>
      <c r="E167" s="97"/>
      <c r="F167" s="21"/>
      <c r="G167" s="98" t="str">
        <f t="shared" si="13"/>
        <v/>
      </c>
      <c r="H167" s="23"/>
      <c r="I167" s="84"/>
      <c r="J167" s="85" t="str">
        <f>IF(AND(A167&lt;&gt;"",E167&lt;&gt;""),IF(I167="","⚠️ Enter Code",IF(IFERROR(VLOOKUP(H167,DB_Agents!$B:$I,8,0),"")=I167,IF(C167&gt;=E167,"Successful","Unsuccessful"),"🔒 BLOCKED — Wrong Code")),"—")</f>
        <v>—</v>
      </c>
      <c r="K167" s="86" t="str">
        <f t="shared" ca="1" si="14"/>
        <v>—</v>
      </c>
      <c r="L167" s="87"/>
    </row>
    <row r="168" spans="1:12" x14ac:dyDescent="0.25">
      <c r="A168" s="88"/>
      <c r="B168" s="25" t="str">
        <f>IF(A168="","",IFERROR(VLOOKUP(A168,DB_Customers!$A:$D,4,0),"❌ Account Not Found"))</f>
        <v/>
      </c>
      <c r="C168" s="89" t="str">
        <f>IF(A168="","",IFERROR(VLOOKUP(A168,DB_Customers!$A:$N,14,0),""))</f>
        <v/>
      </c>
      <c r="D168" s="90" t="str">
        <f t="shared" ca="1" si="12"/>
        <v/>
      </c>
      <c r="E168" s="97"/>
      <c r="F168" s="25"/>
      <c r="G168" s="99" t="str">
        <f t="shared" si="13"/>
        <v/>
      </c>
      <c r="H168" s="27"/>
      <c r="I168" s="84"/>
      <c r="J168" s="92" t="str">
        <f>IF(AND(A168&lt;&gt;"",E168&lt;&gt;""),IF(I168="","⚠️ Enter Code",IF(IFERROR(VLOOKUP(H168,DB_Agents!$B:$I,8,0),"")=I168,IF(C168&gt;=E168,"Successful","Unsuccessful"),"🔒 BLOCKED — Wrong Code")),"—")</f>
        <v>—</v>
      </c>
      <c r="K168" s="93" t="str">
        <f t="shared" ca="1" si="14"/>
        <v>—</v>
      </c>
      <c r="L168" s="94"/>
    </row>
    <row r="169" spans="1:12" x14ac:dyDescent="0.25">
      <c r="A169" s="79"/>
      <c r="B169" s="21" t="str">
        <f>IF(A169="","",IFERROR(VLOOKUP(A169,DB_Customers!$A:$D,4,0),"❌ Account Not Found"))</f>
        <v/>
      </c>
      <c r="C169" s="80" t="str">
        <f>IF(A169="","",IFERROR(VLOOKUP(A169,DB_Customers!$A:$N,14,0),""))</f>
        <v/>
      </c>
      <c r="D169" s="81" t="str">
        <f t="shared" ref="D169:D200" ca="1" si="15">IF(A169="","",TODAY())</f>
        <v/>
      </c>
      <c r="E169" s="97"/>
      <c r="F169" s="21"/>
      <c r="G169" s="98" t="str">
        <f t="shared" ref="G169:G200" si="16">IF(OR(A169="",E169=""),"",IF(C169="","",C169-E169))</f>
        <v/>
      </c>
      <c r="H169" s="23"/>
      <c r="I169" s="84"/>
      <c r="J169" s="85" t="str">
        <f>IF(AND(A169&lt;&gt;"",E169&lt;&gt;""),IF(I169="","⚠️ Enter Code",IF(IFERROR(VLOOKUP(H169,DB_Agents!$B:$I,8,0),"")=I169,IF(C169&gt;=E169,"Successful","Unsuccessful"),"🔒 BLOCKED — Wrong Code")),"—")</f>
        <v>—</v>
      </c>
      <c r="K169" s="86" t="str">
        <f t="shared" ref="K169:K200" ca="1" si="17">IF(J169="Successful",TEXT(TODAY(),"YYYY-MM-DD")&amp;" Auto","—")</f>
        <v>—</v>
      </c>
      <c r="L169" s="87"/>
    </row>
    <row r="170" spans="1:12" x14ac:dyDescent="0.25">
      <c r="A170" s="88"/>
      <c r="B170" s="25" t="str">
        <f>IF(A170="","",IFERROR(VLOOKUP(A170,DB_Customers!$A:$D,4,0),"❌ Account Not Found"))</f>
        <v/>
      </c>
      <c r="C170" s="89" t="str">
        <f>IF(A170="","",IFERROR(VLOOKUP(A170,DB_Customers!$A:$N,14,0),""))</f>
        <v/>
      </c>
      <c r="D170" s="90" t="str">
        <f t="shared" ca="1" si="15"/>
        <v/>
      </c>
      <c r="E170" s="97"/>
      <c r="F170" s="25"/>
      <c r="G170" s="99" t="str">
        <f t="shared" si="16"/>
        <v/>
      </c>
      <c r="H170" s="27"/>
      <c r="I170" s="84"/>
      <c r="J170" s="92" t="str">
        <f>IF(AND(A170&lt;&gt;"",E170&lt;&gt;""),IF(I170="","⚠️ Enter Code",IF(IFERROR(VLOOKUP(H170,DB_Agents!$B:$I,8,0),"")=I170,IF(C170&gt;=E170,"Successful","Unsuccessful"),"🔒 BLOCKED — Wrong Code")),"—")</f>
        <v>—</v>
      </c>
      <c r="K170" s="93" t="str">
        <f t="shared" ca="1" si="17"/>
        <v>—</v>
      </c>
      <c r="L170" s="94"/>
    </row>
    <row r="171" spans="1:12" x14ac:dyDescent="0.25">
      <c r="A171" s="79"/>
      <c r="B171" s="21" t="str">
        <f>IF(A171="","",IFERROR(VLOOKUP(A171,DB_Customers!$A:$D,4,0),"❌ Account Not Found"))</f>
        <v/>
      </c>
      <c r="C171" s="80" t="str">
        <f>IF(A171="","",IFERROR(VLOOKUP(A171,DB_Customers!$A:$N,14,0),""))</f>
        <v/>
      </c>
      <c r="D171" s="81" t="str">
        <f t="shared" ca="1" si="15"/>
        <v/>
      </c>
      <c r="E171" s="97"/>
      <c r="F171" s="21"/>
      <c r="G171" s="98" t="str">
        <f t="shared" si="16"/>
        <v/>
      </c>
      <c r="H171" s="23"/>
      <c r="I171" s="84"/>
      <c r="J171" s="85" t="str">
        <f>IF(AND(A171&lt;&gt;"",E171&lt;&gt;""),IF(I171="","⚠️ Enter Code",IF(IFERROR(VLOOKUP(H171,DB_Agents!$B:$I,8,0),"")=I171,IF(C171&gt;=E171,"Successful","Unsuccessful"),"🔒 BLOCKED — Wrong Code")),"—")</f>
        <v>—</v>
      </c>
      <c r="K171" s="86" t="str">
        <f t="shared" ca="1" si="17"/>
        <v>—</v>
      </c>
      <c r="L171" s="87"/>
    </row>
    <row r="172" spans="1:12" x14ac:dyDescent="0.25">
      <c r="A172" s="88"/>
      <c r="B172" s="25" t="str">
        <f>IF(A172="","",IFERROR(VLOOKUP(A172,DB_Customers!$A:$D,4,0),"❌ Account Not Found"))</f>
        <v/>
      </c>
      <c r="C172" s="89" t="str">
        <f>IF(A172="","",IFERROR(VLOOKUP(A172,DB_Customers!$A:$N,14,0),""))</f>
        <v/>
      </c>
      <c r="D172" s="90" t="str">
        <f t="shared" ca="1" si="15"/>
        <v/>
      </c>
      <c r="E172" s="97"/>
      <c r="F172" s="25"/>
      <c r="G172" s="99" t="str">
        <f t="shared" si="16"/>
        <v/>
      </c>
      <c r="H172" s="27"/>
      <c r="I172" s="84"/>
      <c r="J172" s="92" t="str">
        <f>IF(AND(A172&lt;&gt;"",E172&lt;&gt;""),IF(I172="","⚠️ Enter Code",IF(IFERROR(VLOOKUP(H172,DB_Agents!$B:$I,8,0),"")=I172,IF(C172&gt;=E172,"Successful","Unsuccessful"),"🔒 BLOCKED — Wrong Code")),"—")</f>
        <v>—</v>
      </c>
      <c r="K172" s="93" t="str">
        <f t="shared" ca="1" si="17"/>
        <v>—</v>
      </c>
      <c r="L172" s="94"/>
    </row>
    <row r="173" spans="1:12" x14ac:dyDescent="0.25">
      <c r="A173" s="79"/>
      <c r="B173" s="21" t="str">
        <f>IF(A173="","",IFERROR(VLOOKUP(A173,DB_Customers!$A:$D,4,0),"❌ Account Not Found"))</f>
        <v/>
      </c>
      <c r="C173" s="80" t="str">
        <f>IF(A173="","",IFERROR(VLOOKUP(A173,DB_Customers!$A:$N,14,0),""))</f>
        <v/>
      </c>
      <c r="D173" s="81" t="str">
        <f t="shared" ca="1" si="15"/>
        <v/>
      </c>
      <c r="E173" s="97"/>
      <c r="F173" s="21"/>
      <c r="G173" s="98" t="str">
        <f t="shared" si="16"/>
        <v/>
      </c>
      <c r="H173" s="23"/>
      <c r="I173" s="84"/>
      <c r="J173" s="85" t="str">
        <f>IF(AND(A173&lt;&gt;"",E173&lt;&gt;""),IF(I173="","⚠️ Enter Code",IF(IFERROR(VLOOKUP(H173,DB_Agents!$B:$I,8,0),"")=I173,IF(C173&gt;=E173,"Successful","Unsuccessful"),"🔒 BLOCKED — Wrong Code")),"—")</f>
        <v>—</v>
      </c>
      <c r="K173" s="86" t="str">
        <f t="shared" ca="1" si="17"/>
        <v>—</v>
      </c>
      <c r="L173" s="87"/>
    </row>
    <row r="174" spans="1:12" x14ac:dyDescent="0.25">
      <c r="A174" s="88"/>
      <c r="B174" s="25" t="str">
        <f>IF(A174="","",IFERROR(VLOOKUP(A174,DB_Customers!$A:$D,4,0),"❌ Account Not Found"))</f>
        <v/>
      </c>
      <c r="C174" s="89" t="str">
        <f>IF(A174="","",IFERROR(VLOOKUP(A174,DB_Customers!$A:$N,14,0),""))</f>
        <v/>
      </c>
      <c r="D174" s="90" t="str">
        <f t="shared" ca="1" si="15"/>
        <v/>
      </c>
      <c r="E174" s="97"/>
      <c r="F174" s="25"/>
      <c r="G174" s="99" t="str">
        <f t="shared" si="16"/>
        <v/>
      </c>
      <c r="H174" s="27"/>
      <c r="I174" s="84"/>
      <c r="J174" s="92" t="str">
        <f>IF(AND(A174&lt;&gt;"",E174&lt;&gt;""),IF(I174="","⚠️ Enter Code",IF(IFERROR(VLOOKUP(H174,DB_Agents!$B:$I,8,0),"")=I174,IF(C174&gt;=E174,"Successful","Unsuccessful"),"🔒 BLOCKED — Wrong Code")),"—")</f>
        <v>—</v>
      </c>
      <c r="K174" s="93" t="str">
        <f t="shared" ca="1" si="17"/>
        <v>—</v>
      </c>
      <c r="L174" s="94"/>
    </row>
    <row r="175" spans="1:12" x14ac:dyDescent="0.25">
      <c r="A175" s="79"/>
      <c r="B175" s="21" t="str">
        <f>IF(A175="","",IFERROR(VLOOKUP(A175,DB_Customers!$A:$D,4,0),"❌ Account Not Found"))</f>
        <v/>
      </c>
      <c r="C175" s="80" t="str">
        <f>IF(A175="","",IFERROR(VLOOKUP(A175,DB_Customers!$A:$N,14,0),""))</f>
        <v/>
      </c>
      <c r="D175" s="81" t="str">
        <f t="shared" ca="1" si="15"/>
        <v/>
      </c>
      <c r="E175" s="97"/>
      <c r="F175" s="21"/>
      <c r="G175" s="98" t="str">
        <f t="shared" si="16"/>
        <v/>
      </c>
      <c r="H175" s="23"/>
      <c r="I175" s="84"/>
      <c r="J175" s="85" t="str">
        <f>IF(AND(A175&lt;&gt;"",E175&lt;&gt;""),IF(I175="","⚠️ Enter Code",IF(IFERROR(VLOOKUP(H175,DB_Agents!$B:$I,8,0),"")=I175,IF(C175&gt;=E175,"Successful","Unsuccessful"),"🔒 BLOCKED — Wrong Code")),"—")</f>
        <v>—</v>
      </c>
      <c r="K175" s="86" t="str">
        <f t="shared" ca="1" si="17"/>
        <v>—</v>
      </c>
      <c r="L175" s="87"/>
    </row>
    <row r="176" spans="1:12" x14ac:dyDescent="0.25">
      <c r="A176" s="88"/>
      <c r="B176" s="25" t="str">
        <f>IF(A176="","",IFERROR(VLOOKUP(A176,DB_Customers!$A:$D,4,0),"❌ Account Not Found"))</f>
        <v/>
      </c>
      <c r="C176" s="89" t="str">
        <f>IF(A176="","",IFERROR(VLOOKUP(A176,DB_Customers!$A:$N,14,0),""))</f>
        <v/>
      </c>
      <c r="D176" s="90" t="str">
        <f t="shared" ca="1" si="15"/>
        <v/>
      </c>
      <c r="E176" s="97"/>
      <c r="F176" s="25"/>
      <c r="G176" s="99" t="str">
        <f t="shared" si="16"/>
        <v/>
      </c>
      <c r="H176" s="27"/>
      <c r="I176" s="84"/>
      <c r="J176" s="92" t="str">
        <f>IF(AND(A176&lt;&gt;"",E176&lt;&gt;""),IF(I176="","⚠️ Enter Code",IF(IFERROR(VLOOKUP(H176,DB_Agents!$B:$I,8,0),"")=I176,IF(C176&gt;=E176,"Successful","Unsuccessful"),"🔒 BLOCKED — Wrong Code")),"—")</f>
        <v>—</v>
      </c>
      <c r="K176" s="93" t="str">
        <f t="shared" ca="1" si="17"/>
        <v>—</v>
      </c>
      <c r="L176" s="94"/>
    </row>
    <row r="177" spans="1:12" x14ac:dyDescent="0.25">
      <c r="A177" s="79"/>
      <c r="B177" s="21" t="str">
        <f>IF(A177="","",IFERROR(VLOOKUP(A177,DB_Customers!$A:$D,4,0),"❌ Account Not Found"))</f>
        <v/>
      </c>
      <c r="C177" s="80" t="str">
        <f>IF(A177="","",IFERROR(VLOOKUP(A177,DB_Customers!$A:$N,14,0),""))</f>
        <v/>
      </c>
      <c r="D177" s="81" t="str">
        <f t="shared" ca="1" si="15"/>
        <v/>
      </c>
      <c r="E177" s="97"/>
      <c r="F177" s="21"/>
      <c r="G177" s="98" t="str">
        <f t="shared" si="16"/>
        <v/>
      </c>
      <c r="H177" s="23"/>
      <c r="I177" s="84"/>
      <c r="J177" s="85" t="str">
        <f>IF(AND(A177&lt;&gt;"",E177&lt;&gt;""),IF(I177="","⚠️ Enter Code",IF(IFERROR(VLOOKUP(H177,DB_Agents!$B:$I,8,0),"")=I177,IF(C177&gt;=E177,"Successful","Unsuccessful"),"🔒 BLOCKED — Wrong Code")),"—")</f>
        <v>—</v>
      </c>
      <c r="K177" s="86" t="str">
        <f t="shared" ca="1" si="17"/>
        <v>—</v>
      </c>
      <c r="L177" s="87"/>
    </row>
    <row r="178" spans="1:12" x14ac:dyDescent="0.25">
      <c r="A178" s="88"/>
      <c r="B178" s="25" t="str">
        <f>IF(A178="","",IFERROR(VLOOKUP(A178,DB_Customers!$A:$D,4,0),"❌ Account Not Found"))</f>
        <v/>
      </c>
      <c r="C178" s="89" t="str">
        <f>IF(A178="","",IFERROR(VLOOKUP(A178,DB_Customers!$A:$N,14,0),""))</f>
        <v/>
      </c>
      <c r="D178" s="90" t="str">
        <f t="shared" ca="1" si="15"/>
        <v/>
      </c>
      <c r="E178" s="97"/>
      <c r="F178" s="25"/>
      <c r="G178" s="99" t="str">
        <f t="shared" si="16"/>
        <v/>
      </c>
      <c r="H178" s="27"/>
      <c r="I178" s="84"/>
      <c r="J178" s="92" t="str">
        <f>IF(AND(A178&lt;&gt;"",E178&lt;&gt;""),IF(I178="","⚠️ Enter Code",IF(IFERROR(VLOOKUP(H178,DB_Agents!$B:$I,8,0),"")=I178,IF(C178&gt;=E178,"Successful","Unsuccessful"),"🔒 BLOCKED — Wrong Code")),"—")</f>
        <v>—</v>
      </c>
      <c r="K178" s="93" t="str">
        <f t="shared" ca="1" si="17"/>
        <v>—</v>
      </c>
      <c r="L178" s="94"/>
    </row>
    <row r="179" spans="1:12" x14ac:dyDescent="0.25">
      <c r="A179" s="79"/>
      <c r="B179" s="21" t="str">
        <f>IF(A179="","",IFERROR(VLOOKUP(A179,DB_Customers!$A:$D,4,0),"❌ Account Not Found"))</f>
        <v/>
      </c>
      <c r="C179" s="80" t="str">
        <f>IF(A179="","",IFERROR(VLOOKUP(A179,DB_Customers!$A:$N,14,0),""))</f>
        <v/>
      </c>
      <c r="D179" s="81" t="str">
        <f t="shared" ca="1" si="15"/>
        <v/>
      </c>
      <c r="E179" s="97"/>
      <c r="F179" s="21"/>
      <c r="G179" s="98" t="str">
        <f t="shared" si="16"/>
        <v/>
      </c>
      <c r="H179" s="23"/>
      <c r="I179" s="84"/>
      <c r="J179" s="85" t="str">
        <f>IF(AND(A179&lt;&gt;"",E179&lt;&gt;""),IF(I179="","⚠️ Enter Code",IF(IFERROR(VLOOKUP(H179,DB_Agents!$B:$I,8,0),"")=I179,IF(C179&gt;=E179,"Successful","Unsuccessful"),"🔒 BLOCKED — Wrong Code")),"—")</f>
        <v>—</v>
      </c>
      <c r="K179" s="86" t="str">
        <f t="shared" ca="1" si="17"/>
        <v>—</v>
      </c>
      <c r="L179" s="87"/>
    </row>
    <row r="180" spans="1:12" x14ac:dyDescent="0.25">
      <c r="A180" s="88"/>
      <c r="B180" s="25" t="str">
        <f>IF(A180="","",IFERROR(VLOOKUP(A180,DB_Customers!$A:$D,4,0),"❌ Account Not Found"))</f>
        <v/>
      </c>
      <c r="C180" s="89" t="str">
        <f>IF(A180="","",IFERROR(VLOOKUP(A180,DB_Customers!$A:$N,14,0),""))</f>
        <v/>
      </c>
      <c r="D180" s="90" t="str">
        <f t="shared" ca="1" si="15"/>
        <v/>
      </c>
      <c r="E180" s="97"/>
      <c r="F180" s="25"/>
      <c r="G180" s="99" t="str">
        <f t="shared" si="16"/>
        <v/>
      </c>
      <c r="H180" s="27"/>
      <c r="I180" s="84"/>
      <c r="J180" s="92" t="str">
        <f>IF(AND(A180&lt;&gt;"",E180&lt;&gt;""),IF(I180="","⚠️ Enter Code",IF(IFERROR(VLOOKUP(H180,DB_Agents!$B:$I,8,0),"")=I180,IF(C180&gt;=E180,"Successful","Unsuccessful"),"🔒 BLOCKED — Wrong Code")),"—")</f>
        <v>—</v>
      </c>
      <c r="K180" s="93" t="str">
        <f t="shared" ca="1" si="17"/>
        <v>—</v>
      </c>
      <c r="L180" s="94"/>
    </row>
    <row r="181" spans="1:12" x14ac:dyDescent="0.25">
      <c r="A181" s="79"/>
      <c r="B181" s="21" t="str">
        <f>IF(A181="","",IFERROR(VLOOKUP(A181,DB_Customers!$A:$D,4,0),"❌ Account Not Found"))</f>
        <v/>
      </c>
      <c r="C181" s="80" t="str">
        <f>IF(A181="","",IFERROR(VLOOKUP(A181,DB_Customers!$A:$N,14,0),""))</f>
        <v/>
      </c>
      <c r="D181" s="81" t="str">
        <f t="shared" ca="1" si="15"/>
        <v/>
      </c>
      <c r="E181" s="97"/>
      <c r="F181" s="21"/>
      <c r="G181" s="98" t="str">
        <f t="shared" si="16"/>
        <v/>
      </c>
      <c r="H181" s="23"/>
      <c r="I181" s="84"/>
      <c r="J181" s="85" t="str">
        <f>IF(AND(A181&lt;&gt;"",E181&lt;&gt;""),IF(I181="","⚠️ Enter Code",IF(IFERROR(VLOOKUP(H181,DB_Agents!$B:$I,8,0),"")=I181,IF(C181&gt;=E181,"Successful","Unsuccessful"),"🔒 BLOCKED — Wrong Code")),"—")</f>
        <v>—</v>
      </c>
      <c r="K181" s="86" t="str">
        <f t="shared" ca="1" si="17"/>
        <v>—</v>
      </c>
      <c r="L181" s="87"/>
    </row>
    <row r="182" spans="1:12" x14ac:dyDescent="0.25">
      <c r="A182" s="88"/>
      <c r="B182" s="25" t="str">
        <f>IF(A182="","",IFERROR(VLOOKUP(A182,DB_Customers!$A:$D,4,0),"❌ Account Not Found"))</f>
        <v/>
      </c>
      <c r="C182" s="89" t="str">
        <f>IF(A182="","",IFERROR(VLOOKUP(A182,DB_Customers!$A:$N,14,0),""))</f>
        <v/>
      </c>
      <c r="D182" s="90" t="str">
        <f t="shared" ca="1" si="15"/>
        <v/>
      </c>
      <c r="E182" s="97"/>
      <c r="F182" s="25"/>
      <c r="G182" s="99" t="str">
        <f t="shared" si="16"/>
        <v/>
      </c>
      <c r="H182" s="27"/>
      <c r="I182" s="84"/>
      <c r="J182" s="92" t="str">
        <f>IF(AND(A182&lt;&gt;"",E182&lt;&gt;""),IF(I182="","⚠️ Enter Code",IF(IFERROR(VLOOKUP(H182,DB_Agents!$B:$I,8,0),"")=I182,IF(C182&gt;=E182,"Successful","Unsuccessful"),"🔒 BLOCKED — Wrong Code")),"—")</f>
        <v>—</v>
      </c>
      <c r="K182" s="93" t="str">
        <f t="shared" ca="1" si="17"/>
        <v>—</v>
      </c>
      <c r="L182" s="94"/>
    </row>
    <row r="183" spans="1:12" x14ac:dyDescent="0.25">
      <c r="A183" s="79"/>
      <c r="B183" s="21" t="str">
        <f>IF(A183="","",IFERROR(VLOOKUP(A183,DB_Customers!$A:$D,4,0),"❌ Account Not Found"))</f>
        <v/>
      </c>
      <c r="C183" s="80" t="str">
        <f>IF(A183="","",IFERROR(VLOOKUP(A183,DB_Customers!$A:$N,14,0),""))</f>
        <v/>
      </c>
      <c r="D183" s="81" t="str">
        <f t="shared" ca="1" si="15"/>
        <v/>
      </c>
      <c r="E183" s="97"/>
      <c r="F183" s="21"/>
      <c r="G183" s="98" t="str">
        <f t="shared" si="16"/>
        <v/>
      </c>
      <c r="H183" s="23"/>
      <c r="I183" s="84"/>
      <c r="J183" s="85" t="str">
        <f>IF(AND(A183&lt;&gt;"",E183&lt;&gt;""),IF(I183="","⚠️ Enter Code",IF(IFERROR(VLOOKUP(H183,DB_Agents!$B:$I,8,0),"")=I183,IF(C183&gt;=E183,"Successful","Unsuccessful"),"🔒 BLOCKED — Wrong Code")),"—")</f>
        <v>—</v>
      </c>
      <c r="K183" s="86" t="str">
        <f t="shared" ca="1" si="17"/>
        <v>—</v>
      </c>
      <c r="L183" s="87"/>
    </row>
    <row r="184" spans="1:12" x14ac:dyDescent="0.25">
      <c r="A184" s="88"/>
      <c r="B184" s="25" t="str">
        <f>IF(A184="","",IFERROR(VLOOKUP(A184,DB_Customers!$A:$D,4,0),"❌ Account Not Found"))</f>
        <v/>
      </c>
      <c r="C184" s="89" t="str">
        <f>IF(A184="","",IFERROR(VLOOKUP(A184,DB_Customers!$A:$N,14,0),""))</f>
        <v/>
      </c>
      <c r="D184" s="90" t="str">
        <f t="shared" ca="1" si="15"/>
        <v/>
      </c>
      <c r="E184" s="97"/>
      <c r="F184" s="25"/>
      <c r="G184" s="99" t="str">
        <f t="shared" si="16"/>
        <v/>
      </c>
      <c r="H184" s="27"/>
      <c r="I184" s="84"/>
      <c r="J184" s="92" t="str">
        <f>IF(AND(A184&lt;&gt;"",E184&lt;&gt;""),IF(I184="","⚠️ Enter Code",IF(IFERROR(VLOOKUP(H184,DB_Agents!$B:$I,8,0),"")=I184,IF(C184&gt;=E184,"Successful","Unsuccessful"),"🔒 BLOCKED — Wrong Code")),"—")</f>
        <v>—</v>
      </c>
      <c r="K184" s="93" t="str">
        <f t="shared" ca="1" si="17"/>
        <v>—</v>
      </c>
      <c r="L184" s="94"/>
    </row>
    <row r="185" spans="1:12" x14ac:dyDescent="0.25">
      <c r="A185" s="79"/>
      <c r="B185" s="21" t="str">
        <f>IF(A185="","",IFERROR(VLOOKUP(A185,DB_Customers!$A:$D,4,0),"❌ Account Not Found"))</f>
        <v/>
      </c>
      <c r="C185" s="80" t="str">
        <f>IF(A185="","",IFERROR(VLOOKUP(A185,DB_Customers!$A:$N,14,0),""))</f>
        <v/>
      </c>
      <c r="D185" s="81" t="str">
        <f t="shared" ca="1" si="15"/>
        <v/>
      </c>
      <c r="E185" s="97"/>
      <c r="F185" s="21"/>
      <c r="G185" s="98" t="str">
        <f t="shared" si="16"/>
        <v/>
      </c>
      <c r="H185" s="23"/>
      <c r="I185" s="84"/>
      <c r="J185" s="85" t="str">
        <f>IF(AND(A185&lt;&gt;"",E185&lt;&gt;""),IF(I185="","⚠️ Enter Code",IF(IFERROR(VLOOKUP(H185,DB_Agents!$B:$I,8,0),"")=I185,IF(C185&gt;=E185,"Successful","Unsuccessful"),"🔒 BLOCKED — Wrong Code")),"—")</f>
        <v>—</v>
      </c>
      <c r="K185" s="86" t="str">
        <f t="shared" ca="1" si="17"/>
        <v>—</v>
      </c>
      <c r="L185" s="87"/>
    </row>
    <row r="186" spans="1:12" x14ac:dyDescent="0.25">
      <c r="A186" s="88"/>
      <c r="B186" s="25" t="str">
        <f>IF(A186="","",IFERROR(VLOOKUP(A186,DB_Customers!$A:$D,4,0),"❌ Account Not Found"))</f>
        <v/>
      </c>
      <c r="C186" s="89" t="str">
        <f>IF(A186="","",IFERROR(VLOOKUP(A186,DB_Customers!$A:$N,14,0),""))</f>
        <v/>
      </c>
      <c r="D186" s="90" t="str">
        <f t="shared" ca="1" si="15"/>
        <v/>
      </c>
      <c r="E186" s="97"/>
      <c r="F186" s="25"/>
      <c r="G186" s="99" t="str">
        <f t="shared" si="16"/>
        <v/>
      </c>
      <c r="H186" s="27"/>
      <c r="I186" s="84"/>
      <c r="J186" s="92" t="str">
        <f>IF(AND(A186&lt;&gt;"",E186&lt;&gt;""),IF(I186="","⚠️ Enter Code",IF(IFERROR(VLOOKUP(H186,DB_Agents!$B:$I,8,0),"")=I186,IF(C186&gt;=E186,"Successful","Unsuccessful"),"🔒 BLOCKED — Wrong Code")),"—")</f>
        <v>—</v>
      </c>
      <c r="K186" s="93" t="str">
        <f t="shared" ca="1" si="17"/>
        <v>—</v>
      </c>
      <c r="L186" s="94"/>
    </row>
    <row r="187" spans="1:12" x14ac:dyDescent="0.25">
      <c r="A187" s="79"/>
      <c r="B187" s="21" t="str">
        <f>IF(A187="","",IFERROR(VLOOKUP(A187,DB_Customers!$A:$D,4,0),"❌ Account Not Found"))</f>
        <v/>
      </c>
      <c r="C187" s="80" t="str">
        <f>IF(A187="","",IFERROR(VLOOKUP(A187,DB_Customers!$A:$N,14,0),""))</f>
        <v/>
      </c>
      <c r="D187" s="81" t="str">
        <f t="shared" ca="1" si="15"/>
        <v/>
      </c>
      <c r="E187" s="97"/>
      <c r="F187" s="21"/>
      <c r="G187" s="98" t="str">
        <f t="shared" si="16"/>
        <v/>
      </c>
      <c r="H187" s="23"/>
      <c r="I187" s="84"/>
      <c r="J187" s="85" t="str">
        <f>IF(AND(A187&lt;&gt;"",E187&lt;&gt;""),IF(I187="","⚠️ Enter Code",IF(IFERROR(VLOOKUP(H187,DB_Agents!$B:$I,8,0),"")=I187,IF(C187&gt;=E187,"Successful","Unsuccessful"),"🔒 BLOCKED — Wrong Code")),"—")</f>
        <v>—</v>
      </c>
      <c r="K187" s="86" t="str">
        <f t="shared" ca="1" si="17"/>
        <v>—</v>
      </c>
      <c r="L187" s="87"/>
    </row>
    <row r="188" spans="1:12" x14ac:dyDescent="0.25">
      <c r="A188" s="88"/>
      <c r="B188" s="25" t="str">
        <f>IF(A188="","",IFERROR(VLOOKUP(A188,DB_Customers!$A:$D,4,0),"❌ Account Not Found"))</f>
        <v/>
      </c>
      <c r="C188" s="89" t="str">
        <f>IF(A188="","",IFERROR(VLOOKUP(A188,DB_Customers!$A:$N,14,0),""))</f>
        <v/>
      </c>
      <c r="D188" s="90" t="str">
        <f t="shared" ca="1" si="15"/>
        <v/>
      </c>
      <c r="E188" s="97"/>
      <c r="F188" s="25"/>
      <c r="G188" s="99" t="str">
        <f t="shared" si="16"/>
        <v/>
      </c>
      <c r="H188" s="27"/>
      <c r="I188" s="84"/>
      <c r="J188" s="92" t="str">
        <f>IF(AND(A188&lt;&gt;"",E188&lt;&gt;""),IF(I188="","⚠️ Enter Code",IF(IFERROR(VLOOKUP(H188,DB_Agents!$B:$I,8,0),"")=I188,IF(C188&gt;=E188,"Successful","Unsuccessful"),"🔒 BLOCKED — Wrong Code")),"—")</f>
        <v>—</v>
      </c>
      <c r="K188" s="93" t="str">
        <f t="shared" ca="1" si="17"/>
        <v>—</v>
      </c>
      <c r="L188" s="94"/>
    </row>
    <row r="189" spans="1:12" x14ac:dyDescent="0.25">
      <c r="A189" s="79"/>
      <c r="B189" s="21" t="str">
        <f>IF(A189="","",IFERROR(VLOOKUP(A189,DB_Customers!$A:$D,4,0),"❌ Account Not Found"))</f>
        <v/>
      </c>
      <c r="C189" s="80" t="str">
        <f>IF(A189="","",IFERROR(VLOOKUP(A189,DB_Customers!$A:$N,14,0),""))</f>
        <v/>
      </c>
      <c r="D189" s="81" t="str">
        <f t="shared" ca="1" si="15"/>
        <v/>
      </c>
      <c r="E189" s="97"/>
      <c r="F189" s="21"/>
      <c r="G189" s="98" t="str">
        <f t="shared" si="16"/>
        <v/>
      </c>
      <c r="H189" s="23"/>
      <c r="I189" s="84"/>
      <c r="J189" s="85" t="str">
        <f>IF(AND(A189&lt;&gt;"",E189&lt;&gt;""),IF(I189="","⚠️ Enter Code",IF(IFERROR(VLOOKUP(H189,DB_Agents!$B:$I,8,0),"")=I189,IF(C189&gt;=E189,"Successful","Unsuccessful"),"🔒 BLOCKED — Wrong Code")),"—")</f>
        <v>—</v>
      </c>
      <c r="K189" s="86" t="str">
        <f t="shared" ca="1" si="17"/>
        <v>—</v>
      </c>
      <c r="L189" s="87"/>
    </row>
    <row r="190" spans="1:12" x14ac:dyDescent="0.25">
      <c r="A190" s="88"/>
      <c r="B190" s="25" t="str">
        <f>IF(A190="","",IFERROR(VLOOKUP(A190,DB_Customers!$A:$D,4,0),"❌ Account Not Found"))</f>
        <v/>
      </c>
      <c r="C190" s="89" t="str">
        <f>IF(A190="","",IFERROR(VLOOKUP(A190,DB_Customers!$A:$N,14,0),""))</f>
        <v/>
      </c>
      <c r="D190" s="90" t="str">
        <f t="shared" ca="1" si="15"/>
        <v/>
      </c>
      <c r="E190" s="97"/>
      <c r="F190" s="25"/>
      <c r="G190" s="99" t="str">
        <f t="shared" si="16"/>
        <v/>
      </c>
      <c r="H190" s="27"/>
      <c r="I190" s="84"/>
      <c r="J190" s="92" t="str">
        <f>IF(AND(A190&lt;&gt;"",E190&lt;&gt;""),IF(I190="","⚠️ Enter Code",IF(IFERROR(VLOOKUP(H190,DB_Agents!$B:$I,8,0),"")=I190,IF(C190&gt;=E190,"Successful","Unsuccessful"),"🔒 BLOCKED — Wrong Code")),"—")</f>
        <v>—</v>
      </c>
      <c r="K190" s="93" t="str">
        <f t="shared" ca="1" si="17"/>
        <v>—</v>
      </c>
      <c r="L190" s="94"/>
    </row>
    <row r="191" spans="1:12" x14ac:dyDescent="0.25">
      <c r="A191" s="79"/>
      <c r="B191" s="21" t="str">
        <f>IF(A191="","",IFERROR(VLOOKUP(A191,DB_Customers!$A:$D,4,0),"❌ Account Not Found"))</f>
        <v/>
      </c>
      <c r="C191" s="80" t="str">
        <f>IF(A191="","",IFERROR(VLOOKUP(A191,DB_Customers!$A:$N,14,0),""))</f>
        <v/>
      </c>
      <c r="D191" s="81" t="str">
        <f t="shared" ca="1" si="15"/>
        <v/>
      </c>
      <c r="E191" s="97"/>
      <c r="F191" s="21"/>
      <c r="G191" s="98" t="str">
        <f t="shared" si="16"/>
        <v/>
      </c>
      <c r="H191" s="23"/>
      <c r="I191" s="84"/>
      <c r="J191" s="85" t="str">
        <f>IF(AND(A191&lt;&gt;"",E191&lt;&gt;""),IF(I191="","⚠️ Enter Code",IF(IFERROR(VLOOKUP(H191,DB_Agents!$B:$I,8,0),"")=I191,IF(C191&gt;=E191,"Successful","Unsuccessful"),"🔒 BLOCKED — Wrong Code")),"—")</f>
        <v>—</v>
      </c>
      <c r="K191" s="86" t="str">
        <f t="shared" ca="1" si="17"/>
        <v>—</v>
      </c>
      <c r="L191" s="87"/>
    </row>
    <row r="192" spans="1:12" x14ac:dyDescent="0.25">
      <c r="A192" s="88"/>
      <c r="B192" s="25" t="str">
        <f>IF(A192="","",IFERROR(VLOOKUP(A192,DB_Customers!$A:$D,4,0),"❌ Account Not Found"))</f>
        <v/>
      </c>
      <c r="C192" s="89" t="str">
        <f>IF(A192="","",IFERROR(VLOOKUP(A192,DB_Customers!$A:$N,14,0),""))</f>
        <v/>
      </c>
      <c r="D192" s="90" t="str">
        <f t="shared" ca="1" si="15"/>
        <v/>
      </c>
      <c r="E192" s="97"/>
      <c r="F192" s="25"/>
      <c r="G192" s="99" t="str">
        <f t="shared" si="16"/>
        <v/>
      </c>
      <c r="H192" s="27"/>
      <c r="I192" s="84"/>
      <c r="J192" s="92" t="str">
        <f>IF(AND(A192&lt;&gt;"",E192&lt;&gt;""),IF(I192="","⚠️ Enter Code",IF(IFERROR(VLOOKUP(H192,DB_Agents!$B:$I,8,0),"")=I192,IF(C192&gt;=E192,"Successful","Unsuccessful"),"🔒 BLOCKED — Wrong Code")),"—")</f>
        <v>—</v>
      </c>
      <c r="K192" s="93" t="str">
        <f t="shared" ca="1" si="17"/>
        <v>—</v>
      </c>
      <c r="L192" s="94"/>
    </row>
    <row r="193" spans="1:12" x14ac:dyDescent="0.25">
      <c r="A193" s="79"/>
      <c r="B193" s="21" t="str">
        <f>IF(A193="","",IFERROR(VLOOKUP(A193,DB_Customers!$A:$D,4,0),"❌ Account Not Found"))</f>
        <v/>
      </c>
      <c r="C193" s="80" t="str">
        <f>IF(A193="","",IFERROR(VLOOKUP(A193,DB_Customers!$A:$N,14,0),""))</f>
        <v/>
      </c>
      <c r="D193" s="81" t="str">
        <f t="shared" ca="1" si="15"/>
        <v/>
      </c>
      <c r="E193" s="97"/>
      <c r="F193" s="21"/>
      <c r="G193" s="98" t="str">
        <f t="shared" si="16"/>
        <v/>
      </c>
      <c r="H193" s="23"/>
      <c r="I193" s="84"/>
      <c r="J193" s="85" t="str">
        <f>IF(AND(A193&lt;&gt;"",E193&lt;&gt;""),IF(I193="","⚠️ Enter Code",IF(IFERROR(VLOOKUP(H193,DB_Agents!$B:$I,8,0),"")=I193,IF(C193&gt;=E193,"Successful","Unsuccessful"),"🔒 BLOCKED — Wrong Code")),"—")</f>
        <v>—</v>
      </c>
      <c r="K193" s="86" t="str">
        <f t="shared" ca="1" si="17"/>
        <v>—</v>
      </c>
      <c r="L193" s="87"/>
    </row>
    <row r="194" spans="1:12" x14ac:dyDescent="0.25">
      <c r="A194" s="88"/>
      <c r="B194" s="25" t="str">
        <f>IF(A194="","",IFERROR(VLOOKUP(A194,DB_Customers!$A:$D,4,0),"❌ Account Not Found"))</f>
        <v/>
      </c>
      <c r="C194" s="89" t="str">
        <f>IF(A194="","",IFERROR(VLOOKUP(A194,DB_Customers!$A:$N,14,0),""))</f>
        <v/>
      </c>
      <c r="D194" s="90" t="str">
        <f t="shared" ca="1" si="15"/>
        <v/>
      </c>
      <c r="E194" s="97"/>
      <c r="F194" s="25"/>
      <c r="G194" s="99" t="str">
        <f t="shared" si="16"/>
        <v/>
      </c>
      <c r="H194" s="27"/>
      <c r="I194" s="84"/>
      <c r="J194" s="92" t="str">
        <f>IF(AND(A194&lt;&gt;"",E194&lt;&gt;""),IF(I194="","⚠️ Enter Code",IF(IFERROR(VLOOKUP(H194,DB_Agents!$B:$I,8,0),"")=I194,IF(C194&gt;=E194,"Successful","Unsuccessful"),"🔒 BLOCKED — Wrong Code")),"—")</f>
        <v>—</v>
      </c>
      <c r="K194" s="93" t="str">
        <f t="shared" ca="1" si="17"/>
        <v>—</v>
      </c>
      <c r="L194" s="94"/>
    </row>
    <row r="195" spans="1:12" x14ac:dyDescent="0.25">
      <c r="A195" s="79"/>
      <c r="B195" s="21" t="str">
        <f>IF(A195="","",IFERROR(VLOOKUP(A195,DB_Customers!$A:$D,4,0),"❌ Account Not Found"))</f>
        <v/>
      </c>
      <c r="C195" s="80" t="str">
        <f>IF(A195="","",IFERROR(VLOOKUP(A195,DB_Customers!$A:$N,14,0),""))</f>
        <v/>
      </c>
      <c r="D195" s="81" t="str">
        <f t="shared" ca="1" si="15"/>
        <v/>
      </c>
      <c r="E195" s="97"/>
      <c r="F195" s="21"/>
      <c r="G195" s="98" t="str">
        <f t="shared" si="16"/>
        <v/>
      </c>
      <c r="H195" s="23"/>
      <c r="I195" s="84"/>
      <c r="J195" s="85" t="str">
        <f>IF(AND(A195&lt;&gt;"",E195&lt;&gt;""),IF(I195="","⚠️ Enter Code",IF(IFERROR(VLOOKUP(H195,DB_Agents!$B:$I,8,0),"")=I195,IF(C195&gt;=E195,"Successful","Unsuccessful"),"🔒 BLOCKED — Wrong Code")),"—")</f>
        <v>—</v>
      </c>
      <c r="K195" s="86" t="str">
        <f t="shared" ca="1" si="17"/>
        <v>—</v>
      </c>
      <c r="L195" s="87"/>
    </row>
    <row r="196" spans="1:12" x14ac:dyDescent="0.25">
      <c r="A196" s="88"/>
      <c r="B196" s="25" t="str">
        <f>IF(A196="","",IFERROR(VLOOKUP(A196,DB_Customers!$A:$D,4,0),"❌ Account Not Found"))</f>
        <v/>
      </c>
      <c r="C196" s="89" t="str">
        <f>IF(A196="","",IFERROR(VLOOKUP(A196,DB_Customers!$A:$N,14,0),""))</f>
        <v/>
      </c>
      <c r="D196" s="90" t="str">
        <f t="shared" ca="1" si="15"/>
        <v/>
      </c>
      <c r="E196" s="97"/>
      <c r="F196" s="25"/>
      <c r="G196" s="99" t="str">
        <f t="shared" si="16"/>
        <v/>
      </c>
      <c r="H196" s="27"/>
      <c r="I196" s="84"/>
      <c r="J196" s="92" t="str">
        <f>IF(AND(A196&lt;&gt;"",E196&lt;&gt;""),IF(I196="","⚠️ Enter Code",IF(IFERROR(VLOOKUP(H196,DB_Agents!$B:$I,8,0),"")=I196,IF(C196&gt;=E196,"Successful","Unsuccessful"),"🔒 BLOCKED — Wrong Code")),"—")</f>
        <v>—</v>
      </c>
      <c r="K196" s="93" t="str">
        <f t="shared" ca="1" si="17"/>
        <v>—</v>
      </c>
      <c r="L196" s="94"/>
    </row>
    <row r="197" spans="1:12" x14ac:dyDescent="0.25">
      <c r="A197" s="79"/>
      <c r="B197" s="21" t="str">
        <f>IF(A197="","",IFERROR(VLOOKUP(A197,DB_Customers!$A:$D,4,0),"❌ Account Not Found"))</f>
        <v/>
      </c>
      <c r="C197" s="80" t="str">
        <f>IF(A197="","",IFERROR(VLOOKUP(A197,DB_Customers!$A:$N,14,0),""))</f>
        <v/>
      </c>
      <c r="D197" s="81" t="str">
        <f t="shared" ca="1" si="15"/>
        <v/>
      </c>
      <c r="E197" s="97"/>
      <c r="F197" s="21"/>
      <c r="G197" s="98" t="str">
        <f t="shared" si="16"/>
        <v/>
      </c>
      <c r="H197" s="23"/>
      <c r="I197" s="84"/>
      <c r="J197" s="85" t="str">
        <f>IF(AND(A197&lt;&gt;"",E197&lt;&gt;""),IF(I197="","⚠️ Enter Code",IF(IFERROR(VLOOKUP(H197,DB_Agents!$B:$I,8,0),"")=I197,IF(C197&gt;=E197,"Successful","Unsuccessful"),"🔒 BLOCKED — Wrong Code")),"—")</f>
        <v>—</v>
      </c>
      <c r="K197" s="86" t="str">
        <f t="shared" ca="1" si="17"/>
        <v>—</v>
      </c>
      <c r="L197" s="87"/>
    </row>
    <row r="198" spans="1:12" x14ac:dyDescent="0.25">
      <c r="A198" s="88"/>
      <c r="B198" s="25" t="str">
        <f>IF(A198="","",IFERROR(VLOOKUP(A198,DB_Customers!$A:$D,4,0),"❌ Account Not Found"))</f>
        <v/>
      </c>
      <c r="C198" s="89" t="str">
        <f>IF(A198="","",IFERROR(VLOOKUP(A198,DB_Customers!$A:$N,14,0),""))</f>
        <v/>
      </c>
      <c r="D198" s="90" t="str">
        <f t="shared" ca="1" si="15"/>
        <v/>
      </c>
      <c r="E198" s="97"/>
      <c r="F198" s="25"/>
      <c r="G198" s="99" t="str">
        <f t="shared" si="16"/>
        <v/>
      </c>
      <c r="H198" s="27"/>
      <c r="I198" s="84"/>
      <c r="J198" s="92" t="str">
        <f>IF(AND(A198&lt;&gt;"",E198&lt;&gt;""),IF(I198="","⚠️ Enter Code",IF(IFERROR(VLOOKUP(H198,DB_Agents!$B:$I,8,0),"")=I198,IF(C198&gt;=E198,"Successful","Unsuccessful"),"🔒 BLOCKED — Wrong Code")),"—")</f>
        <v>—</v>
      </c>
      <c r="K198" s="93" t="str">
        <f t="shared" ca="1" si="17"/>
        <v>—</v>
      </c>
      <c r="L198" s="94"/>
    </row>
    <row r="199" spans="1:12" x14ac:dyDescent="0.25">
      <c r="A199" s="79"/>
      <c r="B199" s="21" t="str">
        <f>IF(A199="","",IFERROR(VLOOKUP(A199,DB_Customers!$A:$D,4,0),"❌ Account Not Found"))</f>
        <v/>
      </c>
      <c r="C199" s="80" t="str">
        <f>IF(A199="","",IFERROR(VLOOKUP(A199,DB_Customers!$A:$N,14,0),""))</f>
        <v/>
      </c>
      <c r="D199" s="81" t="str">
        <f t="shared" ca="1" si="15"/>
        <v/>
      </c>
      <c r="E199" s="97"/>
      <c r="F199" s="21"/>
      <c r="G199" s="98" t="str">
        <f t="shared" si="16"/>
        <v/>
      </c>
      <c r="H199" s="23"/>
      <c r="I199" s="84"/>
      <c r="J199" s="85" t="str">
        <f>IF(AND(A199&lt;&gt;"",E199&lt;&gt;""),IF(I199="","⚠️ Enter Code",IF(IFERROR(VLOOKUP(H199,DB_Agents!$B:$I,8,0),"")=I199,IF(C199&gt;=E199,"Successful","Unsuccessful"),"🔒 BLOCKED — Wrong Code")),"—")</f>
        <v>—</v>
      </c>
      <c r="K199" s="86" t="str">
        <f t="shared" ca="1" si="17"/>
        <v>—</v>
      </c>
      <c r="L199" s="87"/>
    </row>
    <row r="200" spans="1:12" x14ac:dyDescent="0.25">
      <c r="A200" s="88"/>
      <c r="B200" s="25" t="str">
        <f>IF(A200="","",IFERROR(VLOOKUP(A200,DB_Customers!$A:$D,4,0),"❌ Account Not Found"))</f>
        <v/>
      </c>
      <c r="C200" s="89" t="str">
        <f>IF(A200="","",IFERROR(VLOOKUP(A200,DB_Customers!$A:$N,14,0),""))</f>
        <v/>
      </c>
      <c r="D200" s="90" t="str">
        <f t="shared" ca="1" si="15"/>
        <v/>
      </c>
      <c r="E200" s="97"/>
      <c r="F200" s="25"/>
      <c r="G200" s="99" t="str">
        <f t="shared" si="16"/>
        <v/>
      </c>
      <c r="H200" s="27"/>
      <c r="I200" s="84"/>
      <c r="J200" s="92" t="str">
        <f>IF(AND(A200&lt;&gt;"",E200&lt;&gt;""),IF(I200="","⚠️ Enter Code",IF(IFERROR(VLOOKUP(H200,DB_Agents!$B:$I,8,0),"")=I200,IF(C200&gt;=E200,"Successful","Unsuccessful"),"🔒 BLOCKED — Wrong Code")),"—")</f>
        <v>—</v>
      </c>
      <c r="K200" s="93" t="str">
        <f t="shared" ca="1" si="17"/>
        <v>—</v>
      </c>
      <c r="L200" s="94"/>
    </row>
    <row r="201" spans="1:12" x14ac:dyDescent="0.25">
      <c r="A201" s="79"/>
      <c r="B201" s="21" t="str">
        <f>IF(A201="","",IFERROR(VLOOKUP(A201,DB_Customers!$A:$D,4,0),"❌ Account Not Found"))</f>
        <v/>
      </c>
      <c r="C201" s="80" t="str">
        <f>IF(A201="","",IFERROR(VLOOKUP(A201,DB_Customers!$A:$N,14,0),""))</f>
        <v/>
      </c>
      <c r="D201" s="81" t="str">
        <f t="shared" ref="D201:D208" ca="1" si="18">IF(A201="","",TODAY())</f>
        <v/>
      </c>
      <c r="E201" s="97"/>
      <c r="F201" s="21"/>
      <c r="G201" s="98" t="str">
        <f t="shared" ref="G201:G208" si="19">IF(OR(A201="",E201=""),"",IF(C201="","",C201-E201))</f>
        <v/>
      </c>
      <c r="H201" s="23"/>
      <c r="I201" s="84"/>
      <c r="J201" s="85" t="str">
        <f>IF(AND(A201&lt;&gt;"",E201&lt;&gt;""),IF(I201="","⚠️ Enter Code",IF(IFERROR(VLOOKUP(H201,DB_Agents!$B:$I,8,0),"")=I201,IF(C201&gt;=E201,"Successful","Unsuccessful"),"🔒 BLOCKED — Wrong Code")),"—")</f>
        <v>—</v>
      </c>
      <c r="K201" s="86" t="str">
        <f t="shared" ref="K201:K232" ca="1" si="20">IF(J201="Successful",TEXT(TODAY(),"YYYY-MM-DD")&amp;" Auto","—")</f>
        <v>—</v>
      </c>
      <c r="L201" s="87"/>
    </row>
    <row r="202" spans="1:12" x14ac:dyDescent="0.25">
      <c r="A202" s="88"/>
      <c r="B202" s="25" t="str">
        <f>IF(A202="","",IFERROR(VLOOKUP(A202,DB_Customers!$A:$D,4,0),"❌ Account Not Found"))</f>
        <v/>
      </c>
      <c r="C202" s="89" t="str">
        <f>IF(A202="","",IFERROR(VLOOKUP(A202,DB_Customers!$A:$N,14,0),""))</f>
        <v/>
      </c>
      <c r="D202" s="90" t="str">
        <f t="shared" ca="1" si="18"/>
        <v/>
      </c>
      <c r="E202" s="97"/>
      <c r="F202" s="25"/>
      <c r="G202" s="99" t="str">
        <f t="shared" si="19"/>
        <v/>
      </c>
      <c r="H202" s="27"/>
      <c r="I202" s="84"/>
      <c r="J202" s="92" t="str">
        <f>IF(AND(A202&lt;&gt;"",E202&lt;&gt;""),IF(I202="","⚠️ Enter Code",IF(IFERROR(VLOOKUP(H202,DB_Agents!$B:$I,8,0),"")=I202,IF(C202&gt;=E202,"Successful","Unsuccessful"),"🔒 BLOCKED — Wrong Code")),"—")</f>
        <v>—</v>
      </c>
      <c r="K202" s="93" t="str">
        <f t="shared" ca="1" si="20"/>
        <v>—</v>
      </c>
      <c r="L202" s="94"/>
    </row>
    <row r="203" spans="1:12" x14ac:dyDescent="0.25">
      <c r="A203" s="79"/>
      <c r="B203" s="21" t="str">
        <f>IF(A203="","",IFERROR(VLOOKUP(A203,DB_Customers!$A:$D,4,0),"❌ Account Not Found"))</f>
        <v/>
      </c>
      <c r="C203" s="80" t="str">
        <f>IF(A203="","",IFERROR(VLOOKUP(A203,DB_Customers!$A:$N,14,0),""))</f>
        <v/>
      </c>
      <c r="D203" s="81" t="str">
        <f t="shared" ca="1" si="18"/>
        <v/>
      </c>
      <c r="E203" s="97"/>
      <c r="F203" s="21"/>
      <c r="G203" s="98" t="str">
        <f t="shared" si="19"/>
        <v/>
      </c>
      <c r="H203" s="23"/>
      <c r="I203" s="84"/>
      <c r="J203" s="85" t="str">
        <f>IF(AND(A203&lt;&gt;"",E203&lt;&gt;""),IF(I203="","⚠️ Enter Code",IF(IFERROR(VLOOKUP(H203,DB_Agents!$B:$I,8,0),"")=I203,IF(C203&gt;=E203,"Successful","Unsuccessful"),"🔒 BLOCKED — Wrong Code")),"—")</f>
        <v>—</v>
      </c>
      <c r="K203" s="86" t="str">
        <f t="shared" ca="1" si="20"/>
        <v>—</v>
      </c>
      <c r="L203" s="87"/>
    </row>
    <row r="204" spans="1:12" x14ac:dyDescent="0.25">
      <c r="A204" s="88"/>
      <c r="B204" s="25" t="str">
        <f>IF(A204="","",IFERROR(VLOOKUP(A204,DB_Customers!$A:$D,4,0),"❌ Account Not Found"))</f>
        <v/>
      </c>
      <c r="C204" s="89" t="str">
        <f>IF(A204="","",IFERROR(VLOOKUP(A204,DB_Customers!$A:$N,14,0),""))</f>
        <v/>
      </c>
      <c r="D204" s="90" t="str">
        <f t="shared" ca="1" si="18"/>
        <v/>
      </c>
      <c r="E204" s="97"/>
      <c r="F204" s="25"/>
      <c r="G204" s="99" t="str">
        <f t="shared" si="19"/>
        <v/>
      </c>
      <c r="H204" s="27"/>
      <c r="I204" s="84"/>
      <c r="J204" s="92" t="str">
        <f>IF(AND(A204&lt;&gt;"",E204&lt;&gt;""),IF(I204="","⚠️ Enter Code",IF(IFERROR(VLOOKUP(H204,DB_Agents!$B:$I,8,0),"")=I204,IF(C204&gt;=E204,"Successful","Unsuccessful"),"🔒 BLOCKED — Wrong Code")),"—")</f>
        <v>—</v>
      </c>
      <c r="K204" s="93" t="str">
        <f t="shared" ca="1" si="20"/>
        <v>—</v>
      </c>
      <c r="L204" s="94"/>
    </row>
    <row r="205" spans="1:12" x14ac:dyDescent="0.25">
      <c r="A205" s="79"/>
      <c r="B205" s="21" t="str">
        <f>IF(A205="","",IFERROR(VLOOKUP(A205,DB_Customers!$A:$D,4,0),"❌ Account Not Found"))</f>
        <v/>
      </c>
      <c r="C205" s="80" t="str">
        <f>IF(A205="","",IFERROR(VLOOKUP(A205,DB_Customers!$A:$N,14,0),""))</f>
        <v/>
      </c>
      <c r="D205" s="81" t="str">
        <f t="shared" ca="1" si="18"/>
        <v/>
      </c>
      <c r="E205" s="97"/>
      <c r="F205" s="21"/>
      <c r="G205" s="98" t="str">
        <f t="shared" si="19"/>
        <v/>
      </c>
      <c r="H205" s="23"/>
      <c r="I205" s="84"/>
      <c r="J205" s="85" t="str">
        <f>IF(AND(A205&lt;&gt;"",E205&lt;&gt;""),IF(I205="","⚠️ Enter Code",IF(IFERROR(VLOOKUP(H205,DB_Agents!$B:$I,8,0),"")=I205,IF(C205&gt;=E205,"Successful","Unsuccessful"),"🔒 BLOCKED — Wrong Code")),"—")</f>
        <v>—</v>
      </c>
      <c r="K205" s="86" t="str">
        <f t="shared" ca="1" si="20"/>
        <v>—</v>
      </c>
      <c r="L205" s="87"/>
    </row>
    <row r="206" spans="1:12" x14ac:dyDescent="0.25">
      <c r="A206" s="88"/>
      <c r="B206" s="25" t="str">
        <f>IF(A206="","",IFERROR(VLOOKUP(A206,DB_Customers!$A:$D,4,0),"❌ Account Not Found"))</f>
        <v/>
      </c>
      <c r="C206" s="89" t="str">
        <f>IF(A206="","",IFERROR(VLOOKUP(A206,DB_Customers!$A:$N,14,0),""))</f>
        <v/>
      </c>
      <c r="D206" s="90" t="str">
        <f t="shared" ca="1" si="18"/>
        <v/>
      </c>
      <c r="E206" s="97"/>
      <c r="F206" s="25"/>
      <c r="G206" s="99" t="str">
        <f t="shared" si="19"/>
        <v/>
      </c>
      <c r="H206" s="27"/>
      <c r="I206" s="84"/>
      <c r="J206" s="92" t="str">
        <f>IF(AND(A206&lt;&gt;"",E206&lt;&gt;""),IF(I206="","⚠️ Enter Code",IF(IFERROR(VLOOKUP(H206,DB_Agents!$B:$I,8,0),"")=I206,IF(C206&gt;=E206,"Successful","Unsuccessful"),"🔒 BLOCKED — Wrong Code")),"—")</f>
        <v>—</v>
      </c>
      <c r="K206" s="93" t="str">
        <f t="shared" ca="1" si="20"/>
        <v>—</v>
      </c>
      <c r="L206" s="94"/>
    </row>
    <row r="207" spans="1:12" x14ac:dyDescent="0.25">
      <c r="A207" s="79"/>
      <c r="B207" s="21" t="str">
        <f>IF(A207="","",IFERROR(VLOOKUP(A207,DB_Customers!$A:$D,4,0),"❌ Account Not Found"))</f>
        <v/>
      </c>
      <c r="C207" s="80" t="str">
        <f>IF(A207="","",IFERROR(VLOOKUP(A207,DB_Customers!$A:$N,14,0),""))</f>
        <v/>
      </c>
      <c r="D207" s="81" t="str">
        <f t="shared" ca="1" si="18"/>
        <v/>
      </c>
      <c r="E207" s="97"/>
      <c r="F207" s="21"/>
      <c r="G207" s="98" t="str">
        <f t="shared" si="19"/>
        <v/>
      </c>
      <c r="H207" s="23"/>
      <c r="I207" s="84"/>
      <c r="J207" s="85" t="str">
        <f>IF(AND(A207&lt;&gt;"",E207&lt;&gt;""),IF(I207="","⚠️ Enter Code",IF(IFERROR(VLOOKUP(H207,DB_Agents!$B:$I,8,0),"")=I207,IF(C207&gt;=E207,"Successful","Unsuccessful"),"🔒 BLOCKED — Wrong Code")),"—")</f>
        <v>—</v>
      </c>
      <c r="K207" s="86" t="str">
        <f t="shared" ca="1" si="20"/>
        <v>—</v>
      </c>
      <c r="L207" s="87"/>
    </row>
    <row r="208" spans="1:12" x14ac:dyDescent="0.25">
      <c r="A208" s="88"/>
      <c r="B208" s="25" t="str">
        <f>IF(A208="","",IFERROR(VLOOKUP(A208,DB_Customers!$A:$D,4,0),"❌ Account Not Found"))</f>
        <v/>
      </c>
      <c r="C208" s="89" t="str">
        <f>IF(A208="","",IFERROR(VLOOKUP(A208,DB_Customers!$A:$N,14,0),""))</f>
        <v/>
      </c>
      <c r="D208" s="90" t="str">
        <f t="shared" ca="1" si="18"/>
        <v/>
      </c>
      <c r="E208" s="97"/>
      <c r="F208" s="25"/>
      <c r="G208" s="99" t="str">
        <f t="shared" si="19"/>
        <v/>
      </c>
      <c r="H208" s="27"/>
      <c r="I208" s="84"/>
      <c r="J208" s="92" t="str">
        <f>IF(AND(A208&lt;&gt;"",E208&lt;&gt;""),IF(I208="","⚠️ Enter Code",IF(IFERROR(VLOOKUP(H208,DB_Agents!$B:$I,8,0),"")=I208,IF(C208&gt;=E208,"Successful","Unsuccessful"),"🔒 BLOCKED — Wrong Code")),"—")</f>
        <v>—</v>
      </c>
      <c r="K208" s="93" t="str">
        <f t="shared" ca="1" si="20"/>
        <v>—</v>
      </c>
      <c r="L208" s="94"/>
    </row>
  </sheetData>
  <mergeCells count="8">
    <mergeCell ref="A5:M5"/>
    <mergeCell ref="A7:M7"/>
    <mergeCell ref="A1:M1"/>
    <mergeCell ref="A2:M2"/>
    <mergeCell ref="A3:C3"/>
    <mergeCell ref="D3:F3"/>
    <mergeCell ref="A4:C4"/>
    <mergeCell ref="D4:F4"/>
  </mergeCells>
  <conditionalFormatting sqref="I9:I208">
    <cfRule type="cellIs" dxfId="9" priority="2" operator="equal">
      <formula>"Successful"</formula>
    </cfRule>
    <cfRule type="cellIs" dxfId="8" priority="3" operator="equal">
      <formula>"Unsuccessful"</formula>
    </cfRule>
  </conditionalFormatting>
  <conditionalFormatting sqref="A9:K208">
    <cfRule type="expression" dxfId="7" priority="4">
      <formula>$I9="Unsuccessful"</formula>
    </cfRule>
  </conditionalFormatting>
  <conditionalFormatting sqref="G9:G208">
    <cfRule type="cellIs" dxfId="6" priority="5" operator="lessThan">
      <formula>0</formula>
    </cfRule>
  </conditionalFormatting>
  <dataValidations count="1">
    <dataValidation type="list" sqref="H9:H208" xr:uid="{00000000-0002-0000-2100-000000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tabColor rgb="FFE67E22"/>
  </sheetPr>
  <dimension ref="A1:N213"/>
  <sheetViews>
    <sheetView zoomScaleNormal="100" workbookViewId="0">
      <pane ySplit="13" topLeftCell="A14" activePane="bottomLeft" state="frozen"/>
      <selection pane="bottomLeft"/>
    </sheetView>
  </sheetViews>
  <sheetFormatPr defaultColWidth="8.7109375" defaultRowHeight="15" x14ac:dyDescent="0.25"/>
  <cols>
    <col min="1" max="1" width="22" customWidth="1"/>
    <col min="2" max="2" width="16" customWidth="1"/>
    <col min="3" max="3" width="22" customWidth="1"/>
    <col min="4" max="4" width="13" customWidth="1"/>
    <col min="5" max="5" width="14" customWidth="1"/>
    <col min="6" max="6" width="22" customWidth="1"/>
    <col min="7" max="7" width="9" customWidth="1"/>
    <col min="8" max="8" width="8" customWidth="1"/>
    <col min="9" max="9" width="16" customWidth="1"/>
    <col min="10" max="10" width="15" customWidth="1"/>
    <col min="11" max="11" width="14" customWidth="1"/>
    <col min="12" max="12" width="12" customWidth="1"/>
    <col min="13" max="13" width="14" customWidth="1"/>
  </cols>
  <sheetData>
    <row r="1" spans="1:14" ht="31.5" customHeight="1" x14ac:dyDescent="0.25">
      <c r="A1" s="216" t="s">
        <v>239</v>
      </c>
      <c r="B1" s="216"/>
      <c r="C1" s="216"/>
      <c r="D1" s="216"/>
      <c r="E1" s="216"/>
      <c r="F1" s="216"/>
      <c r="G1" s="216"/>
      <c r="H1" s="216"/>
      <c r="I1" s="216"/>
      <c r="J1" s="216"/>
      <c r="K1" s="216"/>
      <c r="L1" s="216"/>
      <c r="M1" s="216"/>
      <c r="N1" s="216"/>
    </row>
    <row r="2" spans="1:14" ht="19.5" customHeight="1" x14ac:dyDescent="0.25">
      <c r="A2" s="217" t="s">
        <v>189</v>
      </c>
      <c r="B2" s="217"/>
      <c r="C2" s="217"/>
      <c r="D2" s="217"/>
      <c r="E2" s="217"/>
      <c r="F2" s="217"/>
      <c r="G2" s="217"/>
      <c r="H2" s="217"/>
      <c r="I2" s="217"/>
      <c r="J2" s="217"/>
      <c r="K2" s="217"/>
      <c r="L2" s="217"/>
      <c r="M2" s="217"/>
      <c r="N2" s="217"/>
    </row>
    <row r="4" spans="1:14" ht="21.75" customHeight="1" x14ac:dyDescent="0.25">
      <c r="A4" s="218" t="s">
        <v>190</v>
      </c>
      <c r="B4" s="218"/>
      <c r="C4" s="218"/>
      <c r="D4" s="218"/>
    </row>
    <row r="5" spans="1:14" ht="19.5" customHeight="1" x14ac:dyDescent="0.25">
      <c r="A5" s="101" t="s">
        <v>191</v>
      </c>
      <c r="B5" s="219"/>
      <c r="C5" s="219"/>
      <c r="D5" s="219"/>
    </row>
    <row r="6" spans="1:14" ht="19.5" customHeight="1" x14ac:dyDescent="0.25">
      <c r="A6" s="101" t="s">
        <v>192</v>
      </c>
      <c r="B6" s="219"/>
      <c r="C6" s="219"/>
      <c r="D6" s="219"/>
    </row>
    <row r="7" spans="1:14" ht="19.5" customHeight="1" x14ac:dyDescent="0.25">
      <c r="A7" s="102" t="s">
        <v>193</v>
      </c>
      <c r="B7" s="220">
        <v>2.5</v>
      </c>
      <c r="C7" s="220"/>
      <c r="D7" s="220"/>
    </row>
    <row r="8" spans="1:14" ht="19.5" customHeight="1" x14ac:dyDescent="0.25">
      <c r="A8" s="102" t="s">
        <v>194</v>
      </c>
      <c r="B8" s="221" t="str">
        <f>IF(B5="","",B5*B7/100*B6)</f>
        <v/>
      </c>
      <c r="C8" s="221"/>
      <c r="D8" s="221"/>
    </row>
    <row r="9" spans="1:14" ht="19.5" customHeight="1" x14ac:dyDescent="0.25">
      <c r="A9" s="102"/>
      <c r="B9" s="222" t="str">
        <f>IF(B5="","",B5+(B5*B7/100*B6))</f>
        <v/>
      </c>
      <c r="C9" s="222"/>
      <c r="D9" s="222"/>
    </row>
    <row r="10" spans="1:14" ht="19.5" customHeight="1" x14ac:dyDescent="0.25">
      <c r="A10" s="102"/>
      <c r="B10" s="222" t="str">
        <f>IFERROR(B9/B6,"")</f>
        <v/>
      </c>
      <c r="C10" s="222"/>
      <c r="D10" s="222"/>
    </row>
    <row r="11" spans="1:14" ht="7.5" customHeight="1" x14ac:dyDescent="0.25"/>
    <row r="12" spans="1:14" ht="21.75" customHeight="1" x14ac:dyDescent="0.25">
      <c r="A12" s="223"/>
      <c r="B12" s="223"/>
      <c r="C12" s="223"/>
      <c r="D12" s="223"/>
      <c r="E12" s="223"/>
      <c r="F12" s="223"/>
      <c r="G12" s="223"/>
      <c r="H12" s="223"/>
      <c r="I12" s="223"/>
      <c r="J12" s="223"/>
      <c r="K12" s="223"/>
      <c r="L12" s="223"/>
      <c r="M12" s="223"/>
      <c r="N12" s="223"/>
    </row>
    <row r="13" spans="1:14" ht="19.5" customHeight="1" x14ac:dyDescent="0.25">
      <c r="A13" s="103"/>
      <c r="B13" s="103"/>
      <c r="C13" s="103"/>
      <c r="D13" s="103"/>
      <c r="E13" s="103"/>
      <c r="F13" s="103"/>
      <c r="G13" s="103"/>
      <c r="H13" s="103"/>
      <c r="I13" s="103"/>
      <c r="J13" s="103"/>
      <c r="K13" s="103"/>
      <c r="L13" s="103" t="s">
        <v>32</v>
      </c>
      <c r="M13" s="78"/>
      <c r="N13" s="103"/>
    </row>
    <row r="14" spans="1:14" x14ac:dyDescent="0.25">
      <c r="A14" s="92" t="str">
        <f t="shared" ref="A14:A45" si="0">IF(B14="","",IF(C14="❌ Account Not Found","INVALID","LN"&amp;TEXT(D14,"YYYYMMDD")&amp;TEXT(ROW()-13,"0000")))</f>
        <v/>
      </c>
      <c r="B14" s="88"/>
      <c r="C14" s="25" t="str">
        <f>IF(B14="","",IFERROR(VLOOKUP(B14,DB_Customers!$A:$D,4,0),"❌ Account Not Found"))</f>
        <v/>
      </c>
      <c r="D14" s="90" t="str">
        <f t="shared" ref="D14:D45" ca="1" si="1">IF(B14="","",TODAY())</f>
        <v/>
      </c>
      <c r="E14" s="104"/>
      <c r="F14" s="25"/>
      <c r="G14" s="105"/>
      <c r="H14" s="106"/>
      <c r="I14" s="107" t="str">
        <f t="shared" ref="I14:I45" si="2">IF(E14="","",E14+(E14*H14/100*G14))</f>
        <v/>
      </c>
      <c r="J14" s="108" t="str">
        <f t="shared" ref="J14:J45" si="3">IFERROR(I14/G14,"")</f>
        <v/>
      </c>
      <c r="K14" s="109" t="str">
        <f>IF(B14="","Pending",IF(M14="","⚠️ Enter Code",IF(IFERROR(VLOOKUP(L14,DB_Agents!$B:$I,8,0),"")=M14,"Pending","🔒 BLOCKED — Wrong Code")))</f>
        <v>Pending</v>
      </c>
      <c r="L14" s="27" t="s">
        <v>50</v>
      </c>
      <c r="M14" s="84"/>
      <c r="N14" s="94"/>
    </row>
    <row r="15" spans="1:14" x14ac:dyDescent="0.25">
      <c r="A15" s="85" t="str">
        <f t="shared" si="0"/>
        <v/>
      </c>
      <c r="B15" s="79"/>
      <c r="C15" s="21" t="str">
        <f>IF(B15="","",IFERROR(VLOOKUP(B15,DB_Customers!$A:$D,4,0),"❌ Account Not Found"))</f>
        <v/>
      </c>
      <c r="D15" s="81" t="str">
        <f t="shared" ca="1" si="1"/>
        <v/>
      </c>
      <c r="E15" s="104"/>
      <c r="F15" s="21"/>
      <c r="G15" s="110"/>
      <c r="H15" s="111"/>
      <c r="I15" s="107" t="str">
        <f t="shared" si="2"/>
        <v/>
      </c>
      <c r="J15" s="112" t="str">
        <f t="shared" si="3"/>
        <v/>
      </c>
      <c r="K15" s="113" t="str">
        <f>IF(B15="","Pending",IF(M15="","⚠️ Enter Code",IF(IFERROR(VLOOKUP(L15,DB_Agents!$B:$I,8,0),"")=M15,"Pending","🔒 BLOCKED — Wrong Code")))</f>
        <v>Pending</v>
      </c>
      <c r="L15" s="23" t="s">
        <v>50</v>
      </c>
      <c r="M15" s="84"/>
      <c r="N15" s="87"/>
    </row>
    <row r="16" spans="1:14" x14ac:dyDescent="0.25">
      <c r="A16" s="92" t="str">
        <f t="shared" si="0"/>
        <v/>
      </c>
      <c r="B16" s="88"/>
      <c r="C16" s="25" t="str">
        <f>IF(B16="","",IFERROR(VLOOKUP(B16,DB_Customers!$A:$D,4,0),"❌ Account Not Found"))</f>
        <v/>
      </c>
      <c r="D16" s="90" t="str">
        <f t="shared" ca="1" si="1"/>
        <v/>
      </c>
      <c r="E16" s="104"/>
      <c r="F16" s="25"/>
      <c r="G16" s="105"/>
      <c r="H16" s="106"/>
      <c r="I16" s="107" t="str">
        <f t="shared" si="2"/>
        <v/>
      </c>
      <c r="J16" s="108" t="str">
        <f t="shared" si="3"/>
        <v/>
      </c>
      <c r="K16" s="109" t="str">
        <f>IF(B16="","Pending",IF(M16="","⚠️ Enter Code",IF(IFERROR(VLOOKUP(L16,DB_Agents!$B:$I,8,0),"")=M16,"Pending","🔒 BLOCKED — Wrong Code")))</f>
        <v>Pending</v>
      </c>
      <c r="L16" s="27" t="s">
        <v>50</v>
      </c>
      <c r="M16" s="84"/>
      <c r="N16" s="94"/>
    </row>
    <row r="17" spans="1:14" x14ac:dyDescent="0.25">
      <c r="A17" s="85" t="str">
        <f t="shared" si="0"/>
        <v/>
      </c>
      <c r="B17" s="79"/>
      <c r="C17" s="21" t="str">
        <f>IF(B17="","",IFERROR(VLOOKUP(B17,DB_Customers!$A:$D,4,0),"❌ Account Not Found"))</f>
        <v/>
      </c>
      <c r="D17" s="81" t="str">
        <f t="shared" ca="1" si="1"/>
        <v/>
      </c>
      <c r="E17" s="104"/>
      <c r="F17" s="21"/>
      <c r="G17" s="110"/>
      <c r="H17" s="111"/>
      <c r="I17" s="107" t="str">
        <f t="shared" si="2"/>
        <v/>
      </c>
      <c r="J17" s="112" t="str">
        <f t="shared" si="3"/>
        <v/>
      </c>
      <c r="K17" s="113" t="str">
        <f>IF(B17="","Pending",IF(M17="","⚠️ Enter Code",IF(IFERROR(VLOOKUP(L17,DB_Agents!$B:$I,8,0),"")=M17,"Pending","🔒 BLOCKED — Wrong Code")))</f>
        <v>Pending</v>
      </c>
      <c r="L17" s="23" t="s">
        <v>50</v>
      </c>
      <c r="M17" s="84"/>
      <c r="N17" s="87"/>
    </row>
    <row r="18" spans="1:14" x14ac:dyDescent="0.25">
      <c r="A18" s="92" t="str">
        <f t="shared" si="0"/>
        <v/>
      </c>
      <c r="B18" s="88"/>
      <c r="C18" s="25" t="str">
        <f>IF(B18="","",IFERROR(VLOOKUP(B18,DB_Customers!$A:$D,4,0),"❌ Account Not Found"))</f>
        <v/>
      </c>
      <c r="D18" s="90" t="str">
        <f t="shared" ca="1" si="1"/>
        <v/>
      </c>
      <c r="E18" s="104"/>
      <c r="F18" s="25"/>
      <c r="G18" s="105"/>
      <c r="H18" s="106"/>
      <c r="I18" s="107" t="str">
        <f t="shared" si="2"/>
        <v/>
      </c>
      <c r="J18" s="108" t="str">
        <f t="shared" si="3"/>
        <v/>
      </c>
      <c r="K18" s="109" t="str">
        <f>IF(B18="","Pending",IF(M18="","⚠️ Enter Code",IF(IFERROR(VLOOKUP(L18,DB_Agents!$B:$I,8,0),"")=M18,"Pending","🔒 BLOCKED — Wrong Code")))</f>
        <v>Pending</v>
      </c>
      <c r="L18" s="27" t="s">
        <v>50</v>
      </c>
      <c r="M18" s="84"/>
      <c r="N18" s="94"/>
    </row>
    <row r="19" spans="1:14" x14ac:dyDescent="0.25">
      <c r="A19" s="85" t="str">
        <f t="shared" si="0"/>
        <v/>
      </c>
      <c r="B19" s="79"/>
      <c r="C19" s="21" t="str">
        <f>IF(B19="","",IFERROR(VLOOKUP(B19,DB_Customers!$A:$D,4,0),"❌ Account Not Found"))</f>
        <v/>
      </c>
      <c r="D19" s="81" t="str">
        <f t="shared" ca="1" si="1"/>
        <v/>
      </c>
      <c r="E19" s="104"/>
      <c r="F19" s="21"/>
      <c r="G19" s="110"/>
      <c r="H19" s="111"/>
      <c r="I19" s="107" t="str">
        <f t="shared" si="2"/>
        <v/>
      </c>
      <c r="J19" s="112" t="str">
        <f t="shared" si="3"/>
        <v/>
      </c>
      <c r="K19" s="113" t="str">
        <f>IF(B19="","Pending",IF(M19="","⚠️ Enter Code",IF(IFERROR(VLOOKUP(L19,DB_Agents!$B:$I,8,0),"")=M19,"Pending","🔒 BLOCKED — Wrong Code")))</f>
        <v>Pending</v>
      </c>
      <c r="L19" s="23"/>
      <c r="M19" s="84"/>
      <c r="N19" s="87"/>
    </row>
    <row r="20" spans="1:14" x14ac:dyDescent="0.25">
      <c r="A20" s="92" t="str">
        <f t="shared" si="0"/>
        <v/>
      </c>
      <c r="B20" s="88"/>
      <c r="C20" s="25" t="str">
        <f>IF(B20="","",IFERROR(VLOOKUP(B20,DB_Customers!$A:$D,4,0),"❌ Account Not Found"))</f>
        <v/>
      </c>
      <c r="D20" s="90" t="str">
        <f t="shared" ca="1" si="1"/>
        <v/>
      </c>
      <c r="E20" s="104"/>
      <c r="F20" s="25"/>
      <c r="G20" s="105"/>
      <c r="H20" s="106"/>
      <c r="I20" s="107" t="str">
        <f t="shared" si="2"/>
        <v/>
      </c>
      <c r="J20" s="108" t="str">
        <f t="shared" si="3"/>
        <v/>
      </c>
      <c r="K20" s="109" t="str">
        <f>IF(B20="","Pending",IF(M20="","⚠️ Enter Code",IF(IFERROR(VLOOKUP(L20,DB_Agents!$B:$I,8,0),"")=M20,"Pending","🔒 BLOCKED — Wrong Code")))</f>
        <v>Pending</v>
      </c>
      <c r="L20" s="27"/>
      <c r="M20" s="84"/>
      <c r="N20" s="94"/>
    </row>
    <row r="21" spans="1:14" x14ac:dyDescent="0.25">
      <c r="A21" s="85" t="str">
        <f t="shared" si="0"/>
        <v/>
      </c>
      <c r="B21" s="79"/>
      <c r="C21" s="21" t="str">
        <f>IF(B21="","",IFERROR(VLOOKUP(B21,DB_Customers!$A:$D,4,0),"❌ Account Not Found"))</f>
        <v/>
      </c>
      <c r="D21" s="81" t="str">
        <f t="shared" ca="1" si="1"/>
        <v/>
      </c>
      <c r="E21" s="104"/>
      <c r="F21" s="21"/>
      <c r="G21" s="110"/>
      <c r="H21" s="111"/>
      <c r="I21" s="107" t="str">
        <f t="shared" si="2"/>
        <v/>
      </c>
      <c r="J21" s="112" t="str">
        <f t="shared" si="3"/>
        <v/>
      </c>
      <c r="K21" s="113" t="str">
        <f>IF(B21="","Pending",IF(M21="","⚠️ Enter Code",IF(IFERROR(VLOOKUP(L21,DB_Agents!$B:$I,8,0),"")=M21,"Pending","🔒 BLOCKED — Wrong Code")))</f>
        <v>Pending</v>
      </c>
      <c r="L21" s="23"/>
      <c r="M21" s="84"/>
      <c r="N21" s="87"/>
    </row>
    <row r="22" spans="1:14" x14ac:dyDescent="0.25">
      <c r="A22" s="92" t="str">
        <f t="shared" si="0"/>
        <v/>
      </c>
      <c r="B22" s="88"/>
      <c r="C22" s="25" t="str">
        <f>IF(B22="","",IFERROR(VLOOKUP(B22,DB_Customers!$A:$D,4,0),"❌ Account Not Found"))</f>
        <v/>
      </c>
      <c r="D22" s="90" t="str">
        <f t="shared" ca="1" si="1"/>
        <v/>
      </c>
      <c r="E22" s="104"/>
      <c r="F22" s="25"/>
      <c r="G22" s="105"/>
      <c r="H22" s="106"/>
      <c r="I22" s="107" t="str">
        <f t="shared" si="2"/>
        <v/>
      </c>
      <c r="J22" s="108" t="str">
        <f t="shared" si="3"/>
        <v/>
      </c>
      <c r="K22" s="109" t="str">
        <f>IF(B22="","Pending",IF(M22="","⚠️ Enter Code",IF(IFERROR(VLOOKUP(L22,DB_Agents!$B:$I,8,0),"")=M22,"Pending","🔒 BLOCKED — Wrong Code")))</f>
        <v>Pending</v>
      </c>
      <c r="L22" s="27"/>
      <c r="M22" s="84"/>
      <c r="N22" s="94"/>
    </row>
    <row r="23" spans="1:14" x14ac:dyDescent="0.25">
      <c r="A23" s="85" t="str">
        <f t="shared" si="0"/>
        <v/>
      </c>
      <c r="B23" s="79"/>
      <c r="C23" s="21" t="str">
        <f>IF(B23="","",IFERROR(VLOOKUP(B23,DB_Customers!$A:$D,4,0),"❌ Account Not Found"))</f>
        <v/>
      </c>
      <c r="D23" s="81" t="str">
        <f t="shared" ca="1" si="1"/>
        <v/>
      </c>
      <c r="E23" s="104"/>
      <c r="F23" s="21"/>
      <c r="G23" s="110"/>
      <c r="H23" s="111"/>
      <c r="I23" s="107" t="str">
        <f t="shared" si="2"/>
        <v/>
      </c>
      <c r="J23" s="112" t="str">
        <f t="shared" si="3"/>
        <v/>
      </c>
      <c r="K23" s="113" t="str">
        <f>IF(B23="","Pending",IF(M23="","⚠️ Enter Code",IF(IFERROR(VLOOKUP(L23,DB_Agents!$B:$I,8,0),"")=M23,"Pending","🔒 BLOCKED — Wrong Code")))</f>
        <v>Pending</v>
      </c>
      <c r="L23" s="23"/>
      <c r="M23" s="84"/>
      <c r="N23" s="87"/>
    </row>
    <row r="24" spans="1:14" x14ac:dyDescent="0.25">
      <c r="A24" s="92" t="str">
        <f t="shared" si="0"/>
        <v/>
      </c>
      <c r="B24" s="88"/>
      <c r="C24" s="25" t="str">
        <f>IF(B24="","",IFERROR(VLOOKUP(B24,DB_Customers!$A:$D,4,0),"❌ Account Not Found"))</f>
        <v/>
      </c>
      <c r="D24" s="90" t="str">
        <f t="shared" ca="1" si="1"/>
        <v/>
      </c>
      <c r="E24" s="104"/>
      <c r="F24" s="25"/>
      <c r="G24" s="105"/>
      <c r="H24" s="106"/>
      <c r="I24" s="107" t="str">
        <f t="shared" si="2"/>
        <v/>
      </c>
      <c r="J24" s="108" t="str">
        <f t="shared" si="3"/>
        <v/>
      </c>
      <c r="K24" s="109" t="str">
        <f>IF(B24="","Pending",IF(M24="","⚠️ Enter Code",IF(IFERROR(VLOOKUP(L24,DB_Agents!$B:$I,8,0),"")=M24,"Pending","🔒 BLOCKED — Wrong Code")))</f>
        <v>Pending</v>
      </c>
      <c r="L24" s="27"/>
      <c r="M24" s="84"/>
      <c r="N24" s="94"/>
    </row>
    <row r="25" spans="1:14" x14ac:dyDescent="0.25">
      <c r="A25" s="85" t="str">
        <f t="shared" si="0"/>
        <v/>
      </c>
      <c r="B25" s="79"/>
      <c r="C25" s="21" t="str">
        <f>IF(B25="","",IFERROR(VLOOKUP(B25,DB_Customers!$A:$D,4,0),"❌ Account Not Found"))</f>
        <v/>
      </c>
      <c r="D25" s="81" t="str">
        <f t="shared" ca="1" si="1"/>
        <v/>
      </c>
      <c r="E25" s="104"/>
      <c r="F25" s="21"/>
      <c r="G25" s="110"/>
      <c r="H25" s="111"/>
      <c r="I25" s="107" t="str">
        <f t="shared" si="2"/>
        <v/>
      </c>
      <c r="J25" s="112" t="str">
        <f t="shared" si="3"/>
        <v/>
      </c>
      <c r="K25" s="113" t="str">
        <f>IF(B25="","Pending",IF(M25="","⚠️ Enter Code",IF(IFERROR(VLOOKUP(L25,DB_Agents!$B:$I,8,0),"")=M25,"Pending","🔒 BLOCKED — Wrong Code")))</f>
        <v>Pending</v>
      </c>
      <c r="L25" s="23"/>
      <c r="M25" s="84"/>
      <c r="N25" s="87"/>
    </row>
    <row r="26" spans="1:14" x14ac:dyDescent="0.25">
      <c r="A26" s="92" t="str">
        <f t="shared" si="0"/>
        <v/>
      </c>
      <c r="B26" s="88"/>
      <c r="C26" s="25" t="str">
        <f>IF(B26="","",IFERROR(VLOOKUP(B26,DB_Customers!$A:$D,4,0),"❌ Account Not Found"))</f>
        <v/>
      </c>
      <c r="D26" s="90" t="str">
        <f t="shared" ca="1" si="1"/>
        <v/>
      </c>
      <c r="E26" s="104"/>
      <c r="F26" s="25"/>
      <c r="G26" s="105"/>
      <c r="H26" s="106"/>
      <c r="I26" s="107" t="str">
        <f t="shared" si="2"/>
        <v/>
      </c>
      <c r="J26" s="108" t="str">
        <f t="shared" si="3"/>
        <v/>
      </c>
      <c r="K26" s="109" t="str">
        <f>IF(B26="","Pending",IF(M26="","⚠️ Enter Code",IF(IFERROR(VLOOKUP(L26,DB_Agents!$B:$I,8,0),"")=M26,"Pending","🔒 BLOCKED — Wrong Code")))</f>
        <v>Pending</v>
      </c>
      <c r="L26" s="27"/>
      <c r="M26" s="84"/>
      <c r="N26" s="94"/>
    </row>
    <row r="27" spans="1:14" x14ac:dyDescent="0.25">
      <c r="A27" s="85" t="str">
        <f t="shared" si="0"/>
        <v/>
      </c>
      <c r="B27" s="79"/>
      <c r="C27" s="21" t="str">
        <f>IF(B27="","",IFERROR(VLOOKUP(B27,DB_Customers!$A:$D,4,0),"❌ Account Not Found"))</f>
        <v/>
      </c>
      <c r="D27" s="81" t="str">
        <f t="shared" ca="1" si="1"/>
        <v/>
      </c>
      <c r="E27" s="104"/>
      <c r="F27" s="21"/>
      <c r="G27" s="110"/>
      <c r="H27" s="111"/>
      <c r="I27" s="107" t="str">
        <f t="shared" si="2"/>
        <v/>
      </c>
      <c r="J27" s="112" t="str">
        <f t="shared" si="3"/>
        <v/>
      </c>
      <c r="K27" s="113" t="str">
        <f>IF(B27="","Pending",IF(M27="","⚠️ Enter Code",IF(IFERROR(VLOOKUP(L27,DB_Agents!$B:$I,8,0),"")=M27,"Pending","🔒 BLOCKED — Wrong Code")))</f>
        <v>Pending</v>
      </c>
      <c r="L27" s="23"/>
      <c r="M27" s="84"/>
      <c r="N27" s="87"/>
    </row>
    <row r="28" spans="1:14" x14ac:dyDescent="0.25">
      <c r="A28" s="92" t="str">
        <f t="shared" si="0"/>
        <v/>
      </c>
      <c r="B28" s="88"/>
      <c r="C28" s="25" t="str">
        <f>IF(B28="","",IFERROR(VLOOKUP(B28,DB_Customers!$A:$D,4,0),"❌ Account Not Found"))</f>
        <v/>
      </c>
      <c r="D28" s="90" t="str">
        <f t="shared" ca="1" si="1"/>
        <v/>
      </c>
      <c r="E28" s="104"/>
      <c r="F28" s="25"/>
      <c r="G28" s="105"/>
      <c r="H28" s="106"/>
      <c r="I28" s="107" t="str">
        <f t="shared" si="2"/>
        <v/>
      </c>
      <c r="J28" s="108" t="str">
        <f t="shared" si="3"/>
        <v/>
      </c>
      <c r="K28" s="109" t="str">
        <f>IF(B28="","Pending",IF(M28="","⚠️ Enter Code",IF(IFERROR(VLOOKUP(L28,DB_Agents!$B:$I,8,0),"")=M28,"Pending","🔒 BLOCKED — Wrong Code")))</f>
        <v>Pending</v>
      </c>
      <c r="L28" s="27"/>
      <c r="M28" s="84"/>
      <c r="N28" s="94"/>
    </row>
    <row r="29" spans="1:14" x14ac:dyDescent="0.25">
      <c r="A29" s="85" t="str">
        <f t="shared" si="0"/>
        <v/>
      </c>
      <c r="B29" s="79"/>
      <c r="C29" s="21" t="str">
        <f>IF(B29="","",IFERROR(VLOOKUP(B29,DB_Customers!$A:$D,4,0),"❌ Account Not Found"))</f>
        <v/>
      </c>
      <c r="D29" s="81" t="str">
        <f t="shared" ca="1" si="1"/>
        <v/>
      </c>
      <c r="E29" s="104"/>
      <c r="F29" s="21"/>
      <c r="G29" s="110"/>
      <c r="H29" s="111"/>
      <c r="I29" s="107" t="str">
        <f t="shared" si="2"/>
        <v/>
      </c>
      <c r="J29" s="112" t="str">
        <f t="shared" si="3"/>
        <v/>
      </c>
      <c r="K29" s="113" t="str">
        <f>IF(B29="","Pending",IF(M29="","⚠️ Enter Code",IF(IFERROR(VLOOKUP(L29,DB_Agents!$B:$I,8,0),"")=M29,"Pending","🔒 BLOCKED — Wrong Code")))</f>
        <v>Pending</v>
      </c>
      <c r="L29" s="23"/>
      <c r="M29" s="84"/>
      <c r="N29" s="87"/>
    </row>
    <row r="30" spans="1:14" x14ac:dyDescent="0.25">
      <c r="A30" s="92" t="str">
        <f t="shared" si="0"/>
        <v/>
      </c>
      <c r="B30" s="88"/>
      <c r="C30" s="25" t="str">
        <f>IF(B30="","",IFERROR(VLOOKUP(B30,DB_Customers!$A:$D,4,0),"❌ Account Not Found"))</f>
        <v/>
      </c>
      <c r="D30" s="90" t="str">
        <f t="shared" ca="1" si="1"/>
        <v/>
      </c>
      <c r="E30" s="104"/>
      <c r="F30" s="25"/>
      <c r="G30" s="105"/>
      <c r="H30" s="106"/>
      <c r="I30" s="107" t="str">
        <f t="shared" si="2"/>
        <v/>
      </c>
      <c r="J30" s="108" t="str">
        <f t="shared" si="3"/>
        <v/>
      </c>
      <c r="K30" s="109" t="str">
        <f>IF(B30="","Pending",IF(M30="","⚠️ Enter Code",IF(IFERROR(VLOOKUP(L30,DB_Agents!$B:$I,8,0),"")=M30,"Pending","🔒 BLOCKED — Wrong Code")))</f>
        <v>Pending</v>
      </c>
      <c r="L30" s="27"/>
      <c r="M30" s="84"/>
      <c r="N30" s="94"/>
    </row>
    <row r="31" spans="1:14" x14ac:dyDescent="0.25">
      <c r="A31" s="85" t="str">
        <f t="shared" si="0"/>
        <v/>
      </c>
      <c r="B31" s="79"/>
      <c r="C31" s="21" t="str">
        <f>IF(B31="","",IFERROR(VLOOKUP(B31,DB_Customers!$A:$D,4,0),"❌ Account Not Found"))</f>
        <v/>
      </c>
      <c r="D31" s="81" t="str">
        <f t="shared" ca="1" si="1"/>
        <v/>
      </c>
      <c r="E31" s="104"/>
      <c r="F31" s="21"/>
      <c r="G31" s="110"/>
      <c r="H31" s="111"/>
      <c r="I31" s="107" t="str">
        <f t="shared" si="2"/>
        <v/>
      </c>
      <c r="J31" s="112" t="str">
        <f t="shared" si="3"/>
        <v/>
      </c>
      <c r="K31" s="113" t="str">
        <f>IF(B31="","Pending",IF(M31="","⚠️ Enter Code",IF(IFERROR(VLOOKUP(L31,DB_Agents!$B:$I,8,0),"")=M31,"Pending","🔒 BLOCKED — Wrong Code")))</f>
        <v>Pending</v>
      </c>
      <c r="L31" s="23"/>
      <c r="M31" s="84"/>
      <c r="N31" s="87"/>
    </row>
    <row r="32" spans="1:14" x14ac:dyDescent="0.25">
      <c r="A32" s="92" t="str">
        <f t="shared" si="0"/>
        <v/>
      </c>
      <c r="B32" s="88"/>
      <c r="C32" s="25" t="str">
        <f>IF(B32="","",IFERROR(VLOOKUP(B32,DB_Customers!$A:$D,4,0),"❌ Account Not Found"))</f>
        <v/>
      </c>
      <c r="D32" s="90" t="str">
        <f t="shared" ca="1" si="1"/>
        <v/>
      </c>
      <c r="E32" s="104"/>
      <c r="F32" s="25"/>
      <c r="G32" s="105"/>
      <c r="H32" s="106"/>
      <c r="I32" s="107" t="str">
        <f t="shared" si="2"/>
        <v/>
      </c>
      <c r="J32" s="108" t="str">
        <f t="shared" si="3"/>
        <v/>
      </c>
      <c r="K32" s="109" t="str">
        <f>IF(B32="","Pending",IF(M32="","⚠️ Enter Code",IF(IFERROR(VLOOKUP(L32,DB_Agents!$B:$I,8,0),"")=M32,"Pending","🔒 BLOCKED — Wrong Code")))</f>
        <v>Pending</v>
      </c>
      <c r="L32" s="27"/>
      <c r="M32" s="84"/>
      <c r="N32" s="94"/>
    </row>
    <row r="33" spans="1:14" x14ac:dyDescent="0.25">
      <c r="A33" s="85" t="str">
        <f t="shared" si="0"/>
        <v/>
      </c>
      <c r="B33" s="79"/>
      <c r="C33" s="21" t="str">
        <f>IF(B33="","",IFERROR(VLOOKUP(B33,DB_Customers!$A:$D,4,0),"❌ Account Not Found"))</f>
        <v/>
      </c>
      <c r="D33" s="81" t="str">
        <f t="shared" ca="1" si="1"/>
        <v/>
      </c>
      <c r="E33" s="104"/>
      <c r="F33" s="21"/>
      <c r="G33" s="110"/>
      <c r="H33" s="111"/>
      <c r="I33" s="107" t="str">
        <f t="shared" si="2"/>
        <v/>
      </c>
      <c r="J33" s="112" t="str">
        <f t="shared" si="3"/>
        <v/>
      </c>
      <c r="K33" s="113" t="str">
        <f>IF(B33="","Pending",IF(M33="","⚠️ Enter Code",IF(IFERROR(VLOOKUP(L33,DB_Agents!$B:$I,8,0),"")=M33,"Pending","🔒 BLOCKED — Wrong Code")))</f>
        <v>Pending</v>
      </c>
      <c r="L33" s="23"/>
      <c r="M33" s="84"/>
      <c r="N33" s="87"/>
    </row>
    <row r="34" spans="1:14" x14ac:dyDescent="0.25">
      <c r="A34" s="92" t="str">
        <f t="shared" si="0"/>
        <v/>
      </c>
      <c r="B34" s="88"/>
      <c r="C34" s="25" t="str">
        <f>IF(B34="","",IFERROR(VLOOKUP(B34,DB_Customers!$A:$D,4,0),"❌ Account Not Found"))</f>
        <v/>
      </c>
      <c r="D34" s="90" t="str">
        <f t="shared" ca="1" si="1"/>
        <v/>
      </c>
      <c r="E34" s="104"/>
      <c r="F34" s="25"/>
      <c r="G34" s="105"/>
      <c r="H34" s="106"/>
      <c r="I34" s="107" t="str">
        <f t="shared" si="2"/>
        <v/>
      </c>
      <c r="J34" s="108" t="str">
        <f t="shared" si="3"/>
        <v/>
      </c>
      <c r="K34" s="109" t="str">
        <f>IF(B34="","Pending",IF(M34="","⚠️ Enter Code",IF(IFERROR(VLOOKUP(L34,DB_Agents!$B:$I,8,0),"")=M34,"Pending","🔒 BLOCKED — Wrong Code")))</f>
        <v>Pending</v>
      </c>
      <c r="L34" s="27"/>
      <c r="M34" s="84"/>
      <c r="N34" s="94"/>
    </row>
    <row r="35" spans="1:14" x14ac:dyDescent="0.25">
      <c r="A35" s="85" t="str">
        <f t="shared" si="0"/>
        <v/>
      </c>
      <c r="B35" s="79"/>
      <c r="C35" s="21" t="str">
        <f>IF(B35="","",IFERROR(VLOOKUP(B35,DB_Customers!$A:$D,4,0),"❌ Account Not Found"))</f>
        <v/>
      </c>
      <c r="D35" s="81" t="str">
        <f t="shared" ca="1" si="1"/>
        <v/>
      </c>
      <c r="E35" s="104"/>
      <c r="F35" s="21"/>
      <c r="G35" s="110"/>
      <c r="H35" s="111"/>
      <c r="I35" s="107" t="str">
        <f t="shared" si="2"/>
        <v/>
      </c>
      <c r="J35" s="112" t="str">
        <f t="shared" si="3"/>
        <v/>
      </c>
      <c r="K35" s="113" t="str">
        <f>IF(B35="","Pending",IF(M35="","⚠️ Enter Code",IF(IFERROR(VLOOKUP(L35,DB_Agents!$B:$I,8,0),"")=M35,"Pending","🔒 BLOCKED — Wrong Code")))</f>
        <v>Pending</v>
      </c>
      <c r="L35" s="23"/>
      <c r="M35" s="84"/>
      <c r="N35" s="87"/>
    </row>
    <row r="36" spans="1:14" x14ac:dyDescent="0.25">
      <c r="A36" s="92" t="str">
        <f t="shared" si="0"/>
        <v/>
      </c>
      <c r="B36" s="88"/>
      <c r="C36" s="25" t="str">
        <f>IF(B36="","",IFERROR(VLOOKUP(B36,DB_Customers!$A:$D,4,0),"❌ Account Not Found"))</f>
        <v/>
      </c>
      <c r="D36" s="90" t="str">
        <f t="shared" ca="1" si="1"/>
        <v/>
      </c>
      <c r="E36" s="104"/>
      <c r="F36" s="25"/>
      <c r="G36" s="105"/>
      <c r="H36" s="106"/>
      <c r="I36" s="107" t="str">
        <f t="shared" si="2"/>
        <v/>
      </c>
      <c r="J36" s="108" t="str">
        <f t="shared" si="3"/>
        <v/>
      </c>
      <c r="K36" s="109" t="str">
        <f>IF(B36="","Pending",IF(M36="","⚠️ Enter Code",IF(IFERROR(VLOOKUP(L36,DB_Agents!$B:$I,8,0),"")=M36,"Pending","🔒 BLOCKED — Wrong Code")))</f>
        <v>Pending</v>
      </c>
      <c r="L36" s="27"/>
      <c r="M36" s="84"/>
      <c r="N36" s="94"/>
    </row>
    <row r="37" spans="1:14" x14ac:dyDescent="0.25">
      <c r="A37" s="85" t="str">
        <f t="shared" si="0"/>
        <v/>
      </c>
      <c r="B37" s="79"/>
      <c r="C37" s="21" t="str">
        <f>IF(B37="","",IFERROR(VLOOKUP(B37,DB_Customers!$A:$D,4,0),"❌ Account Not Found"))</f>
        <v/>
      </c>
      <c r="D37" s="81" t="str">
        <f t="shared" ca="1" si="1"/>
        <v/>
      </c>
      <c r="E37" s="104"/>
      <c r="F37" s="21"/>
      <c r="G37" s="110"/>
      <c r="H37" s="111"/>
      <c r="I37" s="107" t="str">
        <f t="shared" si="2"/>
        <v/>
      </c>
      <c r="J37" s="112" t="str">
        <f t="shared" si="3"/>
        <v/>
      </c>
      <c r="K37" s="113" t="str">
        <f>IF(B37="","Pending",IF(M37="","⚠️ Enter Code",IF(IFERROR(VLOOKUP(L37,DB_Agents!$B:$I,8,0),"")=M37,"Pending","🔒 BLOCKED — Wrong Code")))</f>
        <v>Pending</v>
      </c>
      <c r="L37" s="23"/>
      <c r="M37" s="84"/>
      <c r="N37" s="87"/>
    </row>
    <row r="38" spans="1:14" x14ac:dyDescent="0.25">
      <c r="A38" s="92" t="str">
        <f t="shared" si="0"/>
        <v/>
      </c>
      <c r="B38" s="88"/>
      <c r="C38" s="25" t="str">
        <f>IF(B38="","",IFERROR(VLOOKUP(B38,DB_Customers!$A:$D,4,0),"❌ Account Not Found"))</f>
        <v/>
      </c>
      <c r="D38" s="90" t="str">
        <f t="shared" ca="1" si="1"/>
        <v/>
      </c>
      <c r="E38" s="104"/>
      <c r="F38" s="25"/>
      <c r="G38" s="105"/>
      <c r="H38" s="106"/>
      <c r="I38" s="107" t="str">
        <f t="shared" si="2"/>
        <v/>
      </c>
      <c r="J38" s="108" t="str">
        <f t="shared" si="3"/>
        <v/>
      </c>
      <c r="K38" s="109" t="str">
        <f>IF(B38="","Pending",IF(M38="","⚠️ Enter Code",IF(IFERROR(VLOOKUP(L38,DB_Agents!$B:$I,8,0),"")=M38,"Pending","🔒 BLOCKED — Wrong Code")))</f>
        <v>Pending</v>
      </c>
      <c r="L38" s="27"/>
      <c r="M38" s="84"/>
      <c r="N38" s="94"/>
    </row>
    <row r="39" spans="1:14" x14ac:dyDescent="0.25">
      <c r="A39" s="85" t="str">
        <f t="shared" si="0"/>
        <v/>
      </c>
      <c r="B39" s="79"/>
      <c r="C39" s="21" t="str">
        <f>IF(B39="","",IFERROR(VLOOKUP(B39,DB_Customers!$A:$D,4,0),"❌ Account Not Found"))</f>
        <v/>
      </c>
      <c r="D39" s="81" t="str">
        <f t="shared" ca="1" si="1"/>
        <v/>
      </c>
      <c r="E39" s="104"/>
      <c r="F39" s="21"/>
      <c r="G39" s="110"/>
      <c r="H39" s="111"/>
      <c r="I39" s="107" t="str">
        <f t="shared" si="2"/>
        <v/>
      </c>
      <c r="J39" s="112" t="str">
        <f t="shared" si="3"/>
        <v/>
      </c>
      <c r="K39" s="113" t="str">
        <f>IF(B39="","Pending",IF(M39="","⚠️ Enter Code",IF(IFERROR(VLOOKUP(L39,DB_Agents!$B:$I,8,0),"")=M39,"Pending","🔒 BLOCKED — Wrong Code")))</f>
        <v>Pending</v>
      </c>
      <c r="L39" s="23"/>
      <c r="M39" s="84"/>
      <c r="N39" s="87"/>
    </row>
    <row r="40" spans="1:14" x14ac:dyDescent="0.25">
      <c r="A40" s="92" t="str">
        <f t="shared" si="0"/>
        <v/>
      </c>
      <c r="B40" s="88"/>
      <c r="C40" s="25" t="str">
        <f>IF(B40="","",IFERROR(VLOOKUP(B40,DB_Customers!$A:$D,4,0),"❌ Account Not Found"))</f>
        <v/>
      </c>
      <c r="D40" s="90" t="str">
        <f t="shared" ca="1" si="1"/>
        <v/>
      </c>
      <c r="E40" s="104"/>
      <c r="F40" s="25"/>
      <c r="G40" s="105"/>
      <c r="H40" s="106"/>
      <c r="I40" s="107" t="str">
        <f t="shared" si="2"/>
        <v/>
      </c>
      <c r="J40" s="108" t="str">
        <f t="shared" si="3"/>
        <v/>
      </c>
      <c r="K40" s="109" t="str">
        <f>IF(B40="","Pending",IF(M40="","⚠️ Enter Code",IF(IFERROR(VLOOKUP(L40,DB_Agents!$B:$I,8,0),"")=M40,"Pending","🔒 BLOCKED — Wrong Code")))</f>
        <v>Pending</v>
      </c>
      <c r="L40" s="27"/>
      <c r="M40" s="84"/>
      <c r="N40" s="94"/>
    </row>
    <row r="41" spans="1:14" x14ac:dyDescent="0.25">
      <c r="A41" s="85" t="str">
        <f t="shared" si="0"/>
        <v/>
      </c>
      <c r="B41" s="79"/>
      <c r="C41" s="21" t="str">
        <f>IF(B41="","",IFERROR(VLOOKUP(B41,DB_Customers!$A:$D,4,0),"❌ Account Not Found"))</f>
        <v/>
      </c>
      <c r="D41" s="81" t="str">
        <f t="shared" ca="1" si="1"/>
        <v/>
      </c>
      <c r="E41" s="104"/>
      <c r="F41" s="21"/>
      <c r="G41" s="110"/>
      <c r="H41" s="111"/>
      <c r="I41" s="107" t="str">
        <f t="shared" si="2"/>
        <v/>
      </c>
      <c r="J41" s="112" t="str">
        <f t="shared" si="3"/>
        <v/>
      </c>
      <c r="K41" s="113" t="str">
        <f>IF(B41="","Pending",IF(M41="","⚠️ Enter Code",IF(IFERROR(VLOOKUP(L41,DB_Agents!$B:$I,8,0),"")=M41,"Pending","🔒 BLOCKED — Wrong Code")))</f>
        <v>Pending</v>
      </c>
      <c r="L41" s="23"/>
      <c r="M41" s="84"/>
      <c r="N41" s="87"/>
    </row>
    <row r="42" spans="1:14" x14ac:dyDescent="0.25">
      <c r="A42" s="92" t="str">
        <f t="shared" si="0"/>
        <v/>
      </c>
      <c r="B42" s="88"/>
      <c r="C42" s="25" t="str">
        <f>IF(B42="","",IFERROR(VLOOKUP(B42,DB_Customers!$A:$D,4,0),"❌ Account Not Found"))</f>
        <v/>
      </c>
      <c r="D42" s="90" t="str">
        <f t="shared" ca="1" si="1"/>
        <v/>
      </c>
      <c r="E42" s="104"/>
      <c r="F42" s="25"/>
      <c r="G42" s="105"/>
      <c r="H42" s="106"/>
      <c r="I42" s="107" t="str">
        <f t="shared" si="2"/>
        <v/>
      </c>
      <c r="J42" s="108" t="str">
        <f t="shared" si="3"/>
        <v/>
      </c>
      <c r="K42" s="109" t="str">
        <f>IF(B42="","Pending",IF(M42="","⚠️ Enter Code",IF(IFERROR(VLOOKUP(L42,DB_Agents!$B:$I,8,0),"")=M42,"Pending","🔒 BLOCKED — Wrong Code")))</f>
        <v>Pending</v>
      </c>
      <c r="L42" s="27"/>
      <c r="M42" s="84"/>
      <c r="N42" s="94"/>
    </row>
    <row r="43" spans="1:14" x14ac:dyDescent="0.25">
      <c r="A43" s="85" t="str">
        <f t="shared" si="0"/>
        <v/>
      </c>
      <c r="B43" s="79"/>
      <c r="C43" s="21" t="str">
        <f>IF(B43="","",IFERROR(VLOOKUP(B43,DB_Customers!$A:$D,4,0),"❌ Account Not Found"))</f>
        <v/>
      </c>
      <c r="D43" s="81" t="str">
        <f t="shared" ca="1" si="1"/>
        <v/>
      </c>
      <c r="E43" s="104"/>
      <c r="F43" s="21"/>
      <c r="G43" s="110"/>
      <c r="H43" s="111"/>
      <c r="I43" s="107" t="str">
        <f t="shared" si="2"/>
        <v/>
      </c>
      <c r="J43" s="112" t="str">
        <f t="shared" si="3"/>
        <v/>
      </c>
      <c r="K43" s="113" t="str">
        <f>IF(B43="","Pending",IF(M43="","⚠️ Enter Code",IF(IFERROR(VLOOKUP(L43,DB_Agents!$B:$I,8,0),"")=M43,"Pending","🔒 BLOCKED — Wrong Code")))</f>
        <v>Pending</v>
      </c>
      <c r="L43" s="23"/>
      <c r="M43" s="84"/>
      <c r="N43" s="87"/>
    </row>
    <row r="44" spans="1:14" x14ac:dyDescent="0.25">
      <c r="A44" s="92" t="str">
        <f t="shared" si="0"/>
        <v/>
      </c>
      <c r="B44" s="88"/>
      <c r="C44" s="25" t="str">
        <f>IF(B44="","",IFERROR(VLOOKUP(B44,DB_Customers!$A:$D,4,0),"❌ Account Not Found"))</f>
        <v/>
      </c>
      <c r="D44" s="90" t="str">
        <f t="shared" ca="1" si="1"/>
        <v/>
      </c>
      <c r="E44" s="104"/>
      <c r="F44" s="25"/>
      <c r="G44" s="105"/>
      <c r="H44" s="106"/>
      <c r="I44" s="107" t="str">
        <f t="shared" si="2"/>
        <v/>
      </c>
      <c r="J44" s="108" t="str">
        <f t="shared" si="3"/>
        <v/>
      </c>
      <c r="K44" s="109" t="str">
        <f>IF(B44="","Pending",IF(M44="","⚠️ Enter Code",IF(IFERROR(VLOOKUP(L44,DB_Agents!$B:$I,8,0),"")=M44,"Pending","🔒 BLOCKED — Wrong Code")))</f>
        <v>Pending</v>
      </c>
      <c r="L44" s="27"/>
      <c r="M44" s="84"/>
      <c r="N44" s="94"/>
    </row>
    <row r="45" spans="1:14" x14ac:dyDescent="0.25">
      <c r="A45" s="85" t="str">
        <f t="shared" si="0"/>
        <v/>
      </c>
      <c r="B45" s="79"/>
      <c r="C45" s="21" t="str">
        <f>IF(B45="","",IFERROR(VLOOKUP(B45,DB_Customers!$A:$D,4,0),"❌ Account Not Found"))</f>
        <v/>
      </c>
      <c r="D45" s="81" t="str">
        <f t="shared" ca="1" si="1"/>
        <v/>
      </c>
      <c r="E45" s="104"/>
      <c r="F45" s="21"/>
      <c r="G45" s="110"/>
      <c r="H45" s="111"/>
      <c r="I45" s="107" t="str">
        <f t="shared" si="2"/>
        <v/>
      </c>
      <c r="J45" s="112" t="str">
        <f t="shared" si="3"/>
        <v/>
      </c>
      <c r="K45" s="113" t="str">
        <f>IF(B45="","Pending",IF(M45="","⚠️ Enter Code",IF(IFERROR(VLOOKUP(L45,DB_Agents!$B:$I,8,0),"")=M45,"Pending","🔒 BLOCKED — Wrong Code")))</f>
        <v>Pending</v>
      </c>
      <c r="L45" s="23"/>
      <c r="M45" s="84"/>
      <c r="N45" s="87"/>
    </row>
    <row r="46" spans="1:14" x14ac:dyDescent="0.25">
      <c r="A46" s="92" t="str">
        <f t="shared" ref="A46:A77" si="4">IF(B46="","",IF(C46="❌ Account Not Found","INVALID","LN"&amp;TEXT(D46,"YYYYMMDD")&amp;TEXT(ROW()-13,"0000")))</f>
        <v/>
      </c>
      <c r="B46" s="88"/>
      <c r="C46" s="25" t="str">
        <f>IF(B46="","",IFERROR(VLOOKUP(B46,DB_Customers!$A:$D,4,0),"❌ Account Not Found"))</f>
        <v/>
      </c>
      <c r="D46" s="90" t="str">
        <f t="shared" ref="D46:D77" ca="1" si="5">IF(B46="","",TODAY())</f>
        <v/>
      </c>
      <c r="E46" s="104"/>
      <c r="F46" s="25"/>
      <c r="G46" s="105"/>
      <c r="H46" s="106"/>
      <c r="I46" s="107" t="str">
        <f t="shared" ref="I46:I77" si="6">IF(E46="","",E46+(E46*H46/100*G46))</f>
        <v/>
      </c>
      <c r="J46" s="108" t="str">
        <f t="shared" ref="J46:J77" si="7">IFERROR(I46/G46,"")</f>
        <v/>
      </c>
      <c r="K46" s="109" t="str">
        <f>IF(B46="","Pending",IF(M46="","⚠️ Enter Code",IF(IFERROR(VLOOKUP(L46,DB_Agents!$B:$I,8,0),"")=M46,"Pending","🔒 BLOCKED — Wrong Code")))</f>
        <v>Pending</v>
      </c>
      <c r="L46" s="27"/>
      <c r="M46" s="84"/>
      <c r="N46" s="94"/>
    </row>
    <row r="47" spans="1:14" x14ac:dyDescent="0.25">
      <c r="A47" s="85" t="str">
        <f t="shared" si="4"/>
        <v/>
      </c>
      <c r="B47" s="79"/>
      <c r="C47" s="21" t="str">
        <f>IF(B47="","",IFERROR(VLOOKUP(B47,DB_Customers!$A:$D,4,0),"❌ Account Not Found"))</f>
        <v/>
      </c>
      <c r="D47" s="81" t="str">
        <f t="shared" ca="1" si="5"/>
        <v/>
      </c>
      <c r="E47" s="104"/>
      <c r="F47" s="21"/>
      <c r="G47" s="110"/>
      <c r="H47" s="111"/>
      <c r="I47" s="107" t="str">
        <f t="shared" si="6"/>
        <v/>
      </c>
      <c r="J47" s="112" t="str">
        <f t="shared" si="7"/>
        <v/>
      </c>
      <c r="K47" s="113" t="str">
        <f>IF(B47="","Pending",IF(M47="","⚠️ Enter Code",IF(IFERROR(VLOOKUP(L47,DB_Agents!$B:$I,8,0),"")=M47,"Pending","🔒 BLOCKED — Wrong Code")))</f>
        <v>Pending</v>
      </c>
      <c r="L47" s="23"/>
      <c r="M47" s="84"/>
      <c r="N47" s="87"/>
    </row>
    <row r="48" spans="1:14" x14ac:dyDescent="0.25">
      <c r="A48" s="92" t="str">
        <f t="shared" si="4"/>
        <v/>
      </c>
      <c r="B48" s="88"/>
      <c r="C48" s="25" t="str">
        <f>IF(B48="","",IFERROR(VLOOKUP(B48,DB_Customers!$A:$D,4,0),"❌ Account Not Found"))</f>
        <v/>
      </c>
      <c r="D48" s="90" t="str">
        <f t="shared" ca="1" si="5"/>
        <v/>
      </c>
      <c r="E48" s="104"/>
      <c r="F48" s="25"/>
      <c r="G48" s="105"/>
      <c r="H48" s="106"/>
      <c r="I48" s="107" t="str">
        <f t="shared" si="6"/>
        <v/>
      </c>
      <c r="J48" s="108" t="str">
        <f t="shared" si="7"/>
        <v/>
      </c>
      <c r="K48" s="109" t="str">
        <f>IF(B48="","Pending",IF(M48="","⚠️ Enter Code",IF(IFERROR(VLOOKUP(L48,DB_Agents!$B:$I,8,0),"")=M48,"Pending","🔒 BLOCKED — Wrong Code")))</f>
        <v>Pending</v>
      </c>
      <c r="L48" s="27"/>
      <c r="M48" s="84"/>
      <c r="N48" s="94"/>
    </row>
    <row r="49" spans="1:14" x14ac:dyDescent="0.25">
      <c r="A49" s="85" t="str">
        <f t="shared" si="4"/>
        <v/>
      </c>
      <c r="B49" s="79"/>
      <c r="C49" s="21" t="str">
        <f>IF(B49="","",IFERROR(VLOOKUP(B49,DB_Customers!$A:$D,4,0),"❌ Account Not Found"))</f>
        <v/>
      </c>
      <c r="D49" s="81" t="str">
        <f t="shared" ca="1" si="5"/>
        <v/>
      </c>
      <c r="E49" s="104"/>
      <c r="F49" s="21"/>
      <c r="G49" s="110"/>
      <c r="H49" s="111"/>
      <c r="I49" s="107" t="str">
        <f t="shared" si="6"/>
        <v/>
      </c>
      <c r="J49" s="112" t="str">
        <f t="shared" si="7"/>
        <v/>
      </c>
      <c r="K49" s="113" t="str">
        <f>IF(B49="","Pending",IF(M49="","⚠️ Enter Code",IF(IFERROR(VLOOKUP(L49,DB_Agents!$B:$I,8,0),"")=M49,"Pending","🔒 BLOCKED — Wrong Code")))</f>
        <v>Pending</v>
      </c>
      <c r="L49" s="23"/>
      <c r="M49" s="84"/>
      <c r="N49" s="87"/>
    </row>
    <row r="50" spans="1:14" x14ac:dyDescent="0.25">
      <c r="A50" s="92" t="str">
        <f t="shared" si="4"/>
        <v/>
      </c>
      <c r="B50" s="88"/>
      <c r="C50" s="25" t="str">
        <f>IF(B50="","",IFERROR(VLOOKUP(B50,DB_Customers!$A:$D,4,0),"❌ Account Not Found"))</f>
        <v/>
      </c>
      <c r="D50" s="90" t="str">
        <f t="shared" ca="1" si="5"/>
        <v/>
      </c>
      <c r="E50" s="104"/>
      <c r="F50" s="25"/>
      <c r="G50" s="105"/>
      <c r="H50" s="106"/>
      <c r="I50" s="107" t="str">
        <f t="shared" si="6"/>
        <v/>
      </c>
      <c r="J50" s="108" t="str">
        <f t="shared" si="7"/>
        <v/>
      </c>
      <c r="K50" s="109" t="str">
        <f>IF(B50="","Pending",IF(M50="","⚠️ Enter Code",IF(IFERROR(VLOOKUP(L50,DB_Agents!$B:$I,8,0),"")=M50,"Pending","🔒 BLOCKED — Wrong Code")))</f>
        <v>Pending</v>
      </c>
      <c r="L50" s="27"/>
      <c r="M50" s="84"/>
      <c r="N50" s="94"/>
    </row>
    <row r="51" spans="1:14" x14ac:dyDescent="0.25">
      <c r="A51" s="85" t="str">
        <f t="shared" si="4"/>
        <v/>
      </c>
      <c r="B51" s="79"/>
      <c r="C51" s="21" t="str">
        <f>IF(B51="","",IFERROR(VLOOKUP(B51,DB_Customers!$A:$D,4,0),"❌ Account Not Found"))</f>
        <v/>
      </c>
      <c r="D51" s="81" t="str">
        <f t="shared" ca="1" si="5"/>
        <v/>
      </c>
      <c r="E51" s="104"/>
      <c r="F51" s="21"/>
      <c r="G51" s="110"/>
      <c r="H51" s="111"/>
      <c r="I51" s="107" t="str">
        <f t="shared" si="6"/>
        <v/>
      </c>
      <c r="J51" s="112" t="str">
        <f t="shared" si="7"/>
        <v/>
      </c>
      <c r="K51" s="113" t="str">
        <f>IF(B51="","Pending",IF(M51="","⚠️ Enter Code",IF(IFERROR(VLOOKUP(L51,DB_Agents!$B:$I,8,0),"")=M51,"Pending","🔒 BLOCKED — Wrong Code")))</f>
        <v>Pending</v>
      </c>
      <c r="L51" s="23"/>
      <c r="M51" s="84"/>
      <c r="N51" s="87"/>
    </row>
    <row r="52" spans="1:14" x14ac:dyDescent="0.25">
      <c r="A52" s="92" t="str">
        <f t="shared" si="4"/>
        <v/>
      </c>
      <c r="B52" s="88"/>
      <c r="C52" s="25" t="str">
        <f>IF(B52="","",IFERROR(VLOOKUP(B52,DB_Customers!$A:$D,4,0),"❌ Account Not Found"))</f>
        <v/>
      </c>
      <c r="D52" s="90" t="str">
        <f t="shared" ca="1" si="5"/>
        <v/>
      </c>
      <c r="E52" s="104"/>
      <c r="F52" s="25"/>
      <c r="G52" s="105"/>
      <c r="H52" s="106"/>
      <c r="I52" s="107" t="str">
        <f t="shared" si="6"/>
        <v/>
      </c>
      <c r="J52" s="108" t="str">
        <f t="shared" si="7"/>
        <v/>
      </c>
      <c r="K52" s="109" t="str">
        <f>IF(B52="","Pending",IF(M52="","⚠️ Enter Code",IF(IFERROR(VLOOKUP(L52,DB_Agents!$B:$I,8,0),"")=M52,"Pending","🔒 BLOCKED — Wrong Code")))</f>
        <v>Pending</v>
      </c>
      <c r="L52" s="27"/>
      <c r="M52" s="84"/>
      <c r="N52" s="94"/>
    </row>
    <row r="53" spans="1:14" x14ac:dyDescent="0.25">
      <c r="A53" s="85" t="str">
        <f t="shared" si="4"/>
        <v/>
      </c>
      <c r="B53" s="79"/>
      <c r="C53" s="21" t="str">
        <f>IF(B53="","",IFERROR(VLOOKUP(B53,DB_Customers!$A:$D,4,0),"❌ Account Not Found"))</f>
        <v/>
      </c>
      <c r="D53" s="81" t="str">
        <f t="shared" ca="1" si="5"/>
        <v/>
      </c>
      <c r="E53" s="104"/>
      <c r="F53" s="21"/>
      <c r="G53" s="110"/>
      <c r="H53" s="111"/>
      <c r="I53" s="107" t="str">
        <f t="shared" si="6"/>
        <v/>
      </c>
      <c r="J53" s="112" t="str">
        <f t="shared" si="7"/>
        <v/>
      </c>
      <c r="K53" s="113" t="str">
        <f>IF(B53="","Pending",IF(M53="","⚠️ Enter Code",IF(IFERROR(VLOOKUP(L53,DB_Agents!$B:$I,8,0),"")=M53,"Pending","🔒 BLOCKED — Wrong Code")))</f>
        <v>Pending</v>
      </c>
      <c r="L53" s="23"/>
      <c r="M53" s="84"/>
      <c r="N53" s="87"/>
    </row>
    <row r="54" spans="1:14" x14ac:dyDescent="0.25">
      <c r="A54" s="92" t="str">
        <f t="shared" si="4"/>
        <v/>
      </c>
      <c r="B54" s="88"/>
      <c r="C54" s="25" t="str">
        <f>IF(B54="","",IFERROR(VLOOKUP(B54,DB_Customers!$A:$D,4,0),"❌ Account Not Found"))</f>
        <v/>
      </c>
      <c r="D54" s="90" t="str">
        <f t="shared" ca="1" si="5"/>
        <v/>
      </c>
      <c r="E54" s="104"/>
      <c r="F54" s="25"/>
      <c r="G54" s="105"/>
      <c r="H54" s="106"/>
      <c r="I54" s="107" t="str">
        <f t="shared" si="6"/>
        <v/>
      </c>
      <c r="J54" s="108" t="str">
        <f t="shared" si="7"/>
        <v/>
      </c>
      <c r="K54" s="109" t="str">
        <f>IF(B54="","Pending",IF(M54="","⚠️ Enter Code",IF(IFERROR(VLOOKUP(L54,DB_Agents!$B:$I,8,0),"")=M54,"Pending","🔒 BLOCKED — Wrong Code")))</f>
        <v>Pending</v>
      </c>
      <c r="L54" s="27"/>
      <c r="M54" s="84"/>
      <c r="N54" s="94"/>
    </row>
    <row r="55" spans="1:14" x14ac:dyDescent="0.25">
      <c r="A55" s="85" t="str">
        <f t="shared" si="4"/>
        <v/>
      </c>
      <c r="B55" s="79"/>
      <c r="C55" s="21" t="str">
        <f>IF(B55="","",IFERROR(VLOOKUP(B55,DB_Customers!$A:$D,4,0),"❌ Account Not Found"))</f>
        <v/>
      </c>
      <c r="D55" s="81" t="str">
        <f t="shared" ca="1" si="5"/>
        <v/>
      </c>
      <c r="E55" s="104"/>
      <c r="F55" s="21"/>
      <c r="G55" s="110"/>
      <c r="H55" s="111"/>
      <c r="I55" s="107" t="str">
        <f t="shared" si="6"/>
        <v/>
      </c>
      <c r="J55" s="112" t="str">
        <f t="shared" si="7"/>
        <v/>
      </c>
      <c r="K55" s="113" t="str">
        <f>IF(B55="","Pending",IF(M55="","⚠️ Enter Code",IF(IFERROR(VLOOKUP(L55,DB_Agents!$B:$I,8,0),"")=M55,"Pending","🔒 BLOCKED — Wrong Code")))</f>
        <v>Pending</v>
      </c>
      <c r="L55" s="23"/>
      <c r="M55" s="84"/>
      <c r="N55" s="87"/>
    </row>
    <row r="56" spans="1:14" x14ac:dyDescent="0.25">
      <c r="A56" s="92" t="str">
        <f t="shared" si="4"/>
        <v/>
      </c>
      <c r="B56" s="88"/>
      <c r="C56" s="25" t="str">
        <f>IF(B56="","",IFERROR(VLOOKUP(B56,DB_Customers!$A:$D,4,0),"❌ Account Not Found"))</f>
        <v/>
      </c>
      <c r="D56" s="90" t="str">
        <f t="shared" ca="1" si="5"/>
        <v/>
      </c>
      <c r="E56" s="104"/>
      <c r="F56" s="25"/>
      <c r="G56" s="105"/>
      <c r="H56" s="106"/>
      <c r="I56" s="107" t="str">
        <f t="shared" si="6"/>
        <v/>
      </c>
      <c r="J56" s="108" t="str">
        <f t="shared" si="7"/>
        <v/>
      </c>
      <c r="K56" s="109" t="str">
        <f>IF(B56="","Pending",IF(M56="","⚠️ Enter Code",IF(IFERROR(VLOOKUP(L56,DB_Agents!$B:$I,8,0),"")=M56,"Pending","🔒 BLOCKED — Wrong Code")))</f>
        <v>Pending</v>
      </c>
      <c r="L56" s="27"/>
      <c r="M56" s="84"/>
      <c r="N56" s="94"/>
    </row>
    <row r="57" spans="1:14" x14ac:dyDescent="0.25">
      <c r="A57" s="85" t="str">
        <f t="shared" si="4"/>
        <v/>
      </c>
      <c r="B57" s="79"/>
      <c r="C57" s="21" t="str">
        <f>IF(B57="","",IFERROR(VLOOKUP(B57,DB_Customers!$A:$D,4,0),"❌ Account Not Found"))</f>
        <v/>
      </c>
      <c r="D57" s="81" t="str">
        <f t="shared" ca="1" si="5"/>
        <v/>
      </c>
      <c r="E57" s="104"/>
      <c r="F57" s="21"/>
      <c r="G57" s="110"/>
      <c r="H57" s="111"/>
      <c r="I57" s="107" t="str">
        <f t="shared" si="6"/>
        <v/>
      </c>
      <c r="J57" s="112" t="str">
        <f t="shared" si="7"/>
        <v/>
      </c>
      <c r="K57" s="113" t="str">
        <f>IF(B57="","Pending",IF(M57="","⚠️ Enter Code",IF(IFERROR(VLOOKUP(L57,DB_Agents!$B:$I,8,0),"")=M57,"Pending","🔒 BLOCKED — Wrong Code")))</f>
        <v>Pending</v>
      </c>
      <c r="L57" s="23"/>
      <c r="M57" s="84"/>
      <c r="N57" s="87"/>
    </row>
    <row r="58" spans="1:14" x14ac:dyDescent="0.25">
      <c r="A58" s="92" t="str">
        <f t="shared" si="4"/>
        <v/>
      </c>
      <c r="B58" s="88"/>
      <c r="C58" s="25" t="str">
        <f>IF(B58="","",IFERROR(VLOOKUP(B58,DB_Customers!$A:$D,4,0),"❌ Account Not Found"))</f>
        <v/>
      </c>
      <c r="D58" s="90" t="str">
        <f t="shared" ca="1" si="5"/>
        <v/>
      </c>
      <c r="E58" s="104"/>
      <c r="F58" s="25"/>
      <c r="G58" s="105"/>
      <c r="H58" s="106"/>
      <c r="I58" s="107" t="str">
        <f t="shared" si="6"/>
        <v/>
      </c>
      <c r="J58" s="108" t="str">
        <f t="shared" si="7"/>
        <v/>
      </c>
      <c r="K58" s="109" t="str">
        <f>IF(B58="","Pending",IF(M58="","⚠️ Enter Code",IF(IFERROR(VLOOKUP(L58,DB_Agents!$B:$I,8,0),"")=M58,"Pending","🔒 BLOCKED — Wrong Code")))</f>
        <v>Pending</v>
      </c>
      <c r="L58" s="27"/>
      <c r="M58" s="84"/>
      <c r="N58" s="94"/>
    </row>
    <row r="59" spans="1:14" x14ac:dyDescent="0.25">
      <c r="A59" s="85" t="str">
        <f t="shared" si="4"/>
        <v/>
      </c>
      <c r="B59" s="79"/>
      <c r="C59" s="21" t="str">
        <f>IF(B59="","",IFERROR(VLOOKUP(B59,DB_Customers!$A:$D,4,0),"❌ Account Not Found"))</f>
        <v/>
      </c>
      <c r="D59" s="81" t="str">
        <f t="shared" ca="1" si="5"/>
        <v/>
      </c>
      <c r="E59" s="104"/>
      <c r="F59" s="21"/>
      <c r="G59" s="110"/>
      <c r="H59" s="111"/>
      <c r="I59" s="107" t="str">
        <f t="shared" si="6"/>
        <v/>
      </c>
      <c r="J59" s="112" t="str">
        <f t="shared" si="7"/>
        <v/>
      </c>
      <c r="K59" s="113" t="str">
        <f>IF(B59="","Pending",IF(M59="","⚠️ Enter Code",IF(IFERROR(VLOOKUP(L59,DB_Agents!$B:$I,8,0),"")=M59,"Pending","🔒 BLOCKED — Wrong Code")))</f>
        <v>Pending</v>
      </c>
      <c r="L59" s="23"/>
      <c r="M59" s="84"/>
      <c r="N59" s="87"/>
    </row>
    <row r="60" spans="1:14" x14ac:dyDescent="0.25">
      <c r="A60" s="92" t="str">
        <f t="shared" si="4"/>
        <v/>
      </c>
      <c r="B60" s="88"/>
      <c r="C60" s="25" t="str">
        <f>IF(B60="","",IFERROR(VLOOKUP(B60,DB_Customers!$A:$D,4,0),"❌ Account Not Found"))</f>
        <v/>
      </c>
      <c r="D60" s="90" t="str">
        <f t="shared" ca="1" si="5"/>
        <v/>
      </c>
      <c r="E60" s="104"/>
      <c r="F60" s="25"/>
      <c r="G60" s="105"/>
      <c r="H60" s="106"/>
      <c r="I60" s="107" t="str">
        <f t="shared" si="6"/>
        <v/>
      </c>
      <c r="J60" s="108" t="str">
        <f t="shared" si="7"/>
        <v/>
      </c>
      <c r="K60" s="109" t="str">
        <f>IF(B60="","Pending",IF(M60="","⚠️ Enter Code",IF(IFERROR(VLOOKUP(L60,DB_Agents!$B:$I,8,0),"")=M60,"Pending","🔒 BLOCKED — Wrong Code")))</f>
        <v>Pending</v>
      </c>
      <c r="L60" s="27"/>
      <c r="M60" s="84"/>
      <c r="N60" s="94"/>
    </row>
    <row r="61" spans="1:14" x14ac:dyDescent="0.25">
      <c r="A61" s="85" t="str">
        <f t="shared" si="4"/>
        <v/>
      </c>
      <c r="B61" s="79"/>
      <c r="C61" s="21" t="str">
        <f>IF(B61="","",IFERROR(VLOOKUP(B61,DB_Customers!$A:$D,4,0),"❌ Account Not Found"))</f>
        <v/>
      </c>
      <c r="D61" s="81" t="str">
        <f t="shared" ca="1" si="5"/>
        <v/>
      </c>
      <c r="E61" s="104"/>
      <c r="F61" s="21"/>
      <c r="G61" s="110"/>
      <c r="H61" s="111"/>
      <c r="I61" s="107" t="str">
        <f t="shared" si="6"/>
        <v/>
      </c>
      <c r="J61" s="112" t="str">
        <f t="shared" si="7"/>
        <v/>
      </c>
      <c r="K61" s="113" t="str">
        <f>IF(B61="","Pending",IF(M61="","⚠️ Enter Code",IF(IFERROR(VLOOKUP(L61,DB_Agents!$B:$I,8,0),"")=M61,"Pending","🔒 BLOCKED — Wrong Code")))</f>
        <v>Pending</v>
      </c>
      <c r="L61" s="23"/>
      <c r="M61" s="84"/>
      <c r="N61" s="87"/>
    </row>
    <row r="62" spans="1:14" x14ac:dyDescent="0.25">
      <c r="A62" s="92" t="str">
        <f t="shared" si="4"/>
        <v/>
      </c>
      <c r="B62" s="88"/>
      <c r="C62" s="25" t="str">
        <f>IF(B62="","",IFERROR(VLOOKUP(B62,DB_Customers!$A:$D,4,0),"❌ Account Not Found"))</f>
        <v/>
      </c>
      <c r="D62" s="90" t="str">
        <f t="shared" ca="1" si="5"/>
        <v/>
      </c>
      <c r="E62" s="104"/>
      <c r="F62" s="25"/>
      <c r="G62" s="105"/>
      <c r="H62" s="106"/>
      <c r="I62" s="107" t="str">
        <f t="shared" si="6"/>
        <v/>
      </c>
      <c r="J62" s="108" t="str">
        <f t="shared" si="7"/>
        <v/>
      </c>
      <c r="K62" s="109" t="str">
        <f>IF(B62="","Pending",IF(M62="","⚠️ Enter Code",IF(IFERROR(VLOOKUP(L62,DB_Agents!$B:$I,8,0),"")=M62,"Pending","🔒 BLOCKED — Wrong Code")))</f>
        <v>Pending</v>
      </c>
      <c r="L62" s="27"/>
      <c r="M62" s="84"/>
      <c r="N62" s="94"/>
    </row>
    <row r="63" spans="1:14" x14ac:dyDescent="0.25">
      <c r="A63" s="85" t="str">
        <f t="shared" si="4"/>
        <v/>
      </c>
      <c r="B63" s="79"/>
      <c r="C63" s="21" t="str">
        <f>IF(B63="","",IFERROR(VLOOKUP(B63,DB_Customers!$A:$D,4,0),"❌ Account Not Found"))</f>
        <v/>
      </c>
      <c r="D63" s="81" t="str">
        <f t="shared" ca="1" si="5"/>
        <v/>
      </c>
      <c r="E63" s="104"/>
      <c r="F63" s="21"/>
      <c r="G63" s="110"/>
      <c r="H63" s="111"/>
      <c r="I63" s="107" t="str">
        <f t="shared" si="6"/>
        <v/>
      </c>
      <c r="J63" s="112" t="str">
        <f t="shared" si="7"/>
        <v/>
      </c>
      <c r="K63" s="113" t="str">
        <f>IF(B63="","Pending",IF(M63="","⚠️ Enter Code",IF(IFERROR(VLOOKUP(L63,DB_Agents!$B:$I,8,0),"")=M63,"Pending","🔒 BLOCKED — Wrong Code")))</f>
        <v>Pending</v>
      </c>
      <c r="L63" s="23"/>
      <c r="M63" s="84"/>
      <c r="N63" s="87"/>
    </row>
    <row r="64" spans="1:14" x14ac:dyDescent="0.25">
      <c r="A64" s="92" t="str">
        <f t="shared" si="4"/>
        <v/>
      </c>
      <c r="B64" s="88"/>
      <c r="C64" s="25" t="str">
        <f>IF(B64="","",IFERROR(VLOOKUP(B64,DB_Customers!$A:$D,4,0),"❌ Account Not Found"))</f>
        <v/>
      </c>
      <c r="D64" s="90" t="str">
        <f t="shared" ca="1" si="5"/>
        <v/>
      </c>
      <c r="E64" s="104"/>
      <c r="F64" s="25"/>
      <c r="G64" s="105"/>
      <c r="H64" s="106"/>
      <c r="I64" s="107" t="str">
        <f t="shared" si="6"/>
        <v/>
      </c>
      <c r="J64" s="108" t="str">
        <f t="shared" si="7"/>
        <v/>
      </c>
      <c r="K64" s="109" t="str">
        <f>IF(B64="","Pending",IF(M64="","⚠️ Enter Code",IF(IFERROR(VLOOKUP(L64,DB_Agents!$B:$I,8,0),"")=M64,"Pending","🔒 BLOCKED — Wrong Code")))</f>
        <v>Pending</v>
      </c>
      <c r="L64" s="27"/>
      <c r="M64" s="84"/>
      <c r="N64" s="94"/>
    </row>
    <row r="65" spans="1:14" x14ac:dyDescent="0.25">
      <c r="A65" s="85" t="str">
        <f t="shared" si="4"/>
        <v/>
      </c>
      <c r="B65" s="79"/>
      <c r="C65" s="21" t="str">
        <f>IF(B65="","",IFERROR(VLOOKUP(B65,DB_Customers!$A:$D,4,0),"❌ Account Not Found"))</f>
        <v/>
      </c>
      <c r="D65" s="81" t="str">
        <f t="shared" ca="1" si="5"/>
        <v/>
      </c>
      <c r="E65" s="104"/>
      <c r="F65" s="21"/>
      <c r="G65" s="110"/>
      <c r="H65" s="111"/>
      <c r="I65" s="107" t="str">
        <f t="shared" si="6"/>
        <v/>
      </c>
      <c r="J65" s="112" t="str">
        <f t="shared" si="7"/>
        <v/>
      </c>
      <c r="K65" s="113" t="str">
        <f>IF(B65="","Pending",IF(M65="","⚠️ Enter Code",IF(IFERROR(VLOOKUP(L65,DB_Agents!$B:$I,8,0),"")=M65,"Pending","🔒 BLOCKED — Wrong Code")))</f>
        <v>Pending</v>
      </c>
      <c r="L65" s="23"/>
      <c r="M65" s="84"/>
      <c r="N65" s="87"/>
    </row>
    <row r="66" spans="1:14" x14ac:dyDescent="0.25">
      <c r="A66" s="92" t="str">
        <f t="shared" si="4"/>
        <v/>
      </c>
      <c r="B66" s="88"/>
      <c r="C66" s="25" t="str">
        <f>IF(B66="","",IFERROR(VLOOKUP(B66,DB_Customers!$A:$D,4,0),"❌ Account Not Found"))</f>
        <v/>
      </c>
      <c r="D66" s="90" t="str">
        <f t="shared" ca="1" si="5"/>
        <v/>
      </c>
      <c r="E66" s="104"/>
      <c r="F66" s="25"/>
      <c r="G66" s="105"/>
      <c r="H66" s="106"/>
      <c r="I66" s="107" t="str">
        <f t="shared" si="6"/>
        <v/>
      </c>
      <c r="J66" s="108" t="str">
        <f t="shared" si="7"/>
        <v/>
      </c>
      <c r="K66" s="109" t="str">
        <f>IF(B66="","Pending",IF(M66="","⚠️ Enter Code",IF(IFERROR(VLOOKUP(L66,DB_Agents!$B:$I,8,0),"")=M66,"Pending","🔒 BLOCKED — Wrong Code")))</f>
        <v>Pending</v>
      </c>
      <c r="L66" s="27"/>
      <c r="M66" s="84"/>
      <c r="N66" s="94"/>
    </row>
    <row r="67" spans="1:14" x14ac:dyDescent="0.25">
      <c r="A67" s="85" t="str">
        <f t="shared" si="4"/>
        <v/>
      </c>
      <c r="B67" s="79"/>
      <c r="C67" s="21" t="str">
        <f>IF(B67="","",IFERROR(VLOOKUP(B67,DB_Customers!$A:$D,4,0),"❌ Account Not Found"))</f>
        <v/>
      </c>
      <c r="D67" s="81" t="str">
        <f t="shared" ca="1" si="5"/>
        <v/>
      </c>
      <c r="E67" s="104"/>
      <c r="F67" s="21"/>
      <c r="G67" s="110"/>
      <c r="H67" s="111"/>
      <c r="I67" s="107" t="str">
        <f t="shared" si="6"/>
        <v/>
      </c>
      <c r="J67" s="112" t="str">
        <f t="shared" si="7"/>
        <v/>
      </c>
      <c r="K67" s="113" t="str">
        <f>IF(B67="","Pending",IF(M67="","⚠️ Enter Code",IF(IFERROR(VLOOKUP(L67,DB_Agents!$B:$I,8,0),"")=M67,"Pending","🔒 BLOCKED — Wrong Code")))</f>
        <v>Pending</v>
      </c>
      <c r="L67" s="23"/>
      <c r="M67" s="84"/>
      <c r="N67" s="87"/>
    </row>
    <row r="68" spans="1:14" x14ac:dyDescent="0.25">
      <c r="A68" s="92" t="str">
        <f t="shared" si="4"/>
        <v/>
      </c>
      <c r="B68" s="88"/>
      <c r="C68" s="25" t="str">
        <f>IF(B68="","",IFERROR(VLOOKUP(B68,DB_Customers!$A:$D,4,0),"❌ Account Not Found"))</f>
        <v/>
      </c>
      <c r="D68" s="90" t="str">
        <f t="shared" ca="1" si="5"/>
        <v/>
      </c>
      <c r="E68" s="104"/>
      <c r="F68" s="25"/>
      <c r="G68" s="105"/>
      <c r="H68" s="106"/>
      <c r="I68" s="107" t="str">
        <f t="shared" si="6"/>
        <v/>
      </c>
      <c r="J68" s="108" t="str">
        <f t="shared" si="7"/>
        <v/>
      </c>
      <c r="K68" s="109" t="str">
        <f>IF(B68="","Pending",IF(M68="","⚠️ Enter Code",IF(IFERROR(VLOOKUP(L68,DB_Agents!$B:$I,8,0),"")=M68,"Pending","🔒 BLOCKED — Wrong Code")))</f>
        <v>Pending</v>
      </c>
      <c r="L68" s="27"/>
      <c r="M68" s="84"/>
      <c r="N68" s="94"/>
    </row>
    <row r="69" spans="1:14" x14ac:dyDescent="0.25">
      <c r="A69" s="85" t="str">
        <f t="shared" si="4"/>
        <v/>
      </c>
      <c r="B69" s="79"/>
      <c r="C69" s="21" t="str">
        <f>IF(B69="","",IFERROR(VLOOKUP(B69,DB_Customers!$A:$D,4,0),"❌ Account Not Found"))</f>
        <v/>
      </c>
      <c r="D69" s="81" t="str">
        <f t="shared" ca="1" si="5"/>
        <v/>
      </c>
      <c r="E69" s="104"/>
      <c r="F69" s="21"/>
      <c r="G69" s="110"/>
      <c r="H69" s="111"/>
      <c r="I69" s="107" t="str">
        <f t="shared" si="6"/>
        <v/>
      </c>
      <c r="J69" s="112" t="str">
        <f t="shared" si="7"/>
        <v/>
      </c>
      <c r="K69" s="113" t="str">
        <f>IF(B69="","Pending",IF(M69="","⚠️ Enter Code",IF(IFERROR(VLOOKUP(L69,DB_Agents!$B:$I,8,0),"")=M69,"Pending","🔒 BLOCKED — Wrong Code")))</f>
        <v>Pending</v>
      </c>
      <c r="L69" s="23"/>
      <c r="M69" s="84"/>
      <c r="N69" s="87"/>
    </row>
    <row r="70" spans="1:14" x14ac:dyDescent="0.25">
      <c r="A70" s="92" t="str">
        <f t="shared" si="4"/>
        <v/>
      </c>
      <c r="B70" s="88"/>
      <c r="C70" s="25" t="str">
        <f>IF(B70="","",IFERROR(VLOOKUP(B70,DB_Customers!$A:$D,4,0),"❌ Account Not Found"))</f>
        <v/>
      </c>
      <c r="D70" s="90" t="str">
        <f t="shared" ca="1" si="5"/>
        <v/>
      </c>
      <c r="E70" s="104"/>
      <c r="F70" s="25"/>
      <c r="G70" s="105"/>
      <c r="H70" s="106"/>
      <c r="I70" s="107" t="str">
        <f t="shared" si="6"/>
        <v/>
      </c>
      <c r="J70" s="108" t="str">
        <f t="shared" si="7"/>
        <v/>
      </c>
      <c r="K70" s="109" t="str">
        <f>IF(B70="","Pending",IF(M70="","⚠️ Enter Code",IF(IFERROR(VLOOKUP(L70,DB_Agents!$B:$I,8,0),"")=M70,"Pending","🔒 BLOCKED — Wrong Code")))</f>
        <v>Pending</v>
      </c>
      <c r="L70" s="27"/>
      <c r="M70" s="84"/>
      <c r="N70" s="94"/>
    </row>
    <row r="71" spans="1:14" x14ac:dyDescent="0.25">
      <c r="A71" s="85" t="str">
        <f t="shared" si="4"/>
        <v/>
      </c>
      <c r="B71" s="79"/>
      <c r="C71" s="21" t="str">
        <f>IF(B71="","",IFERROR(VLOOKUP(B71,DB_Customers!$A:$D,4,0),"❌ Account Not Found"))</f>
        <v/>
      </c>
      <c r="D71" s="81" t="str">
        <f t="shared" ca="1" si="5"/>
        <v/>
      </c>
      <c r="E71" s="104"/>
      <c r="F71" s="21"/>
      <c r="G71" s="110"/>
      <c r="H71" s="111"/>
      <c r="I71" s="107" t="str">
        <f t="shared" si="6"/>
        <v/>
      </c>
      <c r="J71" s="112" t="str">
        <f t="shared" si="7"/>
        <v/>
      </c>
      <c r="K71" s="113" t="str">
        <f>IF(B71="","Pending",IF(M71="","⚠️ Enter Code",IF(IFERROR(VLOOKUP(L71,DB_Agents!$B:$I,8,0),"")=M71,"Pending","🔒 BLOCKED — Wrong Code")))</f>
        <v>Pending</v>
      </c>
      <c r="L71" s="23"/>
      <c r="M71" s="84"/>
      <c r="N71" s="87"/>
    </row>
    <row r="72" spans="1:14" x14ac:dyDescent="0.25">
      <c r="A72" s="92" t="str">
        <f t="shared" si="4"/>
        <v/>
      </c>
      <c r="B72" s="88"/>
      <c r="C72" s="25" t="str">
        <f>IF(B72="","",IFERROR(VLOOKUP(B72,DB_Customers!$A:$D,4,0),"❌ Account Not Found"))</f>
        <v/>
      </c>
      <c r="D72" s="90" t="str">
        <f t="shared" ca="1" si="5"/>
        <v/>
      </c>
      <c r="E72" s="104"/>
      <c r="F72" s="25"/>
      <c r="G72" s="105"/>
      <c r="H72" s="106"/>
      <c r="I72" s="107" t="str">
        <f t="shared" si="6"/>
        <v/>
      </c>
      <c r="J72" s="108" t="str">
        <f t="shared" si="7"/>
        <v/>
      </c>
      <c r="K72" s="109" t="str">
        <f>IF(B72="","Pending",IF(M72="","⚠️ Enter Code",IF(IFERROR(VLOOKUP(L72,DB_Agents!$B:$I,8,0),"")=M72,"Pending","🔒 BLOCKED — Wrong Code")))</f>
        <v>Pending</v>
      </c>
      <c r="L72" s="27"/>
      <c r="M72" s="84"/>
      <c r="N72" s="94"/>
    </row>
    <row r="73" spans="1:14" x14ac:dyDescent="0.25">
      <c r="A73" s="85" t="str">
        <f t="shared" si="4"/>
        <v/>
      </c>
      <c r="B73" s="79"/>
      <c r="C73" s="21" t="str">
        <f>IF(B73="","",IFERROR(VLOOKUP(B73,DB_Customers!$A:$D,4,0),"❌ Account Not Found"))</f>
        <v/>
      </c>
      <c r="D73" s="81" t="str">
        <f t="shared" ca="1" si="5"/>
        <v/>
      </c>
      <c r="E73" s="104"/>
      <c r="F73" s="21"/>
      <c r="G73" s="110"/>
      <c r="H73" s="111"/>
      <c r="I73" s="107" t="str">
        <f t="shared" si="6"/>
        <v/>
      </c>
      <c r="J73" s="112" t="str">
        <f t="shared" si="7"/>
        <v/>
      </c>
      <c r="K73" s="113" t="str">
        <f>IF(B73="","Pending",IF(M73="","⚠️ Enter Code",IF(IFERROR(VLOOKUP(L73,DB_Agents!$B:$I,8,0),"")=M73,"Pending","🔒 BLOCKED — Wrong Code")))</f>
        <v>Pending</v>
      </c>
      <c r="L73" s="23"/>
      <c r="M73" s="84"/>
      <c r="N73" s="87"/>
    </row>
    <row r="74" spans="1:14" x14ac:dyDescent="0.25">
      <c r="A74" s="92" t="str">
        <f t="shared" si="4"/>
        <v/>
      </c>
      <c r="B74" s="88"/>
      <c r="C74" s="25" t="str">
        <f>IF(B74="","",IFERROR(VLOOKUP(B74,DB_Customers!$A:$D,4,0),"❌ Account Not Found"))</f>
        <v/>
      </c>
      <c r="D74" s="90" t="str">
        <f t="shared" ca="1" si="5"/>
        <v/>
      </c>
      <c r="E74" s="104"/>
      <c r="F74" s="25"/>
      <c r="G74" s="105"/>
      <c r="H74" s="106"/>
      <c r="I74" s="107" t="str">
        <f t="shared" si="6"/>
        <v/>
      </c>
      <c r="J74" s="108" t="str">
        <f t="shared" si="7"/>
        <v/>
      </c>
      <c r="K74" s="109" t="str">
        <f>IF(B74="","Pending",IF(M74="","⚠️ Enter Code",IF(IFERROR(VLOOKUP(L74,DB_Agents!$B:$I,8,0),"")=M74,"Pending","🔒 BLOCKED — Wrong Code")))</f>
        <v>Pending</v>
      </c>
      <c r="L74" s="27"/>
      <c r="M74" s="84"/>
      <c r="N74" s="94"/>
    </row>
    <row r="75" spans="1:14" x14ac:dyDescent="0.25">
      <c r="A75" s="85" t="str">
        <f t="shared" si="4"/>
        <v/>
      </c>
      <c r="B75" s="79"/>
      <c r="C75" s="21" t="str">
        <f>IF(B75="","",IFERROR(VLOOKUP(B75,DB_Customers!$A:$D,4,0),"❌ Account Not Found"))</f>
        <v/>
      </c>
      <c r="D75" s="81" t="str">
        <f t="shared" ca="1" si="5"/>
        <v/>
      </c>
      <c r="E75" s="104"/>
      <c r="F75" s="21"/>
      <c r="G75" s="110"/>
      <c r="H75" s="111"/>
      <c r="I75" s="107" t="str">
        <f t="shared" si="6"/>
        <v/>
      </c>
      <c r="J75" s="112" t="str">
        <f t="shared" si="7"/>
        <v/>
      </c>
      <c r="K75" s="113" t="str">
        <f>IF(B75="","Pending",IF(M75="","⚠️ Enter Code",IF(IFERROR(VLOOKUP(L75,DB_Agents!$B:$I,8,0),"")=M75,"Pending","🔒 BLOCKED — Wrong Code")))</f>
        <v>Pending</v>
      </c>
      <c r="L75" s="23"/>
      <c r="M75" s="84"/>
      <c r="N75" s="87"/>
    </row>
    <row r="76" spans="1:14" x14ac:dyDescent="0.25">
      <c r="A76" s="92" t="str">
        <f t="shared" si="4"/>
        <v/>
      </c>
      <c r="B76" s="88"/>
      <c r="C76" s="25" t="str">
        <f>IF(B76="","",IFERROR(VLOOKUP(B76,DB_Customers!$A:$D,4,0),"❌ Account Not Found"))</f>
        <v/>
      </c>
      <c r="D76" s="90" t="str">
        <f t="shared" ca="1" si="5"/>
        <v/>
      </c>
      <c r="E76" s="104"/>
      <c r="F76" s="25"/>
      <c r="G76" s="105"/>
      <c r="H76" s="106"/>
      <c r="I76" s="107" t="str">
        <f t="shared" si="6"/>
        <v/>
      </c>
      <c r="J76" s="108" t="str">
        <f t="shared" si="7"/>
        <v/>
      </c>
      <c r="K76" s="109" t="str">
        <f>IF(B76="","Pending",IF(M76="","⚠️ Enter Code",IF(IFERROR(VLOOKUP(L76,DB_Agents!$B:$I,8,0),"")=M76,"Pending","🔒 BLOCKED — Wrong Code")))</f>
        <v>Pending</v>
      </c>
      <c r="L76" s="27"/>
      <c r="M76" s="84"/>
      <c r="N76" s="94"/>
    </row>
    <row r="77" spans="1:14" x14ac:dyDescent="0.25">
      <c r="A77" s="85" t="str">
        <f t="shared" si="4"/>
        <v/>
      </c>
      <c r="B77" s="79"/>
      <c r="C77" s="21" t="str">
        <f>IF(B77="","",IFERROR(VLOOKUP(B77,DB_Customers!$A:$D,4,0),"❌ Account Not Found"))</f>
        <v/>
      </c>
      <c r="D77" s="81" t="str">
        <f t="shared" ca="1" si="5"/>
        <v/>
      </c>
      <c r="E77" s="104"/>
      <c r="F77" s="21"/>
      <c r="G77" s="110"/>
      <c r="H77" s="111"/>
      <c r="I77" s="107" t="str">
        <f t="shared" si="6"/>
        <v/>
      </c>
      <c r="J77" s="112" t="str">
        <f t="shared" si="7"/>
        <v/>
      </c>
      <c r="K77" s="113" t="str">
        <f>IF(B77="","Pending",IF(M77="","⚠️ Enter Code",IF(IFERROR(VLOOKUP(L77,DB_Agents!$B:$I,8,0),"")=M77,"Pending","🔒 BLOCKED — Wrong Code")))</f>
        <v>Pending</v>
      </c>
      <c r="L77" s="23"/>
      <c r="M77" s="84"/>
      <c r="N77" s="87"/>
    </row>
    <row r="78" spans="1:14" x14ac:dyDescent="0.25">
      <c r="A78" s="92" t="str">
        <f t="shared" ref="A78:A109" si="8">IF(B78="","",IF(C78="❌ Account Not Found","INVALID","LN"&amp;TEXT(D78,"YYYYMMDD")&amp;TEXT(ROW()-13,"0000")))</f>
        <v/>
      </c>
      <c r="B78" s="88"/>
      <c r="C78" s="25" t="str">
        <f>IF(B78="","",IFERROR(VLOOKUP(B78,DB_Customers!$A:$D,4,0),"❌ Account Not Found"))</f>
        <v/>
      </c>
      <c r="D78" s="90" t="str">
        <f t="shared" ref="D78:D113" ca="1" si="9">IF(B78="","",TODAY())</f>
        <v/>
      </c>
      <c r="E78" s="104"/>
      <c r="F78" s="25"/>
      <c r="G78" s="105"/>
      <c r="H78" s="106"/>
      <c r="I78" s="107" t="str">
        <f t="shared" ref="I78:I109" si="10">IF(E78="","",E78+(E78*H78/100*G78))</f>
        <v/>
      </c>
      <c r="J78" s="108" t="str">
        <f t="shared" ref="J78:J109" si="11">IFERROR(I78/G78,"")</f>
        <v/>
      </c>
      <c r="K78" s="109" t="str">
        <f>IF(B78="","Pending",IF(M78="","⚠️ Enter Code",IF(IFERROR(VLOOKUP(L78,DB_Agents!$B:$I,8,0),"")=M78,"Pending","🔒 BLOCKED — Wrong Code")))</f>
        <v>Pending</v>
      </c>
      <c r="L78" s="27"/>
      <c r="M78" s="84"/>
      <c r="N78" s="94"/>
    </row>
    <row r="79" spans="1:14" x14ac:dyDescent="0.25">
      <c r="A79" s="85" t="str">
        <f t="shared" si="8"/>
        <v/>
      </c>
      <c r="B79" s="79"/>
      <c r="C79" s="21" t="str">
        <f>IF(B79="","",IFERROR(VLOOKUP(B79,DB_Customers!$A:$D,4,0),"❌ Account Not Found"))</f>
        <v/>
      </c>
      <c r="D79" s="81" t="str">
        <f t="shared" ca="1" si="9"/>
        <v/>
      </c>
      <c r="E79" s="104"/>
      <c r="F79" s="21"/>
      <c r="G79" s="110"/>
      <c r="H79" s="111"/>
      <c r="I79" s="107" t="str">
        <f t="shared" si="10"/>
        <v/>
      </c>
      <c r="J79" s="112" t="str">
        <f t="shared" si="11"/>
        <v/>
      </c>
      <c r="K79" s="113" t="str">
        <f>IF(B79="","Pending",IF(M79="","⚠️ Enter Code",IF(IFERROR(VLOOKUP(L79,DB_Agents!$B:$I,8,0),"")=M79,"Pending","🔒 BLOCKED — Wrong Code")))</f>
        <v>Pending</v>
      </c>
      <c r="L79" s="23"/>
      <c r="M79" s="84"/>
      <c r="N79" s="87"/>
    </row>
    <row r="80" spans="1:14" x14ac:dyDescent="0.25">
      <c r="A80" s="92" t="str">
        <f t="shared" si="8"/>
        <v/>
      </c>
      <c r="B80" s="88"/>
      <c r="C80" s="25" t="str">
        <f>IF(B80="","",IFERROR(VLOOKUP(B80,DB_Customers!$A:$D,4,0),"❌ Account Not Found"))</f>
        <v/>
      </c>
      <c r="D80" s="90" t="str">
        <f t="shared" ca="1" si="9"/>
        <v/>
      </c>
      <c r="E80" s="104"/>
      <c r="F80" s="25"/>
      <c r="G80" s="105"/>
      <c r="H80" s="106"/>
      <c r="I80" s="107" t="str">
        <f t="shared" si="10"/>
        <v/>
      </c>
      <c r="J80" s="108" t="str">
        <f t="shared" si="11"/>
        <v/>
      </c>
      <c r="K80" s="109" t="str">
        <f>IF(B80="","Pending",IF(M80="","⚠️ Enter Code",IF(IFERROR(VLOOKUP(L80,DB_Agents!$B:$I,8,0),"")=M80,"Pending","🔒 BLOCKED — Wrong Code")))</f>
        <v>Pending</v>
      </c>
      <c r="L80" s="27"/>
      <c r="M80" s="84"/>
      <c r="N80" s="94"/>
    </row>
    <row r="81" spans="1:14" x14ac:dyDescent="0.25">
      <c r="A81" s="85" t="str">
        <f t="shared" si="8"/>
        <v/>
      </c>
      <c r="B81" s="79"/>
      <c r="C81" s="21" t="str">
        <f>IF(B81="","",IFERROR(VLOOKUP(B81,DB_Customers!$A:$D,4,0),"❌ Account Not Found"))</f>
        <v/>
      </c>
      <c r="D81" s="81" t="str">
        <f t="shared" ca="1" si="9"/>
        <v/>
      </c>
      <c r="E81" s="104"/>
      <c r="F81" s="21"/>
      <c r="G81" s="110"/>
      <c r="H81" s="111"/>
      <c r="I81" s="107" t="str">
        <f t="shared" si="10"/>
        <v/>
      </c>
      <c r="J81" s="112" t="str">
        <f t="shared" si="11"/>
        <v/>
      </c>
      <c r="K81" s="113" t="str">
        <f>IF(B81="","Pending",IF(M81="","⚠️ Enter Code",IF(IFERROR(VLOOKUP(L81,DB_Agents!$B:$I,8,0),"")=M81,"Pending","🔒 BLOCKED — Wrong Code")))</f>
        <v>Pending</v>
      </c>
      <c r="L81" s="23"/>
      <c r="M81" s="84"/>
      <c r="N81" s="87"/>
    </row>
    <row r="82" spans="1:14" x14ac:dyDescent="0.25">
      <c r="A82" s="92" t="str">
        <f t="shared" si="8"/>
        <v/>
      </c>
      <c r="B82" s="88"/>
      <c r="C82" s="25" t="str">
        <f>IF(B82="","",IFERROR(VLOOKUP(B82,DB_Customers!$A:$D,4,0),"❌ Account Not Found"))</f>
        <v/>
      </c>
      <c r="D82" s="90" t="str">
        <f t="shared" ca="1" si="9"/>
        <v/>
      </c>
      <c r="E82" s="104"/>
      <c r="F82" s="25"/>
      <c r="G82" s="105"/>
      <c r="H82" s="106"/>
      <c r="I82" s="107" t="str">
        <f t="shared" si="10"/>
        <v/>
      </c>
      <c r="J82" s="108" t="str">
        <f t="shared" si="11"/>
        <v/>
      </c>
      <c r="K82" s="109" t="str">
        <f>IF(B82="","Pending",IF(M82="","⚠️ Enter Code",IF(IFERROR(VLOOKUP(L82,DB_Agents!$B:$I,8,0),"")=M82,"Pending","🔒 BLOCKED — Wrong Code")))</f>
        <v>Pending</v>
      </c>
      <c r="L82" s="27"/>
      <c r="M82" s="84"/>
      <c r="N82" s="94"/>
    </row>
    <row r="83" spans="1:14" x14ac:dyDescent="0.25">
      <c r="A83" s="85" t="str">
        <f t="shared" si="8"/>
        <v/>
      </c>
      <c r="B83" s="79"/>
      <c r="C83" s="21" t="str">
        <f>IF(B83="","",IFERROR(VLOOKUP(B83,DB_Customers!$A:$D,4,0),"❌ Account Not Found"))</f>
        <v/>
      </c>
      <c r="D83" s="81" t="str">
        <f t="shared" ca="1" si="9"/>
        <v/>
      </c>
      <c r="E83" s="104"/>
      <c r="F83" s="21"/>
      <c r="G83" s="110"/>
      <c r="H83" s="111"/>
      <c r="I83" s="107" t="str">
        <f t="shared" si="10"/>
        <v/>
      </c>
      <c r="J83" s="112" t="str">
        <f t="shared" si="11"/>
        <v/>
      </c>
      <c r="K83" s="113" t="str">
        <f>IF(B83="","Pending",IF(M83="","⚠️ Enter Code",IF(IFERROR(VLOOKUP(L83,DB_Agents!$B:$I,8,0),"")=M83,"Pending","🔒 BLOCKED — Wrong Code")))</f>
        <v>Pending</v>
      </c>
      <c r="L83" s="23"/>
      <c r="M83" s="84"/>
      <c r="N83" s="87"/>
    </row>
    <row r="84" spans="1:14" x14ac:dyDescent="0.25">
      <c r="A84" s="92" t="str">
        <f t="shared" si="8"/>
        <v/>
      </c>
      <c r="B84" s="88"/>
      <c r="C84" s="25" t="str">
        <f>IF(B84="","",IFERROR(VLOOKUP(B84,DB_Customers!$A:$D,4,0),"❌ Account Not Found"))</f>
        <v/>
      </c>
      <c r="D84" s="90" t="str">
        <f t="shared" ca="1" si="9"/>
        <v/>
      </c>
      <c r="E84" s="104"/>
      <c r="F84" s="25"/>
      <c r="G84" s="105"/>
      <c r="H84" s="106"/>
      <c r="I84" s="107" t="str">
        <f t="shared" si="10"/>
        <v/>
      </c>
      <c r="J84" s="108" t="str">
        <f t="shared" si="11"/>
        <v/>
      </c>
      <c r="K84" s="109" t="str">
        <f>IF(B84="","Pending",IF(M84="","⚠️ Enter Code",IF(IFERROR(VLOOKUP(L84,DB_Agents!$B:$I,8,0),"")=M84,"Pending","🔒 BLOCKED — Wrong Code")))</f>
        <v>Pending</v>
      </c>
      <c r="L84" s="27"/>
      <c r="M84" s="84"/>
      <c r="N84" s="94"/>
    </row>
    <row r="85" spans="1:14" x14ac:dyDescent="0.25">
      <c r="A85" s="85" t="str">
        <f t="shared" si="8"/>
        <v/>
      </c>
      <c r="B85" s="79"/>
      <c r="C85" s="21" t="str">
        <f>IF(B85="","",IFERROR(VLOOKUP(B85,DB_Customers!$A:$D,4,0),"❌ Account Not Found"))</f>
        <v/>
      </c>
      <c r="D85" s="81" t="str">
        <f t="shared" ca="1" si="9"/>
        <v/>
      </c>
      <c r="E85" s="104"/>
      <c r="F85" s="21"/>
      <c r="G85" s="110"/>
      <c r="H85" s="111"/>
      <c r="I85" s="107" t="str">
        <f t="shared" si="10"/>
        <v/>
      </c>
      <c r="J85" s="112" t="str">
        <f t="shared" si="11"/>
        <v/>
      </c>
      <c r="K85" s="113" t="str">
        <f>IF(B85="","Pending",IF(M85="","⚠️ Enter Code",IF(IFERROR(VLOOKUP(L85,DB_Agents!$B:$I,8,0),"")=M85,"Pending","🔒 BLOCKED — Wrong Code")))</f>
        <v>Pending</v>
      </c>
      <c r="L85" s="23"/>
      <c r="M85" s="84"/>
      <c r="N85" s="87"/>
    </row>
    <row r="86" spans="1:14" x14ac:dyDescent="0.25">
      <c r="A86" s="92" t="str">
        <f t="shared" si="8"/>
        <v/>
      </c>
      <c r="B86" s="88"/>
      <c r="C86" s="25" t="str">
        <f>IF(B86="","",IFERROR(VLOOKUP(B86,DB_Customers!$A:$D,4,0),"❌ Account Not Found"))</f>
        <v/>
      </c>
      <c r="D86" s="90" t="str">
        <f t="shared" ca="1" si="9"/>
        <v/>
      </c>
      <c r="E86" s="104"/>
      <c r="F86" s="25"/>
      <c r="G86" s="105"/>
      <c r="H86" s="106"/>
      <c r="I86" s="107" t="str">
        <f t="shared" si="10"/>
        <v/>
      </c>
      <c r="J86" s="108" t="str">
        <f t="shared" si="11"/>
        <v/>
      </c>
      <c r="K86" s="109" t="str">
        <f>IF(B86="","Pending",IF(M86="","⚠️ Enter Code",IF(IFERROR(VLOOKUP(L86,DB_Agents!$B:$I,8,0),"")=M86,"Pending","🔒 BLOCKED — Wrong Code")))</f>
        <v>Pending</v>
      </c>
      <c r="L86" s="27"/>
      <c r="M86" s="84"/>
      <c r="N86" s="94"/>
    </row>
    <row r="87" spans="1:14" x14ac:dyDescent="0.25">
      <c r="A87" s="85" t="str">
        <f t="shared" si="8"/>
        <v/>
      </c>
      <c r="B87" s="79"/>
      <c r="C87" s="21" t="str">
        <f>IF(B87="","",IFERROR(VLOOKUP(B87,DB_Customers!$A:$D,4,0),"❌ Account Not Found"))</f>
        <v/>
      </c>
      <c r="D87" s="81" t="str">
        <f t="shared" ca="1" si="9"/>
        <v/>
      </c>
      <c r="E87" s="104"/>
      <c r="F87" s="21"/>
      <c r="G87" s="110"/>
      <c r="H87" s="111"/>
      <c r="I87" s="107" t="str">
        <f t="shared" si="10"/>
        <v/>
      </c>
      <c r="J87" s="112" t="str">
        <f t="shared" si="11"/>
        <v/>
      </c>
      <c r="K87" s="113" t="str">
        <f>IF(B87="","Pending",IF(M87="","⚠️ Enter Code",IF(IFERROR(VLOOKUP(L87,DB_Agents!$B:$I,8,0),"")=M87,"Pending","🔒 BLOCKED — Wrong Code")))</f>
        <v>Pending</v>
      </c>
      <c r="L87" s="23"/>
      <c r="M87" s="84"/>
      <c r="N87" s="87"/>
    </row>
    <row r="88" spans="1:14" x14ac:dyDescent="0.25">
      <c r="A88" s="92" t="str">
        <f t="shared" si="8"/>
        <v/>
      </c>
      <c r="B88" s="88"/>
      <c r="C88" s="25" t="str">
        <f>IF(B88="","",IFERROR(VLOOKUP(B88,DB_Customers!$A:$D,4,0),"❌ Account Not Found"))</f>
        <v/>
      </c>
      <c r="D88" s="90" t="str">
        <f t="shared" ca="1" si="9"/>
        <v/>
      </c>
      <c r="E88" s="104"/>
      <c r="F88" s="25"/>
      <c r="G88" s="105"/>
      <c r="H88" s="106"/>
      <c r="I88" s="107" t="str">
        <f t="shared" si="10"/>
        <v/>
      </c>
      <c r="J88" s="108" t="str">
        <f t="shared" si="11"/>
        <v/>
      </c>
      <c r="K88" s="109" t="str">
        <f>IF(B88="","Pending",IF(M88="","⚠️ Enter Code",IF(IFERROR(VLOOKUP(L88,DB_Agents!$B:$I,8,0),"")=M88,"Pending","🔒 BLOCKED — Wrong Code")))</f>
        <v>Pending</v>
      </c>
      <c r="L88" s="27"/>
      <c r="M88" s="84"/>
      <c r="N88" s="94"/>
    </row>
    <row r="89" spans="1:14" x14ac:dyDescent="0.25">
      <c r="A89" s="85" t="str">
        <f t="shared" si="8"/>
        <v/>
      </c>
      <c r="B89" s="79"/>
      <c r="C89" s="21" t="str">
        <f>IF(B89="","",IFERROR(VLOOKUP(B89,DB_Customers!$A:$D,4,0),"❌ Account Not Found"))</f>
        <v/>
      </c>
      <c r="D89" s="81" t="str">
        <f t="shared" ca="1" si="9"/>
        <v/>
      </c>
      <c r="E89" s="104"/>
      <c r="F89" s="21"/>
      <c r="G89" s="110"/>
      <c r="H89" s="111"/>
      <c r="I89" s="107" t="str">
        <f t="shared" si="10"/>
        <v/>
      </c>
      <c r="J89" s="112" t="str">
        <f t="shared" si="11"/>
        <v/>
      </c>
      <c r="K89" s="113" t="str">
        <f>IF(B89="","Pending",IF(M89="","⚠️ Enter Code",IF(IFERROR(VLOOKUP(L89,DB_Agents!$B:$I,8,0),"")=M89,"Pending","🔒 BLOCKED — Wrong Code")))</f>
        <v>Pending</v>
      </c>
      <c r="L89" s="23"/>
      <c r="M89" s="84"/>
      <c r="N89" s="87"/>
    </row>
    <row r="90" spans="1:14" x14ac:dyDescent="0.25">
      <c r="A90" s="92" t="str">
        <f t="shared" si="8"/>
        <v/>
      </c>
      <c r="B90" s="88"/>
      <c r="C90" s="25" t="str">
        <f>IF(B90="","",IFERROR(VLOOKUP(B90,DB_Customers!$A:$D,4,0),"❌ Account Not Found"))</f>
        <v/>
      </c>
      <c r="D90" s="90" t="str">
        <f t="shared" ca="1" si="9"/>
        <v/>
      </c>
      <c r="E90" s="104"/>
      <c r="F90" s="25"/>
      <c r="G90" s="105"/>
      <c r="H90" s="106"/>
      <c r="I90" s="107" t="str">
        <f t="shared" si="10"/>
        <v/>
      </c>
      <c r="J90" s="108" t="str">
        <f t="shared" si="11"/>
        <v/>
      </c>
      <c r="K90" s="109" t="str">
        <f>IF(B90="","Pending",IF(M90="","⚠️ Enter Code",IF(IFERROR(VLOOKUP(L90,DB_Agents!$B:$I,8,0),"")=M90,"Pending","🔒 BLOCKED — Wrong Code")))</f>
        <v>Pending</v>
      </c>
      <c r="L90" s="27"/>
      <c r="M90" s="84"/>
      <c r="N90" s="94"/>
    </row>
    <row r="91" spans="1:14" x14ac:dyDescent="0.25">
      <c r="A91" s="85" t="str">
        <f t="shared" si="8"/>
        <v/>
      </c>
      <c r="B91" s="79"/>
      <c r="C91" s="21" t="str">
        <f>IF(B91="","",IFERROR(VLOOKUP(B91,DB_Customers!$A:$D,4,0),"❌ Account Not Found"))</f>
        <v/>
      </c>
      <c r="D91" s="81" t="str">
        <f t="shared" ca="1" si="9"/>
        <v/>
      </c>
      <c r="E91" s="104"/>
      <c r="F91" s="21"/>
      <c r="G91" s="110"/>
      <c r="H91" s="111"/>
      <c r="I91" s="107" t="str">
        <f t="shared" si="10"/>
        <v/>
      </c>
      <c r="J91" s="112" t="str">
        <f t="shared" si="11"/>
        <v/>
      </c>
      <c r="K91" s="113" t="str">
        <f>IF(B91="","Pending",IF(M91="","⚠️ Enter Code",IF(IFERROR(VLOOKUP(L91,DB_Agents!$B:$I,8,0),"")=M91,"Pending","🔒 BLOCKED — Wrong Code")))</f>
        <v>Pending</v>
      </c>
      <c r="L91" s="23"/>
      <c r="M91" s="84"/>
      <c r="N91" s="87"/>
    </row>
    <row r="92" spans="1:14" x14ac:dyDescent="0.25">
      <c r="A92" s="92" t="str">
        <f t="shared" si="8"/>
        <v/>
      </c>
      <c r="B92" s="88"/>
      <c r="C92" s="25" t="str">
        <f>IF(B92="","",IFERROR(VLOOKUP(B92,DB_Customers!$A:$D,4,0),"❌ Account Not Found"))</f>
        <v/>
      </c>
      <c r="D92" s="90" t="str">
        <f t="shared" ca="1" si="9"/>
        <v/>
      </c>
      <c r="E92" s="104"/>
      <c r="F92" s="25"/>
      <c r="G92" s="105"/>
      <c r="H92" s="106"/>
      <c r="I92" s="107" t="str">
        <f t="shared" si="10"/>
        <v/>
      </c>
      <c r="J92" s="108" t="str">
        <f t="shared" si="11"/>
        <v/>
      </c>
      <c r="K92" s="109" t="str">
        <f>IF(B92="","Pending",IF(M92="","⚠️ Enter Code",IF(IFERROR(VLOOKUP(L92,DB_Agents!$B:$I,8,0),"")=M92,"Pending","🔒 BLOCKED — Wrong Code")))</f>
        <v>Pending</v>
      </c>
      <c r="L92" s="27"/>
      <c r="M92" s="84"/>
      <c r="N92" s="94"/>
    </row>
    <row r="93" spans="1:14" x14ac:dyDescent="0.25">
      <c r="A93" s="85" t="str">
        <f t="shared" si="8"/>
        <v/>
      </c>
      <c r="B93" s="79"/>
      <c r="C93" s="21" t="str">
        <f>IF(B93="","",IFERROR(VLOOKUP(B93,DB_Customers!$A:$D,4,0),"❌ Account Not Found"))</f>
        <v/>
      </c>
      <c r="D93" s="81" t="str">
        <f t="shared" ca="1" si="9"/>
        <v/>
      </c>
      <c r="E93" s="104"/>
      <c r="F93" s="21"/>
      <c r="G93" s="110"/>
      <c r="H93" s="111"/>
      <c r="I93" s="107" t="str">
        <f t="shared" si="10"/>
        <v/>
      </c>
      <c r="J93" s="112" t="str">
        <f t="shared" si="11"/>
        <v/>
      </c>
      <c r="K93" s="113" t="str">
        <f>IF(B93="","Pending",IF(M93="","⚠️ Enter Code",IF(IFERROR(VLOOKUP(L93,DB_Agents!$B:$I,8,0),"")=M93,"Pending","🔒 BLOCKED — Wrong Code")))</f>
        <v>Pending</v>
      </c>
      <c r="L93" s="23"/>
      <c r="M93" s="84"/>
      <c r="N93" s="87"/>
    </row>
    <row r="94" spans="1:14" x14ac:dyDescent="0.25">
      <c r="A94" s="92" t="str">
        <f t="shared" si="8"/>
        <v/>
      </c>
      <c r="B94" s="88"/>
      <c r="C94" s="25" t="str">
        <f>IF(B94="","",IFERROR(VLOOKUP(B94,DB_Customers!$A:$D,4,0),"❌ Account Not Found"))</f>
        <v/>
      </c>
      <c r="D94" s="90" t="str">
        <f t="shared" ca="1" si="9"/>
        <v/>
      </c>
      <c r="E94" s="104"/>
      <c r="F94" s="25"/>
      <c r="G94" s="105"/>
      <c r="H94" s="106"/>
      <c r="I94" s="107" t="str">
        <f t="shared" si="10"/>
        <v/>
      </c>
      <c r="J94" s="108" t="str">
        <f t="shared" si="11"/>
        <v/>
      </c>
      <c r="K94" s="109" t="str">
        <f>IF(B94="","Pending",IF(M94="","⚠️ Enter Code",IF(IFERROR(VLOOKUP(L94,DB_Agents!$B:$I,8,0),"")=M94,"Pending","🔒 BLOCKED — Wrong Code")))</f>
        <v>Pending</v>
      </c>
      <c r="L94" s="27"/>
      <c r="M94" s="84"/>
      <c r="N94" s="94"/>
    </row>
    <row r="95" spans="1:14" x14ac:dyDescent="0.25">
      <c r="A95" s="85" t="str">
        <f t="shared" si="8"/>
        <v/>
      </c>
      <c r="B95" s="79"/>
      <c r="C95" s="21" t="str">
        <f>IF(B95="","",IFERROR(VLOOKUP(B95,DB_Customers!$A:$D,4,0),"❌ Account Not Found"))</f>
        <v/>
      </c>
      <c r="D95" s="81" t="str">
        <f t="shared" ca="1" si="9"/>
        <v/>
      </c>
      <c r="E95" s="104"/>
      <c r="F95" s="21"/>
      <c r="G95" s="110"/>
      <c r="H95" s="111"/>
      <c r="I95" s="107" t="str">
        <f t="shared" si="10"/>
        <v/>
      </c>
      <c r="J95" s="112" t="str">
        <f t="shared" si="11"/>
        <v/>
      </c>
      <c r="K95" s="113" t="str">
        <f>IF(B95="","Pending",IF(M95="","⚠️ Enter Code",IF(IFERROR(VLOOKUP(L95,DB_Agents!$B:$I,8,0),"")=M95,"Pending","🔒 BLOCKED — Wrong Code")))</f>
        <v>Pending</v>
      </c>
      <c r="L95" s="23"/>
      <c r="M95" s="84"/>
      <c r="N95" s="87"/>
    </row>
    <row r="96" spans="1:14" x14ac:dyDescent="0.25">
      <c r="A96" s="92" t="str">
        <f t="shared" si="8"/>
        <v/>
      </c>
      <c r="B96" s="88"/>
      <c r="C96" s="25" t="str">
        <f>IF(B96="","",IFERROR(VLOOKUP(B96,DB_Customers!$A:$D,4,0),"❌ Account Not Found"))</f>
        <v/>
      </c>
      <c r="D96" s="90" t="str">
        <f t="shared" ca="1" si="9"/>
        <v/>
      </c>
      <c r="E96" s="104"/>
      <c r="F96" s="25"/>
      <c r="G96" s="105"/>
      <c r="H96" s="106"/>
      <c r="I96" s="107" t="str">
        <f t="shared" si="10"/>
        <v/>
      </c>
      <c r="J96" s="108" t="str">
        <f t="shared" si="11"/>
        <v/>
      </c>
      <c r="K96" s="109" t="str">
        <f>IF(B96="","Pending",IF(M96="","⚠️ Enter Code",IF(IFERROR(VLOOKUP(L96,DB_Agents!$B:$I,8,0),"")=M96,"Pending","🔒 BLOCKED — Wrong Code")))</f>
        <v>Pending</v>
      </c>
      <c r="L96" s="27"/>
      <c r="M96" s="84"/>
      <c r="N96" s="94"/>
    </row>
    <row r="97" spans="1:14" x14ac:dyDescent="0.25">
      <c r="A97" s="85" t="str">
        <f t="shared" si="8"/>
        <v/>
      </c>
      <c r="B97" s="79"/>
      <c r="C97" s="21" t="str">
        <f>IF(B97="","",IFERROR(VLOOKUP(B97,DB_Customers!$A:$D,4,0),"❌ Account Not Found"))</f>
        <v/>
      </c>
      <c r="D97" s="81" t="str">
        <f t="shared" ca="1" si="9"/>
        <v/>
      </c>
      <c r="E97" s="104"/>
      <c r="F97" s="21"/>
      <c r="G97" s="110"/>
      <c r="H97" s="111"/>
      <c r="I97" s="107" t="str">
        <f t="shared" si="10"/>
        <v/>
      </c>
      <c r="J97" s="112" t="str">
        <f t="shared" si="11"/>
        <v/>
      </c>
      <c r="K97" s="113" t="str">
        <f>IF(B97="","Pending",IF(M97="","⚠️ Enter Code",IF(IFERROR(VLOOKUP(L97,DB_Agents!$B:$I,8,0),"")=M97,"Pending","🔒 BLOCKED — Wrong Code")))</f>
        <v>Pending</v>
      </c>
      <c r="L97" s="23"/>
      <c r="M97" s="84"/>
      <c r="N97" s="87"/>
    </row>
    <row r="98" spans="1:14" x14ac:dyDescent="0.25">
      <c r="A98" s="92" t="str">
        <f t="shared" si="8"/>
        <v/>
      </c>
      <c r="B98" s="88"/>
      <c r="C98" s="25" t="str">
        <f>IF(B98="","",IFERROR(VLOOKUP(B98,DB_Customers!$A:$D,4,0),"❌ Account Not Found"))</f>
        <v/>
      </c>
      <c r="D98" s="90" t="str">
        <f t="shared" ca="1" si="9"/>
        <v/>
      </c>
      <c r="E98" s="104"/>
      <c r="F98" s="25"/>
      <c r="G98" s="105"/>
      <c r="H98" s="106"/>
      <c r="I98" s="107" t="str">
        <f t="shared" si="10"/>
        <v/>
      </c>
      <c r="J98" s="108" t="str">
        <f t="shared" si="11"/>
        <v/>
      </c>
      <c r="K98" s="109" t="str">
        <f>IF(B98="","Pending",IF(M98="","⚠️ Enter Code",IF(IFERROR(VLOOKUP(L98,DB_Agents!$B:$I,8,0),"")=M98,"Pending","🔒 BLOCKED — Wrong Code")))</f>
        <v>Pending</v>
      </c>
      <c r="L98" s="27"/>
      <c r="M98" s="84"/>
      <c r="N98" s="94"/>
    </row>
    <row r="99" spans="1:14" x14ac:dyDescent="0.25">
      <c r="A99" s="85" t="str">
        <f t="shared" si="8"/>
        <v/>
      </c>
      <c r="B99" s="79"/>
      <c r="C99" s="21" t="str">
        <f>IF(B99="","",IFERROR(VLOOKUP(B99,DB_Customers!$A:$D,4,0),"❌ Account Not Found"))</f>
        <v/>
      </c>
      <c r="D99" s="81" t="str">
        <f t="shared" ca="1" si="9"/>
        <v/>
      </c>
      <c r="E99" s="104"/>
      <c r="F99" s="21"/>
      <c r="G99" s="110"/>
      <c r="H99" s="111"/>
      <c r="I99" s="107" t="str">
        <f t="shared" si="10"/>
        <v/>
      </c>
      <c r="J99" s="112" t="str">
        <f t="shared" si="11"/>
        <v/>
      </c>
      <c r="K99" s="113" t="str">
        <f>IF(B99="","Pending",IF(M99="","⚠️ Enter Code",IF(IFERROR(VLOOKUP(L99,DB_Agents!$B:$I,8,0),"")=M99,"Pending","🔒 BLOCKED — Wrong Code")))</f>
        <v>Pending</v>
      </c>
      <c r="L99" s="23"/>
      <c r="M99" s="84"/>
      <c r="N99" s="87"/>
    </row>
    <row r="100" spans="1:14" x14ac:dyDescent="0.25">
      <c r="A100" s="92" t="str">
        <f t="shared" si="8"/>
        <v/>
      </c>
      <c r="B100" s="88"/>
      <c r="C100" s="25" t="str">
        <f>IF(B100="","",IFERROR(VLOOKUP(B100,DB_Customers!$A:$D,4,0),"❌ Account Not Found"))</f>
        <v/>
      </c>
      <c r="D100" s="90" t="str">
        <f t="shared" ca="1" si="9"/>
        <v/>
      </c>
      <c r="E100" s="104"/>
      <c r="F100" s="25"/>
      <c r="G100" s="105"/>
      <c r="H100" s="106"/>
      <c r="I100" s="107" t="str">
        <f t="shared" si="10"/>
        <v/>
      </c>
      <c r="J100" s="108" t="str">
        <f t="shared" si="11"/>
        <v/>
      </c>
      <c r="K100" s="109" t="str">
        <f>IF(B100="","Pending",IF(M100="","⚠️ Enter Code",IF(IFERROR(VLOOKUP(L100,DB_Agents!$B:$I,8,0),"")=M100,"Pending","🔒 BLOCKED — Wrong Code")))</f>
        <v>Pending</v>
      </c>
      <c r="L100" s="27"/>
      <c r="M100" s="84"/>
      <c r="N100" s="94"/>
    </row>
    <row r="101" spans="1:14" x14ac:dyDescent="0.25">
      <c r="A101" s="85" t="str">
        <f t="shared" si="8"/>
        <v/>
      </c>
      <c r="B101" s="79"/>
      <c r="C101" s="21" t="str">
        <f>IF(B101="","",IFERROR(VLOOKUP(B101,DB_Customers!$A:$D,4,0),"❌ Account Not Found"))</f>
        <v/>
      </c>
      <c r="D101" s="81" t="str">
        <f t="shared" ca="1" si="9"/>
        <v/>
      </c>
      <c r="E101" s="104"/>
      <c r="F101" s="21"/>
      <c r="G101" s="110"/>
      <c r="H101" s="111"/>
      <c r="I101" s="107" t="str">
        <f t="shared" si="10"/>
        <v/>
      </c>
      <c r="J101" s="112" t="str">
        <f t="shared" si="11"/>
        <v/>
      </c>
      <c r="K101" s="113" t="str">
        <f>IF(B101="","Pending",IF(M101="","⚠️ Enter Code",IF(IFERROR(VLOOKUP(L101,DB_Agents!$B:$I,8,0),"")=M101,"Pending","🔒 BLOCKED — Wrong Code")))</f>
        <v>Pending</v>
      </c>
      <c r="L101" s="23"/>
      <c r="M101" s="84"/>
      <c r="N101" s="87"/>
    </row>
    <row r="102" spans="1:14" x14ac:dyDescent="0.25">
      <c r="A102" s="92" t="str">
        <f t="shared" si="8"/>
        <v/>
      </c>
      <c r="B102" s="88"/>
      <c r="C102" s="25" t="str">
        <f>IF(B102="","",IFERROR(VLOOKUP(B102,DB_Customers!$A:$D,4,0),"❌ Account Not Found"))</f>
        <v/>
      </c>
      <c r="D102" s="90" t="str">
        <f t="shared" ca="1" si="9"/>
        <v/>
      </c>
      <c r="E102" s="104"/>
      <c r="F102" s="25"/>
      <c r="G102" s="105"/>
      <c r="H102" s="106"/>
      <c r="I102" s="107" t="str">
        <f t="shared" si="10"/>
        <v/>
      </c>
      <c r="J102" s="108" t="str">
        <f t="shared" si="11"/>
        <v/>
      </c>
      <c r="K102" s="109" t="str">
        <f>IF(B102="","Pending",IF(M102="","⚠️ Enter Code",IF(IFERROR(VLOOKUP(L102,DB_Agents!$B:$I,8,0),"")=M102,"Pending","🔒 BLOCKED — Wrong Code")))</f>
        <v>Pending</v>
      </c>
      <c r="L102" s="27"/>
      <c r="M102" s="84"/>
      <c r="N102" s="94"/>
    </row>
    <row r="103" spans="1:14" x14ac:dyDescent="0.25">
      <c r="A103" s="85" t="str">
        <f t="shared" si="8"/>
        <v/>
      </c>
      <c r="B103" s="79"/>
      <c r="C103" s="21" t="str">
        <f>IF(B103="","",IFERROR(VLOOKUP(B103,DB_Customers!$A:$D,4,0),"❌ Account Not Found"))</f>
        <v/>
      </c>
      <c r="D103" s="81" t="str">
        <f t="shared" ca="1" si="9"/>
        <v/>
      </c>
      <c r="E103" s="104"/>
      <c r="F103" s="21"/>
      <c r="G103" s="110"/>
      <c r="H103" s="111"/>
      <c r="I103" s="107" t="str">
        <f t="shared" si="10"/>
        <v/>
      </c>
      <c r="J103" s="112" t="str">
        <f t="shared" si="11"/>
        <v/>
      </c>
      <c r="K103" s="113" t="str">
        <f>IF(B103="","Pending",IF(M103="","⚠️ Enter Code",IF(IFERROR(VLOOKUP(L103,DB_Agents!$B:$I,8,0),"")=M103,"Pending","🔒 BLOCKED — Wrong Code")))</f>
        <v>Pending</v>
      </c>
      <c r="L103" s="23"/>
      <c r="M103" s="84"/>
      <c r="N103" s="87"/>
    </row>
    <row r="104" spans="1:14" x14ac:dyDescent="0.25">
      <c r="A104" s="92" t="str">
        <f t="shared" si="8"/>
        <v/>
      </c>
      <c r="B104" s="88"/>
      <c r="C104" s="25" t="str">
        <f>IF(B104="","",IFERROR(VLOOKUP(B104,DB_Customers!$A:$D,4,0),"❌ Account Not Found"))</f>
        <v/>
      </c>
      <c r="D104" s="90" t="str">
        <f t="shared" ca="1" si="9"/>
        <v/>
      </c>
      <c r="E104" s="104"/>
      <c r="F104" s="25"/>
      <c r="G104" s="105"/>
      <c r="H104" s="106"/>
      <c r="I104" s="107" t="str">
        <f t="shared" si="10"/>
        <v/>
      </c>
      <c r="J104" s="108" t="str">
        <f t="shared" si="11"/>
        <v/>
      </c>
      <c r="K104" s="109" t="str">
        <f>IF(B104="","Pending",IF(M104="","⚠️ Enter Code",IF(IFERROR(VLOOKUP(L104,DB_Agents!$B:$I,8,0),"")=M104,"Pending","🔒 BLOCKED — Wrong Code")))</f>
        <v>Pending</v>
      </c>
      <c r="L104" s="27"/>
      <c r="M104" s="84"/>
      <c r="N104" s="94"/>
    </row>
    <row r="105" spans="1:14" x14ac:dyDescent="0.25">
      <c r="A105" s="85" t="str">
        <f t="shared" si="8"/>
        <v/>
      </c>
      <c r="B105" s="79"/>
      <c r="C105" s="21" t="str">
        <f>IF(B105="","",IFERROR(VLOOKUP(B105,DB_Customers!$A:$D,4,0),"❌ Account Not Found"))</f>
        <v/>
      </c>
      <c r="D105" s="81" t="str">
        <f t="shared" ca="1" si="9"/>
        <v/>
      </c>
      <c r="E105" s="104"/>
      <c r="F105" s="21"/>
      <c r="G105" s="110"/>
      <c r="H105" s="111"/>
      <c r="I105" s="107" t="str">
        <f t="shared" si="10"/>
        <v/>
      </c>
      <c r="J105" s="112" t="str">
        <f t="shared" si="11"/>
        <v/>
      </c>
      <c r="K105" s="113" t="str">
        <f>IF(B105="","Pending",IF(M105="","⚠️ Enter Code",IF(IFERROR(VLOOKUP(L105,DB_Agents!$B:$I,8,0),"")=M105,"Pending","🔒 BLOCKED — Wrong Code")))</f>
        <v>Pending</v>
      </c>
      <c r="L105" s="23"/>
      <c r="M105" s="84"/>
      <c r="N105" s="87"/>
    </row>
    <row r="106" spans="1:14" x14ac:dyDescent="0.25">
      <c r="A106" s="92" t="str">
        <f t="shared" si="8"/>
        <v/>
      </c>
      <c r="B106" s="88"/>
      <c r="C106" s="25" t="str">
        <f>IF(B106="","",IFERROR(VLOOKUP(B106,DB_Customers!$A:$D,4,0),"❌ Account Not Found"))</f>
        <v/>
      </c>
      <c r="D106" s="90" t="str">
        <f t="shared" ca="1" si="9"/>
        <v/>
      </c>
      <c r="E106" s="104"/>
      <c r="F106" s="25"/>
      <c r="G106" s="105"/>
      <c r="H106" s="106"/>
      <c r="I106" s="107" t="str">
        <f t="shared" si="10"/>
        <v/>
      </c>
      <c r="J106" s="108" t="str">
        <f t="shared" si="11"/>
        <v/>
      </c>
      <c r="K106" s="109" t="str">
        <f>IF(B106="","Pending",IF(M106="","⚠️ Enter Code",IF(IFERROR(VLOOKUP(L106,DB_Agents!$B:$I,8,0),"")=M106,"Pending","🔒 BLOCKED — Wrong Code")))</f>
        <v>Pending</v>
      </c>
      <c r="L106" s="27"/>
      <c r="M106" s="84"/>
      <c r="N106" s="94"/>
    </row>
    <row r="107" spans="1:14" x14ac:dyDescent="0.25">
      <c r="A107" s="85" t="str">
        <f t="shared" si="8"/>
        <v/>
      </c>
      <c r="B107" s="79"/>
      <c r="C107" s="21" t="str">
        <f>IF(B107="","",IFERROR(VLOOKUP(B107,DB_Customers!$A:$D,4,0),"❌ Account Not Found"))</f>
        <v/>
      </c>
      <c r="D107" s="81" t="str">
        <f t="shared" ca="1" si="9"/>
        <v/>
      </c>
      <c r="E107" s="104"/>
      <c r="F107" s="21"/>
      <c r="G107" s="110"/>
      <c r="H107" s="111"/>
      <c r="I107" s="107" t="str">
        <f t="shared" si="10"/>
        <v/>
      </c>
      <c r="J107" s="112" t="str">
        <f t="shared" si="11"/>
        <v/>
      </c>
      <c r="K107" s="113" t="str">
        <f>IF(B107="","Pending",IF(M107="","⚠️ Enter Code",IF(IFERROR(VLOOKUP(L107,DB_Agents!$B:$I,8,0),"")=M107,"Pending","🔒 BLOCKED — Wrong Code")))</f>
        <v>Pending</v>
      </c>
      <c r="L107" s="23"/>
      <c r="M107" s="84"/>
      <c r="N107" s="87"/>
    </row>
    <row r="108" spans="1:14" x14ac:dyDescent="0.25">
      <c r="A108" s="92" t="str">
        <f t="shared" si="8"/>
        <v/>
      </c>
      <c r="B108" s="88"/>
      <c r="C108" s="25" t="str">
        <f>IF(B108="","",IFERROR(VLOOKUP(B108,DB_Customers!$A:$D,4,0),"❌ Account Not Found"))</f>
        <v/>
      </c>
      <c r="D108" s="90" t="str">
        <f t="shared" ca="1" si="9"/>
        <v/>
      </c>
      <c r="E108" s="104"/>
      <c r="F108" s="25"/>
      <c r="G108" s="105"/>
      <c r="H108" s="106"/>
      <c r="I108" s="107" t="str">
        <f t="shared" si="10"/>
        <v/>
      </c>
      <c r="J108" s="108" t="str">
        <f t="shared" si="11"/>
        <v/>
      </c>
      <c r="K108" s="109" t="str">
        <f>IF(B108="","Pending",IF(M108="","⚠️ Enter Code",IF(IFERROR(VLOOKUP(L108,DB_Agents!$B:$I,8,0),"")=M108,"Pending","🔒 BLOCKED — Wrong Code")))</f>
        <v>Pending</v>
      </c>
      <c r="L108" s="27"/>
      <c r="M108" s="84"/>
      <c r="N108" s="94"/>
    </row>
    <row r="109" spans="1:14" x14ac:dyDescent="0.25">
      <c r="A109" s="85" t="str">
        <f t="shared" si="8"/>
        <v/>
      </c>
      <c r="B109" s="79"/>
      <c r="C109" s="21" t="str">
        <f>IF(B109="","",IFERROR(VLOOKUP(B109,DB_Customers!$A:$D,4,0),"❌ Account Not Found"))</f>
        <v/>
      </c>
      <c r="D109" s="81" t="str">
        <f t="shared" ca="1" si="9"/>
        <v/>
      </c>
      <c r="E109" s="104"/>
      <c r="F109" s="21"/>
      <c r="G109" s="110"/>
      <c r="H109" s="111"/>
      <c r="I109" s="107" t="str">
        <f t="shared" si="10"/>
        <v/>
      </c>
      <c r="J109" s="112" t="str">
        <f t="shared" si="11"/>
        <v/>
      </c>
      <c r="K109" s="113" t="str">
        <f>IF(B109="","Pending",IF(M109="","⚠️ Enter Code",IF(IFERROR(VLOOKUP(L109,DB_Agents!$B:$I,8,0),"")=M109,"Pending","🔒 BLOCKED — Wrong Code")))</f>
        <v>Pending</v>
      </c>
      <c r="L109" s="23"/>
      <c r="M109" s="84"/>
      <c r="N109" s="87"/>
    </row>
    <row r="110" spans="1:14" x14ac:dyDescent="0.25">
      <c r="A110" s="92" t="str">
        <f t="shared" ref="A110:A141" si="12">IF(B110="","",IF(C110="❌ Account Not Found","INVALID","LN"&amp;TEXT(D110,"YYYYMMDD")&amp;TEXT(ROW()-13,"0000")))</f>
        <v/>
      </c>
      <c r="B110" s="88"/>
      <c r="C110" s="25" t="str">
        <f>IF(B110="","",IFERROR(VLOOKUP(B110,DB_Customers!$A:$D,4,0),"❌ Account Not Found"))</f>
        <v/>
      </c>
      <c r="D110" s="90" t="str">
        <f t="shared" ca="1" si="9"/>
        <v/>
      </c>
      <c r="E110" s="104"/>
      <c r="F110" s="25"/>
      <c r="G110" s="105"/>
      <c r="H110" s="106"/>
      <c r="I110" s="107" t="str">
        <f t="shared" ref="I110:I141" si="13">IF(E110="","",E110+(E110*H110/100*G110))</f>
        <v/>
      </c>
      <c r="J110" s="108" t="str">
        <f t="shared" ref="J110:J141" si="14">IFERROR(I110/G110,"")</f>
        <v/>
      </c>
      <c r="K110" s="109" t="str">
        <f>IF(B110="","Pending",IF(M110="","⚠️ Enter Code",IF(IFERROR(VLOOKUP(L110,DB_Agents!$B:$I,8,0),"")=M110,"Pending","🔒 BLOCKED — Wrong Code")))</f>
        <v>Pending</v>
      </c>
      <c r="L110" s="27"/>
      <c r="M110" s="84"/>
      <c r="N110" s="94"/>
    </row>
    <row r="111" spans="1:14" x14ac:dyDescent="0.25">
      <c r="A111" s="85" t="str">
        <f t="shared" si="12"/>
        <v/>
      </c>
      <c r="B111" s="79"/>
      <c r="C111" s="21" t="str">
        <f>IF(B111="","",IFERROR(VLOOKUP(B111,DB_Customers!$A:$D,4,0),"❌ Account Not Found"))</f>
        <v/>
      </c>
      <c r="D111" s="81" t="str">
        <f t="shared" ca="1" si="9"/>
        <v/>
      </c>
      <c r="E111" s="104"/>
      <c r="F111" s="21"/>
      <c r="G111" s="110"/>
      <c r="H111" s="111"/>
      <c r="I111" s="107" t="str">
        <f t="shared" si="13"/>
        <v/>
      </c>
      <c r="J111" s="112" t="str">
        <f t="shared" si="14"/>
        <v/>
      </c>
      <c r="K111" s="113" t="str">
        <f>IF(B111="","Pending",IF(M111="","⚠️ Enter Code",IF(IFERROR(VLOOKUP(L111,DB_Agents!$B:$I,8,0),"")=M111,"Pending","🔒 BLOCKED — Wrong Code")))</f>
        <v>Pending</v>
      </c>
      <c r="L111" s="23"/>
      <c r="M111" s="84"/>
      <c r="N111" s="87"/>
    </row>
    <row r="112" spans="1:14" x14ac:dyDescent="0.25">
      <c r="A112" s="92" t="str">
        <f t="shared" si="12"/>
        <v/>
      </c>
      <c r="B112" s="88"/>
      <c r="C112" s="25" t="str">
        <f>IF(B112="","",IFERROR(VLOOKUP(B112,DB_Customers!$A:$D,4,0),"❌ Account Not Found"))</f>
        <v/>
      </c>
      <c r="D112" s="90" t="str">
        <f t="shared" ca="1" si="9"/>
        <v/>
      </c>
      <c r="E112" s="104"/>
      <c r="F112" s="25"/>
      <c r="G112" s="105"/>
      <c r="H112" s="106"/>
      <c r="I112" s="107" t="str">
        <f t="shared" si="13"/>
        <v/>
      </c>
      <c r="J112" s="108" t="str">
        <f t="shared" si="14"/>
        <v/>
      </c>
      <c r="K112" s="109" t="str">
        <f>IF(B112="","Pending",IF(M112="","⚠️ Enter Code",IF(IFERROR(VLOOKUP(L112,DB_Agents!$B:$I,8,0),"")=M112,"Pending","🔒 BLOCKED — Wrong Code")))</f>
        <v>Pending</v>
      </c>
      <c r="L112" s="27"/>
      <c r="M112" s="84"/>
      <c r="N112" s="94"/>
    </row>
    <row r="113" spans="1:14" x14ac:dyDescent="0.25">
      <c r="A113" s="85" t="str">
        <f t="shared" si="12"/>
        <v/>
      </c>
      <c r="B113" s="79"/>
      <c r="C113" s="21" t="str">
        <f>IF(B113="","",IFERROR(VLOOKUP(B113,DB_Customers!$A:$D,4,0),"❌ Account Not Found"))</f>
        <v/>
      </c>
      <c r="D113" s="81" t="str">
        <f t="shared" ca="1" si="9"/>
        <v/>
      </c>
      <c r="E113" s="104"/>
      <c r="F113" s="21"/>
      <c r="G113" s="110"/>
      <c r="H113" s="111"/>
      <c r="I113" s="107" t="str">
        <f t="shared" si="13"/>
        <v/>
      </c>
      <c r="J113" s="112" t="str">
        <f t="shared" si="14"/>
        <v/>
      </c>
      <c r="K113" s="113" t="str">
        <f>IF(B113="","Pending",IF(M113="","⚠️ Enter Code",IF(IFERROR(VLOOKUP(L113,DB_Agents!$B:$I,8,0),"")=M113,"Pending","🔒 BLOCKED — Wrong Code")))</f>
        <v>Pending</v>
      </c>
      <c r="L113" s="23"/>
      <c r="M113" s="84"/>
      <c r="N113" s="87"/>
    </row>
    <row r="114" spans="1:14" x14ac:dyDescent="0.25">
      <c r="H114" s="114"/>
      <c r="K114" s="115" t="str">
        <f>IF(B114="","Pending",IF(M114="","⚠️ Enter Code",IF(IFERROR(VLOOKUP(L114,DB_Agents!$B:$I,8,0),"")=M114,"Pending","🔒 BLOCKED — Wrong Code")))</f>
        <v>Pending</v>
      </c>
      <c r="M114" s="84"/>
    </row>
    <row r="115" spans="1:14" x14ac:dyDescent="0.25">
      <c r="H115" s="114"/>
      <c r="K115" s="15" t="str">
        <f>IF(B115="","Pending",IF(M115="","⚠️ Enter Code",IF(IFERROR(VLOOKUP(L115,DB_Agents!$B:$I,8,0),"")=M115,"Pending","🔒 BLOCKED — Wrong Code")))</f>
        <v>Pending</v>
      </c>
      <c r="M115" s="84"/>
    </row>
    <row r="116" spans="1:14" x14ac:dyDescent="0.25">
      <c r="H116" s="114"/>
      <c r="K116" s="115" t="str">
        <f>IF(B116="","Pending",IF(M116="","⚠️ Enter Code",IF(IFERROR(VLOOKUP(L116,DB_Agents!$B:$I,8,0),"")=M116,"Pending","🔒 BLOCKED — Wrong Code")))</f>
        <v>Pending</v>
      </c>
      <c r="M116" s="84"/>
    </row>
    <row r="117" spans="1:14" x14ac:dyDescent="0.25">
      <c r="H117" s="114"/>
      <c r="K117" s="15" t="str">
        <f>IF(B117="","Pending",IF(M117="","⚠️ Enter Code",IF(IFERROR(VLOOKUP(L117,DB_Agents!$B:$I,8,0),"")=M117,"Pending","🔒 BLOCKED — Wrong Code")))</f>
        <v>Pending</v>
      </c>
      <c r="M117" s="84"/>
    </row>
    <row r="118" spans="1:14" x14ac:dyDescent="0.25">
      <c r="H118" s="114"/>
      <c r="K118" s="115" t="str">
        <f>IF(B118="","Pending",IF(M118="","⚠️ Enter Code",IF(IFERROR(VLOOKUP(L118,DB_Agents!$B:$I,8,0),"")=M118,"Pending","🔒 BLOCKED — Wrong Code")))</f>
        <v>Pending</v>
      </c>
      <c r="M118" s="84"/>
    </row>
    <row r="119" spans="1:14" x14ac:dyDescent="0.25">
      <c r="H119" s="114"/>
      <c r="K119" s="15" t="str">
        <f>IF(B119="","Pending",IF(M119="","⚠️ Enter Code",IF(IFERROR(VLOOKUP(L119,DB_Agents!$B:$I,8,0),"")=M119,"Pending","🔒 BLOCKED — Wrong Code")))</f>
        <v>Pending</v>
      </c>
      <c r="M119" s="84"/>
    </row>
    <row r="120" spans="1:14" x14ac:dyDescent="0.25">
      <c r="H120" s="114"/>
      <c r="K120" s="115" t="str">
        <f>IF(B120="","Pending",IF(M120="","⚠️ Enter Code",IF(IFERROR(VLOOKUP(L120,DB_Agents!$B:$I,8,0),"")=M120,"Pending","🔒 BLOCKED — Wrong Code")))</f>
        <v>Pending</v>
      </c>
      <c r="M120" s="84"/>
    </row>
    <row r="121" spans="1:14" x14ac:dyDescent="0.25">
      <c r="H121" s="114"/>
      <c r="K121" s="15" t="str">
        <f>IF(B121="","Pending",IF(M121="","⚠️ Enter Code",IF(IFERROR(VLOOKUP(L121,DB_Agents!$B:$I,8,0),"")=M121,"Pending","🔒 BLOCKED — Wrong Code")))</f>
        <v>Pending</v>
      </c>
      <c r="M121" s="84"/>
    </row>
    <row r="122" spans="1:14" x14ac:dyDescent="0.25">
      <c r="H122" s="114"/>
      <c r="K122" s="115" t="str">
        <f>IF(B122="","Pending",IF(M122="","⚠️ Enter Code",IF(IFERROR(VLOOKUP(L122,DB_Agents!$B:$I,8,0),"")=M122,"Pending","🔒 BLOCKED — Wrong Code")))</f>
        <v>Pending</v>
      </c>
      <c r="M122" s="84"/>
    </row>
    <row r="123" spans="1:14" x14ac:dyDescent="0.25">
      <c r="H123" s="114"/>
      <c r="K123" s="15" t="str">
        <f>IF(B123="","Pending",IF(M123="","⚠️ Enter Code",IF(IFERROR(VLOOKUP(L123,DB_Agents!$B:$I,8,0),"")=M123,"Pending","🔒 BLOCKED — Wrong Code")))</f>
        <v>Pending</v>
      </c>
      <c r="M123" s="84"/>
    </row>
    <row r="124" spans="1:14" x14ac:dyDescent="0.25">
      <c r="H124" s="114"/>
      <c r="K124" s="115" t="str">
        <f>IF(B124="","Pending",IF(M124="","⚠️ Enter Code",IF(IFERROR(VLOOKUP(L124,DB_Agents!$B:$I,8,0),"")=M124,"Pending","🔒 BLOCKED — Wrong Code")))</f>
        <v>Pending</v>
      </c>
      <c r="M124" s="84"/>
    </row>
    <row r="125" spans="1:14" x14ac:dyDescent="0.25">
      <c r="H125" s="114"/>
      <c r="K125" s="15" t="str">
        <f>IF(B125="","Pending",IF(M125="","⚠️ Enter Code",IF(IFERROR(VLOOKUP(L125,DB_Agents!$B:$I,8,0),"")=M125,"Pending","🔒 BLOCKED — Wrong Code")))</f>
        <v>Pending</v>
      </c>
      <c r="M125" s="84"/>
    </row>
    <row r="126" spans="1:14" x14ac:dyDescent="0.25">
      <c r="H126" s="114"/>
      <c r="K126" s="115" t="str">
        <f>IF(B126="","Pending",IF(M126="","⚠️ Enter Code",IF(IFERROR(VLOOKUP(L126,DB_Agents!$B:$I,8,0),"")=M126,"Pending","🔒 BLOCKED — Wrong Code")))</f>
        <v>Pending</v>
      </c>
      <c r="M126" s="84"/>
    </row>
    <row r="127" spans="1:14" x14ac:dyDescent="0.25">
      <c r="H127" s="114"/>
      <c r="K127" s="15" t="str">
        <f>IF(B127="","Pending",IF(M127="","⚠️ Enter Code",IF(IFERROR(VLOOKUP(L127,DB_Agents!$B:$I,8,0),"")=M127,"Pending","🔒 BLOCKED — Wrong Code")))</f>
        <v>Pending</v>
      </c>
      <c r="M127" s="84"/>
    </row>
    <row r="128" spans="1:14" x14ac:dyDescent="0.25">
      <c r="H128" s="114"/>
      <c r="K128" s="115" t="str">
        <f>IF(B128="","Pending",IF(M128="","⚠️ Enter Code",IF(IFERROR(VLOOKUP(L128,DB_Agents!$B:$I,8,0),"")=M128,"Pending","🔒 BLOCKED — Wrong Code")))</f>
        <v>Pending</v>
      </c>
      <c r="M128" s="84"/>
    </row>
    <row r="129" spans="8:13" x14ac:dyDescent="0.25">
      <c r="H129" s="114"/>
      <c r="K129" s="15" t="str">
        <f>IF(B129="","Pending",IF(M129="","⚠️ Enter Code",IF(IFERROR(VLOOKUP(L129,DB_Agents!$B:$I,8,0),"")=M129,"Pending","🔒 BLOCKED — Wrong Code")))</f>
        <v>Pending</v>
      </c>
      <c r="M129" s="84"/>
    </row>
    <row r="130" spans="8:13" x14ac:dyDescent="0.25">
      <c r="H130" s="114"/>
      <c r="K130" s="115" t="str">
        <f>IF(B130="","Pending",IF(M130="","⚠️ Enter Code",IF(IFERROR(VLOOKUP(L130,DB_Agents!$B:$I,8,0),"")=M130,"Pending","🔒 BLOCKED — Wrong Code")))</f>
        <v>Pending</v>
      </c>
      <c r="M130" s="84"/>
    </row>
    <row r="131" spans="8:13" x14ac:dyDescent="0.25">
      <c r="H131" s="114"/>
      <c r="K131" s="15" t="str">
        <f>IF(B131="","Pending",IF(M131="","⚠️ Enter Code",IF(IFERROR(VLOOKUP(L131,DB_Agents!$B:$I,8,0),"")=M131,"Pending","🔒 BLOCKED — Wrong Code")))</f>
        <v>Pending</v>
      </c>
      <c r="M131" s="84"/>
    </row>
    <row r="132" spans="8:13" x14ac:dyDescent="0.25">
      <c r="H132" s="114"/>
      <c r="K132" s="115" t="str">
        <f>IF(B132="","Pending",IF(M132="","⚠️ Enter Code",IF(IFERROR(VLOOKUP(L132,DB_Agents!$B:$I,8,0),"")=M132,"Pending","🔒 BLOCKED — Wrong Code")))</f>
        <v>Pending</v>
      </c>
      <c r="M132" s="84"/>
    </row>
    <row r="133" spans="8:13" x14ac:dyDescent="0.25">
      <c r="H133" s="114"/>
      <c r="K133" s="15" t="str">
        <f>IF(B133="","Pending",IF(M133="","⚠️ Enter Code",IF(IFERROR(VLOOKUP(L133,DB_Agents!$B:$I,8,0),"")=M133,"Pending","🔒 BLOCKED — Wrong Code")))</f>
        <v>Pending</v>
      </c>
      <c r="M133" s="84"/>
    </row>
    <row r="134" spans="8:13" x14ac:dyDescent="0.25">
      <c r="H134" s="114"/>
      <c r="K134" s="115" t="str">
        <f>IF(B134="","Pending",IF(M134="","⚠️ Enter Code",IF(IFERROR(VLOOKUP(L134,DB_Agents!$B:$I,8,0),"")=M134,"Pending","🔒 BLOCKED — Wrong Code")))</f>
        <v>Pending</v>
      </c>
      <c r="M134" s="84"/>
    </row>
    <row r="135" spans="8:13" x14ac:dyDescent="0.25">
      <c r="H135" s="114"/>
      <c r="K135" s="15" t="str">
        <f>IF(B135="","Pending",IF(M135="","⚠️ Enter Code",IF(IFERROR(VLOOKUP(L135,DB_Agents!$B:$I,8,0),"")=M135,"Pending","🔒 BLOCKED — Wrong Code")))</f>
        <v>Pending</v>
      </c>
      <c r="M135" s="84"/>
    </row>
    <row r="136" spans="8:13" x14ac:dyDescent="0.25">
      <c r="H136" s="114"/>
      <c r="K136" s="115" t="str">
        <f>IF(B136="","Pending",IF(M136="","⚠️ Enter Code",IF(IFERROR(VLOOKUP(L136,DB_Agents!$B:$I,8,0),"")=M136,"Pending","🔒 BLOCKED — Wrong Code")))</f>
        <v>Pending</v>
      </c>
      <c r="M136" s="84"/>
    </row>
    <row r="137" spans="8:13" x14ac:dyDescent="0.25">
      <c r="H137" s="114"/>
      <c r="K137" s="15" t="str">
        <f>IF(B137="","Pending",IF(M137="","⚠️ Enter Code",IF(IFERROR(VLOOKUP(L137,DB_Agents!$B:$I,8,0),"")=M137,"Pending","🔒 BLOCKED — Wrong Code")))</f>
        <v>Pending</v>
      </c>
      <c r="M137" s="84"/>
    </row>
    <row r="138" spans="8:13" x14ac:dyDescent="0.25">
      <c r="H138" s="114"/>
      <c r="K138" s="115" t="str">
        <f>IF(B138="","Pending",IF(M138="","⚠️ Enter Code",IF(IFERROR(VLOOKUP(L138,DB_Agents!$B:$I,8,0),"")=M138,"Pending","🔒 BLOCKED — Wrong Code")))</f>
        <v>Pending</v>
      </c>
      <c r="M138" s="84"/>
    </row>
    <row r="139" spans="8:13" x14ac:dyDescent="0.25">
      <c r="H139" s="114"/>
      <c r="K139" s="15" t="str">
        <f>IF(B139="","Pending",IF(M139="","⚠️ Enter Code",IF(IFERROR(VLOOKUP(L139,DB_Agents!$B:$I,8,0),"")=M139,"Pending","🔒 BLOCKED — Wrong Code")))</f>
        <v>Pending</v>
      </c>
      <c r="M139" s="84"/>
    </row>
    <row r="140" spans="8:13" x14ac:dyDescent="0.25">
      <c r="H140" s="114"/>
      <c r="K140" s="115" t="str">
        <f>IF(B140="","Pending",IF(M140="","⚠️ Enter Code",IF(IFERROR(VLOOKUP(L140,DB_Agents!$B:$I,8,0),"")=M140,"Pending","🔒 BLOCKED — Wrong Code")))</f>
        <v>Pending</v>
      </c>
      <c r="M140" s="84"/>
    </row>
    <row r="141" spans="8:13" x14ac:dyDescent="0.25">
      <c r="H141" s="114"/>
      <c r="K141" s="15" t="str">
        <f>IF(B141="","Pending",IF(M141="","⚠️ Enter Code",IF(IFERROR(VLOOKUP(L141,DB_Agents!$B:$I,8,0),"")=M141,"Pending","🔒 BLOCKED — Wrong Code")))</f>
        <v>Pending</v>
      </c>
      <c r="M141" s="84"/>
    </row>
    <row r="142" spans="8:13" x14ac:dyDescent="0.25">
      <c r="H142" s="114"/>
      <c r="K142" s="115" t="str">
        <f>IF(B142="","Pending",IF(M142="","⚠️ Enter Code",IF(IFERROR(VLOOKUP(L142,DB_Agents!$B:$I,8,0),"")=M142,"Pending","🔒 BLOCKED — Wrong Code")))</f>
        <v>Pending</v>
      </c>
      <c r="M142" s="84"/>
    </row>
    <row r="143" spans="8:13" x14ac:dyDescent="0.25">
      <c r="H143" s="114"/>
      <c r="K143" s="15" t="str">
        <f>IF(B143="","Pending",IF(M143="","⚠️ Enter Code",IF(IFERROR(VLOOKUP(L143,DB_Agents!$B:$I,8,0),"")=M143,"Pending","🔒 BLOCKED — Wrong Code")))</f>
        <v>Pending</v>
      </c>
      <c r="M143" s="84"/>
    </row>
    <row r="144" spans="8:13" x14ac:dyDescent="0.25">
      <c r="H144" s="114"/>
      <c r="K144" s="115" t="str">
        <f>IF(B144="","Pending",IF(M144="","⚠️ Enter Code",IF(IFERROR(VLOOKUP(L144,DB_Agents!$B:$I,8,0),"")=M144,"Pending","🔒 BLOCKED — Wrong Code")))</f>
        <v>Pending</v>
      </c>
      <c r="M144" s="84"/>
    </row>
    <row r="145" spans="8:13" x14ac:dyDescent="0.25">
      <c r="H145" s="114"/>
      <c r="K145" s="15" t="str">
        <f>IF(B145="","Pending",IF(M145="","⚠️ Enter Code",IF(IFERROR(VLOOKUP(L145,DB_Agents!$B:$I,8,0),"")=M145,"Pending","🔒 BLOCKED — Wrong Code")))</f>
        <v>Pending</v>
      </c>
      <c r="M145" s="84"/>
    </row>
    <row r="146" spans="8:13" x14ac:dyDescent="0.25">
      <c r="H146" s="114"/>
      <c r="K146" s="115" t="str">
        <f>IF(B146="","Pending",IF(M146="","⚠️ Enter Code",IF(IFERROR(VLOOKUP(L146,DB_Agents!$B:$I,8,0),"")=M146,"Pending","🔒 BLOCKED — Wrong Code")))</f>
        <v>Pending</v>
      </c>
      <c r="M146" s="84"/>
    </row>
    <row r="147" spans="8:13" x14ac:dyDescent="0.25">
      <c r="H147" s="114"/>
      <c r="K147" s="15" t="str">
        <f>IF(B147="","Pending",IF(M147="","⚠️ Enter Code",IF(IFERROR(VLOOKUP(L147,DB_Agents!$B:$I,8,0),"")=M147,"Pending","🔒 BLOCKED — Wrong Code")))</f>
        <v>Pending</v>
      </c>
      <c r="M147" s="84"/>
    </row>
    <row r="148" spans="8:13" x14ac:dyDescent="0.25">
      <c r="H148" s="114"/>
      <c r="K148" s="115" t="str">
        <f>IF(B148="","Pending",IF(M148="","⚠️ Enter Code",IF(IFERROR(VLOOKUP(L148,DB_Agents!$B:$I,8,0),"")=M148,"Pending","🔒 BLOCKED — Wrong Code")))</f>
        <v>Pending</v>
      </c>
      <c r="M148" s="84"/>
    </row>
    <row r="149" spans="8:13" x14ac:dyDescent="0.25">
      <c r="H149" s="114"/>
      <c r="K149" s="15" t="str">
        <f>IF(B149="","Pending",IF(M149="","⚠️ Enter Code",IF(IFERROR(VLOOKUP(L149,DB_Agents!$B:$I,8,0),"")=M149,"Pending","🔒 BLOCKED — Wrong Code")))</f>
        <v>Pending</v>
      </c>
      <c r="M149" s="84"/>
    </row>
    <row r="150" spans="8:13" x14ac:dyDescent="0.25">
      <c r="H150" s="114"/>
      <c r="K150" s="115" t="str">
        <f>IF(B150="","Pending",IF(M150="","⚠️ Enter Code",IF(IFERROR(VLOOKUP(L150,DB_Agents!$B:$I,8,0),"")=M150,"Pending","🔒 BLOCKED — Wrong Code")))</f>
        <v>Pending</v>
      </c>
      <c r="M150" s="84"/>
    </row>
    <row r="151" spans="8:13" x14ac:dyDescent="0.25">
      <c r="H151" s="114"/>
      <c r="K151" s="15" t="str">
        <f>IF(B151="","Pending",IF(M151="","⚠️ Enter Code",IF(IFERROR(VLOOKUP(L151,DB_Agents!$B:$I,8,0),"")=M151,"Pending","🔒 BLOCKED — Wrong Code")))</f>
        <v>Pending</v>
      </c>
      <c r="M151" s="84"/>
    </row>
    <row r="152" spans="8:13" x14ac:dyDescent="0.25">
      <c r="H152" s="114"/>
      <c r="K152" s="115" t="str">
        <f>IF(B152="","Pending",IF(M152="","⚠️ Enter Code",IF(IFERROR(VLOOKUP(L152,DB_Agents!$B:$I,8,0),"")=M152,"Pending","🔒 BLOCKED — Wrong Code")))</f>
        <v>Pending</v>
      </c>
      <c r="M152" s="84"/>
    </row>
    <row r="153" spans="8:13" x14ac:dyDescent="0.25">
      <c r="H153" s="114"/>
      <c r="K153" s="15" t="str">
        <f>IF(B153="","Pending",IF(M153="","⚠️ Enter Code",IF(IFERROR(VLOOKUP(L153,DB_Agents!$B:$I,8,0),"")=M153,"Pending","🔒 BLOCKED — Wrong Code")))</f>
        <v>Pending</v>
      </c>
      <c r="M153" s="84"/>
    </row>
    <row r="154" spans="8:13" x14ac:dyDescent="0.25">
      <c r="H154" s="114"/>
      <c r="K154" s="115" t="str">
        <f>IF(B154="","Pending",IF(M154="","⚠️ Enter Code",IF(IFERROR(VLOOKUP(L154,DB_Agents!$B:$I,8,0),"")=M154,"Pending","🔒 BLOCKED — Wrong Code")))</f>
        <v>Pending</v>
      </c>
      <c r="M154" s="84"/>
    </row>
    <row r="155" spans="8:13" x14ac:dyDescent="0.25">
      <c r="H155" s="114"/>
      <c r="K155" s="15" t="str">
        <f>IF(B155="","Pending",IF(M155="","⚠️ Enter Code",IF(IFERROR(VLOOKUP(L155,DB_Agents!$B:$I,8,0),"")=M155,"Pending","🔒 BLOCKED — Wrong Code")))</f>
        <v>Pending</v>
      </c>
      <c r="M155" s="84"/>
    </row>
    <row r="156" spans="8:13" x14ac:dyDescent="0.25">
      <c r="H156" s="114"/>
      <c r="K156" s="115" t="str">
        <f>IF(B156="","Pending",IF(M156="","⚠️ Enter Code",IF(IFERROR(VLOOKUP(L156,DB_Agents!$B:$I,8,0),"")=M156,"Pending","🔒 BLOCKED — Wrong Code")))</f>
        <v>Pending</v>
      </c>
      <c r="M156" s="84"/>
    </row>
    <row r="157" spans="8:13" x14ac:dyDescent="0.25">
      <c r="H157" s="114"/>
      <c r="K157" s="15" t="str">
        <f>IF(B157="","Pending",IF(M157="","⚠️ Enter Code",IF(IFERROR(VLOOKUP(L157,DB_Agents!$B:$I,8,0),"")=M157,"Pending","🔒 BLOCKED — Wrong Code")))</f>
        <v>Pending</v>
      </c>
      <c r="M157" s="84"/>
    </row>
    <row r="158" spans="8:13" x14ac:dyDescent="0.25">
      <c r="H158" s="114"/>
      <c r="K158" s="115" t="str">
        <f>IF(B158="","Pending",IF(M158="","⚠️ Enter Code",IF(IFERROR(VLOOKUP(L158,DB_Agents!$B:$I,8,0),"")=M158,"Pending","🔒 BLOCKED — Wrong Code")))</f>
        <v>Pending</v>
      </c>
      <c r="M158" s="84"/>
    </row>
    <row r="159" spans="8:13" x14ac:dyDescent="0.25">
      <c r="H159" s="114"/>
      <c r="K159" s="15" t="str">
        <f>IF(B159="","Pending",IF(M159="","⚠️ Enter Code",IF(IFERROR(VLOOKUP(L159,DB_Agents!$B:$I,8,0),"")=M159,"Pending","🔒 BLOCKED — Wrong Code")))</f>
        <v>Pending</v>
      </c>
      <c r="M159" s="84"/>
    </row>
    <row r="160" spans="8:13" x14ac:dyDescent="0.25">
      <c r="H160" s="114"/>
      <c r="K160" s="115" t="str">
        <f>IF(B160="","Pending",IF(M160="","⚠️ Enter Code",IF(IFERROR(VLOOKUP(L160,DB_Agents!$B:$I,8,0),"")=M160,"Pending","🔒 BLOCKED — Wrong Code")))</f>
        <v>Pending</v>
      </c>
      <c r="M160" s="84"/>
    </row>
    <row r="161" spans="8:13" x14ac:dyDescent="0.25">
      <c r="H161" s="114"/>
      <c r="K161" s="15" t="str">
        <f>IF(B161="","Pending",IF(M161="","⚠️ Enter Code",IF(IFERROR(VLOOKUP(L161,DB_Agents!$B:$I,8,0),"")=M161,"Pending","🔒 BLOCKED — Wrong Code")))</f>
        <v>Pending</v>
      </c>
      <c r="M161" s="84"/>
    </row>
    <row r="162" spans="8:13" x14ac:dyDescent="0.25">
      <c r="H162" s="114"/>
      <c r="K162" s="115" t="str">
        <f>IF(B162="","Pending",IF(M162="","⚠️ Enter Code",IF(IFERROR(VLOOKUP(L162,DB_Agents!$B:$I,8,0),"")=M162,"Pending","🔒 BLOCKED — Wrong Code")))</f>
        <v>Pending</v>
      </c>
      <c r="M162" s="84"/>
    </row>
    <row r="163" spans="8:13" x14ac:dyDescent="0.25">
      <c r="H163" s="114"/>
      <c r="K163" s="15" t="str">
        <f>IF(B163="","Pending",IF(M163="","⚠️ Enter Code",IF(IFERROR(VLOOKUP(L163,DB_Agents!$B:$I,8,0),"")=M163,"Pending","🔒 BLOCKED — Wrong Code")))</f>
        <v>Pending</v>
      </c>
      <c r="M163" s="84"/>
    </row>
    <row r="164" spans="8:13" x14ac:dyDescent="0.25">
      <c r="H164" s="114"/>
      <c r="K164" s="115" t="str">
        <f>IF(B164="","Pending",IF(M164="","⚠️ Enter Code",IF(IFERROR(VLOOKUP(L164,DB_Agents!$B:$I,8,0),"")=M164,"Pending","🔒 BLOCKED — Wrong Code")))</f>
        <v>Pending</v>
      </c>
      <c r="M164" s="84"/>
    </row>
    <row r="165" spans="8:13" x14ac:dyDescent="0.25">
      <c r="H165" s="114"/>
      <c r="K165" s="15" t="str">
        <f>IF(B165="","Pending",IF(M165="","⚠️ Enter Code",IF(IFERROR(VLOOKUP(L165,DB_Agents!$B:$I,8,0),"")=M165,"Pending","🔒 BLOCKED — Wrong Code")))</f>
        <v>Pending</v>
      </c>
      <c r="M165" s="84"/>
    </row>
    <row r="166" spans="8:13" x14ac:dyDescent="0.25">
      <c r="H166" s="114"/>
      <c r="K166" s="115" t="str">
        <f>IF(B166="","Pending",IF(M166="","⚠️ Enter Code",IF(IFERROR(VLOOKUP(L166,DB_Agents!$B:$I,8,0),"")=M166,"Pending","🔒 BLOCKED — Wrong Code")))</f>
        <v>Pending</v>
      </c>
      <c r="M166" s="84"/>
    </row>
    <row r="167" spans="8:13" x14ac:dyDescent="0.25">
      <c r="H167" s="114"/>
      <c r="K167" s="15" t="str">
        <f>IF(B167="","Pending",IF(M167="","⚠️ Enter Code",IF(IFERROR(VLOOKUP(L167,DB_Agents!$B:$I,8,0),"")=M167,"Pending","🔒 BLOCKED — Wrong Code")))</f>
        <v>Pending</v>
      </c>
      <c r="M167" s="84"/>
    </row>
    <row r="168" spans="8:13" x14ac:dyDescent="0.25">
      <c r="H168" s="114"/>
      <c r="K168" s="115" t="str">
        <f>IF(B168="","Pending",IF(M168="","⚠️ Enter Code",IF(IFERROR(VLOOKUP(L168,DB_Agents!$B:$I,8,0),"")=M168,"Pending","🔒 BLOCKED — Wrong Code")))</f>
        <v>Pending</v>
      </c>
      <c r="M168" s="84"/>
    </row>
    <row r="169" spans="8:13" x14ac:dyDescent="0.25">
      <c r="H169" s="114"/>
      <c r="K169" s="15" t="str">
        <f>IF(B169="","Pending",IF(M169="","⚠️ Enter Code",IF(IFERROR(VLOOKUP(L169,DB_Agents!$B:$I,8,0),"")=M169,"Pending","🔒 BLOCKED — Wrong Code")))</f>
        <v>Pending</v>
      </c>
      <c r="M169" s="84"/>
    </row>
    <row r="170" spans="8:13" x14ac:dyDescent="0.25">
      <c r="H170" s="114"/>
      <c r="K170" s="115" t="str">
        <f>IF(B170="","Pending",IF(M170="","⚠️ Enter Code",IF(IFERROR(VLOOKUP(L170,DB_Agents!$B:$I,8,0),"")=M170,"Pending","🔒 BLOCKED — Wrong Code")))</f>
        <v>Pending</v>
      </c>
      <c r="M170" s="84"/>
    </row>
    <row r="171" spans="8:13" x14ac:dyDescent="0.25">
      <c r="H171" s="114"/>
      <c r="K171" s="15" t="str">
        <f>IF(B171="","Pending",IF(M171="","⚠️ Enter Code",IF(IFERROR(VLOOKUP(L171,DB_Agents!$B:$I,8,0),"")=M171,"Pending","🔒 BLOCKED — Wrong Code")))</f>
        <v>Pending</v>
      </c>
      <c r="M171" s="84"/>
    </row>
    <row r="172" spans="8:13" x14ac:dyDescent="0.25">
      <c r="H172" s="114"/>
      <c r="K172" s="115" t="str">
        <f>IF(B172="","Pending",IF(M172="","⚠️ Enter Code",IF(IFERROR(VLOOKUP(L172,DB_Agents!$B:$I,8,0),"")=M172,"Pending","🔒 BLOCKED — Wrong Code")))</f>
        <v>Pending</v>
      </c>
      <c r="M172" s="84"/>
    </row>
    <row r="173" spans="8:13" x14ac:dyDescent="0.25">
      <c r="H173" s="114"/>
      <c r="K173" s="15" t="str">
        <f>IF(B173="","Pending",IF(M173="","⚠️ Enter Code",IF(IFERROR(VLOOKUP(L173,DB_Agents!$B:$I,8,0),"")=M173,"Pending","🔒 BLOCKED — Wrong Code")))</f>
        <v>Pending</v>
      </c>
      <c r="M173" s="84"/>
    </row>
    <row r="174" spans="8:13" x14ac:dyDescent="0.25">
      <c r="H174" s="114"/>
      <c r="K174" s="115" t="str">
        <f>IF(B174="","Pending",IF(M174="","⚠️ Enter Code",IF(IFERROR(VLOOKUP(L174,DB_Agents!$B:$I,8,0),"")=M174,"Pending","🔒 BLOCKED — Wrong Code")))</f>
        <v>Pending</v>
      </c>
      <c r="M174" s="84"/>
    </row>
    <row r="175" spans="8:13" x14ac:dyDescent="0.25">
      <c r="H175" s="114"/>
      <c r="K175" s="15" t="str">
        <f>IF(B175="","Pending",IF(M175="","⚠️ Enter Code",IF(IFERROR(VLOOKUP(L175,DB_Agents!$B:$I,8,0),"")=M175,"Pending","🔒 BLOCKED — Wrong Code")))</f>
        <v>Pending</v>
      </c>
      <c r="M175" s="84"/>
    </row>
    <row r="176" spans="8:13" x14ac:dyDescent="0.25">
      <c r="H176" s="114"/>
      <c r="K176" s="115" t="str">
        <f>IF(B176="","Pending",IF(M176="","⚠️ Enter Code",IF(IFERROR(VLOOKUP(L176,DB_Agents!$B:$I,8,0),"")=M176,"Pending","🔒 BLOCKED — Wrong Code")))</f>
        <v>Pending</v>
      </c>
      <c r="M176" s="84"/>
    </row>
    <row r="177" spans="8:13" x14ac:dyDescent="0.25">
      <c r="H177" s="114"/>
      <c r="K177" s="15" t="str">
        <f>IF(B177="","Pending",IF(M177="","⚠️ Enter Code",IF(IFERROR(VLOOKUP(L177,DB_Agents!$B:$I,8,0),"")=M177,"Pending","🔒 BLOCKED — Wrong Code")))</f>
        <v>Pending</v>
      </c>
      <c r="M177" s="84"/>
    </row>
    <row r="178" spans="8:13" x14ac:dyDescent="0.25">
      <c r="H178" s="114"/>
      <c r="K178" s="115" t="str">
        <f>IF(B178="","Pending",IF(M178="","⚠️ Enter Code",IF(IFERROR(VLOOKUP(L178,DB_Agents!$B:$I,8,0),"")=M178,"Pending","🔒 BLOCKED — Wrong Code")))</f>
        <v>Pending</v>
      </c>
      <c r="M178" s="84"/>
    </row>
    <row r="179" spans="8:13" x14ac:dyDescent="0.25">
      <c r="H179" s="114"/>
      <c r="K179" s="15" t="str">
        <f>IF(B179="","Pending",IF(M179="","⚠️ Enter Code",IF(IFERROR(VLOOKUP(L179,DB_Agents!$B:$I,8,0),"")=M179,"Pending","🔒 BLOCKED — Wrong Code")))</f>
        <v>Pending</v>
      </c>
      <c r="M179" s="84"/>
    </row>
    <row r="180" spans="8:13" x14ac:dyDescent="0.25">
      <c r="H180" s="114"/>
      <c r="K180" s="115" t="str">
        <f>IF(B180="","Pending",IF(M180="","⚠️ Enter Code",IF(IFERROR(VLOOKUP(L180,DB_Agents!$B:$I,8,0),"")=M180,"Pending","🔒 BLOCKED — Wrong Code")))</f>
        <v>Pending</v>
      </c>
      <c r="M180" s="84"/>
    </row>
    <row r="181" spans="8:13" x14ac:dyDescent="0.25">
      <c r="H181" s="114"/>
      <c r="K181" s="15" t="str">
        <f>IF(B181="","Pending",IF(M181="","⚠️ Enter Code",IF(IFERROR(VLOOKUP(L181,DB_Agents!$B:$I,8,0),"")=M181,"Pending","🔒 BLOCKED — Wrong Code")))</f>
        <v>Pending</v>
      </c>
      <c r="M181" s="84"/>
    </row>
    <row r="182" spans="8:13" x14ac:dyDescent="0.25">
      <c r="H182" s="114"/>
      <c r="K182" s="115" t="str">
        <f>IF(B182="","Pending",IF(M182="","⚠️ Enter Code",IF(IFERROR(VLOOKUP(L182,DB_Agents!$B:$I,8,0),"")=M182,"Pending","🔒 BLOCKED — Wrong Code")))</f>
        <v>Pending</v>
      </c>
      <c r="M182" s="84"/>
    </row>
    <row r="183" spans="8:13" x14ac:dyDescent="0.25">
      <c r="H183" s="114"/>
      <c r="K183" s="15" t="str">
        <f>IF(B183="","Pending",IF(M183="","⚠️ Enter Code",IF(IFERROR(VLOOKUP(L183,DB_Agents!$B:$I,8,0),"")=M183,"Pending","🔒 BLOCKED — Wrong Code")))</f>
        <v>Pending</v>
      </c>
      <c r="M183" s="84"/>
    </row>
    <row r="184" spans="8:13" x14ac:dyDescent="0.25">
      <c r="H184" s="114"/>
      <c r="K184" s="115" t="str">
        <f>IF(B184="","Pending",IF(M184="","⚠️ Enter Code",IF(IFERROR(VLOOKUP(L184,DB_Agents!$B:$I,8,0),"")=M184,"Pending","🔒 BLOCKED — Wrong Code")))</f>
        <v>Pending</v>
      </c>
      <c r="M184" s="84"/>
    </row>
    <row r="185" spans="8:13" x14ac:dyDescent="0.25">
      <c r="H185" s="114"/>
      <c r="K185" s="15" t="str">
        <f>IF(B185="","Pending",IF(M185="","⚠️ Enter Code",IF(IFERROR(VLOOKUP(L185,DB_Agents!$B:$I,8,0),"")=M185,"Pending","🔒 BLOCKED — Wrong Code")))</f>
        <v>Pending</v>
      </c>
      <c r="M185" s="84"/>
    </row>
    <row r="186" spans="8:13" x14ac:dyDescent="0.25">
      <c r="H186" s="114"/>
      <c r="K186" s="115" t="str">
        <f>IF(B186="","Pending",IF(M186="","⚠️ Enter Code",IF(IFERROR(VLOOKUP(L186,DB_Agents!$B:$I,8,0),"")=M186,"Pending","🔒 BLOCKED — Wrong Code")))</f>
        <v>Pending</v>
      </c>
      <c r="M186" s="84"/>
    </row>
    <row r="187" spans="8:13" x14ac:dyDescent="0.25">
      <c r="H187" s="114"/>
      <c r="K187" s="15" t="str">
        <f>IF(B187="","Pending",IF(M187="","⚠️ Enter Code",IF(IFERROR(VLOOKUP(L187,DB_Agents!$B:$I,8,0),"")=M187,"Pending","🔒 BLOCKED — Wrong Code")))</f>
        <v>Pending</v>
      </c>
      <c r="M187" s="84"/>
    </row>
    <row r="188" spans="8:13" x14ac:dyDescent="0.25">
      <c r="H188" s="114"/>
      <c r="K188" s="115" t="str">
        <f>IF(B188="","Pending",IF(M188="","⚠️ Enter Code",IF(IFERROR(VLOOKUP(L188,DB_Agents!$B:$I,8,0),"")=M188,"Pending","🔒 BLOCKED — Wrong Code")))</f>
        <v>Pending</v>
      </c>
      <c r="M188" s="84"/>
    </row>
    <row r="189" spans="8:13" x14ac:dyDescent="0.25">
      <c r="H189" s="114"/>
      <c r="K189" s="15" t="str">
        <f>IF(B189="","Pending",IF(M189="","⚠️ Enter Code",IF(IFERROR(VLOOKUP(L189,DB_Agents!$B:$I,8,0),"")=M189,"Pending","🔒 BLOCKED — Wrong Code")))</f>
        <v>Pending</v>
      </c>
      <c r="M189" s="84"/>
    </row>
    <row r="190" spans="8:13" x14ac:dyDescent="0.25">
      <c r="H190" s="114"/>
      <c r="K190" s="115" t="str">
        <f>IF(B190="","Pending",IF(M190="","⚠️ Enter Code",IF(IFERROR(VLOOKUP(L190,DB_Agents!$B:$I,8,0),"")=M190,"Pending","🔒 BLOCKED — Wrong Code")))</f>
        <v>Pending</v>
      </c>
      <c r="M190" s="84"/>
    </row>
    <row r="191" spans="8:13" x14ac:dyDescent="0.25">
      <c r="H191" s="114"/>
      <c r="K191" s="15" t="str">
        <f>IF(B191="","Pending",IF(M191="","⚠️ Enter Code",IF(IFERROR(VLOOKUP(L191,DB_Agents!$B:$I,8,0),"")=M191,"Pending","🔒 BLOCKED — Wrong Code")))</f>
        <v>Pending</v>
      </c>
      <c r="M191" s="84"/>
    </row>
    <row r="192" spans="8:13" x14ac:dyDescent="0.25">
      <c r="H192" s="114"/>
      <c r="K192" s="115" t="str">
        <f>IF(B192="","Pending",IF(M192="","⚠️ Enter Code",IF(IFERROR(VLOOKUP(L192,DB_Agents!$B:$I,8,0),"")=M192,"Pending","🔒 BLOCKED — Wrong Code")))</f>
        <v>Pending</v>
      </c>
      <c r="M192" s="84"/>
    </row>
    <row r="193" spans="8:13" x14ac:dyDescent="0.25">
      <c r="H193" s="114"/>
      <c r="K193" s="15" t="str">
        <f>IF(B193="","Pending",IF(M193="","⚠️ Enter Code",IF(IFERROR(VLOOKUP(L193,DB_Agents!$B:$I,8,0),"")=M193,"Pending","🔒 BLOCKED — Wrong Code")))</f>
        <v>Pending</v>
      </c>
      <c r="M193" s="84"/>
    </row>
    <row r="194" spans="8:13" x14ac:dyDescent="0.25">
      <c r="H194" s="114"/>
      <c r="K194" s="115" t="str">
        <f>IF(B194="","Pending",IF(M194="","⚠️ Enter Code",IF(IFERROR(VLOOKUP(L194,DB_Agents!$B:$I,8,0),"")=M194,"Pending","🔒 BLOCKED — Wrong Code")))</f>
        <v>Pending</v>
      </c>
      <c r="M194" s="84"/>
    </row>
    <row r="195" spans="8:13" x14ac:dyDescent="0.25">
      <c r="H195" s="114"/>
      <c r="K195" s="15" t="str">
        <f>IF(B195="","Pending",IF(M195="","⚠️ Enter Code",IF(IFERROR(VLOOKUP(L195,DB_Agents!$B:$I,8,0),"")=M195,"Pending","🔒 BLOCKED — Wrong Code")))</f>
        <v>Pending</v>
      </c>
      <c r="M195" s="84"/>
    </row>
    <row r="196" spans="8:13" x14ac:dyDescent="0.25">
      <c r="H196" s="114"/>
      <c r="K196" s="115" t="str">
        <f>IF(B196="","Pending",IF(M196="","⚠️ Enter Code",IF(IFERROR(VLOOKUP(L196,DB_Agents!$B:$I,8,0),"")=M196,"Pending","🔒 BLOCKED — Wrong Code")))</f>
        <v>Pending</v>
      </c>
      <c r="M196" s="84"/>
    </row>
    <row r="197" spans="8:13" x14ac:dyDescent="0.25">
      <c r="H197" s="114"/>
      <c r="K197" s="15" t="str">
        <f>IF(B197="","Pending",IF(M197="","⚠️ Enter Code",IF(IFERROR(VLOOKUP(L197,DB_Agents!$B:$I,8,0),"")=M197,"Pending","🔒 BLOCKED — Wrong Code")))</f>
        <v>Pending</v>
      </c>
      <c r="M197" s="84"/>
    </row>
    <row r="198" spans="8:13" x14ac:dyDescent="0.25">
      <c r="H198" s="114"/>
      <c r="K198" s="115" t="str">
        <f>IF(B198="","Pending",IF(M198="","⚠️ Enter Code",IF(IFERROR(VLOOKUP(L198,DB_Agents!$B:$I,8,0),"")=M198,"Pending","🔒 BLOCKED — Wrong Code")))</f>
        <v>Pending</v>
      </c>
      <c r="M198" s="84"/>
    </row>
    <row r="199" spans="8:13" x14ac:dyDescent="0.25">
      <c r="H199" s="114"/>
      <c r="K199" s="15" t="str">
        <f>IF(B199="","Pending",IF(M199="","⚠️ Enter Code",IF(IFERROR(VLOOKUP(L199,DB_Agents!$B:$I,8,0),"")=M199,"Pending","🔒 BLOCKED — Wrong Code")))</f>
        <v>Pending</v>
      </c>
      <c r="M199" s="84"/>
    </row>
    <row r="200" spans="8:13" x14ac:dyDescent="0.25">
      <c r="H200" s="114"/>
      <c r="K200" s="115" t="str">
        <f>IF(B200="","Pending",IF(M200="","⚠️ Enter Code",IF(IFERROR(VLOOKUP(L200,DB_Agents!$B:$I,8,0),"")=M200,"Pending","🔒 BLOCKED — Wrong Code")))</f>
        <v>Pending</v>
      </c>
      <c r="M200" s="84"/>
    </row>
    <row r="201" spans="8:13" x14ac:dyDescent="0.25">
      <c r="K201" s="15" t="str">
        <f>IF(B201="","Pending",IF(M201="","⚠️ Enter Code",IF(IFERROR(VLOOKUP(L201,DB_Agents!$B:$I,8,0),"")=M201,"Pending","🔒 BLOCKED — Wrong Code")))</f>
        <v>Pending</v>
      </c>
      <c r="M201" s="84"/>
    </row>
    <row r="202" spans="8:13" x14ac:dyDescent="0.25">
      <c r="K202" s="115" t="str">
        <f>IF(B202="","Pending",IF(M202="","⚠️ Enter Code",IF(IFERROR(VLOOKUP(L202,DB_Agents!$B:$I,8,0),"")=M202,"Pending","🔒 BLOCKED — Wrong Code")))</f>
        <v>Pending</v>
      </c>
      <c r="M202" s="84"/>
    </row>
    <row r="203" spans="8:13" x14ac:dyDescent="0.25">
      <c r="K203" s="15" t="str">
        <f>IF(B203="","Pending",IF(M203="","⚠️ Enter Code",IF(IFERROR(VLOOKUP(L203,DB_Agents!$B:$I,8,0),"")=M203,"Pending","🔒 BLOCKED — Wrong Code")))</f>
        <v>Pending</v>
      </c>
      <c r="M203" s="84"/>
    </row>
    <row r="204" spans="8:13" x14ac:dyDescent="0.25">
      <c r="K204" s="115" t="str">
        <f>IF(B204="","Pending",IF(M204="","⚠️ Enter Code",IF(IFERROR(VLOOKUP(L204,DB_Agents!$B:$I,8,0),"")=M204,"Pending","🔒 BLOCKED — Wrong Code")))</f>
        <v>Pending</v>
      </c>
      <c r="M204" s="84"/>
    </row>
    <row r="205" spans="8:13" x14ac:dyDescent="0.25">
      <c r="K205" s="15" t="str">
        <f>IF(B205="","Pending",IF(M205="","⚠️ Enter Code",IF(IFERROR(VLOOKUP(L205,DB_Agents!$B:$I,8,0),"")=M205,"Pending","🔒 BLOCKED — Wrong Code")))</f>
        <v>Pending</v>
      </c>
      <c r="M205" s="84"/>
    </row>
    <row r="206" spans="8:13" x14ac:dyDescent="0.25">
      <c r="K206" s="115" t="str">
        <f>IF(B206="","Pending",IF(M206="","⚠️ Enter Code",IF(IFERROR(VLOOKUP(L206,DB_Agents!$B:$I,8,0),"")=M206,"Pending","🔒 BLOCKED — Wrong Code")))</f>
        <v>Pending</v>
      </c>
      <c r="M206" s="84"/>
    </row>
    <row r="207" spans="8:13" x14ac:dyDescent="0.25">
      <c r="K207" s="15" t="str">
        <f>IF(B207="","Pending",IF(M207="","⚠️ Enter Code",IF(IFERROR(VLOOKUP(L207,DB_Agents!$B:$I,8,0),"")=M207,"Pending","🔒 BLOCKED — Wrong Code")))</f>
        <v>Pending</v>
      </c>
      <c r="M207" s="84"/>
    </row>
    <row r="208" spans="8:13" x14ac:dyDescent="0.25">
      <c r="K208" s="115" t="str">
        <f>IF(B208="","Pending",IF(M208="","⚠️ Enter Code",IF(IFERROR(VLOOKUP(L208,DB_Agents!$B:$I,8,0),"")=M208,"Pending","🔒 BLOCKED — Wrong Code")))</f>
        <v>Pending</v>
      </c>
      <c r="M208" s="84"/>
    </row>
    <row r="209" spans="11:13" x14ac:dyDescent="0.25">
      <c r="K209" s="15" t="str">
        <f>IF(B209="","Pending",IF(M209="","⚠️ Enter Code",IF(IFERROR(VLOOKUP(L209,DB_Agents!$B:$I,8,0),"")=M209,"Pending","🔒 BLOCKED — Wrong Code")))</f>
        <v>Pending</v>
      </c>
      <c r="M209" s="84"/>
    </row>
    <row r="210" spans="11:13" x14ac:dyDescent="0.25">
      <c r="K210" s="115" t="str">
        <f>IF(B210="","Pending",IF(M210="","⚠️ Enter Code",IF(IFERROR(VLOOKUP(L210,DB_Agents!$B:$I,8,0),"")=M210,"Pending","🔒 BLOCKED — Wrong Code")))</f>
        <v>Pending</v>
      </c>
      <c r="M210" s="84"/>
    </row>
    <row r="211" spans="11:13" x14ac:dyDescent="0.25">
      <c r="K211" s="15" t="str">
        <f>IF(B211="","Pending",IF(M211="","⚠️ Enter Code",IF(IFERROR(VLOOKUP(L211,DB_Agents!$B:$I,8,0),"")=M211,"Pending","🔒 BLOCKED — Wrong Code")))</f>
        <v>Pending</v>
      </c>
      <c r="M211" s="84"/>
    </row>
    <row r="212" spans="11:13" x14ac:dyDescent="0.25">
      <c r="K212" s="115" t="str">
        <f>IF(B212="","Pending",IF(M212="","⚠️ Enter Code",IF(IFERROR(VLOOKUP(L212,DB_Agents!$B:$I,8,0),"")=M212,"Pending","🔒 BLOCKED — Wrong Code")))</f>
        <v>Pending</v>
      </c>
      <c r="M212" s="84"/>
    </row>
    <row r="213" spans="11:13" x14ac:dyDescent="0.25">
      <c r="K213" s="15" t="str">
        <f>IF(B213="","Pending",IF(M213="","⚠️ Enter Code",IF(IFERROR(VLOOKUP(L213,DB_Agents!$B:$I,8,0),"")=M213,"Pending","🔒 BLOCKED — Wrong Code")))</f>
        <v>Pending</v>
      </c>
      <c r="M213" s="84"/>
    </row>
  </sheetData>
  <mergeCells count="10">
    <mergeCell ref="B7:D7"/>
    <mergeCell ref="B8:D8"/>
    <mergeCell ref="B9:D9"/>
    <mergeCell ref="B10:D10"/>
    <mergeCell ref="A12:N12"/>
    <mergeCell ref="A1:N1"/>
    <mergeCell ref="A2:N2"/>
    <mergeCell ref="A4:D4"/>
    <mergeCell ref="B5:D5"/>
    <mergeCell ref="B6:D6"/>
  </mergeCells>
  <conditionalFormatting sqref="K14:K113">
    <cfRule type="cellIs" dxfId="5" priority="2" operator="equal">
      <formula>"Approved"</formula>
    </cfRule>
    <cfRule type="cellIs" dxfId="4" priority="3" operator="equal">
      <formula>"Pending"</formula>
    </cfRule>
    <cfRule type="cellIs" dxfId="3" priority="4" operator="equal">
      <formula>"Rejected"</formula>
    </cfRule>
  </conditionalFormatting>
  <dataValidations count="2">
    <dataValidation type="whole" showErrorMessage="1" error="Enter 1-36 months" sqref="G14:G113" xr:uid="{00000000-0002-0000-2200-000000000000}">
      <formula1>1</formula1>
      <formula2>36</formula2>
    </dataValidation>
    <dataValidation type="list" sqref="L14:L113" xr:uid="{00000000-0002-0000-22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tabColor rgb="FFC0392B"/>
  </sheetPr>
  <dimension ref="A1:T23"/>
  <sheetViews>
    <sheetView zoomScaleNormal="100" workbookViewId="0">
      <pane ySplit="3" topLeftCell="A4" activePane="bottomLeft" state="frozen"/>
      <selection pane="bottomLeft"/>
    </sheetView>
  </sheetViews>
  <sheetFormatPr defaultColWidth="8.7109375" defaultRowHeight="15" x14ac:dyDescent="0.25"/>
  <cols>
    <col min="1" max="1" width="18" customWidth="1"/>
    <col min="2" max="3" width="14" customWidth="1"/>
    <col min="4" max="4" width="22" customWidth="1"/>
    <col min="5" max="5" width="14" customWidth="1"/>
    <col min="6" max="6" width="18" customWidth="1"/>
    <col min="7" max="7" width="16" customWidth="1"/>
    <col min="8" max="8" width="12" customWidth="1"/>
    <col min="9" max="9" width="16" customWidth="1"/>
    <col min="10" max="10" width="14" customWidth="1"/>
    <col min="11" max="11" width="10" customWidth="1"/>
    <col min="12" max="12" width="16" customWidth="1"/>
    <col min="13" max="13" width="18" customWidth="1"/>
    <col min="14" max="14" width="16" customWidth="1"/>
    <col min="15" max="15" width="14" customWidth="1"/>
    <col min="16" max="16" width="22" customWidth="1"/>
    <col min="17" max="20" width="18" customWidth="1"/>
  </cols>
  <sheetData>
    <row r="1" spans="1:20" ht="31.5" customHeight="1" x14ac:dyDescent="0.25">
      <c r="A1" s="210" t="s">
        <v>240</v>
      </c>
      <c r="B1" s="210"/>
      <c r="C1" s="210"/>
      <c r="D1" s="210"/>
      <c r="E1" s="210"/>
      <c r="F1" s="210"/>
      <c r="G1" s="210"/>
      <c r="H1" s="210"/>
      <c r="I1" s="210"/>
      <c r="J1" s="210"/>
      <c r="K1" s="210"/>
      <c r="L1" s="210"/>
      <c r="M1" s="210"/>
      <c r="N1" s="210"/>
    </row>
    <row r="2" spans="1:20" ht="19.5" customHeight="1" x14ac:dyDescent="0.25">
      <c r="A2" s="211" t="s">
        <v>241</v>
      </c>
      <c r="B2" s="211"/>
      <c r="C2" s="211"/>
      <c r="D2" s="211"/>
      <c r="E2" s="211"/>
      <c r="F2" s="211"/>
      <c r="G2" s="211"/>
      <c r="H2" s="211"/>
      <c r="I2" s="211"/>
      <c r="J2" s="211"/>
      <c r="K2" s="211"/>
      <c r="L2" s="211"/>
      <c r="M2" s="211"/>
      <c r="N2" s="211"/>
    </row>
    <row r="3" spans="1:20" x14ac:dyDescent="0.25">
      <c r="A3" s="20" t="s">
        <v>242</v>
      </c>
      <c r="B3" s="20" t="s">
        <v>243</v>
      </c>
      <c r="C3" s="20" t="s">
        <v>244</v>
      </c>
      <c r="D3" s="20" t="s">
        <v>245</v>
      </c>
      <c r="E3" s="20" t="s">
        <v>246</v>
      </c>
      <c r="F3" s="20" t="s">
        <v>247</v>
      </c>
      <c r="G3" s="20" t="s">
        <v>149</v>
      </c>
      <c r="H3" s="20" t="s">
        <v>248</v>
      </c>
      <c r="I3" s="20" t="s">
        <v>249</v>
      </c>
      <c r="J3" s="20" t="s">
        <v>250</v>
      </c>
      <c r="K3" s="20" t="s">
        <v>155</v>
      </c>
      <c r="L3" s="20" t="s">
        <v>251</v>
      </c>
      <c r="M3" s="20" t="s">
        <v>252</v>
      </c>
      <c r="N3" s="20" t="s">
        <v>253</v>
      </c>
      <c r="O3" s="116" t="s">
        <v>254</v>
      </c>
      <c r="P3" s="116" t="s">
        <v>255</v>
      </c>
      <c r="Q3" s="100" t="s">
        <v>256</v>
      </c>
      <c r="R3" s="100" t="s">
        <v>119</v>
      </c>
      <c r="S3" s="100" t="s">
        <v>148</v>
      </c>
      <c r="T3" s="100" t="s">
        <v>257</v>
      </c>
    </row>
    <row r="4" spans="1:20" x14ac:dyDescent="0.25">
      <c r="A4" s="27"/>
      <c r="B4" s="27"/>
      <c r="C4" s="27"/>
      <c r="D4" s="25"/>
      <c r="E4" s="27"/>
      <c r="F4" s="27"/>
      <c r="G4" s="25"/>
      <c r="H4" s="27"/>
      <c r="I4" s="26"/>
      <c r="J4" s="117"/>
      <c r="K4" s="27"/>
      <c r="L4" s="26">
        <f>SUMIF(DB_Savings!$C:$C,A4,DB_Savings!$F:$F)</f>
        <v>0</v>
      </c>
      <c r="M4" s="26">
        <f>SUMIF(DB_Withdrawals!$C:$C,A4,DB_Withdrawals!$G:$G)</f>
        <v>0</v>
      </c>
      <c r="N4" s="26">
        <f t="shared" ref="N4:N23" si="0">I4+L4-M4</f>
        <v>0</v>
      </c>
      <c r="O4" t="b">
        <f>TRUE()</f>
        <v>1</v>
      </c>
      <c r="P4">
        <f>MAX(0,N4-System_Config!$B$9)</f>
        <v>0</v>
      </c>
    </row>
    <row r="5" spans="1:20" x14ac:dyDescent="0.25">
      <c r="A5" s="23"/>
      <c r="B5" s="23"/>
      <c r="C5" s="23"/>
      <c r="D5" s="21"/>
      <c r="E5" s="23"/>
      <c r="F5" s="23"/>
      <c r="G5" s="21"/>
      <c r="H5" s="23"/>
      <c r="I5" s="22"/>
      <c r="J5" s="118"/>
      <c r="K5" s="23"/>
      <c r="L5" s="22">
        <f>SUMIF(DB_Savings!$C:$C,A5,DB_Savings!$F:$F)</f>
        <v>0</v>
      </c>
      <c r="M5" s="22">
        <f>SUMIF(DB_Withdrawals!$C:$C,A5,DB_Withdrawals!$G:$G)</f>
        <v>0</v>
      </c>
      <c r="N5" s="22">
        <f t="shared" si="0"/>
        <v>0</v>
      </c>
      <c r="O5" t="b">
        <f>TRUE()</f>
        <v>1</v>
      </c>
      <c r="P5">
        <f>MAX(0,N5-System_Config!$B$9)</f>
        <v>0</v>
      </c>
    </row>
    <row r="6" spans="1:20" x14ac:dyDescent="0.25">
      <c r="A6" s="27"/>
      <c r="B6" s="27"/>
      <c r="C6" s="27"/>
      <c r="D6" s="25"/>
      <c r="E6" s="27"/>
      <c r="F6" s="27"/>
      <c r="G6" s="25"/>
      <c r="H6" s="27"/>
      <c r="I6" s="26"/>
      <c r="J6" s="117"/>
      <c r="K6" s="27"/>
      <c r="L6" s="26">
        <f>SUMIF(DB_Savings!$C:$C,A6,DB_Savings!$F:$F)</f>
        <v>0</v>
      </c>
      <c r="M6" s="26">
        <f>SUMIF(DB_Withdrawals!$C:$C,A6,DB_Withdrawals!$G:$G)</f>
        <v>0</v>
      </c>
      <c r="N6" s="26">
        <f t="shared" si="0"/>
        <v>0</v>
      </c>
      <c r="O6" t="b">
        <f>TRUE()</f>
        <v>1</v>
      </c>
      <c r="P6">
        <f>MAX(0,N6-System_Config!$B$9)</f>
        <v>0</v>
      </c>
    </row>
    <row r="7" spans="1:20" x14ac:dyDescent="0.25">
      <c r="A7" s="23"/>
      <c r="B7" s="23"/>
      <c r="C7" s="23"/>
      <c r="D7" s="21"/>
      <c r="E7" s="23"/>
      <c r="F7" s="23"/>
      <c r="G7" s="21"/>
      <c r="H7" s="23"/>
      <c r="I7" s="22"/>
      <c r="J7" s="118"/>
      <c r="K7" s="23"/>
      <c r="L7" s="22">
        <f>SUMIF(DB_Savings!$C:$C,A7,DB_Savings!$F:$F)</f>
        <v>0</v>
      </c>
      <c r="M7" s="22">
        <f>SUMIF(DB_Withdrawals!$C:$C,A7,DB_Withdrawals!$G:$G)</f>
        <v>0</v>
      </c>
      <c r="N7" s="22">
        <f t="shared" si="0"/>
        <v>0</v>
      </c>
      <c r="O7" t="b">
        <f>TRUE()</f>
        <v>1</v>
      </c>
      <c r="P7">
        <f>MAX(0,N7-System_Config!$B$9)</f>
        <v>0</v>
      </c>
    </row>
    <row r="8" spans="1:20" x14ac:dyDescent="0.25">
      <c r="A8" s="27"/>
      <c r="B8" s="27"/>
      <c r="C8" s="27"/>
      <c r="D8" s="25"/>
      <c r="E8" s="27"/>
      <c r="F8" s="27"/>
      <c r="G8" s="25"/>
      <c r="H8" s="27"/>
      <c r="I8" s="26"/>
      <c r="J8" s="117"/>
      <c r="K8" s="27"/>
      <c r="L8" s="26">
        <f>SUMIF(DB_Savings!$C:$C,A8,DB_Savings!$F:$F)</f>
        <v>0</v>
      </c>
      <c r="M8" s="26">
        <f>SUMIF(DB_Withdrawals!$C:$C,A8,DB_Withdrawals!$G:$G)</f>
        <v>0</v>
      </c>
      <c r="N8" s="26">
        <f t="shared" si="0"/>
        <v>0</v>
      </c>
      <c r="O8" t="b">
        <f>TRUE()</f>
        <v>1</v>
      </c>
      <c r="P8">
        <f>MAX(0,N8-System_Config!$B$9)</f>
        <v>0</v>
      </c>
    </row>
    <row r="9" spans="1:20" x14ac:dyDescent="0.25">
      <c r="A9" s="23"/>
      <c r="B9" s="23"/>
      <c r="C9" s="23"/>
      <c r="D9" s="21"/>
      <c r="E9" s="23"/>
      <c r="F9" s="23"/>
      <c r="G9" s="21"/>
      <c r="H9" s="23"/>
      <c r="I9" s="22"/>
      <c r="J9" s="118"/>
      <c r="K9" s="23"/>
      <c r="L9" s="22">
        <f>SUMIF(DB_Savings!$C:$C,A9,DB_Savings!$F:$F)</f>
        <v>0</v>
      </c>
      <c r="M9" s="22">
        <f>SUMIF(DB_Withdrawals!$C:$C,A9,DB_Withdrawals!$G:$G)</f>
        <v>0</v>
      </c>
      <c r="N9" s="22">
        <f t="shared" si="0"/>
        <v>0</v>
      </c>
      <c r="O9" t="b">
        <f>TRUE()</f>
        <v>1</v>
      </c>
      <c r="P9">
        <f>MAX(0,N9-System_Config!$B$9)</f>
        <v>0</v>
      </c>
    </row>
    <row r="10" spans="1:20" x14ac:dyDescent="0.25">
      <c r="A10" s="27"/>
      <c r="B10" s="27"/>
      <c r="C10" s="27"/>
      <c r="D10" s="25"/>
      <c r="E10" s="27"/>
      <c r="F10" s="27"/>
      <c r="G10" s="25"/>
      <c r="H10" s="27"/>
      <c r="I10" s="26"/>
      <c r="J10" s="117"/>
      <c r="K10" s="27"/>
      <c r="L10" s="26">
        <f>SUMIF(DB_Savings!$C:$C,A10,DB_Savings!$F:$F)</f>
        <v>0</v>
      </c>
      <c r="M10" s="26">
        <f>SUMIF(DB_Withdrawals!$C:$C,A10,DB_Withdrawals!$G:$G)</f>
        <v>0</v>
      </c>
      <c r="N10" s="26">
        <f t="shared" si="0"/>
        <v>0</v>
      </c>
      <c r="O10" t="b">
        <f>TRUE()</f>
        <v>1</v>
      </c>
      <c r="P10">
        <f>MAX(0,N10-System_Config!$B$9)</f>
        <v>0</v>
      </c>
    </row>
    <row r="11" spans="1:20" x14ac:dyDescent="0.25">
      <c r="A11" s="23"/>
      <c r="B11" s="23"/>
      <c r="C11" s="23"/>
      <c r="D11" s="21"/>
      <c r="E11" s="23"/>
      <c r="F11" s="23"/>
      <c r="G11" s="21"/>
      <c r="H11" s="23"/>
      <c r="I11" s="22"/>
      <c r="J11" s="118"/>
      <c r="K11" s="23"/>
      <c r="L11" s="22">
        <f>SUMIF(DB_Savings!$C:$C,A11,DB_Savings!$F:$F)</f>
        <v>0</v>
      </c>
      <c r="M11" s="22">
        <f>SUMIF(DB_Withdrawals!$C:$C,A11,DB_Withdrawals!$G:$G)</f>
        <v>0</v>
      </c>
      <c r="N11" s="22">
        <f t="shared" si="0"/>
        <v>0</v>
      </c>
      <c r="O11" t="b">
        <f>TRUE()</f>
        <v>1</v>
      </c>
      <c r="P11">
        <f>MAX(0,N11-System_Config!$B$9)</f>
        <v>0</v>
      </c>
    </row>
    <row r="12" spans="1:20" x14ac:dyDescent="0.25">
      <c r="A12" s="27"/>
      <c r="B12" s="27"/>
      <c r="C12" s="27"/>
      <c r="D12" s="25"/>
      <c r="E12" s="27"/>
      <c r="F12" s="27"/>
      <c r="G12" s="25"/>
      <c r="H12" s="27"/>
      <c r="I12" s="26"/>
      <c r="J12" s="117"/>
      <c r="K12" s="27"/>
      <c r="L12" s="26">
        <f>SUMIF(DB_Savings!$C:$C,A12,DB_Savings!$F:$F)</f>
        <v>0</v>
      </c>
      <c r="M12" s="26">
        <f>SUMIF(DB_Withdrawals!$C:$C,A12,DB_Withdrawals!$G:$G)</f>
        <v>0</v>
      </c>
      <c r="N12" s="26">
        <f t="shared" si="0"/>
        <v>0</v>
      </c>
      <c r="O12" t="b">
        <f>TRUE()</f>
        <v>1</v>
      </c>
      <c r="P12">
        <f>MAX(0,N12-System_Config!$B$9)</f>
        <v>0</v>
      </c>
    </row>
    <row r="13" spans="1:20" x14ac:dyDescent="0.25">
      <c r="A13" s="23"/>
      <c r="B13" s="23"/>
      <c r="C13" s="23"/>
      <c r="D13" s="21"/>
      <c r="E13" s="23"/>
      <c r="F13" s="23"/>
      <c r="G13" s="21"/>
      <c r="H13" s="23"/>
      <c r="I13" s="22"/>
      <c r="J13" s="118"/>
      <c r="K13" s="23"/>
      <c r="L13" s="22">
        <f>SUMIF(DB_Savings!$C:$C,A13,DB_Savings!$F:$F)</f>
        <v>0</v>
      </c>
      <c r="M13" s="22">
        <f>SUMIF(DB_Withdrawals!$C:$C,A13,DB_Withdrawals!$G:$G)</f>
        <v>0</v>
      </c>
      <c r="N13" s="22">
        <f t="shared" si="0"/>
        <v>0</v>
      </c>
      <c r="O13" t="b">
        <f>TRUE()</f>
        <v>1</v>
      </c>
      <c r="P13">
        <f>MAX(0,N13-System_Config!$B$9)</f>
        <v>0</v>
      </c>
    </row>
    <row r="14" spans="1:20" x14ac:dyDescent="0.25">
      <c r="A14" s="27"/>
      <c r="B14" s="27"/>
      <c r="C14" s="27"/>
      <c r="D14" s="25"/>
      <c r="E14" s="27"/>
      <c r="F14" s="27"/>
      <c r="G14" s="25"/>
      <c r="H14" s="27"/>
      <c r="I14" s="26"/>
      <c r="J14" s="117"/>
      <c r="K14" s="27"/>
      <c r="L14" s="26">
        <f>SUMIF(DB_Savings!$C:$C,A14,DB_Savings!$F:$F)</f>
        <v>0</v>
      </c>
      <c r="M14" s="26">
        <f>SUMIF(DB_Withdrawals!$C:$C,A14,DB_Withdrawals!$G:$G)</f>
        <v>0</v>
      </c>
      <c r="N14" s="26">
        <f t="shared" si="0"/>
        <v>0</v>
      </c>
      <c r="O14" t="b">
        <f>TRUE()</f>
        <v>1</v>
      </c>
      <c r="P14">
        <f>MAX(0,N14-System_Config!$B$9)</f>
        <v>0</v>
      </c>
    </row>
    <row r="15" spans="1:20" x14ac:dyDescent="0.25">
      <c r="A15" s="23"/>
      <c r="B15" s="23"/>
      <c r="C15" s="23"/>
      <c r="D15" s="21"/>
      <c r="E15" s="23"/>
      <c r="F15" s="23"/>
      <c r="G15" s="21"/>
      <c r="H15" s="23"/>
      <c r="I15" s="22"/>
      <c r="J15" s="118"/>
      <c r="K15" s="23"/>
      <c r="L15" s="22">
        <f>SUMIF(DB_Savings!$C:$C,A15,DB_Savings!$F:$F)</f>
        <v>0</v>
      </c>
      <c r="M15" s="22">
        <f>SUMIF(DB_Withdrawals!$C:$C,A15,DB_Withdrawals!$G:$G)</f>
        <v>0</v>
      </c>
      <c r="N15" s="22">
        <f t="shared" si="0"/>
        <v>0</v>
      </c>
      <c r="O15" t="b">
        <f>TRUE()</f>
        <v>1</v>
      </c>
      <c r="P15">
        <f>MAX(0,N15-System_Config!$B$9)</f>
        <v>0</v>
      </c>
    </row>
    <row r="16" spans="1:20" x14ac:dyDescent="0.25">
      <c r="A16" s="27"/>
      <c r="B16" s="27"/>
      <c r="C16" s="27"/>
      <c r="D16" s="25"/>
      <c r="E16" s="27"/>
      <c r="F16" s="27"/>
      <c r="G16" s="25"/>
      <c r="H16" s="27"/>
      <c r="I16" s="26"/>
      <c r="J16" s="117"/>
      <c r="K16" s="27"/>
      <c r="L16" s="26">
        <f>SUMIF(DB_Savings!$C:$C,A16,DB_Savings!$F:$F)</f>
        <v>0</v>
      </c>
      <c r="M16" s="26">
        <f>SUMIF(DB_Withdrawals!$C:$C,A16,DB_Withdrawals!$G:$G)</f>
        <v>0</v>
      </c>
      <c r="N16" s="26">
        <f t="shared" si="0"/>
        <v>0</v>
      </c>
      <c r="O16" t="b">
        <f>TRUE()</f>
        <v>1</v>
      </c>
      <c r="P16">
        <f>MAX(0,N16-System_Config!$B$9)</f>
        <v>0</v>
      </c>
    </row>
    <row r="17" spans="1:16" x14ac:dyDescent="0.25">
      <c r="A17" s="23"/>
      <c r="B17" s="23"/>
      <c r="C17" s="23"/>
      <c r="D17" s="21"/>
      <c r="E17" s="23"/>
      <c r="F17" s="23"/>
      <c r="G17" s="21"/>
      <c r="H17" s="23"/>
      <c r="I17" s="22"/>
      <c r="J17" s="118"/>
      <c r="K17" s="23"/>
      <c r="L17" s="22">
        <f>SUMIF(DB_Savings!$C:$C,A17,DB_Savings!$F:$F)</f>
        <v>0</v>
      </c>
      <c r="M17" s="22">
        <f>SUMIF(DB_Withdrawals!$C:$C,A17,DB_Withdrawals!$G:$G)</f>
        <v>0</v>
      </c>
      <c r="N17" s="22">
        <f t="shared" si="0"/>
        <v>0</v>
      </c>
      <c r="O17" t="b">
        <f>TRUE()</f>
        <v>1</v>
      </c>
      <c r="P17">
        <f>MAX(0,N17-System_Config!$B$9)</f>
        <v>0</v>
      </c>
    </row>
    <row r="18" spans="1:16" x14ac:dyDescent="0.25">
      <c r="A18" s="27"/>
      <c r="B18" s="27"/>
      <c r="C18" s="27"/>
      <c r="D18" s="25"/>
      <c r="E18" s="27"/>
      <c r="F18" s="27"/>
      <c r="G18" s="25"/>
      <c r="H18" s="27"/>
      <c r="I18" s="26"/>
      <c r="J18" s="117"/>
      <c r="K18" s="27"/>
      <c r="L18" s="26">
        <f>SUMIF(DB_Savings!$C:$C,A18,DB_Savings!$F:$F)</f>
        <v>0</v>
      </c>
      <c r="M18" s="26">
        <f>SUMIF(DB_Withdrawals!$C:$C,A18,DB_Withdrawals!$G:$G)</f>
        <v>0</v>
      </c>
      <c r="N18" s="26">
        <f t="shared" si="0"/>
        <v>0</v>
      </c>
      <c r="O18" t="b">
        <f>TRUE()</f>
        <v>1</v>
      </c>
      <c r="P18">
        <f>MAX(0,N18-System_Config!$B$9)</f>
        <v>0</v>
      </c>
    </row>
    <row r="19" spans="1:16" x14ac:dyDescent="0.25">
      <c r="A19" s="23"/>
      <c r="B19" s="23"/>
      <c r="C19" s="23"/>
      <c r="D19" s="21"/>
      <c r="E19" s="23"/>
      <c r="F19" s="23"/>
      <c r="G19" s="21"/>
      <c r="H19" s="23"/>
      <c r="I19" s="22"/>
      <c r="J19" s="118"/>
      <c r="K19" s="23"/>
      <c r="L19" s="22">
        <f>SUMIF(DB_Savings!$C:$C,A19,DB_Savings!$F:$F)</f>
        <v>0</v>
      </c>
      <c r="M19" s="22">
        <f>SUMIF(DB_Withdrawals!$C:$C,A19,DB_Withdrawals!$G:$G)</f>
        <v>0</v>
      </c>
      <c r="N19" s="22">
        <f t="shared" si="0"/>
        <v>0</v>
      </c>
      <c r="O19" t="b">
        <f>TRUE()</f>
        <v>1</v>
      </c>
      <c r="P19">
        <f>MAX(0,N19-System_Config!$B$9)</f>
        <v>0</v>
      </c>
    </row>
    <row r="20" spans="1:16" x14ac:dyDescent="0.25">
      <c r="A20" s="27"/>
      <c r="B20" s="27"/>
      <c r="C20" s="27"/>
      <c r="D20" s="25"/>
      <c r="E20" s="27"/>
      <c r="F20" s="27"/>
      <c r="G20" s="25"/>
      <c r="H20" s="27"/>
      <c r="I20" s="26"/>
      <c r="J20" s="117"/>
      <c r="K20" s="27"/>
      <c r="L20" s="26">
        <f>SUMIF(DB_Savings!$C:$C,A20,DB_Savings!$F:$F)</f>
        <v>0</v>
      </c>
      <c r="M20" s="26">
        <f>SUMIF(DB_Withdrawals!$C:$C,A20,DB_Withdrawals!$G:$G)</f>
        <v>0</v>
      </c>
      <c r="N20" s="26">
        <f t="shared" si="0"/>
        <v>0</v>
      </c>
      <c r="O20" t="b">
        <f>TRUE()</f>
        <v>1</v>
      </c>
      <c r="P20">
        <f>MAX(0,N20-System_Config!$B$9)</f>
        <v>0</v>
      </c>
    </row>
    <row r="21" spans="1:16" x14ac:dyDescent="0.25">
      <c r="A21" s="23"/>
      <c r="B21" s="23"/>
      <c r="C21" s="23"/>
      <c r="D21" s="21"/>
      <c r="E21" s="23"/>
      <c r="F21" s="23"/>
      <c r="G21" s="21"/>
      <c r="H21" s="23"/>
      <c r="I21" s="22"/>
      <c r="J21" s="118"/>
      <c r="K21" s="23"/>
      <c r="L21" s="22">
        <f>SUMIF(DB_Savings!$C:$C,A21,DB_Savings!$F:$F)</f>
        <v>0</v>
      </c>
      <c r="M21" s="22">
        <f>SUMIF(DB_Withdrawals!$C:$C,A21,DB_Withdrawals!$G:$G)</f>
        <v>0</v>
      </c>
      <c r="N21" s="22">
        <f t="shared" si="0"/>
        <v>0</v>
      </c>
      <c r="O21" t="b">
        <f>TRUE()</f>
        <v>1</v>
      </c>
      <c r="P21">
        <f>MAX(0,N21-System_Config!$B$9)</f>
        <v>0</v>
      </c>
    </row>
    <row r="22" spans="1:16" x14ac:dyDescent="0.25">
      <c r="A22" s="27"/>
      <c r="B22" s="27"/>
      <c r="C22" s="27"/>
      <c r="D22" s="25"/>
      <c r="E22" s="27"/>
      <c r="F22" s="27"/>
      <c r="G22" s="25"/>
      <c r="H22" s="27"/>
      <c r="I22" s="26"/>
      <c r="J22" s="117"/>
      <c r="K22" s="27"/>
      <c r="L22" s="26">
        <f>SUMIF(DB_Savings!$C:$C,A22,DB_Savings!$F:$F)</f>
        <v>0</v>
      </c>
      <c r="M22" s="26">
        <f>SUMIF(DB_Withdrawals!$C:$C,A22,DB_Withdrawals!$G:$G)</f>
        <v>0</v>
      </c>
      <c r="N22" s="26">
        <f t="shared" si="0"/>
        <v>0</v>
      </c>
      <c r="O22" t="b">
        <f>TRUE()</f>
        <v>1</v>
      </c>
      <c r="P22">
        <f>MAX(0,N22-System_Config!$B$9)</f>
        <v>0</v>
      </c>
    </row>
    <row r="23" spans="1:16" x14ac:dyDescent="0.25">
      <c r="A23" s="23"/>
      <c r="B23" s="23"/>
      <c r="C23" s="23"/>
      <c r="D23" s="21"/>
      <c r="E23" s="23"/>
      <c r="F23" s="23"/>
      <c r="G23" s="21"/>
      <c r="H23" s="23"/>
      <c r="I23" s="22"/>
      <c r="J23" s="118"/>
      <c r="K23" s="23"/>
      <c r="L23" s="22">
        <f>SUMIF(DB_Savings!$C:$C,A23,DB_Savings!$F:$F)</f>
        <v>0</v>
      </c>
      <c r="M23" s="22">
        <f>SUMIF(DB_Withdrawals!$C:$C,A23,DB_Withdrawals!$G:$G)</f>
        <v>0</v>
      </c>
      <c r="N23" s="22">
        <f t="shared" si="0"/>
        <v>0</v>
      </c>
      <c r="O23" t="b">
        <f>TRUE()</f>
        <v>1</v>
      </c>
      <c r="P23">
        <f>MAX(0,N23-System_Config!$B$9)</f>
        <v>0</v>
      </c>
    </row>
  </sheetData>
  <autoFilter ref="A3:N3" xr:uid="{00000000-0009-0000-0000-000023000000}"/>
  <mergeCells count="2">
    <mergeCell ref="A1:N1"/>
    <mergeCell ref="A2:N2"/>
  </mergeCells>
  <conditionalFormatting sqref="N4:N23">
    <cfRule type="cellIs" dxfId="2" priority="2" operator="greaterThan">
      <formula>0</formula>
    </cfRule>
  </conditionalFormatting>
  <pageMargins left="0.75" right="0.75" top="1" bottom="1" header="0.511811023622047" footer="0.511811023622047"/>
  <pageSetup paperSize="9" orientation="portrait" horizontalDpi="300" verticalDpi="30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tabColor rgb="FF27AE60"/>
  </sheetPr>
  <dimension ref="A1:K97"/>
  <sheetViews>
    <sheetView zoomScaleNormal="100" workbookViewId="0">
      <pane ySplit="3" topLeftCell="A4" activePane="bottomLeft" state="frozen"/>
      <selection pane="bottomLeft"/>
    </sheetView>
  </sheetViews>
  <sheetFormatPr defaultColWidth="8.7109375" defaultRowHeight="15" x14ac:dyDescent="0.25"/>
  <cols>
    <col min="1" max="1" width="5" customWidth="1"/>
    <col min="2" max="2" width="20" customWidth="1"/>
    <col min="3" max="3" width="16" customWidth="1"/>
    <col min="4" max="4" width="24" customWidth="1"/>
    <col min="5" max="5" width="13" customWidth="1"/>
    <col min="6" max="6" width="14" customWidth="1"/>
    <col min="7" max="7" width="12" customWidth="1"/>
    <col min="8" max="8" width="10" customWidth="1"/>
    <col min="9" max="10" width="22" customWidth="1"/>
    <col min="11" max="11" width="12" customWidth="1"/>
  </cols>
  <sheetData>
    <row r="1" spans="1:11" ht="31.5" customHeight="1" x14ac:dyDescent="0.25">
      <c r="A1" s="14" t="s">
        <v>258</v>
      </c>
      <c r="B1" s="14"/>
      <c r="C1" s="14"/>
      <c r="D1" s="14"/>
      <c r="E1" s="14"/>
      <c r="F1" s="14"/>
      <c r="G1" s="14"/>
      <c r="H1" s="14"/>
      <c r="I1" s="14"/>
      <c r="J1" s="14"/>
    </row>
    <row r="2" spans="1:11" ht="19.5" customHeight="1" x14ac:dyDescent="0.25">
      <c r="A2" s="204" t="s">
        <v>259</v>
      </c>
      <c r="B2" s="204"/>
      <c r="C2" s="204"/>
      <c r="D2" s="204"/>
      <c r="E2" s="204"/>
      <c r="F2" s="204"/>
      <c r="G2" s="204"/>
      <c r="H2" s="204"/>
      <c r="I2" s="204"/>
      <c r="J2" s="204"/>
    </row>
    <row r="3" spans="1:11" x14ac:dyDescent="0.25">
      <c r="A3" s="119" t="s">
        <v>143</v>
      </c>
      <c r="B3" s="119" t="s">
        <v>260</v>
      </c>
      <c r="C3" s="119" t="s">
        <v>242</v>
      </c>
      <c r="D3" s="119" t="s">
        <v>261</v>
      </c>
      <c r="E3" s="119" t="s">
        <v>111</v>
      </c>
      <c r="F3" s="119" t="s">
        <v>262</v>
      </c>
      <c r="G3" s="119" t="s">
        <v>32</v>
      </c>
      <c r="H3" s="119" t="s">
        <v>155</v>
      </c>
      <c r="I3" s="119" t="s">
        <v>263</v>
      </c>
      <c r="J3" s="119" t="s">
        <v>177</v>
      </c>
      <c r="K3" s="116" t="s">
        <v>264</v>
      </c>
    </row>
    <row r="4" spans="1:11" x14ac:dyDescent="0.25">
      <c r="A4" s="27"/>
      <c r="B4" s="27"/>
      <c r="C4" s="27"/>
      <c r="D4" s="25"/>
      <c r="E4" s="117"/>
      <c r="F4" s="26"/>
      <c r="G4" s="27"/>
      <c r="H4" s="120"/>
      <c r="I4" s="27"/>
      <c r="J4" s="27"/>
      <c r="K4" s="121"/>
    </row>
    <row r="5" spans="1:11" x14ac:dyDescent="0.25">
      <c r="A5" s="23"/>
      <c r="B5" s="23"/>
      <c r="C5" s="23"/>
      <c r="D5" s="21"/>
      <c r="E5" s="118"/>
      <c r="F5" s="22"/>
      <c r="G5" s="23"/>
      <c r="H5" s="120"/>
      <c r="I5" s="23"/>
      <c r="J5" s="23"/>
      <c r="K5" s="121"/>
    </row>
    <row r="6" spans="1:11" x14ac:dyDescent="0.25">
      <c r="A6" s="27"/>
      <c r="B6" s="27"/>
      <c r="C6" s="27"/>
      <c r="D6" s="25"/>
      <c r="E6" s="117"/>
      <c r="F6" s="26"/>
      <c r="G6" s="27"/>
      <c r="H6" s="120"/>
      <c r="I6" s="27"/>
      <c r="J6" s="27"/>
      <c r="K6" s="121"/>
    </row>
    <row r="7" spans="1:11" x14ac:dyDescent="0.25">
      <c r="A7" s="23"/>
      <c r="B7" s="23"/>
      <c r="C7" s="23"/>
      <c r="D7" s="21"/>
      <c r="E7" s="118"/>
      <c r="F7" s="22"/>
      <c r="G7" s="23"/>
      <c r="H7" s="120"/>
      <c r="I7" s="23"/>
      <c r="J7" s="23"/>
      <c r="K7" s="121"/>
    </row>
    <row r="8" spans="1:11" x14ac:dyDescent="0.25">
      <c r="A8" s="27"/>
      <c r="B8" s="27"/>
      <c r="C8" s="27"/>
      <c r="D8" s="25"/>
      <c r="E8" s="117"/>
      <c r="F8" s="26"/>
      <c r="G8" s="27"/>
      <c r="H8" s="120"/>
      <c r="I8" s="27"/>
      <c r="J8" s="27"/>
      <c r="K8" s="121"/>
    </row>
    <row r="9" spans="1:11" x14ac:dyDescent="0.25">
      <c r="A9" s="23"/>
      <c r="B9" s="23"/>
      <c r="C9" s="23"/>
      <c r="D9" s="21"/>
      <c r="E9" s="118"/>
      <c r="F9" s="22"/>
      <c r="G9" s="23"/>
      <c r="H9" s="120"/>
      <c r="I9" s="23"/>
      <c r="J9" s="23"/>
      <c r="K9" s="121"/>
    </row>
    <row r="10" spans="1:11" x14ac:dyDescent="0.25">
      <c r="A10" s="27"/>
      <c r="B10" s="27"/>
      <c r="C10" s="27"/>
      <c r="D10" s="25"/>
      <c r="E10" s="117"/>
      <c r="F10" s="26"/>
      <c r="G10" s="27"/>
      <c r="H10" s="120"/>
      <c r="I10" s="27"/>
      <c r="J10" s="27"/>
      <c r="K10" s="121"/>
    </row>
    <row r="11" spans="1:11" x14ac:dyDescent="0.25">
      <c r="A11" s="23"/>
      <c r="B11" s="23"/>
      <c r="C11" s="23"/>
      <c r="D11" s="21"/>
      <c r="E11" s="118"/>
      <c r="F11" s="22"/>
      <c r="G11" s="23"/>
      <c r="H11" s="120"/>
      <c r="I11" s="23"/>
      <c r="J11" s="23"/>
      <c r="K11" s="121"/>
    </row>
    <row r="12" spans="1:11" x14ac:dyDescent="0.25">
      <c r="A12" s="27"/>
      <c r="B12" s="27"/>
      <c r="C12" s="27"/>
      <c r="D12" s="25"/>
      <c r="E12" s="117"/>
      <c r="F12" s="26"/>
      <c r="G12" s="27"/>
      <c r="H12" s="120"/>
      <c r="I12" s="27"/>
      <c r="J12" s="27"/>
      <c r="K12" s="121"/>
    </row>
    <row r="13" spans="1:11" x14ac:dyDescent="0.25">
      <c r="A13" s="23"/>
      <c r="B13" s="23"/>
      <c r="C13" s="23"/>
      <c r="D13" s="21"/>
      <c r="E13" s="118"/>
      <c r="F13" s="22"/>
      <c r="G13" s="23"/>
      <c r="H13" s="120"/>
      <c r="I13" s="23"/>
      <c r="J13" s="23"/>
      <c r="K13" s="121"/>
    </row>
    <row r="14" spans="1:11" x14ac:dyDescent="0.25">
      <c r="A14" s="27"/>
      <c r="B14" s="27"/>
      <c r="C14" s="27"/>
      <c r="D14" s="25"/>
      <c r="E14" s="117"/>
      <c r="F14" s="26"/>
      <c r="G14" s="27"/>
      <c r="H14" s="120"/>
      <c r="I14" s="27"/>
      <c r="J14" s="27"/>
      <c r="K14" s="121"/>
    </row>
    <row r="15" spans="1:11" x14ac:dyDescent="0.25">
      <c r="A15" s="23"/>
      <c r="B15" s="23"/>
      <c r="C15" s="23"/>
      <c r="D15" s="21"/>
      <c r="E15" s="118"/>
      <c r="F15" s="22"/>
      <c r="G15" s="23"/>
      <c r="H15" s="120"/>
      <c r="I15" s="23"/>
      <c r="J15" s="23"/>
      <c r="K15" s="121"/>
    </row>
    <row r="16" spans="1:11" x14ac:dyDescent="0.25">
      <c r="A16" s="27"/>
      <c r="B16" s="27"/>
      <c r="C16" s="27"/>
      <c r="D16" s="25"/>
      <c r="E16" s="117"/>
      <c r="F16" s="26"/>
      <c r="G16" s="27"/>
      <c r="H16" s="120"/>
      <c r="I16" s="27"/>
      <c r="J16" s="27"/>
      <c r="K16" s="121"/>
    </row>
    <row r="17" spans="1:11" x14ac:dyDescent="0.25">
      <c r="A17" s="23"/>
      <c r="B17" s="23"/>
      <c r="C17" s="23"/>
      <c r="D17" s="21"/>
      <c r="E17" s="118"/>
      <c r="F17" s="22"/>
      <c r="G17" s="23"/>
      <c r="H17" s="120"/>
      <c r="I17" s="23"/>
      <c r="J17" s="23"/>
      <c r="K17" s="121"/>
    </row>
    <row r="18" spans="1:11" x14ac:dyDescent="0.25">
      <c r="A18" s="27"/>
      <c r="B18" s="27"/>
      <c r="C18" s="27"/>
      <c r="D18" s="25"/>
      <c r="E18" s="117"/>
      <c r="F18" s="26"/>
      <c r="G18" s="27"/>
      <c r="H18" s="120"/>
      <c r="I18" s="27"/>
      <c r="J18" s="27"/>
      <c r="K18" s="121"/>
    </row>
    <row r="19" spans="1:11" x14ac:dyDescent="0.25">
      <c r="A19" s="23"/>
      <c r="B19" s="23"/>
      <c r="C19" s="23"/>
      <c r="D19" s="21"/>
      <c r="E19" s="118"/>
      <c r="F19" s="22"/>
      <c r="G19" s="23"/>
      <c r="H19" s="120"/>
      <c r="I19" s="23"/>
      <c r="J19" s="23"/>
      <c r="K19" s="121"/>
    </row>
    <row r="20" spans="1:11" x14ac:dyDescent="0.25">
      <c r="A20" s="27"/>
      <c r="B20" s="27"/>
      <c r="C20" s="27"/>
      <c r="D20" s="25"/>
      <c r="E20" s="117"/>
      <c r="F20" s="26"/>
      <c r="G20" s="27"/>
      <c r="H20" s="120"/>
      <c r="I20" s="27"/>
      <c r="J20" s="27"/>
      <c r="K20" s="121"/>
    </row>
    <row r="21" spans="1:11" x14ac:dyDescent="0.25">
      <c r="A21" s="23"/>
      <c r="B21" s="23"/>
      <c r="C21" s="23"/>
      <c r="D21" s="21"/>
      <c r="E21" s="118"/>
      <c r="F21" s="22"/>
      <c r="G21" s="23"/>
      <c r="H21" s="120"/>
      <c r="I21" s="23"/>
      <c r="J21" s="23"/>
      <c r="K21" s="121"/>
    </row>
    <row r="22" spans="1:11" x14ac:dyDescent="0.25">
      <c r="A22" s="27"/>
      <c r="B22" s="27"/>
      <c r="C22" s="27"/>
      <c r="D22" s="25"/>
      <c r="E22" s="117"/>
      <c r="F22" s="26"/>
      <c r="G22" s="27"/>
      <c r="H22" s="120"/>
      <c r="I22" s="27"/>
      <c r="J22" s="27"/>
      <c r="K22" s="121"/>
    </row>
    <row r="23" spans="1:11" x14ac:dyDescent="0.25">
      <c r="A23" s="23"/>
      <c r="B23" s="23"/>
      <c r="C23" s="23"/>
      <c r="D23" s="21"/>
      <c r="E23" s="118"/>
      <c r="F23" s="22"/>
      <c r="G23" s="23"/>
      <c r="H23" s="120"/>
      <c r="I23" s="23"/>
      <c r="J23" s="23"/>
      <c r="K23" s="121"/>
    </row>
    <row r="24" spans="1:11" x14ac:dyDescent="0.25">
      <c r="A24" s="27"/>
      <c r="B24" s="27"/>
      <c r="C24" s="27"/>
      <c r="D24" s="25"/>
      <c r="E24" s="117"/>
      <c r="F24" s="26"/>
      <c r="G24" s="27"/>
      <c r="H24" s="120"/>
      <c r="I24" s="27"/>
      <c r="J24" s="27"/>
      <c r="K24" s="121"/>
    </row>
    <row r="25" spans="1:11" x14ac:dyDescent="0.25">
      <c r="A25" s="23"/>
      <c r="B25" s="23"/>
      <c r="C25" s="23"/>
      <c r="D25" s="21"/>
      <c r="E25" s="118"/>
      <c r="F25" s="22"/>
      <c r="G25" s="23"/>
      <c r="H25" s="120"/>
      <c r="I25" s="23"/>
      <c r="J25" s="23"/>
      <c r="K25" s="121"/>
    </row>
    <row r="26" spans="1:11" x14ac:dyDescent="0.25">
      <c r="A26" s="27"/>
      <c r="B26" s="27"/>
      <c r="C26" s="27"/>
      <c r="D26" s="25"/>
      <c r="E26" s="117"/>
      <c r="F26" s="26"/>
      <c r="G26" s="27"/>
      <c r="H26" s="120"/>
      <c r="I26" s="27"/>
      <c r="J26" s="27"/>
      <c r="K26" s="121"/>
    </row>
    <row r="27" spans="1:11" x14ac:dyDescent="0.25">
      <c r="A27" s="23"/>
      <c r="B27" s="23"/>
      <c r="C27" s="23"/>
      <c r="D27" s="21"/>
      <c r="E27" s="118"/>
      <c r="F27" s="22"/>
      <c r="G27" s="23"/>
      <c r="H27" s="120"/>
      <c r="I27" s="23"/>
      <c r="J27" s="23"/>
      <c r="K27" s="121"/>
    </row>
    <row r="28" spans="1:11" x14ac:dyDescent="0.25">
      <c r="A28" s="27"/>
      <c r="B28" s="27"/>
      <c r="C28" s="27"/>
      <c r="D28" s="25"/>
      <c r="E28" s="117"/>
      <c r="F28" s="26"/>
      <c r="G28" s="27"/>
      <c r="H28" s="120"/>
      <c r="I28" s="27"/>
      <c r="J28" s="27"/>
      <c r="K28" s="121"/>
    </row>
    <row r="29" spans="1:11" x14ac:dyDescent="0.25">
      <c r="A29" s="23"/>
      <c r="B29" s="23"/>
      <c r="C29" s="23"/>
      <c r="D29" s="21"/>
      <c r="E29" s="118"/>
      <c r="F29" s="22"/>
      <c r="G29" s="23"/>
      <c r="H29" s="120"/>
      <c r="I29" s="23"/>
      <c r="J29" s="23"/>
      <c r="K29" s="121"/>
    </row>
    <row r="30" spans="1:11" x14ac:dyDescent="0.25">
      <c r="A30" s="27"/>
      <c r="B30" s="27"/>
      <c r="C30" s="27"/>
      <c r="D30" s="25"/>
      <c r="E30" s="117"/>
      <c r="F30" s="26"/>
      <c r="G30" s="27"/>
      <c r="H30" s="120"/>
      <c r="I30" s="27"/>
      <c r="J30" s="27"/>
      <c r="K30" s="121"/>
    </row>
    <row r="31" spans="1:11" x14ac:dyDescent="0.25">
      <c r="A31" s="23"/>
      <c r="B31" s="23"/>
      <c r="C31" s="23"/>
      <c r="D31" s="21"/>
      <c r="E31" s="118"/>
      <c r="F31" s="22"/>
      <c r="G31" s="23"/>
      <c r="H31" s="120"/>
      <c r="I31" s="23"/>
      <c r="J31" s="23"/>
      <c r="K31" s="121"/>
    </row>
    <row r="32" spans="1:11" x14ac:dyDescent="0.25">
      <c r="A32" s="27"/>
      <c r="B32" s="27"/>
      <c r="C32" s="27"/>
      <c r="D32" s="25"/>
      <c r="E32" s="117"/>
      <c r="F32" s="26"/>
      <c r="G32" s="27"/>
      <c r="H32" s="120"/>
      <c r="I32" s="27"/>
      <c r="J32" s="27"/>
      <c r="K32" s="121"/>
    </row>
    <row r="33" spans="1:11" x14ac:dyDescent="0.25">
      <c r="A33" s="23"/>
      <c r="B33" s="23"/>
      <c r="C33" s="23"/>
      <c r="D33" s="21"/>
      <c r="E33" s="118"/>
      <c r="F33" s="22"/>
      <c r="G33" s="23"/>
      <c r="H33" s="120"/>
      <c r="I33" s="23"/>
      <c r="J33" s="23"/>
      <c r="K33" s="121"/>
    </row>
    <row r="34" spans="1:11" x14ac:dyDescent="0.25">
      <c r="A34" s="27"/>
      <c r="B34" s="27"/>
      <c r="C34" s="27"/>
      <c r="D34" s="25"/>
      <c r="E34" s="117"/>
      <c r="F34" s="26"/>
      <c r="G34" s="27"/>
      <c r="H34" s="120"/>
      <c r="I34" s="27"/>
      <c r="J34" s="27"/>
      <c r="K34" s="121"/>
    </row>
    <row r="35" spans="1:11" x14ac:dyDescent="0.25">
      <c r="A35" s="23"/>
      <c r="B35" s="23"/>
      <c r="C35" s="23"/>
      <c r="D35" s="21"/>
      <c r="E35" s="118"/>
      <c r="F35" s="22"/>
      <c r="G35" s="23"/>
      <c r="H35" s="120"/>
      <c r="I35" s="23"/>
      <c r="J35" s="23"/>
      <c r="K35" s="121"/>
    </row>
    <row r="36" spans="1:11" x14ac:dyDescent="0.25">
      <c r="A36" s="27"/>
      <c r="B36" s="27"/>
      <c r="C36" s="27"/>
      <c r="D36" s="25"/>
      <c r="E36" s="117"/>
      <c r="F36" s="26"/>
      <c r="G36" s="27"/>
      <c r="H36" s="120"/>
      <c r="I36" s="27"/>
      <c r="J36" s="27"/>
      <c r="K36" s="121"/>
    </row>
    <row r="37" spans="1:11" x14ac:dyDescent="0.25">
      <c r="A37" s="23"/>
      <c r="B37" s="23"/>
      <c r="C37" s="23"/>
      <c r="D37" s="21"/>
      <c r="E37" s="118"/>
      <c r="F37" s="22"/>
      <c r="G37" s="23"/>
      <c r="H37" s="120"/>
      <c r="I37" s="23"/>
      <c r="J37" s="23"/>
      <c r="K37" s="121"/>
    </row>
    <row r="38" spans="1:11" x14ac:dyDescent="0.25">
      <c r="A38" s="27"/>
      <c r="B38" s="27"/>
      <c r="C38" s="27"/>
      <c r="D38" s="25"/>
      <c r="E38" s="117"/>
      <c r="F38" s="26"/>
      <c r="G38" s="27"/>
      <c r="H38" s="120"/>
      <c r="I38" s="27"/>
      <c r="J38" s="27"/>
      <c r="K38" s="121"/>
    </row>
    <row r="39" spans="1:11" x14ac:dyDescent="0.25">
      <c r="A39" s="23"/>
      <c r="B39" s="23"/>
      <c r="C39" s="23"/>
      <c r="D39" s="21"/>
      <c r="E39" s="118"/>
      <c r="F39" s="22"/>
      <c r="G39" s="23"/>
      <c r="H39" s="120"/>
      <c r="I39" s="23"/>
      <c r="J39" s="23"/>
      <c r="K39" s="121"/>
    </row>
    <row r="40" spans="1:11" x14ac:dyDescent="0.25">
      <c r="A40" s="27"/>
      <c r="B40" s="27"/>
      <c r="C40" s="27"/>
      <c r="D40" s="25"/>
      <c r="E40" s="117"/>
      <c r="F40" s="26"/>
      <c r="G40" s="27"/>
      <c r="H40" s="120"/>
      <c r="I40" s="27"/>
      <c r="J40" s="27"/>
      <c r="K40" s="121"/>
    </row>
    <row r="41" spans="1:11" x14ac:dyDescent="0.25">
      <c r="A41" s="23"/>
      <c r="B41" s="23"/>
      <c r="C41" s="23"/>
      <c r="D41" s="21"/>
      <c r="E41" s="118"/>
      <c r="F41" s="22"/>
      <c r="G41" s="23"/>
      <c r="H41" s="120"/>
      <c r="I41" s="23"/>
      <c r="J41" s="23"/>
      <c r="K41" s="121"/>
    </row>
    <row r="42" spans="1:11" x14ac:dyDescent="0.25">
      <c r="A42" s="27"/>
      <c r="B42" s="27"/>
      <c r="C42" s="27"/>
      <c r="D42" s="25"/>
      <c r="E42" s="117"/>
      <c r="F42" s="26"/>
      <c r="G42" s="27"/>
      <c r="H42" s="120"/>
      <c r="I42" s="27"/>
      <c r="J42" s="27"/>
      <c r="K42" s="121"/>
    </row>
    <row r="43" spans="1:11" x14ac:dyDescent="0.25">
      <c r="A43" s="23"/>
      <c r="B43" s="23"/>
      <c r="C43" s="23"/>
      <c r="D43" s="21"/>
      <c r="E43" s="118"/>
      <c r="F43" s="22"/>
      <c r="G43" s="23"/>
      <c r="H43" s="120"/>
      <c r="I43" s="23"/>
      <c r="J43" s="23"/>
      <c r="K43" s="121"/>
    </row>
    <row r="44" spans="1:11" x14ac:dyDescent="0.25">
      <c r="A44" s="27"/>
      <c r="B44" s="27"/>
      <c r="C44" s="27"/>
      <c r="D44" s="25"/>
      <c r="E44" s="117"/>
      <c r="F44" s="26"/>
      <c r="G44" s="27"/>
      <c r="H44" s="120"/>
      <c r="I44" s="27"/>
      <c r="J44" s="27"/>
      <c r="K44" s="121"/>
    </row>
    <row r="45" spans="1:11" x14ac:dyDescent="0.25">
      <c r="A45" s="23"/>
      <c r="B45" s="23"/>
      <c r="C45" s="23"/>
      <c r="D45" s="21"/>
      <c r="E45" s="118"/>
      <c r="F45" s="22"/>
      <c r="G45" s="23"/>
      <c r="H45" s="120"/>
      <c r="I45" s="23"/>
      <c r="J45" s="23"/>
      <c r="K45" s="121"/>
    </row>
    <row r="46" spans="1:11" x14ac:dyDescent="0.25">
      <c r="A46" s="27"/>
      <c r="B46" s="27"/>
      <c r="C46" s="27"/>
      <c r="D46" s="25"/>
      <c r="E46" s="117"/>
      <c r="F46" s="26"/>
      <c r="G46" s="27"/>
      <c r="H46" s="120"/>
      <c r="I46" s="27"/>
      <c r="J46" s="27"/>
      <c r="K46" s="121"/>
    </row>
    <row r="47" spans="1:11" x14ac:dyDescent="0.25">
      <c r="A47" s="23"/>
      <c r="B47" s="23"/>
      <c r="C47" s="23"/>
      <c r="D47" s="21"/>
      <c r="E47" s="118"/>
      <c r="F47" s="22"/>
      <c r="G47" s="23"/>
      <c r="H47" s="120"/>
      <c r="I47" s="23"/>
      <c r="J47" s="23"/>
      <c r="K47" s="121"/>
    </row>
    <row r="48" spans="1:11" x14ac:dyDescent="0.25">
      <c r="A48" s="27"/>
      <c r="B48" s="27"/>
      <c r="C48" s="27"/>
      <c r="D48" s="25"/>
      <c r="E48" s="117"/>
      <c r="F48" s="26"/>
      <c r="G48" s="27"/>
      <c r="H48" s="120"/>
      <c r="I48" s="27"/>
      <c r="J48" s="27"/>
      <c r="K48" s="121"/>
    </row>
    <row r="49" spans="1:11" x14ac:dyDescent="0.25">
      <c r="A49" s="23"/>
      <c r="B49" s="23"/>
      <c r="C49" s="23"/>
      <c r="D49" s="21"/>
      <c r="E49" s="118"/>
      <c r="F49" s="22"/>
      <c r="G49" s="23"/>
      <c r="H49" s="120"/>
      <c r="I49" s="23"/>
      <c r="J49" s="23"/>
      <c r="K49" s="121"/>
    </row>
    <row r="50" spans="1:11" x14ac:dyDescent="0.25">
      <c r="A50" s="27"/>
      <c r="B50" s="27"/>
      <c r="C50" s="27"/>
      <c r="D50" s="25"/>
      <c r="E50" s="117"/>
      <c r="F50" s="26"/>
      <c r="G50" s="27"/>
      <c r="H50" s="120"/>
      <c r="I50" s="27"/>
      <c r="J50" s="27"/>
      <c r="K50" s="121"/>
    </row>
    <row r="51" spans="1:11" x14ac:dyDescent="0.25">
      <c r="A51" s="23"/>
      <c r="B51" s="23"/>
      <c r="C51" s="23"/>
      <c r="D51" s="21"/>
      <c r="E51" s="118"/>
      <c r="F51" s="22"/>
      <c r="G51" s="23"/>
      <c r="H51" s="120"/>
      <c r="I51" s="23"/>
      <c r="J51" s="23"/>
      <c r="K51" s="121"/>
    </row>
    <row r="52" spans="1:11" x14ac:dyDescent="0.25">
      <c r="A52" s="27"/>
      <c r="B52" s="27"/>
      <c r="C52" s="27"/>
      <c r="D52" s="25"/>
      <c r="E52" s="117"/>
      <c r="F52" s="26"/>
      <c r="G52" s="27"/>
      <c r="H52" s="120"/>
      <c r="I52" s="27"/>
      <c r="J52" s="27"/>
      <c r="K52" s="121"/>
    </row>
    <row r="53" spans="1:11" x14ac:dyDescent="0.25">
      <c r="A53" s="23"/>
      <c r="B53" s="23"/>
      <c r="C53" s="23"/>
      <c r="D53" s="21"/>
      <c r="E53" s="118"/>
      <c r="F53" s="22"/>
      <c r="G53" s="23"/>
      <c r="H53" s="120"/>
      <c r="I53" s="23"/>
      <c r="J53" s="23"/>
      <c r="K53" s="121"/>
    </row>
    <row r="54" spans="1:11" x14ac:dyDescent="0.25">
      <c r="A54" s="27"/>
      <c r="B54" s="27"/>
      <c r="C54" s="27"/>
      <c r="D54" s="25"/>
      <c r="E54" s="117"/>
      <c r="F54" s="26"/>
      <c r="G54" s="27"/>
      <c r="H54" s="120"/>
      <c r="I54" s="27"/>
      <c r="J54" s="27"/>
      <c r="K54" s="121"/>
    </row>
    <row r="55" spans="1:11" x14ac:dyDescent="0.25">
      <c r="A55" s="23"/>
      <c r="B55" s="23"/>
      <c r="C55" s="23"/>
      <c r="D55" s="21"/>
      <c r="E55" s="118"/>
      <c r="F55" s="22"/>
      <c r="G55" s="23"/>
      <c r="H55" s="120"/>
      <c r="I55" s="23"/>
      <c r="J55" s="23"/>
      <c r="K55" s="121"/>
    </row>
    <row r="56" spans="1:11" x14ac:dyDescent="0.25">
      <c r="A56" s="27"/>
      <c r="B56" s="27"/>
      <c r="C56" s="27"/>
      <c r="D56" s="25"/>
      <c r="E56" s="117"/>
      <c r="F56" s="26"/>
      <c r="G56" s="27"/>
      <c r="H56" s="120"/>
      <c r="I56" s="27"/>
      <c r="J56" s="27"/>
      <c r="K56" s="121"/>
    </row>
    <row r="57" spans="1:11" x14ac:dyDescent="0.25">
      <c r="A57" s="23"/>
      <c r="B57" s="23"/>
      <c r="C57" s="23"/>
      <c r="D57" s="21"/>
      <c r="E57" s="118"/>
      <c r="F57" s="22"/>
      <c r="G57" s="23"/>
      <c r="H57" s="120"/>
      <c r="I57" s="23"/>
      <c r="J57" s="23"/>
      <c r="K57" s="121"/>
    </row>
    <row r="58" spans="1:11" x14ac:dyDescent="0.25">
      <c r="A58" s="27"/>
      <c r="B58" s="27"/>
      <c r="C58" s="27"/>
      <c r="D58" s="25"/>
      <c r="E58" s="117"/>
      <c r="F58" s="26"/>
      <c r="G58" s="27"/>
      <c r="H58" s="120"/>
      <c r="I58" s="27"/>
      <c r="J58" s="27"/>
      <c r="K58" s="121"/>
    </row>
    <row r="59" spans="1:11" x14ac:dyDescent="0.25">
      <c r="A59" s="23"/>
      <c r="B59" s="23"/>
      <c r="C59" s="23"/>
      <c r="D59" s="21"/>
      <c r="E59" s="118"/>
      <c r="F59" s="22"/>
      <c r="G59" s="23"/>
      <c r="H59" s="120"/>
      <c r="I59" s="23"/>
      <c r="J59" s="23"/>
      <c r="K59" s="121"/>
    </row>
    <row r="60" spans="1:11" x14ac:dyDescent="0.25">
      <c r="A60" s="27"/>
      <c r="B60" s="27"/>
      <c r="C60" s="27"/>
      <c r="D60" s="25"/>
      <c r="E60" s="117"/>
      <c r="F60" s="26"/>
      <c r="G60" s="27"/>
      <c r="H60" s="120"/>
      <c r="I60" s="27"/>
      <c r="J60" s="27"/>
      <c r="K60" s="121"/>
    </row>
    <row r="61" spans="1:11" x14ac:dyDescent="0.25">
      <c r="A61" s="23"/>
      <c r="B61" s="23"/>
      <c r="C61" s="23"/>
      <c r="D61" s="21"/>
      <c r="E61" s="118"/>
      <c r="F61" s="22"/>
      <c r="G61" s="23"/>
      <c r="H61" s="120"/>
      <c r="I61" s="23"/>
      <c r="J61" s="23"/>
      <c r="K61" s="121"/>
    </row>
    <row r="62" spans="1:11" x14ac:dyDescent="0.25">
      <c r="A62" s="27"/>
      <c r="B62" s="27"/>
      <c r="C62" s="27"/>
      <c r="D62" s="25"/>
      <c r="E62" s="117"/>
      <c r="F62" s="26"/>
      <c r="G62" s="27"/>
      <c r="H62" s="120"/>
      <c r="I62" s="27"/>
      <c r="J62" s="27"/>
      <c r="K62" s="121"/>
    </row>
    <row r="63" spans="1:11" x14ac:dyDescent="0.25">
      <c r="A63" s="23"/>
      <c r="B63" s="23"/>
      <c r="C63" s="23"/>
      <c r="D63" s="21"/>
      <c r="E63" s="118"/>
      <c r="F63" s="22"/>
      <c r="G63" s="23"/>
      <c r="H63" s="120"/>
      <c r="I63" s="23"/>
      <c r="J63" s="23"/>
      <c r="K63" s="121"/>
    </row>
    <row r="64" spans="1:11" x14ac:dyDescent="0.25">
      <c r="A64" s="27"/>
      <c r="B64" s="27"/>
      <c r="C64" s="27"/>
      <c r="D64" s="25"/>
      <c r="E64" s="117"/>
      <c r="F64" s="26"/>
      <c r="G64" s="27"/>
      <c r="H64" s="120"/>
      <c r="I64" s="27"/>
      <c r="J64" s="27"/>
      <c r="K64" s="121"/>
    </row>
    <row r="65" spans="1:11" x14ac:dyDescent="0.25">
      <c r="A65" s="23"/>
      <c r="B65" s="23"/>
      <c r="C65" s="23"/>
      <c r="D65" s="21"/>
      <c r="E65" s="118"/>
      <c r="F65" s="22"/>
      <c r="G65" s="23"/>
      <c r="H65" s="120"/>
      <c r="I65" s="23"/>
      <c r="J65" s="23"/>
      <c r="K65" s="121"/>
    </row>
    <row r="66" spans="1:11" x14ac:dyDescent="0.25">
      <c r="A66" s="27"/>
      <c r="B66" s="27"/>
      <c r="C66" s="27"/>
      <c r="D66" s="25"/>
      <c r="E66" s="117"/>
      <c r="F66" s="26"/>
      <c r="G66" s="27"/>
      <c r="H66" s="120"/>
      <c r="I66" s="27"/>
      <c r="J66" s="27"/>
      <c r="K66" s="121"/>
    </row>
    <row r="67" spans="1:11" x14ac:dyDescent="0.25">
      <c r="A67" s="23"/>
      <c r="B67" s="23"/>
      <c r="C67" s="23"/>
      <c r="D67" s="21"/>
      <c r="E67" s="118"/>
      <c r="F67" s="22"/>
      <c r="G67" s="23"/>
      <c r="H67" s="120"/>
      <c r="I67" s="23"/>
      <c r="J67" s="23"/>
      <c r="K67" s="121"/>
    </row>
    <row r="68" spans="1:11" x14ac:dyDescent="0.25">
      <c r="A68" s="27"/>
      <c r="B68" s="27"/>
      <c r="C68" s="27"/>
      <c r="D68" s="25"/>
      <c r="E68" s="117"/>
      <c r="F68" s="26"/>
      <c r="G68" s="27"/>
      <c r="H68" s="120"/>
      <c r="I68" s="27"/>
      <c r="J68" s="27"/>
      <c r="K68" s="121"/>
    </row>
    <row r="69" spans="1:11" x14ac:dyDescent="0.25">
      <c r="A69" s="23"/>
      <c r="B69" s="23"/>
      <c r="C69" s="23"/>
      <c r="D69" s="21"/>
      <c r="E69" s="118"/>
      <c r="F69" s="22"/>
      <c r="G69" s="23"/>
      <c r="H69" s="120"/>
      <c r="I69" s="23"/>
      <c r="J69" s="23"/>
      <c r="K69" s="121"/>
    </row>
    <row r="70" spans="1:11" x14ac:dyDescent="0.25">
      <c r="A70" s="27"/>
      <c r="B70" s="27"/>
      <c r="C70" s="27"/>
      <c r="D70" s="25"/>
      <c r="E70" s="117"/>
      <c r="F70" s="26"/>
      <c r="G70" s="27"/>
      <c r="H70" s="120"/>
      <c r="I70" s="27"/>
      <c r="J70" s="27"/>
      <c r="K70" s="121"/>
    </row>
    <row r="71" spans="1:11" x14ac:dyDescent="0.25">
      <c r="A71" s="23"/>
      <c r="B71" s="23"/>
      <c r="C71" s="23"/>
      <c r="D71" s="21"/>
      <c r="E71" s="118"/>
      <c r="F71" s="22"/>
      <c r="G71" s="23"/>
      <c r="H71" s="120"/>
      <c r="I71" s="23"/>
      <c r="J71" s="23"/>
      <c r="K71" s="121"/>
    </row>
    <row r="72" spans="1:11" x14ac:dyDescent="0.25">
      <c r="A72" s="27"/>
      <c r="B72" s="27"/>
      <c r="C72" s="27"/>
      <c r="D72" s="25"/>
      <c r="E72" s="117"/>
      <c r="F72" s="26"/>
      <c r="G72" s="27"/>
      <c r="H72" s="120"/>
      <c r="I72" s="27"/>
      <c r="J72" s="27"/>
      <c r="K72" s="121"/>
    </row>
    <row r="73" spans="1:11" x14ac:dyDescent="0.25">
      <c r="A73" s="23"/>
      <c r="B73" s="23"/>
      <c r="C73" s="23"/>
      <c r="D73" s="21"/>
      <c r="E73" s="118"/>
      <c r="F73" s="22"/>
      <c r="G73" s="23"/>
      <c r="H73" s="120"/>
      <c r="I73" s="23"/>
      <c r="J73" s="23"/>
      <c r="K73" s="121"/>
    </row>
    <row r="74" spans="1:11" x14ac:dyDescent="0.25">
      <c r="A74" s="27"/>
      <c r="B74" s="27"/>
      <c r="C74" s="27"/>
      <c r="D74" s="25"/>
      <c r="E74" s="117"/>
      <c r="F74" s="26"/>
      <c r="G74" s="27"/>
      <c r="H74" s="120"/>
      <c r="I74" s="27"/>
      <c r="J74" s="27"/>
      <c r="K74" s="121"/>
    </row>
    <row r="75" spans="1:11" x14ac:dyDescent="0.25">
      <c r="A75" s="23"/>
      <c r="B75" s="23"/>
      <c r="C75" s="23"/>
      <c r="D75" s="21"/>
      <c r="E75" s="118"/>
      <c r="F75" s="22"/>
      <c r="G75" s="23"/>
      <c r="H75" s="120"/>
      <c r="I75" s="23"/>
      <c r="J75" s="23"/>
      <c r="K75" s="121"/>
    </row>
    <row r="76" spans="1:11" x14ac:dyDescent="0.25">
      <c r="A76" s="27"/>
      <c r="B76" s="27"/>
      <c r="C76" s="27"/>
      <c r="D76" s="25"/>
      <c r="E76" s="117"/>
      <c r="F76" s="26"/>
      <c r="G76" s="27"/>
      <c r="H76" s="120"/>
      <c r="I76" s="27"/>
      <c r="J76" s="27"/>
      <c r="K76" s="121"/>
    </row>
    <row r="77" spans="1:11" x14ac:dyDescent="0.25">
      <c r="A77" s="23"/>
      <c r="B77" s="23"/>
      <c r="C77" s="23"/>
      <c r="D77" s="21"/>
      <c r="E77" s="118"/>
      <c r="F77" s="22"/>
      <c r="G77" s="23"/>
      <c r="H77" s="120"/>
      <c r="I77" s="23"/>
      <c r="J77" s="23"/>
      <c r="K77" s="121"/>
    </row>
    <row r="78" spans="1:11" x14ac:dyDescent="0.25">
      <c r="A78" s="27"/>
      <c r="B78" s="27"/>
      <c r="C78" s="27"/>
      <c r="D78" s="25"/>
      <c r="E78" s="117"/>
      <c r="F78" s="26"/>
      <c r="G78" s="27"/>
      <c r="H78" s="120"/>
      <c r="I78" s="27"/>
      <c r="J78" s="27"/>
      <c r="K78" s="121"/>
    </row>
    <row r="79" spans="1:11" x14ac:dyDescent="0.25">
      <c r="A79" s="23"/>
      <c r="B79" s="23"/>
      <c r="C79" s="23"/>
      <c r="D79" s="21"/>
      <c r="E79" s="118"/>
      <c r="F79" s="22"/>
      <c r="G79" s="23"/>
      <c r="H79" s="120"/>
      <c r="I79" s="23"/>
      <c r="J79" s="23"/>
      <c r="K79" s="121"/>
    </row>
    <row r="80" spans="1:11" x14ac:dyDescent="0.25">
      <c r="A80" s="27"/>
      <c r="B80" s="27"/>
      <c r="C80" s="27"/>
      <c r="D80" s="25"/>
      <c r="E80" s="117"/>
      <c r="F80" s="26"/>
      <c r="G80" s="27"/>
      <c r="H80" s="120"/>
      <c r="I80" s="27"/>
      <c r="J80" s="27"/>
      <c r="K80" s="121"/>
    </row>
    <row r="81" spans="1:11" x14ac:dyDescent="0.25">
      <c r="A81" s="23"/>
      <c r="B81" s="23"/>
      <c r="C81" s="23"/>
      <c r="D81" s="21"/>
      <c r="E81" s="118"/>
      <c r="F81" s="22"/>
      <c r="G81" s="23"/>
      <c r="H81" s="120"/>
      <c r="I81" s="23"/>
      <c r="J81" s="23"/>
      <c r="K81" s="121"/>
    </row>
    <row r="82" spans="1:11" x14ac:dyDescent="0.25">
      <c r="A82" s="27"/>
      <c r="B82" s="27"/>
      <c r="C82" s="27"/>
      <c r="D82" s="25"/>
      <c r="E82" s="117"/>
      <c r="F82" s="26"/>
      <c r="G82" s="27"/>
      <c r="H82" s="120"/>
      <c r="I82" s="27"/>
      <c r="J82" s="27"/>
      <c r="K82" s="121"/>
    </row>
    <row r="83" spans="1:11" x14ac:dyDescent="0.25">
      <c r="A83" s="23"/>
      <c r="B83" s="23"/>
      <c r="C83" s="23"/>
      <c r="D83" s="21"/>
      <c r="E83" s="118"/>
      <c r="F83" s="22"/>
      <c r="G83" s="23"/>
      <c r="H83" s="120"/>
      <c r="I83" s="23"/>
      <c r="J83" s="23"/>
      <c r="K83" s="121"/>
    </row>
    <row r="84" spans="1:11" x14ac:dyDescent="0.25">
      <c r="A84" s="27"/>
      <c r="B84" s="27"/>
      <c r="C84" s="27"/>
      <c r="D84" s="25"/>
      <c r="E84" s="117"/>
      <c r="F84" s="26"/>
      <c r="G84" s="27"/>
      <c r="H84" s="120"/>
      <c r="I84" s="27"/>
      <c r="J84" s="27"/>
      <c r="K84" s="121"/>
    </row>
    <row r="85" spans="1:11" x14ac:dyDescent="0.25">
      <c r="A85" s="23"/>
      <c r="B85" s="23"/>
      <c r="C85" s="23"/>
      <c r="D85" s="21"/>
      <c r="E85" s="118"/>
      <c r="F85" s="22"/>
      <c r="G85" s="23"/>
      <c r="H85" s="120"/>
      <c r="I85" s="23"/>
      <c r="J85" s="23"/>
      <c r="K85" s="121"/>
    </row>
    <row r="86" spans="1:11" x14ac:dyDescent="0.25">
      <c r="A86" s="27"/>
      <c r="B86" s="27"/>
      <c r="C86" s="27"/>
      <c r="D86" s="25"/>
      <c r="E86" s="117"/>
      <c r="F86" s="26"/>
      <c r="G86" s="27"/>
      <c r="H86" s="120"/>
      <c r="I86" s="27"/>
      <c r="J86" s="27"/>
      <c r="K86" s="121"/>
    </row>
    <row r="87" spans="1:11" x14ac:dyDescent="0.25">
      <c r="A87" s="23"/>
      <c r="B87" s="23"/>
      <c r="C87" s="23"/>
      <c r="D87" s="21"/>
      <c r="E87" s="118"/>
      <c r="F87" s="22"/>
      <c r="G87" s="23"/>
      <c r="H87" s="120"/>
      <c r="I87" s="23"/>
      <c r="J87" s="23"/>
      <c r="K87" s="121"/>
    </row>
    <row r="88" spans="1:11" x14ac:dyDescent="0.25">
      <c r="A88" s="27"/>
      <c r="B88" s="27"/>
      <c r="C88" s="27"/>
      <c r="D88" s="25"/>
      <c r="E88" s="117"/>
      <c r="F88" s="26"/>
      <c r="G88" s="27"/>
      <c r="H88" s="120"/>
      <c r="I88" s="27"/>
      <c r="J88" s="27"/>
      <c r="K88" s="121"/>
    </row>
    <row r="89" spans="1:11" x14ac:dyDescent="0.25">
      <c r="A89" s="23"/>
      <c r="B89" s="23"/>
      <c r="C89" s="23"/>
      <c r="D89" s="21"/>
      <c r="E89" s="118"/>
      <c r="F89" s="22"/>
      <c r="G89" s="23"/>
      <c r="H89" s="120"/>
      <c r="I89" s="23"/>
      <c r="J89" s="23"/>
      <c r="K89" s="121"/>
    </row>
    <row r="90" spans="1:11" x14ac:dyDescent="0.25">
      <c r="A90" s="27"/>
      <c r="B90" s="27"/>
      <c r="C90" s="27"/>
      <c r="D90" s="25"/>
      <c r="E90" s="117"/>
      <c r="F90" s="26"/>
      <c r="G90" s="27"/>
      <c r="H90" s="120"/>
      <c r="I90" s="27"/>
      <c r="J90" s="27"/>
      <c r="K90" s="121"/>
    </row>
    <row r="91" spans="1:11" x14ac:dyDescent="0.25">
      <c r="A91" s="23"/>
      <c r="B91" s="23"/>
      <c r="C91" s="23"/>
      <c r="D91" s="21"/>
      <c r="E91" s="118"/>
      <c r="F91" s="22"/>
      <c r="G91" s="23"/>
      <c r="H91" s="120"/>
      <c r="I91" s="23"/>
      <c r="J91" s="23"/>
      <c r="K91" s="121"/>
    </row>
    <row r="92" spans="1:11" x14ac:dyDescent="0.25">
      <c r="A92" s="27"/>
      <c r="B92" s="27"/>
      <c r="C92" s="27"/>
      <c r="D92" s="25"/>
      <c r="E92" s="117"/>
      <c r="F92" s="26"/>
      <c r="G92" s="27"/>
      <c r="H92" s="120"/>
      <c r="I92" s="27"/>
      <c r="J92" s="27"/>
      <c r="K92" s="121"/>
    </row>
    <row r="93" spans="1:11" x14ac:dyDescent="0.25">
      <c r="A93" s="23"/>
      <c r="B93" s="23"/>
      <c r="C93" s="23"/>
      <c r="D93" s="21"/>
      <c r="E93" s="118"/>
      <c r="F93" s="22"/>
      <c r="G93" s="23"/>
      <c r="H93" s="120"/>
      <c r="I93" s="23"/>
      <c r="J93" s="23"/>
      <c r="K93" s="121"/>
    </row>
    <row r="94" spans="1:11" x14ac:dyDescent="0.25">
      <c r="A94" s="27"/>
      <c r="B94" s="27"/>
      <c r="C94" s="27"/>
      <c r="D94" s="25"/>
      <c r="E94" s="117"/>
      <c r="F94" s="26"/>
      <c r="G94" s="27"/>
      <c r="H94" s="120"/>
      <c r="I94" s="27"/>
      <c r="J94" s="27"/>
      <c r="K94" s="121"/>
    </row>
    <row r="95" spans="1:11" x14ac:dyDescent="0.25">
      <c r="A95" s="23"/>
      <c r="B95" s="23"/>
      <c r="C95" s="23"/>
      <c r="D95" s="21"/>
      <c r="E95" s="118"/>
      <c r="F95" s="22"/>
      <c r="G95" s="23"/>
      <c r="H95" s="120"/>
      <c r="I95" s="23"/>
      <c r="J95" s="23"/>
      <c r="K95" s="121"/>
    </row>
    <row r="96" spans="1:11" x14ac:dyDescent="0.25">
      <c r="A96" s="27"/>
      <c r="B96" s="27"/>
      <c r="C96" s="27"/>
      <c r="D96" s="25"/>
      <c r="E96" s="117"/>
      <c r="F96" s="26"/>
      <c r="G96" s="27"/>
      <c r="H96" s="120"/>
      <c r="I96" s="27"/>
      <c r="J96" s="27"/>
      <c r="K96" s="121"/>
    </row>
    <row r="97" spans="1:11" x14ac:dyDescent="0.25">
      <c r="A97" s="23"/>
      <c r="B97" s="23"/>
      <c r="C97" s="23"/>
      <c r="D97" s="21"/>
      <c r="E97" s="118"/>
      <c r="F97" s="22"/>
      <c r="G97" s="23"/>
      <c r="H97" s="120"/>
      <c r="I97" s="23"/>
      <c r="J97" s="23"/>
      <c r="K97" s="121"/>
    </row>
  </sheetData>
  <autoFilter ref="A3:J3" xr:uid="{00000000-0009-0000-0000-000024000000}"/>
  <mergeCells count="2">
    <mergeCell ref="A1:J1"/>
    <mergeCell ref="A2:J2"/>
  </mergeCells>
  <pageMargins left="0.75" right="0.75" top="1" bottom="1" header="0.511811023622047" footer="0.511811023622047"/>
  <pageSetup paperSize="9" orientation="portrait" horizontalDpi="300" verticalDpi="30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tabColor rgb="FFC0392B"/>
  </sheetPr>
  <dimension ref="A1:O45"/>
  <sheetViews>
    <sheetView zoomScaleNormal="100" workbookViewId="0">
      <pane ySplit="3" topLeftCell="A4" activePane="bottomLeft" state="frozen"/>
      <selection pane="bottomLeft"/>
    </sheetView>
  </sheetViews>
  <sheetFormatPr defaultColWidth="8.7109375" defaultRowHeight="15" x14ac:dyDescent="0.25"/>
  <cols>
    <col min="1" max="1" width="5" customWidth="1"/>
    <col min="2" max="2" width="20" customWidth="1"/>
    <col min="3" max="3" width="16" customWidth="1"/>
    <col min="4" max="4" width="24" customWidth="1"/>
    <col min="5" max="5" width="16" customWidth="1"/>
    <col min="6" max="6" width="13" customWidth="1"/>
    <col min="7" max="7" width="18" customWidth="1"/>
    <col min="8" max="9" width="16" customWidth="1"/>
    <col min="10" max="10" width="12" customWidth="1"/>
    <col min="11" max="11" width="14" customWidth="1"/>
    <col min="12" max="12" width="22" customWidth="1"/>
    <col min="13" max="13" width="20" customWidth="1"/>
    <col min="14" max="14" width="16" customWidth="1"/>
    <col min="15" max="15" width="12" customWidth="1"/>
  </cols>
  <sheetData>
    <row r="1" spans="1:15" ht="31.5" customHeight="1" x14ac:dyDescent="0.25">
      <c r="A1" s="210" t="s">
        <v>265</v>
      </c>
      <c r="B1" s="210"/>
      <c r="C1" s="210"/>
      <c r="D1" s="210"/>
      <c r="E1" s="210"/>
      <c r="F1" s="210"/>
      <c r="G1" s="210"/>
      <c r="H1" s="210"/>
      <c r="I1" s="210"/>
      <c r="J1" s="210"/>
      <c r="K1" s="210"/>
      <c r="L1" s="210"/>
    </row>
    <row r="2" spans="1:15" ht="19.5" customHeight="1" x14ac:dyDescent="0.25">
      <c r="A2" s="211" t="s">
        <v>266</v>
      </c>
      <c r="B2" s="211"/>
      <c r="C2" s="211"/>
      <c r="D2" s="211"/>
      <c r="E2" s="211"/>
      <c r="F2" s="211"/>
      <c r="G2" s="211"/>
      <c r="H2" s="211"/>
      <c r="I2" s="211"/>
      <c r="J2" s="211"/>
      <c r="K2" s="211"/>
      <c r="L2" s="211"/>
    </row>
    <row r="3" spans="1:15" x14ac:dyDescent="0.25">
      <c r="A3" s="96" t="s">
        <v>143</v>
      </c>
      <c r="B3" s="96" t="s">
        <v>260</v>
      </c>
      <c r="C3" s="96" t="s">
        <v>242</v>
      </c>
      <c r="D3" s="96" t="s">
        <v>261</v>
      </c>
      <c r="E3" s="96" t="s">
        <v>267</v>
      </c>
      <c r="F3" s="96" t="s">
        <v>111</v>
      </c>
      <c r="G3" s="96" t="s">
        <v>268</v>
      </c>
      <c r="H3" s="96" t="s">
        <v>269</v>
      </c>
      <c r="I3" s="96" t="s">
        <v>270</v>
      </c>
      <c r="J3" s="96" t="s">
        <v>32</v>
      </c>
      <c r="K3" s="96" t="s">
        <v>155</v>
      </c>
      <c r="L3" s="96" t="s">
        <v>263</v>
      </c>
      <c r="M3" s="116" t="s">
        <v>271</v>
      </c>
      <c r="N3" s="116" t="s">
        <v>272</v>
      </c>
      <c r="O3" s="116" t="s">
        <v>264</v>
      </c>
    </row>
    <row r="4" spans="1:15" x14ac:dyDescent="0.25">
      <c r="A4" s="27"/>
      <c r="B4" s="27"/>
      <c r="C4" s="27"/>
      <c r="D4" s="25"/>
      <c r="E4" s="26"/>
      <c r="F4" s="117"/>
      <c r="G4" s="26"/>
      <c r="H4" s="27"/>
      <c r="I4" s="26"/>
      <c r="J4" s="27"/>
      <c r="K4" s="120"/>
      <c r="L4" s="27"/>
      <c r="M4">
        <f>MAX(0,E4-System_Config!$B$9)</f>
        <v>0</v>
      </c>
      <c r="N4" t="str">
        <f t="shared" ref="N4:N45" si="0">IF(G4&lt;=M4,"✅ COMPLIANT","⚠️ BREACH")</f>
        <v>✅ COMPLIANT</v>
      </c>
      <c r="O4" s="121"/>
    </row>
    <row r="5" spans="1:15" x14ac:dyDescent="0.25">
      <c r="A5" s="23"/>
      <c r="B5" s="23"/>
      <c r="C5" s="23"/>
      <c r="D5" s="21"/>
      <c r="E5" s="22"/>
      <c r="F5" s="118"/>
      <c r="G5" s="22"/>
      <c r="H5" s="23"/>
      <c r="I5" s="22"/>
      <c r="J5" s="23"/>
      <c r="K5" s="120"/>
      <c r="L5" s="23"/>
      <c r="M5">
        <f>MAX(0,E5-System_Config!$B$9)</f>
        <v>0</v>
      </c>
      <c r="N5" t="str">
        <f t="shared" si="0"/>
        <v>✅ COMPLIANT</v>
      </c>
      <c r="O5" s="121"/>
    </row>
    <row r="6" spans="1:15" x14ac:dyDescent="0.25">
      <c r="A6" s="27"/>
      <c r="B6" s="27"/>
      <c r="C6" s="27"/>
      <c r="D6" s="25"/>
      <c r="E6" s="26"/>
      <c r="F6" s="117"/>
      <c r="G6" s="26"/>
      <c r="H6" s="27"/>
      <c r="I6" s="26"/>
      <c r="J6" s="27"/>
      <c r="K6" s="120"/>
      <c r="L6" s="27"/>
      <c r="M6">
        <f>MAX(0,E6-System_Config!$B$9)</f>
        <v>0</v>
      </c>
      <c r="N6" t="str">
        <f t="shared" si="0"/>
        <v>✅ COMPLIANT</v>
      </c>
      <c r="O6" s="121"/>
    </row>
    <row r="7" spans="1:15" x14ac:dyDescent="0.25">
      <c r="A7" s="23"/>
      <c r="B7" s="23"/>
      <c r="C7" s="23"/>
      <c r="D7" s="21"/>
      <c r="E7" s="22"/>
      <c r="F7" s="118"/>
      <c r="G7" s="22"/>
      <c r="H7" s="23"/>
      <c r="I7" s="22"/>
      <c r="J7" s="23"/>
      <c r="K7" s="120"/>
      <c r="L7" s="23"/>
      <c r="M7">
        <f>MAX(0,E7-System_Config!$B$9)</f>
        <v>0</v>
      </c>
      <c r="N7" t="str">
        <f t="shared" si="0"/>
        <v>✅ COMPLIANT</v>
      </c>
      <c r="O7" s="121"/>
    </row>
    <row r="8" spans="1:15" x14ac:dyDescent="0.25">
      <c r="A8" s="27"/>
      <c r="B8" s="27"/>
      <c r="C8" s="27"/>
      <c r="D8" s="25"/>
      <c r="E8" s="26"/>
      <c r="F8" s="117"/>
      <c r="G8" s="26"/>
      <c r="H8" s="27"/>
      <c r="I8" s="26"/>
      <c r="J8" s="27"/>
      <c r="K8" s="120"/>
      <c r="L8" s="27"/>
      <c r="M8">
        <f>MAX(0,E8-System_Config!$B$9)</f>
        <v>0</v>
      </c>
      <c r="N8" t="str">
        <f t="shared" si="0"/>
        <v>✅ COMPLIANT</v>
      </c>
      <c r="O8" s="121"/>
    </row>
    <row r="9" spans="1:15" x14ac:dyDescent="0.25">
      <c r="A9" s="23"/>
      <c r="B9" s="23"/>
      <c r="C9" s="23"/>
      <c r="D9" s="21"/>
      <c r="E9" s="22"/>
      <c r="F9" s="118"/>
      <c r="G9" s="22"/>
      <c r="H9" s="23"/>
      <c r="I9" s="22"/>
      <c r="J9" s="23"/>
      <c r="K9" s="120"/>
      <c r="L9" s="23"/>
      <c r="M9">
        <f>MAX(0,E9-System_Config!$B$9)</f>
        <v>0</v>
      </c>
      <c r="N9" t="str">
        <f t="shared" si="0"/>
        <v>✅ COMPLIANT</v>
      </c>
      <c r="O9" s="121"/>
    </row>
    <row r="10" spans="1:15" x14ac:dyDescent="0.25">
      <c r="A10" s="27"/>
      <c r="B10" s="27"/>
      <c r="C10" s="27"/>
      <c r="D10" s="25"/>
      <c r="E10" s="26"/>
      <c r="F10" s="117"/>
      <c r="G10" s="26"/>
      <c r="H10" s="27"/>
      <c r="I10" s="26"/>
      <c r="J10" s="27"/>
      <c r="K10" s="120"/>
      <c r="L10" s="27"/>
      <c r="M10">
        <f>MAX(0,E10-System_Config!$B$9)</f>
        <v>0</v>
      </c>
      <c r="N10" t="str">
        <f t="shared" si="0"/>
        <v>✅ COMPLIANT</v>
      </c>
      <c r="O10" s="121"/>
    </row>
    <row r="11" spans="1:15" x14ac:dyDescent="0.25">
      <c r="A11" s="23"/>
      <c r="B11" s="23"/>
      <c r="C11" s="23"/>
      <c r="D11" s="21"/>
      <c r="E11" s="22"/>
      <c r="F11" s="118"/>
      <c r="G11" s="22"/>
      <c r="H11" s="23"/>
      <c r="I11" s="22"/>
      <c r="J11" s="23"/>
      <c r="K11" s="120"/>
      <c r="L11" s="23"/>
      <c r="M11">
        <f>MAX(0,E11-System_Config!$B$9)</f>
        <v>0</v>
      </c>
      <c r="N11" t="str">
        <f t="shared" si="0"/>
        <v>✅ COMPLIANT</v>
      </c>
      <c r="O11" s="121"/>
    </row>
    <row r="12" spans="1:15" x14ac:dyDescent="0.25">
      <c r="A12" s="27"/>
      <c r="B12" s="27"/>
      <c r="C12" s="27"/>
      <c r="D12" s="25"/>
      <c r="E12" s="26"/>
      <c r="F12" s="117"/>
      <c r="G12" s="26"/>
      <c r="H12" s="27"/>
      <c r="I12" s="26"/>
      <c r="J12" s="27"/>
      <c r="K12" s="120"/>
      <c r="L12" s="27"/>
      <c r="M12">
        <f>MAX(0,E12-System_Config!$B$9)</f>
        <v>0</v>
      </c>
      <c r="N12" t="str">
        <f t="shared" si="0"/>
        <v>✅ COMPLIANT</v>
      </c>
      <c r="O12" s="121"/>
    </row>
    <row r="13" spans="1:15" x14ac:dyDescent="0.25">
      <c r="A13" s="23"/>
      <c r="B13" s="23"/>
      <c r="C13" s="23"/>
      <c r="D13" s="21"/>
      <c r="E13" s="22"/>
      <c r="F13" s="118"/>
      <c r="G13" s="22"/>
      <c r="H13" s="23"/>
      <c r="I13" s="22"/>
      <c r="J13" s="23"/>
      <c r="K13" s="120"/>
      <c r="L13" s="23"/>
      <c r="M13">
        <f>MAX(0,E13-System_Config!$B$9)</f>
        <v>0</v>
      </c>
      <c r="N13" t="str">
        <f t="shared" si="0"/>
        <v>✅ COMPLIANT</v>
      </c>
      <c r="O13" s="121"/>
    </row>
    <row r="14" spans="1:15" x14ac:dyDescent="0.25">
      <c r="A14" s="27"/>
      <c r="B14" s="27"/>
      <c r="C14" s="27"/>
      <c r="D14" s="25"/>
      <c r="E14" s="26"/>
      <c r="F14" s="117"/>
      <c r="G14" s="26"/>
      <c r="H14" s="27"/>
      <c r="I14" s="26"/>
      <c r="J14" s="27"/>
      <c r="K14" s="120"/>
      <c r="L14" s="27"/>
      <c r="M14">
        <f>MAX(0,E14-System_Config!$B$9)</f>
        <v>0</v>
      </c>
      <c r="N14" t="str">
        <f t="shared" si="0"/>
        <v>✅ COMPLIANT</v>
      </c>
      <c r="O14" s="121"/>
    </row>
    <row r="15" spans="1:15" x14ac:dyDescent="0.25">
      <c r="A15" s="23"/>
      <c r="B15" s="23"/>
      <c r="C15" s="23"/>
      <c r="D15" s="21"/>
      <c r="E15" s="22"/>
      <c r="F15" s="118"/>
      <c r="G15" s="22"/>
      <c r="H15" s="23"/>
      <c r="I15" s="22"/>
      <c r="J15" s="23"/>
      <c r="K15" s="120"/>
      <c r="L15" s="23"/>
      <c r="M15">
        <f>MAX(0,E15-System_Config!$B$9)</f>
        <v>0</v>
      </c>
      <c r="N15" t="str">
        <f t="shared" si="0"/>
        <v>✅ COMPLIANT</v>
      </c>
      <c r="O15" s="121"/>
    </row>
    <row r="16" spans="1:15" x14ac:dyDescent="0.25">
      <c r="A16" s="27"/>
      <c r="B16" s="27"/>
      <c r="C16" s="27"/>
      <c r="D16" s="25"/>
      <c r="E16" s="26"/>
      <c r="F16" s="117"/>
      <c r="G16" s="26"/>
      <c r="H16" s="27"/>
      <c r="I16" s="26"/>
      <c r="J16" s="27"/>
      <c r="K16" s="120"/>
      <c r="L16" s="27"/>
      <c r="M16">
        <f>MAX(0,E16-System_Config!$B$9)</f>
        <v>0</v>
      </c>
      <c r="N16" t="str">
        <f t="shared" si="0"/>
        <v>✅ COMPLIANT</v>
      </c>
      <c r="O16" s="121"/>
    </row>
    <row r="17" spans="1:15" x14ac:dyDescent="0.25">
      <c r="A17" s="23"/>
      <c r="B17" s="23"/>
      <c r="C17" s="23"/>
      <c r="D17" s="21"/>
      <c r="E17" s="22"/>
      <c r="F17" s="118"/>
      <c r="G17" s="22"/>
      <c r="H17" s="23"/>
      <c r="I17" s="22"/>
      <c r="J17" s="23"/>
      <c r="K17" s="120"/>
      <c r="L17" s="23"/>
      <c r="M17">
        <f>MAX(0,E17-System_Config!$B$9)</f>
        <v>0</v>
      </c>
      <c r="N17" t="str">
        <f t="shared" si="0"/>
        <v>✅ COMPLIANT</v>
      </c>
      <c r="O17" s="121"/>
    </row>
    <row r="18" spans="1:15" x14ac:dyDescent="0.25">
      <c r="A18" s="27"/>
      <c r="B18" s="27"/>
      <c r="C18" s="27"/>
      <c r="D18" s="25"/>
      <c r="E18" s="26"/>
      <c r="F18" s="117"/>
      <c r="G18" s="26"/>
      <c r="H18" s="27"/>
      <c r="I18" s="26"/>
      <c r="J18" s="27"/>
      <c r="K18" s="120"/>
      <c r="L18" s="27"/>
      <c r="M18">
        <f>MAX(0,E18-System_Config!$B$9)</f>
        <v>0</v>
      </c>
      <c r="N18" t="str">
        <f t="shared" si="0"/>
        <v>✅ COMPLIANT</v>
      </c>
      <c r="O18" s="121"/>
    </row>
    <row r="19" spans="1:15" x14ac:dyDescent="0.25">
      <c r="A19" s="23"/>
      <c r="B19" s="23"/>
      <c r="C19" s="23"/>
      <c r="D19" s="21"/>
      <c r="E19" s="22"/>
      <c r="F19" s="118"/>
      <c r="G19" s="22"/>
      <c r="H19" s="23"/>
      <c r="I19" s="22"/>
      <c r="J19" s="23"/>
      <c r="K19" s="120"/>
      <c r="L19" s="23"/>
      <c r="M19">
        <f>MAX(0,E19-System_Config!$B$9)</f>
        <v>0</v>
      </c>
      <c r="N19" t="str">
        <f t="shared" si="0"/>
        <v>✅ COMPLIANT</v>
      </c>
      <c r="O19" s="121"/>
    </row>
    <row r="20" spans="1:15" x14ac:dyDescent="0.25">
      <c r="A20" s="27"/>
      <c r="B20" s="27"/>
      <c r="C20" s="27"/>
      <c r="D20" s="25"/>
      <c r="E20" s="26"/>
      <c r="F20" s="117"/>
      <c r="G20" s="26"/>
      <c r="H20" s="27"/>
      <c r="I20" s="26"/>
      <c r="J20" s="27"/>
      <c r="K20" s="120"/>
      <c r="L20" s="27"/>
      <c r="M20">
        <f>MAX(0,E20-System_Config!$B$9)</f>
        <v>0</v>
      </c>
      <c r="N20" t="str">
        <f t="shared" si="0"/>
        <v>✅ COMPLIANT</v>
      </c>
      <c r="O20" s="121"/>
    </row>
    <row r="21" spans="1:15" x14ac:dyDescent="0.25">
      <c r="A21" s="23"/>
      <c r="B21" s="23"/>
      <c r="C21" s="23"/>
      <c r="D21" s="21"/>
      <c r="E21" s="22"/>
      <c r="F21" s="118"/>
      <c r="G21" s="22"/>
      <c r="H21" s="23"/>
      <c r="I21" s="22"/>
      <c r="J21" s="23"/>
      <c r="K21" s="120"/>
      <c r="L21" s="23"/>
      <c r="M21">
        <f>MAX(0,E21-System_Config!$B$9)</f>
        <v>0</v>
      </c>
      <c r="N21" t="str">
        <f t="shared" si="0"/>
        <v>✅ COMPLIANT</v>
      </c>
      <c r="O21" s="121"/>
    </row>
    <row r="22" spans="1:15" x14ac:dyDescent="0.25">
      <c r="A22" s="27"/>
      <c r="B22" s="27"/>
      <c r="C22" s="27"/>
      <c r="D22" s="25"/>
      <c r="E22" s="26"/>
      <c r="F22" s="117"/>
      <c r="G22" s="26"/>
      <c r="H22" s="27"/>
      <c r="I22" s="26"/>
      <c r="J22" s="27"/>
      <c r="K22" s="120"/>
      <c r="L22" s="27"/>
      <c r="M22">
        <f>MAX(0,E22-System_Config!$B$9)</f>
        <v>0</v>
      </c>
      <c r="N22" t="str">
        <f t="shared" si="0"/>
        <v>✅ COMPLIANT</v>
      </c>
      <c r="O22" s="121"/>
    </row>
    <row r="23" spans="1:15" x14ac:dyDescent="0.25">
      <c r="A23" s="23"/>
      <c r="B23" s="23"/>
      <c r="C23" s="23"/>
      <c r="D23" s="21"/>
      <c r="E23" s="22"/>
      <c r="F23" s="118"/>
      <c r="G23" s="22"/>
      <c r="H23" s="23"/>
      <c r="I23" s="22"/>
      <c r="J23" s="23"/>
      <c r="K23" s="120"/>
      <c r="L23" s="23"/>
      <c r="M23">
        <f>MAX(0,E23-System_Config!$B$9)</f>
        <v>0</v>
      </c>
      <c r="N23" t="str">
        <f t="shared" si="0"/>
        <v>✅ COMPLIANT</v>
      </c>
      <c r="O23" s="121"/>
    </row>
    <row r="24" spans="1:15" x14ac:dyDescent="0.25">
      <c r="A24" s="27"/>
      <c r="B24" s="27"/>
      <c r="C24" s="27"/>
      <c r="D24" s="25"/>
      <c r="E24" s="26"/>
      <c r="F24" s="117"/>
      <c r="G24" s="26"/>
      <c r="H24" s="27"/>
      <c r="I24" s="26"/>
      <c r="J24" s="27"/>
      <c r="K24" s="120"/>
      <c r="L24" s="27"/>
      <c r="M24">
        <f>MAX(0,E24-System_Config!$B$9)</f>
        <v>0</v>
      </c>
      <c r="N24" t="str">
        <f t="shared" si="0"/>
        <v>✅ COMPLIANT</v>
      </c>
      <c r="O24" s="121"/>
    </row>
    <row r="25" spans="1:15" x14ac:dyDescent="0.25">
      <c r="A25" s="23"/>
      <c r="B25" s="23"/>
      <c r="C25" s="23"/>
      <c r="D25" s="21"/>
      <c r="E25" s="22"/>
      <c r="F25" s="118"/>
      <c r="G25" s="22"/>
      <c r="H25" s="23"/>
      <c r="I25" s="22"/>
      <c r="J25" s="23"/>
      <c r="K25" s="120"/>
      <c r="L25" s="23"/>
      <c r="M25">
        <f>MAX(0,E25-System_Config!$B$9)</f>
        <v>0</v>
      </c>
      <c r="N25" t="str">
        <f t="shared" si="0"/>
        <v>✅ COMPLIANT</v>
      </c>
      <c r="O25" s="121"/>
    </row>
    <row r="26" spans="1:15" x14ac:dyDescent="0.25">
      <c r="A26" s="27"/>
      <c r="B26" s="27"/>
      <c r="C26" s="27"/>
      <c r="D26" s="25"/>
      <c r="E26" s="26"/>
      <c r="F26" s="117"/>
      <c r="G26" s="26"/>
      <c r="H26" s="27"/>
      <c r="I26" s="26"/>
      <c r="J26" s="27"/>
      <c r="K26" s="120"/>
      <c r="L26" s="27"/>
      <c r="M26">
        <f>MAX(0,E26-System_Config!$B$9)</f>
        <v>0</v>
      </c>
      <c r="N26" t="str">
        <f t="shared" si="0"/>
        <v>✅ COMPLIANT</v>
      </c>
      <c r="O26" s="121"/>
    </row>
    <row r="27" spans="1:15" x14ac:dyDescent="0.25">
      <c r="A27" s="23"/>
      <c r="B27" s="23"/>
      <c r="C27" s="23"/>
      <c r="D27" s="21"/>
      <c r="E27" s="22"/>
      <c r="F27" s="118"/>
      <c r="G27" s="22"/>
      <c r="H27" s="23"/>
      <c r="I27" s="22"/>
      <c r="J27" s="23"/>
      <c r="K27" s="120"/>
      <c r="L27" s="23"/>
      <c r="M27">
        <f>MAX(0,E27-System_Config!$B$9)</f>
        <v>0</v>
      </c>
      <c r="N27" t="str">
        <f t="shared" si="0"/>
        <v>✅ COMPLIANT</v>
      </c>
      <c r="O27" s="121"/>
    </row>
    <row r="28" spans="1:15" x14ac:dyDescent="0.25">
      <c r="A28" s="27"/>
      <c r="B28" s="27"/>
      <c r="C28" s="27"/>
      <c r="D28" s="25"/>
      <c r="E28" s="26"/>
      <c r="F28" s="117"/>
      <c r="G28" s="26"/>
      <c r="H28" s="27"/>
      <c r="I28" s="26"/>
      <c r="J28" s="27"/>
      <c r="K28" s="120"/>
      <c r="L28" s="27"/>
      <c r="M28">
        <f>MAX(0,E28-System_Config!$B$9)</f>
        <v>0</v>
      </c>
      <c r="N28" t="str">
        <f t="shared" si="0"/>
        <v>✅ COMPLIANT</v>
      </c>
      <c r="O28" s="121"/>
    </row>
    <row r="29" spans="1:15" x14ac:dyDescent="0.25">
      <c r="A29" s="23"/>
      <c r="B29" s="23"/>
      <c r="C29" s="23"/>
      <c r="D29" s="21"/>
      <c r="E29" s="22"/>
      <c r="F29" s="118"/>
      <c r="G29" s="22"/>
      <c r="H29" s="23"/>
      <c r="I29" s="22"/>
      <c r="J29" s="23"/>
      <c r="K29" s="120"/>
      <c r="L29" s="23"/>
      <c r="M29">
        <f>MAX(0,E29-System_Config!$B$9)</f>
        <v>0</v>
      </c>
      <c r="N29" t="str">
        <f t="shared" si="0"/>
        <v>✅ COMPLIANT</v>
      </c>
      <c r="O29" s="121"/>
    </row>
    <row r="30" spans="1:15" x14ac:dyDescent="0.25">
      <c r="A30" s="27"/>
      <c r="B30" s="27"/>
      <c r="C30" s="27"/>
      <c r="D30" s="25"/>
      <c r="E30" s="26"/>
      <c r="F30" s="117"/>
      <c r="G30" s="26"/>
      <c r="H30" s="27"/>
      <c r="I30" s="26"/>
      <c r="J30" s="27"/>
      <c r="K30" s="120"/>
      <c r="L30" s="27"/>
      <c r="M30">
        <f>MAX(0,E30-System_Config!$B$9)</f>
        <v>0</v>
      </c>
      <c r="N30" t="str">
        <f t="shared" si="0"/>
        <v>✅ COMPLIANT</v>
      </c>
      <c r="O30" s="121"/>
    </row>
    <row r="31" spans="1:15" x14ac:dyDescent="0.25">
      <c r="A31" s="23"/>
      <c r="B31" s="23"/>
      <c r="C31" s="23"/>
      <c r="D31" s="21"/>
      <c r="E31" s="22"/>
      <c r="F31" s="118"/>
      <c r="G31" s="22"/>
      <c r="H31" s="23"/>
      <c r="I31" s="22"/>
      <c r="J31" s="23"/>
      <c r="K31" s="120"/>
      <c r="L31" s="23"/>
      <c r="M31">
        <f>MAX(0,E31-System_Config!$B$9)</f>
        <v>0</v>
      </c>
      <c r="N31" t="str">
        <f t="shared" si="0"/>
        <v>✅ COMPLIANT</v>
      </c>
      <c r="O31" s="121"/>
    </row>
    <row r="32" spans="1:15" x14ac:dyDescent="0.25">
      <c r="A32" s="27"/>
      <c r="B32" s="27"/>
      <c r="C32" s="27"/>
      <c r="D32" s="25"/>
      <c r="E32" s="26"/>
      <c r="F32" s="117"/>
      <c r="G32" s="26"/>
      <c r="H32" s="27"/>
      <c r="I32" s="26"/>
      <c r="J32" s="27"/>
      <c r="K32" s="120"/>
      <c r="L32" s="27"/>
      <c r="M32">
        <f>MAX(0,E32-System_Config!$B$9)</f>
        <v>0</v>
      </c>
      <c r="N32" t="str">
        <f t="shared" si="0"/>
        <v>✅ COMPLIANT</v>
      </c>
      <c r="O32" s="121"/>
    </row>
    <row r="33" spans="1:15" x14ac:dyDescent="0.25">
      <c r="A33" s="23"/>
      <c r="B33" s="23"/>
      <c r="C33" s="23"/>
      <c r="D33" s="21"/>
      <c r="E33" s="22"/>
      <c r="F33" s="118"/>
      <c r="G33" s="22"/>
      <c r="H33" s="23"/>
      <c r="I33" s="22"/>
      <c r="J33" s="23"/>
      <c r="K33" s="120"/>
      <c r="L33" s="23"/>
      <c r="M33">
        <f>MAX(0,E33-System_Config!$B$9)</f>
        <v>0</v>
      </c>
      <c r="N33" t="str">
        <f t="shared" si="0"/>
        <v>✅ COMPLIANT</v>
      </c>
      <c r="O33" s="121"/>
    </row>
    <row r="34" spans="1:15" x14ac:dyDescent="0.25">
      <c r="A34" s="27"/>
      <c r="B34" s="27"/>
      <c r="C34" s="27"/>
      <c r="D34" s="25"/>
      <c r="E34" s="26"/>
      <c r="F34" s="117"/>
      <c r="G34" s="26"/>
      <c r="H34" s="27"/>
      <c r="I34" s="26"/>
      <c r="J34" s="27"/>
      <c r="K34" s="120"/>
      <c r="L34" s="27"/>
      <c r="M34">
        <f>MAX(0,E34-System_Config!$B$9)</f>
        <v>0</v>
      </c>
      <c r="N34" t="str">
        <f t="shared" si="0"/>
        <v>✅ COMPLIANT</v>
      </c>
      <c r="O34" s="121"/>
    </row>
    <row r="35" spans="1:15" x14ac:dyDescent="0.25">
      <c r="A35" s="23"/>
      <c r="B35" s="23"/>
      <c r="C35" s="23"/>
      <c r="D35" s="21"/>
      <c r="E35" s="22"/>
      <c r="F35" s="118"/>
      <c r="G35" s="22"/>
      <c r="H35" s="23"/>
      <c r="I35" s="22"/>
      <c r="J35" s="23"/>
      <c r="K35" s="120"/>
      <c r="L35" s="23"/>
      <c r="M35">
        <f>MAX(0,E35-System_Config!$B$9)</f>
        <v>0</v>
      </c>
      <c r="N35" t="str">
        <f t="shared" si="0"/>
        <v>✅ COMPLIANT</v>
      </c>
      <c r="O35" s="121"/>
    </row>
    <row r="36" spans="1:15" x14ac:dyDescent="0.25">
      <c r="A36" s="27"/>
      <c r="B36" s="27"/>
      <c r="C36" s="27"/>
      <c r="D36" s="25"/>
      <c r="E36" s="26"/>
      <c r="F36" s="117"/>
      <c r="G36" s="26"/>
      <c r="H36" s="27"/>
      <c r="I36" s="26"/>
      <c r="J36" s="27"/>
      <c r="K36" s="120"/>
      <c r="L36" s="27"/>
      <c r="M36">
        <f>MAX(0,E36-System_Config!$B$9)</f>
        <v>0</v>
      </c>
      <c r="N36" t="str">
        <f t="shared" si="0"/>
        <v>✅ COMPLIANT</v>
      </c>
      <c r="O36" s="121"/>
    </row>
    <row r="37" spans="1:15" x14ac:dyDescent="0.25">
      <c r="A37" s="23"/>
      <c r="B37" s="23"/>
      <c r="C37" s="23"/>
      <c r="D37" s="21"/>
      <c r="E37" s="22"/>
      <c r="F37" s="118"/>
      <c r="G37" s="22"/>
      <c r="H37" s="23"/>
      <c r="I37" s="22"/>
      <c r="J37" s="23"/>
      <c r="K37" s="120"/>
      <c r="L37" s="23"/>
      <c r="M37">
        <f>MAX(0,E37-System_Config!$B$9)</f>
        <v>0</v>
      </c>
      <c r="N37" t="str">
        <f t="shared" si="0"/>
        <v>✅ COMPLIANT</v>
      </c>
      <c r="O37" s="121"/>
    </row>
    <row r="38" spans="1:15" x14ac:dyDescent="0.25">
      <c r="A38" s="27"/>
      <c r="B38" s="27"/>
      <c r="C38" s="27"/>
      <c r="D38" s="25"/>
      <c r="E38" s="26"/>
      <c r="F38" s="117"/>
      <c r="G38" s="26"/>
      <c r="H38" s="27"/>
      <c r="I38" s="26"/>
      <c r="J38" s="27"/>
      <c r="K38" s="120"/>
      <c r="L38" s="27"/>
      <c r="M38">
        <f>MAX(0,E38-System_Config!$B$9)</f>
        <v>0</v>
      </c>
      <c r="N38" t="str">
        <f t="shared" si="0"/>
        <v>✅ COMPLIANT</v>
      </c>
      <c r="O38" s="121"/>
    </row>
    <row r="39" spans="1:15" x14ac:dyDescent="0.25">
      <c r="A39" s="23"/>
      <c r="B39" s="23"/>
      <c r="C39" s="23"/>
      <c r="D39" s="21"/>
      <c r="E39" s="22"/>
      <c r="F39" s="118"/>
      <c r="G39" s="22"/>
      <c r="H39" s="23"/>
      <c r="I39" s="22"/>
      <c r="J39" s="23"/>
      <c r="K39" s="120"/>
      <c r="L39" s="23"/>
      <c r="M39">
        <f>MAX(0,E39-System_Config!$B$9)</f>
        <v>0</v>
      </c>
      <c r="N39" t="str">
        <f t="shared" si="0"/>
        <v>✅ COMPLIANT</v>
      </c>
      <c r="O39" s="121"/>
    </row>
    <row r="40" spans="1:15" x14ac:dyDescent="0.25">
      <c r="A40" s="27"/>
      <c r="B40" s="27"/>
      <c r="C40" s="27"/>
      <c r="D40" s="25"/>
      <c r="E40" s="26"/>
      <c r="F40" s="117"/>
      <c r="G40" s="26"/>
      <c r="H40" s="27"/>
      <c r="I40" s="26"/>
      <c r="J40" s="27"/>
      <c r="K40" s="120"/>
      <c r="L40" s="27"/>
      <c r="M40">
        <f>MAX(0,E40-System_Config!$B$9)</f>
        <v>0</v>
      </c>
      <c r="N40" t="str">
        <f t="shared" si="0"/>
        <v>✅ COMPLIANT</v>
      </c>
      <c r="O40" s="121"/>
    </row>
    <row r="41" spans="1:15" x14ac:dyDescent="0.25">
      <c r="A41" s="23"/>
      <c r="B41" s="23"/>
      <c r="C41" s="23"/>
      <c r="D41" s="21"/>
      <c r="E41" s="22"/>
      <c r="F41" s="118"/>
      <c r="G41" s="22"/>
      <c r="H41" s="23"/>
      <c r="I41" s="22"/>
      <c r="J41" s="23"/>
      <c r="K41" s="120"/>
      <c r="L41" s="23"/>
      <c r="M41">
        <f>MAX(0,E41-System_Config!$B$9)</f>
        <v>0</v>
      </c>
      <c r="N41" t="str">
        <f t="shared" si="0"/>
        <v>✅ COMPLIANT</v>
      </c>
      <c r="O41" s="121"/>
    </row>
    <row r="42" spans="1:15" x14ac:dyDescent="0.25">
      <c r="A42" s="27"/>
      <c r="B42" s="27"/>
      <c r="C42" s="27"/>
      <c r="D42" s="25"/>
      <c r="E42" s="26"/>
      <c r="F42" s="117"/>
      <c r="G42" s="26"/>
      <c r="H42" s="27"/>
      <c r="I42" s="26"/>
      <c r="J42" s="27"/>
      <c r="K42" s="120"/>
      <c r="L42" s="27"/>
      <c r="M42">
        <f>MAX(0,E42-System_Config!$B$9)</f>
        <v>0</v>
      </c>
      <c r="N42" t="str">
        <f t="shared" si="0"/>
        <v>✅ COMPLIANT</v>
      </c>
      <c r="O42" s="121"/>
    </row>
    <row r="43" spans="1:15" x14ac:dyDescent="0.25">
      <c r="A43" s="23"/>
      <c r="B43" s="23"/>
      <c r="C43" s="23"/>
      <c r="D43" s="21"/>
      <c r="E43" s="22"/>
      <c r="F43" s="118"/>
      <c r="G43" s="22"/>
      <c r="H43" s="23"/>
      <c r="I43" s="22"/>
      <c r="J43" s="23"/>
      <c r="K43" s="120"/>
      <c r="L43" s="23"/>
      <c r="M43">
        <f>MAX(0,E43-System_Config!$B$9)</f>
        <v>0</v>
      </c>
      <c r="N43" t="str">
        <f t="shared" si="0"/>
        <v>✅ COMPLIANT</v>
      </c>
      <c r="O43" s="121"/>
    </row>
    <row r="44" spans="1:15" x14ac:dyDescent="0.25">
      <c r="A44" s="27"/>
      <c r="B44" s="27"/>
      <c r="C44" s="27"/>
      <c r="D44" s="25"/>
      <c r="E44" s="26"/>
      <c r="F44" s="117"/>
      <c r="G44" s="26"/>
      <c r="H44" s="27"/>
      <c r="I44" s="26"/>
      <c r="J44" s="27"/>
      <c r="K44" s="120"/>
      <c r="L44" s="27"/>
      <c r="M44">
        <f>MAX(0,E44-System_Config!$B$9)</f>
        <v>0</v>
      </c>
      <c r="N44" t="str">
        <f t="shared" si="0"/>
        <v>✅ COMPLIANT</v>
      </c>
      <c r="O44" s="121"/>
    </row>
    <row r="45" spans="1:15" x14ac:dyDescent="0.25">
      <c r="A45" s="23"/>
      <c r="B45" s="23"/>
      <c r="C45" s="23"/>
      <c r="D45" s="21"/>
      <c r="E45" s="22"/>
      <c r="F45" s="118"/>
      <c r="G45" s="22"/>
      <c r="H45" s="23"/>
      <c r="I45" s="22"/>
      <c r="J45" s="23"/>
      <c r="K45" s="120"/>
      <c r="L45" s="23"/>
      <c r="M45">
        <f>MAX(0,E45-System_Config!$B$9)</f>
        <v>0</v>
      </c>
      <c r="N45" t="str">
        <f t="shared" si="0"/>
        <v>✅ COMPLIANT</v>
      </c>
      <c r="O45" s="121"/>
    </row>
  </sheetData>
  <autoFilter ref="A3:L3" xr:uid="{00000000-0009-0000-0000-000025000000}"/>
  <mergeCells count="2">
    <mergeCell ref="A1:L1"/>
    <mergeCell ref="A2:L2"/>
  </mergeCells>
  <pageMargins left="0.75" right="0.75" top="1" bottom="1" header="0.511811023622047" footer="0.511811023622047"/>
  <pageSetup paperSize="9" orientation="portrait" horizontalDpi="300" verticalDpi="3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tabColor rgb="FFE67E22"/>
  </sheetPr>
  <dimension ref="A1:O8"/>
  <sheetViews>
    <sheetView topLeftCell="F1" zoomScaleNormal="100" workbookViewId="0">
      <pane ySplit="3" topLeftCell="A4" activePane="bottomLeft" state="frozen"/>
      <selection activeCell="F1" sqref="F1"/>
      <selection pane="bottomLeft"/>
    </sheetView>
  </sheetViews>
  <sheetFormatPr defaultColWidth="8.7109375" defaultRowHeight="15" x14ac:dyDescent="0.25"/>
  <cols>
    <col min="1" max="1" width="22" customWidth="1"/>
    <col min="2" max="2" width="16" customWidth="1"/>
    <col min="3" max="3" width="22" customWidth="1"/>
    <col min="4" max="4" width="13" customWidth="1"/>
    <col min="5" max="5" width="14" customWidth="1"/>
    <col min="6" max="6" width="22" customWidth="1"/>
    <col min="7" max="7" width="9" customWidth="1"/>
    <col min="8" max="8" width="8" customWidth="1"/>
    <col min="9" max="9" width="16" customWidth="1"/>
    <col min="10" max="10" width="18" customWidth="1"/>
    <col min="11" max="11" width="14" customWidth="1"/>
    <col min="12" max="12" width="12" customWidth="1"/>
    <col min="13" max="13" width="22" customWidth="1"/>
    <col min="14" max="14" width="12" customWidth="1"/>
    <col min="15" max="15" width="16" customWidth="1"/>
  </cols>
  <sheetData>
    <row r="1" spans="1:15" ht="31.5" customHeight="1" x14ac:dyDescent="0.25">
      <c r="A1" s="216" t="s">
        <v>273</v>
      </c>
      <c r="B1" s="216"/>
      <c r="C1" s="216"/>
      <c r="D1" s="216"/>
      <c r="E1" s="216"/>
      <c r="F1" s="216"/>
      <c r="G1" s="216"/>
      <c r="H1" s="216"/>
      <c r="I1" s="216"/>
      <c r="J1" s="216"/>
      <c r="K1" s="216"/>
      <c r="L1" s="216"/>
      <c r="M1" s="216"/>
      <c r="N1" s="216"/>
    </row>
    <row r="2" spans="1:15" ht="19.5" customHeight="1" x14ac:dyDescent="0.25">
      <c r="A2" s="217" t="s">
        <v>274</v>
      </c>
      <c r="B2" s="217"/>
      <c r="C2" s="217"/>
      <c r="D2" s="217"/>
      <c r="E2" s="217"/>
      <c r="F2" s="217"/>
      <c r="G2" s="217"/>
      <c r="H2" s="217"/>
      <c r="I2" s="217"/>
      <c r="J2" s="217"/>
      <c r="K2" s="217"/>
      <c r="L2" s="217"/>
      <c r="M2" s="217"/>
      <c r="N2" s="217"/>
    </row>
    <row r="3" spans="1:15" x14ac:dyDescent="0.25">
      <c r="A3" s="103" t="s">
        <v>275</v>
      </c>
      <c r="B3" s="103" t="s">
        <v>242</v>
      </c>
      <c r="C3" s="103" t="s">
        <v>261</v>
      </c>
      <c r="D3" s="103" t="s">
        <v>276</v>
      </c>
      <c r="E3" s="103" t="s">
        <v>277</v>
      </c>
      <c r="F3" s="103" t="s">
        <v>278</v>
      </c>
      <c r="G3" s="103" t="s">
        <v>279</v>
      </c>
      <c r="H3" s="103" t="s">
        <v>280</v>
      </c>
      <c r="I3" s="103" t="s">
        <v>281</v>
      </c>
      <c r="J3" s="103" t="s">
        <v>282</v>
      </c>
      <c r="K3" s="103" t="s">
        <v>155</v>
      </c>
      <c r="L3" s="103" t="s">
        <v>32</v>
      </c>
      <c r="M3" s="103" t="s">
        <v>283</v>
      </c>
      <c r="N3" s="116" t="s">
        <v>264</v>
      </c>
      <c r="O3" s="116" t="s">
        <v>284</v>
      </c>
    </row>
    <row r="4" spans="1:15" x14ac:dyDescent="0.25">
      <c r="A4" s="27"/>
      <c r="B4" s="27"/>
      <c r="C4" s="25"/>
      <c r="D4" s="117"/>
      <c r="E4" s="26"/>
      <c r="F4" s="25"/>
      <c r="G4" s="27"/>
      <c r="H4" s="27"/>
      <c r="I4" s="26">
        <f>E4+(E4*H4/100*G4)</f>
        <v>0</v>
      </c>
      <c r="J4" s="26">
        <f>IFERROR(I4/G4,0)</f>
        <v>0</v>
      </c>
      <c r="K4" s="120"/>
      <c r="L4" s="27"/>
      <c r="M4" s="27"/>
      <c r="N4" s="121"/>
      <c r="O4" t="str">
        <f>IF(AND(H4&gt;=0,H4&lt;=100),"✅ VALID %","❌ INVALID")</f>
        <v>✅ VALID %</v>
      </c>
    </row>
    <row r="5" spans="1:15" x14ac:dyDescent="0.25">
      <c r="A5" s="23"/>
      <c r="B5" s="23"/>
      <c r="C5" s="21"/>
      <c r="D5" s="118"/>
      <c r="E5" s="22"/>
      <c r="F5" s="21"/>
      <c r="G5" s="23"/>
      <c r="H5" s="23"/>
      <c r="I5" s="22">
        <f>E5+(E5*H5/100*G5)</f>
        <v>0</v>
      </c>
      <c r="J5" s="22">
        <f>IFERROR(I5/G5,0)</f>
        <v>0</v>
      </c>
      <c r="K5" s="120"/>
      <c r="L5" s="23"/>
      <c r="M5" s="23"/>
      <c r="N5" s="121"/>
      <c r="O5" t="str">
        <f>IF(AND(H5&gt;=0,H5&lt;=100),"✅ VALID %","❌ INVALID")</f>
        <v>✅ VALID %</v>
      </c>
    </row>
    <row r="6" spans="1:15" x14ac:dyDescent="0.25">
      <c r="A6" s="27"/>
      <c r="B6" s="27"/>
      <c r="C6" s="25"/>
      <c r="D6" s="117"/>
      <c r="E6" s="26"/>
      <c r="F6" s="25"/>
      <c r="G6" s="27"/>
      <c r="H6" s="27"/>
      <c r="I6" s="26">
        <f>E6+(E6*H6/100*G6)</f>
        <v>0</v>
      </c>
      <c r="J6" s="26">
        <f>IFERROR(I6/G6,0)</f>
        <v>0</v>
      </c>
      <c r="K6" s="122"/>
      <c r="L6" s="27"/>
      <c r="M6" s="27"/>
      <c r="N6" s="121"/>
      <c r="O6" t="str">
        <f>IF(AND(H6&gt;=0,H6&lt;=100),"✅ VALID %","❌ INVALID")</f>
        <v>✅ VALID %</v>
      </c>
    </row>
    <row r="7" spans="1:15" x14ac:dyDescent="0.25">
      <c r="A7" s="23"/>
      <c r="B7" s="23"/>
      <c r="C7" s="21"/>
      <c r="D7" s="118"/>
      <c r="E7" s="22"/>
      <c r="F7" s="21"/>
      <c r="G7" s="23"/>
      <c r="H7" s="23"/>
      <c r="I7" s="22">
        <f>E7+(E7*H7/100*G7)</f>
        <v>0</v>
      </c>
      <c r="J7" s="22">
        <f>IFERROR(I7/G7,0)</f>
        <v>0</v>
      </c>
      <c r="K7" s="122"/>
      <c r="L7" s="23"/>
      <c r="M7" s="23"/>
      <c r="N7" s="121"/>
      <c r="O7" t="str">
        <f>IF(AND(H7&gt;=0,H7&lt;=100),"✅ VALID %","❌ INVALID")</f>
        <v>✅ VALID %</v>
      </c>
    </row>
    <row r="8" spans="1:15" x14ac:dyDescent="0.25">
      <c r="A8" s="27"/>
      <c r="B8" s="27"/>
      <c r="C8" s="25"/>
      <c r="D8" s="117"/>
      <c r="E8" s="26"/>
      <c r="F8" s="25"/>
      <c r="G8" s="27"/>
      <c r="H8" s="27"/>
      <c r="I8" s="26">
        <f>E8+(E8*H8/100*G8)</f>
        <v>0</v>
      </c>
      <c r="J8" s="26">
        <f>IFERROR(I8/G8,0)</f>
        <v>0</v>
      </c>
      <c r="K8" s="122"/>
      <c r="L8" s="27"/>
      <c r="M8" s="27"/>
      <c r="N8" s="121"/>
      <c r="O8" t="str">
        <f>IF(AND(H8&gt;=0,H8&lt;=100),"✅ VALID %","❌ INVALID")</f>
        <v>✅ VALID %</v>
      </c>
    </row>
  </sheetData>
  <autoFilter ref="A3:M3" xr:uid="{00000000-0009-0000-0000-000026000000}"/>
  <mergeCells count="2">
    <mergeCell ref="A1:N1"/>
    <mergeCell ref="A2:N2"/>
  </mergeCells>
  <pageMargins left="0.75" right="0.75" top="1" bottom="1" header="0.511811023622047" footer="0.511811023622047"/>
  <pageSetup paperSize="9" orientation="portrait" horizontalDpi="300" verticalDpi="30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L3"/>
  <sheetViews>
    <sheetView zoomScaleNormal="100" workbookViewId="0">
      <pane ySplit="3" topLeftCell="A4" activePane="bottomLeft" state="frozen"/>
      <selection pane="bottomLeft"/>
    </sheetView>
  </sheetViews>
  <sheetFormatPr defaultColWidth="8.7109375" defaultRowHeight="15" x14ac:dyDescent="0.25"/>
  <cols>
    <col min="1" max="1" width="18" customWidth="1"/>
    <col min="2" max="2" width="22" customWidth="1"/>
    <col min="3" max="3" width="16" customWidth="1"/>
    <col min="4" max="4" width="22" customWidth="1"/>
    <col min="5" max="5" width="14" customWidth="1"/>
    <col min="6" max="7" width="16" customWidth="1"/>
    <col min="8" max="8" width="18" customWidth="1"/>
    <col min="9" max="9" width="12" customWidth="1"/>
    <col min="10" max="10" width="20" customWidth="1"/>
    <col min="11" max="11" width="30" customWidth="1"/>
    <col min="12" max="12" width="14" customWidth="1"/>
  </cols>
  <sheetData>
    <row r="1" spans="1:12" ht="21.75" customHeight="1" x14ac:dyDescent="0.25">
      <c r="A1" s="224" t="s">
        <v>285</v>
      </c>
      <c r="B1" s="224"/>
      <c r="C1" s="224"/>
      <c r="D1" s="224"/>
      <c r="E1" s="224"/>
      <c r="F1" s="224"/>
      <c r="G1" s="224"/>
      <c r="H1" s="224"/>
      <c r="I1" s="224"/>
      <c r="J1" s="224"/>
      <c r="K1" s="224"/>
      <c r="L1" s="224"/>
    </row>
    <row r="2" spans="1:12" x14ac:dyDescent="0.25">
      <c r="A2" s="225"/>
      <c r="B2" s="225"/>
      <c r="C2" s="225"/>
      <c r="D2" s="225"/>
      <c r="E2" s="225"/>
      <c r="F2" s="225"/>
      <c r="G2" s="225"/>
      <c r="H2" s="225"/>
      <c r="I2" s="225"/>
      <c r="J2" s="225"/>
      <c r="K2" s="225"/>
      <c r="L2" s="225"/>
    </row>
    <row r="3" spans="1:12" x14ac:dyDescent="0.25">
      <c r="A3" s="123"/>
      <c r="B3" s="123"/>
      <c r="C3" s="123"/>
      <c r="D3" s="123"/>
      <c r="E3" s="123"/>
      <c r="F3" s="123"/>
      <c r="G3" s="123"/>
      <c r="H3" s="123"/>
      <c r="I3" s="123"/>
      <c r="J3" s="123"/>
      <c r="K3" s="123"/>
      <c r="L3" s="123"/>
    </row>
  </sheetData>
  <mergeCells count="2">
    <mergeCell ref="A1:L1"/>
    <mergeCell ref="A2:L2"/>
  </mergeCells>
  <pageMargins left="0.75" right="0.75" top="1" bottom="1" header="0.511811023622047" footer="0.511811023622047"/>
  <pageSetup paperSize="9" orientation="portrait" horizontalDpi="300" verticalDpi="30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tabColor rgb="FF1ABC9C"/>
  </sheetPr>
  <dimension ref="A1:G15"/>
  <sheetViews>
    <sheetView zoomScaleNormal="100" workbookViewId="0">
      <pane xSplit="1" ySplit="3" topLeftCell="B4" activePane="bottomRight" state="frozen"/>
      <selection pane="topRight" activeCell="B1" sqref="B1"/>
      <selection pane="bottomLeft" activeCell="A4" sqref="A4"/>
      <selection pane="bottomRight"/>
    </sheetView>
  </sheetViews>
  <sheetFormatPr defaultColWidth="8.7109375" defaultRowHeight="15" x14ac:dyDescent="0.25"/>
  <cols>
    <col min="1" max="1" width="14" customWidth="1"/>
    <col min="2" max="2" width="18" customWidth="1"/>
    <col min="3" max="3" width="20" customWidth="1"/>
    <col min="4" max="4" width="16" customWidth="1"/>
    <col min="5" max="5" width="13" customWidth="1"/>
    <col min="6" max="6" width="14" customWidth="1"/>
    <col min="7" max="7" width="16" customWidth="1"/>
  </cols>
  <sheetData>
    <row r="1" spans="1:7" ht="31.5" customHeight="1" x14ac:dyDescent="0.25">
      <c r="A1" s="14" t="s">
        <v>286</v>
      </c>
      <c r="B1" s="14"/>
      <c r="C1" s="14"/>
      <c r="D1" s="14"/>
      <c r="E1" s="14"/>
      <c r="F1" s="14"/>
      <c r="G1" s="14"/>
    </row>
    <row r="2" spans="1:7" ht="19.5" customHeight="1" x14ac:dyDescent="0.25">
      <c r="A2" s="13" t="s">
        <v>287</v>
      </c>
      <c r="B2" s="13"/>
      <c r="C2" s="13"/>
      <c r="D2" s="13"/>
      <c r="E2" s="13"/>
      <c r="F2" s="13"/>
      <c r="G2" s="13"/>
    </row>
    <row r="3" spans="1:7" x14ac:dyDescent="0.25">
      <c r="A3" s="20" t="s">
        <v>32</v>
      </c>
      <c r="B3" s="20" t="s">
        <v>288</v>
      </c>
      <c r="C3" s="20" t="s">
        <v>289</v>
      </c>
      <c r="D3" s="20" t="s">
        <v>290</v>
      </c>
      <c r="E3" s="20" t="s">
        <v>36</v>
      </c>
      <c r="F3" s="20" t="s">
        <v>291</v>
      </c>
      <c r="G3" s="20" t="s">
        <v>155</v>
      </c>
    </row>
    <row r="4" spans="1:7" x14ac:dyDescent="0.25">
      <c r="A4" s="21" t="s">
        <v>41</v>
      </c>
      <c r="B4" s="22">
        <f ca="1">SUMIFS(DB_Savings!$F:$F,DB_Savings!$G:$G,"Agent 01",DB_Savings!$E:$E,TODAY())</f>
        <v>0</v>
      </c>
      <c r="C4" s="22">
        <f ca="1">SUMIFS(DB_Withdrawals!$G:$G,DB_Withdrawals!$J:$J,"Agent 01",DB_Withdrawals!$F:$F,TODAY())</f>
        <v>0</v>
      </c>
      <c r="D4" s="22">
        <f t="shared" ref="D4:D14" ca="1" si="0">B4-C4</f>
        <v>0</v>
      </c>
      <c r="E4" s="23">
        <f ca="1">COUNTIFS(DB_Savings!$G:$G,"Agent 01",DB_Savings!$E:$E,TODAY())+COUNTIFS(DB_Withdrawals!$J:$J,"Agent 01",DB_Withdrawals!$F:$F,TODAY())</f>
        <v>0</v>
      </c>
      <c r="F4" s="22">
        <v>5000</v>
      </c>
      <c r="G4" s="23" t="str">
        <f t="shared" ref="G4:G13" ca="1" si="1">IF(B4&gt;=F4,"✅ Target Met",IF(B4&gt;=F4/2,"⚠️ Below Target","❌ Low"))</f>
        <v>❌ Low</v>
      </c>
    </row>
    <row r="5" spans="1:7" x14ac:dyDescent="0.25">
      <c r="A5" s="25" t="s">
        <v>42</v>
      </c>
      <c r="B5" s="26">
        <f ca="1">SUMIFS(DB_Savings!$F:$F,DB_Savings!$G:$G,"Agent 02",DB_Savings!$E:$E,TODAY())</f>
        <v>0</v>
      </c>
      <c r="C5" s="26">
        <f ca="1">SUMIFS(DB_Withdrawals!$G:$G,DB_Withdrawals!$J:$J,"Agent 02",DB_Withdrawals!$F:$F,TODAY())</f>
        <v>0</v>
      </c>
      <c r="D5" s="26">
        <f t="shared" ca="1" si="0"/>
        <v>0</v>
      </c>
      <c r="E5" s="27">
        <f ca="1">COUNTIFS(DB_Savings!$G:$G,"Agent 02",DB_Savings!$E:$E,TODAY())+COUNTIFS(DB_Withdrawals!$J:$J,"Agent 02",DB_Withdrawals!$F:$F,TODAY())</f>
        <v>0</v>
      </c>
      <c r="F5" s="26">
        <v>5000</v>
      </c>
      <c r="G5" s="27" t="str">
        <f t="shared" ca="1" si="1"/>
        <v>❌ Low</v>
      </c>
    </row>
    <row r="6" spans="1:7" x14ac:dyDescent="0.25">
      <c r="A6" s="21" t="s">
        <v>43</v>
      </c>
      <c r="B6" s="22">
        <f ca="1">SUMIFS(DB_Savings!$F:$F,DB_Savings!$G:$G,"Agent 03",DB_Savings!$E:$E,TODAY())</f>
        <v>0</v>
      </c>
      <c r="C6" s="22">
        <f ca="1">SUMIFS(DB_Withdrawals!$G:$G,DB_Withdrawals!$J:$J,"Agent 03",DB_Withdrawals!$F:$F,TODAY())</f>
        <v>0</v>
      </c>
      <c r="D6" s="22">
        <f t="shared" ca="1" si="0"/>
        <v>0</v>
      </c>
      <c r="E6" s="23">
        <f ca="1">COUNTIFS(DB_Savings!$G:$G,"Agent 03",DB_Savings!$E:$E,TODAY())+COUNTIFS(DB_Withdrawals!$J:$J,"Agent 03",DB_Withdrawals!$F:$F,TODAY())</f>
        <v>0</v>
      </c>
      <c r="F6" s="22">
        <v>5000</v>
      </c>
      <c r="G6" s="23" t="str">
        <f t="shared" ca="1" si="1"/>
        <v>❌ Low</v>
      </c>
    </row>
    <row r="7" spans="1:7" x14ac:dyDescent="0.25">
      <c r="A7" s="25" t="s">
        <v>44</v>
      </c>
      <c r="B7" s="26">
        <f ca="1">SUMIFS(DB_Savings!$F:$F,DB_Savings!$G:$G,"Agent 04",DB_Savings!$E:$E,TODAY())</f>
        <v>0</v>
      </c>
      <c r="C7" s="26">
        <f ca="1">SUMIFS(DB_Withdrawals!$G:$G,DB_Withdrawals!$J:$J,"Agent 04",DB_Withdrawals!$F:$F,TODAY())</f>
        <v>0</v>
      </c>
      <c r="D7" s="26">
        <f t="shared" ca="1" si="0"/>
        <v>0</v>
      </c>
      <c r="E7" s="27">
        <f ca="1">COUNTIFS(DB_Savings!$G:$G,"Agent 04",DB_Savings!$E:$E,TODAY())+COUNTIFS(DB_Withdrawals!$J:$J,"Agent 04",DB_Withdrawals!$F:$F,TODAY())</f>
        <v>0</v>
      </c>
      <c r="F7" s="26">
        <v>5000</v>
      </c>
      <c r="G7" s="27" t="str">
        <f t="shared" ca="1" si="1"/>
        <v>❌ Low</v>
      </c>
    </row>
    <row r="8" spans="1:7" x14ac:dyDescent="0.25">
      <c r="A8" s="21" t="s">
        <v>45</v>
      </c>
      <c r="B8" s="22">
        <f ca="1">SUMIFS(DB_Savings!$F:$F,DB_Savings!$G:$G,"Agent 05",DB_Savings!$E:$E,TODAY())</f>
        <v>0</v>
      </c>
      <c r="C8" s="22">
        <f ca="1">SUMIFS(DB_Withdrawals!$G:$G,DB_Withdrawals!$J:$J,"Agent 05",DB_Withdrawals!$F:$F,TODAY())</f>
        <v>0</v>
      </c>
      <c r="D8" s="22">
        <f t="shared" ca="1" si="0"/>
        <v>0</v>
      </c>
      <c r="E8" s="23">
        <f ca="1">COUNTIFS(DB_Savings!$G:$G,"Agent 05",DB_Savings!$E:$E,TODAY())+COUNTIFS(DB_Withdrawals!$J:$J,"Agent 05",DB_Withdrawals!$F:$F,TODAY())</f>
        <v>0</v>
      </c>
      <c r="F8" s="22">
        <v>5000</v>
      </c>
      <c r="G8" s="23" t="str">
        <f t="shared" ca="1" si="1"/>
        <v>❌ Low</v>
      </c>
    </row>
    <row r="9" spans="1:7" x14ac:dyDescent="0.25">
      <c r="A9" s="25" t="s">
        <v>46</v>
      </c>
      <c r="B9" s="26">
        <f ca="1">SUMIFS(DB_Savings!$F:$F,DB_Savings!$G:$G,"Agent 06",DB_Savings!$E:$E,TODAY())</f>
        <v>0</v>
      </c>
      <c r="C9" s="26">
        <f ca="1">SUMIFS(DB_Withdrawals!$G:$G,DB_Withdrawals!$J:$J,"Agent 06",DB_Withdrawals!$F:$F,TODAY())</f>
        <v>0</v>
      </c>
      <c r="D9" s="26">
        <f t="shared" ca="1" si="0"/>
        <v>0</v>
      </c>
      <c r="E9" s="27">
        <f ca="1">COUNTIFS(DB_Savings!$G:$G,"Agent 06",DB_Savings!$E:$E,TODAY())+COUNTIFS(DB_Withdrawals!$J:$J,"Agent 06",DB_Withdrawals!$F:$F,TODAY())</f>
        <v>0</v>
      </c>
      <c r="F9" s="26">
        <v>5000</v>
      </c>
      <c r="G9" s="27" t="str">
        <f t="shared" ca="1" si="1"/>
        <v>❌ Low</v>
      </c>
    </row>
    <row r="10" spans="1:7" x14ac:dyDescent="0.25">
      <c r="A10" s="21" t="s">
        <v>47</v>
      </c>
      <c r="B10" s="22">
        <f ca="1">SUMIFS(DB_Savings!$F:$F,DB_Savings!$G:$G,"Agent 07",DB_Savings!$E:$E,TODAY())</f>
        <v>0</v>
      </c>
      <c r="C10" s="22">
        <f ca="1">SUMIFS(DB_Withdrawals!$G:$G,DB_Withdrawals!$J:$J,"Agent 07",DB_Withdrawals!$F:$F,TODAY())</f>
        <v>0</v>
      </c>
      <c r="D10" s="22">
        <f t="shared" ca="1" si="0"/>
        <v>0</v>
      </c>
      <c r="E10" s="23">
        <f ca="1">COUNTIFS(DB_Savings!$G:$G,"Agent 07",DB_Savings!$E:$E,TODAY())+COUNTIFS(DB_Withdrawals!$J:$J,"Agent 07",DB_Withdrawals!$F:$F,TODAY())</f>
        <v>0</v>
      </c>
      <c r="F10" s="22">
        <v>5000</v>
      </c>
      <c r="G10" s="23" t="str">
        <f t="shared" ca="1" si="1"/>
        <v>❌ Low</v>
      </c>
    </row>
    <row r="11" spans="1:7" x14ac:dyDescent="0.25">
      <c r="A11" s="25" t="s">
        <v>48</v>
      </c>
      <c r="B11" s="26">
        <f ca="1">SUMIFS(DB_Savings!$F:$F,DB_Savings!$G:$G,"Agent 08",DB_Savings!$E:$E,TODAY())</f>
        <v>0</v>
      </c>
      <c r="C11" s="26">
        <f ca="1">SUMIFS(DB_Withdrawals!$G:$G,DB_Withdrawals!$J:$J,"Agent 08",DB_Withdrawals!$F:$F,TODAY())</f>
        <v>0</v>
      </c>
      <c r="D11" s="26">
        <f t="shared" ca="1" si="0"/>
        <v>0</v>
      </c>
      <c r="E11" s="27">
        <f ca="1">COUNTIFS(DB_Savings!$G:$G,"Agent 08",DB_Savings!$E:$E,TODAY())+COUNTIFS(DB_Withdrawals!$J:$J,"Agent 08",DB_Withdrawals!$F:$F,TODAY())</f>
        <v>0</v>
      </c>
      <c r="F11" s="26">
        <v>5000</v>
      </c>
      <c r="G11" s="27" t="str">
        <f t="shared" ca="1" si="1"/>
        <v>❌ Low</v>
      </c>
    </row>
    <row r="12" spans="1:7" x14ac:dyDescent="0.25">
      <c r="A12" s="21" t="s">
        <v>49</v>
      </c>
      <c r="B12" s="22">
        <f ca="1">SUMIFS(DB_Savings!$F:$F,DB_Savings!$G:$G,"Agent 09",DB_Savings!$E:$E,TODAY())</f>
        <v>0</v>
      </c>
      <c r="C12" s="22">
        <f ca="1">SUMIFS(DB_Withdrawals!$G:$G,DB_Withdrawals!$J:$J,"Agent 09",DB_Withdrawals!$F:$F,TODAY())</f>
        <v>0</v>
      </c>
      <c r="D12" s="22">
        <f t="shared" ca="1" si="0"/>
        <v>0</v>
      </c>
      <c r="E12" s="23">
        <f ca="1">COUNTIFS(DB_Savings!$G:$G,"Agent 09",DB_Savings!$E:$E,TODAY())+COUNTIFS(DB_Withdrawals!$J:$J,"Agent 09",DB_Withdrawals!$F:$F,TODAY())</f>
        <v>0</v>
      </c>
      <c r="F12" s="22">
        <v>5000</v>
      </c>
      <c r="G12" s="23" t="str">
        <f t="shared" ca="1" si="1"/>
        <v>❌ Low</v>
      </c>
    </row>
    <row r="13" spans="1:7" x14ac:dyDescent="0.25">
      <c r="A13" s="25" t="s">
        <v>50</v>
      </c>
      <c r="B13" s="26">
        <f ca="1">SUMIFS(DB_Savings!$F:$F,DB_Savings!$G:$G,"Agent 10",DB_Savings!$E:$E,TODAY())</f>
        <v>0</v>
      </c>
      <c r="C13" s="26">
        <f ca="1">SUMIFS(DB_Withdrawals!$G:$G,DB_Withdrawals!$J:$J,"Agent 10",DB_Withdrawals!$F:$F,TODAY())</f>
        <v>0</v>
      </c>
      <c r="D13" s="26">
        <f t="shared" ca="1" si="0"/>
        <v>0</v>
      </c>
      <c r="E13" s="27">
        <f ca="1">COUNTIFS(DB_Savings!$G:$G,"Agent 10",DB_Savings!$E:$E,TODAY())+COUNTIFS(DB_Withdrawals!$J:$J,"Agent 10",DB_Withdrawals!$F:$F,TODAY())</f>
        <v>0</v>
      </c>
      <c r="F13" s="26">
        <v>5000</v>
      </c>
      <c r="G13" s="27" t="str">
        <f t="shared" ca="1" si="1"/>
        <v>❌ Low</v>
      </c>
    </row>
    <row r="14" spans="1:7" x14ac:dyDescent="0.25">
      <c r="A14" s="29" t="s">
        <v>292</v>
      </c>
      <c r="B14" s="30">
        <f ca="1">SUM(B4:B13)</f>
        <v>0</v>
      </c>
      <c r="C14" s="30">
        <f ca="1">SUM(C4:C13)</f>
        <v>0</v>
      </c>
      <c r="D14" s="30">
        <f t="shared" ca="1" si="0"/>
        <v>0</v>
      </c>
      <c r="E14" s="29">
        <f ca="1">SUM(E4:E13)</f>
        <v>0</v>
      </c>
      <c r="F14" s="29"/>
      <c r="G14" s="29"/>
    </row>
    <row r="15" spans="1:7" ht="7.5" customHeight="1" x14ac:dyDescent="0.25"/>
  </sheetData>
  <mergeCells count="2">
    <mergeCell ref="A1:G1"/>
    <mergeCell ref="A2:G2"/>
  </mergeCells>
  <conditionalFormatting sqref="D4:D13">
    <cfRule type="cellIs" dxfId="1" priority="2" operator="greaterThan">
      <formula>0</formula>
    </cfRule>
    <cfRule type="cellIs" dxfId="0" priority="3" operator="lessThan">
      <formula>0</formula>
    </cfRule>
  </conditionalFormatting>
  <pageMargins left="0.75" right="0.75" top="1" bottom="1" header="0.511811023622047" footer="0.511811023622047"/>
  <pageSetup paperSize="9" orientation="portrait" horizontalDpi="300" verticalDpi="300"/>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tabColor rgb="FF2E86AB"/>
  </sheetPr>
  <dimension ref="A1:H18"/>
  <sheetViews>
    <sheetView zoomScaleNormal="100" workbookViewId="0">
      <pane xSplit="1" ySplit="7" topLeftCell="B8" activePane="bottomRight" state="frozen"/>
      <selection pane="topRight" activeCell="B1" sqref="B1"/>
      <selection pane="bottomLeft" activeCell="A8" sqref="A8"/>
      <selection pane="bottomRight"/>
    </sheetView>
  </sheetViews>
  <sheetFormatPr defaultColWidth="8.7109375" defaultRowHeight="15" x14ac:dyDescent="0.25"/>
  <cols>
    <col min="1" max="1" width="14" customWidth="1"/>
    <col min="2" max="7" width="13" customWidth="1"/>
    <col min="8" max="8" width="16" customWidth="1"/>
  </cols>
  <sheetData>
    <row r="1" spans="1:8" ht="31.5" customHeight="1" x14ac:dyDescent="0.25">
      <c r="A1" s="226" t="s">
        <v>293</v>
      </c>
      <c r="B1" s="226"/>
      <c r="C1" s="226"/>
      <c r="D1" s="226"/>
      <c r="E1" s="226"/>
      <c r="F1" s="226"/>
      <c r="G1" s="226"/>
      <c r="H1" s="226"/>
    </row>
    <row r="2" spans="1:8" ht="19.5" customHeight="1" x14ac:dyDescent="0.25">
      <c r="A2" s="227" t="str">
        <f ca="1">TEXT(TODAY()-WEEKDAY(TODAY(),2)+1,"DD MMM")&amp;" – "&amp;TEXT(TODAY()-WEEKDAY(TODAY(),2)+7,"DD MMM YYYY")</f>
        <v>13 Apr – 19 Apr 2026</v>
      </c>
      <c r="B2" s="227"/>
      <c r="C2" s="227"/>
      <c r="D2" s="227"/>
      <c r="E2" s="227"/>
      <c r="F2" s="227"/>
      <c r="G2" s="227"/>
      <c r="H2" s="227"/>
    </row>
    <row r="3" spans="1:8" ht="18" customHeight="1" x14ac:dyDescent="0.25">
      <c r="A3" s="177" t="s">
        <v>294</v>
      </c>
      <c r="B3" s="177"/>
      <c r="C3" s="178" t="s">
        <v>56</v>
      </c>
      <c r="D3" s="178"/>
      <c r="E3" s="179" t="s">
        <v>295</v>
      </c>
      <c r="F3" s="179"/>
      <c r="G3" s="154" t="s">
        <v>36</v>
      </c>
      <c r="H3" s="154"/>
    </row>
    <row r="4" spans="1:8" ht="27.75" customHeight="1" x14ac:dyDescent="0.25">
      <c r="A4" s="228">
        <f ca="1">Daily_Balancing!B14</f>
        <v>0</v>
      </c>
      <c r="B4" s="228"/>
      <c r="C4" s="229">
        <f ca="1">Daily_Balancing!C14</f>
        <v>0</v>
      </c>
      <c r="D4" s="229"/>
      <c r="E4" s="230">
        <f ca="1">Daily_Balancing!D14</f>
        <v>0</v>
      </c>
      <c r="F4" s="230"/>
      <c r="G4" s="231">
        <f ca="1">Daily_Balancing!E14</f>
        <v>0</v>
      </c>
      <c r="H4" s="231"/>
    </row>
    <row r="6" spans="1:8" x14ac:dyDescent="0.25">
      <c r="A6" s="218" t="s">
        <v>296</v>
      </c>
      <c r="B6" s="218"/>
      <c r="C6" s="218"/>
      <c r="D6" s="218"/>
      <c r="E6" s="218"/>
      <c r="F6" s="218"/>
      <c r="G6" s="218"/>
      <c r="H6" s="218"/>
    </row>
    <row r="7" spans="1:8" x14ac:dyDescent="0.25">
      <c r="A7" s="20" t="s">
        <v>32</v>
      </c>
      <c r="B7" s="20" t="s">
        <v>297</v>
      </c>
      <c r="C7" s="20" t="s">
        <v>298</v>
      </c>
      <c r="D7" s="20" t="s">
        <v>299</v>
      </c>
      <c r="E7" s="20" t="s">
        <v>300</v>
      </c>
      <c r="F7" s="20" t="s">
        <v>301</v>
      </c>
      <c r="G7" s="20" t="s">
        <v>302</v>
      </c>
      <c r="H7" s="20" t="s">
        <v>303</v>
      </c>
    </row>
    <row r="8" spans="1:8" x14ac:dyDescent="0.25">
      <c r="A8" s="21" t="s">
        <v>41</v>
      </c>
      <c r="B8" s="22">
        <f ca="1">IFERROR(Daily_Balancing!B4/5,0)</f>
        <v>0</v>
      </c>
      <c r="C8" s="22">
        <f ca="1">IFERROR(Daily_Balancing!B4/5,0)</f>
        <v>0</v>
      </c>
      <c r="D8" s="22">
        <f ca="1">IFERROR(Daily_Balancing!B4/5,0)</f>
        <v>0</v>
      </c>
      <c r="E8" s="22">
        <f ca="1">IFERROR(Daily_Balancing!B4/5,0)</f>
        <v>0</v>
      </c>
      <c r="F8" s="22">
        <f ca="1">IFERROR(Daily_Balancing!B4/5,0)</f>
        <v>0</v>
      </c>
      <c r="G8" s="22">
        <f ca="1">IFERROR(Daily_Balancing!B4/5,0)</f>
        <v>0</v>
      </c>
      <c r="H8" s="22">
        <f t="shared" ref="H8:H17" ca="1" si="0">SUM(B8:G8)</f>
        <v>0</v>
      </c>
    </row>
    <row r="9" spans="1:8" x14ac:dyDescent="0.25">
      <c r="A9" s="25" t="s">
        <v>42</v>
      </c>
      <c r="B9" s="26">
        <f ca="1">IFERROR(Daily_Balancing!B5/5,0)</f>
        <v>0</v>
      </c>
      <c r="C9" s="26">
        <f ca="1">IFERROR(Daily_Balancing!B5/5,0)</f>
        <v>0</v>
      </c>
      <c r="D9" s="26">
        <f ca="1">IFERROR(Daily_Balancing!B5/5,0)</f>
        <v>0</v>
      </c>
      <c r="E9" s="26">
        <f ca="1">IFERROR(Daily_Balancing!B5/5,0)</f>
        <v>0</v>
      </c>
      <c r="F9" s="26">
        <f ca="1">IFERROR(Daily_Balancing!B5/5,0)</f>
        <v>0</v>
      </c>
      <c r="G9" s="26">
        <f ca="1">IFERROR(Daily_Balancing!B5/5,0)</f>
        <v>0</v>
      </c>
      <c r="H9" s="26">
        <f t="shared" ca="1" si="0"/>
        <v>0</v>
      </c>
    </row>
    <row r="10" spans="1:8" x14ac:dyDescent="0.25">
      <c r="A10" s="21" t="s">
        <v>43</v>
      </c>
      <c r="B10" s="22">
        <f ca="1">IFERROR(Daily_Balancing!B6/5,0)</f>
        <v>0</v>
      </c>
      <c r="C10" s="22">
        <f ca="1">IFERROR(Daily_Balancing!B6/5,0)</f>
        <v>0</v>
      </c>
      <c r="D10" s="22">
        <f ca="1">IFERROR(Daily_Balancing!B6/5,0)</f>
        <v>0</v>
      </c>
      <c r="E10" s="22">
        <f ca="1">IFERROR(Daily_Balancing!B6/5,0)</f>
        <v>0</v>
      </c>
      <c r="F10" s="22">
        <f ca="1">IFERROR(Daily_Balancing!B6/5,0)</f>
        <v>0</v>
      </c>
      <c r="G10" s="22">
        <f ca="1">IFERROR(Daily_Balancing!B6/5,0)</f>
        <v>0</v>
      </c>
      <c r="H10" s="22">
        <f t="shared" ca="1" si="0"/>
        <v>0</v>
      </c>
    </row>
    <row r="11" spans="1:8" x14ac:dyDescent="0.25">
      <c r="A11" s="25" t="s">
        <v>44</v>
      </c>
      <c r="B11" s="26">
        <f ca="1">IFERROR(Daily_Balancing!B7/5,0)</f>
        <v>0</v>
      </c>
      <c r="C11" s="26">
        <f ca="1">IFERROR(Daily_Balancing!B7/5,0)</f>
        <v>0</v>
      </c>
      <c r="D11" s="26">
        <f ca="1">IFERROR(Daily_Balancing!B7/5,0)</f>
        <v>0</v>
      </c>
      <c r="E11" s="26">
        <f ca="1">IFERROR(Daily_Balancing!B7/5,0)</f>
        <v>0</v>
      </c>
      <c r="F11" s="26">
        <f ca="1">IFERROR(Daily_Balancing!B7/5,0)</f>
        <v>0</v>
      </c>
      <c r="G11" s="26">
        <f ca="1">IFERROR(Daily_Balancing!B7/5,0)</f>
        <v>0</v>
      </c>
      <c r="H11" s="26">
        <f t="shared" ca="1" si="0"/>
        <v>0</v>
      </c>
    </row>
    <row r="12" spans="1:8" x14ac:dyDescent="0.25">
      <c r="A12" s="21" t="s">
        <v>45</v>
      </c>
      <c r="B12" s="22">
        <f ca="1">IFERROR(Daily_Balancing!B8/5,0)</f>
        <v>0</v>
      </c>
      <c r="C12" s="22">
        <f ca="1">IFERROR(Daily_Balancing!B8/5,0)</f>
        <v>0</v>
      </c>
      <c r="D12" s="22">
        <f ca="1">IFERROR(Daily_Balancing!B8/5,0)</f>
        <v>0</v>
      </c>
      <c r="E12" s="22">
        <f ca="1">IFERROR(Daily_Balancing!B8/5,0)</f>
        <v>0</v>
      </c>
      <c r="F12" s="22">
        <f ca="1">IFERROR(Daily_Balancing!B8/5,0)</f>
        <v>0</v>
      </c>
      <c r="G12" s="22">
        <f ca="1">IFERROR(Daily_Balancing!B8/5,0)</f>
        <v>0</v>
      </c>
      <c r="H12" s="22">
        <f t="shared" ca="1" si="0"/>
        <v>0</v>
      </c>
    </row>
    <row r="13" spans="1:8" x14ac:dyDescent="0.25">
      <c r="A13" s="25" t="s">
        <v>46</v>
      </c>
      <c r="B13" s="26">
        <f ca="1">IFERROR(Daily_Balancing!B9/5,0)</f>
        <v>0</v>
      </c>
      <c r="C13" s="26">
        <f ca="1">IFERROR(Daily_Balancing!B9/5,0)</f>
        <v>0</v>
      </c>
      <c r="D13" s="26">
        <f ca="1">IFERROR(Daily_Balancing!B9/5,0)</f>
        <v>0</v>
      </c>
      <c r="E13" s="26">
        <f ca="1">IFERROR(Daily_Balancing!B9/5,0)</f>
        <v>0</v>
      </c>
      <c r="F13" s="26">
        <f ca="1">IFERROR(Daily_Balancing!B9/5,0)</f>
        <v>0</v>
      </c>
      <c r="G13" s="26">
        <f ca="1">IFERROR(Daily_Balancing!B9/5,0)</f>
        <v>0</v>
      </c>
      <c r="H13" s="26">
        <f t="shared" ca="1" si="0"/>
        <v>0</v>
      </c>
    </row>
    <row r="14" spans="1:8" x14ac:dyDescent="0.25">
      <c r="A14" s="21" t="s">
        <v>47</v>
      </c>
      <c r="B14" s="22">
        <f ca="1">IFERROR(Daily_Balancing!B10/5,0)</f>
        <v>0</v>
      </c>
      <c r="C14" s="22">
        <f ca="1">IFERROR(Daily_Balancing!B10/5,0)</f>
        <v>0</v>
      </c>
      <c r="D14" s="22">
        <f ca="1">IFERROR(Daily_Balancing!B10/5,0)</f>
        <v>0</v>
      </c>
      <c r="E14" s="22">
        <f ca="1">IFERROR(Daily_Balancing!B10/5,0)</f>
        <v>0</v>
      </c>
      <c r="F14" s="22">
        <f ca="1">IFERROR(Daily_Balancing!B10/5,0)</f>
        <v>0</v>
      </c>
      <c r="G14" s="22">
        <f ca="1">IFERROR(Daily_Balancing!B10/5,0)</f>
        <v>0</v>
      </c>
      <c r="H14" s="22">
        <f t="shared" ca="1" si="0"/>
        <v>0</v>
      </c>
    </row>
    <row r="15" spans="1:8" x14ac:dyDescent="0.25">
      <c r="A15" s="25" t="s">
        <v>48</v>
      </c>
      <c r="B15" s="26">
        <f ca="1">IFERROR(Daily_Balancing!B11/5,0)</f>
        <v>0</v>
      </c>
      <c r="C15" s="26">
        <f ca="1">IFERROR(Daily_Balancing!B11/5,0)</f>
        <v>0</v>
      </c>
      <c r="D15" s="26">
        <f ca="1">IFERROR(Daily_Balancing!B11/5,0)</f>
        <v>0</v>
      </c>
      <c r="E15" s="26">
        <f ca="1">IFERROR(Daily_Balancing!B11/5,0)</f>
        <v>0</v>
      </c>
      <c r="F15" s="26">
        <f ca="1">IFERROR(Daily_Balancing!B11/5,0)</f>
        <v>0</v>
      </c>
      <c r="G15" s="26">
        <f ca="1">IFERROR(Daily_Balancing!B11/5,0)</f>
        <v>0</v>
      </c>
      <c r="H15" s="26">
        <f t="shared" ca="1" si="0"/>
        <v>0</v>
      </c>
    </row>
    <row r="16" spans="1:8" x14ac:dyDescent="0.25">
      <c r="A16" s="21" t="s">
        <v>49</v>
      </c>
      <c r="B16" s="22">
        <f ca="1">IFERROR(Daily_Balancing!B12/5,0)</f>
        <v>0</v>
      </c>
      <c r="C16" s="22">
        <f ca="1">IFERROR(Daily_Balancing!B12/5,0)</f>
        <v>0</v>
      </c>
      <c r="D16" s="22">
        <f ca="1">IFERROR(Daily_Balancing!B12/5,0)</f>
        <v>0</v>
      </c>
      <c r="E16" s="22">
        <f ca="1">IFERROR(Daily_Balancing!B12/5,0)</f>
        <v>0</v>
      </c>
      <c r="F16" s="22">
        <f ca="1">IFERROR(Daily_Balancing!B12/5,0)</f>
        <v>0</v>
      </c>
      <c r="G16" s="22">
        <f ca="1">IFERROR(Daily_Balancing!B12/5,0)</f>
        <v>0</v>
      </c>
      <c r="H16" s="22">
        <f t="shared" ca="1" si="0"/>
        <v>0</v>
      </c>
    </row>
    <row r="17" spans="1:8" x14ac:dyDescent="0.25">
      <c r="A17" s="25" t="s">
        <v>50</v>
      </c>
      <c r="B17" s="26">
        <f ca="1">IFERROR(Daily_Balancing!B13/5,0)</f>
        <v>0</v>
      </c>
      <c r="C17" s="26">
        <f ca="1">IFERROR(Daily_Balancing!B13/5,0)</f>
        <v>0</v>
      </c>
      <c r="D17" s="26">
        <f ca="1">IFERROR(Daily_Balancing!B13/5,0)</f>
        <v>0</v>
      </c>
      <c r="E17" s="26">
        <f ca="1">IFERROR(Daily_Balancing!B13/5,0)</f>
        <v>0</v>
      </c>
      <c r="F17" s="26">
        <f ca="1">IFERROR(Daily_Balancing!B13/5,0)</f>
        <v>0</v>
      </c>
      <c r="G17" s="26">
        <f ca="1">IFERROR(Daily_Balancing!B13/5,0)</f>
        <v>0</v>
      </c>
      <c r="H17" s="26">
        <f t="shared" ca="1" si="0"/>
        <v>0</v>
      </c>
    </row>
    <row r="18" spans="1:8" x14ac:dyDescent="0.25">
      <c r="A18" s="29" t="s">
        <v>304</v>
      </c>
      <c r="B18" s="30">
        <f t="shared" ref="B18:H18" ca="1" si="1">SUM(B8:B17)</f>
        <v>0</v>
      </c>
      <c r="C18" s="30">
        <f t="shared" ca="1" si="1"/>
        <v>0</v>
      </c>
      <c r="D18" s="30">
        <f t="shared" ca="1" si="1"/>
        <v>0</v>
      </c>
      <c r="E18" s="30">
        <f t="shared" ca="1" si="1"/>
        <v>0</v>
      </c>
      <c r="F18" s="30">
        <f t="shared" ca="1" si="1"/>
        <v>0</v>
      </c>
      <c r="G18" s="30">
        <f t="shared" ca="1" si="1"/>
        <v>0</v>
      </c>
      <c r="H18" s="30">
        <f t="shared" ca="1" si="1"/>
        <v>0</v>
      </c>
    </row>
  </sheetData>
  <mergeCells count="11">
    <mergeCell ref="A4:B4"/>
    <mergeCell ref="C4:D4"/>
    <mergeCell ref="E4:F4"/>
    <mergeCell ref="G4:H4"/>
    <mergeCell ref="A6:H6"/>
    <mergeCell ref="A1:H1"/>
    <mergeCell ref="A2:H2"/>
    <mergeCell ref="A3:B3"/>
    <mergeCell ref="C3:D3"/>
    <mergeCell ref="E3:F3"/>
    <mergeCell ref="G3:H3"/>
  </mergeCells>
  <pageMargins left="0.75" right="0.75" top="1" bottom="1" header="0.511811023622047" footer="0.511811023622047"/>
  <pageSetup paperSize="9" orientation="portrait" horizontalDpi="300" verticalDpi="30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tabColor rgb="FF8E44AD"/>
  </sheetPr>
  <dimension ref="A1:I20"/>
  <sheetViews>
    <sheetView zoomScaleNormal="100" workbookViewId="0">
      <pane xSplit="1" ySplit="7" topLeftCell="B8" activePane="bottomRight" state="frozen"/>
      <selection pane="topRight" activeCell="B1" sqref="B1"/>
      <selection pane="bottomLeft" activeCell="A8" sqref="A8"/>
      <selection pane="bottomRight"/>
    </sheetView>
  </sheetViews>
  <sheetFormatPr defaultColWidth="8.7109375" defaultRowHeight="15" x14ac:dyDescent="0.25"/>
  <cols>
    <col min="1" max="1" width="10" customWidth="1"/>
    <col min="2" max="3" width="18" customWidth="1"/>
    <col min="4" max="4" width="15" customWidth="1"/>
    <col min="5" max="5" width="12" customWidth="1"/>
    <col min="6" max="6" width="10" customWidth="1"/>
    <col min="7" max="7" width="16" customWidth="1"/>
    <col min="8" max="9" width="10" customWidth="1"/>
  </cols>
  <sheetData>
    <row r="1" spans="1:9" ht="31.5" customHeight="1" x14ac:dyDescent="0.25">
      <c r="A1" s="232" t="s">
        <v>305</v>
      </c>
      <c r="B1" s="232"/>
      <c r="C1" s="232"/>
      <c r="D1" s="232"/>
      <c r="E1" s="232"/>
      <c r="F1" s="232"/>
      <c r="G1" s="232"/>
      <c r="H1" s="232"/>
      <c r="I1" s="232"/>
    </row>
    <row r="2" spans="1:9" ht="19.5" customHeight="1" x14ac:dyDescent="0.25">
      <c r="A2" s="233" t="s">
        <v>306</v>
      </c>
      <c r="B2" s="233"/>
      <c r="C2" s="233"/>
      <c r="D2" s="233"/>
      <c r="E2" s="233"/>
      <c r="F2" s="233"/>
      <c r="G2" s="233"/>
      <c r="H2" s="233"/>
      <c r="I2" s="233"/>
    </row>
    <row r="3" spans="1:9" ht="18" customHeight="1" x14ac:dyDescent="0.25">
      <c r="A3" s="125" t="s">
        <v>39</v>
      </c>
      <c r="B3" s="125" t="s">
        <v>307</v>
      </c>
      <c r="C3" s="125" t="s">
        <v>308</v>
      </c>
      <c r="D3" s="125" t="s">
        <v>309</v>
      </c>
      <c r="E3" s="125" t="s">
        <v>310</v>
      </c>
    </row>
    <row r="4" spans="1:9" ht="31.5" customHeight="1" x14ac:dyDescent="0.25">
      <c r="A4" s="126">
        <f ca="1">Daily_Balancing!B14</f>
        <v>0</v>
      </c>
      <c r="B4" s="126">
        <f ca="1">Daily_Balancing!C14</f>
        <v>0</v>
      </c>
      <c r="C4" s="126">
        <f ca="1">Daily_Balancing!D14</f>
        <v>0</v>
      </c>
      <c r="D4" s="127">
        <f ca="1">COUNTIF(DB_Customers!J2:J2000,"&gt;="&amp;DATE(YEAR(TODAY()),MONTH(TODAY()),1))</f>
        <v>0</v>
      </c>
      <c r="E4" s="127">
        <f>COUNTIF(DB_Loans!K2:K500,"Approved")</f>
        <v>0</v>
      </c>
    </row>
    <row r="6" spans="1:9" x14ac:dyDescent="0.25">
      <c r="A6" s="218" t="s">
        <v>311</v>
      </c>
      <c r="B6" s="218"/>
      <c r="C6" s="218"/>
      <c r="D6" s="218"/>
      <c r="E6" s="218"/>
      <c r="F6" s="218"/>
      <c r="G6" s="218"/>
      <c r="H6" s="218"/>
      <c r="I6" s="218"/>
    </row>
    <row r="7" spans="1:9" x14ac:dyDescent="0.25">
      <c r="A7" s="128" t="s">
        <v>312</v>
      </c>
      <c r="B7" s="128" t="s">
        <v>313</v>
      </c>
      <c r="C7" s="128" t="s">
        <v>314</v>
      </c>
      <c r="D7" s="128" t="s">
        <v>35</v>
      </c>
      <c r="E7" s="128" t="s">
        <v>315</v>
      </c>
      <c r="F7" s="128" t="s">
        <v>316</v>
      </c>
      <c r="G7" s="128" t="s">
        <v>317</v>
      </c>
      <c r="H7" s="128" t="s">
        <v>318</v>
      </c>
      <c r="I7" s="128" t="s">
        <v>319</v>
      </c>
    </row>
    <row r="8" spans="1:9" x14ac:dyDescent="0.25">
      <c r="A8" s="27" t="s">
        <v>320</v>
      </c>
      <c r="B8" s="26">
        <v>107824.22</v>
      </c>
      <c r="C8" s="26">
        <v>37455.75</v>
      </c>
      <c r="D8" s="26">
        <v>70368.47</v>
      </c>
      <c r="E8" s="27">
        <v>8</v>
      </c>
      <c r="F8" s="27">
        <v>12</v>
      </c>
      <c r="G8" s="26">
        <v>2695.61</v>
      </c>
      <c r="H8" s="27" t="s">
        <v>321</v>
      </c>
      <c r="I8" s="27" t="s">
        <v>322</v>
      </c>
    </row>
    <row r="9" spans="1:9" x14ac:dyDescent="0.25">
      <c r="A9" s="23" t="s">
        <v>323</v>
      </c>
      <c r="B9" s="22">
        <v>133790.85</v>
      </c>
      <c r="C9" s="22">
        <v>40398.620000000003</v>
      </c>
      <c r="D9" s="22">
        <v>93392.23</v>
      </c>
      <c r="E9" s="23">
        <v>13</v>
      </c>
      <c r="F9" s="23">
        <v>12</v>
      </c>
      <c r="G9" s="22">
        <v>3344.77</v>
      </c>
      <c r="H9" s="23" t="s">
        <v>324</v>
      </c>
      <c r="I9" s="23" t="s">
        <v>322</v>
      </c>
    </row>
    <row r="10" spans="1:9" x14ac:dyDescent="0.25">
      <c r="A10" s="27" t="s">
        <v>325</v>
      </c>
      <c r="B10" s="26">
        <v>95687.1</v>
      </c>
      <c r="C10" s="26">
        <v>51481.08</v>
      </c>
      <c r="D10" s="26">
        <v>44206.02</v>
      </c>
      <c r="E10" s="27">
        <v>7</v>
      </c>
      <c r="F10" s="27">
        <v>11</v>
      </c>
      <c r="G10" s="26">
        <v>2392.1799999999998</v>
      </c>
      <c r="H10" s="27" t="s">
        <v>326</v>
      </c>
      <c r="I10" s="27" t="s">
        <v>327</v>
      </c>
    </row>
    <row r="11" spans="1:9" x14ac:dyDescent="0.25">
      <c r="A11" s="23" t="s">
        <v>328</v>
      </c>
      <c r="B11" s="22">
        <v>108714.02</v>
      </c>
      <c r="C11" s="22">
        <v>50819.15</v>
      </c>
      <c r="D11" s="22">
        <v>57894.87</v>
      </c>
      <c r="E11" s="23">
        <v>7</v>
      </c>
      <c r="F11" s="23">
        <v>6</v>
      </c>
      <c r="G11" s="22">
        <v>2717.85</v>
      </c>
      <c r="H11" s="23" t="s">
        <v>329</v>
      </c>
      <c r="I11" s="23" t="s">
        <v>322</v>
      </c>
    </row>
    <row r="12" spans="1:9" x14ac:dyDescent="0.25">
      <c r="A12" s="27" t="s">
        <v>330</v>
      </c>
      <c r="B12" s="27"/>
      <c r="C12" s="27"/>
      <c r="D12" s="27"/>
      <c r="E12" s="27"/>
      <c r="F12" s="27"/>
      <c r="G12" s="27"/>
      <c r="H12" s="27"/>
      <c r="I12" s="27"/>
    </row>
    <row r="13" spans="1:9" x14ac:dyDescent="0.25">
      <c r="A13" s="23" t="s">
        <v>331</v>
      </c>
      <c r="B13" s="23"/>
      <c r="C13" s="23"/>
      <c r="D13" s="23"/>
      <c r="E13" s="23"/>
      <c r="F13" s="23"/>
      <c r="G13" s="23"/>
      <c r="H13" s="23"/>
      <c r="I13" s="23"/>
    </row>
    <row r="14" spans="1:9" x14ac:dyDescent="0.25">
      <c r="A14" s="27" t="s">
        <v>332</v>
      </c>
      <c r="B14" s="27"/>
      <c r="C14" s="27"/>
      <c r="D14" s="27"/>
      <c r="E14" s="27"/>
      <c r="F14" s="27"/>
      <c r="G14" s="27"/>
      <c r="H14" s="27"/>
      <c r="I14" s="27"/>
    </row>
    <row r="15" spans="1:9" x14ac:dyDescent="0.25">
      <c r="A15" s="23" t="s">
        <v>333</v>
      </c>
      <c r="B15" s="23"/>
      <c r="C15" s="23"/>
      <c r="D15" s="23"/>
      <c r="E15" s="23"/>
      <c r="F15" s="23"/>
      <c r="G15" s="23"/>
      <c r="H15" s="23"/>
      <c r="I15" s="23"/>
    </row>
    <row r="16" spans="1:9" x14ac:dyDescent="0.25">
      <c r="A16" s="27" t="s">
        <v>334</v>
      </c>
      <c r="B16" s="27"/>
      <c r="C16" s="27"/>
      <c r="D16" s="27"/>
      <c r="E16" s="27"/>
      <c r="F16" s="27"/>
      <c r="G16" s="27"/>
      <c r="H16" s="27"/>
      <c r="I16" s="27"/>
    </row>
    <row r="17" spans="1:9" x14ac:dyDescent="0.25">
      <c r="A17" s="23" t="s">
        <v>335</v>
      </c>
      <c r="B17" s="23"/>
      <c r="C17" s="23"/>
      <c r="D17" s="23"/>
      <c r="E17" s="23"/>
      <c r="F17" s="23"/>
      <c r="G17" s="23"/>
      <c r="H17" s="23"/>
      <c r="I17" s="23"/>
    </row>
    <row r="18" spans="1:9" x14ac:dyDescent="0.25">
      <c r="A18" s="27" t="s">
        <v>336</v>
      </c>
      <c r="B18" s="27"/>
      <c r="C18" s="27"/>
      <c r="D18" s="27"/>
      <c r="E18" s="27"/>
      <c r="F18" s="27"/>
      <c r="G18" s="27"/>
      <c r="H18" s="27"/>
      <c r="I18" s="27"/>
    </row>
    <row r="19" spans="1:9" x14ac:dyDescent="0.25">
      <c r="A19" s="23" t="s">
        <v>337</v>
      </c>
      <c r="B19" s="23"/>
      <c r="C19" s="23"/>
      <c r="D19" s="23"/>
      <c r="E19" s="23"/>
      <c r="F19" s="23"/>
      <c r="G19" s="23"/>
      <c r="H19" s="23"/>
      <c r="I19" s="23"/>
    </row>
    <row r="20" spans="1:9" x14ac:dyDescent="0.25">
      <c r="A20" s="29" t="s">
        <v>338</v>
      </c>
      <c r="B20" s="30">
        <f t="shared" ref="B20:G20" si="0">SUM(B8:B19)</f>
        <v>446016.19000000006</v>
      </c>
      <c r="C20" s="30">
        <f t="shared" si="0"/>
        <v>180154.6</v>
      </c>
      <c r="D20" s="30">
        <f t="shared" si="0"/>
        <v>265861.59000000003</v>
      </c>
      <c r="E20" s="30">
        <f t="shared" si="0"/>
        <v>35</v>
      </c>
      <c r="F20" s="30">
        <f t="shared" si="0"/>
        <v>41</v>
      </c>
      <c r="G20" s="30">
        <f t="shared" si="0"/>
        <v>11150.41</v>
      </c>
      <c r="H20" s="29"/>
      <c r="I20" s="29"/>
    </row>
  </sheetData>
  <mergeCells count="3">
    <mergeCell ref="A1:I1"/>
    <mergeCell ref="A2:I2"/>
    <mergeCell ref="A6:I6"/>
  </mergeCells>
  <pageMargins left="0.75" right="0.75" top="1" bottom="1" header="0.511811023622047" footer="0.511811023622047"/>
  <pageSetup paperSize="9" orientation="portrait" horizontalDpi="300" verticalDpi="300"/>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N527"/>
  <sheetViews>
    <sheetView showGridLines="0" zoomScaleNormal="100" workbookViewId="0">
      <pane ySplit="9" topLeftCell="A10" activePane="bottomLeft" state="frozen"/>
      <selection pane="bottomLeft"/>
    </sheetView>
  </sheetViews>
  <sheetFormatPr defaultColWidth="8.7109375" defaultRowHeight="15" x14ac:dyDescent="0.25"/>
  <cols>
    <col min="1" max="1" width="3" customWidth="1"/>
    <col min="2" max="2" width="18" customWidth="1"/>
    <col min="3" max="3" width="16" customWidth="1"/>
    <col min="4" max="4" width="20" customWidth="1"/>
    <col min="5" max="5" width="12" customWidth="1"/>
    <col min="6" max="7" width="13" customWidth="1"/>
    <col min="8" max="9" width="12" customWidth="1"/>
    <col min="10" max="11" width="8" customWidth="1"/>
    <col min="12" max="12" width="18" customWidth="1"/>
    <col min="13" max="13" width="16" customWidth="1"/>
    <col min="14" max="14" width="13" customWidth="1"/>
  </cols>
  <sheetData>
    <row r="1" spans="1:14" ht="9.75" customHeight="1" x14ac:dyDescent="0.25"/>
    <row r="2" spans="1:14" ht="36" customHeight="1" x14ac:dyDescent="0.25">
      <c r="A2" s="234" t="s">
        <v>339</v>
      </c>
      <c r="B2" s="234"/>
      <c r="C2" s="234"/>
      <c r="D2" s="234"/>
      <c r="E2" s="234"/>
      <c r="F2" s="234"/>
      <c r="G2" s="234"/>
      <c r="H2" s="234"/>
      <c r="I2" s="234"/>
      <c r="J2" s="234"/>
      <c r="K2" s="234"/>
      <c r="L2" s="234"/>
      <c r="M2" s="234"/>
      <c r="N2" s="234"/>
    </row>
    <row r="3" spans="1:14" ht="18" customHeight="1" x14ac:dyDescent="0.25">
      <c r="A3" s="235" t="s">
        <v>340</v>
      </c>
      <c r="B3" s="235"/>
      <c r="C3" s="235"/>
      <c r="D3" s="235"/>
      <c r="E3" s="235"/>
      <c r="F3" s="235"/>
      <c r="G3" s="235"/>
      <c r="H3" s="235"/>
      <c r="I3" s="235"/>
      <c r="J3" s="235"/>
      <c r="K3" s="235"/>
      <c r="L3" s="235"/>
      <c r="M3" s="235"/>
      <c r="N3" s="235"/>
    </row>
    <row r="4" spans="1:14" ht="3.75" customHeight="1" x14ac:dyDescent="0.25">
      <c r="A4" s="16"/>
      <c r="B4" s="16"/>
      <c r="C4" s="16"/>
      <c r="D4" s="16"/>
      <c r="E4" s="16"/>
      <c r="F4" s="16"/>
      <c r="G4" s="16"/>
      <c r="H4" s="16"/>
      <c r="I4" s="16"/>
      <c r="J4" s="16"/>
      <c r="K4" s="16"/>
      <c r="L4" s="16"/>
      <c r="M4" s="16"/>
      <c r="N4" s="16"/>
    </row>
    <row r="5" spans="1:14" ht="9.75" customHeight="1" x14ac:dyDescent="0.25"/>
    <row r="6" spans="1:14" ht="27.75" customHeight="1" x14ac:dyDescent="0.25">
      <c r="A6" s="189" t="s">
        <v>341</v>
      </c>
      <c r="B6" s="189"/>
      <c r="C6" s="189"/>
      <c r="D6" s="189"/>
      <c r="E6" s="189"/>
      <c r="F6" s="189"/>
      <c r="G6" s="189"/>
      <c r="H6" s="189"/>
      <c r="I6" s="189"/>
      <c r="J6" s="189"/>
      <c r="K6" s="189"/>
      <c r="L6" s="189"/>
      <c r="M6" s="189"/>
      <c r="N6" s="189"/>
    </row>
    <row r="7" spans="1:14" ht="25.5" customHeight="1" x14ac:dyDescent="0.25">
      <c r="B7" s="101" t="s">
        <v>342</v>
      </c>
      <c r="D7" s="236"/>
      <c r="E7" s="236"/>
      <c r="F7" s="236"/>
      <c r="H7" s="101" t="s">
        <v>343</v>
      </c>
      <c r="J7" s="236"/>
      <c r="K7" s="236"/>
      <c r="L7" s="129" t="s">
        <v>344</v>
      </c>
      <c r="M7" s="237"/>
      <c r="N7" s="237"/>
    </row>
    <row r="8" spans="1:14" ht="15.75" customHeight="1" x14ac:dyDescent="0.25">
      <c r="A8" s="238" t="s">
        <v>345</v>
      </c>
      <c r="B8" s="238"/>
      <c r="C8" s="238"/>
      <c r="D8" s="238"/>
      <c r="E8" s="238"/>
      <c r="F8" s="238"/>
      <c r="G8" s="238"/>
      <c r="H8" s="238"/>
      <c r="I8" s="238"/>
      <c r="J8" s="238"/>
      <c r="K8" s="238"/>
      <c r="L8" s="238"/>
      <c r="M8" s="238"/>
      <c r="N8" s="238"/>
    </row>
    <row r="9" spans="1:14" ht="30" customHeight="1" x14ac:dyDescent="0.25">
      <c r="A9" s="130" t="s">
        <v>143</v>
      </c>
      <c r="B9" s="130" t="s">
        <v>346</v>
      </c>
      <c r="C9" s="130" t="s">
        <v>144</v>
      </c>
      <c r="D9" s="130" t="s">
        <v>118</v>
      </c>
      <c r="E9" s="130" t="s">
        <v>347</v>
      </c>
      <c r="F9" s="130" t="s">
        <v>111</v>
      </c>
      <c r="G9" s="130" t="s">
        <v>348</v>
      </c>
      <c r="H9" s="130" t="s">
        <v>32</v>
      </c>
      <c r="I9" s="130" t="s">
        <v>155</v>
      </c>
      <c r="J9" s="130" t="s">
        <v>349</v>
      </c>
      <c r="K9" s="130" t="s">
        <v>312</v>
      </c>
      <c r="L9" s="130" t="s">
        <v>177</v>
      </c>
      <c r="M9" s="130" t="s">
        <v>176</v>
      </c>
      <c r="N9" s="130" t="s">
        <v>350</v>
      </c>
    </row>
    <row r="10" spans="1:14" ht="15.75" customHeight="1" x14ac:dyDescent="0.25">
      <c r="A10" s="131">
        <v>1</v>
      </c>
      <c r="B10" s="132"/>
      <c r="C10" s="132"/>
      <c r="D10" s="132"/>
      <c r="E10" s="132"/>
      <c r="F10" s="132"/>
      <c r="G10" s="132"/>
      <c r="H10" s="132"/>
      <c r="I10" s="132"/>
      <c r="J10" s="132"/>
      <c r="K10" s="132"/>
      <c r="L10" s="132"/>
      <c r="M10" s="132"/>
      <c r="N10" s="132"/>
    </row>
    <row r="11" spans="1:14" ht="15.75" customHeight="1" x14ac:dyDescent="0.25">
      <c r="A11" s="133">
        <v>2</v>
      </c>
      <c r="B11" s="134"/>
      <c r="C11" s="134"/>
      <c r="D11" s="134"/>
      <c r="E11" s="134"/>
      <c r="F11" s="134"/>
      <c r="G11" s="134"/>
      <c r="H11" s="134"/>
      <c r="I11" s="134"/>
      <c r="J11" s="134"/>
      <c r="K11" s="134"/>
      <c r="L11" s="134"/>
      <c r="M11" s="134"/>
      <c r="N11" s="134"/>
    </row>
    <row r="12" spans="1:14" ht="15.75" customHeight="1" x14ac:dyDescent="0.25">
      <c r="A12" s="131">
        <v>3</v>
      </c>
      <c r="B12" s="132"/>
      <c r="C12" s="132"/>
      <c r="D12" s="132"/>
      <c r="E12" s="132"/>
      <c r="F12" s="132"/>
      <c r="G12" s="132"/>
      <c r="H12" s="132"/>
      <c r="I12" s="132"/>
      <c r="J12" s="132"/>
      <c r="K12" s="132"/>
      <c r="L12" s="132"/>
      <c r="M12" s="132"/>
      <c r="N12" s="132"/>
    </row>
    <row r="13" spans="1:14" ht="15.75" customHeight="1" x14ac:dyDescent="0.25">
      <c r="A13" s="133">
        <v>4</v>
      </c>
      <c r="B13" s="134"/>
      <c r="C13" s="134"/>
      <c r="D13" s="134"/>
      <c r="E13" s="134"/>
      <c r="F13" s="134"/>
      <c r="G13" s="134"/>
      <c r="H13" s="134"/>
      <c r="I13" s="134"/>
      <c r="J13" s="134"/>
      <c r="K13" s="134"/>
      <c r="L13" s="134"/>
      <c r="M13" s="134"/>
      <c r="N13" s="134"/>
    </row>
    <row r="14" spans="1:14" ht="15.75" customHeight="1" x14ac:dyDescent="0.25">
      <c r="A14" s="131">
        <v>5</v>
      </c>
      <c r="B14" s="132"/>
      <c r="C14" s="132"/>
      <c r="D14" s="132"/>
      <c r="E14" s="132"/>
      <c r="F14" s="132"/>
      <c r="G14" s="132"/>
      <c r="H14" s="132"/>
      <c r="I14" s="132"/>
      <c r="J14" s="132"/>
      <c r="K14" s="132"/>
      <c r="L14" s="132"/>
      <c r="M14" s="132"/>
      <c r="N14" s="132"/>
    </row>
    <row r="15" spans="1:14" ht="15.75" customHeight="1" x14ac:dyDescent="0.25">
      <c r="A15" s="133">
        <v>6</v>
      </c>
      <c r="B15" s="134"/>
      <c r="C15" s="134"/>
      <c r="D15" s="134"/>
      <c r="E15" s="134"/>
      <c r="F15" s="134"/>
      <c r="G15" s="134"/>
      <c r="H15" s="134"/>
      <c r="I15" s="134"/>
      <c r="J15" s="134"/>
      <c r="K15" s="134"/>
      <c r="L15" s="134"/>
      <c r="M15" s="134"/>
      <c r="N15" s="134"/>
    </row>
    <row r="16" spans="1:14" ht="15.75" customHeight="1" x14ac:dyDescent="0.25">
      <c r="A16" s="131">
        <v>7</v>
      </c>
      <c r="B16" s="132"/>
      <c r="C16" s="132"/>
      <c r="D16" s="132"/>
      <c r="E16" s="132"/>
      <c r="F16" s="132"/>
      <c r="G16" s="132"/>
      <c r="H16" s="132"/>
      <c r="I16" s="132"/>
      <c r="J16" s="132"/>
      <c r="K16" s="132"/>
      <c r="L16" s="132"/>
      <c r="M16" s="132"/>
      <c r="N16" s="132"/>
    </row>
    <row r="17" spans="1:14" ht="15.75" customHeight="1" x14ac:dyDescent="0.25">
      <c r="A17" s="133">
        <v>8</v>
      </c>
      <c r="B17" s="134"/>
      <c r="C17" s="134"/>
      <c r="D17" s="134"/>
      <c r="E17" s="134"/>
      <c r="F17" s="134"/>
      <c r="G17" s="134"/>
      <c r="H17" s="134"/>
      <c r="I17" s="134"/>
      <c r="J17" s="134"/>
      <c r="K17" s="134"/>
      <c r="L17" s="134"/>
      <c r="M17" s="134"/>
      <c r="N17" s="134"/>
    </row>
    <row r="18" spans="1:14" ht="15.75" customHeight="1" x14ac:dyDescent="0.25">
      <c r="A18" s="131">
        <v>9</v>
      </c>
      <c r="B18" s="132"/>
      <c r="C18" s="132"/>
      <c r="D18" s="132"/>
      <c r="E18" s="132"/>
      <c r="F18" s="132"/>
      <c r="G18" s="132"/>
      <c r="H18" s="132"/>
      <c r="I18" s="132"/>
      <c r="J18" s="132"/>
      <c r="K18" s="132"/>
      <c r="L18" s="132"/>
      <c r="M18" s="132"/>
      <c r="N18" s="132"/>
    </row>
    <row r="19" spans="1:14" ht="15.75" customHeight="1" x14ac:dyDescent="0.25">
      <c r="A19" s="133">
        <v>10</v>
      </c>
      <c r="B19" s="134"/>
      <c r="C19" s="134"/>
      <c r="D19" s="134"/>
      <c r="E19" s="134"/>
      <c r="F19" s="134"/>
      <c r="G19" s="134"/>
      <c r="H19" s="134"/>
      <c r="I19" s="134"/>
      <c r="J19" s="134"/>
      <c r="K19" s="134"/>
      <c r="L19" s="134"/>
      <c r="M19" s="134"/>
      <c r="N19" s="134"/>
    </row>
    <row r="20" spans="1:14" ht="15.75" customHeight="1" x14ac:dyDescent="0.25">
      <c r="A20" s="131">
        <v>11</v>
      </c>
      <c r="B20" s="132"/>
      <c r="C20" s="132"/>
      <c r="D20" s="132"/>
      <c r="E20" s="132"/>
      <c r="F20" s="132"/>
      <c r="G20" s="132"/>
      <c r="H20" s="132"/>
      <c r="I20" s="132"/>
      <c r="J20" s="132"/>
      <c r="K20" s="132"/>
      <c r="L20" s="132"/>
      <c r="M20" s="132"/>
      <c r="N20" s="132"/>
    </row>
    <row r="21" spans="1:14" ht="15.75" customHeight="1" x14ac:dyDescent="0.25">
      <c r="A21" s="133">
        <v>12</v>
      </c>
      <c r="B21" s="134"/>
      <c r="C21" s="134"/>
      <c r="D21" s="134"/>
      <c r="E21" s="134"/>
      <c r="F21" s="134"/>
      <c r="G21" s="134"/>
      <c r="H21" s="134"/>
      <c r="I21" s="134"/>
      <c r="J21" s="134"/>
      <c r="K21" s="134"/>
      <c r="L21" s="134"/>
      <c r="M21" s="134"/>
      <c r="N21" s="134"/>
    </row>
    <row r="22" spans="1:14" ht="15.75" customHeight="1" x14ac:dyDescent="0.25">
      <c r="A22" s="131">
        <v>13</v>
      </c>
      <c r="B22" s="132"/>
      <c r="C22" s="132"/>
      <c r="D22" s="132"/>
      <c r="E22" s="132"/>
      <c r="F22" s="132"/>
      <c r="G22" s="132"/>
      <c r="H22" s="132"/>
      <c r="I22" s="132"/>
      <c r="J22" s="132"/>
      <c r="K22" s="132"/>
      <c r="L22" s="132"/>
      <c r="M22" s="132"/>
      <c r="N22" s="132"/>
    </row>
    <row r="23" spans="1:14" ht="15.75" customHeight="1" x14ac:dyDescent="0.25">
      <c r="A23" s="133">
        <v>14</v>
      </c>
      <c r="B23" s="134"/>
      <c r="C23" s="134"/>
      <c r="D23" s="134"/>
      <c r="E23" s="134"/>
      <c r="F23" s="134"/>
      <c r="G23" s="134"/>
      <c r="H23" s="134"/>
      <c r="I23" s="134"/>
      <c r="J23" s="134"/>
      <c r="K23" s="134"/>
      <c r="L23" s="134"/>
      <c r="M23" s="134"/>
      <c r="N23" s="134"/>
    </row>
    <row r="24" spans="1:14" ht="15.75" customHeight="1" x14ac:dyDescent="0.25">
      <c r="A24" s="131">
        <v>15</v>
      </c>
      <c r="B24" s="132"/>
      <c r="C24" s="132"/>
      <c r="D24" s="132"/>
      <c r="E24" s="132"/>
      <c r="F24" s="132"/>
      <c r="G24" s="132"/>
      <c r="H24" s="132"/>
      <c r="I24" s="132"/>
      <c r="J24" s="132"/>
      <c r="K24" s="132"/>
      <c r="L24" s="132"/>
      <c r="M24" s="132"/>
      <c r="N24" s="132"/>
    </row>
    <row r="25" spans="1:14" ht="15.75" customHeight="1" x14ac:dyDescent="0.25">
      <c r="A25" s="133">
        <v>16</v>
      </c>
      <c r="B25" s="134"/>
      <c r="C25" s="134"/>
      <c r="D25" s="134"/>
      <c r="E25" s="134"/>
      <c r="F25" s="134"/>
      <c r="G25" s="134"/>
      <c r="H25" s="134"/>
      <c r="I25" s="134"/>
      <c r="J25" s="134"/>
      <c r="K25" s="134"/>
      <c r="L25" s="134"/>
      <c r="M25" s="134"/>
      <c r="N25" s="134"/>
    </row>
    <row r="26" spans="1:14" ht="15.75" customHeight="1" x14ac:dyDescent="0.25">
      <c r="A26" s="131">
        <v>17</v>
      </c>
      <c r="B26" s="132"/>
      <c r="C26" s="132"/>
      <c r="D26" s="132"/>
      <c r="E26" s="132"/>
      <c r="F26" s="132"/>
      <c r="G26" s="132"/>
      <c r="H26" s="132"/>
      <c r="I26" s="132"/>
      <c r="J26" s="132"/>
      <c r="K26" s="132"/>
      <c r="L26" s="132"/>
      <c r="M26" s="132"/>
      <c r="N26" s="132"/>
    </row>
    <row r="27" spans="1:14" ht="15.75" customHeight="1" x14ac:dyDescent="0.25">
      <c r="A27" s="133">
        <v>18</v>
      </c>
      <c r="B27" s="134"/>
      <c r="C27" s="134"/>
      <c r="D27" s="134"/>
      <c r="E27" s="134"/>
      <c r="F27" s="134"/>
      <c r="G27" s="134"/>
      <c r="H27" s="134"/>
      <c r="I27" s="134"/>
      <c r="J27" s="134"/>
      <c r="K27" s="134"/>
      <c r="L27" s="134"/>
      <c r="M27" s="134"/>
      <c r="N27" s="134"/>
    </row>
    <row r="28" spans="1:14" ht="15.75" customHeight="1" x14ac:dyDescent="0.25">
      <c r="A28" s="131">
        <v>19</v>
      </c>
      <c r="B28" s="132"/>
      <c r="C28" s="132"/>
      <c r="D28" s="132"/>
      <c r="E28" s="132"/>
      <c r="F28" s="132"/>
      <c r="G28" s="132"/>
      <c r="H28" s="132"/>
      <c r="I28" s="132"/>
      <c r="J28" s="132"/>
      <c r="K28" s="132"/>
      <c r="L28" s="132"/>
      <c r="M28" s="132"/>
      <c r="N28" s="132"/>
    </row>
    <row r="29" spans="1:14" ht="15.75" customHeight="1" x14ac:dyDescent="0.25">
      <c r="A29" s="133">
        <v>20</v>
      </c>
      <c r="B29" s="134"/>
      <c r="C29" s="134"/>
      <c r="D29" s="134"/>
      <c r="E29" s="134"/>
      <c r="F29" s="134"/>
      <c r="G29" s="134"/>
      <c r="H29" s="134"/>
      <c r="I29" s="134"/>
      <c r="J29" s="134"/>
      <c r="K29" s="134"/>
      <c r="L29" s="134"/>
      <c r="M29" s="134"/>
      <c r="N29" s="134"/>
    </row>
    <row r="30" spans="1:14" ht="15.75" customHeight="1" x14ac:dyDescent="0.25">
      <c r="A30" s="131">
        <v>21</v>
      </c>
      <c r="B30" s="132"/>
      <c r="C30" s="132"/>
      <c r="D30" s="132"/>
      <c r="E30" s="132"/>
      <c r="F30" s="132"/>
      <c r="G30" s="132"/>
      <c r="H30" s="132"/>
      <c r="I30" s="132"/>
      <c r="J30" s="132"/>
      <c r="K30" s="132"/>
      <c r="L30" s="132"/>
      <c r="M30" s="132"/>
      <c r="N30" s="132"/>
    </row>
    <row r="31" spans="1:14" ht="15.75" customHeight="1" x14ac:dyDescent="0.25">
      <c r="A31" s="133">
        <v>22</v>
      </c>
      <c r="B31" s="134"/>
      <c r="C31" s="134"/>
      <c r="D31" s="134"/>
      <c r="E31" s="134"/>
      <c r="F31" s="134"/>
      <c r="G31" s="134"/>
      <c r="H31" s="134"/>
      <c r="I31" s="134"/>
      <c r="J31" s="134"/>
      <c r="K31" s="134"/>
      <c r="L31" s="134"/>
      <c r="M31" s="134"/>
      <c r="N31" s="134"/>
    </row>
    <row r="32" spans="1:14" ht="15.75" customHeight="1" x14ac:dyDescent="0.25">
      <c r="A32" s="131">
        <v>23</v>
      </c>
      <c r="B32" s="132"/>
      <c r="C32" s="132"/>
      <c r="D32" s="132"/>
      <c r="E32" s="132"/>
      <c r="F32" s="132"/>
      <c r="G32" s="132"/>
      <c r="H32" s="132"/>
      <c r="I32" s="132"/>
      <c r="J32" s="132"/>
      <c r="K32" s="132"/>
      <c r="L32" s="132"/>
      <c r="M32" s="132"/>
      <c r="N32" s="132"/>
    </row>
    <row r="33" spans="1:14" ht="15.75" customHeight="1" x14ac:dyDescent="0.25">
      <c r="A33" s="133">
        <v>24</v>
      </c>
      <c r="B33" s="134"/>
      <c r="C33" s="134"/>
      <c r="D33" s="134"/>
      <c r="E33" s="134"/>
      <c r="F33" s="134"/>
      <c r="G33" s="134"/>
      <c r="H33" s="134"/>
      <c r="I33" s="134"/>
      <c r="J33" s="134"/>
      <c r="K33" s="134"/>
      <c r="L33" s="134"/>
      <c r="M33" s="134"/>
      <c r="N33" s="134"/>
    </row>
    <row r="34" spans="1:14" ht="15.75" customHeight="1" x14ac:dyDescent="0.25">
      <c r="A34" s="131">
        <v>25</v>
      </c>
      <c r="B34" s="132"/>
      <c r="C34" s="132"/>
      <c r="D34" s="132"/>
      <c r="E34" s="132"/>
      <c r="F34" s="132"/>
      <c r="G34" s="132"/>
      <c r="H34" s="132"/>
      <c r="I34" s="132"/>
      <c r="J34" s="132"/>
      <c r="K34" s="132"/>
      <c r="L34" s="132"/>
      <c r="M34" s="132"/>
      <c r="N34" s="132"/>
    </row>
    <row r="35" spans="1:14" ht="15.75" customHeight="1" x14ac:dyDescent="0.25">
      <c r="A35" s="133">
        <v>26</v>
      </c>
      <c r="B35" s="134"/>
      <c r="C35" s="134"/>
      <c r="D35" s="134"/>
      <c r="E35" s="134"/>
      <c r="F35" s="134"/>
      <c r="G35" s="134"/>
      <c r="H35" s="134"/>
      <c r="I35" s="134"/>
      <c r="J35" s="134"/>
      <c r="K35" s="134"/>
      <c r="L35" s="134"/>
      <c r="M35" s="134"/>
      <c r="N35" s="134"/>
    </row>
    <row r="36" spans="1:14" ht="15.75" customHeight="1" x14ac:dyDescent="0.25">
      <c r="A36" s="131">
        <v>27</v>
      </c>
      <c r="B36" s="132"/>
      <c r="C36" s="132"/>
      <c r="D36" s="132"/>
      <c r="E36" s="132"/>
      <c r="F36" s="132"/>
      <c r="G36" s="132"/>
      <c r="H36" s="132"/>
      <c r="I36" s="132"/>
      <c r="J36" s="132"/>
      <c r="K36" s="132"/>
      <c r="L36" s="132"/>
      <c r="M36" s="132"/>
      <c r="N36" s="132"/>
    </row>
    <row r="37" spans="1:14" ht="15.75" customHeight="1" x14ac:dyDescent="0.25">
      <c r="A37" s="133">
        <v>28</v>
      </c>
      <c r="B37" s="134"/>
      <c r="C37" s="134"/>
      <c r="D37" s="134"/>
      <c r="E37" s="134"/>
      <c r="F37" s="134"/>
      <c r="G37" s="134"/>
      <c r="H37" s="134"/>
      <c r="I37" s="134"/>
      <c r="J37" s="134"/>
      <c r="K37" s="134"/>
      <c r="L37" s="134"/>
      <c r="M37" s="134"/>
      <c r="N37" s="134"/>
    </row>
    <row r="38" spans="1:14" ht="15.75" customHeight="1" x14ac:dyDescent="0.25">
      <c r="A38" s="131">
        <v>29</v>
      </c>
      <c r="B38" s="132"/>
      <c r="C38" s="132"/>
      <c r="D38" s="132"/>
      <c r="E38" s="132"/>
      <c r="F38" s="132"/>
      <c r="G38" s="132"/>
      <c r="H38" s="132"/>
      <c r="I38" s="132"/>
      <c r="J38" s="132"/>
      <c r="K38" s="132"/>
      <c r="L38" s="132"/>
      <c r="M38" s="132"/>
      <c r="N38" s="132"/>
    </row>
    <row r="39" spans="1:14" ht="15.75" customHeight="1" x14ac:dyDescent="0.25">
      <c r="A39" s="133">
        <v>30</v>
      </c>
      <c r="B39" s="134"/>
      <c r="C39" s="134"/>
      <c r="D39" s="134"/>
      <c r="E39" s="134"/>
      <c r="F39" s="134"/>
      <c r="G39" s="134"/>
      <c r="H39" s="134"/>
      <c r="I39" s="134"/>
      <c r="J39" s="134"/>
      <c r="K39" s="134"/>
      <c r="L39" s="134"/>
      <c r="M39" s="134"/>
      <c r="N39" s="134"/>
    </row>
    <row r="40" spans="1:14" ht="15.75" customHeight="1" x14ac:dyDescent="0.25">
      <c r="A40" s="131">
        <v>31</v>
      </c>
      <c r="B40" s="132"/>
      <c r="C40" s="132"/>
      <c r="D40" s="132"/>
      <c r="E40" s="132"/>
      <c r="F40" s="132"/>
      <c r="G40" s="132"/>
      <c r="H40" s="132"/>
      <c r="I40" s="132"/>
      <c r="J40" s="132"/>
      <c r="K40" s="132"/>
      <c r="L40" s="132"/>
      <c r="M40" s="132"/>
      <c r="N40" s="132"/>
    </row>
    <row r="41" spans="1:14" ht="15.75" customHeight="1" x14ac:dyDescent="0.25">
      <c r="A41" s="133">
        <v>32</v>
      </c>
      <c r="B41" s="134"/>
      <c r="C41" s="134"/>
      <c r="D41" s="134"/>
      <c r="E41" s="134"/>
      <c r="F41" s="134"/>
      <c r="G41" s="134"/>
      <c r="H41" s="134"/>
      <c r="I41" s="134"/>
      <c r="J41" s="134"/>
      <c r="K41" s="134"/>
      <c r="L41" s="134"/>
      <c r="M41" s="134"/>
      <c r="N41" s="134"/>
    </row>
    <row r="42" spans="1:14" ht="15.75" customHeight="1" x14ac:dyDescent="0.25">
      <c r="A42" s="131">
        <v>33</v>
      </c>
      <c r="B42" s="132"/>
      <c r="C42" s="132"/>
      <c r="D42" s="132"/>
      <c r="E42" s="132"/>
      <c r="F42" s="132"/>
      <c r="G42" s="132"/>
      <c r="H42" s="132"/>
      <c r="I42" s="132"/>
      <c r="J42" s="132"/>
      <c r="K42" s="132"/>
      <c r="L42" s="132"/>
      <c r="M42" s="132"/>
      <c r="N42" s="132"/>
    </row>
    <row r="43" spans="1:14" ht="15.75" customHeight="1" x14ac:dyDescent="0.25">
      <c r="A43" s="133">
        <v>34</v>
      </c>
      <c r="B43" s="134"/>
      <c r="C43" s="134"/>
      <c r="D43" s="134"/>
      <c r="E43" s="134"/>
      <c r="F43" s="134"/>
      <c r="G43" s="134"/>
      <c r="H43" s="134"/>
      <c r="I43" s="134"/>
      <c r="J43" s="134"/>
      <c r="K43" s="134"/>
      <c r="L43" s="134"/>
      <c r="M43" s="134"/>
      <c r="N43" s="134"/>
    </row>
    <row r="44" spans="1:14" ht="15.75" customHeight="1" x14ac:dyDescent="0.25">
      <c r="A44" s="131">
        <v>35</v>
      </c>
      <c r="B44" s="132"/>
      <c r="C44" s="132"/>
      <c r="D44" s="132"/>
      <c r="E44" s="132"/>
      <c r="F44" s="132"/>
      <c r="G44" s="132"/>
      <c r="H44" s="132"/>
      <c r="I44" s="132"/>
      <c r="J44" s="132"/>
      <c r="K44" s="132"/>
      <c r="L44" s="132"/>
      <c r="M44" s="132"/>
      <c r="N44" s="132"/>
    </row>
    <row r="45" spans="1:14" ht="15.75" customHeight="1" x14ac:dyDescent="0.25">
      <c r="A45" s="133">
        <v>36</v>
      </c>
      <c r="B45" s="134"/>
      <c r="C45" s="134"/>
      <c r="D45" s="134"/>
      <c r="E45" s="134"/>
      <c r="F45" s="134"/>
      <c r="G45" s="134"/>
      <c r="H45" s="134"/>
      <c r="I45" s="134"/>
      <c r="J45" s="134"/>
      <c r="K45" s="134"/>
      <c r="L45" s="134"/>
      <c r="M45" s="134"/>
      <c r="N45" s="134"/>
    </row>
    <row r="46" spans="1:14" ht="15.75" customHeight="1" x14ac:dyDescent="0.25">
      <c r="A46" s="131">
        <v>37</v>
      </c>
      <c r="B46" s="132"/>
      <c r="C46" s="132"/>
      <c r="D46" s="132"/>
      <c r="E46" s="132"/>
      <c r="F46" s="132"/>
      <c r="G46" s="132"/>
      <c r="H46" s="132"/>
      <c r="I46" s="132"/>
      <c r="J46" s="132"/>
      <c r="K46" s="132"/>
      <c r="L46" s="132"/>
      <c r="M46" s="132"/>
      <c r="N46" s="132"/>
    </row>
    <row r="47" spans="1:14" ht="15.75" customHeight="1" x14ac:dyDescent="0.25">
      <c r="A47" s="133">
        <v>38</v>
      </c>
      <c r="B47" s="134"/>
      <c r="C47" s="134"/>
      <c r="D47" s="134"/>
      <c r="E47" s="134"/>
      <c r="F47" s="134"/>
      <c r="G47" s="134"/>
      <c r="H47" s="134"/>
      <c r="I47" s="134"/>
      <c r="J47" s="134"/>
      <c r="K47" s="134"/>
      <c r="L47" s="134"/>
      <c r="M47" s="134"/>
      <c r="N47" s="134"/>
    </row>
    <row r="48" spans="1:14" ht="15.75" customHeight="1" x14ac:dyDescent="0.25">
      <c r="A48" s="131">
        <v>39</v>
      </c>
      <c r="B48" s="132"/>
      <c r="C48" s="132"/>
      <c r="D48" s="132"/>
      <c r="E48" s="132"/>
      <c r="F48" s="132"/>
      <c r="G48" s="132"/>
      <c r="H48" s="132"/>
      <c r="I48" s="132"/>
      <c r="J48" s="132"/>
      <c r="K48" s="132"/>
      <c r="L48" s="132"/>
      <c r="M48" s="132"/>
      <c r="N48" s="132"/>
    </row>
    <row r="49" spans="1:14" ht="15.75" customHeight="1" x14ac:dyDescent="0.25">
      <c r="A49" s="133">
        <v>40</v>
      </c>
      <c r="B49" s="134"/>
      <c r="C49" s="134"/>
      <c r="D49" s="134"/>
      <c r="E49" s="134"/>
      <c r="F49" s="134"/>
      <c r="G49" s="134"/>
      <c r="H49" s="134"/>
      <c r="I49" s="134"/>
      <c r="J49" s="134"/>
      <c r="K49" s="134"/>
      <c r="L49" s="134"/>
      <c r="M49" s="134"/>
      <c r="N49" s="134"/>
    </row>
    <row r="50" spans="1:14" ht="15.75" customHeight="1" x14ac:dyDescent="0.25">
      <c r="A50" s="131">
        <v>41</v>
      </c>
      <c r="B50" s="132"/>
      <c r="C50" s="132"/>
      <c r="D50" s="132"/>
      <c r="E50" s="132"/>
      <c r="F50" s="132"/>
      <c r="G50" s="132"/>
      <c r="H50" s="132"/>
      <c r="I50" s="132"/>
      <c r="J50" s="132"/>
      <c r="K50" s="132"/>
      <c r="L50" s="132"/>
      <c r="M50" s="132"/>
      <c r="N50" s="132"/>
    </row>
    <row r="51" spans="1:14" ht="15.75" customHeight="1" x14ac:dyDescent="0.25">
      <c r="A51" s="133">
        <v>42</v>
      </c>
      <c r="B51" s="134"/>
      <c r="C51" s="134"/>
      <c r="D51" s="134"/>
      <c r="E51" s="134"/>
      <c r="F51" s="134"/>
      <c r="G51" s="134"/>
      <c r="H51" s="134"/>
      <c r="I51" s="134"/>
      <c r="J51" s="134"/>
      <c r="K51" s="134"/>
      <c r="L51" s="134"/>
      <c r="M51" s="134"/>
      <c r="N51" s="134"/>
    </row>
    <row r="52" spans="1:14" ht="15.75" customHeight="1" x14ac:dyDescent="0.25">
      <c r="A52" s="131">
        <v>43</v>
      </c>
      <c r="B52" s="132"/>
      <c r="C52" s="132"/>
      <c r="D52" s="132"/>
      <c r="E52" s="132"/>
      <c r="F52" s="132"/>
      <c r="G52" s="132"/>
      <c r="H52" s="132"/>
      <c r="I52" s="132"/>
      <c r="J52" s="132"/>
      <c r="K52" s="132"/>
      <c r="L52" s="132"/>
      <c r="M52" s="132"/>
      <c r="N52" s="132"/>
    </row>
    <row r="53" spans="1:14" ht="15.75" customHeight="1" x14ac:dyDescent="0.25">
      <c r="A53" s="133">
        <v>44</v>
      </c>
      <c r="B53" s="134"/>
      <c r="C53" s="134"/>
      <c r="D53" s="134"/>
      <c r="E53" s="134"/>
      <c r="F53" s="134"/>
      <c r="G53" s="134"/>
      <c r="H53" s="134"/>
      <c r="I53" s="134"/>
      <c r="J53" s="134"/>
      <c r="K53" s="134"/>
      <c r="L53" s="134"/>
      <c r="M53" s="134"/>
      <c r="N53" s="134"/>
    </row>
    <row r="54" spans="1:14" ht="15.75" customHeight="1" x14ac:dyDescent="0.25">
      <c r="A54" s="131">
        <v>45</v>
      </c>
      <c r="B54" s="132"/>
      <c r="C54" s="132"/>
      <c r="D54" s="132"/>
      <c r="E54" s="132"/>
      <c r="F54" s="132"/>
      <c r="G54" s="132"/>
      <c r="H54" s="132"/>
      <c r="I54" s="132"/>
      <c r="J54" s="132"/>
      <c r="K54" s="132"/>
      <c r="L54" s="132"/>
      <c r="M54" s="132"/>
      <c r="N54" s="132"/>
    </row>
    <row r="55" spans="1:14" ht="15.75" customHeight="1" x14ac:dyDescent="0.25">
      <c r="A55" s="133">
        <v>46</v>
      </c>
      <c r="B55" s="134"/>
      <c r="C55" s="134"/>
      <c r="D55" s="134"/>
      <c r="E55" s="134"/>
      <c r="F55" s="134"/>
      <c r="G55" s="134"/>
      <c r="H55" s="134"/>
      <c r="I55" s="134"/>
      <c r="J55" s="134"/>
      <c r="K55" s="134"/>
      <c r="L55" s="134"/>
      <c r="M55" s="134"/>
      <c r="N55" s="134"/>
    </row>
    <row r="56" spans="1:14" ht="15.75" customHeight="1" x14ac:dyDescent="0.25">
      <c r="A56" s="131">
        <v>47</v>
      </c>
      <c r="B56" s="132"/>
      <c r="C56" s="132"/>
      <c r="D56" s="132"/>
      <c r="E56" s="132"/>
      <c r="F56" s="132"/>
      <c r="G56" s="132"/>
      <c r="H56" s="132"/>
      <c r="I56" s="132"/>
      <c r="J56" s="132"/>
      <c r="K56" s="132"/>
      <c r="L56" s="132"/>
      <c r="M56" s="132"/>
      <c r="N56" s="132"/>
    </row>
    <row r="57" spans="1:14" ht="15.75" customHeight="1" x14ac:dyDescent="0.25">
      <c r="A57" s="133">
        <v>48</v>
      </c>
      <c r="B57" s="134"/>
      <c r="C57" s="134"/>
      <c r="D57" s="134"/>
      <c r="E57" s="134"/>
      <c r="F57" s="134"/>
      <c r="G57" s="134"/>
      <c r="H57" s="134"/>
      <c r="I57" s="134"/>
      <c r="J57" s="134"/>
      <c r="K57" s="134"/>
      <c r="L57" s="134"/>
      <c r="M57" s="134"/>
      <c r="N57" s="134"/>
    </row>
    <row r="58" spans="1:14" ht="15.75" customHeight="1" x14ac:dyDescent="0.25">
      <c r="A58" s="131">
        <v>49</v>
      </c>
      <c r="B58" s="132"/>
      <c r="C58" s="132"/>
      <c r="D58" s="132"/>
      <c r="E58" s="132"/>
      <c r="F58" s="132"/>
      <c r="G58" s="132"/>
      <c r="H58" s="132"/>
      <c r="I58" s="132"/>
      <c r="J58" s="132"/>
      <c r="K58" s="132"/>
      <c r="L58" s="132"/>
      <c r="M58" s="132"/>
      <c r="N58" s="132"/>
    </row>
    <row r="59" spans="1:14" ht="15.75" customHeight="1" x14ac:dyDescent="0.25">
      <c r="A59" s="133">
        <v>50</v>
      </c>
      <c r="B59" s="134"/>
      <c r="C59" s="134"/>
      <c r="D59" s="134"/>
      <c r="E59" s="134"/>
      <c r="F59" s="134"/>
      <c r="G59" s="134"/>
      <c r="H59" s="134"/>
      <c r="I59" s="134"/>
      <c r="J59" s="134"/>
      <c r="K59" s="134"/>
      <c r="L59" s="134"/>
      <c r="M59" s="134"/>
      <c r="N59" s="134"/>
    </row>
    <row r="60" spans="1:14" ht="15.75" customHeight="1" x14ac:dyDescent="0.25">
      <c r="A60" s="131">
        <v>51</v>
      </c>
      <c r="B60" s="132"/>
      <c r="C60" s="132"/>
      <c r="D60" s="132"/>
      <c r="E60" s="132"/>
      <c r="F60" s="132"/>
      <c r="G60" s="132"/>
      <c r="H60" s="132"/>
      <c r="I60" s="132"/>
      <c r="J60" s="132"/>
      <c r="K60" s="132"/>
      <c r="L60" s="132"/>
      <c r="M60" s="132"/>
      <c r="N60" s="132"/>
    </row>
    <row r="61" spans="1:14" ht="15.75" customHeight="1" x14ac:dyDescent="0.25">
      <c r="A61" s="133">
        <v>52</v>
      </c>
      <c r="B61" s="134"/>
      <c r="C61" s="134"/>
      <c r="D61" s="134"/>
      <c r="E61" s="134"/>
      <c r="F61" s="134"/>
      <c r="G61" s="134"/>
      <c r="H61" s="134"/>
      <c r="I61" s="134"/>
      <c r="J61" s="134"/>
      <c r="K61" s="134"/>
      <c r="L61" s="134"/>
      <c r="M61" s="134"/>
      <c r="N61" s="134"/>
    </row>
    <row r="62" spans="1:14" ht="15.75" customHeight="1" x14ac:dyDescent="0.25">
      <c r="A62" s="131">
        <v>53</v>
      </c>
      <c r="B62" s="132"/>
      <c r="C62" s="132"/>
      <c r="D62" s="132"/>
      <c r="E62" s="132"/>
      <c r="F62" s="132"/>
      <c r="G62" s="132"/>
      <c r="H62" s="132"/>
      <c r="I62" s="132"/>
      <c r="J62" s="132"/>
      <c r="K62" s="132"/>
      <c r="L62" s="132"/>
      <c r="M62" s="132"/>
      <c r="N62" s="132"/>
    </row>
    <row r="63" spans="1:14" ht="15.75" customHeight="1" x14ac:dyDescent="0.25">
      <c r="A63" s="133">
        <v>54</v>
      </c>
      <c r="B63" s="134"/>
      <c r="C63" s="134"/>
      <c r="D63" s="134"/>
      <c r="E63" s="134"/>
      <c r="F63" s="134"/>
      <c r="G63" s="134"/>
      <c r="H63" s="134"/>
      <c r="I63" s="134"/>
      <c r="J63" s="134"/>
      <c r="K63" s="134"/>
      <c r="L63" s="134"/>
      <c r="M63" s="134"/>
      <c r="N63" s="134"/>
    </row>
    <row r="64" spans="1:14" ht="15.75" customHeight="1" x14ac:dyDescent="0.25">
      <c r="A64" s="131">
        <v>55</v>
      </c>
      <c r="B64" s="132"/>
      <c r="C64" s="132"/>
      <c r="D64" s="132"/>
      <c r="E64" s="132"/>
      <c r="F64" s="132"/>
      <c r="G64" s="132"/>
      <c r="H64" s="132"/>
      <c r="I64" s="132"/>
      <c r="J64" s="132"/>
      <c r="K64" s="132"/>
      <c r="L64" s="132"/>
      <c r="M64" s="132"/>
      <c r="N64" s="132"/>
    </row>
    <row r="65" spans="1:14" ht="15.75" customHeight="1" x14ac:dyDescent="0.25">
      <c r="A65" s="133">
        <v>56</v>
      </c>
      <c r="B65" s="134"/>
      <c r="C65" s="134"/>
      <c r="D65" s="134"/>
      <c r="E65" s="134"/>
      <c r="F65" s="134"/>
      <c r="G65" s="134"/>
      <c r="H65" s="134"/>
      <c r="I65" s="134"/>
      <c r="J65" s="134"/>
      <c r="K65" s="134"/>
      <c r="L65" s="134"/>
      <c r="M65" s="134"/>
      <c r="N65" s="134"/>
    </row>
    <row r="66" spans="1:14" ht="15.75" customHeight="1" x14ac:dyDescent="0.25">
      <c r="A66" s="131">
        <v>57</v>
      </c>
      <c r="B66" s="132"/>
      <c r="C66" s="132"/>
      <c r="D66" s="132"/>
      <c r="E66" s="132"/>
      <c r="F66" s="132"/>
      <c r="G66" s="132"/>
      <c r="H66" s="132"/>
      <c r="I66" s="132"/>
      <c r="J66" s="132"/>
      <c r="K66" s="132"/>
      <c r="L66" s="132"/>
      <c r="M66" s="132"/>
      <c r="N66" s="132"/>
    </row>
    <row r="67" spans="1:14" ht="15.75" customHeight="1" x14ac:dyDescent="0.25">
      <c r="A67" s="133">
        <v>58</v>
      </c>
      <c r="B67" s="134"/>
      <c r="C67" s="134"/>
      <c r="D67" s="134"/>
      <c r="E67" s="134"/>
      <c r="F67" s="134"/>
      <c r="G67" s="134"/>
      <c r="H67" s="134"/>
      <c r="I67" s="134"/>
      <c r="J67" s="134"/>
      <c r="K67" s="134"/>
      <c r="L67" s="134"/>
      <c r="M67" s="134"/>
      <c r="N67" s="134"/>
    </row>
    <row r="68" spans="1:14" ht="15.75" customHeight="1" x14ac:dyDescent="0.25">
      <c r="A68" s="131">
        <v>59</v>
      </c>
      <c r="B68" s="132"/>
      <c r="C68" s="132"/>
      <c r="D68" s="132"/>
      <c r="E68" s="132"/>
      <c r="F68" s="132"/>
      <c r="G68" s="132"/>
      <c r="H68" s="132"/>
      <c r="I68" s="132"/>
      <c r="J68" s="132"/>
      <c r="K68" s="132"/>
      <c r="L68" s="132"/>
      <c r="M68" s="132"/>
      <c r="N68" s="132"/>
    </row>
    <row r="69" spans="1:14" ht="15.75" customHeight="1" x14ac:dyDescent="0.25">
      <c r="A69" s="133">
        <v>60</v>
      </c>
      <c r="B69" s="134"/>
      <c r="C69" s="134"/>
      <c r="D69" s="134"/>
      <c r="E69" s="134"/>
      <c r="F69" s="134"/>
      <c r="G69" s="134"/>
      <c r="H69" s="134"/>
      <c r="I69" s="134"/>
      <c r="J69" s="134"/>
      <c r="K69" s="134"/>
      <c r="L69" s="134"/>
      <c r="M69" s="134"/>
      <c r="N69" s="134"/>
    </row>
    <row r="70" spans="1:14" ht="15.75" customHeight="1" x14ac:dyDescent="0.25">
      <c r="A70" s="131">
        <v>61</v>
      </c>
      <c r="B70" s="132"/>
      <c r="C70" s="132"/>
      <c r="D70" s="132"/>
      <c r="E70" s="132"/>
      <c r="F70" s="132"/>
      <c r="G70" s="132"/>
      <c r="H70" s="132"/>
      <c r="I70" s="132"/>
      <c r="J70" s="132"/>
      <c r="K70" s="132"/>
      <c r="L70" s="132"/>
      <c r="M70" s="132"/>
      <c r="N70" s="132"/>
    </row>
    <row r="71" spans="1:14" ht="15.75" customHeight="1" x14ac:dyDescent="0.25">
      <c r="A71" s="133">
        <v>62</v>
      </c>
      <c r="B71" s="134"/>
      <c r="C71" s="134"/>
      <c r="D71" s="134"/>
      <c r="E71" s="134"/>
      <c r="F71" s="134"/>
      <c r="G71" s="134"/>
      <c r="H71" s="134"/>
      <c r="I71" s="134"/>
      <c r="J71" s="134"/>
      <c r="K71" s="134"/>
      <c r="L71" s="134"/>
      <c r="M71" s="134"/>
      <c r="N71" s="134"/>
    </row>
    <row r="72" spans="1:14" ht="15.75" customHeight="1" x14ac:dyDescent="0.25">
      <c r="A72" s="131">
        <v>63</v>
      </c>
      <c r="B72" s="132"/>
      <c r="C72" s="132"/>
      <c r="D72" s="132"/>
      <c r="E72" s="132"/>
      <c r="F72" s="132"/>
      <c r="G72" s="132"/>
      <c r="H72" s="132"/>
      <c r="I72" s="132"/>
      <c r="J72" s="132"/>
      <c r="K72" s="132"/>
      <c r="L72" s="132"/>
      <c r="M72" s="132"/>
      <c r="N72" s="132"/>
    </row>
    <row r="73" spans="1:14" ht="15.75" customHeight="1" x14ac:dyDescent="0.25">
      <c r="A73" s="133">
        <v>64</v>
      </c>
      <c r="B73" s="134"/>
      <c r="C73" s="134"/>
      <c r="D73" s="134"/>
      <c r="E73" s="134"/>
      <c r="F73" s="134"/>
      <c r="G73" s="134"/>
      <c r="H73" s="134"/>
      <c r="I73" s="134"/>
      <c r="J73" s="134"/>
      <c r="K73" s="134"/>
      <c r="L73" s="134"/>
      <c r="M73" s="134"/>
      <c r="N73" s="134"/>
    </row>
    <row r="74" spans="1:14" ht="15.75" customHeight="1" x14ac:dyDescent="0.25">
      <c r="A74" s="131">
        <v>65</v>
      </c>
      <c r="B74" s="132"/>
      <c r="C74" s="132"/>
      <c r="D74" s="132"/>
      <c r="E74" s="132"/>
      <c r="F74" s="132"/>
      <c r="G74" s="132"/>
      <c r="H74" s="132"/>
      <c r="I74" s="132"/>
      <c r="J74" s="132"/>
      <c r="K74" s="132"/>
      <c r="L74" s="132"/>
      <c r="M74" s="132"/>
      <c r="N74" s="132"/>
    </row>
    <row r="75" spans="1:14" ht="15.75" customHeight="1" x14ac:dyDescent="0.25">
      <c r="A75" s="133">
        <v>66</v>
      </c>
      <c r="B75" s="134"/>
      <c r="C75" s="134"/>
      <c r="D75" s="134"/>
      <c r="E75" s="134"/>
      <c r="F75" s="134"/>
      <c r="G75" s="134"/>
      <c r="H75" s="134"/>
      <c r="I75" s="134"/>
      <c r="J75" s="134"/>
      <c r="K75" s="134"/>
      <c r="L75" s="134"/>
      <c r="M75" s="134"/>
      <c r="N75" s="134"/>
    </row>
    <row r="76" spans="1:14" ht="15.75" customHeight="1" x14ac:dyDescent="0.25">
      <c r="A76" s="131">
        <v>67</v>
      </c>
      <c r="B76" s="132"/>
      <c r="C76" s="132"/>
      <c r="D76" s="132"/>
      <c r="E76" s="132"/>
      <c r="F76" s="132"/>
      <c r="G76" s="132"/>
      <c r="H76" s="132"/>
      <c r="I76" s="132"/>
      <c r="J76" s="132"/>
      <c r="K76" s="132"/>
      <c r="L76" s="132"/>
      <c r="M76" s="132"/>
      <c r="N76" s="132"/>
    </row>
    <row r="77" spans="1:14" ht="15.75" customHeight="1" x14ac:dyDescent="0.25">
      <c r="A77" s="133">
        <v>68</v>
      </c>
      <c r="B77" s="134"/>
      <c r="C77" s="134"/>
      <c r="D77" s="134"/>
      <c r="E77" s="134"/>
      <c r="F77" s="134"/>
      <c r="G77" s="134"/>
      <c r="H77" s="134"/>
      <c r="I77" s="134"/>
      <c r="J77" s="134"/>
      <c r="K77" s="134"/>
      <c r="L77" s="134"/>
      <c r="M77" s="134"/>
      <c r="N77" s="134"/>
    </row>
    <row r="78" spans="1:14" ht="15.75" customHeight="1" x14ac:dyDescent="0.25">
      <c r="A78" s="131">
        <v>69</v>
      </c>
      <c r="B78" s="132"/>
      <c r="C78" s="132"/>
      <c r="D78" s="132"/>
      <c r="E78" s="132"/>
      <c r="F78" s="132"/>
      <c r="G78" s="132"/>
      <c r="H78" s="132"/>
      <c r="I78" s="132"/>
      <c r="J78" s="132"/>
      <c r="K78" s="132"/>
      <c r="L78" s="132"/>
      <c r="M78" s="132"/>
      <c r="N78" s="132"/>
    </row>
    <row r="79" spans="1:14" ht="15.75" customHeight="1" x14ac:dyDescent="0.25">
      <c r="A79" s="133">
        <v>70</v>
      </c>
      <c r="B79" s="134"/>
      <c r="C79" s="134"/>
      <c r="D79" s="134"/>
      <c r="E79" s="134"/>
      <c r="F79" s="134"/>
      <c r="G79" s="134"/>
      <c r="H79" s="134"/>
      <c r="I79" s="134"/>
      <c r="J79" s="134"/>
      <c r="K79" s="134"/>
      <c r="L79" s="134"/>
      <c r="M79" s="134"/>
      <c r="N79" s="134"/>
    </row>
    <row r="80" spans="1:14" ht="15.75" customHeight="1" x14ac:dyDescent="0.25">
      <c r="A80" s="131">
        <v>71</v>
      </c>
      <c r="B80" s="132"/>
      <c r="C80" s="132"/>
      <c r="D80" s="132"/>
      <c r="E80" s="132"/>
      <c r="F80" s="132"/>
      <c r="G80" s="132"/>
      <c r="H80" s="132"/>
      <c r="I80" s="132"/>
      <c r="J80" s="132"/>
      <c r="K80" s="132"/>
      <c r="L80" s="132"/>
      <c r="M80" s="132"/>
      <c r="N80" s="132"/>
    </row>
    <row r="81" spans="1:14" ht="15.75" customHeight="1" x14ac:dyDescent="0.25">
      <c r="A81" s="133">
        <v>72</v>
      </c>
      <c r="B81" s="134"/>
      <c r="C81" s="134"/>
      <c r="D81" s="134"/>
      <c r="E81" s="134"/>
      <c r="F81" s="134"/>
      <c r="G81" s="134"/>
      <c r="H81" s="134"/>
      <c r="I81" s="134"/>
      <c r="J81" s="134"/>
      <c r="K81" s="134"/>
      <c r="L81" s="134"/>
      <c r="M81" s="134"/>
      <c r="N81" s="134"/>
    </row>
    <row r="82" spans="1:14" ht="15.75" customHeight="1" x14ac:dyDescent="0.25">
      <c r="A82" s="131">
        <v>73</v>
      </c>
      <c r="B82" s="132"/>
      <c r="C82" s="132"/>
      <c r="D82" s="132"/>
      <c r="E82" s="132"/>
      <c r="F82" s="132"/>
      <c r="G82" s="132"/>
      <c r="H82" s="132"/>
      <c r="I82" s="132"/>
      <c r="J82" s="132"/>
      <c r="K82" s="132"/>
      <c r="L82" s="132"/>
      <c r="M82" s="132"/>
      <c r="N82" s="132"/>
    </row>
    <row r="83" spans="1:14" ht="15.75" customHeight="1" x14ac:dyDescent="0.25">
      <c r="A83" s="133">
        <v>74</v>
      </c>
      <c r="B83" s="134"/>
      <c r="C83" s="134"/>
      <c r="D83" s="134"/>
      <c r="E83" s="134"/>
      <c r="F83" s="134"/>
      <c r="G83" s="134"/>
      <c r="H83" s="134"/>
      <c r="I83" s="134"/>
      <c r="J83" s="134"/>
      <c r="K83" s="134"/>
      <c r="L83" s="134"/>
      <c r="M83" s="134"/>
      <c r="N83" s="134"/>
    </row>
    <row r="84" spans="1:14" ht="15.75" customHeight="1" x14ac:dyDescent="0.25">
      <c r="A84" s="131">
        <v>75</v>
      </c>
      <c r="B84" s="132"/>
      <c r="C84" s="132"/>
      <c r="D84" s="132"/>
      <c r="E84" s="132"/>
      <c r="F84" s="132"/>
      <c r="G84" s="132"/>
      <c r="H84" s="132"/>
      <c r="I84" s="132"/>
      <c r="J84" s="132"/>
      <c r="K84" s="132"/>
      <c r="L84" s="132"/>
      <c r="M84" s="132"/>
      <c r="N84" s="132"/>
    </row>
    <row r="85" spans="1:14" ht="15.75" customHeight="1" x14ac:dyDescent="0.25">
      <c r="A85" s="133">
        <v>76</v>
      </c>
      <c r="B85" s="134"/>
      <c r="C85" s="134"/>
      <c r="D85" s="134"/>
      <c r="E85" s="134"/>
      <c r="F85" s="134"/>
      <c r="G85" s="134"/>
      <c r="H85" s="134"/>
      <c r="I85" s="134"/>
      <c r="J85" s="134"/>
      <c r="K85" s="134"/>
      <c r="L85" s="134"/>
      <c r="M85" s="134"/>
      <c r="N85" s="134"/>
    </row>
    <row r="86" spans="1:14" ht="15.75" customHeight="1" x14ac:dyDescent="0.25">
      <c r="A86" s="131">
        <v>77</v>
      </c>
      <c r="B86" s="132"/>
      <c r="C86" s="132"/>
      <c r="D86" s="132"/>
      <c r="E86" s="132"/>
      <c r="F86" s="132"/>
      <c r="G86" s="132"/>
      <c r="H86" s="132"/>
      <c r="I86" s="132"/>
      <c r="J86" s="132"/>
      <c r="K86" s="132"/>
      <c r="L86" s="132"/>
      <c r="M86" s="132"/>
      <c r="N86" s="132"/>
    </row>
    <row r="87" spans="1:14" ht="15.75" customHeight="1" x14ac:dyDescent="0.25">
      <c r="A87" s="133">
        <v>78</v>
      </c>
      <c r="B87" s="134"/>
      <c r="C87" s="134"/>
      <c r="D87" s="134"/>
      <c r="E87" s="134"/>
      <c r="F87" s="134"/>
      <c r="G87" s="134"/>
      <c r="H87" s="134"/>
      <c r="I87" s="134"/>
      <c r="J87" s="134"/>
      <c r="K87" s="134"/>
      <c r="L87" s="134"/>
      <c r="M87" s="134"/>
      <c r="N87" s="134"/>
    </row>
    <row r="88" spans="1:14" ht="15.75" customHeight="1" x14ac:dyDescent="0.25">
      <c r="A88" s="131">
        <v>79</v>
      </c>
      <c r="B88" s="132"/>
      <c r="C88" s="132"/>
      <c r="D88" s="132"/>
      <c r="E88" s="132"/>
      <c r="F88" s="132"/>
      <c r="G88" s="132"/>
      <c r="H88" s="132"/>
      <c r="I88" s="132"/>
      <c r="J88" s="132"/>
      <c r="K88" s="132"/>
      <c r="L88" s="132"/>
      <c r="M88" s="132"/>
      <c r="N88" s="132"/>
    </row>
    <row r="89" spans="1:14" ht="15.75" customHeight="1" x14ac:dyDescent="0.25">
      <c r="A89" s="133">
        <v>80</v>
      </c>
      <c r="B89" s="134"/>
      <c r="C89" s="134"/>
      <c r="D89" s="134"/>
      <c r="E89" s="134"/>
      <c r="F89" s="134"/>
      <c r="G89" s="134"/>
      <c r="H89" s="134"/>
      <c r="I89" s="134"/>
      <c r="J89" s="134"/>
      <c r="K89" s="134"/>
      <c r="L89" s="134"/>
      <c r="M89" s="134"/>
      <c r="N89" s="134"/>
    </row>
    <row r="90" spans="1:14" ht="15.75" customHeight="1" x14ac:dyDescent="0.25">
      <c r="A90" s="131">
        <v>81</v>
      </c>
      <c r="B90" s="132"/>
      <c r="C90" s="132"/>
      <c r="D90" s="132"/>
      <c r="E90" s="132"/>
      <c r="F90" s="132"/>
      <c r="G90" s="132"/>
      <c r="H90" s="132"/>
      <c r="I90" s="132"/>
      <c r="J90" s="132"/>
      <c r="K90" s="132"/>
      <c r="L90" s="132"/>
      <c r="M90" s="132"/>
      <c r="N90" s="132"/>
    </row>
    <row r="91" spans="1:14" ht="15.75" customHeight="1" x14ac:dyDescent="0.25">
      <c r="A91" s="133">
        <v>82</v>
      </c>
      <c r="B91" s="134"/>
      <c r="C91" s="134"/>
      <c r="D91" s="134"/>
      <c r="E91" s="134"/>
      <c r="F91" s="134"/>
      <c r="G91" s="134"/>
      <c r="H91" s="134"/>
      <c r="I91" s="134"/>
      <c r="J91" s="134"/>
      <c r="K91" s="134"/>
      <c r="L91" s="134"/>
      <c r="M91" s="134"/>
      <c r="N91" s="134"/>
    </row>
    <row r="92" spans="1:14" ht="15.75" customHeight="1" x14ac:dyDescent="0.25">
      <c r="A92" s="131">
        <v>83</v>
      </c>
      <c r="B92" s="132"/>
      <c r="C92" s="132"/>
      <c r="D92" s="132"/>
      <c r="E92" s="132"/>
      <c r="F92" s="132"/>
      <c r="G92" s="132"/>
      <c r="H92" s="132"/>
      <c r="I92" s="132"/>
      <c r="J92" s="132"/>
      <c r="K92" s="132"/>
      <c r="L92" s="132"/>
      <c r="M92" s="132"/>
      <c r="N92" s="132"/>
    </row>
    <row r="93" spans="1:14" ht="15.75" customHeight="1" x14ac:dyDescent="0.25">
      <c r="A93" s="133">
        <v>84</v>
      </c>
      <c r="B93" s="134"/>
      <c r="C93" s="134"/>
      <c r="D93" s="134"/>
      <c r="E93" s="134"/>
      <c r="F93" s="134"/>
      <c r="G93" s="134"/>
      <c r="H93" s="134"/>
      <c r="I93" s="134"/>
      <c r="J93" s="134"/>
      <c r="K93" s="134"/>
      <c r="L93" s="134"/>
      <c r="M93" s="134"/>
      <c r="N93" s="134"/>
    </row>
    <row r="94" spans="1:14" ht="15.75" customHeight="1" x14ac:dyDescent="0.25">
      <c r="A94" s="131">
        <v>85</v>
      </c>
      <c r="B94" s="132"/>
      <c r="C94" s="132"/>
      <c r="D94" s="132"/>
      <c r="E94" s="132"/>
      <c r="F94" s="132"/>
      <c r="G94" s="132"/>
      <c r="H94" s="132"/>
      <c r="I94" s="132"/>
      <c r="J94" s="132"/>
      <c r="K94" s="132"/>
      <c r="L94" s="132"/>
      <c r="M94" s="132"/>
      <c r="N94" s="132"/>
    </row>
    <row r="95" spans="1:14" ht="15.75" customHeight="1" x14ac:dyDescent="0.25">
      <c r="A95" s="133">
        <v>86</v>
      </c>
      <c r="B95" s="134"/>
      <c r="C95" s="134"/>
      <c r="D95" s="134"/>
      <c r="E95" s="134"/>
      <c r="F95" s="134"/>
      <c r="G95" s="134"/>
      <c r="H95" s="134"/>
      <c r="I95" s="134"/>
      <c r="J95" s="134"/>
      <c r="K95" s="134"/>
      <c r="L95" s="134"/>
      <c r="M95" s="134"/>
      <c r="N95" s="134"/>
    </row>
    <row r="96" spans="1:14" ht="15.75" customHeight="1" x14ac:dyDescent="0.25">
      <c r="A96" s="131">
        <v>87</v>
      </c>
      <c r="B96" s="132"/>
      <c r="C96" s="132"/>
      <c r="D96" s="132"/>
      <c r="E96" s="132"/>
      <c r="F96" s="132"/>
      <c r="G96" s="132"/>
      <c r="H96" s="132"/>
      <c r="I96" s="132"/>
      <c r="J96" s="132"/>
      <c r="K96" s="132"/>
      <c r="L96" s="132"/>
      <c r="M96" s="132"/>
      <c r="N96" s="132"/>
    </row>
    <row r="97" spans="1:14" ht="15.75" customHeight="1" x14ac:dyDescent="0.25">
      <c r="A97" s="133">
        <v>88</v>
      </c>
      <c r="B97" s="134"/>
      <c r="C97" s="134"/>
      <c r="D97" s="134"/>
      <c r="E97" s="134"/>
      <c r="F97" s="134"/>
      <c r="G97" s="134"/>
      <c r="H97" s="134"/>
      <c r="I97" s="134"/>
      <c r="J97" s="134"/>
      <c r="K97" s="134"/>
      <c r="L97" s="134"/>
      <c r="M97" s="134"/>
      <c r="N97" s="134"/>
    </row>
    <row r="98" spans="1:14" ht="15.75" customHeight="1" x14ac:dyDescent="0.25">
      <c r="A98" s="131">
        <v>89</v>
      </c>
      <c r="B98" s="132"/>
      <c r="C98" s="132"/>
      <c r="D98" s="132"/>
      <c r="E98" s="132"/>
      <c r="F98" s="132"/>
      <c r="G98" s="132"/>
      <c r="H98" s="132"/>
      <c r="I98" s="132"/>
      <c r="J98" s="132"/>
      <c r="K98" s="132"/>
      <c r="L98" s="132"/>
      <c r="M98" s="132"/>
      <c r="N98" s="132"/>
    </row>
    <row r="99" spans="1:14" ht="15.75" customHeight="1" x14ac:dyDescent="0.25">
      <c r="A99" s="133">
        <v>90</v>
      </c>
      <c r="B99" s="134"/>
      <c r="C99" s="134"/>
      <c r="D99" s="134"/>
      <c r="E99" s="134"/>
      <c r="F99" s="134"/>
      <c r="G99" s="134"/>
      <c r="H99" s="134"/>
      <c r="I99" s="134"/>
      <c r="J99" s="134"/>
      <c r="K99" s="134"/>
      <c r="L99" s="134"/>
      <c r="M99" s="134"/>
      <c r="N99" s="134"/>
    </row>
    <row r="100" spans="1:14" ht="15.75" customHeight="1" x14ac:dyDescent="0.25">
      <c r="A100" s="131">
        <v>91</v>
      </c>
      <c r="B100" s="132"/>
      <c r="C100" s="132"/>
      <c r="D100" s="132"/>
      <c r="E100" s="132"/>
      <c r="F100" s="132"/>
      <c r="G100" s="132"/>
      <c r="H100" s="132"/>
      <c r="I100" s="132"/>
      <c r="J100" s="132"/>
      <c r="K100" s="132"/>
      <c r="L100" s="132"/>
      <c r="M100" s="132"/>
      <c r="N100" s="132"/>
    </row>
    <row r="101" spans="1:14" ht="15.75" customHeight="1" x14ac:dyDescent="0.25">
      <c r="A101" s="133">
        <v>92</v>
      </c>
      <c r="B101" s="134"/>
      <c r="C101" s="134"/>
      <c r="D101" s="134"/>
      <c r="E101" s="134"/>
      <c r="F101" s="134"/>
      <c r="G101" s="134"/>
      <c r="H101" s="134"/>
      <c r="I101" s="134"/>
      <c r="J101" s="134"/>
      <c r="K101" s="134"/>
      <c r="L101" s="134"/>
      <c r="M101" s="134"/>
      <c r="N101" s="134"/>
    </row>
    <row r="102" spans="1:14" ht="15.75" customHeight="1" x14ac:dyDescent="0.25">
      <c r="A102" s="131">
        <v>93</v>
      </c>
      <c r="B102" s="132"/>
      <c r="C102" s="132"/>
      <c r="D102" s="132"/>
      <c r="E102" s="132"/>
      <c r="F102" s="132"/>
      <c r="G102" s="132"/>
      <c r="H102" s="132"/>
      <c r="I102" s="132"/>
      <c r="J102" s="132"/>
      <c r="K102" s="132"/>
      <c r="L102" s="132"/>
      <c r="M102" s="132"/>
      <c r="N102" s="132"/>
    </row>
    <row r="103" spans="1:14" ht="15.75" customHeight="1" x14ac:dyDescent="0.25">
      <c r="A103" s="133">
        <v>94</v>
      </c>
      <c r="B103" s="134"/>
      <c r="C103" s="134"/>
      <c r="D103" s="134"/>
      <c r="E103" s="134"/>
      <c r="F103" s="134"/>
      <c r="G103" s="134"/>
      <c r="H103" s="134"/>
      <c r="I103" s="134"/>
      <c r="J103" s="134"/>
      <c r="K103" s="134"/>
      <c r="L103" s="134"/>
      <c r="M103" s="134"/>
      <c r="N103" s="134"/>
    </row>
    <row r="104" spans="1:14" ht="15.75" customHeight="1" x14ac:dyDescent="0.25">
      <c r="A104" s="131">
        <v>95</v>
      </c>
      <c r="B104" s="132"/>
      <c r="C104" s="132"/>
      <c r="D104" s="132"/>
      <c r="E104" s="132"/>
      <c r="F104" s="132"/>
      <c r="G104" s="132"/>
      <c r="H104" s="132"/>
      <c r="I104" s="132"/>
      <c r="J104" s="132"/>
      <c r="K104" s="132"/>
      <c r="L104" s="132"/>
      <c r="M104" s="132"/>
      <c r="N104" s="132"/>
    </row>
    <row r="105" spans="1:14" ht="15.75" customHeight="1" x14ac:dyDescent="0.25">
      <c r="A105" s="133">
        <v>96</v>
      </c>
      <c r="B105" s="134"/>
      <c r="C105" s="134"/>
      <c r="D105" s="134"/>
      <c r="E105" s="134"/>
      <c r="F105" s="134"/>
      <c r="G105" s="134"/>
      <c r="H105" s="134"/>
      <c r="I105" s="134"/>
      <c r="J105" s="134"/>
      <c r="K105" s="134"/>
      <c r="L105" s="134"/>
      <c r="M105" s="134"/>
      <c r="N105" s="134"/>
    </row>
    <row r="106" spans="1:14" ht="15.75" customHeight="1" x14ac:dyDescent="0.25">
      <c r="A106" s="131">
        <v>97</v>
      </c>
      <c r="B106" s="132"/>
      <c r="C106" s="132"/>
      <c r="D106" s="132"/>
      <c r="E106" s="132"/>
      <c r="F106" s="132"/>
      <c r="G106" s="132"/>
      <c r="H106" s="132"/>
      <c r="I106" s="132"/>
      <c r="J106" s="132"/>
      <c r="K106" s="132"/>
      <c r="L106" s="132"/>
      <c r="M106" s="132"/>
      <c r="N106" s="132"/>
    </row>
    <row r="107" spans="1:14" ht="15.75" customHeight="1" x14ac:dyDescent="0.25">
      <c r="A107" s="133">
        <v>98</v>
      </c>
      <c r="B107" s="134"/>
      <c r="C107" s="134"/>
      <c r="D107" s="134"/>
      <c r="E107" s="134"/>
      <c r="F107" s="134"/>
      <c r="G107" s="134"/>
      <c r="H107" s="134"/>
      <c r="I107" s="134"/>
      <c r="J107" s="134"/>
      <c r="K107" s="134"/>
      <c r="L107" s="134"/>
      <c r="M107" s="134"/>
      <c r="N107" s="134"/>
    </row>
    <row r="108" spans="1:14" ht="15.75" customHeight="1" x14ac:dyDescent="0.25">
      <c r="A108" s="131">
        <v>99</v>
      </c>
      <c r="B108" s="132"/>
      <c r="C108" s="132"/>
      <c r="D108" s="132"/>
      <c r="E108" s="132"/>
      <c r="F108" s="132"/>
      <c r="G108" s="132"/>
      <c r="H108" s="132"/>
      <c r="I108" s="132"/>
      <c r="J108" s="132"/>
      <c r="K108" s="132"/>
      <c r="L108" s="132"/>
      <c r="M108" s="132"/>
      <c r="N108" s="132"/>
    </row>
    <row r="109" spans="1:14" ht="15.75" customHeight="1" x14ac:dyDescent="0.25">
      <c r="A109" s="133">
        <v>100</v>
      </c>
      <c r="B109" s="134"/>
      <c r="C109" s="134"/>
      <c r="D109" s="134"/>
      <c r="E109" s="134"/>
      <c r="F109" s="134"/>
      <c r="G109" s="134"/>
      <c r="H109" s="134"/>
      <c r="I109" s="134"/>
      <c r="J109" s="134"/>
      <c r="K109" s="134"/>
      <c r="L109" s="134"/>
      <c r="M109" s="134"/>
      <c r="N109" s="134"/>
    </row>
    <row r="110" spans="1:14" ht="15.75" customHeight="1" x14ac:dyDescent="0.25">
      <c r="A110" s="131">
        <v>101</v>
      </c>
      <c r="B110" s="132"/>
      <c r="C110" s="132"/>
      <c r="D110" s="132"/>
      <c r="E110" s="132"/>
      <c r="F110" s="132"/>
      <c r="G110" s="132"/>
      <c r="H110" s="132"/>
      <c r="I110" s="132"/>
      <c r="J110" s="132"/>
      <c r="K110" s="132"/>
      <c r="L110" s="132"/>
      <c r="M110" s="132"/>
      <c r="N110" s="132"/>
    </row>
    <row r="111" spans="1:14" ht="15.75" customHeight="1" x14ac:dyDescent="0.25">
      <c r="A111" s="133">
        <v>102</v>
      </c>
      <c r="B111" s="134"/>
      <c r="C111" s="134"/>
      <c r="D111" s="134"/>
      <c r="E111" s="134"/>
      <c r="F111" s="134"/>
      <c r="G111" s="134"/>
      <c r="H111" s="134"/>
      <c r="I111" s="134"/>
      <c r="J111" s="134"/>
      <c r="K111" s="134"/>
      <c r="L111" s="134"/>
      <c r="M111" s="134"/>
      <c r="N111" s="134"/>
    </row>
    <row r="112" spans="1:14" ht="15.75" customHeight="1" x14ac:dyDescent="0.25">
      <c r="A112" s="131">
        <v>103</v>
      </c>
      <c r="B112" s="132"/>
      <c r="C112" s="132"/>
      <c r="D112" s="132"/>
      <c r="E112" s="132"/>
      <c r="F112" s="132"/>
      <c r="G112" s="132"/>
      <c r="H112" s="132"/>
      <c r="I112" s="132"/>
      <c r="J112" s="132"/>
      <c r="K112" s="132"/>
      <c r="L112" s="132"/>
      <c r="M112" s="132"/>
      <c r="N112" s="132"/>
    </row>
    <row r="113" spans="1:14" ht="15.75" customHeight="1" x14ac:dyDescent="0.25">
      <c r="A113" s="133">
        <v>104</v>
      </c>
      <c r="B113" s="134"/>
      <c r="C113" s="134"/>
      <c r="D113" s="134"/>
      <c r="E113" s="134"/>
      <c r="F113" s="134"/>
      <c r="G113" s="134"/>
      <c r="H113" s="134"/>
      <c r="I113" s="134"/>
      <c r="J113" s="134"/>
      <c r="K113" s="134"/>
      <c r="L113" s="134"/>
      <c r="M113" s="134"/>
      <c r="N113" s="134"/>
    </row>
    <row r="114" spans="1:14" ht="15.75" customHeight="1" x14ac:dyDescent="0.25">
      <c r="A114" s="131">
        <v>105</v>
      </c>
      <c r="B114" s="132"/>
      <c r="C114" s="132"/>
      <c r="D114" s="132"/>
      <c r="E114" s="132"/>
      <c r="F114" s="132"/>
      <c r="G114" s="132"/>
      <c r="H114" s="132"/>
      <c r="I114" s="132"/>
      <c r="J114" s="132"/>
      <c r="K114" s="132"/>
      <c r="L114" s="132"/>
      <c r="M114" s="132"/>
      <c r="N114" s="132"/>
    </row>
    <row r="115" spans="1:14" ht="15.75" customHeight="1" x14ac:dyDescent="0.25">
      <c r="A115" s="133">
        <v>106</v>
      </c>
      <c r="B115" s="134"/>
      <c r="C115" s="134"/>
      <c r="D115" s="134"/>
      <c r="E115" s="134"/>
      <c r="F115" s="134"/>
      <c r="G115" s="134"/>
      <c r="H115" s="134"/>
      <c r="I115" s="134"/>
      <c r="J115" s="134"/>
      <c r="K115" s="134"/>
      <c r="L115" s="134"/>
      <c r="M115" s="134"/>
      <c r="N115" s="134"/>
    </row>
    <row r="116" spans="1:14" ht="15.75" customHeight="1" x14ac:dyDescent="0.25">
      <c r="A116" s="131">
        <v>107</v>
      </c>
      <c r="B116" s="132"/>
      <c r="C116" s="132"/>
      <c r="D116" s="132"/>
      <c r="E116" s="132"/>
      <c r="F116" s="132"/>
      <c r="G116" s="132"/>
      <c r="H116" s="132"/>
      <c r="I116" s="132"/>
      <c r="J116" s="132"/>
      <c r="K116" s="132"/>
      <c r="L116" s="132"/>
      <c r="M116" s="132"/>
      <c r="N116" s="132"/>
    </row>
    <row r="117" spans="1:14" ht="15.75" customHeight="1" x14ac:dyDescent="0.25">
      <c r="A117" s="133">
        <v>108</v>
      </c>
      <c r="B117" s="134"/>
      <c r="C117" s="134"/>
      <c r="D117" s="134"/>
      <c r="E117" s="134"/>
      <c r="F117" s="134"/>
      <c r="G117" s="134"/>
      <c r="H117" s="134"/>
      <c r="I117" s="134"/>
      <c r="J117" s="134"/>
      <c r="K117" s="134"/>
      <c r="L117" s="134"/>
      <c r="M117" s="134"/>
      <c r="N117" s="134"/>
    </row>
    <row r="118" spans="1:14" ht="15.75" customHeight="1" x14ac:dyDescent="0.25">
      <c r="A118" s="131">
        <v>109</v>
      </c>
      <c r="B118" s="132"/>
      <c r="C118" s="132"/>
      <c r="D118" s="132"/>
      <c r="E118" s="132"/>
      <c r="F118" s="132"/>
      <c r="G118" s="132"/>
      <c r="H118" s="132"/>
      <c r="I118" s="132"/>
      <c r="J118" s="132"/>
      <c r="K118" s="132"/>
      <c r="L118" s="132"/>
      <c r="M118" s="132"/>
      <c r="N118" s="132"/>
    </row>
    <row r="119" spans="1:14" ht="15.75" customHeight="1" x14ac:dyDescent="0.25">
      <c r="A119" s="133">
        <v>110</v>
      </c>
      <c r="B119" s="134"/>
      <c r="C119" s="134"/>
      <c r="D119" s="134"/>
      <c r="E119" s="134"/>
      <c r="F119" s="134"/>
      <c r="G119" s="134"/>
      <c r="H119" s="134"/>
      <c r="I119" s="134"/>
      <c r="J119" s="134"/>
      <c r="K119" s="134"/>
      <c r="L119" s="134"/>
      <c r="M119" s="134"/>
      <c r="N119" s="134"/>
    </row>
    <row r="120" spans="1:14" ht="15.75" customHeight="1" x14ac:dyDescent="0.25">
      <c r="A120" s="131">
        <v>111</v>
      </c>
      <c r="B120" s="132"/>
      <c r="C120" s="132"/>
      <c r="D120" s="132"/>
      <c r="E120" s="132"/>
      <c r="F120" s="132"/>
      <c r="G120" s="132"/>
      <c r="H120" s="132"/>
      <c r="I120" s="132"/>
      <c r="J120" s="132"/>
      <c r="K120" s="132"/>
      <c r="L120" s="132"/>
      <c r="M120" s="132"/>
      <c r="N120" s="132"/>
    </row>
    <row r="121" spans="1:14" ht="15.75" customHeight="1" x14ac:dyDescent="0.25">
      <c r="A121" s="133">
        <v>112</v>
      </c>
      <c r="B121" s="134"/>
      <c r="C121" s="134"/>
      <c r="D121" s="134"/>
      <c r="E121" s="134"/>
      <c r="F121" s="134"/>
      <c r="G121" s="134"/>
      <c r="H121" s="134"/>
      <c r="I121" s="134"/>
      <c r="J121" s="134"/>
      <c r="K121" s="134"/>
      <c r="L121" s="134"/>
      <c r="M121" s="134"/>
      <c r="N121" s="134"/>
    </row>
    <row r="122" spans="1:14" ht="15.75" customHeight="1" x14ac:dyDescent="0.25">
      <c r="A122" s="131">
        <v>113</v>
      </c>
      <c r="B122" s="132"/>
      <c r="C122" s="132"/>
      <c r="D122" s="132"/>
      <c r="E122" s="132"/>
      <c r="F122" s="132"/>
      <c r="G122" s="132"/>
      <c r="H122" s="132"/>
      <c r="I122" s="132"/>
      <c r="J122" s="132"/>
      <c r="K122" s="132"/>
      <c r="L122" s="132"/>
      <c r="M122" s="132"/>
      <c r="N122" s="132"/>
    </row>
    <row r="123" spans="1:14" ht="15.75" customHeight="1" x14ac:dyDescent="0.25">
      <c r="A123" s="133">
        <v>114</v>
      </c>
      <c r="B123" s="134"/>
      <c r="C123" s="134"/>
      <c r="D123" s="134"/>
      <c r="E123" s="134"/>
      <c r="F123" s="134"/>
      <c r="G123" s="134"/>
      <c r="H123" s="134"/>
      <c r="I123" s="134"/>
      <c r="J123" s="134"/>
      <c r="K123" s="134"/>
      <c r="L123" s="134"/>
      <c r="M123" s="134"/>
      <c r="N123" s="134"/>
    </row>
    <row r="124" spans="1:14" ht="15.75" customHeight="1" x14ac:dyDescent="0.25">
      <c r="A124" s="131">
        <v>115</v>
      </c>
      <c r="B124" s="132"/>
      <c r="C124" s="132"/>
      <c r="D124" s="132"/>
      <c r="E124" s="132"/>
      <c r="F124" s="132"/>
      <c r="G124" s="132"/>
      <c r="H124" s="132"/>
      <c r="I124" s="132"/>
      <c r="J124" s="132"/>
      <c r="K124" s="132"/>
      <c r="L124" s="132"/>
      <c r="M124" s="132"/>
      <c r="N124" s="132"/>
    </row>
    <row r="125" spans="1:14" ht="15.75" customHeight="1" x14ac:dyDescent="0.25">
      <c r="A125" s="133">
        <v>116</v>
      </c>
      <c r="B125" s="134"/>
      <c r="C125" s="134"/>
      <c r="D125" s="134"/>
      <c r="E125" s="134"/>
      <c r="F125" s="134"/>
      <c r="G125" s="134"/>
      <c r="H125" s="134"/>
      <c r="I125" s="134"/>
      <c r="J125" s="134"/>
      <c r="K125" s="134"/>
      <c r="L125" s="134"/>
      <c r="M125" s="134"/>
      <c r="N125" s="134"/>
    </row>
    <row r="126" spans="1:14" ht="15.75" customHeight="1" x14ac:dyDescent="0.25">
      <c r="A126" s="131">
        <v>117</v>
      </c>
      <c r="B126" s="132"/>
      <c r="C126" s="132"/>
      <c r="D126" s="132"/>
      <c r="E126" s="132"/>
      <c r="F126" s="132"/>
      <c r="G126" s="132"/>
      <c r="H126" s="132"/>
      <c r="I126" s="132"/>
      <c r="J126" s="132"/>
      <c r="K126" s="132"/>
      <c r="L126" s="132"/>
      <c r="M126" s="132"/>
      <c r="N126" s="132"/>
    </row>
    <row r="127" spans="1:14" ht="15.75" customHeight="1" x14ac:dyDescent="0.25">
      <c r="A127" s="133">
        <v>118</v>
      </c>
      <c r="B127" s="134"/>
      <c r="C127" s="134"/>
      <c r="D127" s="134"/>
      <c r="E127" s="134"/>
      <c r="F127" s="134"/>
      <c r="G127" s="134"/>
      <c r="H127" s="134"/>
      <c r="I127" s="134"/>
      <c r="J127" s="134"/>
      <c r="K127" s="134"/>
      <c r="L127" s="134"/>
      <c r="M127" s="134"/>
      <c r="N127" s="134"/>
    </row>
    <row r="128" spans="1:14" ht="15.75" customHeight="1" x14ac:dyDescent="0.25">
      <c r="A128" s="131">
        <v>119</v>
      </c>
      <c r="B128" s="132"/>
      <c r="C128" s="132"/>
      <c r="D128" s="132"/>
      <c r="E128" s="132"/>
      <c r="F128" s="132"/>
      <c r="G128" s="132"/>
      <c r="H128" s="132"/>
      <c r="I128" s="132"/>
      <c r="J128" s="132"/>
      <c r="K128" s="132"/>
      <c r="L128" s="132"/>
      <c r="M128" s="132"/>
      <c r="N128" s="132"/>
    </row>
    <row r="129" spans="1:14" ht="15.75" customHeight="1" x14ac:dyDescent="0.25">
      <c r="A129" s="133">
        <v>120</v>
      </c>
      <c r="B129" s="134"/>
      <c r="C129" s="134"/>
      <c r="D129" s="134"/>
      <c r="E129" s="134"/>
      <c r="F129" s="134"/>
      <c r="G129" s="134"/>
      <c r="H129" s="134"/>
      <c r="I129" s="134"/>
      <c r="J129" s="134"/>
      <c r="K129" s="134"/>
      <c r="L129" s="134"/>
      <c r="M129" s="134"/>
      <c r="N129" s="134"/>
    </row>
    <row r="130" spans="1:14" ht="15.75" customHeight="1" x14ac:dyDescent="0.25">
      <c r="A130" s="131">
        <v>121</v>
      </c>
      <c r="B130" s="132"/>
      <c r="C130" s="132"/>
      <c r="D130" s="132"/>
      <c r="E130" s="132"/>
      <c r="F130" s="132"/>
      <c r="G130" s="132"/>
      <c r="H130" s="132"/>
      <c r="I130" s="132"/>
      <c r="J130" s="132"/>
      <c r="K130" s="132"/>
      <c r="L130" s="132"/>
      <c r="M130" s="132"/>
      <c r="N130" s="132"/>
    </row>
    <row r="131" spans="1:14" ht="15.75" customHeight="1" x14ac:dyDescent="0.25">
      <c r="A131" s="133">
        <v>122</v>
      </c>
      <c r="B131" s="134"/>
      <c r="C131" s="134"/>
      <c r="D131" s="134"/>
      <c r="E131" s="134"/>
      <c r="F131" s="134"/>
      <c r="G131" s="134"/>
      <c r="H131" s="134"/>
      <c r="I131" s="134"/>
      <c r="J131" s="134"/>
      <c r="K131" s="134"/>
      <c r="L131" s="134"/>
      <c r="M131" s="134"/>
      <c r="N131" s="134"/>
    </row>
    <row r="132" spans="1:14" ht="15.75" customHeight="1" x14ac:dyDescent="0.25">
      <c r="A132" s="131">
        <v>123</v>
      </c>
      <c r="B132" s="132"/>
      <c r="C132" s="132"/>
      <c r="D132" s="132"/>
      <c r="E132" s="132"/>
      <c r="F132" s="132"/>
      <c r="G132" s="132"/>
      <c r="H132" s="132"/>
      <c r="I132" s="132"/>
      <c r="J132" s="132"/>
      <c r="K132" s="132"/>
      <c r="L132" s="132"/>
      <c r="M132" s="132"/>
      <c r="N132" s="132"/>
    </row>
    <row r="133" spans="1:14" ht="15.75" customHeight="1" x14ac:dyDescent="0.25">
      <c r="A133" s="133">
        <v>124</v>
      </c>
      <c r="B133" s="134"/>
      <c r="C133" s="134"/>
      <c r="D133" s="134"/>
      <c r="E133" s="134"/>
      <c r="F133" s="134"/>
      <c r="G133" s="134"/>
      <c r="H133" s="134"/>
      <c r="I133" s="134"/>
      <c r="J133" s="134"/>
      <c r="K133" s="134"/>
      <c r="L133" s="134"/>
      <c r="M133" s="134"/>
      <c r="N133" s="134"/>
    </row>
    <row r="134" spans="1:14" ht="15.75" customHeight="1" x14ac:dyDescent="0.25">
      <c r="A134" s="131">
        <v>125</v>
      </c>
      <c r="B134" s="132"/>
      <c r="C134" s="132"/>
      <c r="D134" s="132"/>
      <c r="E134" s="132"/>
      <c r="F134" s="132"/>
      <c r="G134" s="132"/>
      <c r="H134" s="132"/>
      <c r="I134" s="132"/>
      <c r="J134" s="132"/>
      <c r="K134" s="132"/>
      <c r="L134" s="132"/>
      <c r="M134" s="132"/>
      <c r="N134" s="132"/>
    </row>
    <row r="135" spans="1:14" ht="15.75" customHeight="1" x14ac:dyDescent="0.25">
      <c r="A135" s="133">
        <v>126</v>
      </c>
      <c r="B135" s="134"/>
      <c r="C135" s="134"/>
      <c r="D135" s="134"/>
      <c r="E135" s="134"/>
      <c r="F135" s="134"/>
      <c r="G135" s="134"/>
      <c r="H135" s="134"/>
      <c r="I135" s="134"/>
      <c r="J135" s="134"/>
      <c r="K135" s="134"/>
      <c r="L135" s="134"/>
      <c r="M135" s="134"/>
      <c r="N135" s="134"/>
    </row>
    <row r="136" spans="1:14" ht="15.75" customHeight="1" x14ac:dyDescent="0.25">
      <c r="A136" s="131">
        <v>127</v>
      </c>
      <c r="B136" s="132"/>
      <c r="C136" s="132"/>
      <c r="D136" s="132"/>
      <c r="E136" s="132"/>
      <c r="F136" s="132"/>
      <c r="G136" s="132"/>
      <c r="H136" s="132"/>
      <c r="I136" s="132"/>
      <c r="J136" s="132"/>
      <c r="K136" s="132"/>
      <c r="L136" s="132"/>
      <c r="M136" s="132"/>
      <c r="N136" s="132"/>
    </row>
    <row r="137" spans="1:14" ht="15.75" customHeight="1" x14ac:dyDescent="0.25">
      <c r="A137" s="133">
        <v>128</v>
      </c>
      <c r="B137" s="134"/>
      <c r="C137" s="134"/>
      <c r="D137" s="134"/>
      <c r="E137" s="134"/>
      <c r="F137" s="134"/>
      <c r="G137" s="134"/>
      <c r="H137" s="134"/>
      <c r="I137" s="134"/>
      <c r="J137" s="134"/>
      <c r="K137" s="134"/>
      <c r="L137" s="134"/>
      <c r="M137" s="134"/>
      <c r="N137" s="134"/>
    </row>
    <row r="138" spans="1:14" ht="15.75" customHeight="1" x14ac:dyDescent="0.25">
      <c r="A138" s="131">
        <v>129</v>
      </c>
      <c r="B138" s="132"/>
      <c r="C138" s="132"/>
      <c r="D138" s="132"/>
      <c r="E138" s="132"/>
      <c r="F138" s="132"/>
      <c r="G138" s="132"/>
      <c r="H138" s="132"/>
      <c r="I138" s="132"/>
      <c r="J138" s="132"/>
      <c r="K138" s="132"/>
      <c r="L138" s="132"/>
      <c r="M138" s="132"/>
      <c r="N138" s="132"/>
    </row>
    <row r="139" spans="1:14" ht="15.75" customHeight="1" x14ac:dyDescent="0.25">
      <c r="A139" s="133">
        <v>130</v>
      </c>
      <c r="B139" s="134"/>
      <c r="C139" s="134"/>
      <c r="D139" s="134"/>
      <c r="E139" s="134"/>
      <c r="F139" s="134"/>
      <c r="G139" s="134"/>
      <c r="H139" s="134"/>
      <c r="I139" s="134"/>
      <c r="J139" s="134"/>
      <c r="K139" s="134"/>
      <c r="L139" s="134"/>
      <c r="M139" s="134"/>
      <c r="N139" s="134"/>
    </row>
    <row r="140" spans="1:14" ht="15.75" customHeight="1" x14ac:dyDescent="0.25">
      <c r="A140" s="131">
        <v>131</v>
      </c>
      <c r="B140" s="132"/>
      <c r="C140" s="132"/>
      <c r="D140" s="132"/>
      <c r="E140" s="132"/>
      <c r="F140" s="132"/>
      <c r="G140" s="132"/>
      <c r="H140" s="132"/>
      <c r="I140" s="132"/>
      <c r="J140" s="132"/>
      <c r="K140" s="132"/>
      <c r="L140" s="132"/>
      <c r="M140" s="132"/>
      <c r="N140" s="132"/>
    </row>
    <row r="141" spans="1:14" ht="15.75" customHeight="1" x14ac:dyDescent="0.25">
      <c r="A141" s="133">
        <v>132</v>
      </c>
      <c r="B141" s="134"/>
      <c r="C141" s="134"/>
      <c r="D141" s="134"/>
      <c r="E141" s="134"/>
      <c r="F141" s="134"/>
      <c r="G141" s="134"/>
      <c r="H141" s="134"/>
      <c r="I141" s="134"/>
      <c r="J141" s="134"/>
      <c r="K141" s="134"/>
      <c r="L141" s="134"/>
      <c r="M141" s="134"/>
      <c r="N141" s="134"/>
    </row>
    <row r="142" spans="1:14" ht="15.75" customHeight="1" x14ac:dyDescent="0.25">
      <c r="A142" s="131">
        <v>133</v>
      </c>
      <c r="B142" s="132"/>
      <c r="C142" s="132"/>
      <c r="D142" s="132"/>
      <c r="E142" s="132"/>
      <c r="F142" s="132"/>
      <c r="G142" s="132"/>
      <c r="H142" s="132"/>
      <c r="I142" s="132"/>
      <c r="J142" s="132"/>
      <c r="K142" s="132"/>
      <c r="L142" s="132"/>
      <c r="M142" s="132"/>
      <c r="N142" s="132"/>
    </row>
    <row r="143" spans="1:14" ht="15.75" customHeight="1" x14ac:dyDescent="0.25">
      <c r="A143" s="133">
        <v>134</v>
      </c>
      <c r="B143" s="134"/>
      <c r="C143" s="134"/>
      <c r="D143" s="134"/>
      <c r="E143" s="134"/>
      <c r="F143" s="134"/>
      <c r="G143" s="134"/>
      <c r="H143" s="134"/>
      <c r="I143" s="134"/>
      <c r="J143" s="134"/>
      <c r="K143" s="134"/>
      <c r="L143" s="134"/>
      <c r="M143" s="134"/>
      <c r="N143" s="134"/>
    </row>
    <row r="144" spans="1:14" ht="15.75" customHeight="1" x14ac:dyDescent="0.25">
      <c r="A144" s="131">
        <v>135</v>
      </c>
      <c r="B144" s="132"/>
      <c r="C144" s="132"/>
      <c r="D144" s="132"/>
      <c r="E144" s="132"/>
      <c r="F144" s="132"/>
      <c r="G144" s="132"/>
      <c r="H144" s="132"/>
      <c r="I144" s="132"/>
      <c r="J144" s="132"/>
      <c r="K144" s="132"/>
      <c r="L144" s="132"/>
      <c r="M144" s="132"/>
      <c r="N144" s="132"/>
    </row>
    <row r="145" spans="1:14" ht="15.75" customHeight="1" x14ac:dyDescent="0.25">
      <c r="A145" s="133">
        <v>136</v>
      </c>
      <c r="B145" s="134"/>
      <c r="C145" s="134"/>
      <c r="D145" s="134"/>
      <c r="E145" s="134"/>
      <c r="F145" s="134"/>
      <c r="G145" s="134"/>
      <c r="H145" s="134"/>
      <c r="I145" s="134"/>
      <c r="J145" s="134"/>
      <c r="K145" s="134"/>
      <c r="L145" s="134"/>
      <c r="M145" s="134"/>
      <c r="N145" s="134"/>
    </row>
    <row r="146" spans="1:14" ht="15.75" customHeight="1" x14ac:dyDescent="0.25">
      <c r="A146" s="131">
        <v>137</v>
      </c>
      <c r="B146" s="132"/>
      <c r="C146" s="132"/>
      <c r="D146" s="132"/>
      <c r="E146" s="132"/>
      <c r="F146" s="132"/>
      <c r="G146" s="132"/>
      <c r="H146" s="132"/>
      <c r="I146" s="132"/>
      <c r="J146" s="132"/>
      <c r="K146" s="132"/>
      <c r="L146" s="132"/>
      <c r="M146" s="132"/>
      <c r="N146" s="132"/>
    </row>
    <row r="147" spans="1:14" ht="15.75" customHeight="1" x14ac:dyDescent="0.25">
      <c r="A147" s="133">
        <v>138</v>
      </c>
      <c r="B147" s="134"/>
      <c r="C147" s="134"/>
      <c r="D147" s="134"/>
      <c r="E147" s="134"/>
      <c r="F147" s="134"/>
      <c r="G147" s="134"/>
      <c r="H147" s="134"/>
      <c r="I147" s="134"/>
      <c r="J147" s="134"/>
      <c r="K147" s="134"/>
      <c r="L147" s="134"/>
      <c r="M147" s="134"/>
      <c r="N147" s="134"/>
    </row>
    <row r="148" spans="1:14" ht="15.75" customHeight="1" x14ac:dyDescent="0.25">
      <c r="A148" s="131">
        <v>139</v>
      </c>
      <c r="B148" s="132"/>
      <c r="C148" s="132"/>
      <c r="D148" s="132"/>
      <c r="E148" s="132"/>
      <c r="F148" s="132"/>
      <c r="G148" s="132"/>
      <c r="H148" s="132"/>
      <c r="I148" s="132"/>
      <c r="J148" s="132"/>
      <c r="K148" s="132"/>
      <c r="L148" s="132"/>
      <c r="M148" s="132"/>
      <c r="N148" s="132"/>
    </row>
    <row r="149" spans="1:14" ht="15.75" customHeight="1" x14ac:dyDescent="0.25">
      <c r="A149" s="133">
        <v>140</v>
      </c>
      <c r="B149" s="134"/>
      <c r="C149" s="134"/>
      <c r="D149" s="134"/>
      <c r="E149" s="134"/>
      <c r="F149" s="134"/>
      <c r="G149" s="134"/>
      <c r="H149" s="134"/>
      <c r="I149" s="134"/>
      <c r="J149" s="134"/>
      <c r="K149" s="134"/>
      <c r="L149" s="134"/>
      <c r="M149" s="134"/>
      <c r="N149" s="134"/>
    </row>
    <row r="150" spans="1:14" ht="15.75" customHeight="1" x14ac:dyDescent="0.25">
      <c r="A150" s="131">
        <v>141</v>
      </c>
      <c r="B150" s="132"/>
      <c r="C150" s="132"/>
      <c r="D150" s="132"/>
      <c r="E150" s="132"/>
      <c r="F150" s="132"/>
      <c r="G150" s="132"/>
      <c r="H150" s="132"/>
      <c r="I150" s="132"/>
      <c r="J150" s="132"/>
      <c r="K150" s="132"/>
      <c r="L150" s="132"/>
      <c r="M150" s="132"/>
      <c r="N150" s="132"/>
    </row>
    <row r="151" spans="1:14" ht="15.75" customHeight="1" x14ac:dyDescent="0.25">
      <c r="A151" s="133">
        <v>142</v>
      </c>
      <c r="B151" s="134"/>
      <c r="C151" s="134"/>
      <c r="D151" s="134"/>
      <c r="E151" s="134"/>
      <c r="F151" s="134"/>
      <c r="G151" s="134"/>
      <c r="H151" s="134"/>
      <c r="I151" s="134"/>
      <c r="J151" s="134"/>
      <c r="K151" s="134"/>
      <c r="L151" s="134"/>
      <c r="M151" s="134"/>
      <c r="N151" s="134"/>
    </row>
    <row r="152" spans="1:14" ht="15.75" customHeight="1" x14ac:dyDescent="0.25">
      <c r="A152" s="131">
        <v>143</v>
      </c>
      <c r="B152" s="132"/>
      <c r="C152" s="132"/>
      <c r="D152" s="132"/>
      <c r="E152" s="132"/>
      <c r="F152" s="132"/>
      <c r="G152" s="132"/>
      <c r="H152" s="132"/>
      <c r="I152" s="132"/>
      <c r="J152" s="132"/>
      <c r="K152" s="132"/>
      <c r="L152" s="132"/>
      <c r="M152" s="132"/>
      <c r="N152" s="132"/>
    </row>
    <row r="153" spans="1:14" ht="15.75" customHeight="1" x14ac:dyDescent="0.25">
      <c r="A153" s="133">
        <v>144</v>
      </c>
      <c r="B153" s="134"/>
      <c r="C153" s="134"/>
      <c r="D153" s="134"/>
      <c r="E153" s="134"/>
      <c r="F153" s="134"/>
      <c r="G153" s="134"/>
      <c r="H153" s="134"/>
      <c r="I153" s="134"/>
      <c r="J153" s="134"/>
      <c r="K153" s="134"/>
      <c r="L153" s="134"/>
      <c r="M153" s="134"/>
      <c r="N153" s="134"/>
    </row>
    <row r="154" spans="1:14" ht="15.75" customHeight="1" x14ac:dyDescent="0.25">
      <c r="A154" s="131">
        <v>145</v>
      </c>
      <c r="B154" s="132"/>
      <c r="C154" s="132"/>
      <c r="D154" s="132"/>
      <c r="E154" s="132"/>
      <c r="F154" s="132"/>
      <c r="G154" s="132"/>
      <c r="H154" s="132"/>
      <c r="I154" s="132"/>
      <c r="J154" s="132"/>
      <c r="K154" s="132"/>
      <c r="L154" s="132"/>
      <c r="M154" s="132"/>
      <c r="N154" s="132"/>
    </row>
    <row r="155" spans="1:14" ht="15.75" customHeight="1" x14ac:dyDescent="0.25">
      <c r="A155" s="133">
        <v>146</v>
      </c>
      <c r="B155" s="134"/>
      <c r="C155" s="134"/>
      <c r="D155" s="134"/>
      <c r="E155" s="134"/>
      <c r="F155" s="134"/>
      <c r="G155" s="134"/>
      <c r="H155" s="134"/>
      <c r="I155" s="134"/>
      <c r="J155" s="134"/>
      <c r="K155" s="134"/>
      <c r="L155" s="134"/>
      <c r="M155" s="134"/>
      <c r="N155" s="134"/>
    </row>
    <row r="156" spans="1:14" ht="15.75" customHeight="1" x14ac:dyDescent="0.25">
      <c r="A156" s="131">
        <v>147</v>
      </c>
      <c r="B156" s="132"/>
      <c r="C156" s="132"/>
      <c r="D156" s="132"/>
      <c r="E156" s="132"/>
      <c r="F156" s="132"/>
      <c r="G156" s="132"/>
      <c r="H156" s="132"/>
      <c r="I156" s="132"/>
      <c r="J156" s="132"/>
      <c r="K156" s="132"/>
      <c r="L156" s="132"/>
      <c r="M156" s="132"/>
      <c r="N156" s="132"/>
    </row>
    <row r="157" spans="1:14" ht="15.75" customHeight="1" x14ac:dyDescent="0.25">
      <c r="A157" s="133">
        <v>148</v>
      </c>
      <c r="B157" s="134"/>
      <c r="C157" s="134"/>
      <c r="D157" s="134"/>
      <c r="E157" s="134"/>
      <c r="F157" s="134"/>
      <c r="G157" s="134"/>
      <c r="H157" s="134"/>
      <c r="I157" s="134"/>
      <c r="J157" s="134"/>
      <c r="K157" s="134"/>
      <c r="L157" s="134"/>
      <c r="M157" s="134"/>
      <c r="N157" s="134"/>
    </row>
    <row r="158" spans="1:14" ht="15.75" customHeight="1" x14ac:dyDescent="0.25">
      <c r="A158" s="131">
        <v>149</v>
      </c>
      <c r="B158" s="132"/>
      <c r="C158" s="132"/>
      <c r="D158" s="132"/>
      <c r="E158" s="132"/>
      <c r="F158" s="132"/>
      <c r="G158" s="132"/>
      <c r="H158" s="132"/>
      <c r="I158" s="132"/>
      <c r="J158" s="132"/>
      <c r="K158" s="132"/>
      <c r="L158" s="132"/>
      <c r="M158" s="132"/>
      <c r="N158" s="132"/>
    </row>
    <row r="159" spans="1:14" ht="15.75" customHeight="1" x14ac:dyDescent="0.25">
      <c r="A159" s="133">
        <v>150</v>
      </c>
      <c r="B159" s="134"/>
      <c r="C159" s="134"/>
      <c r="D159" s="134"/>
      <c r="E159" s="134"/>
      <c r="F159" s="134"/>
      <c r="G159" s="134"/>
      <c r="H159" s="134"/>
      <c r="I159" s="134"/>
      <c r="J159" s="134"/>
      <c r="K159" s="134"/>
      <c r="L159" s="134"/>
      <c r="M159" s="134"/>
      <c r="N159" s="134"/>
    </row>
    <row r="160" spans="1:14" ht="15.75" customHeight="1" x14ac:dyDescent="0.25">
      <c r="A160" s="131">
        <v>151</v>
      </c>
      <c r="B160" s="132"/>
      <c r="C160" s="132"/>
      <c r="D160" s="132"/>
      <c r="E160" s="132"/>
      <c r="F160" s="132"/>
      <c r="G160" s="132"/>
      <c r="H160" s="132"/>
      <c r="I160" s="132"/>
      <c r="J160" s="132"/>
      <c r="K160" s="132"/>
      <c r="L160" s="132"/>
      <c r="M160" s="132"/>
      <c r="N160" s="132"/>
    </row>
    <row r="161" spans="1:14" ht="15.75" customHeight="1" x14ac:dyDescent="0.25">
      <c r="A161" s="133">
        <v>152</v>
      </c>
      <c r="B161" s="134"/>
      <c r="C161" s="134"/>
      <c r="D161" s="134"/>
      <c r="E161" s="134"/>
      <c r="F161" s="134"/>
      <c r="G161" s="134"/>
      <c r="H161" s="134"/>
      <c r="I161" s="134"/>
      <c r="J161" s="134"/>
      <c r="K161" s="134"/>
      <c r="L161" s="134"/>
      <c r="M161" s="134"/>
      <c r="N161" s="134"/>
    </row>
    <row r="162" spans="1:14" ht="15.75" customHeight="1" x14ac:dyDescent="0.25">
      <c r="A162" s="131">
        <v>153</v>
      </c>
      <c r="B162" s="132"/>
      <c r="C162" s="132"/>
      <c r="D162" s="132"/>
      <c r="E162" s="132"/>
      <c r="F162" s="132"/>
      <c r="G162" s="132"/>
      <c r="H162" s="132"/>
      <c r="I162" s="132"/>
      <c r="J162" s="132"/>
      <c r="K162" s="132"/>
      <c r="L162" s="132"/>
      <c r="M162" s="132"/>
      <c r="N162" s="132"/>
    </row>
    <row r="163" spans="1:14" ht="15.75" customHeight="1" x14ac:dyDescent="0.25">
      <c r="A163" s="133">
        <v>154</v>
      </c>
      <c r="B163" s="134"/>
      <c r="C163" s="134"/>
      <c r="D163" s="134"/>
      <c r="E163" s="134"/>
      <c r="F163" s="134"/>
      <c r="G163" s="134"/>
      <c r="H163" s="134"/>
      <c r="I163" s="134"/>
      <c r="J163" s="134"/>
      <c r="K163" s="134"/>
      <c r="L163" s="134"/>
      <c r="M163" s="134"/>
      <c r="N163" s="134"/>
    </row>
    <row r="164" spans="1:14" ht="15.75" customHeight="1" x14ac:dyDescent="0.25">
      <c r="A164" s="131">
        <v>155</v>
      </c>
      <c r="B164" s="132"/>
      <c r="C164" s="132"/>
      <c r="D164" s="132"/>
      <c r="E164" s="132"/>
      <c r="F164" s="132"/>
      <c r="G164" s="132"/>
      <c r="H164" s="132"/>
      <c r="I164" s="132"/>
      <c r="J164" s="132"/>
      <c r="K164" s="132"/>
      <c r="L164" s="132"/>
      <c r="M164" s="132"/>
      <c r="N164" s="132"/>
    </row>
    <row r="165" spans="1:14" ht="15.75" customHeight="1" x14ac:dyDescent="0.25">
      <c r="A165" s="133">
        <v>156</v>
      </c>
      <c r="B165" s="134"/>
      <c r="C165" s="134"/>
      <c r="D165" s="134"/>
      <c r="E165" s="134"/>
      <c r="F165" s="134"/>
      <c r="G165" s="134"/>
      <c r="H165" s="134"/>
      <c r="I165" s="134"/>
      <c r="J165" s="134"/>
      <c r="K165" s="134"/>
      <c r="L165" s="134"/>
      <c r="M165" s="134"/>
      <c r="N165" s="134"/>
    </row>
    <row r="166" spans="1:14" ht="15.75" customHeight="1" x14ac:dyDescent="0.25">
      <c r="A166" s="131">
        <v>157</v>
      </c>
      <c r="B166" s="132"/>
      <c r="C166" s="132"/>
      <c r="D166" s="132"/>
      <c r="E166" s="132"/>
      <c r="F166" s="132"/>
      <c r="G166" s="132"/>
      <c r="H166" s="132"/>
      <c r="I166" s="132"/>
      <c r="J166" s="132"/>
      <c r="K166" s="132"/>
      <c r="L166" s="132"/>
      <c r="M166" s="132"/>
      <c r="N166" s="132"/>
    </row>
    <row r="167" spans="1:14" ht="15.75" customHeight="1" x14ac:dyDescent="0.25">
      <c r="A167" s="133">
        <v>158</v>
      </c>
      <c r="B167" s="134"/>
      <c r="C167" s="134"/>
      <c r="D167" s="134"/>
      <c r="E167" s="134"/>
      <c r="F167" s="134"/>
      <c r="G167" s="134"/>
      <c r="H167" s="134"/>
      <c r="I167" s="134"/>
      <c r="J167" s="134"/>
      <c r="K167" s="134"/>
      <c r="L167" s="134"/>
      <c r="M167" s="134"/>
      <c r="N167" s="134"/>
    </row>
    <row r="168" spans="1:14" ht="15.75" customHeight="1" x14ac:dyDescent="0.25">
      <c r="A168" s="131">
        <v>159</v>
      </c>
      <c r="B168" s="132"/>
      <c r="C168" s="132"/>
      <c r="D168" s="132"/>
      <c r="E168" s="132"/>
      <c r="F168" s="132"/>
      <c r="G168" s="132"/>
      <c r="H168" s="132"/>
      <c r="I168" s="132"/>
      <c r="J168" s="132"/>
      <c r="K168" s="132"/>
      <c r="L168" s="132"/>
      <c r="M168" s="132"/>
      <c r="N168" s="132"/>
    </row>
    <row r="169" spans="1:14" ht="15.75" customHeight="1" x14ac:dyDescent="0.25">
      <c r="A169" s="133">
        <v>160</v>
      </c>
      <c r="B169" s="134"/>
      <c r="C169" s="134"/>
      <c r="D169" s="134"/>
      <c r="E169" s="134"/>
      <c r="F169" s="134"/>
      <c r="G169" s="134"/>
      <c r="H169" s="134"/>
      <c r="I169" s="134"/>
      <c r="J169" s="134"/>
      <c r="K169" s="134"/>
      <c r="L169" s="134"/>
      <c r="M169" s="134"/>
      <c r="N169" s="134"/>
    </row>
    <row r="170" spans="1:14" ht="15.75" customHeight="1" x14ac:dyDescent="0.25">
      <c r="A170" s="131">
        <v>161</v>
      </c>
      <c r="B170" s="132"/>
      <c r="C170" s="132"/>
      <c r="D170" s="132"/>
      <c r="E170" s="132"/>
      <c r="F170" s="132"/>
      <c r="G170" s="132"/>
      <c r="H170" s="132"/>
      <c r="I170" s="132"/>
      <c r="J170" s="132"/>
      <c r="K170" s="132"/>
      <c r="L170" s="132"/>
      <c r="M170" s="132"/>
      <c r="N170" s="132"/>
    </row>
    <row r="171" spans="1:14" ht="15.75" customHeight="1" x14ac:dyDescent="0.25">
      <c r="A171" s="133">
        <v>162</v>
      </c>
      <c r="B171" s="134"/>
      <c r="C171" s="134"/>
      <c r="D171" s="134"/>
      <c r="E171" s="134"/>
      <c r="F171" s="134"/>
      <c r="G171" s="134"/>
      <c r="H171" s="134"/>
      <c r="I171" s="134"/>
      <c r="J171" s="134"/>
      <c r="K171" s="134"/>
      <c r="L171" s="134"/>
      <c r="M171" s="134"/>
      <c r="N171" s="134"/>
    </row>
    <row r="172" spans="1:14" ht="15.75" customHeight="1" x14ac:dyDescent="0.25">
      <c r="A172" s="131">
        <v>163</v>
      </c>
      <c r="B172" s="132"/>
      <c r="C172" s="132"/>
      <c r="D172" s="132"/>
      <c r="E172" s="132"/>
      <c r="F172" s="132"/>
      <c r="G172" s="132"/>
      <c r="H172" s="132"/>
      <c r="I172" s="132"/>
      <c r="J172" s="132"/>
      <c r="K172" s="132"/>
      <c r="L172" s="132"/>
      <c r="M172" s="132"/>
      <c r="N172" s="132"/>
    </row>
    <row r="173" spans="1:14" ht="15.75" customHeight="1" x14ac:dyDescent="0.25">
      <c r="A173" s="133">
        <v>164</v>
      </c>
      <c r="B173" s="134"/>
      <c r="C173" s="134"/>
      <c r="D173" s="134"/>
      <c r="E173" s="134"/>
      <c r="F173" s="134"/>
      <c r="G173" s="134"/>
      <c r="H173" s="134"/>
      <c r="I173" s="134"/>
      <c r="J173" s="134"/>
      <c r="K173" s="134"/>
      <c r="L173" s="134"/>
      <c r="M173" s="134"/>
      <c r="N173" s="134"/>
    </row>
    <row r="174" spans="1:14" ht="15.75" customHeight="1" x14ac:dyDescent="0.25">
      <c r="A174" s="131">
        <v>165</v>
      </c>
      <c r="B174" s="132"/>
      <c r="C174" s="132"/>
      <c r="D174" s="132"/>
      <c r="E174" s="132"/>
      <c r="F174" s="132"/>
      <c r="G174" s="132"/>
      <c r="H174" s="132"/>
      <c r="I174" s="132"/>
      <c r="J174" s="132"/>
      <c r="K174" s="132"/>
      <c r="L174" s="132"/>
      <c r="M174" s="132"/>
      <c r="N174" s="132"/>
    </row>
    <row r="175" spans="1:14" ht="15.75" customHeight="1" x14ac:dyDescent="0.25">
      <c r="A175" s="133">
        <v>166</v>
      </c>
      <c r="B175" s="134"/>
      <c r="C175" s="134"/>
      <c r="D175" s="134"/>
      <c r="E175" s="134"/>
      <c r="F175" s="134"/>
      <c r="G175" s="134"/>
      <c r="H175" s="134"/>
      <c r="I175" s="134"/>
      <c r="J175" s="134"/>
      <c r="K175" s="134"/>
      <c r="L175" s="134"/>
      <c r="M175" s="134"/>
      <c r="N175" s="134"/>
    </row>
    <row r="176" spans="1:14" ht="15.75" customHeight="1" x14ac:dyDescent="0.25">
      <c r="A176" s="131">
        <v>167</v>
      </c>
      <c r="B176" s="132"/>
      <c r="C176" s="132"/>
      <c r="D176" s="132"/>
      <c r="E176" s="132"/>
      <c r="F176" s="132"/>
      <c r="G176" s="132"/>
      <c r="H176" s="132"/>
      <c r="I176" s="132"/>
      <c r="J176" s="132"/>
      <c r="K176" s="132"/>
      <c r="L176" s="132"/>
      <c r="M176" s="132"/>
      <c r="N176" s="132"/>
    </row>
    <row r="177" spans="1:14" ht="15.75" customHeight="1" x14ac:dyDescent="0.25">
      <c r="A177" s="133">
        <v>168</v>
      </c>
      <c r="B177" s="134"/>
      <c r="C177" s="134"/>
      <c r="D177" s="134"/>
      <c r="E177" s="134"/>
      <c r="F177" s="134"/>
      <c r="G177" s="134"/>
      <c r="H177" s="134"/>
      <c r="I177" s="134"/>
      <c r="J177" s="134"/>
      <c r="K177" s="134"/>
      <c r="L177" s="134"/>
      <c r="M177" s="134"/>
      <c r="N177" s="134"/>
    </row>
    <row r="178" spans="1:14" ht="15.75" customHeight="1" x14ac:dyDescent="0.25">
      <c r="A178" s="131">
        <v>169</v>
      </c>
      <c r="B178" s="132"/>
      <c r="C178" s="132"/>
      <c r="D178" s="132"/>
      <c r="E178" s="132"/>
      <c r="F178" s="132"/>
      <c r="G178" s="132"/>
      <c r="H178" s="132"/>
      <c r="I178" s="132"/>
      <c r="J178" s="132"/>
      <c r="K178" s="132"/>
      <c r="L178" s="132"/>
      <c r="M178" s="132"/>
      <c r="N178" s="132"/>
    </row>
    <row r="179" spans="1:14" ht="15.75" customHeight="1" x14ac:dyDescent="0.25">
      <c r="A179" s="133">
        <v>170</v>
      </c>
      <c r="B179" s="134"/>
      <c r="C179" s="134"/>
      <c r="D179" s="134"/>
      <c r="E179" s="134"/>
      <c r="F179" s="134"/>
      <c r="G179" s="134"/>
      <c r="H179" s="134"/>
      <c r="I179" s="134"/>
      <c r="J179" s="134"/>
      <c r="K179" s="134"/>
      <c r="L179" s="134"/>
      <c r="M179" s="134"/>
      <c r="N179" s="134"/>
    </row>
    <row r="180" spans="1:14" ht="15.75" customHeight="1" x14ac:dyDescent="0.25">
      <c r="A180" s="131">
        <v>171</v>
      </c>
      <c r="B180" s="132"/>
      <c r="C180" s="132"/>
      <c r="D180" s="132"/>
      <c r="E180" s="132"/>
      <c r="F180" s="132"/>
      <c r="G180" s="132"/>
      <c r="H180" s="132"/>
      <c r="I180" s="132"/>
      <c r="J180" s="132"/>
      <c r="K180" s="132"/>
      <c r="L180" s="132"/>
      <c r="M180" s="132"/>
      <c r="N180" s="132"/>
    </row>
    <row r="181" spans="1:14" ht="15.75" customHeight="1" x14ac:dyDescent="0.25">
      <c r="A181" s="133">
        <v>172</v>
      </c>
      <c r="B181" s="134"/>
      <c r="C181" s="134"/>
      <c r="D181" s="134"/>
      <c r="E181" s="134"/>
      <c r="F181" s="134"/>
      <c r="G181" s="134"/>
      <c r="H181" s="134"/>
      <c r="I181" s="134"/>
      <c r="J181" s="134"/>
      <c r="K181" s="134"/>
      <c r="L181" s="134"/>
      <c r="M181" s="134"/>
      <c r="N181" s="134"/>
    </row>
    <row r="182" spans="1:14" ht="15.75" customHeight="1" x14ac:dyDescent="0.25">
      <c r="A182" s="131">
        <v>173</v>
      </c>
      <c r="B182" s="132"/>
      <c r="C182" s="132"/>
      <c r="D182" s="132"/>
      <c r="E182" s="132"/>
      <c r="F182" s="132"/>
      <c r="G182" s="132"/>
      <c r="H182" s="132"/>
      <c r="I182" s="132"/>
      <c r="J182" s="132"/>
      <c r="K182" s="132"/>
      <c r="L182" s="132"/>
      <c r="M182" s="132"/>
      <c r="N182" s="132"/>
    </row>
    <row r="183" spans="1:14" ht="15.75" customHeight="1" x14ac:dyDescent="0.25">
      <c r="A183" s="133">
        <v>174</v>
      </c>
      <c r="B183" s="134"/>
      <c r="C183" s="134"/>
      <c r="D183" s="134"/>
      <c r="E183" s="134"/>
      <c r="F183" s="134"/>
      <c r="G183" s="134"/>
      <c r="H183" s="134"/>
      <c r="I183" s="134"/>
      <c r="J183" s="134"/>
      <c r="K183" s="134"/>
      <c r="L183" s="134"/>
      <c r="M183" s="134"/>
      <c r="N183" s="134"/>
    </row>
    <row r="184" spans="1:14" ht="15.75" customHeight="1" x14ac:dyDescent="0.25">
      <c r="A184" s="131">
        <v>175</v>
      </c>
      <c r="B184" s="132"/>
      <c r="C184" s="132"/>
      <c r="D184" s="132"/>
      <c r="E184" s="132"/>
      <c r="F184" s="132"/>
      <c r="G184" s="132"/>
      <c r="H184" s="132"/>
      <c r="I184" s="132"/>
      <c r="J184" s="132"/>
      <c r="K184" s="132"/>
      <c r="L184" s="132"/>
      <c r="M184" s="132"/>
      <c r="N184" s="132"/>
    </row>
    <row r="185" spans="1:14" ht="15.75" customHeight="1" x14ac:dyDescent="0.25">
      <c r="A185" s="133">
        <v>176</v>
      </c>
      <c r="B185" s="134"/>
      <c r="C185" s="134"/>
      <c r="D185" s="134"/>
      <c r="E185" s="134"/>
      <c r="F185" s="134"/>
      <c r="G185" s="134"/>
      <c r="H185" s="134"/>
      <c r="I185" s="134"/>
      <c r="J185" s="134"/>
      <c r="K185" s="134"/>
      <c r="L185" s="134"/>
      <c r="M185" s="134"/>
      <c r="N185" s="134"/>
    </row>
    <row r="186" spans="1:14" ht="15.75" customHeight="1" x14ac:dyDescent="0.25">
      <c r="A186" s="131">
        <v>177</v>
      </c>
      <c r="B186" s="132"/>
      <c r="C186" s="132"/>
      <c r="D186" s="132"/>
      <c r="E186" s="132"/>
      <c r="F186" s="132"/>
      <c r="G186" s="132"/>
      <c r="H186" s="132"/>
      <c r="I186" s="132"/>
      <c r="J186" s="132"/>
      <c r="K186" s="132"/>
      <c r="L186" s="132"/>
      <c r="M186" s="132"/>
      <c r="N186" s="132"/>
    </row>
    <row r="187" spans="1:14" ht="15.75" customHeight="1" x14ac:dyDescent="0.25">
      <c r="A187" s="133">
        <v>178</v>
      </c>
      <c r="B187" s="134"/>
      <c r="C187" s="134"/>
      <c r="D187" s="134"/>
      <c r="E187" s="134"/>
      <c r="F187" s="134"/>
      <c r="G187" s="134"/>
      <c r="H187" s="134"/>
      <c r="I187" s="134"/>
      <c r="J187" s="134"/>
      <c r="K187" s="134"/>
      <c r="L187" s="134"/>
      <c r="M187" s="134"/>
      <c r="N187" s="134"/>
    </row>
    <row r="188" spans="1:14" ht="15.75" customHeight="1" x14ac:dyDescent="0.25">
      <c r="A188" s="131">
        <v>179</v>
      </c>
      <c r="B188" s="132"/>
      <c r="C188" s="132"/>
      <c r="D188" s="132"/>
      <c r="E188" s="132"/>
      <c r="F188" s="132"/>
      <c r="G188" s="132"/>
      <c r="H188" s="132"/>
      <c r="I188" s="132"/>
      <c r="J188" s="132"/>
      <c r="K188" s="132"/>
      <c r="L188" s="132"/>
      <c r="M188" s="132"/>
      <c r="N188" s="132"/>
    </row>
    <row r="189" spans="1:14" ht="15.75" customHeight="1" x14ac:dyDescent="0.25">
      <c r="A189" s="133">
        <v>180</v>
      </c>
      <c r="B189" s="134"/>
      <c r="C189" s="134"/>
      <c r="D189" s="134"/>
      <c r="E189" s="134"/>
      <c r="F189" s="134"/>
      <c r="G189" s="134"/>
      <c r="H189" s="134"/>
      <c r="I189" s="134"/>
      <c r="J189" s="134"/>
      <c r="K189" s="134"/>
      <c r="L189" s="134"/>
      <c r="M189" s="134"/>
      <c r="N189" s="134"/>
    </row>
    <row r="190" spans="1:14" ht="15.75" customHeight="1" x14ac:dyDescent="0.25">
      <c r="A190" s="131">
        <v>181</v>
      </c>
      <c r="B190" s="132"/>
      <c r="C190" s="132"/>
      <c r="D190" s="132"/>
      <c r="E190" s="132"/>
      <c r="F190" s="132"/>
      <c r="G190" s="132"/>
      <c r="H190" s="132"/>
      <c r="I190" s="132"/>
      <c r="J190" s="132"/>
      <c r="K190" s="132"/>
      <c r="L190" s="132"/>
      <c r="M190" s="132"/>
      <c r="N190" s="132"/>
    </row>
    <row r="191" spans="1:14" ht="15.75" customHeight="1" x14ac:dyDescent="0.25">
      <c r="A191" s="133">
        <v>182</v>
      </c>
      <c r="B191" s="134"/>
      <c r="C191" s="134"/>
      <c r="D191" s="134"/>
      <c r="E191" s="134"/>
      <c r="F191" s="134"/>
      <c r="G191" s="134"/>
      <c r="H191" s="134"/>
      <c r="I191" s="134"/>
      <c r="J191" s="134"/>
      <c r="K191" s="134"/>
      <c r="L191" s="134"/>
      <c r="M191" s="134"/>
      <c r="N191" s="134"/>
    </row>
    <row r="192" spans="1:14" ht="15.75" customHeight="1" x14ac:dyDescent="0.25">
      <c r="A192" s="131">
        <v>183</v>
      </c>
      <c r="B192" s="132"/>
      <c r="C192" s="132"/>
      <c r="D192" s="132"/>
      <c r="E192" s="132"/>
      <c r="F192" s="132"/>
      <c r="G192" s="132"/>
      <c r="H192" s="132"/>
      <c r="I192" s="132"/>
      <c r="J192" s="132"/>
      <c r="K192" s="132"/>
      <c r="L192" s="132"/>
      <c r="M192" s="132"/>
      <c r="N192" s="132"/>
    </row>
    <row r="193" spans="1:14" ht="15.75" customHeight="1" x14ac:dyDescent="0.25">
      <c r="A193" s="133">
        <v>184</v>
      </c>
      <c r="B193" s="134"/>
      <c r="C193" s="134"/>
      <c r="D193" s="134"/>
      <c r="E193" s="134"/>
      <c r="F193" s="134"/>
      <c r="G193" s="134"/>
      <c r="H193" s="134"/>
      <c r="I193" s="134"/>
      <c r="J193" s="134"/>
      <c r="K193" s="134"/>
      <c r="L193" s="134"/>
      <c r="M193" s="134"/>
      <c r="N193" s="134"/>
    </row>
    <row r="194" spans="1:14" ht="15.75" customHeight="1" x14ac:dyDescent="0.25">
      <c r="A194" s="131">
        <v>185</v>
      </c>
      <c r="B194" s="132"/>
      <c r="C194" s="132"/>
      <c r="D194" s="132"/>
      <c r="E194" s="132"/>
      <c r="F194" s="132"/>
      <c r="G194" s="132"/>
      <c r="H194" s="132"/>
      <c r="I194" s="132"/>
      <c r="J194" s="132"/>
      <c r="K194" s="132"/>
      <c r="L194" s="132"/>
      <c r="M194" s="132"/>
      <c r="N194" s="132"/>
    </row>
    <row r="195" spans="1:14" ht="15.75" customHeight="1" x14ac:dyDescent="0.25">
      <c r="A195" s="133">
        <v>186</v>
      </c>
      <c r="B195" s="134"/>
      <c r="C195" s="134"/>
      <c r="D195" s="134"/>
      <c r="E195" s="134"/>
      <c r="F195" s="134"/>
      <c r="G195" s="134"/>
      <c r="H195" s="134"/>
      <c r="I195" s="134"/>
      <c r="J195" s="134"/>
      <c r="K195" s="134"/>
      <c r="L195" s="134"/>
      <c r="M195" s="134"/>
      <c r="N195" s="134"/>
    </row>
    <row r="196" spans="1:14" ht="15.75" customHeight="1" x14ac:dyDescent="0.25">
      <c r="A196" s="131">
        <v>187</v>
      </c>
      <c r="B196" s="132"/>
      <c r="C196" s="132"/>
      <c r="D196" s="132"/>
      <c r="E196" s="132"/>
      <c r="F196" s="132"/>
      <c r="G196" s="132"/>
      <c r="H196" s="132"/>
      <c r="I196" s="132"/>
      <c r="J196" s="132"/>
      <c r="K196" s="132"/>
      <c r="L196" s="132"/>
      <c r="M196" s="132"/>
      <c r="N196" s="132"/>
    </row>
    <row r="197" spans="1:14" ht="15.75" customHeight="1" x14ac:dyDescent="0.25">
      <c r="A197" s="133">
        <v>188</v>
      </c>
      <c r="B197" s="134"/>
      <c r="C197" s="134"/>
      <c r="D197" s="134"/>
      <c r="E197" s="134"/>
      <c r="F197" s="134"/>
      <c r="G197" s="134"/>
      <c r="H197" s="134"/>
      <c r="I197" s="134"/>
      <c r="J197" s="134"/>
      <c r="K197" s="134"/>
      <c r="L197" s="134"/>
      <c r="M197" s="134"/>
      <c r="N197" s="134"/>
    </row>
    <row r="198" spans="1:14" ht="15.75" customHeight="1" x14ac:dyDescent="0.25">
      <c r="A198" s="131">
        <v>189</v>
      </c>
      <c r="B198" s="132"/>
      <c r="C198" s="132"/>
      <c r="D198" s="132"/>
      <c r="E198" s="132"/>
      <c r="F198" s="132"/>
      <c r="G198" s="132"/>
      <c r="H198" s="132"/>
      <c r="I198" s="132"/>
      <c r="J198" s="132"/>
      <c r="K198" s="132"/>
      <c r="L198" s="132"/>
      <c r="M198" s="132"/>
      <c r="N198" s="132"/>
    </row>
    <row r="199" spans="1:14" ht="15.75" customHeight="1" x14ac:dyDescent="0.25">
      <c r="A199" s="133">
        <v>190</v>
      </c>
      <c r="B199" s="134"/>
      <c r="C199" s="134"/>
      <c r="D199" s="134"/>
      <c r="E199" s="134"/>
      <c r="F199" s="134"/>
      <c r="G199" s="134"/>
      <c r="H199" s="134"/>
      <c r="I199" s="134"/>
      <c r="J199" s="134"/>
      <c r="K199" s="134"/>
      <c r="L199" s="134"/>
      <c r="M199" s="134"/>
      <c r="N199" s="134"/>
    </row>
    <row r="200" spans="1:14" ht="15.75" customHeight="1" x14ac:dyDescent="0.25">
      <c r="A200" s="131">
        <v>191</v>
      </c>
      <c r="B200" s="132"/>
      <c r="C200" s="132"/>
      <c r="D200" s="132"/>
      <c r="E200" s="132"/>
      <c r="F200" s="132"/>
      <c r="G200" s="132"/>
      <c r="H200" s="132"/>
      <c r="I200" s="132"/>
      <c r="J200" s="132"/>
      <c r="K200" s="132"/>
      <c r="L200" s="132"/>
      <c r="M200" s="132"/>
      <c r="N200" s="132"/>
    </row>
    <row r="201" spans="1:14" ht="15.75" customHeight="1" x14ac:dyDescent="0.25">
      <c r="A201" s="133">
        <v>192</v>
      </c>
      <c r="B201" s="134"/>
      <c r="C201" s="134"/>
      <c r="D201" s="134"/>
      <c r="E201" s="134"/>
      <c r="F201" s="134"/>
      <c r="G201" s="134"/>
      <c r="H201" s="134"/>
      <c r="I201" s="134"/>
      <c r="J201" s="134"/>
      <c r="K201" s="134"/>
      <c r="L201" s="134"/>
      <c r="M201" s="134"/>
      <c r="N201" s="134"/>
    </row>
    <row r="202" spans="1:14" ht="15.75" customHeight="1" x14ac:dyDescent="0.25">
      <c r="A202" s="131">
        <v>193</v>
      </c>
      <c r="B202" s="132"/>
      <c r="C202" s="132"/>
      <c r="D202" s="132"/>
      <c r="E202" s="132"/>
      <c r="F202" s="132"/>
      <c r="G202" s="132"/>
      <c r="H202" s="132"/>
      <c r="I202" s="132"/>
      <c r="J202" s="132"/>
      <c r="K202" s="132"/>
      <c r="L202" s="132"/>
      <c r="M202" s="132"/>
      <c r="N202" s="132"/>
    </row>
    <row r="203" spans="1:14" ht="15.75" customHeight="1" x14ac:dyDescent="0.25">
      <c r="A203" s="133">
        <v>194</v>
      </c>
      <c r="B203" s="134"/>
      <c r="C203" s="134"/>
      <c r="D203" s="134"/>
      <c r="E203" s="134"/>
      <c r="F203" s="134"/>
      <c r="G203" s="134"/>
      <c r="H203" s="134"/>
      <c r="I203" s="134"/>
      <c r="J203" s="134"/>
      <c r="K203" s="134"/>
      <c r="L203" s="134"/>
      <c r="M203" s="134"/>
      <c r="N203" s="134"/>
    </row>
    <row r="204" spans="1:14" ht="15.75" customHeight="1" x14ac:dyDescent="0.25">
      <c r="A204" s="131">
        <v>195</v>
      </c>
      <c r="B204" s="132"/>
      <c r="C204" s="132"/>
      <c r="D204" s="132"/>
      <c r="E204" s="132"/>
      <c r="F204" s="132"/>
      <c r="G204" s="132"/>
      <c r="H204" s="132"/>
      <c r="I204" s="132"/>
      <c r="J204" s="132"/>
      <c r="K204" s="132"/>
      <c r="L204" s="132"/>
      <c r="M204" s="132"/>
      <c r="N204" s="132"/>
    </row>
    <row r="205" spans="1:14" ht="15.75" customHeight="1" x14ac:dyDescent="0.25">
      <c r="A205" s="133">
        <v>196</v>
      </c>
      <c r="B205" s="134"/>
      <c r="C205" s="134"/>
      <c r="D205" s="134"/>
      <c r="E205" s="134"/>
      <c r="F205" s="134"/>
      <c r="G205" s="134"/>
      <c r="H205" s="134"/>
      <c r="I205" s="134"/>
      <c r="J205" s="134"/>
      <c r="K205" s="134"/>
      <c r="L205" s="134"/>
      <c r="M205" s="134"/>
      <c r="N205" s="134"/>
    </row>
    <row r="206" spans="1:14" ht="15.75" customHeight="1" x14ac:dyDescent="0.25">
      <c r="A206" s="131">
        <v>197</v>
      </c>
      <c r="B206" s="132"/>
      <c r="C206" s="132"/>
      <c r="D206" s="132"/>
      <c r="E206" s="132"/>
      <c r="F206" s="132"/>
      <c r="G206" s="132"/>
      <c r="H206" s="132"/>
      <c r="I206" s="132"/>
      <c r="J206" s="132"/>
      <c r="K206" s="132"/>
      <c r="L206" s="132"/>
      <c r="M206" s="132"/>
      <c r="N206" s="132"/>
    </row>
    <row r="207" spans="1:14" ht="15.75" customHeight="1" x14ac:dyDescent="0.25">
      <c r="A207" s="133">
        <v>198</v>
      </c>
      <c r="B207" s="134"/>
      <c r="C207" s="134"/>
      <c r="D207" s="134"/>
      <c r="E207" s="134"/>
      <c r="F207" s="134"/>
      <c r="G207" s="134"/>
      <c r="H207" s="134"/>
      <c r="I207" s="134"/>
      <c r="J207" s="134"/>
      <c r="K207" s="134"/>
      <c r="L207" s="134"/>
      <c r="M207" s="134"/>
      <c r="N207" s="134"/>
    </row>
    <row r="208" spans="1:14" ht="15.75" customHeight="1" x14ac:dyDescent="0.25">
      <c r="A208" s="131">
        <v>199</v>
      </c>
      <c r="B208" s="132"/>
      <c r="C208" s="132"/>
      <c r="D208" s="132"/>
      <c r="E208" s="132"/>
      <c r="F208" s="132"/>
      <c r="G208" s="132"/>
      <c r="H208" s="132"/>
      <c r="I208" s="132"/>
      <c r="J208" s="132"/>
      <c r="K208" s="132"/>
      <c r="L208" s="132"/>
      <c r="M208" s="132"/>
      <c r="N208" s="132"/>
    </row>
    <row r="209" spans="1:14" ht="15.75" customHeight="1" x14ac:dyDescent="0.25">
      <c r="A209" s="133">
        <v>200</v>
      </c>
      <c r="B209" s="134"/>
      <c r="C209" s="134"/>
      <c r="D209" s="134"/>
      <c r="E209" s="134"/>
      <c r="F209" s="134"/>
      <c r="G209" s="134"/>
      <c r="H209" s="134"/>
      <c r="I209" s="134"/>
      <c r="J209" s="134"/>
      <c r="K209" s="134"/>
      <c r="L209" s="134"/>
      <c r="M209" s="134"/>
      <c r="N209" s="134"/>
    </row>
    <row r="210" spans="1:14" ht="15.75" customHeight="1" x14ac:dyDescent="0.25">
      <c r="A210" s="131">
        <v>201</v>
      </c>
      <c r="B210" s="132"/>
      <c r="C210" s="132"/>
      <c r="D210" s="132"/>
      <c r="E210" s="132"/>
      <c r="F210" s="132"/>
      <c r="G210" s="132"/>
      <c r="H210" s="132"/>
      <c r="I210" s="132"/>
      <c r="J210" s="132"/>
      <c r="K210" s="132"/>
      <c r="L210" s="132"/>
      <c r="M210" s="132"/>
      <c r="N210" s="132"/>
    </row>
    <row r="211" spans="1:14" ht="15.75" customHeight="1" x14ac:dyDescent="0.25">
      <c r="A211" s="133">
        <v>202</v>
      </c>
      <c r="B211" s="134"/>
      <c r="C211" s="134"/>
      <c r="D211" s="134"/>
      <c r="E211" s="134"/>
      <c r="F211" s="134"/>
      <c r="G211" s="134"/>
      <c r="H211" s="134"/>
      <c r="I211" s="134"/>
      <c r="J211" s="134"/>
      <c r="K211" s="134"/>
      <c r="L211" s="134"/>
      <c r="M211" s="134"/>
      <c r="N211" s="134"/>
    </row>
    <row r="212" spans="1:14" ht="15.75" customHeight="1" x14ac:dyDescent="0.25">
      <c r="A212" s="131">
        <v>203</v>
      </c>
      <c r="B212" s="132"/>
      <c r="C212" s="132"/>
      <c r="D212" s="132"/>
      <c r="E212" s="132"/>
      <c r="F212" s="132"/>
      <c r="G212" s="132"/>
      <c r="H212" s="132"/>
      <c r="I212" s="132"/>
      <c r="J212" s="132"/>
      <c r="K212" s="132"/>
      <c r="L212" s="132"/>
      <c r="M212" s="132"/>
      <c r="N212" s="132"/>
    </row>
    <row r="213" spans="1:14" ht="15.75" customHeight="1" x14ac:dyDescent="0.25">
      <c r="A213" s="133">
        <v>204</v>
      </c>
      <c r="B213" s="134"/>
      <c r="C213" s="134"/>
      <c r="D213" s="134"/>
      <c r="E213" s="134"/>
      <c r="F213" s="134"/>
      <c r="G213" s="134"/>
      <c r="H213" s="134"/>
      <c r="I213" s="134"/>
      <c r="J213" s="134"/>
      <c r="K213" s="134"/>
      <c r="L213" s="134"/>
      <c r="M213" s="134"/>
      <c r="N213" s="134"/>
    </row>
    <row r="214" spans="1:14" ht="15.75" customHeight="1" x14ac:dyDescent="0.25">
      <c r="A214" s="131">
        <v>205</v>
      </c>
      <c r="B214" s="132"/>
      <c r="C214" s="132"/>
      <c r="D214" s="132"/>
      <c r="E214" s="132"/>
      <c r="F214" s="132"/>
      <c r="G214" s="132"/>
      <c r="H214" s="132"/>
      <c r="I214" s="132"/>
      <c r="J214" s="132"/>
      <c r="K214" s="132"/>
      <c r="L214" s="132"/>
      <c r="M214" s="132"/>
      <c r="N214" s="132"/>
    </row>
    <row r="215" spans="1:14" ht="15.75" customHeight="1" x14ac:dyDescent="0.25">
      <c r="A215" s="133">
        <v>206</v>
      </c>
      <c r="B215" s="134"/>
      <c r="C215" s="134"/>
      <c r="D215" s="134"/>
      <c r="E215" s="134"/>
      <c r="F215" s="134"/>
      <c r="G215" s="134"/>
      <c r="H215" s="134"/>
      <c r="I215" s="134"/>
      <c r="J215" s="134"/>
      <c r="K215" s="134"/>
      <c r="L215" s="134"/>
      <c r="M215" s="134"/>
      <c r="N215" s="134"/>
    </row>
    <row r="216" spans="1:14" ht="15.75" customHeight="1" x14ac:dyDescent="0.25">
      <c r="A216" s="131">
        <v>207</v>
      </c>
      <c r="B216" s="132"/>
      <c r="C216" s="132"/>
      <c r="D216" s="132"/>
      <c r="E216" s="132"/>
      <c r="F216" s="132"/>
      <c r="G216" s="132"/>
      <c r="H216" s="132"/>
      <c r="I216" s="132"/>
      <c r="J216" s="132"/>
      <c r="K216" s="132"/>
      <c r="L216" s="132"/>
      <c r="M216" s="132"/>
      <c r="N216" s="132"/>
    </row>
    <row r="217" spans="1:14" ht="15.75" customHeight="1" x14ac:dyDescent="0.25">
      <c r="A217" s="133">
        <v>208</v>
      </c>
      <c r="B217" s="134"/>
      <c r="C217" s="134"/>
      <c r="D217" s="134"/>
      <c r="E217" s="134"/>
      <c r="F217" s="134"/>
      <c r="G217" s="134"/>
      <c r="H217" s="134"/>
      <c r="I217" s="134"/>
      <c r="J217" s="134"/>
      <c r="K217" s="134"/>
      <c r="L217" s="134"/>
      <c r="M217" s="134"/>
      <c r="N217" s="134"/>
    </row>
    <row r="218" spans="1:14" ht="15.75" customHeight="1" x14ac:dyDescent="0.25">
      <c r="A218" s="131">
        <v>209</v>
      </c>
      <c r="B218" s="132"/>
      <c r="C218" s="132"/>
      <c r="D218" s="132"/>
      <c r="E218" s="132"/>
      <c r="F218" s="132"/>
      <c r="G218" s="132"/>
      <c r="H218" s="132"/>
      <c r="I218" s="132"/>
      <c r="J218" s="132"/>
      <c r="K218" s="132"/>
      <c r="L218" s="132"/>
      <c r="M218" s="132"/>
      <c r="N218" s="132"/>
    </row>
    <row r="219" spans="1:14" ht="15.75" customHeight="1" x14ac:dyDescent="0.25">
      <c r="A219" s="133">
        <v>210</v>
      </c>
      <c r="B219" s="134"/>
      <c r="C219" s="134"/>
      <c r="D219" s="134"/>
      <c r="E219" s="134"/>
      <c r="F219" s="134"/>
      <c r="G219" s="134"/>
      <c r="H219" s="134"/>
      <c r="I219" s="134"/>
      <c r="J219" s="134"/>
      <c r="K219" s="134"/>
      <c r="L219" s="134"/>
      <c r="M219" s="134"/>
      <c r="N219" s="134"/>
    </row>
    <row r="220" spans="1:14" ht="15.75" customHeight="1" x14ac:dyDescent="0.25">
      <c r="A220" s="131">
        <v>211</v>
      </c>
      <c r="B220" s="132"/>
      <c r="C220" s="132"/>
      <c r="D220" s="132"/>
      <c r="E220" s="132"/>
      <c r="F220" s="132"/>
      <c r="G220" s="132"/>
      <c r="H220" s="132"/>
      <c r="I220" s="132"/>
      <c r="J220" s="132"/>
      <c r="K220" s="132"/>
      <c r="L220" s="132"/>
      <c r="M220" s="132"/>
      <c r="N220" s="132"/>
    </row>
    <row r="221" spans="1:14" ht="15.75" customHeight="1" x14ac:dyDescent="0.25">
      <c r="A221" s="133">
        <v>212</v>
      </c>
      <c r="B221" s="134"/>
      <c r="C221" s="134"/>
      <c r="D221" s="134"/>
      <c r="E221" s="134"/>
      <c r="F221" s="134"/>
      <c r="G221" s="134"/>
      <c r="H221" s="134"/>
      <c r="I221" s="134"/>
      <c r="J221" s="134"/>
      <c r="K221" s="134"/>
      <c r="L221" s="134"/>
      <c r="M221" s="134"/>
      <c r="N221" s="134"/>
    </row>
    <row r="222" spans="1:14" ht="15.75" customHeight="1" x14ac:dyDescent="0.25">
      <c r="A222" s="131">
        <v>213</v>
      </c>
      <c r="B222" s="132"/>
      <c r="C222" s="132"/>
      <c r="D222" s="132"/>
      <c r="E222" s="132"/>
      <c r="F222" s="132"/>
      <c r="G222" s="132"/>
      <c r="H222" s="132"/>
      <c r="I222" s="132"/>
      <c r="J222" s="132"/>
      <c r="K222" s="132"/>
      <c r="L222" s="132"/>
      <c r="M222" s="132"/>
      <c r="N222" s="132"/>
    </row>
    <row r="223" spans="1:14" ht="15.75" customHeight="1" x14ac:dyDescent="0.25">
      <c r="A223" s="133">
        <v>214</v>
      </c>
      <c r="B223" s="134"/>
      <c r="C223" s="134"/>
      <c r="D223" s="134"/>
      <c r="E223" s="134"/>
      <c r="F223" s="134"/>
      <c r="G223" s="134"/>
      <c r="H223" s="134"/>
      <c r="I223" s="134"/>
      <c r="J223" s="134"/>
      <c r="K223" s="134"/>
      <c r="L223" s="134"/>
      <c r="M223" s="134"/>
      <c r="N223" s="134"/>
    </row>
    <row r="224" spans="1:14" ht="15.75" customHeight="1" x14ac:dyDescent="0.25">
      <c r="A224" s="131">
        <v>215</v>
      </c>
      <c r="B224" s="132"/>
      <c r="C224" s="132"/>
      <c r="D224" s="132"/>
      <c r="E224" s="132"/>
      <c r="F224" s="132"/>
      <c r="G224" s="132"/>
      <c r="H224" s="132"/>
      <c r="I224" s="132"/>
      <c r="J224" s="132"/>
      <c r="K224" s="132"/>
      <c r="L224" s="132"/>
      <c r="M224" s="132"/>
      <c r="N224" s="132"/>
    </row>
    <row r="225" spans="1:14" ht="15.75" customHeight="1" x14ac:dyDescent="0.25">
      <c r="A225" s="133">
        <v>216</v>
      </c>
      <c r="B225" s="134"/>
      <c r="C225" s="134"/>
      <c r="D225" s="134"/>
      <c r="E225" s="134"/>
      <c r="F225" s="134"/>
      <c r="G225" s="134"/>
      <c r="H225" s="134"/>
      <c r="I225" s="134"/>
      <c r="J225" s="134"/>
      <c r="K225" s="134"/>
      <c r="L225" s="134"/>
      <c r="M225" s="134"/>
      <c r="N225" s="134"/>
    </row>
    <row r="226" spans="1:14" ht="15.75" customHeight="1" x14ac:dyDescent="0.25">
      <c r="A226" s="131">
        <v>217</v>
      </c>
      <c r="B226" s="132"/>
      <c r="C226" s="132"/>
      <c r="D226" s="132"/>
      <c r="E226" s="132"/>
      <c r="F226" s="132"/>
      <c r="G226" s="132"/>
      <c r="H226" s="132"/>
      <c r="I226" s="132"/>
      <c r="J226" s="132"/>
      <c r="K226" s="132"/>
      <c r="L226" s="132"/>
      <c r="M226" s="132"/>
      <c r="N226" s="132"/>
    </row>
    <row r="227" spans="1:14" ht="15.75" customHeight="1" x14ac:dyDescent="0.25">
      <c r="A227" s="133">
        <v>218</v>
      </c>
      <c r="B227" s="134"/>
      <c r="C227" s="134"/>
      <c r="D227" s="134"/>
      <c r="E227" s="134"/>
      <c r="F227" s="134"/>
      <c r="G227" s="134"/>
      <c r="H227" s="134"/>
      <c r="I227" s="134"/>
      <c r="J227" s="134"/>
      <c r="K227" s="134"/>
      <c r="L227" s="134"/>
      <c r="M227" s="134"/>
      <c r="N227" s="134"/>
    </row>
    <row r="228" spans="1:14" ht="15.75" customHeight="1" x14ac:dyDescent="0.25">
      <c r="A228" s="131">
        <v>219</v>
      </c>
      <c r="B228" s="132"/>
      <c r="C228" s="132"/>
      <c r="D228" s="132"/>
      <c r="E228" s="132"/>
      <c r="F228" s="132"/>
      <c r="G228" s="132"/>
      <c r="H228" s="132"/>
      <c r="I228" s="132"/>
      <c r="J228" s="132"/>
      <c r="K228" s="132"/>
      <c r="L228" s="132"/>
      <c r="M228" s="132"/>
      <c r="N228" s="132"/>
    </row>
    <row r="229" spans="1:14" ht="15.75" customHeight="1" x14ac:dyDescent="0.25">
      <c r="A229" s="133">
        <v>220</v>
      </c>
      <c r="B229" s="134"/>
      <c r="C229" s="134"/>
      <c r="D229" s="134"/>
      <c r="E229" s="134"/>
      <c r="F229" s="134"/>
      <c r="G229" s="134"/>
      <c r="H229" s="134"/>
      <c r="I229" s="134"/>
      <c r="J229" s="134"/>
      <c r="K229" s="134"/>
      <c r="L229" s="134"/>
      <c r="M229" s="134"/>
      <c r="N229" s="134"/>
    </row>
    <row r="230" spans="1:14" ht="15.75" customHeight="1" x14ac:dyDescent="0.25">
      <c r="A230" s="131">
        <v>221</v>
      </c>
      <c r="B230" s="132"/>
      <c r="C230" s="132"/>
      <c r="D230" s="132"/>
      <c r="E230" s="132"/>
      <c r="F230" s="132"/>
      <c r="G230" s="132"/>
      <c r="H230" s="132"/>
      <c r="I230" s="132"/>
      <c r="J230" s="132"/>
      <c r="K230" s="132"/>
      <c r="L230" s="132"/>
      <c r="M230" s="132"/>
      <c r="N230" s="132"/>
    </row>
    <row r="231" spans="1:14" ht="15.75" customHeight="1" x14ac:dyDescent="0.25">
      <c r="A231" s="133">
        <v>222</v>
      </c>
      <c r="B231" s="134"/>
      <c r="C231" s="134"/>
      <c r="D231" s="134"/>
      <c r="E231" s="134"/>
      <c r="F231" s="134"/>
      <c r="G231" s="134"/>
      <c r="H231" s="134"/>
      <c r="I231" s="134"/>
      <c r="J231" s="134"/>
      <c r="K231" s="134"/>
      <c r="L231" s="134"/>
      <c r="M231" s="134"/>
      <c r="N231" s="134"/>
    </row>
    <row r="232" spans="1:14" ht="15.75" customHeight="1" x14ac:dyDescent="0.25">
      <c r="A232" s="131">
        <v>223</v>
      </c>
      <c r="B232" s="132"/>
      <c r="C232" s="132"/>
      <c r="D232" s="132"/>
      <c r="E232" s="132"/>
      <c r="F232" s="132"/>
      <c r="G232" s="132"/>
      <c r="H232" s="132"/>
      <c r="I232" s="132"/>
      <c r="J232" s="132"/>
      <c r="K232" s="132"/>
      <c r="L232" s="132"/>
      <c r="M232" s="132"/>
      <c r="N232" s="132"/>
    </row>
    <row r="233" spans="1:14" ht="15.75" customHeight="1" x14ac:dyDescent="0.25">
      <c r="A233" s="133">
        <v>224</v>
      </c>
      <c r="B233" s="134"/>
      <c r="C233" s="134"/>
      <c r="D233" s="134"/>
      <c r="E233" s="134"/>
      <c r="F233" s="134"/>
      <c r="G233" s="134"/>
      <c r="H233" s="134"/>
      <c r="I233" s="134"/>
      <c r="J233" s="134"/>
      <c r="K233" s="134"/>
      <c r="L233" s="134"/>
      <c r="M233" s="134"/>
      <c r="N233" s="134"/>
    </row>
    <row r="234" spans="1:14" ht="15.75" customHeight="1" x14ac:dyDescent="0.25">
      <c r="A234" s="131">
        <v>225</v>
      </c>
      <c r="B234" s="132"/>
      <c r="C234" s="132"/>
      <c r="D234" s="132"/>
      <c r="E234" s="132"/>
      <c r="F234" s="132"/>
      <c r="G234" s="132"/>
      <c r="H234" s="132"/>
      <c r="I234" s="132"/>
      <c r="J234" s="132"/>
      <c r="K234" s="132"/>
      <c r="L234" s="132"/>
      <c r="M234" s="132"/>
      <c r="N234" s="132"/>
    </row>
    <row r="235" spans="1:14" ht="15.75" customHeight="1" x14ac:dyDescent="0.25">
      <c r="A235" s="133">
        <v>226</v>
      </c>
      <c r="B235" s="134"/>
      <c r="C235" s="134"/>
      <c r="D235" s="134"/>
      <c r="E235" s="134"/>
      <c r="F235" s="134"/>
      <c r="G235" s="134"/>
      <c r="H235" s="134"/>
      <c r="I235" s="134"/>
      <c r="J235" s="134"/>
      <c r="K235" s="134"/>
      <c r="L235" s="134"/>
      <c r="M235" s="134"/>
      <c r="N235" s="134"/>
    </row>
    <row r="236" spans="1:14" ht="15.75" customHeight="1" x14ac:dyDescent="0.25">
      <c r="A236" s="131">
        <v>227</v>
      </c>
      <c r="B236" s="132"/>
      <c r="C236" s="132"/>
      <c r="D236" s="132"/>
      <c r="E236" s="132"/>
      <c r="F236" s="132"/>
      <c r="G236" s="132"/>
      <c r="H236" s="132"/>
      <c r="I236" s="132"/>
      <c r="J236" s="132"/>
      <c r="K236" s="132"/>
      <c r="L236" s="132"/>
      <c r="M236" s="132"/>
      <c r="N236" s="132"/>
    </row>
    <row r="237" spans="1:14" ht="15.75" customHeight="1" x14ac:dyDescent="0.25">
      <c r="A237" s="133">
        <v>228</v>
      </c>
      <c r="B237" s="134"/>
      <c r="C237" s="134"/>
      <c r="D237" s="134"/>
      <c r="E237" s="134"/>
      <c r="F237" s="134"/>
      <c r="G237" s="134"/>
      <c r="H237" s="134"/>
      <c r="I237" s="134"/>
      <c r="J237" s="134"/>
      <c r="K237" s="134"/>
      <c r="L237" s="134"/>
      <c r="M237" s="134"/>
      <c r="N237" s="134"/>
    </row>
    <row r="238" spans="1:14" ht="15.75" customHeight="1" x14ac:dyDescent="0.25">
      <c r="A238" s="131">
        <v>229</v>
      </c>
      <c r="B238" s="132"/>
      <c r="C238" s="132"/>
      <c r="D238" s="132"/>
      <c r="E238" s="132"/>
      <c r="F238" s="132"/>
      <c r="G238" s="132"/>
      <c r="H238" s="132"/>
      <c r="I238" s="132"/>
      <c r="J238" s="132"/>
      <c r="K238" s="132"/>
      <c r="L238" s="132"/>
      <c r="M238" s="132"/>
      <c r="N238" s="132"/>
    </row>
    <row r="239" spans="1:14" ht="15.75" customHeight="1" x14ac:dyDescent="0.25">
      <c r="A239" s="133">
        <v>230</v>
      </c>
      <c r="B239" s="134"/>
      <c r="C239" s="134"/>
      <c r="D239" s="134"/>
      <c r="E239" s="134"/>
      <c r="F239" s="134"/>
      <c r="G239" s="134"/>
      <c r="H239" s="134"/>
      <c r="I239" s="134"/>
      <c r="J239" s="134"/>
      <c r="K239" s="134"/>
      <c r="L239" s="134"/>
      <c r="M239" s="134"/>
      <c r="N239" s="134"/>
    </row>
    <row r="240" spans="1:14" ht="15.75" customHeight="1" x14ac:dyDescent="0.25">
      <c r="A240" s="131">
        <v>231</v>
      </c>
      <c r="B240" s="132"/>
      <c r="C240" s="132"/>
      <c r="D240" s="132"/>
      <c r="E240" s="132"/>
      <c r="F240" s="132"/>
      <c r="G240" s="132"/>
      <c r="H240" s="132"/>
      <c r="I240" s="132"/>
      <c r="J240" s="132"/>
      <c r="K240" s="132"/>
      <c r="L240" s="132"/>
      <c r="M240" s="132"/>
      <c r="N240" s="132"/>
    </row>
    <row r="241" spans="1:14" ht="15.75" customHeight="1" x14ac:dyDescent="0.25">
      <c r="A241" s="133">
        <v>232</v>
      </c>
      <c r="B241" s="134"/>
      <c r="C241" s="134"/>
      <c r="D241" s="134"/>
      <c r="E241" s="134"/>
      <c r="F241" s="134"/>
      <c r="G241" s="134"/>
      <c r="H241" s="134"/>
      <c r="I241" s="134"/>
      <c r="J241" s="134"/>
      <c r="K241" s="134"/>
      <c r="L241" s="134"/>
      <c r="M241" s="134"/>
      <c r="N241" s="134"/>
    </row>
    <row r="242" spans="1:14" ht="15.75" customHeight="1" x14ac:dyDescent="0.25">
      <c r="A242" s="131">
        <v>233</v>
      </c>
      <c r="B242" s="132"/>
      <c r="C242" s="132"/>
      <c r="D242" s="132"/>
      <c r="E242" s="132"/>
      <c r="F242" s="132"/>
      <c r="G242" s="132"/>
      <c r="H242" s="132"/>
      <c r="I242" s="132"/>
      <c r="J242" s="132"/>
      <c r="K242" s="132"/>
      <c r="L242" s="132"/>
      <c r="M242" s="132"/>
      <c r="N242" s="132"/>
    </row>
    <row r="243" spans="1:14" ht="15.75" customHeight="1" x14ac:dyDescent="0.25">
      <c r="A243" s="133">
        <v>234</v>
      </c>
      <c r="B243" s="134"/>
      <c r="C243" s="134"/>
      <c r="D243" s="134"/>
      <c r="E243" s="134"/>
      <c r="F243" s="134"/>
      <c r="G243" s="134"/>
      <c r="H243" s="134"/>
      <c r="I243" s="134"/>
      <c r="J243" s="134"/>
      <c r="K243" s="134"/>
      <c r="L243" s="134"/>
      <c r="M243" s="134"/>
      <c r="N243" s="134"/>
    </row>
    <row r="244" spans="1:14" ht="15.75" customHeight="1" x14ac:dyDescent="0.25">
      <c r="A244" s="131">
        <v>235</v>
      </c>
      <c r="B244" s="132"/>
      <c r="C244" s="132"/>
      <c r="D244" s="132"/>
      <c r="E244" s="132"/>
      <c r="F244" s="132"/>
      <c r="G244" s="132"/>
      <c r="H244" s="132"/>
      <c r="I244" s="132"/>
      <c r="J244" s="132"/>
      <c r="K244" s="132"/>
      <c r="L244" s="132"/>
      <c r="M244" s="132"/>
      <c r="N244" s="132"/>
    </row>
    <row r="245" spans="1:14" ht="15.75" customHeight="1" x14ac:dyDescent="0.25">
      <c r="A245" s="133">
        <v>236</v>
      </c>
      <c r="B245" s="134"/>
      <c r="C245" s="134"/>
      <c r="D245" s="134"/>
      <c r="E245" s="134"/>
      <c r="F245" s="134"/>
      <c r="G245" s="134"/>
      <c r="H245" s="134"/>
      <c r="I245" s="134"/>
      <c r="J245" s="134"/>
      <c r="K245" s="134"/>
      <c r="L245" s="134"/>
      <c r="M245" s="134"/>
      <c r="N245" s="134"/>
    </row>
    <row r="246" spans="1:14" ht="15.75" customHeight="1" x14ac:dyDescent="0.25">
      <c r="A246" s="131">
        <v>237</v>
      </c>
      <c r="B246" s="132"/>
      <c r="C246" s="132"/>
      <c r="D246" s="132"/>
      <c r="E246" s="132"/>
      <c r="F246" s="132"/>
      <c r="G246" s="132"/>
      <c r="H246" s="132"/>
      <c r="I246" s="132"/>
      <c r="J246" s="132"/>
      <c r="K246" s="132"/>
      <c r="L246" s="132"/>
      <c r="M246" s="132"/>
      <c r="N246" s="132"/>
    </row>
    <row r="247" spans="1:14" ht="15.75" customHeight="1" x14ac:dyDescent="0.25">
      <c r="A247" s="133">
        <v>238</v>
      </c>
      <c r="B247" s="134"/>
      <c r="C247" s="134"/>
      <c r="D247" s="134"/>
      <c r="E247" s="134"/>
      <c r="F247" s="134"/>
      <c r="G247" s="134"/>
      <c r="H247" s="134"/>
      <c r="I247" s="134"/>
      <c r="J247" s="134"/>
      <c r="K247" s="134"/>
      <c r="L247" s="134"/>
      <c r="M247" s="134"/>
      <c r="N247" s="134"/>
    </row>
    <row r="248" spans="1:14" ht="15.75" customHeight="1" x14ac:dyDescent="0.25">
      <c r="A248" s="131">
        <v>239</v>
      </c>
      <c r="B248" s="132"/>
      <c r="C248" s="132"/>
      <c r="D248" s="132"/>
      <c r="E248" s="132"/>
      <c r="F248" s="132"/>
      <c r="G248" s="132"/>
      <c r="H248" s="132"/>
      <c r="I248" s="132"/>
      <c r="J248" s="132"/>
      <c r="K248" s="132"/>
      <c r="L248" s="132"/>
      <c r="M248" s="132"/>
      <c r="N248" s="132"/>
    </row>
    <row r="249" spans="1:14" ht="15.75" customHeight="1" x14ac:dyDescent="0.25">
      <c r="A249" s="133">
        <v>240</v>
      </c>
      <c r="B249" s="134"/>
      <c r="C249" s="134"/>
      <c r="D249" s="134"/>
      <c r="E249" s="134"/>
      <c r="F249" s="134"/>
      <c r="G249" s="134"/>
      <c r="H249" s="134"/>
      <c r="I249" s="134"/>
      <c r="J249" s="134"/>
      <c r="K249" s="134"/>
      <c r="L249" s="134"/>
      <c r="M249" s="134"/>
      <c r="N249" s="134"/>
    </row>
    <row r="250" spans="1:14" ht="15.75" customHeight="1" x14ac:dyDescent="0.25">
      <c r="A250" s="131">
        <v>241</v>
      </c>
      <c r="B250" s="132"/>
      <c r="C250" s="132"/>
      <c r="D250" s="132"/>
      <c r="E250" s="132"/>
      <c r="F250" s="132"/>
      <c r="G250" s="132"/>
      <c r="H250" s="132"/>
      <c r="I250" s="132"/>
      <c r="J250" s="132"/>
      <c r="K250" s="132"/>
      <c r="L250" s="132"/>
      <c r="M250" s="132"/>
      <c r="N250" s="132"/>
    </row>
    <row r="251" spans="1:14" ht="15.75" customHeight="1" x14ac:dyDescent="0.25">
      <c r="A251" s="133">
        <v>242</v>
      </c>
      <c r="B251" s="134"/>
      <c r="C251" s="134"/>
      <c r="D251" s="134"/>
      <c r="E251" s="134"/>
      <c r="F251" s="134"/>
      <c r="G251" s="134"/>
      <c r="H251" s="134"/>
      <c r="I251" s="134"/>
      <c r="J251" s="134"/>
      <c r="K251" s="134"/>
      <c r="L251" s="134"/>
      <c r="M251" s="134"/>
      <c r="N251" s="134"/>
    </row>
    <row r="252" spans="1:14" ht="15.75" customHeight="1" x14ac:dyDescent="0.25">
      <c r="A252" s="131">
        <v>243</v>
      </c>
      <c r="B252" s="132"/>
      <c r="C252" s="132"/>
      <c r="D252" s="132"/>
      <c r="E252" s="132"/>
      <c r="F252" s="132"/>
      <c r="G252" s="132"/>
      <c r="H252" s="132"/>
      <c r="I252" s="132"/>
      <c r="J252" s="132"/>
      <c r="K252" s="132"/>
      <c r="L252" s="132"/>
      <c r="M252" s="132"/>
      <c r="N252" s="132"/>
    </row>
    <row r="253" spans="1:14" ht="15.75" customHeight="1" x14ac:dyDescent="0.25">
      <c r="A253" s="133">
        <v>244</v>
      </c>
      <c r="B253" s="134"/>
      <c r="C253" s="134"/>
      <c r="D253" s="134"/>
      <c r="E253" s="134"/>
      <c r="F253" s="134"/>
      <c r="G253" s="134"/>
      <c r="H253" s="134"/>
      <c r="I253" s="134"/>
      <c r="J253" s="134"/>
      <c r="K253" s="134"/>
      <c r="L253" s="134"/>
      <c r="M253" s="134"/>
      <c r="N253" s="134"/>
    </row>
    <row r="254" spans="1:14" ht="15.75" customHeight="1" x14ac:dyDescent="0.25">
      <c r="A254" s="131">
        <v>245</v>
      </c>
      <c r="B254" s="132"/>
      <c r="C254" s="132"/>
      <c r="D254" s="132"/>
      <c r="E254" s="132"/>
      <c r="F254" s="132"/>
      <c r="G254" s="132"/>
      <c r="H254" s="132"/>
      <c r="I254" s="132"/>
      <c r="J254" s="132"/>
      <c r="K254" s="132"/>
      <c r="L254" s="132"/>
      <c r="M254" s="132"/>
      <c r="N254" s="132"/>
    </row>
    <row r="255" spans="1:14" ht="15.75" customHeight="1" x14ac:dyDescent="0.25">
      <c r="A255" s="133">
        <v>246</v>
      </c>
      <c r="B255" s="134"/>
      <c r="C255" s="134"/>
      <c r="D255" s="134"/>
      <c r="E255" s="134"/>
      <c r="F255" s="134"/>
      <c r="G255" s="134"/>
      <c r="H255" s="134"/>
      <c r="I255" s="134"/>
      <c r="J255" s="134"/>
      <c r="K255" s="134"/>
      <c r="L255" s="134"/>
      <c r="M255" s="134"/>
      <c r="N255" s="134"/>
    </row>
    <row r="256" spans="1:14" ht="15.75" customHeight="1" x14ac:dyDescent="0.25">
      <c r="A256" s="131">
        <v>247</v>
      </c>
      <c r="B256" s="132"/>
      <c r="C256" s="132"/>
      <c r="D256" s="132"/>
      <c r="E256" s="132"/>
      <c r="F256" s="132"/>
      <c r="G256" s="132"/>
      <c r="H256" s="132"/>
      <c r="I256" s="132"/>
      <c r="J256" s="132"/>
      <c r="K256" s="132"/>
      <c r="L256" s="132"/>
      <c r="M256" s="132"/>
      <c r="N256" s="132"/>
    </row>
    <row r="257" spans="1:14" ht="15.75" customHeight="1" x14ac:dyDescent="0.25">
      <c r="A257" s="133">
        <v>248</v>
      </c>
      <c r="B257" s="134"/>
      <c r="C257" s="134"/>
      <c r="D257" s="134"/>
      <c r="E257" s="134"/>
      <c r="F257" s="134"/>
      <c r="G257" s="134"/>
      <c r="H257" s="134"/>
      <c r="I257" s="134"/>
      <c r="J257" s="134"/>
      <c r="K257" s="134"/>
      <c r="L257" s="134"/>
      <c r="M257" s="134"/>
      <c r="N257" s="134"/>
    </row>
    <row r="258" spans="1:14" ht="15.75" customHeight="1" x14ac:dyDescent="0.25">
      <c r="A258" s="131">
        <v>249</v>
      </c>
      <c r="B258" s="132"/>
      <c r="C258" s="132"/>
      <c r="D258" s="132"/>
      <c r="E258" s="132"/>
      <c r="F258" s="132"/>
      <c r="G258" s="132"/>
      <c r="H258" s="132"/>
      <c r="I258" s="132"/>
      <c r="J258" s="132"/>
      <c r="K258" s="132"/>
      <c r="L258" s="132"/>
      <c r="M258" s="132"/>
      <c r="N258" s="132"/>
    </row>
    <row r="259" spans="1:14" ht="15.75" customHeight="1" x14ac:dyDescent="0.25">
      <c r="A259" s="133">
        <v>250</v>
      </c>
      <c r="B259" s="134"/>
      <c r="C259" s="134"/>
      <c r="D259" s="134"/>
      <c r="E259" s="134"/>
      <c r="F259" s="134"/>
      <c r="G259" s="134"/>
      <c r="H259" s="134"/>
      <c r="I259" s="134"/>
      <c r="J259" s="134"/>
      <c r="K259" s="134"/>
      <c r="L259" s="134"/>
      <c r="M259" s="134"/>
      <c r="N259" s="134"/>
    </row>
    <row r="260" spans="1:14" ht="15.75" customHeight="1" x14ac:dyDescent="0.25">
      <c r="A260" s="131">
        <v>251</v>
      </c>
      <c r="B260" s="132"/>
      <c r="C260" s="132"/>
      <c r="D260" s="132"/>
      <c r="E260" s="132"/>
      <c r="F260" s="132"/>
      <c r="G260" s="132"/>
      <c r="H260" s="132"/>
      <c r="I260" s="132"/>
      <c r="J260" s="132"/>
      <c r="K260" s="132"/>
      <c r="L260" s="132"/>
      <c r="M260" s="132"/>
      <c r="N260" s="132"/>
    </row>
    <row r="261" spans="1:14" ht="15.75" customHeight="1" x14ac:dyDescent="0.25">
      <c r="A261" s="133">
        <v>252</v>
      </c>
      <c r="B261" s="134"/>
      <c r="C261" s="134"/>
      <c r="D261" s="134"/>
      <c r="E261" s="134"/>
      <c r="F261" s="134"/>
      <c r="G261" s="134"/>
      <c r="H261" s="134"/>
      <c r="I261" s="134"/>
      <c r="J261" s="134"/>
      <c r="K261" s="134"/>
      <c r="L261" s="134"/>
      <c r="M261" s="134"/>
      <c r="N261" s="134"/>
    </row>
    <row r="262" spans="1:14" ht="15.75" customHeight="1" x14ac:dyDescent="0.25">
      <c r="A262" s="131">
        <v>253</v>
      </c>
      <c r="B262" s="132"/>
      <c r="C262" s="132"/>
      <c r="D262" s="132"/>
      <c r="E262" s="132"/>
      <c r="F262" s="132"/>
      <c r="G262" s="132"/>
      <c r="H262" s="132"/>
      <c r="I262" s="132"/>
      <c r="J262" s="132"/>
      <c r="K262" s="132"/>
      <c r="L262" s="132"/>
      <c r="M262" s="132"/>
      <c r="N262" s="132"/>
    </row>
    <row r="263" spans="1:14" ht="15.75" customHeight="1" x14ac:dyDescent="0.25">
      <c r="A263" s="133">
        <v>254</v>
      </c>
      <c r="B263" s="134"/>
      <c r="C263" s="134"/>
      <c r="D263" s="134"/>
      <c r="E263" s="134"/>
      <c r="F263" s="134"/>
      <c r="G263" s="134"/>
      <c r="H263" s="134"/>
      <c r="I263" s="134"/>
      <c r="J263" s="134"/>
      <c r="K263" s="134"/>
      <c r="L263" s="134"/>
      <c r="M263" s="134"/>
      <c r="N263" s="134"/>
    </row>
    <row r="264" spans="1:14" ht="15.75" customHeight="1" x14ac:dyDescent="0.25">
      <c r="A264" s="131">
        <v>255</v>
      </c>
      <c r="B264" s="132"/>
      <c r="C264" s="132"/>
      <c r="D264" s="132"/>
      <c r="E264" s="132"/>
      <c r="F264" s="132"/>
      <c r="G264" s="132"/>
      <c r="H264" s="132"/>
      <c r="I264" s="132"/>
      <c r="J264" s="132"/>
      <c r="K264" s="132"/>
      <c r="L264" s="132"/>
      <c r="M264" s="132"/>
      <c r="N264" s="132"/>
    </row>
    <row r="265" spans="1:14" ht="15.75" customHeight="1" x14ac:dyDescent="0.25">
      <c r="A265" s="133">
        <v>256</v>
      </c>
      <c r="B265" s="134"/>
      <c r="C265" s="134"/>
      <c r="D265" s="134"/>
      <c r="E265" s="134"/>
      <c r="F265" s="134"/>
      <c r="G265" s="134"/>
      <c r="H265" s="134"/>
      <c r="I265" s="134"/>
      <c r="J265" s="134"/>
      <c r="K265" s="134"/>
      <c r="L265" s="134"/>
      <c r="M265" s="134"/>
      <c r="N265" s="134"/>
    </row>
    <row r="266" spans="1:14" ht="15.75" customHeight="1" x14ac:dyDescent="0.25">
      <c r="A266" s="131">
        <v>257</v>
      </c>
      <c r="B266" s="132"/>
      <c r="C266" s="132"/>
      <c r="D266" s="132"/>
      <c r="E266" s="132"/>
      <c r="F266" s="132"/>
      <c r="G266" s="132"/>
      <c r="H266" s="132"/>
      <c r="I266" s="132"/>
      <c r="J266" s="132"/>
      <c r="K266" s="132"/>
      <c r="L266" s="132"/>
      <c r="M266" s="132"/>
      <c r="N266" s="132"/>
    </row>
    <row r="267" spans="1:14" ht="15.75" customHeight="1" x14ac:dyDescent="0.25">
      <c r="A267" s="133">
        <v>258</v>
      </c>
      <c r="B267" s="134"/>
      <c r="C267" s="134"/>
      <c r="D267" s="134"/>
      <c r="E267" s="134"/>
      <c r="F267" s="134"/>
      <c r="G267" s="134"/>
      <c r="H267" s="134"/>
      <c r="I267" s="134"/>
      <c r="J267" s="134"/>
      <c r="K267" s="134"/>
      <c r="L267" s="134"/>
      <c r="M267" s="134"/>
      <c r="N267" s="134"/>
    </row>
    <row r="268" spans="1:14" ht="15.75" customHeight="1" x14ac:dyDescent="0.25">
      <c r="A268" s="131">
        <v>259</v>
      </c>
      <c r="B268" s="132"/>
      <c r="C268" s="132"/>
      <c r="D268" s="132"/>
      <c r="E268" s="132"/>
      <c r="F268" s="132"/>
      <c r="G268" s="132"/>
      <c r="H268" s="132"/>
      <c r="I268" s="132"/>
      <c r="J268" s="132"/>
      <c r="K268" s="132"/>
      <c r="L268" s="132"/>
      <c r="M268" s="132"/>
      <c r="N268" s="132"/>
    </row>
    <row r="269" spans="1:14" ht="15.75" customHeight="1" x14ac:dyDescent="0.25">
      <c r="A269" s="133">
        <v>260</v>
      </c>
      <c r="B269" s="134"/>
      <c r="C269" s="134"/>
      <c r="D269" s="134"/>
      <c r="E269" s="134"/>
      <c r="F269" s="134"/>
      <c r="G269" s="134"/>
      <c r="H269" s="134"/>
      <c r="I269" s="134"/>
      <c r="J269" s="134"/>
      <c r="K269" s="134"/>
      <c r="L269" s="134"/>
      <c r="M269" s="134"/>
      <c r="N269" s="134"/>
    </row>
    <row r="270" spans="1:14" ht="15.75" customHeight="1" x14ac:dyDescent="0.25">
      <c r="A270" s="131">
        <v>261</v>
      </c>
      <c r="B270" s="132"/>
      <c r="C270" s="132"/>
      <c r="D270" s="132"/>
      <c r="E270" s="132"/>
      <c r="F270" s="132"/>
      <c r="G270" s="132"/>
      <c r="H270" s="132"/>
      <c r="I270" s="132"/>
      <c r="J270" s="132"/>
      <c r="K270" s="132"/>
      <c r="L270" s="132"/>
      <c r="M270" s="132"/>
      <c r="N270" s="132"/>
    </row>
    <row r="271" spans="1:14" ht="15.75" customHeight="1" x14ac:dyDescent="0.25">
      <c r="A271" s="133">
        <v>262</v>
      </c>
      <c r="B271" s="134"/>
      <c r="C271" s="134"/>
      <c r="D271" s="134"/>
      <c r="E271" s="134"/>
      <c r="F271" s="134"/>
      <c r="G271" s="134"/>
      <c r="H271" s="134"/>
      <c r="I271" s="134"/>
      <c r="J271" s="134"/>
      <c r="K271" s="134"/>
      <c r="L271" s="134"/>
      <c r="M271" s="134"/>
      <c r="N271" s="134"/>
    </row>
    <row r="272" spans="1:14" ht="15.75" customHeight="1" x14ac:dyDescent="0.25">
      <c r="A272" s="131">
        <v>263</v>
      </c>
      <c r="B272" s="132"/>
      <c r="C272" s="132"/>
      <c r="D272" s="132"/>
      <c r="E272" s="132"/>
      <c r="F272" s="132"/>
      <c r="G272" s="132"/>
      <c r="H272" s="132"/>
      <c r="I272" s="132"/>
      <c r="J272" s="132"/>
      <c r="K272" s="132"/>
      <c r="L272" s="132"/>
      <c r="M272" s="132"/>
      <c r="N272" s="132"/>
    </row>
    <row r="273" spans="1:14" ht="15.75" customHeight="1" x14ac:dyDescent="0.25">
      <c r="A273" s="133">
        <v>264</v>
      </c>
      <c r="B273" s="134"/>
      <c r="C273" s="134"/>
      <c r="D273" s="134"/>
      <c r="E273" s="134"/>
      <c r="F273" s="134"/>
      <c r="G273" s="134"/>
      <c r="H273" s="134"/>
      <c r="I273" s="134"/>
      <c r="J273" s="134"/>
      <c r="K273" s="134"/>
      <c r="L273" s="134"/>
      <c r="M273" s="134"/>
      <c r="N273" s="134"/>
    </row>
    <row r="274" spans="1:14" ht="15.75" customHeight="1" x14ac:dyDescent="0.25">
      <c r="A274" s="131">
        <v>265</v>
      </c>
      <c r="B274" s="132"/>
      <c r="C274" s="132"/>
      <c r="D274" s="132"/>
      <c r="E274" s="132"/>
      <c r="F274" s="132"/>
      <c r="G274" s="132"/>
      <c r="H274" s="132"/>
      <c r="I274" s="132"/>
      <c r="J274" s="132"/>
      <c r="K274" s="132"/>
      <c r="L274" s="132"/>
      <c r="M274" s="132"/>
      <c r="N274" s="132"/>
    </row>
    <row r="275" spans="1:14" ht="15.75" customHeight="1" x14ac:dyDescent="0.25">
      <c r="A275" s="133">
        <v>266</v>
      </c>
      <c r="B275" s="134"/>
      <c r="C275" s="134"/>
      <c r="D275" s="134"/>
      <c r="E275" s="134"/>
      <c r="F275" s="134"/>
      <c r="G275" s="134"/>
      <c r="H275" s="134"/>
      <c r="I275" s="134"/>
      <c r="J275" s="134"/>
      <c r="K275" s="134"/>
      <c r="L275" s="134"/>
      <c r="M275" s="134"/>
      <c r="N275" s="134"/>
    </row>
    <row r="276" spans="1:14" ht="15.75" customHeight="1" x14ac:dyDescent="0.25">
      <c r="A276" s="131">
        <v>267</v>
      </c>
      <c r="B276" s="132"/>
      <c r="C276" s="132"/>
      <c r="D276" s="132"/>
      <c r="E276" s="132"/>
      <c r="F276" s="132"/>
      <c r="G276" s="132"/>
      <c r="H276" s="132"/>
      <c r="I276" s="132"/>
      <c r="J276" s="132"/>
      <c r="K276" s="132"/>
      <c r="L276" s="132"/>
      <c r="M276" s="132"/>
      <c r="N276" s="132"/>
    </row>
    <row r="277" spans="1:14" ht="15.75" customHeight="1" x14ac:dyDescent="0.25">
      <c r="A277" s="133">
        <v>268</v>
      </c>
      <c r="B277" s="134"/>
      <c r="C277" s="134"/>
      <c r="D277" s="134"/>
      <c r="E277" s="134"/>
      <c r="F277" s="134"/>
      <c r="G277" s="134"/>
      <c r="H277" s="134"/>
      <c r="I277" s="134"/>
      <c r="J277" s="134"/>
      <c r="K277" s="134"/>
      <c r="L277" s="134"/>
      <c r="M277" s="134"/>
      <c r="N277" s="134"/>
    </row>
    <row r="278" spans="1:14" ht="15.75" customHeight="1" x14ac:dyDescent="0.25">
      <c r="A278" s="131">
        <v>269</v>
      </c>
      <c r="B278" s="132"/>
      <c r="C278" s="132"/>
      <c r="D278" s="132"/>
      <c r="E278" s="132"/>
      <c r="F278" s="132"/>
      <c r="G278" s="132"/>
      <c r="H278" s="132"/>
      <c r="I278" s="132"/>
      <c r="J278" s="132"/>
      <c r="K278" s="132"/>
      <c r="L278" s="132"/>
      <c r="M278" s="132"/>
      <c r="N278" s="132"/>
    </row>
    <row r="279" spans="1:14" ht="15.75" customHeight="1" x14ac:dyDescent="0.25">
      <c r="A279" s="133">
        <v>270</v>
      </c>
      <c r="B279" s="134"/>
      <c r="C279" s="134"/>
      <c r="D279" s="134"/>
      <c r="E279" s="134"/>
      <c r="F279" s="134"/>
      <c r="G279" s="134"/>
      <c r="H279" s="134"/>
      <c r="I279" s="134"/>
      <c r="J279" s="134"/>
      <c r="K279" s="134"/>
      <c r="L279" s="134"/>
      <c r="M279" s="134"/>
      <c r="N279" s="134"/>
    </row>
    <row r="280" spans="1:14" ht="15.75" customHeight="1" x14ac:dyDescent="0.25">
      <c r="A280" s="131">
        <v>271</v>
      </c>
      <c r="B280" s="132"/>
      <c r="C280" s="132"/>
      <c r="D280" s="132"/>
      <c r="E280" s="132"/>
      <c r="F280" s="132"/>
      <c r="G280" s="132"/>
      <c r="H280" s="132"/>
      <c r="I280" s="132"/>
      <c r="J280" s="132"/>
      <c r="K280" s="132"/>
      <c r="L280" s="132"/>
      <c r="M280" s="132"/>
      <c r="N280" s="132"/>
    </row>
    <row r="281" spans="1:14" ht="15.75" customHeight="1" x14ac:dyDescent="0.25">
      <c r="A281" s="133">
        <v>272</v>
      </c>
      <c r="B281" s="134"/>
      <c r="C281" s="134"/>
      <c r="D281" s="134"/>
      <c r="E281" s="134"/>
      <c r="F281" s="134"/>
      <c r="G281" s="134"/>
      <c r="H281" s="134"/>
      <c r="I281" s="134"/>
      <c r="J281" s="134"/>
      <c r="K281" s="134"/>
      <c r="L281" s="134"/>
      <c r="M281" s="134"/>
      <c r="N281" s="134"/>
    </row>
    <row r="282" spans="1:14" ht="15.75" customHeight="1" x14ac:dyDescent="0.25">
      <c r="A282" s="131">
        <v>273</v>
      </c>
      <c r="B282" s="132"/>
      <c r="C282" s="132"/>
      <c r="D282" s="132"/>
      <c r="E282" s="132"/>
      <c r="F282" s="132"/>
      <c r="G282" s="132"/>
      <c r="H282" s="132"/>
      <c r="I282" s="132"/>
      <c r="J282" s="132"/>
      <c r="K282" s="132"/>
      <c r="L282" s="132"/>
      <c r="M282" s="132"/>
      <c r="N282" s="132"/>
    </row>
    <row r="283" spans="1:14" ht="15.75" customHeight="1" x14ac:dyDescent="0.25">
      <c r="A283" s="133">
        <v>274</v>
      </c>
      <c r="B283" s="134"/>
      <c r="C283" s="134"/>
      <c r="D283" s="134"/>
      <c r="E283" s="134"/>
      <c r="F283" s="134"/>
      <c r="G283" s="134"/>
      <c r="H283" s="134"/>
      <c r="I283" s="134"/>
      <c r="J283" s="134"/>
      <c r="K283" s="134"/>
      <c r="L283" s="134"/>
      <c r="M283" s="134"/>
      <c r="N283" s="134"/>
    </row>
    <row r="284" spans="1:14" ht="15.75" customHeight="1" x14ac:dyDescent="0.25">
      <c r="A284" s="131">
        <v>275</v>
      </c>
      <c r="B284" s="132"/>
      <c r="C284" s="132"/>
      <c r="D284" s="132"/>
      <c r="E284" s="132"/>
      <c r="F284" s="132"/>
      <c r="G284" s="132"/>
      <c r="H284" s="132"/>
      <c r="I284" s="132"/>
      <c r="J284" s="132"/>
      <c r="K284" s="132"/>
      <c r="L284" s="132"/>
      <c r="M284" s="132"/>
      <c r="N284" s="132"/>
    </row>
    <row r="285" spans="1:14" ht="15.75" customHeight="1" x14ac:dyDescent="0.25">
      <c r="A285" s="133">
        <v>276</v>
      </c>
      <c r="B285" s="134"/>
      <c r="C285" s="134"/>
      <c r="D285" s="134"/>
      <c r="E285" s="134"/>
      <c r="F285" s="134"/>
      <c r="G285" s="134"/>
      <c r="H285" s="134"/>
      <c r="I285" s="134"/>
      <c r="J285" s="134"/>
      <c r="K285" s="134"/>
      <c r="L285" s="134"/>
      <c r="M285" s="134"/>
      <c r="N285" s="134"/>
    </row>
    <row r="286" spans="1:14" ht="15.75" customHeight="1" x14ac:dyDescent="0.25">
      <c r="A286" s="131">
        <v>277</v>
      </c>
      <c r="B286" s="132"/>
      <c r="C286" s="132"/>
      <c r="D286" s="132"/>
      <c r="E286" s="132"/>
      <c r="F286" s="132"/>
      <c r="G286" s="132"/>
      <c r="H286" s="132"/>
      <c r="I286" s="132"/>
      <c r="J286" s="132"/>
      <c r="K286" s="132"/>
      <c r="L286" s="132"/>
      <c r="M286" s="132"/>
      <c r="N286" s="132"/>
    </row>
    <row r="287" spans="1:14" ht="15.75" customHeight="1" x14ac:dyDescent="0.25">
      <c r="A287" s="133">
        <v>278</v>
      </c>
      <c r="B287" s="134"/>
      <c r="C287" s="134"/>
      <c r="D287" s="134"/>
      <c r="E287" s="134"/>
      <c r="F287" s="134"/>
      <c r="G287" s="134"/>
      <c r="H287" s="134"/>
      <c r="I287" s="134"/>
      <c r="J287" s="134"/>
      <c r="K287" s="134"/>
      <c r="L287" s="134"/>
      <c r="M287" s="134"/>
      <c r="N287" s="134"/>
    </row>
    <row r="288" spans="1:14" ht="15.75" customHeight="1" x14ac:dyDescent="0.25">
      <c r="A288" s="131">
        <v>279</v>
      </c>
      <c r="B288" s="132"/>
      <c r="C288" s="132"/>
      <c r="D288" s="132"/>
      <c r="E288" s="132"/>
      <c r="F288" s="132"/>
      <c r="G288" s="132"/>
      <c r="H288" s="132"/>
      <c r="I288" s="132"/>
      <c r="J288" s="132"/>
      <c r="K288" s="132"/>
      <c r="L288" s="132"/>
      <c r="M288" s="132"/>
      <c r="N288" s="132"/>
    </row>
    <row r="289" spans="1:14" ht="15.75" customHeight="1" x14ac:dyDescent="0.25">
      <c r="A289" s="133">
        <v>280</v>
      </c>
      <c r="B289" s="134"/>
      <c r="C289" s="134"/>
      <c r="D289" s="134"/>
      <c r="E289" s="134"/>
      <c r="F289" s="134"/>
      <c r="G289" s="134"/>
      <c r="H289" s="134"/>
      <c r="I289" s="134"/>
      <c r="J289" s="134"/>
      <c r="K289" s="134"/>
      <c r="L289" s="134"/>
      <c r="M289" s="134"/>
      <c r="N289" s="134"/>
    </row>
    <row r="290" spans="1:14" ht="15.75" customHeight="1" x14ac:dyDescent="0.25">
      <c r="A290" s="131">
        <v>281</v>
      </c>
      <c r="B290" s="132"/>
      <c r="C290" s="132"/>
      <c r="D290" s="132"/>
      <c r="E290" s="132"/>
      <c r="F290" s="132"/>
      <c r="G290" s="132"/>
      <c r="H290" s="132"/>
      <c r="I290" s="132"/>
      <c r="J290" s="132"/>
      <c r="K290" s="132"/>
      <c r="L290" s="132"/>
      <c r="M290" s="132"/>
      <c r="N290" s="132"/>
    </row>
    <row r="291" spans="1:14" ht="15.75" customHeight="1" x14ac:dyDescent="0.25">
      <c r="A291" s="133">
        <v>282</v>
      </c>
      <c r="B291" s="134"/>
      <c r="C291" s="134"/>
      <c r="D291" s="134"/>
      <c r="E291" s="134"/>
      <c r="F291" s="134"/>
      <c r="G291" s="134"/>
      <c r="H291" s="134"/>
      <c r="I291" s="134"/>
      <c r="J291" s="134"/>
      <c r="K291" s="134"/>
      <c r="L291" s="134"/>
      <c r="M291" s="134"/>
      <c r="N291" s="134"/>
    </row>
    <row r="292" spans="1:14" ht="15.75" customHeight="1" x14ac:dyDescent="0.25">
      <c r="A292" s="131">
        <v>283</v>
      </c>
      <c r="B292" s="132"/>
      <c r="C292" s="132"/>
      <c r="D292" s="132"/>
      <c r="E292" s="132"/>
      <c r="F292" s="132"/>
      <c r="G292" s="132"/>
      <c r="H292" s="132"/>
      <c r="I292" s="132"/>
      <c r="J292" s="132"/>
      <c r="K292" s="132"/>
      <c r="L292" s="132"/>
      <c r="M292" s="132"/>
      <c r="N292" s="132"/>
    </row>
    <row r="293" spans="1:14" ht="15.75" customHeight="1" x14ac:dyDescent="0.25">
      <c r="A293" s="133">
        <v>284</v>
      </c>
      <c r="B293" s="134"/>
      <c r="C293" s="134"/>
      <c r="D293" s="134"/>
      <c r="E293" s="134"/>
      <c r="F293" s="134"/>
      <c r="G293" s="134"/>
      <c r="H293" s="134"/>
      <c r="I293" s="134"/>
      <c r="J293" s="134"/>
      <c r="K293" s="134"/>
      <c r="L293" s="134"/>
      <c r="M293" s="134"/>
      <c r="N293" s="134"/>
    </row>
    <row r="294" spans="1:14" ht="15.75" customHeight="1" x14ac:dyDescent="0.25">
      <c r="A294" s="131">
        <v>285</v>
      </c>
      <c r="B294" s="132"/>
      <c r="C294" s="132"/>
      <c r="D294" s="132"/>
      <c r="E294" s="132"/>
      <c r="F294" s="132"/>
      <c r="G294" s="132"/>
      <c r="H294" s="132"/>
      <c r="I294" s="132"/>
      <c r="J294" s="132"/>
      <c r="K294" s="132"/>
      <c r="L294" s="132"/>
      <c r="M294" s="132"/>
      <c r="N294" s="132"/>
    </row>
    <row r="295" spans="1:14" ht="15.75" customHeight="1" x14ac:dyDescent="0.25">
      <c r="A295" s="133">
        <v>286</v>
      </c>
      <c r="B295" s="134"/>
      <c r="C295" s="134"/>
      <c r="D295" s="134"/>
      <c r="E295" s="134"/>
      <c r="F295" s="134"/>
      <c r="G295" s="134"/>
      <c r="H295" s="134"/>
      <c r="I295" s="134"/>
      <c r="J295" s="134"/>
      <c r="K295" s="134"/>
      <c r="L295" s="134"/>
      <c r="M295" s="134"/>
      <c r="N295" s="134"/>
    </row>
    <row r="296" spans="1:14" ht="15.75" customHeight="1" x14ac:dyDescent="0.25">
      <c r="A296" s="131">
        <v>287</v>
      </c>
      <c r="B296" s="132"/>
      <c r="C296" s="132"/>
      <c r="D296" s="132"/>
      <c r="E296" s="132"/>
      <c r="F296" s="132"/>
      <c r="G296" s="132"/>
      <c r="H296" s="132"/>
      <c r="I296" s="132"/>
      <c r="J296" s="132"/>
      <c r="K296" s="132"/>
      <c r="L296" s="132"/>
      <c r="M296" s="132"/>
      <c r="N296" s="132"/>
    </row>
    <row r="297" spans="1:14" ht="15.75" customHeight="1" x14ac:dyDescent="0.25">
      <c r="A297" s="133">
        <v>288</v>
      </c>
      <c r="B297" s="134"/>
      <c r="C297" s="134"/>
      <c r="D297" s="134"/>
      <c r="E297" s="134"/>
      <c r="F297" s="134"/>
      <c r="G297" s="134"/>
      <c r="H297" s="134"/>
      <c r="I297" s="134"/>
      <c r="J297" s="134"/>
      <c r="K297" s="134"/>
      <c r="L297" s="134"/>
      <c r="M297" s="134"/>
      <c r="N297" s="134"/>
    </row>
    <row r="298" spans="1:14" ht="15.75" customHeight="1" x14ac:dyDescent="0.25">
      <c r="A298" s="131">
        <v>289</v>
      </c>
      <c r="B298" s="132"/>
      <c r="C298" s="132"/>
      <c r="D298" s="132"/>
      <c r="E298" s="132"/>
      <c r="F298" s="132"/>
      <c r="G298" s="132"/>
      <c r="H298" s="132"/>
      <c r="I298" s="132"/>
      <c r="J298" s="132"/>
      <c r="K298" s="132"/>
      <c r="L298" s="132"/>
      <c r="M298" s="132"/>
      <c r="N298" s="132"/>
    </row>
    <row r="299" spans="1:14" ht="15.75" customHeight="1" x14ac:dyDescent="0.25">
      <c r="A299" s="133">
        <v>290</v>
      </c>
      <c r="B299" s="134"/>
      <c r="C299" s="134"/>
      <c r="D299" s="134"/>
      <c r="E299" s="134"/>
      <c r="F299" s="134"/>
      <c r="G299" s="134"/>
      <c r="H299" s="134"/>
      <c r="I299" s="134"/>
      <c r="J299" s="134"/>
      <c r="K299" s="134"/>
      <c r="L299" s="134"/>
      <c r="M299" s="134"/>
      <c r="N299" s="134"/>
    </row>
    <row r="300" spans="1:14" ht="15.75" customHeight="1" x14ac:dyDescent="0.25">
      <c r="A300" s="131">
        <v>291</v>
      </c>
      <c r="B300" s="132"/>
      <c r="C300" s="132"/>
      <c r="D300" s="132"/>
      <c r="E300" s="132"/>
      <c r="F300" s="132"/>
      <c r="G300" s="132"/>
      <c r="H300" s="132"/>
      <c r="I300" s="132"/>
      <c r="J300" s="132"/>
      <c r="K300" s="132"/>
      <c r="L300" s="132"/>
      <c r="M300" s="132"/>
      <c r="N300" s="132"/>
    </row>
    <row r="301" spans="1:14" ht="15.75" customHeight="1" x14ac:dyDescent="0.25">
      <c r="A301" s="133">
        <v>292</v>
      </c>
      <c r="B301" s="134"/>
      <c r="C301" s="134"/>
      <c r="D301" s="134"/>
      <c r="E301" s="134"/>
      <c r="F301" s="134"/>
      <c r="G301" s="134"/>
      <c r="H301" s="134"/>
      <c r="I301" s="134"/>
      <c r="J301" s="134"/>
      <c r="K301" s="134"/>
      <c r="L301" s="134"/>
      <c r="M301" s="134"/>
      <c r="N301" s="134"/>
    </row>
    <row r="302" spans="1:14" ht="15.75" customHeight="1" x14ac:dyDescent="0.25">
      <c r="A302" s="131">
        <v>293</v>
      </c>
      <c r="B302" s="132"/>
      <c r="C302" s="132"/>
      <c r="D302" s="132"/>
      <c r="E302" s="132"/>
      <c r="F302" s="132"/>
      <c r="G302" s="132"/>
      <c r="H302" s="132"/>
      <c r="I302" s="132"/>
      <c r="J302" s="132"/>
      <c r="K302" s="132"/>
      <c r="L302" s="132"/>
      <c r="M302" s="132"/>
      <c r="N302" s="132"/>
    </row>
    <row r="303" spans="1:14" ht="15.75" customHeight="1" x14ac:dyDescent="0.25">
      <c r="A303" s="133">
        <v>294</v>
      </c>
      <c r="B303" s="134"/>
      <c r="C303" s="134"/>
      <c r="D303" s="134"/>
      <c r="E303" s="134"/>
      <c r="F303" s="134"/>
      <c r="G303" s="134"/>
      <c r="H303" s="134"/>
      <c r="I303" s="134"/>
      <c r="J303" s="134"/>
      <c r="K303" s="134"/>
      <c r="L303" s="134"/>
      <c r="M303" s="134"/>
      <c r="N303" s="134"/>
    </row>
    <row r="304" spans="1:14" ht="15.75" customHeight="1" x14ac:dyDescent="0.25">
      <c r="A304" s="131">
        <v>295</v>
      </c>
      <c r="B304" s="132"/>
      <c r="C304" s="132"/>
      <c r="D304" s="132"/>
      <c r="E304" s="132"/>
      <c r="F304" s="132"/>
      <c r="G304" s="132"/>
      <c r="H304" s="132"/>
      <c r="I304" s="132"/>
      <c r="J304" s="132"/>
      <c r="K304" s="132"/>
      <c r="L304" s="132"/>
      <c r="M304" s="132"/>
      <c r="N304" s="132"/>
    </row>
    <row r="305" spans="1:14" ht="15.75" customHeight="1" x14ac:dyDescent="0.25">
      <c r="A305" s="133">
        <v>296</v>
      </c>
      <c r="B305" s="134"/>
      <c r="C305" s="134"/>
      <c r="D305" s="134"/>
      <c r="E305" s="134"/>
      <c r="F305" s="134"/>
      <c r="G305" s="134"/>
      <c r="H305" s="134"/>
      <c r="I305" s="134"/>
      <c r="J305" s="134"/>
      <c r="K305" s="134"/>
      <c r="L305" s="134"/>
      <c r="M305" s="134"/>
      <c r="N305" s="134"/>
    </row>
    <row r="306" spans="1:14" ht="15.75" customHeight="1" x14ac:dyDescent="0.25">
      <c r="A306" s="131">
        <v>297</v>
      </c>
      <c r="B306" s="132"/>
      <c r="C306" s="132"/>
      <c r="D306" s="132"/>
      <c r="E306" s="132"/>
      <c r="F306" s="132"/>
      <c r="G306" s="132"/>
      <c r="H306" s="132"/>
      <c r="I306" s="132"/>
      <c r="J306" s="132"/>
      <c r="K306" s="132"/>
      <c r="L306" s="132"/>
      <c r="M306" s="132"/>
      <c r="N306" s="132"/>
    </row>
    <row r="307" spans="1:14" ht="15.75" customHeight="1" x14ac:dyDescent="0.25">
      <c r="A307" s="133">
        <v>298</v>
      </c>
      <c r="B307" s="134"/>
      <c r="C307" s="134"/>
      <c r="D307" s="134"/>
      <c r="E307" s="134"/>
      <c r="F307" s="134"/>
      <c r="G307" s="134"/>
      <c r="H307" s="134"/>
      <c r="I307" s="134"/>
      <c r="J307" s="134"/>
      <c r="K307" s="134"/>
      <c r="L307" s="134"/>
      <c r="M307" s="134"/>
      <c r="N307" s="134"/>
    </row>
    <row r="308" spans="1:14" ht="15.75" customHeight="1" x14ac:dyDescent="0.25">
      <c r="A308" s="131">
        <v>299</v>
      </c>
      <c r="B308" s="132"/>
      <c r="C308" s="132"/>
      <c r="D308" s="132"/>
      <c r="E308" s="132"/>
      <c r="F308" s="132"/>
      <c r="G308" s="132"/>
      <c r="H308" s="132"/>
      <c r="I308" s="132"/>
      <c r="J308" s="132"/>
      <c r="K308" s="132"/>
      <c r="L308" s="132"/>
      <c r="M308" s="132"/>
      <c r="N308" s="132"/>
    </row>
    <row r="309" spans="1:14" ht="15.75" customHeight="1" x14ac:dyDescent="0.25">
      <c r="A309" s="133">
        <v>300</v>
      </c>
      <c r="B309" s="134"/>
      <c r="C309" s="134"/>
      <c r="D309" s="134"/>
      <c r="E309" s="134"/>
      <c r="F309" s="134"/>
      <c r="G309" s="134"/>
      <c r="H309" s="134"/>
      <c r="I309" s="134"/>
      <c r="J309" s="134"/>
      <c r="K309" s="134"/>
      <c r="L309" s="134"/>
      <c r="M309" s="134"/>
      <c r="N309" s="134"/>
    </row>
    <row r="310" spans="1:14" ht="15.75" customHeight="1" x14ac:dyDescent="0.25">
      <c r="A310" s="131">
        <v>301</v>
      </c>
      <c r="B310" s="132"/>
      <c r="C310" s="132"/>
      <c r="D310" s="132"/>
      <c r="E310" s="132"/>
      <c r="F310" s="132"/>
      <c r="G310" s="132"/>
      <c r="H310" s="132"/>
      <c r="I310" s="132"/>
      <c r="J310" s="132"/>
      <c r="K310" s="132"/>
      <c r="L310" s="132"/>
      <c r="M310" s="132"/>
      <c r="N310" s="132"/>
    </row>
    <row r="311" spans="1:14" ht="15.75" customHeight="1" x14ac:dyDescent="0.25">
      <c r="A311" s="133">
        <v>302</v>
      </c>
      <c r="B311" s="134"/>
      <c r="C311" s="134"/>
      <c r="D311" s="134"/>
      <c r="E311" s="134"/>
      <c r="F311" s="134"/>
      <c r="G311" s="134"/>
      <c r="H311" s="134"/>
      <c r="I311" s="134"/>
      <c r="J311" s="134"/>
      <c r="K311" s="134"/>
      <c r="L311" s="134"/>
      <c r="M311" s="134"/>
      <c r="N311" s="134"/>
    </row>
    <row r="312" spans="1:14" ht="15.75" customHeight="1" x14ac:dyDescent="0.25">
      <c r="A312" s="131">
        <v>303</v>
      </c>
      <c r="B312" s="132"/>
      <c r="C312" s="132"/>
      <c r="D312" s="132"/>
      <c r="E312" s="132"/>
      <c r="F312" s="132"/>
      <c r="G312" s="132"/>
      <c r="H312" s="132"/>
      <c r="I312" s="132"/>
      <c r="J312" s="132"/>
      <c r="K312" s="132"/>
      <c r="L312" s="132"/>
      <c r="M312" s="132"/>
      <c r="N312" s="132"/>
    </row>
    <row r="313" spans="1:14" ht="15.75" customHeight="1" x14ac:dyDescent="0.25">
      <c r="A313" s="133">
        <v>304</v>
      </c>
      <c r="B313" s="134"/>
      <c r="C313" s="134"/>
      <c r="D313" s="134"/>
      <c r="E313" s="134"/>
      <c r="F313" s="134"/>
      <c r="G313" s="134"/>
      <c r="H313" s="134"/>
      <c r="I313" s="134"/>
      <c r="J313" s="134"/>
      <c r="K313" s="134"/>
      <c r="L313" s="134"/>
      <c r="M313" s="134"/>
      <c r="N313" s="134"/>
    </row>
    <row r="314" spans="1:14" ht="15.75" customHeight="1" x14ac:dyDescent="0.25">
      <c r="A314" s="131">
        <v>305</v>
      </c>
      <c r="B314" s="132"/>
      <c r="C314" s="132"/>
      <c r="D314" s="132"/>
      <c r="E314" s="132"/>
      <c r="F314" s="132"/>
      <c r="G314" s="132"/>
      <c r="H314" s="132"/>
      <c r="I314" s="132"/>
      <c r="J314" s="132"/>
      <c r="K314" s="132"/>
      <c r="L314" s="132"/>
      <c r="M314" s="132"/>
      <c r="N314" s="132"/>
    </row>
    <row r="315" spans="1:14" ht="15.75" customHeight="1" x14ac:dyDescent="0.25">
      <c r="A315" s="133">
        <v>306</v>
      </c>
      <c r="B315" s="134"/>
      <c r="C315" s="134"/>
      <c r="D315" s="134"/>
      <c r="E315" s="134"/>
      <c r="F315" s="134"/>
      <c r="G315" s="134"/>
      <c r="H315" s="134"/>
      <c r="I315" s="134"/>
      <c r="J315" s="134"/>
      <c r="K315" s="134"/>
      <c r="L315" s="134"/>
      <c r="M315" s="134"/>
      <c r="N315" s="134"/>
    </row>
    <row r="316" spans="1:14" ht="15.75" customHeight="1" x14ac:dyDescent="0.25">
      <c r="A316" s="131">
        <v>307</v>
      </c>
      <c r="B316" s="132"/>
      <c r="C316" s="132"/>
      <c r="D316" s="132"/>
      <c r="E316" s="132"/>
      <c r="F316" s="132"/>
      <c r="G316" s="132"/>
      <c r="H316" s="132"/>
      <c r="I316" s="132"/>
      <c r="J316" s="132"/>
      <c r="K316" s="132"/>
      <c r="L316" s="132"/>
      <c r="M316" s="132"/>
      <c r="N316" s="132"/>
    </row>
    <row r="317" spans="1:14" ht="15.75" customHeight="1" x14ac:dyDescent="0.25">
      <c r="A317" s="133">
        <v>308</v>
      </c>
      <c r="B317" s="134"/>
      <c r="C317" s="134"/>
      <c r="D317" s="134"/>
      <c r="E317" s="134"/>
      <c r="F317" s="134"/>
      <c r="G317" s="134"/>
      <c r="H317" s="134"/>
      <c r="I317" s="134"/>
      <c r="J317" s="134"/>
      <c r="K317" s="134"/>
      <c r="L317" s="134"/>
      <c r="M317" s="134"/>
      <c r="N317" s="134"/>
    </row>
    <row r="318" spans="1:14" ht="15.75" customHeight="1" x14ac:dyDescent="0.25">
      <c r="A318" s="131">
        <v>309</v>
      </c>
      <c r="B318" s="132"/>
      <c r="C318" s="132"/>
      <c r="D318" s="132"/>
      <c r="E318" s="132"/>
      <c r="F318" s="132"/>
      <c r="G318" s="132"/>
      <c r="H318" s="132"/>
      <c r="I318" s="132"/>
      <c r="J318" s="132"/>
      <c r="K318" s="132"/>
      <c r="L318" s="132"/>
      <c r="M318" s="132"/>
      <c r="N318" s="132"/>
    </row>
    <row r="319" spans="1:14" ht="15.75" customHeight="1" x14ac:dyDescent="0.25">
      <c r="A319" s="133">
        <v>310</v>
      </c>
      <c r="B319" s="134"/>
      <c r="C319" s="134"/>
      <c r="D319" s="134"/>
      <c r="E319" s="134"/>
      <c r="F319" s="134"/>
      <c r="G319" s="134"/>
      <c r="H319" s="134"/>
      <c r="I319" s="134"/>
      <c r="J319" s="134"/>
      <c r="K319" s="134"/>
      <c r="L319" s="134"/>
      <c r="M319" s="134"/>
      <c r="N319" s="134"/>
    </row>
    <row r="320" spans="1:14" ht="15.75" customHeight="1" x14ac:dyDescent="0.25">
      <c r="A320" s="131">
        <v>311</v>
      </c>
      <c r="B320" s="132"/>
      <c r="C320" s="132"/>
      <c r="D320" s="132"/>
      <c r="E320" s="132"/>
      <c r="F320" s="132"/>
      <c r="G320" s="132"/>
      <c r="H320" s="132"/>
      <c r="I320" s="132"/>
      <c r="J320" s="132"/>
      <c r="K320" s="132"/>
      <c r="L320" s="132"/>
      <c r="M320" s="132"/>
      <c r="N320" s="132"/>
    </row>
    <row r="321" spans="1:14" ht="15.75" customHeight="1" x14ac:dyDescent="0.25">
      <c r="A321" s="133">
        <v>312</v>
      </c>
      <c r="B321" s="134"/>
      <c r="C321" s="134"/>
      <c r="D321" s="134"/>
      <c r="E321" s="134"/>
      <c r="F321" s="134"/>
      <c r="G321" s="134"/>
      <c r="H321" s="134"/>
      <c r="I321" s="134"/>
      <c r="J321" s="134"/>
      <c r="K321" s="134"/>
      <c r="L321" s="134"/>
      <c r="M321" s="134"/>
      <c r="N321" s="134"/>
    </row>
    <row r="322" spans="1:14" ht="15.75" customHeight="1" x14ac:dyDescent="0.25">
      <c r="A322" s="131">
        <v>313</v>
      </c>
      <c r="B322" s="132"/>
      <c r="C322" s="132"/>
      <c r="D322" s="132"/>
      <c r="E322" s="132"/>
      <c r="F322" s="132"/>
      <c r="G322" s="132"/>
      <c r="H322" s="132"/>
      <c r="I322" s="132"/>
      <c r="J322" s="132"/>
      <c r="K322" s="132"/>
      <c r="L322" s="132"/>
      <c r="M322" s="132"/>
      <c r="N322" s="132"/>
    </row>
    <row r="323" spans="1:14" ht="15.75" customHeight="1" x14ac:dyDescent="0.25">
      <c r="A323" s="133">
        <v>314</v>
      </c>
      <c r="B323" s="134"/>
      <c r="C323" s="134"/>
      <c r="D323" s="134"/>
      <c r="E323" s="134"/>
      <c r="F323" s="134"/>
      <c r="G323" s="134"/>
      <c r="H323" s="134"/>
      <c r="I323" s="134"/>
      <c r="J323" s="134"/>
      <c r="K323" s="134"/>
      <c r="L323" s="134"/>
      <c r="M323" s="134"/>
      <c r="N323" s="134"/>
    </row>
    <row r="324" spans="1:14" ht="15.75" customHeight="1" x14ac:dyDescent="0.25">
      <c r="A324" s="131">
        <v>315</v>
      </c>
      <c r="B324" s="132"/>
      <c r="C324" s="132"/>
      <c r="D324" s="132"/>
      <c r="E324" s="132"/>
      <c r="F324" s="132"/>
      <c r="G324" s="132"/>
      <c r="H324" s="132"/>
      <c r="I324" s="132"/>
      <c r="J324" s="132"/>
      <c r="K324" s="132"/>
      <c r="L324" s="132"/>
      <c r="M324" s="132"/>
      <c r="N324" s="132"/>
    </row>
    <row r="325" spans="1:14" ht="15.75" customHeight="1" x14ac:dyDescent="0.25">
      <c r="A325" s="133">
        <v>316</v>
      </c>
      <c r="B325" s="134"/>
      <c r="C325" s="134"/>
      <c r="D325" s="134"/>
      <c r="E325" s="134"/>
      <c r="F325" s="134"/>
      <c r="G325" s="134"/>
      <c r="H325" s="134"/>
      <c r="I325" s="134"/>
      <c r="J325" s="134"/>
      <c r="K325" s="134"/>
      <c r="L325" s="134"/>
      <c r="M325" s="134"/>
      <c r="N325" s="134"/>
    </row>
    <row r="326" spans="1:14" ht="15.75" customHeight="1" x14ac:dyDescent="0.25">
      <c r="A326" s="131">
        <v>317</v>
      </c>
      <c r="B326" s="132"/>
      <c r="C326" s="132"/>
      <c r="D326" s="132"/>
      <c r="E326" s="132"/>
      <c r="F326" s="132"/>
      <c r="G326" s="132"/>
      <c r="H326" s="132"/>
      <c r="I326" s="132"/>
      <c r="J326" s="132"/>
      <c r="K326" s="132"/>
      <c r="L326" s="132"/>
      <c r="M326" s="132"/>
      <c r="N326" s="132"/>
    </row>
    <row r="327" spans="1:14" ht="15.75" customHeight="1" x14ac:dyDescent="0.25">
      <c r="A327" s="133">
        <v>318</v>
      </c>
      <c r="B327" s="134"/>
      <c r="C327" s="134"/>
      <c r="D327" s="134"/>
      <c r="E327" s="134"/>
      <c r="F327" s="134"/>
      <c r="G327" s="134"/>
      <c r="H327" s="134"/>
      <c r="I327" s="134"/>
      <c r="J327" s="134"/>
      <c r="K327" s="134"/>
      <c r="L327" s="134"/>
      <c r="M327" s="134"/>
      <c r="N327" s="134"/>
    </row>
    <row r="328" spans="1:14" ht="15.75" customHeight="1" x14ac:dyDescent="0.25">
      <c r="A328" s="131">
        <v>319</v>
      </c>
      <c r="B328" s="132"/>
      <c r="C328" s="132"/>
      <c r="D328" s="132"/>
      <c r="E328" s="132"/>
      <c r="F328" s="132"/>
      <c r="G328" s="132"/>
      <c r="H328" s="132"/>
      <c r="I328" s="132"/>
      <c r="J328" s="132"/>
      <c r="K328" s="132"/>
      <c r="L328" s="132"/>
      <c r="M328" s="132"/>
      <c r="N328" s="132"/>
    </row>
    <row r="329" spans="1:14" ht="15.75" customHeight="1" x14ac:dyDescent="0.25">
      <c r="A329" s="133">
        <v>320</v>
      </c>
      <c r="B329" s="134"/>
      <c r="C329" s="134"/>
      <c r="D329" s="134"/>
      <c r="E329" s="134"/>
      <c r="F329" s="134"/>
      <c r="G329" s="134"/>
      <c r="H329" s="134"/>
      <c r="I329" s="134"/>
      <c r="J329" s="134"/>
      <c r="K329" s="134"/>
      <c r="L329" s="134"/>
      <c r="M329" s="134"/>
      <c r="N329" s="134"/>
    </row>
    <row r="330" spans="1:14" ht="15.75" customHeight="1" x14ac:dyDescent="0.25">
      <c r="A330" s="131">
        <v>321</v>
      </c>
      <c r="B330" s="132"/>
      <c r="C330" s="132"/>
      <c r="D330" s="132"/>
      <c r="E330" s="132"/>
      <c r="F330" s="132"/>
      <c r="G330" s="132"/>
      <c r="H330" s="132"/>
      <c r="I330" s="132"/>
      <c r="J330" s="132"/>
      <c r="K330" s="132"/>
      <c r="L330" s="132"/>
      <c r="M330" s="132"/>
      <c r="N330" s="132"/>
    </row>
    <row r="331" spans="1:14" ht="15.75" customHeight="1" x14ac:dyDescent="0.25">
      <c r="A331" s="133">
        <v>322</v>
      </c>
      <c r="B331" s="134"/>
      <c r="C331" s="134"/>
      <c r="D331" s="134"/>
      <c r="E331" s="134"/>
      <c r="F331" s="134"/>
      <c r="G331" s="134"/>
      <c r="H331" s="134"/>
      <c r="I331" s="134"/>
      <c r="J331" s="134"/>
      <c r="K331" s="134"/>
      <c r="L331" s="134"/>
      <c r="M331" s="134"/>
      <c r="N331" s="134"/>
    </row>
    <row r="332" spans="1:14" ht="15.75" customHeight="1" x14ac:dyDescent="0.25">
      <c r="A332" s="131">
        <v>323</v>
      </c>
      <c r="B332" s="132"/>
      <c r="C332" s="132"/>
      <c r="D332" s="132"/>
      <c r="E332" s="132"/>
      <c r="F332" s="132"/>
      <c r="G332" s="132"/>
      <c r="H332" s="132"/>
      <c r="I332" s="132"/>
      <c r="J332" s="132"/>
      <c r="K332" s="132"/>
      <c r="L332" s="132"/>
      <c r="M332" s="132"/>
      <c r="N332" s="132"/>
    </row>
    <row r="333" spans="1:14" ht="15.75" customHeight="1" x14ac:dyDescent="0.25">
      <c r="A333" s="133">
        <v>324</v>
      </c>
      <c r="B333" s="134"/>
      <c r="C333" s="134"/>
      <c r="D333" s="134"/>
      <c r="E333" s="134"/>
      <c r="F333" s="134"/>
      <c r="G333" s="134"/>
      <c r="H333" s="134"/>
      <c r="I333" s="134"/>
      <c r="J333" s="134"/>
      <c r="K333" s="134"/>
      <c r="L333" s="134"/>
      <c r="M333" s="134"/>
      <c r="N333" s="134"/>
    </row>
    <row r="334" spans="1:14" ht="15.75" customHeight="1" x14ac:dyDescent="0.25">
      <c r="A334" s="131">
        <v>325</v>
      </c>
      <c r="B334" s="132"/>
      <c r="C334" s="132"/>
      <c r="D334" s="132"/>
      <c r="E334" s="132"/>
      <c r="F334" s="132"/>
      <c r="G334" s="132"/>
      <c r="H334" s="132"/>
      <c r="I334" s="132"/>
      <c r="J334" s="132"/>
      <c r="K334" s="132"/>
      <c r="L334" s="132"/>
      <c r="M334" s="132"/>
      <c r="N334" s="132"/>
    </row>
    <row r="335" spans="1:14" ht="15.75" customHeight="1" x14ac:dyDescent="0.25">
      <c r="A335" s="133">
        <v>326</v>
      </c>
      <c r="B335" s="134"/>
      <c r="C335" s="134"/>
      <c r="D335" s="134"/>
      <c r="E335" s="134"/>
      <c r="F335" s="134"/>
      <c r="G335" s="134"/>
      <c r="H335" s="134"/>
      <c r="I335" s="134"/>
      <c r="J335" s="134"/>
      <c r="K335" s="134"/>
      <c r="L335" s="134"/>
      <c r="M335" s="134"/>
      <c r="N335" s="134"/>
    </row>
    <row r="336" spans="1:14" ht="15.75" customHeight="1" x14ac:dyDescent="0.25">
      <c r="A336" s="131">
        <v>327</v>
      </c>
      <c r="B336" s="132"/>
      <c r="C336" s="132"/>
      <c r="D336" s="132"/>
      <c r="E336" s="132"/>
      <c r="F336" s="132"/>
      <c r="G336" s="132"/>
      <c r="H336" s="132"/>
      <c r="I336" s="132"/>
      <c r="J336" s="132"/>
      <c r="K336" s="132"/>
      <c r="L336" s="132"/>
      <c r="M336" s="132"/>
      <c r="N336" s="132"/>
    </row>
    <row r="337" spans="1:14" ht="15.75" customHeight="1" x14ac:dyDescent="0.25">
      <c r="A337" s="133">
        <v>328</v>
      </c>
      <c r="B337" s="134"/>
      <c r="C337" s="134"/>
      <c r="D337" s="134"/>
      <c r="E337" s="134"/>
      <c r="F337" s="134"/>
      <c r="G337" s="134"/>
      <c r="H337" s="134"/>
      <c r="I337" s="134"/>
      <c r="J337" s="134"/>
      <c r="K337" s="134"/>
      <c r="L337" s="134"/>
      <c r="M337" s="134"/>
      <c r="N337" s="134"/>
    </row>
    <row r="338" spans="1:14" ht="15.75" customHeight="1" x14ac:dyDescent="0.25">
      <c r="A338" s="131">
        <v>329</v>
      </c>
      <c r="B338" s="132"/>
      <c r="C338" s="132"/>
      <c r="D338" s="132"/>
      <c r="E338" s="132"/>
      <c r="F338" s="132"/>
      <c r="G338" s="132"/>
      <c r="H338" s="132"/>
      <c r="I338" s="132"/>
      <c r="J338" s="132"/>
      <c r="K338" s="132"/>
      <c r="L338" s="132"/>
      <c r="M338" s="132"/>
      <c r="N338" s="132"/>
    </row>
    <row r="339" spans="1:14" ht="15.75" customHeight="1" x14ac:dyDescent="0.25">
      <c r="A339" s="133">
        <v>330</v>
      </c>
      <c r="B339" s="134"/>
      <c r="C339" s="134"/>
      <c r="D339" s="134"/>
      <c r="E339" s="134"/>
      <c r="F339" s="134"/>
      <c r="G339" s="134"/>
      <c r="H339" s="134"/>
      <c r="I339" s="134"/>
      <c r="J339" s="134"/>
      <c r="K339" s="134"/>
      <c r="L339" s="134"/>
      <c r="M339" s="134"/>
      <c r="N339" s="134"/>
    </row>
    <row r="340" spans="1:14" ht="15.75" customHeight="1" x14ac:dyDescent="0.25">
      <c r="A340" s="131">
        <v>331</v>
      </c>
      <c r="B340" s="132"/>
      <c r="C340" s="132"/>
      <c r="D340" s="132"/>
      <c r="E340" s="132"/>
      <c r="F340" s="132"/>
      <c r="G340" s="132"/>
      <c r="H340" s="132"/>
      <c r="I340" s="132"/>
      <c r="J340" s="132"/>
      <c r="K340" s="132"/>
      <c r="L340" s="132"/>
      <c r="M340" s="132"/>
      <c r="N340" s="132"/>
    </row>
    <row r="341" spans="1:14" ht="15.75" customHeight="1" x14ac:dyDescent="0.25">
      <c r="A341" s="133">
        <v>332</v>
      </c>
      <c r="B341" s="134"/>
      <c r="C341" s="134"/>
      <c r="D341" s="134"/>
      <c r="E341" s="134"/>
      <c r="F341" s="134"/>
      <c r="G341" s="134"/>
      <c r="H341" s="134"/>
      <c r="I341" s="134"/>
      <c r="J341" s="134"/>
      <c r="K341" s="134"/>
      <c r="L341" s="134"/>
      <c r="M341" s="134"/>
      <c r="N341" s="134"/>
    </row>
    <row r="342" spans="1:14" ht="15.75" customHeight="1" x14ac:dyDescent="0.25">
      <c r="A342" s="131">
        <v>333</v>
      </c>
      <c r="B342" s="132"/>
      <c r="C342" s="132"/>
      <c r="D342" s="132"/>
      <c r="E342" s="132"/>
      <c r="F342" s="132"/>
      <c r="G342" s="132"/>
      <c r="H342" s="132"/>
      <c r="I342" s="132"/>
      <c r="J342" s="132"/>
      <c r="K342" s="132"/>
      <c r="L342" s="132"/>
      <c r="M342" s="132"/>
      <c r="N342" s="132"/>
    </row>
    <row r="343" spans="1:14" ht="15.75" customHeight="1" x14ac:dyDescent="0.25">
      <c r="A343" s="133">
        <v>334</v>
      </c>
      <c r="B343" s="134"/>
      <c r="C343" s="134"/>
      <c r="D343" s="134"/>
      <c r="E343" s="134"/>
      <c r="F343" s="134"/>
      <c r="G343" s="134"/>
      <c r="H343" s="134"/>
      <c r="I343" s="134"/>
      <c r="J343" s="134"/>
      <c r="K343" s="134"/>
      <c r="L343" s="134"/>
      <c r="M343" s="134"/>
      <c r="N343" s="134"/>
    </row>
    <row r="344" spans="1:14" ht="15.75" customHeight="1" x14ac:dyDescent="0.25">
      <c r="A344" s="131">
        <v>335</v>
      </c>
      <c r="B344" s="132"/>
      <c r="C344" s="132"/>
      <c r="D344" s="132"/>
      <c r="E344" s="132"/>
      <c r="F344" s="132"/>
      <c r="G344" s="132"/>
      <c r="H344" s="132"/>
      <c r="I344" s="132"/>
      <c r="J344" s="132"/>
      <c r="K344" s="132"/>
      <c r="L344" s="132"/>
      <c r="M344" s="132"/>
      <c r="N344" s="132"/>
    </row>
    <row r="345" spans="1:14" ht="15.75" customHeight="1" x14ac:dyDescent="0.25">
      <c r="A345" s="133">
        <v>336</v>
      </c>
      <c r="B345" s="134"/>
      <c r="C345" s="134"/>
      <c r="D345" s="134"/>
      <c r="E345" s="134"/>
      <c r="F345" s="134"/>
      <c r="G345" s="134"/>
      <c r="H345" s="134"/>
      <c r="I345" s="134"/>
      <c r="J345" s="134"/>
      <c r="K345" s="134"/>
      <c r="L345" s="134"/>
      <c r="M345" s="134"/>
      <c r="N345" s="134"/>
    </row>
    <row r="346" spans="1:14" ht="15.75" customHeight="1" x14ac:dyDescent="0.25">
      <c r="A346" s="131">
        <v>337</v>
      </c>
      <c r="B346" s="132"/>
      <c r="C346" s="132"/>
      <c r="D346" s="132"/>
      <c r="E346" s="132"/>
      <c r="F346" s="132"/>
      <c r="G346" s="132"/>
      <c r="H346" s="132"/>
      <c r="I346" s="132"/>
      <c r="J346" s="132"/>
      <c r="K346" s="132"/>
      <c r="L346" s="132"/>
      <c r="M346" s="132"/>
      <c r="N346" s="132"/>
    </row>
    <row r="347" spans="1:14" ht="15.75" customHeight="1" x14ac:dyDescent="0.25">
      <c r="A347" s="133">
        <v>338</v>
      </c>
      <c r="B347" s="134"/>
      <c r="C347" s="134"/>
      <c r="D347" s="134"/>
      <c r="E347" s="134"/>
      <c r="F347" s="134"/>
      <c r="G347" s="134"/>
      <c r="H347" s="134"/>
      <c r="I347" s="134"/>
      <c r="J347" s="134"/>
      <c r="K347" s="134"/>
      <c r="L347" s="134"/>
      <c r="M347" s="134"/>
      <c r="N347" s="134"/>
    </row>
    <row r="348" spans="1:14" ht="15.75" customHeight="1" x14ac:dyDescent="0.25">
      <c r="A348" s="131">
        <v>339</v>
      </c>
      <c r="B348" s="132"/>
      <c r="C348" s="132"/>
      <c r="D348" s="132"/>
      <c r="E348" s="132"/>
      <c r="F348" s="132"/>
      <c r="G348" s="132"/>
      <c r="H348" s="132"/>
      <c r="I348" s="132"/>
      <c r="J348" s="132"/>
      <c r="K348" s="132"/>
      <c r="L348" s="132"/>
      <c r="M348" s="132"/>
      <c r="N348" s="132"/>
    </row>
    <row r="349" spans="1:14" ht="15.75" customHeight="1" x14ac:dyDescent="0.25">
      <c r="A349" s="133">
        <v>340</v>
      </c>
      <c r="B349" s="134"/>
      <c r="C349" s="134"/>
      <c r="D349" s="134"/>
      <c r="E349" s="134"/>
      <c r="F349" s="134"/>
      <c r="G349" s="134"/>
      <c r="H349" s="134"/>
      <c r="I349" s="134"/>
      <c r="J349" s="134"/>
      <c r="K349" s="134"/>
      <c r="L349" s="134"/>
      <c r="M349" s="134"/>
      <c r="N349" s="134"/>
    </row>
    <row r="350" spans="1:14" ht="15.75" customHeight="1" x14ac:dyDescent="0.25">
      <c r="A350" s="131">
        <v>341</v>
      </c>
      <c r="B350" s="132"/>
      <c r="C350" s="132"/>
      <c r="D350" s="132"/>
      <c r="E350" s="132"/>
      <c r="F350" s="132"/>
      <c r="G350" s="132"/>
      <c r="H350" s="132"/>
      <c r="I350" s="132"/>
      <c r="J350" s="132"/>
      <c r="K350" s="132"/>
      <c r="L350" s="132"/>
      <c r="M350" s="132"/>
      <c r="N350" s="132"/>
    </row>
    <row r="351" spans="1:14" ht="15.75" customHeight="1" x14ac:dyDescent="0.25">
      <c r="A351" s="133">
        <v>342</v>
      </c>
      <c r="B351" s="134"/>
      <c r="C351" s="134"/>
      <c r="D351" s="134"/>
      <c r="E351" s="134"/>
      <c r="F351" s="134"/>
      <c r="G351" s="134"/>
      <c r="H351" s="134"/>
      <c r="I351" s="134"/>
      <c r="J351" s="134"/>
      <c r="K351" s="134"/>
      <c r="L351" s="134"/>
      <c r="M351" s="134"/>
      <c r="N351" s="134"/>
    </row>
    <row r="352" spans="1:14" ht="15.75" customHeight="1" x14ac:dyDescent="0.25">
      <c r="A352" s="131">
        <v>343</v>
      </c>
      <c r="B352" s="132"/>
      <c r="C352" s="132"/>
      <c r="D352" s="132"/>
      <c r="E352" s="132"/>
      <c r="F352" s="132"/>
      <c r="G352" s="132"/>
      <c r="H352" s="132"/>
      <c r="I352" s="132"/>
      <c r="J352" s="132"/>
      <c r="K352" s="132"/>
      <c r="L352" s="132"/>
      <c r="M352" s="132"/>
      <c r="N352" s="132"/>
    </row>
    <row r="353" spans="1:14" ht="15.75" customHeight="1" x14ac:dyDescent="0.25">
      <c r="A353" s="133">
        <v>344</v>
      </c>
      <c r="B353" s="134"/>
      <c r="C353" s="134"/>
      <c r="D353" s="134"/>
      <c r="E353" s="134"/>
      <c r="F353" s="134"/>
      <c r="G353" s="134"/>
      <c r="H353" s="134"/>
      <c r="I353" s="134"/>
      <c r="J353" s="134"/>
      <c r="K353" s="134"/>
      <c r="L353" s="134"/>
      <c r="M353" s="134"/>
      <c r="N353" s="134"/>
    </row>
    <row r="354" spans="1:14" ht="15.75" customHeight="1" x14ac:dyDescent="0.25">
      <c r="A354" s="131">
        <v>345</v>
      </c>
      <c r="B354" s="132"/>
      <c r="C354" s="132"/>
      <c r="D354" s="132"/>
      <c r="E354" s="132"/>
      <c r="F354" s="132"/>
      <c r="G354" s="132"/>
      <c r="H354" s="132"/>
      <c r="I354" s="132"/>
      <c r="J354" s="132"/>
      <c r="K354" s="132"/>
      <c r="L354" s="132"/>
      <c r="M354" s="132"/>
      <c r="N354" s="132"/>
    </row>
    <row r="355" spans="1:14" ht="15.75" customHeight="1" x14ac:dyDescent="0.25">
      <c r="A355" s="133">
        <v>346</v>
      </c>
      <c r="B355" s="134"/>
      <c r="C355" s="134"/>
      <c r="D355" s="134"/>
      <c r="E355" s="134"/>
      <c r="F355" s="134"/>
      <c r="G355" s="134"/>
      <c r="H355" s="134"/>
      <c r="I355" s="134"/>
      <c r="J355" s="134"/>
      <c r="K355" s="134"/>
      <c r="L355" s="134"/>
      <c r="M355" s="134"/>
      <c r="N355" s="134"/>
    </row>
    <row r="356" spans="1:14" ht="15.75" customHeight="1" x14ac:dyDescent="0.25">
      <c r="A356" s="131">
        <v>347</v>
      </c>
      <c r="B356" s="132"/>
      <c r="C356" s="132"/>
      <c r="D356" s="132"/>
      <c r="E356" s="132"/>
      <c r="F356" s="132"/>
      <c r="G356" s="132"/>
      <c r="H356" s="132"/>
      <c r="I356" s="132"/>
      <c r="J356" s="132"/>
      <c r="K356" s="132"/>
      <c r="L356" s="132"/>
      <c r="M356" s="132"/>
      <c r="N356" s="132"/>
    </row>
    <row r="357" spans="1:14" ht="15.75" customHeight="1" x14ac:dyDescent="0.25">
      <c r="A357" s="133">
        <v>348</v>
      </c>
      <c r="B357" s="134"/>
      <c r="C357" s="134"/>
      <c r="D357" s="134"/>
      <c r="E357" s="134"/>
      <c r="F357" s="134"/>
      <c r="G357" s="134"/>
      <c r="H357" s="134"/>
      <c r="I357" s="134"/>
      <c r="J357" s="134"/>
      <c r="K357" s="134"/>
      <c r="L357" s="134"/>
      <c r="M357" s="134"/>
      <c r="N357" s="134"/>
    </row>
    <row r="358" spans="1:14" ht="15.75" customHeight="1" x14ac:dyDescent="0.25">
      <c r="A358" s="131">
        <v>349</v>
      </c>
      <c r="B358" s="132"/>
      <c r="C358" s="132"/>
      <c r="D358" s="132"/>
      <c r="E358" s="132"/>
      <c r="F358" s="132"/>
      <c r="G358" s="132"/>
      <c r="H358" s="132"/>
      <c r="I358" s="132"/>
      <c r="J358" s="132"/>
      <c r="K358" s="132"/>
      <c r="L358" s="132"/>
      <c r="M358" s="132"/>
      <c r="N358" s="132"/>
    </row>
    <row r="359" spans="1:14" ht="15.75" customHeight="1" x14ac:dyDescent="0.25">
      <c r="A359" s="133">
        <v>350</v>
      </c>
      <c r="B359" s="134"/>
      <c r="C359" s="134"/>
      <c r="D359" s="134"/>
      <c r="E359" s="134"/>
      <c r="F359" s="134"/>
      <c r="G359" s="134"/>
      <c r="H359" s="134"/>
      <c r="I359" s="134"/>
      <c r="J359" s="134"/>
      <c r="K359" s="134"/>
      <c r="L359" s="134"/>
      <c r="M359" s="134"/>
      <c r="N359" s="134"/>
    </row>
    <row r="360" spans="1:14" ht="15.75" customHeight="1" x14ac:dyDescent="0.25">
      <c r="A360" s="131">
        <v>351</v>
      </c>
      <c r="B360" s="132"/>
      <c r="C360" s="132"/>
      <c r="D360" s="132"/>
      <c r="E360" s="132"/>
      <c r="F360" s="132"/>
      <c r="G360" s="132"/>
      <c r="H360" s="132"/>
      <c r="I360" s="132"/>
      <c r="J360" s="132"/>
      <c r="K360" s="132"/>
      <c r="L360" s="132"/>
      <c r="M360" s="132"/>
      <c r="N360" s="132"/>
    </row>
    <row r="361" spans="1:14" ht="15.75" customHeight="1" x14ac:dyDescent="0.25">
      <c r="A361" s="133">
        <v>352</v>
      </c>
      <c r="B361" s="134"/>
      <c r="C361" s="134"/>
      <c r="D361" s="134"/>
      <c r="E361" s="134"/>
      <c r="F361" s="134"/>
      <c r="G361" s="134"/>
      <c r="H361" s="134"/>
      <c r="I361" s="134"/>
      <c r="J361" s="134"/>
      <c r="K361" s="134"/>
      <c r="L361" s="134"/>
      <c r="M361" s="134"/>
      <c r="N361" s="134"/>
    </row>
    <row r="362" spans="1:14" ht="15.75" customHeight="1" x14ac:dyDescent="0.25">
      <c r="A362" s="131">
        <v>353</v>
      </c>
      <c r="B362" s="132"/>
      <c r="C362" s="132"/>
      <c r="D362" s="132"/>
      <c r="E362" s="132"/>
      <c r="F362" s="132"/>
      <c r="G362" s="132"/>
      <c r="H362" s="132"/>
      <c r="I362" s="132"/>
      <c r="J362" s="132"/>
      <c r="K362" s="132"/>
      <c r="L362" s="132"/>
      <c r="M362" s="132"/>
      <c r="N362" s="132"/>
    </row>
    <row r="363" spans="1:14" ht="15.75" customHeight="1" x14ac:dyDescent="0.25">
      <c r="A363" s="133">
        <v>354</v>
      </c>
      <c r="B363" s="134"/>
      <c r="C363" s="134"/>
      <c r="D363" s="134"/>
      <c r="E363" s="134"/>
      <c r="F363" s="134"/>
      <c r="G363" s="134"/>
      <c r="H363" s="134"/>
      <c r="I363" s="134"/>
      <c r="J363" s="134"/>
      <c r="K363" s="134"/>
      <c r="L363" s="134"/>
      <c r="M363" s="134"/>
      <c r="N363" s="134"/>
    </row>
    <row r="364" spans="1:14" ht="15.75" customHeight="1" x14ac:dyDescent="0.25">
      <c r="A364" s="131">
        <v>355</v>
      </c>
      <c r="B364" s="132"/>
      <c r="C364" s="132"/>
      <c r="D364" s="132"/>
      <c r="E364" s="132"/>
      <c r="F364" s="132"/>
      <c r="G364" s="132"/>
      <c r="H364" s="132"/>
      <c r="I364" s="132"/>
      <c r="J364" s="132"/>
      <c r="K364" s="132"/>
      <c r="L364" s="132"/>
      <c r="M364" s="132"/>
      <c r="N364" s="132"/>
    </row>
    <row r="365" spans="1:14" ht="15.75" customHeight="1" x14ac:dyDescent="0.25">
      <c r="A365" s="133">
        <v>356</v>
      </c>
      <c r="B365" s="134"/>
      <c r="C365" s="134"/>
      <c r="D365" s="134"/>
      <c r="E365" s="134"/>
      <c r="F365" s="134"/>
      <c r="G365" s="134"/>
      <c r="H365" s="134"/>
      <c r="I365" s="134"/>
      <c r="J365" s="134"/>
      <c r="K365" s="134"/>
      <c r="L365" s="134"/>
      <c r="M365" s="134"/>
      <c r="N365" s="134"/>
    </row>
    <row r="366" spans="1:14" ht="15.75" customHeight="1" x14ac:dyDescent="0.25">
      <c r="A366" s="131">
        <v>357</v>
      </c>
      <c r="B366" s="132"/>
      <c r="C366" s="132"/>
      <c r="D366" s="132"/>
      <c r="E366" s="132"/>
      <c r="F366" s="132"/>
      <c r="G366" s="132"/>
      <c r="H366" s="132"/>
      <c r="I366" s="132"/>
      <c r="J366" s="132"/>
      <c r="K366" s="132"/>
      <c r="L366" s="132"/>
      <c r="M366" s="132"/>
      <c r="N366" s="132"/>
    </row>
    <row r="367" spans="1:14" ht="15.75" customHeight="1" x14ac:dyDescent="0.25">
      <c r="A367" s="133">
        <v>358</v>
      </c>
      <c r="B367" s="134"/>
      <c r="C367" s="134"/>
      <c r="D367" s="134"/>
      <c r="E367" s="134"/>
      <c r="F367" s="134"/>
      <c r="G367" s="134"/>
      <c r="H367" s="134"/>
      <c r="I367" s="134"/>
      <c r="J367" s="134"/>
      <c r="K367" s="134"/>
      <c r="L367" s="134"/>
      <c r="M367" s="134"/>
      <c r="N367" s="134"/>
    </row>
    <row r="368" spans="1:14" ht="15.75" customHeight="1" x14ac:dyDescent="0.25">
      <c r="A368" s="131">
        <v>359</v>
      </c>
      <c r="B368" s="132"/>
      <c r="C368" s="132"/>
      <c r="D368" s="132"/>
      <c r="E368" s="132"/>
      <c r="F368" s="132"/>
      <c r="G368" s="132"/>
      <c r="H368" s="132"/>
      <c r="I368" s="132"/>
      <c r="J368" s="132"/>
      <c r="K368" s="132"/>
      <c r="L368" s="132"/>
      <c r="M368" s="132"/>
      <c r="N368" s="132"/>
    </row>
    <row r="369" spans="1:14" ht="15.75" customHeight="1" x14ac:dyDescent="0.25">
      <c r="A369" s="133">
        <v>360</v>
      </c>
      <c r="B369" s="134"/>
      <c r="C369" s="134"/>
      <c r="D369" s="134"/>
      <c r="E369" s="134"/>
      <c r="F369" s="134"/>
      <c r="G369" s="134"/>
      <c r="H369" s="134"/>
      <c r="I369" s="134"/>
      <c r="J369" s="134"/>
      <c r="K369" s="134"/>
      <c r="L369" s="134"/>
      <c r="M369" s="134"/>
      <c r="N369" s="134"/>
    </row>
    <row r="370" spans="1:14" ht="15.75" customHeight="1" x14ac:dyDescent="0.25">
      <c r="A370" s="131">
        <v>361</v>
      </c>
      <c r="B370" s="132"/>
      <c r="C370" s="132"/>
      <c r="D370" s="132"/>
      <c r="E370" s="132"/>
      <c r="F370" s="132"/>
      <c r="G370" s="132"/>
      <c r="H370" s="132"/>
      <c r="I370" s="132"/>
      <c r="J370" s="132"/>
      <c r="K370" s="132"/>
      <c r="L370" s="132"/>
      <c r="M370" s="132"/>
      <c r="N370" s="132"/>
    </row>
    <row r="371" spans="1:14" ht="15.75" customHeight="1" x14ac:dyDescent="0.25">
      <c r="A371" s="133">
        <v>362</v>
      </c>
      <c r="B371" s="134"/>
      <c r="C371" s="134"/>
      <c r="D371" s="134"/>
      <c r="E371" s="134"/>
      <c r="F371" s="134"/>
      <c r="G371" s="134"/>
      <c r="H371" s="134"/>
      <c r="I371" s="134"/>
      <c r="J371" s="134"/>
      <c r="K371" s="134"/>
      <c r="L371" s="134"/>
      <c r="M371" s="134"/>
      <c r="N371" s="134"/>
    </row>
    <row r="372" spans="1:14" ht="15.75" customHeight="1" x14ac:dyDescent="0.25">
      <c r="A372" s="131">
        <v>363</v>
      </c>
      <c r="B372" s="132"/>
      <c r="C372" s="132"/>
      <c r="D372" s="132"/>
      <c r="E372" s="132"/>
      <c r="F372" s="132"/>
      <c r="G372" s="132"/>
      <c r="H372" s="132"/>
      <c r="I372" s="132"/>
      <c r="J372" s="132"/>
      <c r="K372" s="132"/>
      <c r="L372" s="132"/>
      <c r="M372" s="132"/>
      <c r="N372" s="132"/>
    </row>
    <row r="373" spans="1:14" ht="15.75" customHeight="1" x14ac:dyDescent="0.25">
      <c r="A373" s="133">
        <v>364</v>
      </c>
      <c r="B373" s="134"/>
      <c r="C373" s="134"/>
      <c r="D373" s="134"/>
      <c r="E373" s="134"/>
      <c r="F373" s="134"/>
      <c r="G373" s="134"/>
      <c r="H373" s="134"/>
      <c r="I373" s="134"/>
      <c r="J373" s="134"/>
      <c r="K373" s="134"/>
      <c r="L373" s="134"/>
      <c r="M373" s="134"/>
      <c r="N373" s="134"/>
    </row>
    <row r="374" spans="1:14" ht="15.75" customHeight="1" x14ac:dyDescent="0.25">
      <c r="A374" s="131">
        <v>365</v>
      </c>
      <c r="B374" s="132"/>
      <c r="C374" s="132"/>
      <c r="D374" s="132"/>
      <c r="E374" s="132"/>
      <c r="F374" s="132"/>
      <c r="G374" s="132"/>
      <c r="H374" s="132"/>
      <c r="I374" s="132"/>
      <c r="J374" s="132"/>
      <c r="K374" s="132"/>
      <c r="L374" s="132"/>
      <c r="M374" s="132"/>
      <c r="N374" s="132"/>
    </row>
    <row r="375" spans="1:14" ht="15.75" customHeight="1" x14ac:dyDescent="0.25">
      <c r="A375" s="133">
        <v>366</v>
      </c>
      <c r="B375" s="134"/>
      <c r="C375" s="134"/>
      <c r="D375" s="134"/>
      <c r="E375" s="134"/>
      <c r="F375" s="134"/>
      <c r="G375" s="134"/>
      <c r="H375" s="134"/>
      <c r="I375" s="134"/>
      <c r="J375" s="134"/>
      <c r="K375" s="134"/>
      <c r="L375" s="134"/>
      <c r="M375" s="134"/>
      <c r="N375" s="134"/>
    </row>
    <row r="376" spans="1:14" ht="15.75" customHeight="1" x14ac:dyDescent="0.25">
      <c r="A376" s="131">
        <v>367</v>
      </c>
      <c r="B376" s="132"/>
      <c r="C376" s="132"/>
      <c r="D376" s="132"/>
      <c r="E376" s="132"/>
      <c r="F376" s="132"/>
      <c r="G376" s="132"/>
      <c r="H376" s="132"/>
      <c r="I376" s="132"/>
      <c r="J376" s="132"/>
      <c r="K376" s="132"/>
      <c r="L376" s="132"/>
      <c r="M376" s="132"/>
      <c r="N376" s="132"/>
    </row>
    <row r="377" spans="1:14" ht="15.75" customHeight="1" x14ac:dyDescent="0.25">
      <c r="A377" s="133">
        <v>368</v>
      </c>
      <c r="B377" s="134"/>
      <c r="C377" s="134"/>
      <c r="D377" s="134"/>
      <c r="E377" s="134"/>
      <c r="F377" s="134"/>
      <c r="G377" s="134"/>
      <c r="H377" s="134"/>
      <c r="I377" s="134"/>
      <c r="J377" s="134"/>
      <c r="K377" s="134"/>
      <c r="L377" s="134"/>
      <c r="M377" s="134"/>
      <c r="N377" s="134"/>
    </row>
    <row r="378" spans="1:14" ht="15.75" customHeight="1" x14ac:dyDescent="0.25">
      <c r="A378" s="131">
        <v>369</v>
      </c>
      <c r="B378" s="132"/>
      <c r="C378" s="132"/>
      <c r="D378" s="132"/>
      <c r="E378" s="132"/>
      <c r="F378" s="132"/>
      <c r="G378" s="132"/>
      <c r="H378" s="132"/>
      <c r="I378" s="132"/>
      <c r="J378" s="132"/>
      <c r="K378" s="132"/>
      <c r="L378" s="132"/>
      <c r="M378" s="132"/>
      <c r="N378" s="132"/>
    </row>
    <row r="379" spans="1:14" ht="15.75" customHeight="1" x14ac:dyDescent="0.25">
      <c r="A379" s="133">
        <v>370</v>
      </c>
      <c r="B379" s="134"/>
      <c r="C379" s="134"/>
      <c r="D379" s="134"/>
      <c r="E379" s="134"/>
      <c r="F379" s="134"/>
      <c r="G379" s="134"/>
      <c r="H379" s="134"/>
      <c r="I379" s="134"/>
      <c r="J379" s="134"/>
      <c r="K379" s="134"/>
      <c r="L379" s="134"/>
      <c r="M379" s="134"/>
      <c r="N379" s="134"/>
    </row>
    <row r="380" spans="1:14" ht="15.75" customHeight="1" x14ac:dyDescent="0.25">
      <c r="A380" s="131">
        <v>371</v>
      </c>
      <c r="B380" s="132"/>
      <c r="C380" s="132"/>
      <c r="D380" s="132"/>
      <c r="E380" s="132"/>
      <c r="F380" s="132"/>
      <c r="G380" s="132"/>
      <c r="H380" s="132"/>
      <c r="I380" s="132"/>
      <c r="J380" s="132"/>
      <c r="K380" s="132"/>
      <c r="L380" s="132"/>
      <c r="M380" s="132"/>
      <c r="N380" s="132"/>
    </row>
    <row r="381" spans="1:14" ht="15.75" customHeight="1" x14ac:dyDescent="0.25">
      <c r="A381" s="133">
        <v>372</v>
      </c>
      <c r="B381" s="134"/>
      <c r="C381" s="134"/>
      <c r="D381" s="134"/>
      <c r="E381" s="134"/>
      <c r="F381" s="134"/>
      <c r="G381" s="134"/>
      <c r="H381" s="134"/>
      <c r="I381" s="134"/>
      <c r="J381" s="134"/>
      <c r="K381" s="134"/>
      <c r="L381" s="134"/>
      <c r="M381" s="134"/>
      <c r="N381" s="134"/>
    </row>
    <row r="382" spans="1:14" ht="15.75" customHeight="1" x14ac:dyDescent="0.25">
      <c r="A382" s="131">
        <v>373</v>
      </c>
      <c r="B382" s="132"/>
      <c r="C382" s="132"/>
      <c r="D382" s="132"/>
      <c r="E382" s="132"/>
      <c r="F382" s="132"/>
      <c r="G382" s="132"/>
      <c r="H382" s="132"/>
      <c r="I382" s="132"/>
      <c r="J382" s="132"/>
      <c r="K382" s="132"/>
      <c r="L382" s="132"/>
      <c r="M382" s="132"/>
      <c r="N382" s="132"/>
    </row>
    <row r="383" spans="1:14" ht="15.75" customHeight="1" x14ac:dyDescent="0.25">
      <c r="A383" s="133">
        <v>374</v>
      </c>
      <c r="B383" s="134"/>
      <c r="C383" s="134"/>
      <c r="D383" s="134"/>
      <c r="E383" s="134"/>
      <c r="F383" s="134"/>
      <c r="G383" s="134"/>
      <c r="H383" s="134"/>
      <c r="I383" s="134"/>
      <c r="J383" s="134"/>
      <c r="K383" s="134"/>
      <c r="L383" s="134"/>
      <c r="M383" s="134"/>
      <c r="N383" s="134"/>
    </row>
    <row r="384" spans="1:14" ht="15.75" customHeight="1" x14ac:dyDescent="0.25">
      <c r="A384" s="131">
        <v>375</v>
      </c>
      <c r="B384" s="132"/>
      <c r="C384" s="132"/>
      <c r="D384" s="132"/>
      <c r="E384" s="132"/>
      <c r="F384" s="132"/>
      <c r="G384" s="132"/>
      <c r="H384" s="132"/>
      <c r="I384" s="132"/>
      <c r="J384" s="132"/>
      <c r="K384" s="132"/>
      <c r="L384" s="132"/>
      <c r="M384" s="132"/>
      <c r="N384" s="132"/>
    </row>
    <row r="385" spans="1:14" ht="15.75" customHeight="1" x14ac:dyDescent="0.25">
      <c r="A385" s="133">
        <v>376</v>
      </c>
      <c r="B385" s="134"/>
      <c r="C385" s="134"/>
      <c r="D385" s="134"/>
      <c r="E385" s="134"/>
      <c r="F385" s="134"/>
      <c r="G385" s="134"/>
      <c r="H385" s="134"/>
      <c r="I385" s="134"/>
      <c r="J385" s="134"/>
      <c r="K385" s="134"/>
      <c r="L385" s="134"/>
      <c r="M385" s="134"/>
      <c r="N385" s="134"/>
    </row>
    <row r="386" spans="1:14" ht="15.75" customHeight="1" x14ac:dyDescent="0.25">
      <c r="A386" s="131">
        <v>377</v>
      </c>
      <c r="B386" s="132"/>
      <c r="C386" s="132"/>
      <c r="D386" s="132"/>
      <c r="E386" s="132"/>
      <c r="F386" s="132"/>
      <c r="G386" s="132"/>
      <c r="H386" s="132"/>
      <c r="I386" s="132"/>
      <c r="J386" s="132"/>
      <c r="K386" s="132"/>
      <c r="L386" s="132"/>
      <c r="M386" s="132"/>
      <c r="N386" s="132"/>
    </row>
    <row r="387" spans="1:14" ht="15.75" customHeight="1" x14ac:dyDescent="0.25">
      <c r="A387" s="133">
        <v>378</v>
      </c>
      <c r="B387" s="134"/>
      <c r="C387" s="134"/>
      <c r="D387" s="134"/>
      <c r="E387" s="134"/>
      <c r="F387" s="134"/>
      <c r="G387" s="134"/>
      <c r="H387" s="134"/>
      <c r="I387" s="134"/>
      <c r="J387" s="134"/>
      <c r="K387" s="134"/>
      <c r="L387" s="134"/>
      <c r="M387" s="134"/>
      <c r="N387" s="134"/>
    </row>
    <row r="388" spans="1:14" ht="15.75" customHeight="1" x14ac:dyDescent="0.25">
      <c r="A388" s="131">
        <v>379</v>
      </c>
      <c r="B388" s="132"/>
      <c r="C388" s="132"/>
      <c r="D388" s="132"/>
      <c r="E388" s="132"/>
      <c r="F388" s="132"/>
      <c r="G388" s="132"/>
      <c r="H388" s="132"/>
      <c r="I388" s="132"/>
      <c r="J388" s="132"/>
      <c r="K388" s="132"/>
      <c r="L388" s="132"/>
      <c r="M388" s="132"/>
      <c r="N388" s="132"/>
    </row>
    <row r="389" spans="1:14" ht="15.75" customHeight="1" x14ac:dyDescent="0.25">
      <c r="A389" s="133">
        <v>380</v>
      </c>
      <c r="B389" s="134"/>
      <c r="C389" s="134"/>
      <c r="D389" s="134"/>
      <c r="E389" s="134"/>
      <c r="F389" s="134"/>
      <c r="G389" s="134"/>
      <c r="H389" s="134"/>
      <c r="I389" s="134"/>
      <c r="J389" s="134"/>
      <c r="K389" s="134"/>
      <c r="L389" s="134"/>
      <c r="M389" s="134"/>
      <c r="N389" s="134"/>
    </row>
    <row r="390" spans="1:14" ht="15.75" customHeight="1" x14ac:dyDescent="0.25">
      <c r="A390" s="131">
        <v>381</v>
      </c>
      <c r="B390" s="132"/>
      <c r="C390" s="132"/>
      <c r="D390" s="132"/>
      <c r="E390" s="132"/>
      <c r="F390" s="132"/>
      <c r="G390" s="132"/>
      <c r="H390" s="132"/>
      <c r="I390" s="132"/>
      <c r="J390" s="132"/>
      <c r="K390" s="132"/>
      <c r="L390" s="132"/>
      <c r="M390" s="132"/>
      <c r="N390" s="132"/>
    </row>
    <row r="391" spans="1:14" ht="15.75" customHeight="1" x14ac:dyDescent="0.25">
      <c r="A391" s="133">
        <v>382</v>
      </c>
      <c r="B391" s="134"/>
      <c r="C391" s="134"/>
      <c r="D391" s="134"/>
      <c r="E391" s="134"/>
      <c r="F391" s="134"/>
      <c r="G391" s="134"/>
      <c r="H391" s="134"/>
      <c r="I391" s="134"/>
      <c r="J391" s="134"/>
      <c r="K391" s="134"/>
      <c r="L391" s="134"/>
      <c r="M391" s="134"/>
      <c r="N391" s="134"/>
    </row>
    <row r="392" spans="1:14" ht="15.75" customHeight="1" x14ac:dyDescent="0.25">
      <c r="A392" s="131">
        <v>383</v>
      </c>
      <c r="B392" s="132"/>
      <c r="C392" s="132"/>
      <c r="D392" s="132"/>
      <c r="E392" s="132"/>
      <c r="F392" s="132"/>
      <c r="G392" s="132"/>
      <c r="H392" s="132"/>
      <c r="I392" s="132"/>
      <c r="J392" s="132"/>
      <c r="K392" s="132"/>
      <c r="L392" s="132"/>
      <c r="M392" s="132"/>
      <c r="N392" s="132"/>
    </row>
    <row r="393" spans="1:14" ht="15.75" customHeight="1" x14ac:dyDescent="0.25">
      <c r="A393" s="133">
        <v>384</v>
      </c>
      <c r="B393" s="134"/>
      <c r="C393" s="134"/>
      <c r="D393" s="134"/>
      <c r="E393" s="134"/>
      <c r="F393" s="134"/>
      <c r="G393" s="134"/>
      <c r="H393" s="134"/>
      <c r="I393" s="134"/>
      <c r="J393" s="134"/>
      <c r="K393" s="134"/>
      <c r="L393" s="134"/>
      <c r="M393" s="134"/>
      <c r="N393" s="134"/>
    </row>
    <row r="394" spans="1:14" ht="15.75" customHeight="1" x14ac:dyDescent="0.25">
      <c r="A394" s="131">
        <v>385</v>
      </c>
      <c r="B394" s="132"/>
      <c r="C394" s="132"/>
      <c r="D394" s="132"/>
      <c r="E394" s="132"/>
      <c r="F394" s="132"/>
      <c r="G394" s="132"/>
      <c r="H394" s="132"/>
      <c r="I394" s="132"/>
      <c r="J394" s="132"/>
      <c r="K394" s="132"/>
      <c r="L394" s="132"/>
      <c r="M394" s="132"/>
      <c r="N394" s="132"/>
    </row>
    <row r="395" spans="1:14" ht="15.75" customHeight="1" x14ac:dyDescent="0.25">
      <c r="A395" s="133">
        <v>386</v>
      </c>
      <c r="B395" s="134"/>
      <c r="C395" s="134"/>
      <c r="D395" s="134"/>
      <c r="E395" s="134"/>
      <c r="F395" s="134"/>
      <c r="G395" s="134"/>
      <c r="H395" s="134"/>
      <c r="I395" s="134"/>
      <c r="J395" s="134"/>
      <c r="K395" s="134"/>
      <c r="L395" s="134"/>
      <c r="M395" s="134"/>
      <c r="N395" s="134"/>
    </row>
    <row r="396" spans="1:14" ht="15.75" customHeight="1" x14ac:dyDescent="0.25">
      <c r="A396" s="131">
        <v>387</v>
      </c>
      <c r="B396" s="132"/>
      <c r="C396" s="132"/>
      <c r="D396" s="132"/>
      <c r="E396" s="132"/>
      <c r="F396" s="132"/>
      <c r="G396" s="132"/>
      <c r="H396" s="132"/>
      <c r="I396" s="132"/>
      <c r="J396" s="132"/>
      <c r="K396" s="132"/>
      <c r="L396" s="132"/>
      <c r="M396" s="132"/>
      <c r="N396" s="132"/>
    </row>
    <row r="397" spans="1:14" ht="15.75" customHeight="1" x14ac:dyDescent="0.25">
      <c r="A397" s="133">
        <v>388</v>
      </c>
      <c r="B397" s="134"/>
      <c r="C397" s="134"/>
      <c r="D397" s="134"/>
      <c r="E397" s="134"/>
      <c r="F397" s="134"/>
      <c r="G397" s="134"/>
      <c r="H397" s="134"/>
      <c r="I397" s="134"/>
      <c r="J397" s="134"/>
      <c r="K397" s="134"/>
      <c r="L397" s="134"/>
      <c r="M397" s="134"/>
      <c r="N397" s="134"/>
    </row>
    <row r="398" spans="1:14" ht="15.75" customHeight="1" x14ac:dyDescent="0.25">
      <c r="A398" s="131">
        <v>389</v>
      </c>
      <c r="B398" s="132"/>
      <c r="C398" s="132"/>
      <c r="D398" s="132"/>
      <c r="E398" s="132"/>
      <c r="F398" s="132"/>
      <c r="G398" s="132"/>
      <c r="H398" s="132"/>
      <c r="I398" s="132"/>
      <c r="J398" s="132"/>
      <c r="K398" s="132"/>
      <c r="L398" s="132"/>
      <c r="M398" s="132"/>
      <c r="N398" s="132"/>
    </row>
    <row r="399" spans="1:14" ht="15.75" customHeight="1" x14ac:dyDescent="0.25">
      <c r="A399" s="133">
        <v>390</v>
      </c>
      <c r="B399" s="134"/>
      <c r="C399" s="134"/>
      <c r="D399" s="134"/>
      <c r="E399" s="134"/>
      <c r="F399" s="134"/>
      <c r="G399" s="134"/>
      <c r="H399" s="134"/>
      <c r="I399" s="134"/>
      <c r="J399" s="134"/>
      <c r="K399" s="134"/>
      <c r="L399" s="134"/>
      <c r="M399" s="134"/>
      <c r="N399" s="134"/>
    </row>
    <row r="400" spans="1:14" ht="15.75" customHeight="1" x14ac:dyDescent="0.25">
      <c r="A400" s="131">
        <v>391</v>
      </c>
      <c r="B400" s="132"/>
      <c r="C400" s="132"/>
      <c r="D400" s="132"/>
      <c r="E400" s="132"/>
      <c r="F400" s="132"/>
      <c r="G400" s="132"/>
      <c r="H400" s="132"/>
      <c r="I400" s="132"/>
      <c r="J400" s="132"/>
      <c r="K400" s="132"/>
      <c r="L400" s="132"/>
      <c r="M400" s="132"/>
      <c r="N400" s="132"/>
    </row>
    <row r="401" spans="1:14" ht="15.75" customHeight="1" x14ac:dyDescent="0.25">
      <c r="A401" s="133">
        <v>392</v>
      </c>
      <c r="B401" s="134"/>
      <c r="C401" s="134"/>
      <c r="D401" s="134"/>
      <c r="E401" s="134"/>
      <c r="F401" s="134"/>
      <c r="G401" s="134"/>
      <c r="H401" s="134"/>
      <c r="I401" s="134"/>
      <c r="J401" s="134"/>
      <c r="K401" s="134"/>
      <c r="L401" s="134"/>
      <c r="M401" s="134"/>
      <c r="N401" s="134"/>
    </row>
    <row r="402" spans="1:14" ht="15.75" customHeight="1" x14ac:dyDescent="0.25">
      <c r="A402" s="131">
        <v>393</v>
      </c>
      <c r="B402" s="132"/>
      <c r="C402" s="132"/>
      <c r="D402" s="132"/>
      <c r="E402" s="132"/>
      <c r="F402" s="132"/>
      <c r="G402" s="132"/>
      <c r="H402" s="132"/>
      <c r="I402" s="132"/>
      <c r="J402" s="132"/>
      <c r="K402" s="132"/>
      <c r="L402" s="132"/>
      <c r="M402" s="132"/>
      <c r="N402" s="132"/>
    </row>
    <row r="403" spans="1:14" ht="15.75" customHeight="1" x14ac:dyDescent="0.25">
      <c r="A403" s="133">
        <v>394</v>
      </c>
      <c r="B403" s="134"/>
      <c r="C403" s="134"/>
      <c r="D403" s="134"/>
      <c r="E403" s="134"/>
      <c r="F403" s="134"/>
      <c r="G403" s="134"/>
      <c r="H403" s="134"/>
      <c r="I403" s="134"/>
      <c r="J403" s="134"/>
      <c r="K403" s="134"/>
      <c r="L403" s="134"/>
      <c r="M403" s="134"/>
      <c r="N403" s="134"/>
    </row>
    <row r="404" spans="1:14" ht="15.75" customHeight="1" x14ac:dyDescent="0.25">
      <c r="A404" s="131">
        <v>395</v>
      </c>
      <c r="B404" s="132"/>
      <c r="C404" s="132"/>
      <c r="D404" s="132"/>
      <c r="E404" s="132"/>
      <c r="F404" s="132"/>
      <c r="G404" s="132"/>
      <c r="H404" s="132"/>
      <c r="I404" s="132"/>
      <c r="J404" s="132"/>
      <c r="K404" s="132"/>
      <c r="L404" s="132"/>
      <c r="M404" s="132"/>
      <c r="N404" s="132"/>
    </row>
    <row r="405" spans="1:14" ht="15.75" customHeight="1" x14ac:dyDescent="0.25">
      <c r="A405" s="133">
        <v>396</v>
      </c>
      <c r="B405" s="134"/>
      <c r="C405" s="134"/>
      <c r="D405" s="134"/>
      <c r="E405" s="134"/>
      <c r="F405" s="134"/>
      <c r="G405" s="134"/>
      <c r="H405" s="134"/>
      <c r="I405" s="134"/>
      <c r="J405" s="134"/>
      <c r="K405" s="134"/>
      <c r="L405" s="134"/>
      <c r="M405" s="134"/>
      <c r="N405" s="134"/>
    </row>
    <row r="406" spans="1:14" ht="15.75" customHeight="1" x14ac:dyDescent="0.25">
      <c r="A406" s="131">
        <v>397</v>
      </c>
      <c r="B406" s="132"/>
      <c r="C406" s="132"/>
      <c r="D406" s="132"/>
      <c r="E406" s="132"/>
      <c r="F406" s="132"/>
      <c r="G406" s="132"/>
      <c r="H406" s="132"/>
      <c r="I406" s="132"/>
      <c r="J406" s="132"/>
      <c r="K406" s="132"/>
      <c r="L406" s="132"/>
      <c r="M406" s="132"/>
      <c r="N406" s="132"/>
    </row>
    <row r="407" spans="1:14" ht="15.75" customHeight="1" x14ac:dyDescent="0.25">
      <c r="A407" s="133">
        <v>398</v>
      </c>
      <c r="B407" s="134"/>
      <c r="C407" s="134"/>
      <c r="D407" s="134"/>
      <c r="E407" s="134"/>
      <c r="F407" s="134"/>
      <c r="G407" s="134"/>
      <c r="H407" s="134"/>
      <c r="I407" s="134"/>
      <c r="J407" s="134"/>
      <c r="K407" s="134"/>
      <c r="L407" s="134"/>
      <c r="M407" s="134"/>
      <c r="N407" s="134"/>
    </row>
    <row r="408" spans="1:14" ht="15.75" customHeight="1" x14ac:dyDescent="0.25">
      <c r="A408" s="131">
        <v>399</v>
      </c>
      <c r="B408" s="132"/>
      <c r="C408" s="132"/>
      <c r="D408" s="132"/>
      <c r="E408" s="132"/>
      <c r="F408" s="132"/>
      <c r="G408" s="132"/>
      <c r="H408" s="132"/>
      <c r="I408" s="132"/>
      <c r="J408" s="132"/>
      <c r="K408" s="132"/>
      <c r="L408" s="132"/>
      <c r="M408" s="132"/>
      <c r="N408" s="132"/>
    </row>
    <row r="409" spans="1:14" ht="15.75" customHeight="1" x14ac:dyDescent="0.25">
      <c r="A409" s="133">
        <v>400</v>
      </c>
      <c r="B409" s="134"/>
      <c r="C409" s="134"/>
      <c r="D409" s="134"/>
      <c r="E409" s="134"/>
      <c r="F409" s="134"/>
      <c r="G409" s="134"/>
      <c r="H409" s="134"/>
      <c r="I409" s="134"/>
      <c r="J409" s="134"/>
      <c r="K409" s="134"/>
      <c r="L409" s="134"/>
      <c r="M409" s="134"/>
      <c r="N409" s="134"/>
    </row>
    <row r="410" spans="1:14" ht="15.75" customHeight="1" x14ac:dyDescent="0.25">
      <c r="A410" s="131">
        <v>401</v>
      </c>
      <c r="B410" s="132"/>
      <c r="C410" s="132"/>
      <c r="D410" s="132"/>
      <c r="E410" s="132"/>
      <c r="F410" s="132"/>
      <c r="G410" s="132"/>
      <c r="H410" s="132"/>
      <c r="I410" s="132"/>
      <c r="J410" s="132"/>
      <c r="K410" s="132"/>
      <c r="L410" s="132"/>
      <c r="M410" s="132"/>
      <c r="N410" s="132"/>
    </row>
    <row r="411" spans="1:14" ht="15.75" customHeight="1" x14ac:dyDescent="0.25">
      <c r="A411" s="133">
        <v>402</v>
      </c>
      <c r="B411" s="134"/>
      <c r="C411" s="134"/>
      <c r="D411" s="134"/>
      <c r="E411" s="134"/>
      <c r="F411" s="134"/>
      <c r="G411" s="134"/>
      <c r="H411" s="134"/>
      <c r="I411" s="134"/>
      <c r="J411" s="134"/>
      <c r="K411" s="134"/>
      <c r="L411" s="134"/>
      <c r="M411" s="134"/>
      <c r="N411" s="134"/>
    </row>
    <row r="412" spans="1:14" ht="15.75" customHeight="1" x14ac:dyDescent="0.25">
      <c r="A412" s="131">
        <v>403</v>
      </c>
      <c r="B412" s="132"/>
      <c r="C412" s="132"/>
      <c r="D412" s="132"/>
      <c r="E412" s="132"/>
      <c r="F412" s="132"/>
      <c r="G412" s="132"/>
      <c r="H412" s="132"/>
      <c r="I412" s="132"/>
      <c r="J412" s="132"/>
      <c r="K412" s="132"/>
      <c r="L412" s="132"/>
      <c r="M412" s="132"/>
      <c r="N412" s="132"/>
    </row>
    <row r="413" spans="1:14" ht="15.75" customHeight="1" x14ac:dyDescent="0.25">
      <c r="A413" s="133">
        <v>404</v>
      </c>
      <c r="B413" s="134"/>
      <c r="C413" s="134"/>
      <c r="D413" s="134"/>
      <c r="E413" s="134"/>
      <c r="F413" s="134"/>
      <c r="G413" s="134"/>
      <c r="H413" s="134"/>
      <c r="I413" s="134"/>
      <c r="J413" s="134"/>
      <c r="K413" s="134"/>
      <c r="L413" s="134"/>
      <c r="M413" s="134"/>
      <c r="N413" s="134"/>
    </row>
    <row r="414" spans="1:14" ht="15.75" customHeight="1" x14ac:dyDescent="0.25">
      <c r="A414" s="131">
        <v>405</v>
      </c>
      <c r="B414" s="132"/>
      <c r="C414" s="132"/>
      <c r="D414" s="132"/>
      <c r="E414" s="132"/>
      <c r="F414" s="132"/>
      <c r="G414" s="132"/>
      <c r="H414" s="132"/>
      <c r="I414" s="132"/>
      <c r="J414" s="132"/>
      <c r="K414" s="132"/>
      <c r="L414" s="132"/>
      <c r="M414" s="132"/>
      <c r="N414" s="132"/>
    </row>
    <row r="415" spans="1:14" ht="15.75" customHeight="1" x14ac:dyDescent="0.25">
      <c r="A415" s="133">
        <v>406</v>
      </c>
      <c r="B415" s="134"/>
      <c r="C415" s="134"/>
      <c r="D415" s="134"/>
      <c r="E415" s="134"/>
      <c r="F415" s="134"/>
      <c r="G415" s="134"/>
      <c r="H415" s="134"/>
      <c r="I415" s="134"/>
      <c r="J415" s="134"/>
      <c r="K415" s="134"/>
      <c r="L415" s="134"/>
      <c r="M415" s="134"/>
      <c r="N415" s="134"/>
    </row>
    <row r="416" spans="1:14" ht="15.75" customHeight="1" x14ac:dyDescent="0.25">
      <c r="A416" s="131">
        <v>407</v>
      </c>
      <c r="B416" s="132"/>
      <c r="C416" s="132"/>
      <c r="D416" s="132"/>
      <c r="E416" s="132"/>
      <c r="F416" s="132"/>
      <c r="G416" s="132"/>
      <c r="H416" s="132"/>
      <c r="I416" s="132"/>
      <c r="J416" s="132"/>
      <c r="K416" s="132"/>
      <c r="L416" s="132"/>
      <c r="M416" s="132"/>
      <c r="N416" s="132"/>
    </row>
    <row r="417" spans="1:14" ht="15.75" customHeight="1" x14ac:dyDescent="0.25">
      <c r="A417" s="133">
        <v>408</v>
      </c>
      <c r="B417" s="134"/>
      <c r="C417" s="134"/>
      <c r="D417" s="134"/>
      <c r="E417" s="134"/>
      <c r="F417" s="134"/>
      <c r="G417" s="134"/>
      <c r="H417" s="134"/>
      <c r="I417" s="134"/>
      <c r="J417" s="134"/>
      <c r="K417" s="134"/>
      <c r="L417" s="134"/>
      <c r="M417" s="134"/>
      <c r="N417" s="134"/>
    </row>
    <row r="418" spans="1:14" ht="15.75" customHeight="1" x14ac:dyDescent="0.25">
      <c r="A418" s="131">
        <v>409</v>
      </c>
      <c r="B418" s="132"/>
      <c r="C418" s="132"/>
      <c r="D418" s="132"/>
      <c r="E418" s="132"/>
      <c r="F418" s="132"/>
      <c r="G418" s="132"/>
      <c r="H418" s="132"/>
      <c r="I418" s="132"/>
      <c r="J418" s="132"/>
      <c r="K418" s="132"/>
      <c r="L418" s="132"/>
      <c r="M418" s="132"/>
      <c r="N418" s="132"/>
    </row>
    <row r="419" spans="1:14" ht="15.75" customHeight="1" x14ac:dyDescent="0.25">
      <c r="A419" s="133">
        <v>410</v>
      </c>
      <c r="B419" s="134"/>
      <c r="C419" s="134"/>
      <c r="D419" s="134"/>
      <c r="E419" s="134"/>
      <c r="F419" s="134"/>
      <c r="G419" s="134"/>
      <c r="H419" s="134"/>
      <c r="I419" s="134"/>
      <c r="J419" s="134"/>
      <c r="K419" s="134"/>
      <c r="L419" s="134"/>
      <c r="M419" s="134"/>
      <c r="N419" s="134"/>
    </row>
    <row r="420" spans="1:14" ht="15.75" customHeight="1" x14ac:dyDescent="0.25">
      <c r="A420" s="131">
        <v>411</v>
      </c>
      <c r="B420" s="132"/>
      <c r="C420" s="132"/>
      <c r="D420" s="132"/>
      <c r="E420" s="132"/>
      <c r="F420" s="132"/>
      <c r="G420" s="132"/>
      <c r="H420" s="132"/>
      <c r="I420" s="132"/>
      <c r="J420" s="132"/>
      <c r="K420" s="132"/>
      <c r="L420" s="132"/>
      <c r="M420" s="132"/>
      <c r="N420" s="132"/>
    </row>
    <row r="421" spans="1:14" ht="15.75" customHeight="1" x14ac:dyDescent="0.25">
      <c r="A421" s="133">
        <v>412</v>
      </c>
      <c r="B421" s="134"/>
      <c r="C421" s="134"/>
      <c r="D421" s="134"/>
      <c r="E421" s="134"/>
      <c r="F421" s="134"/>
      <c r="G421" s="134"/>
      <c r="H421" s="134"/>
      <c r="I421" s="134"/>
      <c r="J421" s="134"/>
      <c r="K421" s="134"/>
      <c r="L421" s="134"/>
      <c r="M421" s="134"/>
      <c r="N421" s="134"/>
    </row>
    <row r="422" spans="1:14" ht="15.75" customHeight="1" x14ac:dyDescent="0.25">
      <c r="A422" s="131">
        <v>413</v>
      </c>
      <c r="B422" s="132"/>
      <c r="C422" s="132"/>
      <c r="D422" s="132"/>
      <c r="E422" s="132"/>
      <c r="F422" s="132"/>
      <c r="G422" s="132"/>
      <c r="H422" s="132"/>
      <c r="I422" s="132"/>
      <c r="J422" s="132"/>
      <c r="K422" s="132"/>
      <c r="L422" s="132"/>
      <c r="M422" s="132"/>
      <c r="N422" s="132"/>
    </row>
    <row r="423" spans="1:14" ht="15.75" customHeight="1" x14ac:dyDescent="0.25">
      <c r="A423" s="133">
        <v>414</v>
      </c>
      <c r="B423" s="134"/>
      <c r="C423" s="134"/>
      <c r="D423" s="134"/>
      <c r="E423" s="134"/>
      <c r="F423" s="134"/>
      <c r="G423" s="134"/>
      <c r="H423" s="134"/>
      <c r="I423" s="134"/>
      <c r="J423" s="134"/>
      <c r="K423" s="134"/>
      <c r="L423" s="134"/>
      <c r="M423" s="134"/>
      <c r="N423" s="134"/>
    </row>
    <row r="424" spans="1:14" ht="15.75" customHeight="1" x14ac:dyDescent="0.25">
      <c r="A424" s="131">
        <v>415</v>
      </c>
      <c r="B424" s="132"/>
      <c r="C424" s="132"/>
      <c r="D424" s="132"/>
      <c r="E424" s="132"/>
      <c r="F424" s="132"/>
      <c r="G424" s="132"/>
      <c r="H424" s="132"/>
      <c r="I424" s="132"/>
      <c r="J424" s="132"/>
      <c r="K424" s="132"/>
      <c r="L424" s="132"/>
      <c r="M424" s="132"/>
      <c r="N424" s="132"/>
    </row>
    <row r="425" spans="1:14" ht="15.75" customHeight="1" x14ac:dyDescent="0.25">
      <c r="A425" s="133">
        <v>416</v>
      </c>
      <c r="B425" s="134"/>
      <c r="C425" s="134"/>
      <c r="D425" s="134"/>
      <c r="E425" s="134"/>
      <c r="F425" s="134"/>
      <c r="G425" s="134"/>
      <c r="H425" s="134"/>
      <c r="I425" s="134"/>
      <c r="J425" s="134"/>
      <c r="K425" s="134"/>
      <c r="L425" s="134"/>
      <c r="M425" s="134"/>
      <c r="N425" s="134"/>
    </row>
    <row r="426" spans="1:14" ht="15.75" customHeight="1" x14ac:dyDescent="0.25">
      <c r="A426" s="131">
        <v>417</v>
      </c>
      <c r="B426" s="132"/>
      <c r="C426" s="132"/>
      <c r="D426" s="132"/>
      <c r="E426" s="132"/>
      <c r="F426" s="132"/>
      <c r="G426" s="132"/>
      <c r="H426" s="132"/>
      <c r="I426" s="132"/>
      <c r="J426" s="132"/>
      <c r="K426" s="132"/>
      <c r="L426" s="132"/>
      <c r="M426" s="132"/>
      <c r="N426" s="132"/>
    </row>
    <row r="427" spans="1:14" ht="15.75" customHeight="1" x14ac:dyDescent="0.25">
      <c r="A427" s="133">
        <v>418</v>
      </c>
      <c r="B427" s="134"/>
      <c r="C427" s="134"/>
      <c r="D427" s="134"/>
      <c r="E427" s="134"/>
      <c r="F427" s="134"/>
      <c r="G427" s="134"/>
      <c r="H427" s="134"/>
      <c r="I427" s="134"/>
      <c r="J427" s="134"/>
      <c r="K427" s="134"/>
      <c r="L427" s="134"/>
      <c r="M427" s="134"/>
      <c r="N427" s="134"/>
    </row>
    <row r="428" spans="1:14" ht="15.75" customHeight="1" x14ac:dyDescent="0.25">
      <c r="A428" s="131">
        <v>419</v>
      </c>
      <c r="B428" s="132"/>
      <c r="C428" s="132"/>
      <c r="D428" s="132"/>
      <c r="E428" s="132"/>
      <c r="F428" s="132"/>
      <c r="G428" s="132"/>
      <c r="H428" s="132"/>
      <c r="I428" s="132"/>
      <c r="J428" s="132"/>
      <c r="K428" s="132"/>
      <c r="L428" s="132"/>
      <c r="M428" s="132"/>
      <c r="N428" s="132"/>
    </row>
    <row r="429" spans="1:14" ht="15.75" customHeight="1" x14ac:dyDescent="0.25">
      <c r="A429" s="133">
        <v>420</v>
      </c>
      <c r="B429" s="134"/>
      <c r="C429" s="134"/>
      <c r="D429" s="134"/>
      <c r="E429" s="134"/>
      <c r="F429" s="134"/>
      <c r="G429" s="134"/>
      <c r="H429" s="134"/>
      <c r="I429" s="134"/>
      <c r="J429" s="134"/>
      <c r="K429" s="134"/>
      <c r="L429" s="134"/>
      <c r="M429" s="134"/>
      <c r="N429" s="134"/>
    </row>
    <row r="430" spans="1:14" ht="15.75" customHeight="1" x14ac:dyDescent="0.25">
      <c r="A430" s="131">
        <v>421</v>
      </c>
      <c r="B430" s="132"/>
      <c r="C430" s="132"/>
      <c r="D430" s="132"/>
      <c r="E430" s="132"/>
      <c r="F430" s="132"/>
      <c r="G430" s="132"/>
      <c r="H430" s="132"/>
      <c r="I430" s="132"/>
      <c r="J430" s="132"/>
      <c r="K430" s="132"/>
      <c r="L430" s="132"/>
      <c r="M430" s="132"/>
      <c r="N430" s="132"/>
    </row>
    <row r="431" spans="1:14" ht="15.75" customHeight="1" x14ac:dyDescent="0.25">
      <c r="A431" s="133">
        <v>422</v>
      </c>
      <c r="B431" s="134"/>
      <c r="C431" s="134"/>
      <c r="D431" s="134"/>
      <c r="E431" s="134"/>
      <c r="F431" s="134"/>
      <c r="G431" s="134"/>
      <c r="H431" s="134"/>
      <c r="I431" s="134"/>
      <c r="J431" s="134"/>
      <c r="K431" s="134"/>
      <c r="L431" s="134"/>
      <c r="M431" s="134"/>
      <c r="N431" s="134"/>
    </row>
    <row r="432" spans="1:14" ht="15.75" customHeight="1" x14ac:dyDescent="0.25">
      <c r="A432" s="131">
        <v>423</v>
      </c>
      <c r="B432" s="132"/>
      <c r="C432" s="132"/>
      <c r="D432" s="132"/>
      <c r="E432" s="132"/>
      <c r="F432" s="132"/>
      <c r="G432" s="132"/>
      <c r="H432" s="132"/>
      <c r="I432" s="132"/>
      <c r="J432" s="132"/>
      <c r="K432" s="132"/>
      <c r="L432" s="132"/>
      <c r="M432" s="132"/>
      <c r="N432" s="132"/>
    </row>
    <row r="433" spans="1:14" ht="15.75" customHeight="1" x14ac:dyDescent="0.25">
      <c r="A433" s="133">
        <v>424</v>
      </c>
      <c r="B433" s="134"/>
      <c r="C433" s="134"/>
      <c r="D433" s="134"/>
      <c r="E433" s="134"/>
      <c r="F433" s="134"/>
      <c r="G433" s="134"/>
      <c r="H433" s="134"/>
      <c r="I433" s="134"/>
      <c r="J433" s="134"/>
      <c r="K433" s="134"/>
      <c r="L433" s="134"/>
      <c r="M433" s="134"/>
      <c r="N433" s="134"/>
    </row>
    <row r="434" spans="1:14" ht="15.75" customHeight="1" x14ac:dyDescent="0.25">
      <c r="A434" s="131">
        <v>425</v>
      </c>
      <c r="B434" s="132"/>
      <c r="C434" s="132"/>
      <c r="D434" s="132"/>
      <c r="E434" s="132"/>
      <c r="F434" s="132"/>
      <c r="G434" s="132"/>
      <c r="H434" s="132"/>
      <c r="I434" s="132"/>
      <c r="J434" s="132"/>
      <c r="K434" s="132"/>
      <c r="L434" s="132"/>
      <c r="M434" s="132"/>
      <c r="N434" s="132"/>
    </row>
    <row r="435" spans="1:14" ht="15.75" customHeight="1" x14ac:dyDescent="0.25">
      <c r="A435" s="133">
        <v>426</v>
      </c>
      <c r="B435" s="134"/>
      <c r="C435" s="134"/>
      <c r="D435" s="134"/>
      <c r="E435" s="134"/>
      <c r="F435" s="134"/>
      <c r="G435" s="134"/>
      <c r="H435" s="134"/>
      <c r="I435" s="134"/>
      <c r="J435" s="134"/>
      <c r="K435" s="134"/>
      <c r="L435" s="134"/>
      <c r="M435" s="134"/>
      <c r="N435" s="134"/>
    </row>
    <row r="436" spans="1:14" ht="15.75" customHeight="1" x14ac:dyDescent="0.25">
      <c r="A436" s="131">
        <v>427</v>
      </c>
      <c r="B436" s="132"/>
      <c r="C436" s="132"/>
      <c r="D436" s="132"/>
      <c r="E436" s="132"/>
      <c r="F436" s="132"/>
      <c r="G436" s="132"/>
      <c r="H436" s="132"/>
      <c r="I436" s="132"/>
      <c r="J436" s="132"/>
      <c r="K436" s="132"/>
      <c r="L436" s="132"/>
      <c r="M436" s="132"/>
      <c r="N436" s="132"/>
    </row>
    <row r="437" spans="1:14" ht="15.75" customHeight="1" x14ac:dyDescent="0.25">
      <c r="A437" s="133">
        <v>428</v>
      </c>
      <c r="B437" s="134"/>
      <c r="C437" s="134"/>
      <c r="D437" s="134"/>
      <c r="E437" s="134"/>
      <c r="F437" s="134"/>
      <c r="G437" s="134"/>
      <c r="H437" s="134"/>
      <c r="I437" s="134"/>
      <c r="J437" s="134"/>
      <c r="K437" s="134"/>
      <c r="L437" s="134"/>
      <c r="M437" s="134"/>
      <c r="N437" s="134"/>
    </row>
    <row r="438" spans="1:14" ht="15.75" customHeight="1" x14ac:dyDescent="0.25">
      <c r="A438" s="131">
        <v>429</v>
      </c>
      <c r="B438" s="132"/>
      <c r="C438" s="132"/>
      <c r="D438" s="132"/>
      <c r="E438" s="132"/>
      <c r="F438" s="132"/>
      <c r="G438" s="132"/>
      <c r="H438" s="132"/>
      <c r="I438" s="132"/>
      <c r="J438" s="132"/>
      <c r="K438" s="132"/>
      <c r="L438" s="132"/>
      <c r="M438" s="132"/>
      <c r="N438" s="132"/>
    </row>
    <row r="439" spans="1:14" ht="15.75" customHeight="1" x14ac:dyDescent="0.25">
      <c r="A439" s="133">
        <v>430</v>
      </c>
      <c r="B439" s="134"/>
      <c r="C439" s="134"/>
      <c r="D439" s="134"/>
      <c r="E439" s="134"/>
      <c r="F439" s="134"/>
      <c r="G439" s="134"/>
      <c r="H439" s="134"/>
      <c r="I439" s="134"/>
      <c r="J439" s="134"/>
      <c r="K439" s="134"/>
      <c r="L439" s="134"/>
      <c r="M439" s="134"/>
      <c r="N439" s="134"/>
    </row>
    <row r="440" spans="1:14" ht="15.75" customHeight="1" x14ac:dyDescent="0.25">
      <c r="A440" s="131">
        <v>431</v>
      </c>
      <c r="B440" s="132"/>
      <c r="C440" s="132"/>
      <c r="D440" s="132"/>
      <c r="E440" s="132"/>
      <c r="F440" s="132"/>
      <c r="G440" s="132"/>
      <c r="H440" s="132"/>
      <c r="I440" s="132"/>
      <c r="J440" s="132"/>
      <c r="K440" s="132"/>
      <c r="L440" s="132"/>
      <c r="M440" s="132"/>
      <c r="N440" s="132"/>
    </row>
    <row r="441" spans="1:14" ht="15.75" customHeight="1" x14ac:dyDescent="0.25">
      <c r="A441" s="133">
        <v>432</v>
      </c>
      <c r="B441" s="134"/>
      <c r="C441" s="134"/>
      <c r="D441" s="134"/>
      <c r="E441" s="134"/>
      <c r="F441" s="134"/>
      <c r="G441" s="134"/>
      <c r="H441" s="134"/>
      <c r="I441" s="134"/>
      <c r="J441" s="134"/>
      <c r="K441" s="134"/>
      <c r="L441" s="134"/>
      <c r="M441" s="134"/>
      <c r="N441" s="134"/>
    </row>
    <row r="442" spans="1:14" ht="15.75" customHeight="1" x14ac:dyDescent="0.25">
      <c r="A442" s="131">
        <v>433</v>
      </c>
      <c r="B442" s="132"/>
      <c r="C442" s="132"/>
      <c r="D442" s="132"/>
      <c r="E442" s="132"/>
      <c r="F442" s="132"/>
      <c r="G442" s="132"/>
      <c r="H442" s="132"/>
      <c r="I442" s="132"/>
      <c r="J442" s="132"/>
      <c r="K442" s="132"/>
      <c r="L442" s="132"/>
      <c r="M442" s="132"/>
      <c r="N442" s="132"/>
    </row>
    <row r="443" spans="1:14" ht="15.75" customHeight="1" x14ac:dyDescent="0.25">
      <c r="A443" s="133">
        <v>434</v>
      </c>
      <c r="B443" s="134"/>
      <c r="C443" s="134"/>
      <c r="D443" s="134"/>
      <c r="E443" s="134"/>
      <c r="F443" s="134"/>
      <c r="G443" s="134"/>
      <c r="H443" s="134"/>
      <c r="I443" s="134"/>
      <c r="J443" s="134"/>
      <c r="K443" s="134"/>
      <c r="L443" s="134"/>
      <c r="M443" s="134"/>
      <c r="N443" s="134"/>
    </row>
    <row r="444" spans="1:14" ht="15.75" customHeight="1" x14ac:dyDescent="0.25">
      <c r="A444" s="131">
        <v>435</v>
      </c>
      <c r="B444" s="132"/>
      <c r="C444" s="132"/>
      <c r="D444" s="132"/>
      <c r="E444" s="132"/>
      <c r="F444" s="132"/>
      <c r="G444" s="132"/>
      <c r="H444" s="132"/>
      <c r="I444" s="132"/>
      <c r="J444" s="132"/>
      <c r="K444" s="132"/>
      <c r="L444" s="132"/>
      <c r="M444" s="132"/>
      <c r="N444" s="132"/>
    </row>
    <row r="445" spans="1:14" ht="15.75" customHeight="1" x14ac:dyDescent="0.25">
      <c r="A445" s="133">
        <v>436</v>
      </c>
      <c r="B445" s="134"/>
      <c r="C445" s="134"/>
      <c r="D445" s="134"/>
      <c r="E445" s="134"/>
      <c r="F445" s="134"/>
      <c r="G445" s="134"/>
      <c r="H445" s="134"/>
      <c r="I445" s="134"/>
      <c r="J445" s="134"/>
      <c r="K445" s="134"/>
      <c r="L445" s="134"/>
      <c r="M445" s="134"/>
      <c r="N445" s="134"/>
    </row>
    <row r="446" spans="1:14" ht="15.75" customHeight="1" x14ac:dyDescent="0.25">
      <c r="A446" s="131">
        <v>437</v>
      </c>
      <c r="B446" s="132"/>
      <c r="C446" s="132"/>
      <c r="D446" s="132"/>
      <c r="E446" s="132"/>
      <c r="F446" s="132"/>
      <c r="G446" s="132"/>
      <c r="H446" s="132"/>
      <c r="I446" s="132"/>
      <c r="J446" s="132"/>
      <c r="K446" s="132"/>
      <c r="L446" s="132"/>
      <c r="M446" s="132"/>
      <c r="N446" s="132"/>
    </row>
    <row r="447" spans="1:14" ht="15.75" customHeight="1" x14ac:dyDescent="0.25">
      <c r="A447" s="133">
        <v>438</v>
      </c>
      <c r="B447" s="134"/>
      <c r="C447" s="134"/>
      <c r="D447" s="134"/>
      <c r="E447" s="134"/>
      <c r="F447" s="134"/>
      <c r="G447" s="134"/>
      <c r="H447" s="134"/>
      <c r="I447" s="134"/>
      <c r="J447" s="134"/>
      <c r="K447" s="134"/>
      <c r="L447" s="134"/>
      <c r="M447" s="134"/>
      <c r="N447" s="134"/>
    </row>
    <row r="448" spans="1:14" ht="15.75" customHeight="1" x14ac:dyDescent="0.25">
      <c r="A448" s="131">
        <v>439</v>
      </c>
      <c r="B448" s="132"/>
      <c r="C448" s="132"/>
      <c r="D448" s="132"/>
      <c r="E448" s="132"/>
      <c r="F448" s="132"/>
      <c r="G448" s="132"/>
      <c r="H448" s="132"/>
      <c r="I448" s="132"/>
      <c r="J448" s="132"/>
      <c r="K448" s="132"/>
      <c r="L448" s="132"/>
      <c r="M448" s="132"/>
      <c r="N448" s="132"/>
    </row>
    <row r="449" spans="1:14" ht="15.75" customHeight="1" x14ac:dyDescent="0.25">
      <c r="A449" s="133">
        <v>440</v>
      </c>
      <c r="B449" s="134"/>
      <c r="C449" s="134"/>
      <c r="D449" s="134"/>
      <c r="E449" s="134"/>
      <c r="F449" s="134"/>
      <c r="G449" s="134"/>
      <c r="H449" s="134"/>
      <c r="I449" s="134"/>
      <c r="J449" s="134"/>
      <c r="K449" s="134"/>
      <c r="L449" s="134"/>
      <c r="M449" s="134"/>
      <c r="N449" s="134"/>
    </row>
    <row r="450" spans="1:14" ht="15.75" customHeight="1" x14ac:dyDescent="0.25">
      <c r="A450" s="131">
        <v>441</v>
      </c>
      <c r="B450" s="132"/>
      <c r="C450" s="132"/>
      <c r="D450" s="132"/>
      <c r="E450" s="132"/>
      <c r="F450" s="132"/>
      <c r="G450" s="132"/>
      <c r="H450" s="132"/>
      <c r="I450" s="132"/>
      <c r="J450" s="132"/>
      <c r="K450" s="132"/>
      <c r="L450" s="132"/>
      <c r="M450" s="132"/>
      <c r="N450" s="132"/>
    </row>
    <row r="451" spans="1:14" ht="15.75" customHeight="1" x14ac:dyDescent="0.25">
      <c r="A451" s="133">
        <v>442</v>
      </c>
      <c r="B451" s="134"/>
      <c r="C451" s="134"/>
      <c r="D451" s="134"/>
      <c r="E451" s="134"/>
      <c r="F451" s="134"/>
      <c r="G451" s="134"/>
      <c r="H451" s="134"/>
      <c r="I451" s="134"/>
      <c r="J451" s="134"/>
      <c r="K451" s="134"/>
      <c r="L451" s="134"/>
      <c r="M451" s="134"/>
      <c r="N451" s="134"/>
    </row>
    <row r="452" spans="1:14" ht="15.75" customHeight="1" x14ac:dyDescent="0.25">
      <c r="A452" s="131">
        <v>443</v>
      </c>
      <c r="B452" s="132"/>
      <c r="C452" s="132"/>
      <c r="D452" s="132"/>
      <c r="E452" s="132"/>
      <c r="F452" s="132"/>
      <c r="G452" s="132"/>
      <c r="H452" s="132"/>
      <c r="I452" s="132"/>
      <c r="J452" s="132"/>
      <c r="K452" s="132"/>
      <c r="L452" s="132"/>
      <c r="M452" s="132"/>
      <c r="N452" s="132"/>
    </row>
    <row r="453" spans="1:14" ht="15.75" customHeight="1" x14ac:dyDescent="0.25">
      <c r="A453" s="133">
        <v>444</v>
      </c>
      <c r="B453" s="134"/>
      <c r="C453" s="134"/>
      <c r="D453" s="134"/>
      <c r="E453" s="134"/>
      <c r="F453" s="134"/>
      <c r="G453" s="134"/>
      <c r="H453" s="134"/>
      <c r="I453" s="134"/>
      <c r="J453" s="134"/>
      <c r="K453" s="134"/>
      <c r="L453" s="134"/>
      <c r="M453" s="134"/>
      <c r="N453" s="134"/>
    </row>
    <row r="454" spans="1:14" ht="15.75" customHeight="1" x14ac:dyDescent="0.25">
      <c r="A454" s="131">
        <v>445</v>
      </c>
      <c r="B454" s="132"/>
      <c r="C454" s="132"/>
      <c r="D454" s="132"/>
      <c r="E454" s="132"/>
      <c r="F454" s="132"/>
      <c r="G454" s="132"/>
      <c r="H454" s="132"/>
      <c r="I454" s="132"/>
      <c r="J454" s="132"/>
      <c r="K454" s="132"/>
      <c r="L454" s="132"/>
      <c r="M454" s="132"/>
      <c r="N454" s="132"/>
    </row>
    <row r="455" spans="1:14" ht="15.75" customHeight="1" x14ac:dyDescent="0.25">
      <c r="A455" s="133">
        <v>446</v>
      </c>
      <c r="B455" s="134"/>
      <c r="C455" s="134"/>
      <c r="D455" s="134"/>
      <c r="E455" s="134"/>
      <c r="F455" s="134"/>
      <c r="G455" s="134"/>
      <c r="H455" s="134"/>
      <c r="I455" s="134"/>
      <c r="J455" s="134"/>
      <c r="K455" s="134"/>
      <c r="L455" s="134"/>
      <c r="M455" s="134"/>
      <c r="N455" s="134"/>
    </row>
    <row r="456" spans="1:14" ht="15.75" customHeight="1" x14ac:dyDescent="0.25">
      <c r="A456" s="131">
        <v>447</v>
      </c>
      <c r="B456" s="132"/>
      <c r="C456" s="132"/>
      <c r="D456" s="132"/>
      <c r="E456" s="132"/>
      <c r="F456" s="132"/>
      <c r="G456" s="132"/>
      <c r="H456" s="132"/>
      <c r="I456" s="132"/>
      <c r="J456" s="132"/>
      <c r="K456" s="132"/>
      <c r="L456" s="132"/>
      <c r="M456" s="132"/>
      <c r="N456" s="132"/>
    </row>
    <row r="457" spans="1:14" ht="15.75" customHeight="1" x14ac:dyDescent="0.25">
      <c r="A457" s="133">
        <v>448</v>
      </c>
      <c r="B457" s="134"/>
      <c r="C457" s="134"/>
      <c r="D457" s="134"/>
      <c r="E457" s="134"/>
      <c r="F457" s="134"/>
      <c r="G457" s="134"/>
      <c r="H457" s="134"/>
      <c r="I457" s="134"/>
      <c r="J457" s="134"/>
      <c r="K457" s="134"/>
      <c r="L457" s="134"/>
      <c r="M457" s="134"/>
      <c r="N457" s="134"/>
    </row>
    <row r="458" spans="1:14" ht="15.75" customHeight="1" x14ac:dyDescent="0.25">
      <c r="A458" s="131">
        <v>449</v>
      </c>
      <c r="B458" s="132"/>
      <c r="C458" s="132"/>
      <c r="D458" s="132"/>
      <c r="E458" s="132"/>
      <c r="F458" s="132"/>
      <c r="G458" s="132"/>
      <c r="H458" s="132"/>
      <c r="I458" s="132"/>
      <c r="J458" s="132"/>
      <c r="K458" s="132"/>
      <c r="L458" s="132"/>
      <c r="M458" s="132"/>
      <c r="N458" s="132"/>
    </row>
    <row r="459" spans="1:14" ht="15.75" customHeight="1" x14ac:dyDescent="0.25">
      <c r="A459" s="133">
        <v>450</v>
      </c>
      <c r="B459" s="134"/>
      <c r="C459" s="134"/>
      <c r="D459" s="134"/>
      <c r="E459" s="134"/>
      <c r="F459" s="134"/>
      <c r="G459" s="134"/>
      <c r="H459" s="134"/>
      <c r="I459" s="134"/>
      <c r="J459" s="134"/>
      <c r="K459" s="134"/>
      <c r="L459" s="134"/>
      <c r="M459" s="134"/>
      <c r="N459" s="134"/>
    </row>
    <row r="460" spans="1:14" ht="15.75" customHeight="1" x14ac:dyDescent="0.25">
      <c r="A460" s="131">
        <v>451</v>
      </c>
      <c r="B460" s="132"/>
      <c r="C460" s="132"/>
      <c r="D460" s="132"/>
      <c r="E460" s="132"/>
      <c r="F460" s="132"/>
      <c r="G460" s="132"/>
      <c r="H460" s="132"/>
      <c r="I460" s="132"/>
      <c r="J460" s="132"/>
      <c r="K460" s="132"/>
      <c r="L460" s="132"/>
      <c r="M460" s="132"/>
      <c r="N460" s="132"/>
    </row>
    <row r="461" spans="1:14" ht="15.75" customHeight="1" x14ac:dyDescent="0.25">
      <c r="A461" s="133">
        <v>452</v>
      </c>
      <c r="B461" s="134"/>
      <c r="C461" s="134"/>
      <c r="D461" s="134"/>
      <c r="E461" s="134"/>
      <c r="F461" s="134"/>
      <c r="G461" s="134"/>
      <c r="H461" s="134"/>
      <c r="I461" s="134"/>
      <c r="J461" s="134"/>
      <c r="K461" s="134"/>
      <c r="L461" s="134"/>
      <c r="M461" s="134"/>
      <c r="N461" s="134"/>
    </row>
    <row r="462" spans="1:14" ht="15.75" customHeight="1" x14ac:dyDescent="0.25">
      <c r="A462" s="131">
        <v>453</v>
      </c>
      <c r="B462" s="132"/>
      <c r="C462" s="132"/>
      <c r="D462" s="132"/>
      <c r="E462" s="132"/>
      <c r="F462" s="132"/>
      <c r="G462" s="132"/>
      <c r="H462" s="132"/>
      <c r="I462" s="132"/>
      <c r="J462" s="132"/>
      <c r="K462" s="132"/>
      <c r="L462" s="132"/>
      <c r="M462" s="132"/>
      <c r="N462" s="132"/>
    </row>
    <row r="463" spans="1:14" ht="15.75" customHeight="1" x14ac:dyDescent="0.25">
      <c r="A463" s="133">
        <v>454</v>
      </c>
      <c r="B463" s="134"/>
      <c r="C463" s="134"/>
      <c r="D463" s="134"/>
      <c r="E463" s="134"/>
      <c r="F463" s="134"/>
      <c r="G463" s="134"/>
      <c r="H463" s="134"/>
      <c r="I463" s="134"/>
      <c r="J463" s="134"/>
      <c r="K463" s="134"/>
      <c r="L463" s="134"/>
      <c r="M463" s="134"/>
      <c r="N463" s="134"/>
    </row>
    <row r="464" spans="1:14" ht="15.75" customHeight="1" x14ac:dyDescent="0.25">
      <c r="A464" s="131">
        <v>455</v>
      </c>
      <c r="B464" s="132"/>
      <c r="C464" s="132"/>
      <c r="D464" s="132"/>
      <c r="E464" s="132"/>
      <c r="F464" s="132"/>
      <c r="G464" s="132"/>
      <c r="H464" s="132"/>
      <c r="I464" s="132"/>
      <c r="J464" s="132"/>
      <c r="K464" s="132"/>
      <c r="L464" s="132"/>
      <c r="M464" s="132"/>
      <c r="N464" s="132"/>
    </row>
    <row r="465" spans="1:14" ht="15.75" customHeight="1" x14ac:dyDescent="0.25">
      <c r="A465" s="133">
        <v>456</v>
      </c>
      <c r="B465" s="134"/>
      <c r="C465" s="134"/>
      <c r="D465" s="134"/>
      <c r="E465" s="134"/>
      <c r="F465" s="134"/>
      <c r="G465" s="134"/>
      <c r="H465" s="134"/>
      <c r="I465" s="134"/>
      <c r="J465" s="134"/>
      <c r="K465" s="134"/>
      <c r="L465" s="134"/>
      <c r="M465" s="134"/>
      <c r="N465" s="134"/>
    </row>
    <row r="466" spans="1:14" ht="15.75" customHeight="1" x14ac:dyDescent="0.25">
      <c r="A466" s="131">
        <v>457</v>
      </c>
      <c r="B466" s="132"/>
      <c r="C466" s="132"/>
      <c r="D466" s="132"/>
      <c r="E466" s="132"/>
      <c r="F466" s="132"/>
      <c r="G466" s="132"/>
      <c r="H466" s="132"/>
      <c r="I466" s="132"/>
      <c r="J466" s="132"/>
      <c r="K466" s="132"/>
      <c r="L466" s="132"/>
      <c r="M466" s="132"/>
      <c r="N466" s="132"/>
    </row>
    <row r="467" spans="1:14" ht="15.75" customHeight="1" x14ac:dyDescent="0.25">
      <c r="A467" s="133">
        <v>458</v>
      </c>
      <c r="B467" s="134"/>
      <c r="C467" s="134"/>
      <c r="D467" s="134"/>
      <c r="E467" s="134"/>
      <c r="F467" s="134"/>
      <c r="G467" s="134"/>
      <c r="H467" s="134"/>
      <c r="I467" s="134"/>
      <c r="J467" s="134"/>
      <c r="K467" s="134"/>
      <c r="L467" s="134"/>
      <c r="M467" s="134"/>
      <c r="N467" s="134"/>
    </row>
    <row r="468" spans="1:14" ht="15.75" customHeight="1" x14ac:dyDescent="0.25">
      <c r="A468" s="131">
        <v>459</v>
      </c>
      <c r="B468" s="132"/>
      <c r="C468" s="132"/>
      <c r="D468" s="132"/>
      <c r="E468" s="132"/>
      <c r="F468" s="132"/>
      <c r="G468" s="132"/>
      <c r="H468" s="132"/>
      <c r="I468" s="132"/>
      <c r="J468" s="132"/>
      <c r="K468" s="132"/>
      <c r="L468" s="132"/>
      <c r="M468" s="132"/>
      <c r="N468" s="132"/>
    </row>
    <row r="469" spans="1:14" ht="15.75" customHeight="1" x14ac:dyDescent="0.25">
      <c r="A469" s="133">
        <v>460</v>
      </c>
      <c r="B469" s="134"/>
      <c r="C469" s="134"/>
      <c r="D469" s="134"/>
      <c r="E469" s="134"/>
      <c r="F469" s="134"/>
      <c r="G469" s="134"/>
      <c r="H469" s="134"/>
      <c r="I469" s="134"/>
      <c r="J469" s="134"/>
      <c r="K469" s="134"/>
      <c r="L469" s="134"/>
      <c r="M469" s="134"/>
      <c r="N469" s="134"/>
    </row>
    <row r="470" spans="1:14" ht="15.75" customHeight="1" x14ac:dyDescent="0.25">
      <c r="A470" s="131">
        <v>461</v>
      </c>
      <c r="B470" s="132"/>
      <c r="C470" s="132"/>
      <c r="D470" s="132"/>
      <c r="E470" s="132"/>
      <c r="F470" s="132"/>
      <c r="G470" s="132"/>
      <c r="H470" s="132"/>
      <c r="I470" s="132"/>
      <c r="J470" s="132"/>
      <c r="K470" s="132"/>
      <c r="L470" s="132"/>
      <c r="M470" s="132"/>
      <c r="N470" s="132"/>
    </row>
    <row r="471" spans="1:14" ht="15.75" customHeight="1" x14ac:dyDescent="0.25">
      <c r="A471" s="133">
        <v>462</v>
      </c>
      <c r="B471" s="134"/>
      <c r="C471" s="134"/>
      <c r="D471" s="134"/>
      <c r="E471" s="134"/>
      <c r="F471" s="134"/>
      <c r="G471" s="134"/>
      <c r="H471" s="134"/>
      <c r="I471" s="134"/>
      <c r="J471" s="134"/>
      <c r="K471" s="134"/>
      <c r="L471" s="134"/>
      <c r="M471" s="134"/>
      <c r="N471" s="134"/>
    </row>
    <row r="472" spans="1:14" ht="15.75" customHeight="1" x14ac:dyDescent="0.25">
      <c r="A472" s="131">
        <v>463</v>
      </c>
      <c r="B472" s="132"/>
      <c r="C472" s="132"/>
      <c r="D472" s="132"/>
      <c r="E472" s="132"/>
      <c r="F472" s="132"/>
      <c r="G472" s="132"/>
      <c r="H472" s="132"/>
      <c r="I472" s="132"/>
      <c r="J472" s="132"/>
      <c r="K472" s="132"/>
      <c r="L472" s="132"/>
      <c r="M472" s="132"/>
      <c r="N472" s="132"/>
    </row>
    <row r="473" spans="1:14" ht="15.75" customHeight="1" x14ac:dyDescent="0.25">
      <c r="A473" s="133">
        <v>464</v>
      </c>
      <c r="B473" s="134"/>
      <c r="C473" s="134"/>
      <c r="D473" s="134"/>
      <c r="E473" s="134"/>
      <c r="F473" s="134"/>
      <c r="G473" s="134"/>
      <c r="H473" s="134"/>
      <c r="I473" s="134"/>
      <c r="J473" s="134"/>
      <c r="K473" s="134"/>
      <c r="L473" s="134"/>
      <c r="M473" s="134"/>
      <c r="N473" s="134"/>
    </row>
    <row r="474" spans="1:14" ht="15.75" customHeight="1" x14ac:dyDescent="0.25">
      <c r="A474" s="131">
        <v>465</v>
      </c>
      <c r="B474" s="132"/>
      <c r="C474" s="132"/>
      <c r="D474" s="132"/>
      <c r="E474" s="132"/>
      <c r="F474" s="132"/>
      <c r="G474" s="132"/>
      <c r="H474" s="132"/>
      <c r="I474" s="132"/>
      <c r="J474" s="132"/>
      <c r="K474" s="132"/>
      <c r="L474" s="132"/>
      <c r="M474" s="132"/>
      <c r="N474" s="132"/>
    </row>
    <row r="475" spans="1:14" ht="15.75" customHeight="1" x14ac:dyDescent="0.25">
      <c r="A475" s="133">
        <v>466</v>
      </c>
      <c r="B475" s="134"/>
      <c r="C475" s="134"/>
      <c r="D475" s="134"/>
      <c r="E475" s="134"/>
      <c r="F475" s="134"/>
      <c r="G475" s="134"/>
      <c r="H475" s="134"/>
      <c r="I475" s="134"/>
      <c r="J475" s="134"/>
      <c r="K475" s="134"/>
      <c r="L475" s="134"/>
      <c r="M475" s="134"/>
      <c r="N475" s="134"/>
    </row>
    <row r="476" spans="1:14" ht="15.75" customHeight="1" x14ac:dyDescent="0.25">
      <c r="A476" s="131">
        <v>467</v>
      </c>
      <c r="B476" s="132"/>
      <c r="C476" s="132"/>
      <c r="D476" s="132"/>
      <c r="E476" s="132"/>
      <c r="F476" s="132"/>
      <c r="G476" s="132"/>
      <c r="H476" s="132"/>
      <c r="I476" s="132"/>
      <c r="J476" s="132"/>
      <c r="K476" s="132"/>
      <c r="L476" s="132"/>
      <c r="M476" s="132"/>
      <c r="N476" s="132"/>
    </row>
    <row r="477" spans="1:14" ht="15.75" customHeight="1" x14ac:dyDescent="0.25">
      <c r="A477" s="133">
        <v>468</v>
      </c>
      <c r="B477" s="134"/>
      <c r="C477" s="134"/>
      <c r="D477" s="134"/>
      <c r="E477" s="134"/>
      <c r="F477" s="134"/>
      <c r="G477" s="134"/>
      <c r="H477" s="134"/>
      <c r="I477" s="134"/>
      <c r="J477" s="134"/>
      <c r="K477" s="134"/>
      <c r="L477" s="134"/>
      <c r="M477" s="134"/>
      <c r="N477" s="134"/>
    </row>
    <row r="478" spans="1:14" ht="15.75" customHeight="1" x14ac:dyDescent="0.25">
      <c r="A478" s="131">
        <v>469</v>
      </c>
      <c r="B478" s="132"/>
      <c r="C478" s="132"/>
      <c r="D478" s="132"/>
      <c r="E478" s="132"/>
      <c r="F478" s="132"/>
      <c r="G478" s="132"/>
      <c r="H478" s="132"/>
      <c r="I478" s="132"/>
      <c r="J478" s="132"/>
      <c r="K478" s="132"/>
      <c r="L478" s="132"/>
      <c r="M478" s="132"/>
      <c r="N478" s="132"/>
    </row>
    <row r="479" spans="1:14" ht="15.75" customHeight="1" x14ac:dyDescent="0.25">
      <c r="A479" s="133">
        <v>470</v>
      </c>
      <c r="B479" s="134"/>
      <c r="C479" s="134"/>
      <c r="D479" s="134"/>
      <c r="E479" s="134"/>
      <c r="F479" s="134"/>
      <c r="G479" s="134"/>
      <c r="H479" s="134"/>
      <c r="I479" s="134"/>
      <c r="J479" s="134"/>
      <c r="K479" s="134"/>
      <c r="L479" s="134"/>
      <c r="M479" s="134"/>
      <c r="N479" s="134"/>
    </row>
    <row r="480" spans="1:14" ht="15.75" customHeight="1" x14ac:dyDescent="0.25">
      <c r="A480" s="131">
        <v>471</v>
      </c>
      <c r="B480" s="132"/>
      <c r="C480" s="132"/>
      <c r="D480" s="132"/>
      <c r="E480" s="132"/>
      <c r="F480" s="132"/>
      <c r="G480" s="132"/>
      <c r="H480" s="132"/>
      <c r="I480" s="132"/>
      <c r="J480" s="132"/>
      <c r="K480" s="132"/>
      <c r="L480" s="132"/>
      <c r="M480" s="132"/>
      <c r="N480" s="132"/>
    </row>
    <row r="481" spans="1:14" ht="15.75" customHeight="1" x14ac:dyDescent="0.25">
      <c r="A481" s="133">
        <v>472</v>
      </c>
      <c r="B481" s="134"/>
      <c r="C481" s="134"/>
      <c r="D481" s="134"/>
      <c r="E481" s="134"/>
      <c r="F481" s="134"/>
      <c r="G481" s="134"/>
      <c r="H481" s="134"/>
      <c r="I481" s="134"/>
      <c r="J481" s="134"/>
      <c r="K481" s="134"/>
      <c r="L481" s="134"/>
      <c r="M481" s="134"/>
      <c r="N481" s="134"/>
    </row>
    <row r="482" spans="1:14" ht="15.75" customHeight="1" x14ac:dyDescent="0.25">
      <c r="A482" s="131">
        <v>473</v>
      </c>
      <c r="B482" s="132"/>
      <c r="C482" s="132"/>
      <c r="D482" s="132"/>
      <c r="E482" s="132"/>
      <c r="F482" s="132"/>
      <c r="G482" s="132"/>
      <c r="H482" s="132"/>
      <c r="I482" s="132"/>
      <c r="J482" s="132"/>
      <c r="K482" s="132"/>
      <c r="L482" s="132"/>
      <c r="M482" s="132"/>
      <c r="N482" s="132"/>
    </row>
    <row r="483" spans="1:14" ht="15.75" customHeight="1" x14ac:dyDescent="0.25">
      <c r="A483" s="133">
        <v>474</v>
      </c>
      <c r="B483" s="134"/>
      <c r="C483" s="134"/>
      <c r="D483" s="134"/>
      <c r="E483" s="134"/>
      <c r="F483" s="134"/>
      <c r="G483" s="134"/>
      <c r="H483" s="134"/>
      <c r="I483" s="134"/>
      <c r="J483" s="134"/>
      <c r="K483" s="134"/>
      <c r="L483" s="134"/>
      <c r="M483" s="134"/>
      <c r="N483" s="134"/>
    </row>
    <row r="484" spans="1:14" ht="15.75" customHeight="1" x14ac:dyDescent="0.25">
      <c r="A484" s="131">
        <v>475</v>
      </c>
      <c r="B484" s="132"/>
      <c r="C484" s="132"/>
      <c r="D484" s="132"/>
      <c r="E484" s="132"/>
      <c r="F484" s="132"/>
      <c r="G484" s="132"/>
      <c r="H484" s="132"/>
      <c r="I484" s="132"/>
      <c r="J484" s="132"/>
      <c r="K484" s="132"/>
      <c r="L484" s="132"/>
      <c r="M484" s="132"/>
      <c r="N484" s="132"/>
    </row>
    <row r="485" spans="1:14" ht="15.75" customHeight="1" x14ac:dyDescent="0.25">
      <c r="A485" s="133">
        <v>476</v>
      </c>
      <c r="B485" s="134"/>
      <c r="C485" s="134"/>
      <c r="D485" s="134"/>
      <c r="E485" s="134"/>
      <c r="F485" s="134"/>
      <c r="G485" s="134"/>
      <c r="H485" s="134"/>
      <c r="I485" s="134"/>
      <c r="J485" s="134"/>
      <c r="K485" s="134"/>
      <c r="L485" s="134"/>
      <c r="M485" s="134"/>
      <c r="N485" s="134"/>
    </row>
    <row r="486" spans="1:14" ht="15.75" customHeight="1" x14ac:dyDescent="0.25">
      <c r="A486" s="131">
        <v>477</v>
      </c>
      <c r="B486" s="132"/>
      <c r="C486" s="132"/>
      <c r="D486" s="132"/>
      <c r="E486" s="132"/>
      <c r="F486" s="132"/>
      <c r="G486" s="132"/>
      <c r="H486" s="132"/>
      <c r="I486" s="132"/>
      <c r="J486" s="132"/>
      <c r="K486" s="132"/>
      <c r="L486" s="132"/>
      <c r="M486" s="132"/>
      <c r="N486" s="132"/>
    </row>
    <row r="487" spans="1:14" ht="15.75" customHeight="1" x14ac:dyDescent="0.25">
      <c r="A487" s="133">
        <v>478</v>
      </c>
      <c r="B487" s="134"/>
      <c r="C487" s="134"/>
      <c r="D487" s="134"/>
      <c r="E487" s="134"/>
      <c r="F487" s="134"/>
      <c r="G487" s="134"/>
      <c r="H487" s="134"/>
      <c r="I487" s="134"/>
      <c r="J487" s="134"/>
      <c r="K487" s="134"/>
      <c r="L487" s="134"/>
      <c r="M487" s="134"/>
      <c r="N487" s="134"/>
    </row>
    <row r="488" spans="1:14" ht="15.75" customHeight="1" x14ac:dyDescent="0.25">
      <c r="A488" s="131">
        <v>479</v>
      </c>
      <c r="B488" s="132"/>
      <c r="C488" s="132"/>
      <c r="D488" s="132"/>
      <c r="E488" s="132"/>
      <c r="F488" s="132"/>
      <c r="G488" s="132"/>
      <c r="H488" s="132"/>
      <c r="I488" s="132"/>
      <c r="J488" s="132"/>
      <c r="K488" s="132"/>
      <c r="L488" s="132"/>
      <c r="M488" s="132"/>
      <c r="N488" s="132"/>
    </row>
    <row r="489" spans="1:14" ht="15.75" customHeight="1" x14ac:dyDescent="0.25">
      <c r="A489" s="133">
        <v>480</v>
      </c>
      <c r="B489" s="134"/>
      <c r="C489" s="134"/>
      <c r="D489" s="134"/>
      <c r="E489" s="134"/>
      <c r="F489" s="134"/>
      <c r="G489" s="134"/>
      <c r="H489" s="134"/>
      <c r="I489" s="134"/>
      <c r="J489" s="134"/>
      <c r="K489" s="134"/>
      <c r="L489" s="134"/>
      <c r="M489" s="134"/>
      <c r="N489" s="134"/>
    </row>
    <row r="490" spans="1:14" ht="15.75" customHeight="1" x14ac:dyDescent="0.25">
      <c r="A490" s="131">
        <v>481</v>
      </c>
      <c r="B490" s="132"/>
      <c r="C490" s="132"/>
      <c r="D490" s="132"/>
      <c r="E490" s="132"/>
      <c r="F490" s="132"/>
      <c r="G490" s="132"/>
      <c r="H490" s="132"/>
      <c r="I490" s="132"/>
      <c r="J490" s="132"/>
      <c r="K490" s="132"/>
      <c r="L490" s="132"/>
      <c r="M490" s="132"/>
      <c r="N490" s="132"/>
    </row>
    <row r="491" spans="1:14" ht="15.75" customHeight="1" x14ac:dyDescent="0.25">
      <c r="A491" s="133">
        <v>482</v>
      </c>
      <c r="B491" s="134"/>
      <c r="C491" s="134"/>
      <c r="D491" s="134"/>
      <c r="E491" s="134"/>
      <c r="F491" s="134"/>
      <c r="G491" s="134"/>
      <c r="H491" s="134"/>
      <c r="I491" s="134"/>
      <c r="J491" s="134"/>
      <c r="K491" s="134"/>
      <c r="L491" s="134"/>
      <c r="M491" s="134"/>
      <c r="N491" s="134"/>
    </row>
    <row r="492" spans="1:14" ht="15.75" customHeight="1" x14ac:dyDescent="0.25">
      <c r="A492" s="131">
        <v>483</v>
      </c>
      <c r="B492" s="132"/>
      <c r="C492" s="132"/>
      <c r="D492" s="132"/>
      <c r="E492" s="132"/>
      <c r="F492" s="132"/>
      <c r="G492" s="132"/>
      <c r="H492" s="132"/>
      <c r="I492" s="132"/>
      <c r="J492" s="132"/>
      <c r="K492" s="132"/>
      <c r="L492" s="132"/>
      <c r="M492" s="132"/>
      <c r="N492" s="132"/>
    </row>
    <row r="493" spans="1:14" ht="15.75" customHeight="1" x14ac:dyDescent="0.25">
      <c r="A493" s="133">
        <v>484</v>
      </c>
      <c r="B493" s="134"/>
      <c r="C493" s="134"/>
      <c r="D493" s="134"/>
      <c r="E493" s="134"/>
      <c r="F493" s="134"/>
      <c r="G493" s="134"/>
      <c r="H493" s="134"/>
      <c r="I493" s="134"/>
      <c r="J493" s="134"/>
      <c r="K493" s="134"/>
      <c r="L493" s="134"/>
      <c r="M493" s="134"/>
      <c r="N493" s="134"/>
    </row>
    <row r="494" spans="1:14" ht="15.75" customHeight="1" x14ac:dyDescent="0.25">
      <c r="A494" s="131">
        <v>485</v>
      </c>
      <c r="B494" s="132"/>
      <c r="C494" s="132"/>
      <c r="D494" s="132"/>
      <c r="E494" s="132"/>
      <c r="F494" s="132"/>
      <c r="G494" s="132"/>
      <c r="H494" s="132"/>
      <c r="I494" s="132"/>
      <c r="J494" s="132"/>
      <c r="K494" s="132"/>
      <c r="L494" s="132"/>
      <c r="M494" s="132"/>
      <c r="N494" s="132"/>
    </row>
    <row r="495" spans="1:14" ht="15.75" customHeight="1" x14ac:dyDescent="0.25">
      <c r="A495" s="133">
        <v>486</v>
      </c>
      <c r="B495" s="134"/>
      <c r="C495" s="134"/>
      <c r="D495" s="134"/>
      <c r="E495" s="134"/>
      <c r="F495" s="134"/>
      <c r="G495" s="134"/>
      <c r="H495" s="134"/>
      <c r="I495" s="134"/>
      <c r="J495" s="134"/>
      <c r="K495" s="134"/>
      <c r="L495" s="134"/>
      <c r="M495" s="134"/>
      <c r="N495" s="134"/>
    </row>
    <row r="496" spans="1:14" ht="15.75" customHeight="1" x14ac:dyDescent="0.25">
      <c r="A496" s="131">
        <v>487</v>
      </c>
      <c r="B496" s="132"/>
      <c r="C496" s="132"/>
      <c r="D496" s="132"/>
      <c r="E496" s="132"/>
      <c r="F496" s="132"/>
      <c r="G496" s="132"/>
      <c r="H496" s="132"/>
      <c r="I496" s="132"/>
      <c r="J496" s="132"/>
      <c r="K496" s="132"/>
      <c r="L496" s="132"/>
      <c r="M496" s="132"/>
      <c r="N496" s="132"/>
    </row>
    <row r="497" spans="1:14" ht="15.75" customHeight="1" x14ac:dyDescent="0.25">
      <c r="A497" s="133">
        <v>488</v>
      </c>
      <c r="B497" s="134"/>
      <c r="C497" s="134"/>
      <c r="D497" s="134"/>
      <c r="E497" s="134"/>
      <c r="F497" s="134"/>
      <c r="G497" s="134"/>
      <c r="H497" s="134"/>
      <c r="I497" s="134"/>
      <c r="J497" s="134"/>
      <c r="K497" s="134"/>
      <c r="L497" s="134"/>
      <c r="M497" s="134"/>
      <c r="N497" s="134"/>
    </row>
    <row r="498" spans="1:14" ht="15.75" customHeight="1" x14ac:dyDescent="0.25">
      <c r="A498" s="131">
        <v>489</v>
      </c>
      <c r="B498" s="132"/>
      <c r="C498" s="132"/>
      <c r="D498" s="132"/>
      <c r="E498" s="132"/>
      <c r="F498" s="132"/>
      <c r="G498" s="132"/>
      <c r="H498" s="132"/>
      <c r="I498" s="132"/>
      <c r="J498" s="132"/>
      <c r="K498" s="132"/>
      <c r="L498" s="132"/>
      <c r="M498" s="132"/>
      <c r="N498" s="132"/>
    </row>
    <row r="499" spans="1:14" ht="15.75" customHeight="1" x14ac:dyDescent="0.25">
      <c r="A499" s="133">
        <v>490</v>
      </c>
      <c r="B499" s="134"/>
      <c r="C499" s="134"/>
      <c r="D499" s="134"/>
      <c r="E499" s="134"/>
      <c r="F499" s="134"/>
      <c r="G499" s="134"/>
      <c r="H499" s="134"/>
      <c r="I499" s="134"/>
      <c r="J499" s="134"/>
      <c r="K499" s="134"/>
      <c r="L499" s="134"/>
      <c r="M499" s="134"/>
      <c r="N499" s="134"/>
    </row>
    <row r="500" spans="1:14" ht="15.75" customHeight="1" x14ac:dyDescent="0.25">
      <c r="A500" s="131">
        <v>491</v>
      </c>
      <c r="B500" s="132"/>
      <c r="C500" s="132"/>
      <c r="D500" s="132"/>
      <c r="E500" s="132"/>
      <c r="F500" s="132"/>
      <c r="G500" s="132"/>
      <c r="H500" s="132"/>
      <c r="I500" s="132"/>
      <c r="J500" s="132"/>
      <c r="K500" s="132"/>
      <c r="L500" s="132"/>
      <c r="M500" s="132"/>
      <c r="N500" s="132"/>
    </row>
    <row r="501" spans="1:14" ht="15.75" customHeight="1" x14ac:dyDescent="0.25">
      <c r="A501" s="133">
        <v>492</v>
      </c>
      <c r="B501" s="134"/>
      <c r="C501" s="134"/>
      <c r="D501" s="134"/>
      <c r="E501" s="134"/>
      <c r="F501" s="134"/>
      <c r="G501" s="134"/>
      <c r="H501" s="134"/>
      <c r="I501" s="134"/>
      <c r="J501" s="134"/>
      <c r="K501" s="134"/>
      <c r="L501" s="134"/>
      <c r="M501" s="134"/>
      <c r="N501" s="134"/>
    </row>
    <row r="502" spans="1:14" ht="15.75" customHeight="1" x14ac:dyDescent="0.25">
      <c r="A502" s="131">
        <v>493</v>
      </c>
      <c r="B502" s="132"/>
      <c r="C502" s="132"/>
      <c r="D502" s="132"/>
      <c r="E502" s="132"/>
      <c r="F502" s="132"/>
      <c r="G502" s="132"/>
      <c r="H502" s="132"/>
      <c r="I502" s="132"/>
      <c r="J502" s="132"/>
      <c r="K502" s="132"/>
      <c r="L502" s="132"/>
      <c r="M502" s="132"/>
      <c r="N502" s="132"/>
    </row>
    <row r="503" spans="1:14" ht="15.75" customHeight="1" x14ac:dyDescent="0.25">
      <c r="A503" s="133">
        <v>494</v>
      </c>
      <c r="B503" s="134"/>
      <c r="C503" s="134"/>
      <c r="D503" s="134"/>
      <c r="E503" s="134"/>
      <c r="F503" s="134"/>
      <c r="G503" s="134"/>
      <c r="H503" s="134"/>
      <c r="I503" s="134"/>
      <c r="J503" s="134"/>
      <c r="K503" s="134"/>
      <c r="L503" s="134"/>
      <c r="M503" s="134"/>
      <c r="N503" s="134"/>
    </row>
    <row r="504" spans="1:14" ht="15.75" customHeight="1" x14ac:dyDescent="0.25">
      <c r="A504" s="131">
        <v>495</v>
      </c>
      <c r="B504" s="132"/>
      <c r="C504" s="132"/>
      <c r="D504" s="132"/>
      <c r="E504" s="132"/>
      <c r="F504" s="132"/>
      <c r="G504" s="132"/>
      <c r="H504" s="132"/>
      <c r="I504" s="132"/>
      <c r="J504" s="132"/>
      <c r="K504" s="132"/>
      <c r="L504" s="132"/>
      <c r="M504" s="132"/>
      <c r="N504" s="132"/>
    </row>
    <row r="505" spans="1:14" ht="15.75" customHeight="1" x14ac:dyDescent="0.25">
      <c r="A505" s="133">
        <v>496</v>
      </c>
      <c r="B505" s="134"/>
      <c r="C505" s="134"/>
      <c r="D505" s="134"/>
      <c r="E505" s="134"/>
      <c r="F505" s="134"/>
      <c r="G505" s="134"/>
      <c r="H505" s="134"/>
      <c r="I505" s="134"/>
      <c r="J505" s="134"/>
      <c r="K505" s="134"/>
      <c r="L505" s="134"/>
      <c r="M505" s="134"/>
      <c r="N505" s="134"/>
    </row>
    <row r="506" spans="1:14" ht="15.75" customHeight="1" x14ac:dyDescent="0.25">
      <c r="A506" s="131">
        <v>497</v>
      </c>
      <c r="B506" s="132"/>
      <c r="C506" s="132"/>
      <c r="D506" s="132"/>
      <c r="E506" s="132"/>
      <c r="F506" s="132"/>
      <c r="G506" s="132"/>
      <c r="H506" s="132"/>
      <c r="I506" s="132"/>
      <c r="J506" s="132"/>
      <c r="K506" s="132"/>
      <c r="L506" s="132"/>
      <c r="M506" s="132"/>
      <c r="N506" s="132"/>
    </row>
    <row r="507" spans="1:14" ht="15.75" customHeight="1" x14ac:dyDescent="0.25">
      <c r="A507" s="133">
        <v>498</v>
      </c>
      <c r="B507" s="134"/>
      <c r="C507" s="134"/>
      <c r="D507" s="134"/>
      <c r="E507" s="134"/>
      <c r="F507" s="134"/>
      <c r="G507" s="134"/>
      <c r="H507" s="134"/>
      <c r="I507" s="134"/>
      <c r="J507" s="134"/>
      <c r="K507" s="134"/>
      <c r="L507" s="134"/>
      <c r="M507" s="134"/>
      <c r="N507" s="134"/>
    </row>
    <row r="508" spans="1:14" ht="15.75" customHeight="1" x14ac:dyDescent="0.25">
      <c r="A508" s="131">
        <v>499</v>
      </c>
      <c r="B508" s="132"/>
      <c r="C508" s="132"/>
      <c r="D508" s="132"/>
      <c r="E508" s="132"/>
      <c r="F508" s="132"/>
      <c r="G508" s="132"/>
      <c r="H508" s="132"/>
      <c r="I508" s="132"/>
      <c r="J508" s="132"/>
      <c r="K508" s="132"/>
      <c r="L508" s="132"/>
      <c r="M508" s="132"/>
      <c r="N508" s="132"/>
    </row>
    <row r="509" spans="1:14" ht="15.75" customHeight="1" x14ac:dyDescent="0.25">
      <c r="A509" s="133">
        <v>500</v>
      </c>
      <c r="B509" s="134"/>
      <c r="C509" s="134"/>
      <c r="D509" s="134"/>
      <c r="E509" s="134"/>
      <c r="F509" s="134"/>
      <c r="G509" s="134"/>
      <c r="H509" s="134"/>
      <c r="I509" s="134"/>
      <c r="J509" s="134"/>
      <c r="K509" s="134"/>
      <c r="L509" s="134"/>
      <c r="M509" s="134"/>
      <c r="N509" s="134"/>
    </row>
    <row r="511" spans="1:14" ht="3" customHeight="1" x14ac:dyDescent="0.25">
      <c r="A511" s="47"/>
      <c r="B511" s="47"/>
      <c r="C511" s="47"/>
      <c r="D511" s="47"/>
      <c r="E511" s="47"/>
      <c r="F511" s="47"/>
      <c r="G511" s="47"/>
      <c r="H511" s="47"/>
      <c r="I511" s="47"/>
      <c r="J511" s="47"/>
      <c r="K511" s="47"/>
      <c r="L511" s="47"/>
      <c r="M511" s="47"/>
      <c r="N511" s="47"/>
    </row>
    <row r="512" spans="1:14" ht="25.5" customHeight="1" x14ac:dyDescent="0.25">
      <c r="A512" s="218" t="s">
        <v>351</v>
      </c>
      <c r="B512" s="218"/>
      <c r="C512" s="218"/>
      <c r="D512" s="218"/>
      <c r="E512" s="218"/>
      <c r="F512" s="218"/>
      <c r="G512" s="218"/>
      <c r="H512" s="218"/>
      <c r="I512" s="218"/>
      <c r="J512" s="218"/>
      <c r="K512" s="218"/>
      <c r="L512" s="218"/>
      <c r="M512" s="218"/>
      <c r="N512" s="218"/>
    </row>
    <row r="513" spans="1:14" ht="19.5" customHeight="1" x14ac:dyDescent="0.25">
      <c r="B513" s="129" t="s">
        <v>352</v>
      </c>
      <c r="F513" s="239">
        <f>COUNTA(B10:B509)</f>
        <v>0</v>
      </c>
      <c r="G513" s="239"/>
      <c r="H513" s="239"/>
      <c r="I513" s="239"/>
      <c r="J513" s="239"/>
    </row>
    <row r="514" spans="1:14" ht="19.5" customHeight="1" x14ac:dyDescent="0.25">
      <c r="B514" s="129" t="s">
        <v>353</v>
      </c>
      <c r="F514" s="239">
        <f>SUMIF(E10:E509,"Savings",G10:G509)</f>
        <v>0</v>
      </c>
      <c r="G514" s="239"/>
      <c r="H514" s="239"/>
      <c r="I514" s="239"/>
      <c r="J514" s="239"/>
    </row>
    <row r="515" spans="1:14" ht="19.5" customHeight="1" x14ac:dyDescent="0.25">
      <c r="B515" s="129" t="s">
        <v>354</v>
      </c>
      <c r="F515" s="239">
        <f>SUMIF(E10:E509,"Withdrawal",G10:G509)</f>
        <v>0</v>
      </c>
      <c r="G515" s="239"/>
      <c r="H515" s="239"/>
      <c r="I515" s="239"/>
      <c r="J515" s="239"/>
    </row>
    <row r="516" spans="1:14" ht="19.5" customHeight="1" x14ac:dyDescent="0.25">
      <c r="B516" s="129" t="s">
        <v>355</v>
      </c>
      <c r="F516" s="239">
        <f>SUMIF(E10:E509,"Loan",G10:G509)</f>
        <v>0</v>
      </c>
      <c r="G516" s="239"/>
      <c r="H516" s="239"/>
      <c r="I516" s="239"/>
      <c r="J516" s="239"/>
    </row>
    <row r="517" spans="1:14" ht="19.5" customHeight="1" x14ac:dyDescent="0.25">
      <c r="B517" s="129" t="s">
        <v>356</v>
      </c>
      <c r="F517" s="239" t="e">
        <f>SUMPRODUCT((B10:B509&lt;&gt;"")/COUNTIF(IF(C10:C509="","x",C10:C509),IF(C10:C509="","x",C10:C509)))</f>
        <v>#VALUE!</v>
      </c>
      <c r="G517" s="239"/>
      <c r="H517" s="239"/>
      <c r="I517" s="239"/>
      <c r="J517" s="239"/>
    </row>
    <row r="518" spans="1:14" ht="19.5" customHeight="1" x14ac:dyDescent="0.25">
      <c r="B518" s="129" t="s">
        <v>357</v>
      </c>
      <c r="F518" s="239" t="str">
        <f>IFERROR(TEXT(MAX(F10:F509),"DD MMM YYYY"),"No records yet")</f>
        <v>00 Jan 1900</v>
      </c>
      <c r="G518" s="239"/>
      <c r="H518" s="239"/>
      <c r="I518" s="239"/>
      <c r="J518" s="239"/>
    </row>
    <row r="520" spans="1:14" ht="3" customHeight="1" x14ac:dyDescent="0.25">
      <c r="A520" s="135"/>
      <c r="B520" s="135"/>
      <c r="C520" s="135"/>
      <c r="D520" s="135"/>
      <c r="E520" s="135"/>
      <c r="F520" s="135"/>
      <c r="G520" s="135"/>
      <c r="H520" s="135"/>
      <c r="I520" s="135"/>
      <c r="J520" s="135"/>
      <c r="K520" s="135"/>
      <c r="L520" s="135"/>
      <c r="M520" s="135"/>
      <c r="N520" s="135"/>
    </row>
    <row r="521" spans="1:14" ht="24" customHeight="1" x14ac:dyDescent="0.25">
      <c r="A521" s="240" t="s">
        <v>358</v>
      </c>
      <c r="B521" s="240"/>
      <c r="C521" s="240"/>
      <c r="D521" s="240"/>
      <c r="E521" s="240"/>
      <c r="F521" s="240"/>
      <c r="G521" s="240"/>
      <c r="H521" s="240"/>
      <c r="I521" s="240"/>
      <c r="J521" s="240"/>
      <c r="K521" s="240"/>
      <c r="L521" s="240"/>
      <c r="M521" s="240"/>
      <c r="N521" s="240"/>
    </row>
    <row r="522" spans="1:14" ht="15.75" customHeight="1" x14ac:dyDescent="0.25">
      <c r="B522" s="241" t="s">
        <v>359</v>
      </c>
      <c r="C522" s="241"/>
      <c r="D522" s="241"/>
      <c r="E522" s="241"/>
      <c r="F522" s="241"/>
      <c r="G522" s="241"/>
      <c r="H522" s="241"/>
      <c r="I522" s="241"/>
      <c r="J522" s="241"/>
      <c r="K522" s="241"/>
      <c r="L522" s="241"/>
      <c r="M522" s="241"/>
      <c r="N522" s="241"/>
    </row>
    <row r="523" spans="1:14" ht="15.75" customHeight="1" x14ac:dyDescent="0.25">
      <c r="B523" s="241" t="s">
        <v>360</v>
      </c>
      <c r="C523" s="241"/>
      <c r="D523" s="241"/>
      <c r="E523" s="241"/>
      <c r="F523" s="241"/>
      <c r="G523" s="241"/>
      <c r="H523" s="241"/>
      <c r="I523" s="241"/>
      <c r="J523" s="241"/>
      <c r="K523" s="241"/>
      <c r="L523" s="241"/>
      <c r="M523" s="241"/>
      <c r="N523" s="241"/>
    </row>
    <row r="524" spans="1:14" ht="15.75" customHeight="1" x14ac:dyDescent="0.25">
      <c r="B524" s="241" t="s">
        <v>361</v>
      </c>
      <c r="C524" s="241"/>
      <c r="D524" s="241"/>
      <c r="E524" s="241"/>
      <c r="F524" s="241"/>
      <c r="G524" s="241"/>
      <c r="H524" s="241"/>
      <c r="I524" s="241"/>
      <c r="J524" s="241"/>
      <c r="K524" s="241"/>
      <c r="L524" s="241"/>
      <c r="M524" s="241"/>
      <c r="N524" s="241"/>
    </row>
    <row r="525" spans="1:14" ht="15.75" customHeight="1" x14ac:dyDescent="0.25">
      <c r="B525" s="241" t="s">
        <v>362</v>
      </c>
      <c r="C525" s="241"/>
      <c r="D525" s="241"/>
      <c r="E525" s="241"/>
      <c r="F525" s="241"/>
      <c r="G525" s="241"/>
      <c r="H525" s="241"/>
      <c r="I525" s="241"/>
      <c r="J525" s="241"/>
      <c r="K525" s="241"/>
      <c r="L525" s="241"/>
      <c r="M525" s="241"/>
      <c r="N525" s="241"/>
    </row>
    <row r="526" spans="1:14" ht="15.75" customHeight="1" x14ac:dyDescent="0.25">
      <c r="B526" s="241" t="s">
        <v>363</v>
      </c>
      <c r="C526" s="241"/>
      <c r="D526" s="241"/>
      <c r="E526" s="241"/>
      <c r="F526" s="241"/>
      <c r="G526" s="241"/>
      <c r="H526" s="241"/>
      <c r="I526" s="241"/>
      <c r="J526" s="241"/>
      <c r="K526" s="241"/>
      <c r="L526" s="241"/>
      <c r="M526" s="241"/>
      <c r="N526" s="241"/>
    </row>
    <row r="527" spans="1:14" ht="15.75" customHeight="1" x14ac:dyDescent="0.25">
      <c r="B527" s="241" t="s">
        <v>364</v>
      </c>
      <c r="C527" s="241"/>
      <c r="D527" s="241"/>
      <c r="E527" s="241"/>
      <c r="F527" s="241"/>
      <c r="G527" s="241"/>
      <c r="H527" s="241"/>
      <c r="I527" s="241"/>
      <c r="J527" s="241"/>
      <c r="K527" s="241"/>
      <c r="L527" s="241"/>
      <c r="M527" s="241"/>
      <c r="N527" s="241"/>
    </row>
  </sheetData>
  <sheetProtection password="9074" sheet="1"/>
  <mergeCells count="21">
    <mergeCell ref="B523:N523"/>
    <mergeCell ref="B524:N524"/>
    <mergeCell ref="B525:N525"/>
    <mergeCell ref="B526:N526"/>
    <mergeCell ref="B527:N527"/>
    <mergeCell ref="F516:J516"/>
    <mergeCell ref="F517:J517"/>
    <mergeCell ref="F518:J518"/>
    <mergeCell ref="A521:N521"/>
    <mergeCell ref="B522:N522"/>
    <mergeCell ref="A8:N8"/>
    <mergeCell ref="A512:N512"/>
    <mergeCell ref="F513:J513"/>
    <mergeCell ref="F514:J514"/>
    <mergeCell ref="F515:J515"/>
    <mergeCell ref="A2:N2"/>
    <mergeCell ref="A3:N3"/>
    <mergeCell ref="A6:N6"/>
    <mergeCell ref="D7:F7"/>
    <mergeCell ref="J7:K7"/>
    <mergeCell ref="M7:N7"/>
  </mergeCells>
  <pageMargins left="0.75" right="0.75" top="1" bottom="1" header="0.511811023622047" footer="0.511811023622047"/>
  <pageSetup paperSize="9" orientation="portrait" horizontalDpi="300" verticalDpi="30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tabColor rgb="FF2E86AB"/>
  </sheetPr>
  <dimension ref="A1:Q140"/>
  <sheetViews>
    <sheetView showGridLines="0" zoomScaleNormal="100" workbookViewId="0"/>
  </sheetViews>
  <sheetFormatPr defaultColWidth="8.7109375" defaultRowHeight="15" x14ac:dyDescent="0.25"/>
  <cols>
    <col min="1" max="1" width="3" customWidth="1"/>
    <col min="2" max="2" width="20" customWidth="1"/>
    <col min="3" max="3" width="14" customWidth="1"/>
    <col min="4" max="5" width="10" customWidth="1"/>
    <col min="6" max="6" width="18" customWidth="1"/>
    <col min="7" max="7" width="12" customWidth="1"/>
    <col min="8" max="8" width="24" customWidth="1"/>
    <col min="9" max="17" width="13" customWidth="1"/>
  </cols>
  <sheetData>
    <row r="1" spans="1:17" ht="9.75" customHeight="1" x14ac:dyDescent="0.25"/>
    <row r="2" spans="1:17" ht="36" customHeight="1" x14ac:dyDescent="0.25">
      <c r="A2" s="14" t="s">
        <v>365</v>
      </c>
      <c r="B2" s="14"/>
      <c r="C2" s="14"/>
      <c r="D2" s="14"/>
      <c r="E2" s="14"/>
      <c r="F2" s="14"/>
      <c r="G2" s="14"/>
      <c r="H2" s="14"/>
      <c r="I2" s="14"/>
      <c r="J2" s="14"/>
      <c r="K2" s="14"/>
      <c r="L2" s="14"/>
      <c r="M2" s="14"/>
      <c r="N2" s="14"/>
      <c r="O2" s="14"/>
      <c r="P2" s="14"/>
      <c r="Q2" s="14"/>
    </row>
    <row r="3" spans="1:17" ht="18" customHeight="1" x14ac:dyDescent="0.25">
      <c r="A3" s="235" t="s">
        <v>366</v>
      </c>
      <c r="B3" s="235"/>
      <c r="C3" s="235"/>
      <c r="D3" s="235"/>
      <c r="E3" s="235"/>
      <c r="F3" s="235"/>
      <c r="G3" s="235"/>
      <c r="H3" s="235"/>
      <c r="I3" s="235"/>
      <c r="J3" s="235"/>
      <c r="K3" s="235"/>
      <c r="L3" s="235"/>
      <c r="M3" s="235"/>
      <c r="N3" s="235"/>
      <c r="O3" s="235"/>
      <c r="P3" s="235"/>
      <c r="Q3" s="235"/>
    </row>
    <row r="4" spans="1:17" ht="3.75" customHeight="1" x14ac:dyDescent="0.25">
      <c r="A4" s="16"/>
      <c r="B4" s="16"/>
      <c r="C4" s="16"/>
      <c r="D4" s="16"/>
      <c r="E4" s="16"/>
      <c r="F4" s="16"/>
      <c r="G4" s="16"/>
      <c r="H4" s="16"/>
      <c r="I4" s="16"/>
      <c r="J4" s="16"/>
      <c r="K4" s="16"/>
      <c r="L4" s="16"/>
      <c r="M4" s="16"/>
      <c r="N4" s="16"/>
      <c r="O4" s="16"/>
      <c r="P4" s="16"/>
      <c r="Q4" s="16"/>
    </row>
    <row r="5" spans="1:17" ht="9.75" customHeight="1" x14ac:dyDescent="0.25"/>
    <row r="6" spans="1:17" ht="24" customHeight="1" x14ac:dyDescent="0.25">
      <c r="A6" s="242" t="s">
        <v>367</v>
      </c>
      <c r="B6" s="242"/>
      <c r="C6" s="242"/>
      <c r="D6" s="242"/>
      <c r="E6" s="242"/>
      <c r="F6" s="242"/>
      <c r="G6" s="242"/>
      <c r="H6" s="242"/>
      <c r="I6" s="242"/>
      <c r="J6" s="242"/>
      <c r="K6" s="242"/>
      <c r="L6" s="242"/>
      <c r="M6" s="242"/>
      <c r="N6" s="242"/>
      <c r="O6" s="242"/>
      <c r="P6" s="242"/>
      <c r="Q6" s="242"/>
    </row>
    <row r="7" spans="1:17" ht="19.5" customHeight="1" x14ac:dyDescent="0.25">
      <c r="B7" s="129" t="s">
        <v>368</v>
      </c>
      <c r="D7" s="243" t="s">
        <v>369</v>
      </c>
      <c r="E7" s="243"/>
      <c r="F7" s="243"/>
      <c r="G7" s="243"/>
      <c r="H7" s="243"/>
      <c r="I7" s="243"/>
      <c r="J7" s="243"/>
      <c r="K7" s="243"/>
      <c r="L7" s="243"/>
    </row>
    <row r="8" spans="1:17" ht="19.5" customHeight="1" x14ac:dyDescent="0.25">
      <c r="B8" s="129" t="s">
        <v>370</v>
      </c>
      <c r="D8" s="243" t="s">
        <v>371</v>
      </c>
      <c r="E8" s="243"/>
      <c r="F8" s="243"/>
      <c r="G8" s="243"/>
      <c r="H8" s="243"/>
      <c r="I8" s="243"/>
      <c r="J8" s="243"/>
      <c r="K8" s="243"/>
      <c r="L8" s="243"/>
    </row>
    <row r="9" spans="1:17" ht="19.5" customHeight="1" x14ac:dyDescent="0.25">
      <c r="B9" s="129" t="s">
        <v>372</v>
      </c>
      <c r="D9" s="243" t="s">
        <v>371</v>
      </c>
      <c r="E9" s="243"/>
      <c r="F9" s="243"/>
      <c r="G9" s="243"/>
      <c r="H9" s="243"/>
      <c r="I9" s="243"/>
      <c r="J9" s="243"/>
      <c r="K9" s="243"/>
      <c r="L9" s="243"/>
    </row>
    <row r="10" spans="1:17" ht="19.5" customHeight="1" x14ac:dyDescent="0.25">
      <c r="B10" s="129" t="s">
        <v>373</v>
      </c>
      <c r="D10" s="243">
        <f>COUNTA(DB_Savings!B4:B500)+COUNTA(DB_Withdrawals!B4:B500)+COUNTA(DB_Loans!A4:A500)</f>
        <v>0</v>
      </c>
      <c r="E10" s="243"/>
      <c r="F10" s="243"/>
      <c r="G10" s="243"/>
      <c r="H10" s="243"/>
      <c r="I10" s="243"/>
      <c r="J10" s="243"/>
      <c r="K10" s="243"/>
      <c r="L10" s="243"/>
    </row>
    <row r="11" spans="1:17" ht="19.5" customHeight="1" x14ac:dyDescent="0.25">
      <c r="B11" s="129" t="s">
        <v>374</v>
      </c>
      <c r="D11" s="243" t="s">
        <v>375</v>
      </c>
      <c r="E11" s="243"/>
      <c r="F11" s="243"/>
      <c r="G11" s="243"/>
      <c r="H11" s="243"/>
      <c r="I11" s="243"/>
      <c r="J11" s="243"/>
      <c r="K11" s="243"/>
      <c r="L11" s="243"/>
    </row>
    <row r="12" spans="1:17" ht="19.5" customHeight="1" x14ac:dyDescent="0.25">
      <c r="B12" s="129" t="s">
        <v>376</v>
      </c>
      <c r="D12" s="243" t="s">
        <v>377</v>
      </c>
      <c r="E12" s="243"/>
      <c r="F12" s="243"/>
      <c r="G12" s="243"/>
      <c r="H12" s="243"/>
      <c r="I12" s="243"/>
      <c r="J12" s="243"/>
      <c r="K12" s="243"/>
      <c r="L12" s="243"/>
    </row>
    <row r="13" spans="1:17" ht="12" customHeight="1" x14ac:dyDescent="0.25"/>
    <row r="14" spans="1:17" ht="3" customHeight="1" x14ac:dyDescent="0.25">
      <c r="A14" s="47"/>
      <c r="B14" s="47"/>
      <c r="C14" s="47"/>
      <c r="D14" s="47"/>
      <c r="E14" s="47"/>
      <c r="F14" s="47"/>
      <c r="G14" s="47"/>
      <c r="H14" s="47"/>
      <c r="I14" s="47"/>
      <c r="J14" s="47"/>
      <c r="K14" s="47"/>
      <c r="L14" s="47"/>
      <c r="M14" s="47"/>
      <c r="N14" s="47"/>
      <c r="O14" s="47"/>
      <c r="P14" s="47"/>
      <c r="Q14" s="47"/>
    </row>
    <row r="15" spans="1:17" ht="25.5" customHeight="1" x14ac:dyDescent="0.25">
      <c r="A15" s="218" t="s">
        <v>378</v>
      </c>
      <c r="B15" s="218"/>
      <c r="C15" s="218"/>
      <c r="D15" s="218"/>
      <c r="E15" s="218"/>
      <c r="F15" s="218"/>
      <c r="G15" s="218"/>
      <c r="H15" s="218"/>
      <c r="I15" s="218"/>
      <c r="J15" s="218"/>
      <c r="K15" s="218"/>
      <c r="L15" s="218"/>
      <c r="M15" s="218"/>
      <c r="N15" s="218"/>
      <c r="O15" s="218"/>
      <c r="P15" s="218"/>
      <c r="Q15" s="218"/>
    </row>
    <row r="16" spans="1:17" ht="19.5" customHeight="1" x14ac:dyDescent="0.25">
      <c r="B16" s="129" t="s">
        <v>379</v>
      </c>
      <c r="D16" s="243" t="s">
        <v>380</v>
      </c>
      <c r="E16" s="243"/>
      <c r="F16" s="243"/>
      <c r="G16" s="243"/>
      <c r="H16" s="243"/>
      <c r="I16" s="243"/>
      <c r="J16" s="243"/>
      <c r="K16" s="243"/>
      <c r="L16" s="243"/>
      <c r="M16" s="243"/>
      <c r="N16" s="243"/>
      <c r="O16" s="243"/>
      <c r="P16" s="243"/>
      <c r="Q16" s="243"/>
    </row>
    <row r="17" spans="1:17" ht="19.5" customHeight="1" x14ac:dyDescent="0.25">
      <c r="B17" s="129" t="s">
        <v>381</v>
      </c>
      <c r="D17" s="243" t="s">
        <v>382</v>
      </c>
      <c r="E17" s="243"/>
      <c r="F17" s="243"/>
      <c r="G17" s="243"/>
      <c r="H17" s="243"/>
      <c r="I17" s="243"/>
      <c r="J17" s="243"/>
      <c r="K17" s="243"/>
      <c r="L17" s="243"/>
      <c r="M17" s="243"/>
      <c r="N17" s="243"/>
      <c r="O17" s="243"/>
      <c r="P17" s="243"/>
      <c r="Q17" s="243"/>
    </row>
    <row r="18" spans="1:17" ht="19.5" customHeight="1" x14ac:dyDescent="0.25">
      <c r="B18" s="129" t="s">
        <v>383</v>
      </c>
      <c r="D18" s="243" t="s">
        <v>384</v>
      </c>
      <c r="E18" s="243"/>
      <c r="F18" s="243"/>
      <c r="G18" s="243"/>
      <c r="H18" s="243"/>
      <c r="I18" s="243"/>
      <c r="J18" s="243"/>
      <c r="K18" s="243"/>
      <c r="L18" s="243"/>
      <c r="M18" s="243"/>
      <c r="N18" s="243"/>
      <c r="O18" s="243"/>
      <c r="P18" s="243"/>
      <c r="Q18" s="243"/>
    </row>
    <row r="19" spans="1:17" ht="19.5" customHeight="1" x14ac:dyDescent="0.25">
      <c r="B19" s="129" t="s">
        <v>385</v>
      </c>
      <c r="D19" s="243" t="s">
        <v>386</v>
      </c>
      <c r="E19" s="243"/>
      <c r="F19" s="243"/>
      <c r="G19" s="243"/>
      <c r="H19" s="243"/>
      <c r="I19" s="243"/>
      <c r="J19" s="243"/>
      <c r="K19" s="243"/>
      <c r="L19" s="243"/>
      <c r="M19" s="243"/>
      <c r="N19" s="243"/>
      <c r="O19" s="243"/>
      <c r="P19" s="243"/>
      <c r="Q19" s="243"/>
    </row>
    <row r="20" spans="1:17" ht="19.5" customHeight="1" x14ac:dyDescent="0.25">
      <c r="B20" s="129" t="s">
        <v>387</v>
      </c>
      <c r="D20" s="243" t="s">
        <v>388</v>
      </c>
      <c r="E20" s="243"/>
      <c r="F20" s="243"/>
      <c r="G20" s="243"/>
      <c r="H20" s="243"/>
      <c r="I20" s="243"/>
      <c r="J20" s="243"/>
      <c r="K20" s="243"/>
      <c r="L20" s="243"/>
      <c r="M20" s="243"/>
      <c r="N20" s="243"/>
      <c r="O20" s="243"/>
      <c r="P20" s="243"/>
      <c r="Q20" s="243"/>
    </row>
    <row r="21" spans="1:17" ht="19.5" customHeight="1" x14ac:dyDescent="0.25">
      <c r="B21" s="129" t="s">
        <v>389</v>
      </c>
      <c r="D21" s="243" t="s">
        <v>390</v>
      </c>
      <c r="E21" s="243"/>
      <c r="F21" s="243"/>
      <c r="G21" s="243"/>
      <c r="H21" s="243"/>
      <c r="I21" s="243"/>
      <c r="J21" s="243"/>
      <c r="K21" s="243"/>
      <c r="L21" s="243"/>
      <c r="M21" s="243"/>
      <c r="N21" s="243"/>
      <c r="O21" s="243"/>
      <c r="P21" s="243"/>
      <c r="Q21" s="243"/>
    </row>
    <row r="22" spans="1:17" ht="19.5" customHeight="1" x14ac:dyDescent="0.25">
      <c r="B22" s="129" t="s">
        <v>391</v>
      </c>
      <c r="D22" s="243" t="s">
        <v>392</v>
      </c>
      <c r="E22" s="243"/>
      <c r="F22" s="243"/>
      <c r="G22" s="243"/>
      <c r="H22" s="243"/>
      <c r="I22" s="243"/>
      <c r="J22" s="243"/>
      <c r="K22" s="243"/>
      <c r="L22" s="243"/>
      <c r="M22" s="243"/>
      <c r="N22" s="243"/>
      <c r="O22" s="243"/>
      <c r="P22" s="243"/>
      <c r="Q22" s="243"/>
    </row>
    <row r="23" spans="1:17" ht="19.5" customHeight="1" x14ac:dyDescent="0.25">
      <c r="B23" s="129" t="s">
        <v>393</v>
      </c>
      <c r="D23" s="243" t="s">
        <v>394</v>
      </c>
      <c r="E23" s="243"/>
      <c r="F23" s="243"/>
      <c r="G23" s="243"/>
      <c r="H23" s="243"/>
      <c r="I23" s="243"/>
      <c r="J23" s="243"/>
      <c r="K23" s="243"/>
      <c r="L23" s="243"/>
      <c r="M23" s="243"/>
      <c r="N23" s="243"/>
      <c r="O23" s="243"/>
      <c r="P23" s="243"/>
      <c r="Q23" s="243"/>
    </row>
    <row r="24" spans="1:17" ht="19.5" customHeight="1" x14ac:dyDescent="0.25">
      <c r="B24" s="129" t="s">
        <v>395</v>
      </c>
      <c r="D24" s="243" t="s">
        <v>396</v>
      </c>
      <c r="E24" s="243"/>
      <c r="F24" s="243"/>
      <c r="G24" s="243"/>
      <c r="H24" s="243"/>
      <c r="I24" s="243"/>
      <c r="J24" s="243"/>
      <c r="K24" s="243"/>
      <c r="L24" s="243"/>
      <c r="M24" s="243"/>
      <c r="N24" s="243"/>
      <c r="O24" s="243"/>
      <c r="P24" s="243"/>
      <c r="Q24" s="243"/>
    </row>
    <row r="25" spans="1:17" ht="19.5" customHeight="1" x14ac:dyDescent="0.25">
      <c r="B25" s="129" t="s">
        <v>397</v>
      </c>
      <c r="D25" s="243" t="s">
        <v>398</v>
      </c>
      <c r="E25" s="243"/>
      <c r="F25" s="243"/>
      <c r="G25" s="243"/>
      <c r="H25" s="243"/>
      <c r="I25" s="243"/>
      <c r="J25" s="243"/>
      <c r="K25" s="243"/>
      <c r="L25" s="243"/>
      <c r="M25" s="243"/>
      <c r="N25" s="243"/>
      <c r="O25" s="243"/>
      <c r="P25" s="243"/>
      <c r="Q25" s="243"/>
    </row>
    <row r="26" spans="1:17" ht="19.5" customHeight="1" x14ac:dyDescent="0.25">
      <c r="B26" s="129" t="s">
        <v>399</v>
      </c>
      <c r="D26" s="243" t="s">
        <v>400</v>
      </c>
      <c r="E26" s="243"/>
      <c r="F26" s="243"/>
      <c r="G26" s="243"/>
      <c r="H26" s="243"/>
      <c r="I26" s="243"/>
      <c r="J26" s="243"/>
      <c r="K26" s="243"/>
      <c r="L26" s="243"/>
      <c r="M26" s="243"/>
      <c r="N26" s="243"/>
      <c r="O26" s="243"/>
      <c r="P26" s="243"/>
      <c r="Q26" s="243"/>
    </row>
    <row r="27" spans="1:17" ht="19.5" customHeight="1" x14ac:dyDescent="0.25">
      <c r="B27" s="129" t="s">
        <v>401</v>
      </c>
      <c r="D27" s="243" t="s">
        <v>402</v>
      </c>
      <c r="E27" s="243"/>
      <c r="F27" s="243"/>
      <c r="G27" s="243"/>
      <c r="H27" s="243"/>
      <c r="I27" s="243"/>
      <c r="J27" s="243"/>
      <c r="K27" s="243"/>
      <c r="L27" s="243"/>
      <c r="M27" s="243"/>
      <c r="N27" s="243"/>
      <c r="O27" s="243"/>
      <c r="P27" s="243"/>
      <c r="Q27" s="243"/>
    </row>
    <row r="28" spans="1:17" ht="19.5" customHeight="1" x14ac:dyDescent="0.25">
      <c r="B28" s="129" t="s">
        <v>403</v>
      </c>
      <c r="D28" s="243" t="s">
        <v>404</v>
      </c>
      <c r="E28" s="243"/>
      <c r="F28" s="243"/>
      <c r="G28" s="243"/>
      <c r="H28" s="243"/>
      <c r="I28" s="243"/>
      <c r="J28" s="243"/>
      <c r="K28" s="243"/>
      <c r="L28" s="243"/>
      <c r="M28" s="243"/>
      <c r="N28" s="243"/>
      <c r="O28" s="243"/>
      <c r="P28" s="243"/>
      <c r="Q28" s="243"/>
    </row>
    <row r="29" spans="1:17" ht="19.5" customHeight="1" x14ac:dyDescent="0.25">
      <c r="B29" s="129" t="s">
        <v>405</v>
      </c>
      <c r="D29" s="243" t="s">
        <v>406</v>
      </c>
      <c r="E29" s="243"/>
      <c r="F29" s="243"/>
      <c r="G29" s="243"/>
      <c r="H29" s="243"/>
      <c r="I29" s="243"/>
      <c r="J29" s="243"/>
      <c r="K29" s="243"/>
      <c r="L29" s="243"/>
      <c r="M29" s="243"/>
      <c r="N29" s="243"/>
      <c r="O29" s="243"/>
      <c r="P29" s="243"/>
      <c r="Q29" s="243"/>
    </row>
    <row r="30" spans="1:17" ht="13.5" customHeight="1" x14ac:dyDescent="0.25"/>
    <row r="31" spans="1:17" ht="3" customHeight="1" x14ac:dyDescent="0.25">
      <c r="A31" s="47"/>
      <c r="B31" s="47"/>
      <c r="C31" s="47"/>
      <c r="D31" s="47"/>
      <c r="E31" s="47"/>
      <c r="F31" s="47"/>
      <c r="G31" s="47"/>
      <c r="H31" s="47"/>
      <c r="I31" s="47"/>
      <c r="J31" s="47"/>
      <c r="K31" s="47"/>
      <c r="L31" s="47"/>
      <c r="M31" s="47"/>
      <c r="N31" s="47"/>
      <c r="O31" s="47"/>
      <c r="P31" s="47"/>
      <c r="Q31" s="47"/>
    </row>
    <row r="32" spans="1:17" ht="25.5" customHeight="1" x14ac:dyDescent="0.25">
      <c r="A32" s="218" t="s">
        <v>407</v>
      </c>
      <c r="B32" s="218"/>
      <c r="C32" s="218"/>
      <c r="D32" s="218"/>
      <c r="E32" s="218"/>
      <c r="F32" s="218"/>
      <c r="G32" s="218"/>
      <c r="H32" s="218"/>
      <c r="I32" s="218"/>
      <c r="J32" s="218"/>
      <c r="K32" s="218"/>
      <c r="L32" s="218"/>
      <c r="M32" s="218"/>
      <c r="N32" s="218"/>
      <c r="O32" s="218"/>
      <c r="P32" s="218"/>
      <c r="Q32" s="218"/>
    </row>
    <row r="33" spans="1:17" ht="7.5" customHeight="1" x14ac:dyDescent="0.25"/>
    <row r="34" spans="1:17" ht="43.5" customHeight="1" x14ac:dyDescent="0.25">
      <c r="B34" s="244" t="s">
        <v>408</v>
      </c>
      <c r="C34" s="244"/>
      <c r="D34" s="244"/>
      <c r="E34" s="244"/>
      <c r="F34" s="244"/>
      <c r="G34" s="244"/>
    </row>
    <row r="35" spans="1:17" ht="15.75" customHeight="1" x14ac:dyDescent="0.25">
      <c r="B35" s="245" t="s">
        <v>409</v>
      </c>
      <c r="C35" s="245"/>
      <c r="D35" s="245"/>
      <c r="E35" s="245"/>
      <c r="F35" s="245"/>
      <c r="G35" s="245"/>
    </row>
    <row r="36" spans="1:17" ht="9.75" customHeight="1" x14ac:dyDescent="0.25"/>
    <row r="37" spans="1:17" ht="43.5" customHeight="1" x14ac:dyDescent="0.25">
      <c r="B37" s="246" t="s">
        <v>410</v>
      </c>
      <c r="C37" s="246"/>
      <c r="D37" s="246"/>
      <c r="E37" s="246"/>
      <c r="F37" s="246"/>
      <c r="G37" s="246"/>
    </row>
    <row r="38" spans="1:17" ht="15.75" customHeight="1" x14ac:dyDescent="0.25">
      <c r="B38" s="245" t="s">
        <v>411</v>
      </c>
      <c r="C38" s="245"/>
      <c r="D38" s="245"/>
      <c r="E38" s="245"/>
      <c r="F38" s="245"/>
      <c r="G38" s="245"/>
    </row>
    <row r="39" spans="1:17" ht="9.75" customHeight="1" x14ac:dyDescent="0.25"/>
    <row r="40" spans="1:17" ht="43.5" customHeight="1" x14ac:dyDescent="0.25">
      <c r="B40" s="247" t="s">
        <v>412</v>
      </c>
      <c r="C40" s="247"/>
      <c r="D40" s="247"/>
      <c r="E40" s="247"/>
      <c r="F40" s="247"/>
      <c r="G40" s="247"/>
    </row>
    <row r="41" spans="1:17" ht="15.75" customHeight="1" x14ac:dyDescent="0.25">
      <c r="B41" s="248" t="s">
        <v>413</v>
      </c>
      <c r="C41" s="248"/>
      <c r="D41" s="248"/>
      <c r="E41" s="248"/>
      <c r="F41" s="248"/>
      <c r="G41" s="248"/>
    </row>
    <row r="42" spans="1:17" ht="13.5" customHeight="1" x14ac:dyDescent="0.25"/>
    <row r="43" spans="1:17" ht="3" customHeight="1" x14ac:dyDescent="0.25">
      <c r="A43" s="47"/>
      <c r="B43" s="47"/>
      <c r="C43" s="47"/>
      <c r="D43" s="47"/>
      <c r="E43" s="47"/>
      <c r="F43" s="47"/>
      <c r="G43" s="47"/>
      <c r="H43" s="47"/>
      <c r="I43" s="47"/>
      <c r="J43" s="47"/>
      <c r="K43" s="47"/>
      <c r="L43" s="47"/>
      <c r="M43" s="47"/>
      <c r="N43" s="47"/>
      <c r="O43" s="47"/>
      <c r="P43" s="47"/>
      <c r="Q43" s="47"/>
    </row>
    <row r="44" spans="1:17" ht="25.5" customHeight="1" x14ac:dyDescent="0.25">
      <c r="A44" s="218" t="s">
        <v>414</v>
      </c>
      <c r="B44" s="218"/>
      <c r="C44" s="218"/>
      <c r="D44" s="218"/>
      <c r="E44" s="218"/>
      <c r="F44" s="218"/>
      <c r="G44" s="218"/>
      <c r="H44" s="218"/>
      <c r="I44" s="218"/>
      <c r="J44" s="218"/>
      <c r="K44" s="218"/>
      <c r="L44" s="218"/>
      <c r="M44" s="218"/>
      <c r="N44" s="218"/>
      <c r="O44" s="218"/>
      <c r="P44" s="218"/>
      <c r="Q44" s="218"/>
    </row>
    <row r="45" spans="1:17" ht="24" customHeight="1" x14ac:dyDescent="0.25">
      <c r="B45" s="249" t="s">
        <v>415</v>
      </c>
      <c r="C45" s="249"/>
      <c r="D45" s="249"/>
      <c r="E45" s="249"/>
      <c r="F45" s="249"/>
      <c r="G45" s="249"/>
      <c r="H45" s="249"/>
      <c r="I45" s="249"/>
      <c r="J45" s="249"/>
      <c r="K45" s="249"/>
      <c r="L45" s="249"/>
      <c r="M45" s="249"/>
      <c r="N45" s="249"/>
      <c r="O45" s="249"/>
      <c r="P45" s="249"/>
      <c r="Q45" s="249"/>
    </row>
    <row r="46" spans="1:17" ht="15.75" customHeight="1" x14ac:dyDescent="0.25">
      <c r="C46" s="250" t="s">
        <v>416</v>
      </c>
      <c r="D46" s="250"/>
      <c r="E46" s="250"/>
      <c r="F46" s="250"/>
      <c r="G46" s="250"/>
      <c r="H46" s="250"/>
      <c r="I46" s="250"/>
      <c r="J46" s="250"/>
      <c r="K46" s="250"/>
      <c r="L46" s="250"/>
      <c r="M46" s="250"/>
      <c r="N46" s="250"/>
      <c r="O46" s="250"/>
      <c r="P46" s="250"/>
      <c r="Q46" s="250"/>
    </row>
    <row r="47" spans="1:17" ht="15.75" customHeight="1" x14ac:dyDescent="0.25">
      <c r="C47" s="250" t="s">
        <v>417</v>
      </c>
      <c r="D47" s="250"/>
      <c r="E47" s="250"/>
      <c r="F47" s="250"/>
      <c r="G47" s="250"/>
      <c r="H47" s="250"/>
      <c r="I47" s="250"/>
      <c r="J47" s="250"/>
      <c r="K47" s="250"/>
      <c r="L47" s="250"/>
      <c r="M47" s="250"/>
      <c r="N47" s="250"/>
      <c r="O47" s="250"/>
      <c r="P47" s="250"/>
      <c r="Q47" s="250"/>
    </row>
    <row r="48" spans="1:17" ht="15.75" customHeight="1" x14ac:dyDescent="0.25">
      <c r="C48" s="250" t="s">
        <v>418</v>
      </c>
      <c r="D48" s="250"/>
      <c r="E48" s="250"/>
      <c r="F48" s="250"/>
      <c r="G48" s="250"/>
      <c r="H48" s="250"/>
      <c r="I48" s="250"/>
      <c r="J48" s="250"/>
      <c r="K48" s="250"/>
      <c r="L48" s="250"/>
      <c r="M48" s="250"/>
      <c r="N48" s="250"/>
      <c r="O48" s="250"/>
      <c r="P48" s="250"/>
      <c r="Q48" s="250"/>
    </row>
    <row r="49" spans="2:17" ht="15.75" customHeight="1" x14ac:dyDescent="0.25">
      <c r="C49" s="250" t="s">
        <v>419</v>
      </c>
      <c r="D49" s="250"/>
      <c r="E49" s="250"/>
      <c r="F49" s="250"/>
      <c r="G49" s="250"/>
      <c r="H49" s="250"/>
      <c r="I49" s="250"/>
      <c r="J49" s="250"/>
      <c r="K49" s="250"/>
      <c r="L49" s="250"/>
      <c r="M49" s="250"/>
      <c r="N49" s="250"/>
      <c r="O49" s="250"/>
      <c r="P49" s="250"/>
      <c r="Q49" s="250"/>
    </row>
    <row r="50" spans="2:17" ht="15.75" customHeight="1" x14ac:dyDescent="0.25">
      <c r="C50" s="250" t="s">
        <v>420</v>
      </c>
      <c r="D50" s="250"/>
      <c r="E50" s="250"/>
      <c r="F50" s="250"/>
      <c r="G50" s="250"/>
      <c r="H50" s="250"/>
      <c r="I50" s="250"/>
      <c r="J50" s="250"/>
      <c r="K50" s="250"/>
      <c r="L50" s="250"/>
      <c r="M50" s="250"/>
      <c r="N50" s="250"/>
      <c r="O50" s="250"/>
      <c r="P50" s="250"/>
      <c r="Q50" s="250"/>
    </row>
    <row r="51" spans="2:17" ht="15.75" customHeight="1" x14ac:dyDescent="0.25">
      <c r="C51" s="250" t="s">
        <v>421</v>
      </c>
      <c r="D51" s="250"/>
      <c r="E51" s="250"/>
      <c r="F51" s="250"/>
      <c r="G51" s="250"/>
      <c r="H51" s="250"/>
      <c r="I51" s="250"/>
      <c r="J51" s="250"/>
      <c r="K51" s="250"/>
      <c r="L51" s="250"/>
      <c r="M51" s="250"/>
      <c r="N51" s="250"/>
      <c r="O51" s="250"/>
      <c r="P51" s="250"/>
      <c r="Q51" s="250"/>
    </row>
    <row r="52" spans="2:17" ht="7.5" customHeight="1" x14ac:dyDescent="0.25"/>
    <row r="53" spans="2:17" ht="24" customHeight="1" x14ac:dyDescent="0.25">
      <c r="B53" s="251" t="s">
        <v>422</v>
      </c>
      <c r="C53" s="251"/>
      <c r="D53" s="251"/>
      <c r="E53" s="251"/>
      <c r="F53" s="251"/>
      <c r="G53" s="251"/>
      <c r="H53" s="251"/>
      <c r="I53" s="251"/>
      <c r="J53" s="251"/>
      <c r="K53" s="251"/>
      <c r="L53" s="251"/>
      <c r="M53" s="251"/>
      <c r="N53" s="251"/>
      <c r="O53" s="251"/>
      <c r="P53" s="251"/>
      <c r="Q53" s="251"/>
    </row>
    <row r="54" spans="2:17" ht="15.75" customHeight="1" x14ac:dyDescent="0.25">
      <c r="C54" s="250" t="s">
        <v>423</v>
      </c>
      <c r="D54" s="250"/>
      <c r="E54" s="250"/>
      <c r="F54" s="250"/>
      <c r="G54" s="250"/>
      <c r="H54" s="250"/>
      <c r="I54" s="250"/>
      <c r="J54" s="250"/>
      <c r="K54" s="250"/>
      <c r="L54" s="250"/>
      <c r="M54" s="250"/>
      <c r="N54" s="250"/>
      <c r="O54" s="250"/>
      <c r="P54" s="250"/>
      <c r="Q54" s="250"/>
    </row>
    <row r="55" spans="2:17" ht="15.75" customHeight="1" x14ac:dyDescent="0.25">
      <c r="C55" s="250" t="s">
        <v>424</v>
      </c>
      <c r="D55" s="250"/>
      <c r="E55" s="250"/>
      <c r="F55" s="250"/>
      <c r="G55" s="250"/>
      <c r="H55" s="250"/>
      <c r="I55" s="250"/>
      <c r="J55" s="250"/>
      <c r="K55" s="250"/>
      <c r="L55" s="250"/>
      <c r="M55" s="250"/>
      <c r="N55" s="250"/>
      <c r="O55" s="250"/>
      <c r="P55" s="250"/>
      <c r="Q55" s="250"/>
    </row>
    <row r="56" spans="2:17" ht="15.75" customHeight="1" x14ac:dyDescent="0.25">
      <c r="C56" s="250" t="s">
        <v>425</v>
      </c>
      <c r="D56" s="250"/>
      <c r="E56" s="250"/>
      <c r="F56" s="250"/>
      <c r="G56" s="250"/>
      <c r="H56" s="250"/>
      <c r="I56" s="250"/>
      <c r="J56" s="250"/>
      <c r="K56" s="250"/>
      <c r="L56" s="250"/>
      <c r="M56" s="250"/>
      <c r="N56" s="250"/>
      <c r="O56" s="250"/>
      <c r="P56" s="250"/>
      <c r="Q56" s="250"/>
    </row>
    <row r="57" spans="2:17" ht="15.75" customHeight="1" x14ac:dyDescent="0.25">
      <c r="C57" s="250" t="s">
        <v>426</v>
      </c>
      <c r="D57" s="250"/>
      <c r="E57" s="250"/>
      <c r="F57" s="250"/>
      <c r="G57" s="250"/>
      <c r="H57" s="250"/>
      <c r="I57" s="250"/>
      <c r="J57" s="250"/>
      <c r="K57" s="250"/>
      <c r="L57" s="250"/>
      <c r="M57" s="250"/>
      <c r="N57" s="250"/>
      <c r="O57" s="250"/>
      <c r="P57" s="250"/>
      <c r="Q57" s="250"/>
    </row>
    <row r="58" spans="2:17" ht="15.75" customHeight="1" x14ac:dyDescent="0.25">
      <c r="C58" s="250" t="s">
        <v>427</v>
      </c>
      <c r="D58" s="250"/>
      <c r="E58" s="250"/>
      <c r="F58" s="250"/>
      <c r="G58" s="250"/>
      <c r="H58" s="250"/>
      <c r="I58" s="250"/>
      <c r="J58" s="250"/>
      <c r="K58" s="250"/>
      <c r="L58" s="250"/>
      <c r="M58" s="250"/>
      <c r="N58" s="250"/>
      <c r="O58" s="250"/>
      <c r="P58" s="250"/>
      <c r="Q58" s="250"/>
    </row>
    <row r="59" spans="2:17" ht="7.5" customHeight="1" x14ac:dyDescent="0.25"/>
    <row r="60" spans="2:17" ht="24" customHeight="1" x14ac:dyDescent="0.25">
      <c r="B60" s="252" t="s">
        <v>428</v>
      </c>
      <c r="C60" s="252"/>
      <c r="D60" s="252"/>
      <c r="E60" s="252"/>
      <c r="F60" s="252"/>
      <c r="G60" s="252"/>
      <c r="H60" s="252"/>
      <c r="I60" s="252"/>
      <c r="J60" s="252"/>
      <c r="K60" s="252"/>
      <c r="L60" s="252"/>
      <c r="M60" s="252"/>
      <c r="N60" s="252"/>
      <c r="O60" s="252"/>
      <c r="P60" s="252"/>
      <c r="Q60" s="252"/>
    </row>
    <row r="61" spans="2:17" ht="15.75" customHeight="1" x14ac:dyDescent="0.25">
      <c r="C61" s="250" t="s">
        <v>429</v>
      </c>
      <c r="D61" s="250"/>
      <c r="E61" s="250"/>
      <c r="F61" s="250"/>
      <c r="G61" s="250"/>
      <c r="H61" s="250"/>
      <c r="I61" s="250"/>
      <c r="J61" s="250"/>
      <c r="K61" s="250"/>
      <c r="L61" s="250"/>
      <c r="M61" s="250"/>
      <c r="N61" s="250"/>
      <c r="O61" s="250"/>
      <c r="P61" s="250"/>
      <c r="Q61" s="250"/>
    </row>
    <row r="62" spans="2:17" ht="15.75" customHeight="1" x14ac:dyDescent="0.25">
      <c r="C62" s="250" t="s">
        <v>430</v>
      </c>
      <c r="D62" s="250"/>
      <c r="E62" s="250"/>
      <c r="F62" s="250"/>
      <c r="G62" s="250"/>
      <c r="H62" s="250"/>
      <c r="I62" s="250"/>
      <c r="J62" s="250"/>
      <c r="K62" s="250"/>
      <c r="L62" s="250"/>
      <c r="M62" s="250"/>
      <c r="N62" s="250"/>
      <c r="O62" s="250"/>
      <c r="P62" s="250"/>
      <c r="Q62" s="250"/>
    </row>
    <row r="63" spans="2:17" ht="15.75" customHeight="1" x14ac:dyDescent="0.25">
      <c r="C63" s="250" t="s">
        <v>431</v>
      </c>
      <c r="D63" s="250"/>
      <c r="E63" s="250"/>
      <c r="F63" s="250"/>
      <c r="G63" s="250"/>
      <c r="H63" s="250"/>
      <c r="I63" s="250"/>
      <c r="J63" s="250"/>
      <c r="K63" s="250"/>
      <c r="L63" s="250"/>
      <c r="M63" s="250"/>
      <c r="N63" s="250"/>
      <c r="O63" s="250"/>
      <c r="P63" s="250"/>
      <c r="Q63" s="250"/>
    </row>
    <row r="64" spans="2:17" ht="15.75" customHeight="1" x14ac:dyDescent="0.25">
      <c r="C64" s="250" t="s">
        <v>432</v>
      </c>
      <c r="D64" s="250"/>
      <c r="E64" s="250"/>
      <c r="F64" s="250"/>
      <c r="G64" s="250"/>
      <c r="H64" s="250"/>
      <c r="I64" s="250"/>
      <c r="J64" s="250"/>
      <c r="K64" s="250"/>
      <c r="L64" s="250"/>
      <c r="M64" s="250"/>
      <c r="N64" s="250"/>
      <c r="O64" s="250"/>
      <c r="P64" s="250"/>
      <c r="Q64" s="250"/>
    </row>
    <row r="65" spans="1:17" ht="15.75" customHeight="1" x14ac:dyDescent="0.25">
      <c r="C65" s="250" t="s">
        <v>433</v>
      </c>
      <c r="D65" s="250"/>
      <c r="E65" s="250"/>
      <c r="F65" s="250"/>
      <c r="G65" s="250"/>
      <c r="H65" s="250"/>
      <c r="I65" s="250"/>
      <c r="J65" s="250"/>
      <c r="K65" s="250"/>
      <c r="L65" s="250"/>
      <c r="M65" s="250"/>
      <c r="N65" s="250"/>
      <c r="O65" s="250"/>
      <c r="P65" s="250"/>
      <c r="Q65" s="250"/>
    </row>
    <row r="66" spans="1:17" ht="7.5" customHeight="1" x14ac:dyDescent="0.25"/>
    <row r="67" spans="1:17" ht="3" customHeight="1" x14ac:dyDescent="0.25">
      <c r="A67" s="47"/>
      <c r="B67" s="47"/>
      <c r="C67" s="47"/>
      <c r="D67" s="47"/>
      <c r="E67" s="47"/>
      <c r="F67" s="47"/>
      <c r="G67" s="47"/>
      <c r="H67" s="47"/>
      <c r="I67" s="47"/>
      <c r="J67" s="47"/>
      <c r="K67" s="47"/>
      <c r="L67" s="47"/>
      <c r="M67" s="47"/>
      <c r="N67" s="47"/>
      <c r="O67" s="47"/>
      <c r="P67" s="47"/>
      <c r="Q67" s="47"/>
    </row>
    <row r="68" spans="1:17" ht="25.5" customHeight="1" x14ac:dyDescent="0.25">
      <c r="A68" s="218" t="s">
        <v>434</v>
      </c>
      <c r="B68" s="218"/>
      <c r="C68" s="218"/>
      <c r="D68" s="218"/>
      <c r="E68" s="218"/>
      <c r="F68" s="218"/>
      <c r="G68" s="218"/>
      <c r="H68" s="218"/>
      <c r="I68" s="218"/>
      <c r="J68" s="218"/>
      <c r="K68" s="218"/>
      <c r="L68" s="218"/>
      <c r="M68" s="218"/>
      <c r="N68" s="218"/>
      <c r="O68" s="218"/>
      <c r="P68" s="218"/>
      <c r="Q68" s="218"/>
    </row>
    <row r="69" spans="1:17" ht="19.5" customHeight="1" x14ac:dyDescent="0.25">
      <c r="B69" s="129" t="s">
        <v>435</v>
      </c>
      <c r="D69" s="253" t="s">
        <v>436</v>
      </c>
      <c r="E69" s="253"/>
      <c r="F69" s="253"/>
      <c r="G69" s="253"/>
      <c r="H69" s="253"/>
      <c r="I69" s="253"/>
      <c r="J69" s="253"/>
      <c r="K69" s="253"/>
      <c r="L69" s="253"/>
      <c r="M69" s="253"/>
      <c r="N69" s="253"/>
      <c r="O69" s="253"/>
      <c r="P69" s="253"/>
      <c r="Q69" s="253"/>
    </row>
    <row r="70" spans="1:17" ht="19.5" customHeight="1" x14ac:dyDescent="0.25">
      <c r="B70" s="129" t="s">
        <v>437</v>
      </c>
      <c r="D70" s="253" t="s">
        <v>436</v>
      </c>
      <c r="E70" s="253"/>
      <c r="F70" s="253"/>
      <c r="G70" s="253"/>
      <c r="H70" s="253"/>
      <c r="I70" s="253"/>
      <c r="J70" s="253"/>
      <c r="K70" s="253"/>
      <c r="L70" s="253"/>
      <c r="M70" s="253"/>
      <c r="N70" s="253"/>
      <c r="O70" s="253"/>
      <c r="P70" s="253"/>
      <c r="Q70" s="253"/>
    </row>
    <row r="71" spans="1:17" ht="19.5" customHeight="1" x14ac:dyDescent="0.25">
      <c r="B71" s="129" t="s">
        <v>438</v>
      </c>
      <c r="D71" s="253" t="s">
        <v>439</v>
      </c>
      <c r="E71" s="253"/>
      <c r="F71" s="253"/>
      <c r="G71" s="253"/>
      <c r="H71" s="253"/>
      <c r="I71" s="253"/>
      <c r="J71" s="253"/>
      <c r="K71" s="253"/>
      <c r="L71" s="253"/>
      <c r="M71" s="253"/>
      <c r="N71" s="253"/>
      <c r="O71" s="253"/>
      <c r="P71" s="253"/>
      <c r="Q71" s="253"/>
    </row>
    <row r="72" spans="1:17" ht="19.5" customHeight="1" x14ac:dyDescent="0.25">
      <c r="B72" s="129" t="s">
        <v>440</v>
      </c>
      <c r="D72" s="253" t="s">
        <v>441</v>
      </c>
      <c r="E72" s="253"/>
      <c r="F72" s="253"/>
      <c r="G72" s="253"/>
      <c r="H72" s="253"/>
      <c r="I72" s="253"/>
      <c r="J72" s="253"/>
      <c r="K72" s="253"/>
      <c r="L72" s="253"/>
      <c r="M72" s="253"/>
      <c r="N72" s="253"/>
      <c r="O72" s="253"/>
      <c r="P72" s="253"/>
      <c r="Q72" s="253"/>
    </row>
    <row r="73" spans="1:17" ht="19.5" customHeight="1" x14ac:dyDescent="0.25">
      <c r="B73" s="129" t="s">
        <v>442</v>
      </c>
      <c r="D73" s="253" t="s">
        <v>443</v>
      </c>
      <c r="E73" s="253"/>
      <c r="F73" s="253"/>
      <c r="G73" s="253"/>
      <c r="H73" s="253"/>
      <c r="I73" s="253"/>
      <c r="J73" s="253"/>
      <c r="K73" s="253"/>
      <c r="L73" s="253"/>
      <c r="M73" s="253"/>
      <c r="N73" s="253"/>
      <c r="O73" s="253"/>
      <c r="P73" s="253"/>
      <c r="Q73" s="253"/>
    </row>
    <row r="74" spans="1:17" ht="19.5" customHeight="1" x14ac:dyDescent="0.25">
      <c r="B74" s="129" t="s">
        <v>444</v>
      </c>
      <c r="D74" s="253" t="s">
        <v>445</v>
      </c>
      <c r="E74" s="253"/>
      <c r="F74" s="253"/>
      <c r="G74" s="253"/>
      <c r="H74" s="253"/>
      <c r="I74" s="253"/>
      <c r="J74" s="253"/>
      <c r="K74" s="253"/>
      <c r="L74" s="253"/>
      <c r="M74" s="253"/>
      <c r="N74" s="253"/>
      <c r="O74" s="253"/>
      <c r="P74" s="253"/>
      <c r="Q74" s="253"/>
    </row>
    <row r="75" spans="1:17" ht="12" customHeight="1" x14ac:dyDescent="0.25"/>
    <row r="76" spans="1:17" ht="3" customHeight="1" x14ac:dyDescent="0.25">
      <c r="A76" s="47"/>
      <c r="B76" s="47"/>
      <c r="C76" s="47"/>
      <c r="D76" s="47"/>
      <c r="E76" s="47"/>
      <c r="F76" s="47"/>
      <c r="G76" s="47"/>
      <c r="H76" s="47"/>
      <c r="I76" s="47"/>
      <c r="J76" s="47"/>
      <c r="K76" s="47"/>
      <c r="L76" s="47"/>
      <c r="M76" s="47"/>
      <c r="N76" s="47"/>
      <c r="O76" s="47"/>
      <c r="P76" s="47"/>
      <c r="Q76" s="47"/>
    </row>
    <row r="77" spans="1:17" ht="25.5" customHeight="1" x14ac:dyDescent="0.25">
      <c r="A77" s="218" t="s">
        <v>446</v>
      </c>
      <c r="B77" s="218"/>
      <c r="C77" s="218"/>
      <c r="D77" s="218"/>
      <c r="E77" s="218"/>
      <c r="F77" s="218"/>
      <c r="G77" s="218"/>
      <c r="H77" s="218"/>
      <c r="I77" s="218"/>
      <c r="J77" s="218"/>
      <c r="K77" s="218"/>
      <c r="L77" s="218"/>
      <c r="M77" s="218"/>
      <c r="N77" s="218"/>
      <c r="O77" s="218"/>
      <c r="P77" s="218"/>
      <c r="Q77" s="218"/>
    </row>
    <row r="78" spans="1:17" ht="21.75" customHeight="1" x14ac:dyDescent="0.25">
      <c r="B78" s="136" t="s">
        <v>447</v>
      </c>
      <c r="C78" s="136" t="s">
        <v>448</v>
      </c>
      <c r="D78" s="136" t="s">
        <v>155</v>
      </c>
      <c r="E78" s="136" t="s">
        <v>449</v>
      </c>
      <c r="F78" s="136" t="s">
        <v>450</v>
      </c>
      <c r="G78" s="136" t="s">
        <v>451</v>
      </c>
      <c r="H78" s="136" t="s">
        <v>177</v>
      </c>
    </row>
    <row r="79" spans="1:17" ht="15.75" customHeight="1" x14ac:dyDescent="0.25">
      <c r="B79" s="137"/>
      <c r="C79" s="137"/>
      <c r="D79" s="137"/>
      <c r="E79" s="137"/>
      <c r="F79" s="137"/>
      <c r="G79" s="137"/>
      <c r="H79" s="137"/>
    </row>
    <row r="80" spans="1:17" ht="15.75" customHeight="1" x14ac:dyDescent="0.25">
      <c r="B80" s="138"/>
      <c r="C80" s="138"/>
      <c r="D80" s="138"/>
      <c r="E80" s="138"/>
      <c r="F80" s="138"/>
      <c r="G80" s="138"/>
      <c r="H80" s="138"/>
    </row>
    <row r="81" spans="2:8" ht="15.75" customHeight="1" x14ac:dyDescent="0.25">
      <c r="B81" s="137"/>
      <c r="C81" s="137"/>
      <c r="D81" s="137"/>
      <c r="E81" s="137"/>
      <c r="F81" s="137"/>
      <c r="G81" s="137"/>
      <c r="H81" s="137"/>
    </row>
    <row r="82" spans="2:8" ht="15.75" customHeight="1" x14ac:dyDescent="0.25">
      <c r="B82" s="138"/>
      <c r="C82" s="138"/>
      <c r="D82" s="138"/>
      <c r="E82" s="138"/>
      <c r="F82" s="138"/>
      <c r="G82" s="138"/>
      <c r="H82" s="138"/>
    </row>
    <row r="83" spans="2:8" ht="15.75" customHeight="1" x14ac:dyDescent="0.25">
      <c r="B83" s="137"/>
      <c r="C83" s="137"/>
      <c r="D83" s="137"/>
      <c r="E83" s="137"/>
      <c r="F83" s="137"/>
      <c r="G83" s="137"/>
      <c r="H83" s="137"/>
    </row>
    <row r="84" spans="2:8" ht="15.75" customHeight="1" x14ac:dyDescent="0.25">
      <c r="B84" s="138"/>
      <c r="C84" s="138"/>
      <c r="D84" s="138"/>
      <c r="E84" s="138"/>
      <c r="F84" s="138"/>
      <c r="G84" s="138"/>
      <c r="H84" s="138"/>
    </row>
    <row r="85" spans="2:8" ht="15.75" customHeight="1" x14ac:dyDescent="0.25">
      <c r="B85" s="137"/>
      <c r="C85" s="137"/>
      <c r="D85" s="137"/>
      <c r="E85" s="137"/>
      <c r="F85" s="137"/>
      <c r="G85" s="137"/>
      <c r="H85" s="137"/>
    </row>
    <row r="86" spans="2:8" ht="15.75" customHeight="1" x14ac:dyDescent="0.25">
      <c r="B86" s="138"/>
      <c r="C86" s="138"/>
      <c r="D86" s="138"/>
      <c r="E86" s="138"/>
      <c r="F86" s="138"/>
      <c r="G86" s="138"/>
      <c r="H86" s="138"/>
    </row>
    <row r="87" spans="2:8" ht="15.75" customHeight="1" x14ac:dyDescent="0.25">
      <c r="B87" s="137"/>
      <c r="C87" s="137"/>
      <c r="D87" s="137"/>
      <c r="E87" s="137"/>
      <c r="F87" s="137"/>
      <c r="G87" s="137"/>
      <c r="H87" s="137"/>
    </row>
    <row r="88" spans="2:8" ht="15.75" customHeight="1" x14ac:dyDescent="0.25">
      <c r="B88" s="138"/>
      <c r="C88" s="138"/>
      <c r="D88" s="138"/>
      <c r="E88" s="138"/>
      <c r="F88" s="138"/>
      <c r="G88" s="138"/>
      <c r="H88" s="138"/>
    </row>
    <row r="89" spans="2:8" ht="15.75" customHeight="1" x14ac:dyDescent="0.25">
      <c r="B89" s="137"/>
      <c r="C89" s="137"/>
      <c r="D89" s="137"/>
      <c r="E89" s="137"/>
      <c r="F89" s="137"/>
      <c r="G89" s="137"/>
      <c r="H89" s="137"/>
    </row>
    <row r="90" spans="2:8" ht="15.75" customHeight="1" x14ac:dyDescent="0.25">
      <c r="B90" s="138"/>
      <c r="C90" s="138"/>
      <c r="D90" s="138"/>
      <c r="E90" s="138"/>
      <c r="F90" s="138"/>
      <c r="G90" s="138"/>
      <c r="H90" s="138"/>
    </row>
    <row r="91" spans="2:8" ht="15.75" customHeight="1" x14ac:dyDescent="0.25">
      <c r="B91" s="137"/>
      <c r="C91" s="137"/>
      <c r="D91" s="137"/>
      <c r="E91" s="137"/>
      <c r="F91" s="137"/>
      <c r="G91" s="137"/>
      <c r="H91" s="137"/>
    </row>
    <row r="92" spans="2:8" ht="15.75" customHeight="1" x14ac:dyDescent="0.25">
      <c r="B92" s="138"/>
      <c r="C92" s="138"/>
      <c r="D92" s="138"/>
      <c r="E92" s="138"/>
      <c r="F92" s="138"/>
      <c r="G92" s="138"/>
      <c r="H92" s="138"/>
    </row>
    <row r="93" spans="2:8" ht="15.75" customHeight="1" x14ac:dyDescent="0.25">
      <c r="B93" s="137"/>
      <c r="C93" s="137"/>
      <c r="D93" s="137"/>
      <c r="E93" s="137"/>
      <c r="F93" s="137"/>
      <c r="G93" s="137"/>
      <c r="H93" s="137"/>
    </row>
    <row r="94" spans="2:8" ht="15.75" customHeight="1" x14ac:dyDescent="0.25">
      <c r="B94" s="138"/>
      <c r="C94" s="138"/>
      <c r="D94" s="138"/>
      <c r="E94" s="138"/>
      <c r="F94" s="138"/>
      <c r="G94" s="138"/>
      <c r="H94" s="138"/>
    </row>
    <row r="95" spans="2:8" ht="15.75" customHeight="1" x14ac:dyDescent="0.25">
      <c r="B95" s="137"/>
      <c r="C95" s="137"/>
      <c r="D95" s="137"/>
      <c r="E95" s="137"/>
      <c r="F95" s="137"/>
      <c r="G95" s="137"/>
      <c r="H95" s="137"/>
    </row>
    <row r="96" spans="2:8" ht="15.75" customHeight="1" x14ac:dyDescent="0.25">
      <c r="B96" s="138"/>
      <c r="C96" s="138"/>
      <c r="D96" s="138"/>
      <c r="E96" s="138"/>
      <c r="F96" s="138"/>
      <c r="G96" s="138"/>
      <c r="H96" s="138"/>
    </row>
    <row r="97" spans="2:8" ht="15.75" customHeight="1" x14ac:dyDescent="0.25">
      <c r="B97" s="137"/>
      <c r="C97" s="137"/>
      <c r="D97" s="137"/>
      <c r="E97" s="137"/>
      <c r="F97" s="137"/>
      <c r="G97" s="137"/>
      <c r="H97" s="137"/>
    </row>
    <row r="98" spans="2:8" ht="15.75" customHeight="1" x14ac:dyDescent="0.25">
      <c r="B98" s="138"/>
      <c r="C98" s="138"/>
      <c r="D98" s="138"/>
      <c r="E98" s="138"/>
      <c r="F98" s="138"/>
      <c r="G98" s="138"/>
      <c r="H98" s="138"/>
    </row>
    <row r="99" spans="2:8" ht="15.75" customHeight="1" x14ac:dyDescent="0.25">
      <c r="B99" s="137"/>
      <c r="C99" s="137"/>
      <c r="D99" s="137"/>
      <c r="E99" s="137"/>
      <c r="F99" s="137"/>
      <c r="G99" s="137"/>
      <c r="H99" s="137"/>
    </row>
    <row r="100" spans="2:8" ht="15.75" customHeight="1" x14ac:dyDescent="0.25">
      <c r="B100" s="138"/>
      <c r="C100" s="138"/>
      <c r="D100" s="138"/>
      <c r="E100" s="138"/>
      <c r="F100" s="138"/>
      <c r="G100" s="138"/>
      <c r="H100" s="138"/>
    </row>
    <row r="101" spans="2:8" ht="15.75" customHeight="1" x14ac:dyDescent="0.25">
      <c r="B101" s="137"/>
      <c r="C101" s="137"/>
      <c r="D101" s="137"/>
      <c r="E101" s="137"/>
      <c r="F101" s="137"/>
      <c r="G101" s="137"/>
      <c r="H101" s="137"/>
    </row>
    <row r="102" spans="2:8" ht="15.75" customHeight="1" x14ac:dyDescent="0.25">
      <c r="B102" s="138"/>
      <c r="C102" s="138"/>
      <c r="D102" s="138"/>
      <c r="E102" s="138"/>
      <c r="F102" s="138"/>
      <c r="G102" s="138"/>
      <c r="H102" s="138"/>
    </row>
    <row r="103" spans="2:8" ht="15.75" customHeight="1" x14ac:dyDescent="0.25">
      <c r="B103" s="137"/>
      <c r="C103" s="137"/>
      <c r="D103" s="137"/>
      <c r="E103" s="137"/>
      <c r="F103" s="137"/>
      <c r="G103" s="137"/>
      <c r="H103" s="137"/>
    </row>
    <row r="104" spans="2:8" ht="15.75" customHeight="1" x14ac:dyDescent="0.25">
      <c r="B104" s="138"/>
      <c r="C104" s="138"/>
      <c r="D104" s="138"/>
      <c r="E104" s="138"/>
      <c r="F104" s="138"/>
      <c r="G104" s="138"/>
      <c r="H104" s="138"/>
    </row>
    <row r="105" spans="2:8" ht="15.75" customHeight="1" x14ac:dyDescent="0.25">
      <c r="B105" s="137"/>
      <c r="C105" s="137"/>
      <c r="D105" s="137"/>
      <c r="E105" s="137"/>
      <c r="F105" s="137"/>
      <c r="G105" s="137"/>
      <c r="H105" s="137"/>
    </row>
    <row r="106" spans="2:8" ht="15.75" customHeight="1" x14ac:dyDescent="0.25">
      <c r="B106" s="138"/>
      <c r="C106" s="138"/>
      <c r="D106" s="138"/>
      <c r="E106" s="138"/>
      <c r="F106" s="138"/>
      <c r="G106" s="138"/>
      <c r="H106" s="138"/>
    </row>
    <row r="107" spans="2:8" ht="15.75" customHeight="1" x14ac:dyDescent="0.25">
      <c r="B107" s="137"/>
      <c r="C107" s="137"/>
      <c r="D107" s="137"/>
      <c r="E107" s="137"/>
      <c r="F107" s="137"/>
      <c r="G107" s="137"/>
      <c r="H107" s="137"/>
    </row>
    <row r="108" spans="2:8" ht="15.75" customHeight="1" x14ac:dyDescent="0.25">
      <c r="B108" s="138"/>
      <c r="C108" s="138"/>
      <c r="D108" s="138"/>
      <c r="E108" s="138"/>
      <c r="F108" s="138"/>
      <c r="G108" s="138"/>
      <c r="H108" s="138"/>
    </row>
    <row r="109" spans="2:8" ht="15.75" customHeight="1" x14ac:dyDescent="0.25">
      <c r="B109" s="137"/>
      <c r="C109" s="137"/>
      <c r="D109" s="137"/>
      <c r="E109" s="137"/>
      <c r="F109" s="137"/>
      <c r="G109" s="137"/>
      <c r="H109" s="137"/>
    </row>
    <row r="110" spans="2:8" ht="15.75" customHeight="1" x14ac:dyDescent="0.25">
      <c r="B110" s="138"/>
      <c r="C110" s="138"/>
      <c r="D110" s="138"/>
      <c r="E110" s="138"/>
      <c r="F110" s="138"/>
      <c r="G110" s="138"/>
      <c r="H110" s="138"/>
    </row>
    <row r="111" spans="2:8" ht="15.75" customHeight="1" x14ac:dyDescent="0.25">
      <c r="B111" s="137"/>
      <c r="C111" s="137"/>
      <c r="D111" s="137"/>
      <c r="E111" s="137"/>
      <c r="F111" s="137"/>
      <c r="G111" s="137"/>
      <c r="H111" s="137"/>
    </row>
    <row r="112" spans="2:8" ht="15.75" customHeight="1" x14ac:dyDescent="0.25">
      <c r="B112" s="138"/>
      <c r="C112" s="138"/>
      <c r="D112" s="138"/>
      <c r="E112" s="138"/>
      <c r="F112" s="138"/>
      <c r="G112" s="138"/>
      <c r="H112" s="138"/>
    </row>
    <row r="113" spans="2:8" ht="15.75" customHeight="1" x14ac:dyDescent="0.25">
      <c r="B113" s="137"/>
      <c r="C113" s="137"/>
      <c r="D113" s="137"/>
      <c r="E113" s="137"/>
      <c r="F113" s="137"/>
      <c r="G113" s="137"/>
      <c r="H113" s="137"/>
    </row>
    <row r="114" spans="2:8" ht="15.75" customHeight="1" x14ac:dyDescent="0.25">
      <c r="B114" s="138"/>
      <c r="C114" s="138"/>
      <c r="D114" s="138"/>
      <c r="E114" s="138"/>
      <c r="F114" s="138"/>
      <c r="G114" s="138"/>
      <c r="H114" s="138"/>
    </row>
    <row r="115" spans="2:8" ht="15.75" customHeight="1" x14ac:dyDescent="0.25">
      <c r="B115" s="137"/>
      <c r="C115" s="137"/>
      <c r="D115" s="137"/>
      <c r="E115" s="137"/>
      <c r="F115" s="137"/>
      <c r="G115" s="137"/>
      <c r="H115" s="137"/>
    </row>
    <row r="116" spans="2:8" ht="15.75" customHeight="1" x14ac:dyDescent="0.25">
      <c r="B116" s="138"/>
      <c r="C116" s="138"/>
      <c r="D116" s="138"/>
      <c r="E116" s="138"/>
      <c r="F116" s="138"/>
      <c r="G116" s="138"/>
      <c r="H116" s="138"/>
    </row>
    <row r="117" spans="2:8" ht="15.75" customHeight="1" x14ac:dyDescent="0.25">
      <c r="B117" s="137"/>
      <c r="C117" s="137"/>
      <c r="D117" s="137"/>
      <c r="E117" s="137"/>
      <c r="F117" s="137"/>
      <c r="G117" s="137"/>
      <c r="H117" s="137"/>
    </row>
    <row r="118" spans="2:8" ht="15.75" customHeight="1" x14ac:dyDescent="0.25">
      <c r="B118" s="138"/>
      <c r="C118" s="138"/>
      <c r="D118" s="138"/>
      <c r="E118" s="138"/>
      <c r="F118" s="138"/>
      <c r="G118" s="138"/>
      <c r="H118" s="138"/>
    </row>
    <row r="119" spans="2:8" ht="15.75" customHeight="1" x14ac:dyDescent="0.25">
      <c r="B119" s="137"/>
      <c r="C119" s="137"/>
      <c r="D119" s="137"/>
      <c r="E119" s="137"/>
      <c r="F119" s="137"/>
      <c r="G119" s="137"/>
      <c r="H119" s="137"/>
    </row>
    <row r="120" spans="2:8" ht="15.75" customHeight="1" x14ac:dyDescent="0.25">
      <c r="B120" s="138"/>
      <c r="C120" s="138"/>
      <c r="D120" s="138"/>
      <c r="E120" s="138"/>
      <c r="F120" s="138"/>
      <c r="G120" s="138"/>
      <c r="H120" s="138"/>
    </row>
    <row r="121" spans="2:8" ht="15.75" customHeight="1" x14ac:dyDescent="0.25">
      <c r="B121" s="137"/>
      <c r="C121" s="137"/>
      <c r="D121" s="137"/>
      <c r="E121" s="137"/>
      <c r="F121" s="137"/>
      <c r="G121" s="137"/>
      <c r="H121" s="137"/>
    </row>
    <row r="122" spans="2:8" ht="15.75" customHeight="1" x14ac:dyDescent="0.25">
      <c r="B122" s="138"/>
      <c r="C122" s="138"/>
      <c r="D122" s="138"/>
      <c r="E122" s="138"/>
      <c r="F122" s="138"/>
      <c r="G122" s="138"/>
      <c r="H122" s="138"/>
    </row>
    <row r="123" spans="2:8" ht="15.75" customHeight="1" x14ac:dyDescent="0.25">
      <c r="B123" s="137"/>
      <c r="C123" s="137"/>
      <c r="D123" s="137"/>
      <c r="E123" s="137"/>
      <c r="F123" s="137"/>
      <c r="G123" s="137"/>
      <c r="H123" s="137"/>
    </row>
    <row r="124" spans="2:8" ht="15.75" customHeight="1" x14ac:dyDescent="0.25">
      <c r="B124" s="138"/>
      <c r="C124" s="138"/>
      <c r="D124" s="138"/>
      <c r="E124" s="138"/>
      <c r="F124" s="138"/>
      <c r="G124" s="138"/>
      <c r="H124" s="138"/>
    </row>
    <row r="125" spans="2:8" ht="15.75" customHeight="1" x14ac:dyDescent="0.25">
      <c r="B125" s="137"/>
      <c r="C125" s="137"/>
      <c r="D125" s="137"/>
      <c r="E125" s="137"/>
      <c r="F125" s="137"/>
      <c r="G125" s="137"/>
      <c r="H125" s="137"/>
    </row>
    <row r="126" spans="2:8" ht="15.75" customHeight="1" x14ac:dyDescent="0.25">
      <c r="B126" s="138"/>
      <c r="C126" s="138"/>
      <c r="D126" s="138"/>
      <c r="E126" s="138"/>
      <c r="F126" s="138"/>
      <c r="G126" s="138"/>
      <c r="H126" s="138"/>
    </row>
    <row r="127" spans="2:8" ht="15.75" customHeight="1" x14ac:dyDescent="0.25">
      <c r="B127" s="137"/>
      <c r="C127" s="137"/>
      <c r="D127" s="137"/>
      <c r="E127" s="137"/>
      <c r="F127" s="137"/>
      <c r="G127" s="137"/>
      <c r="H127" s="137"/>
    </row>
    <row r="128" spans="2:8" ht="15.75" customHeight="1" x14ac:dyDescent="0.25">
      <c r="B128" s="138"/>
      <c r="C128" s="138"/>
      <c r="D128" s="138"/>
      <c r="E128" s="138"/>
      <c r="F128" s="138"/>
      <c r="G128" s="138"/>
      <c r="H128" s="138"/>
    </row>
    <row r="130" spans="1:17" ht="3" customHeight="1" x14ac:dyDescent="0.25">
      <c r="A130" s="135"/>
      <c r="B130" s="135"/>
      <c r="C130" s="135"/>
      <c r="D130" s="135"/>
      <c r="E130" s="135"/>
      <c r="F130" s="135"/>
      <c r="G130" s="135"/>
      <c r="H130" s="135"/>
      <c r="I130" s="135"/>
      <c r="J130" s="135"/>
      <c r="K130" s="135"/>
      <c r="L130" s="135"/>
      <c r="M130" s="135"/>
      <c r="N130" s="135"/>
      <c r="O130" s="135"/>
      <c r="P130" s="135"/>
      <c r="Q130" s="135"/>
    </row>
    <row r="131" spans="1:17" ht="24" customHeight="1" x14ac:dyDescent="0.25">
      <c r="A131" s="240" t="s">
        <v>452</v>
      </c>
      <c r="B131" s="240"/>
      <c r="C131" s="240"/>
      <c r="D131" s="240"/>
      <c r="E131" s="240"/>
      <c r="F131" s="240"/>
      <c r="G131" s="240"/>
      <c r="H131" s="240"/>
      <c r="I131" s="240"/>
      <c r="J131" s="240"/>
      <c r="K131" s="240"/>
      <c r="L131" s="240"/>
      <c r="M131" s="240"/>
      <c r="N131" s="240"/>
      <c r="O131" s="240"/>
      <c r="P131" s="240"/>
      <c r="Q131" s="240"/>
    </row>
    <row r="132" spans="1:17" ht="19.5" customHeight="1" x14ac:dyDescent="0.25">
      <c r="B132" s="129" t="s">
        <v>453</v>
      </c>
      <c r="D132" s="250" t="s">
        <v>454</v>
      </c>
      <c r="E132" s="250"/>
      <c r="F132" s="250"/>
      <c r="G132" s="250"/>
      <c r="H132" s="250"/>
      <c r="I132" s="250"/>
      <c r="J132" s="250"/>
      <c r="K132" s="250"/>
      <c r="L132" s="250"/>
      <c r="M132" s="250"/>
      <c r="N132" s="250"/>
      <c r="O132" s="250"/>
      <c r="P132" s="250"/>
      <c r="Q132" s="250"/>
    </row>
    <row r="133" spans="1:17" ht="19.5" customHeight="1" x14ac:dyDescent="0.25">
      <c r="B133" s="129" t="s">
        <v>455</v>
      </c>
      <c r="D133" s="250" t="s">
        <v>456</v>
      </c>
      <c r="E133" s="250"/>
      <c r="F133" s="250"/>
      <c r="G133" s="250"/>
      <c r="H133" s="250"/>
      <c r="I133" s="250"/>
      <c r="J133" s="250"/>
      <c r="K133" s="250"/>
      <c r="L133" s="250"/>
      <c r="M133" s="250"/>
      <c r="N133" s="250"/>
      <c r="O133" s="250"/>
      <c r="P133" s="250"/>
      <c r="Q133" s="250"/>
    </row>
    <row r="134" spans="1:17" ht="19.5" customHeight="1" x14ac:dyDescent="0.25">
      <c r="B134" s="129" t="s">
        <v>457</v>
      </c>
      <c r="D134" s="250" t="s">
        <v>458</v>
      </c>
      <c r="E134" s="250"/>
      <c r="F134" s="250"/>
      <c r="G134" s="250"/>
      <c r="H134" s="250"/>
      <c r="I134" s="250"/>
      <c r="J134" s="250"/>
      <c r="K134" s="250"/>
      <c r="L134" s="250"/>
      <c r="M134" s="250"/>
      <c r="N134" s="250"/>
      <c r="O134" s="250"/>
      <c r="P134" s="250"/>
      <c r="Q134" s="250"/>
    </row>
    <row r="135" spans="1:17" ht="19.5" customHeight="1" x14ac:dyDescent="0.25">
      <c r="B135" s="129" t="s">
        <v>459</v>
      </c>
      <c r="D135" s="250" t="s">
        <v>460</v>
      </c>
      <c r="E135" s="250"/>
      <c r="F135" s="250"/>
      <c r="G135" s="250"/>
      <c r="H135" s="250"/>
      <c r="I135" s="250"/>
      <c r="J135" s="250"/>
      <c r="K135" s="250"/>
      <c r="L135" s="250"/>
      <c r="M135" s="250"/>
      <c r="N135" s="250"/>
      <c r="O135" s="250"/>
      <c r="P135" s="250"/>
      <c r="Q135" s="250"/>
    </row>
    <row r="136" spans="1:17" ht="19.5" customHeight="1" x14ac:dyDescent="0.25">
      <c r="B136" s="129" t="s">
        <v>461</v>
      </c>
      <c r="D136" s="250" t="s">
        <v>462</v>
      </c>
      <c r="E136" s="250"/>
      <c r="F136" s="250"/>
      <c r="G136" s="250"/>
      <c r="H136" s="250"/>
      <c r="I136" s="250"/>
      <c r="J136" s="250"/>
      <c r="K136" s="250"/>
      <c r="L136" s="250"/>
      <c r="M136" s="250"/>
      <c r="N136" s="250"/>
      <c r="O136" s="250"/>
      <c r="P136" s="250"/>
      <c r="Q136" s="250"/>
    </row>
    <row r="137" spans="1:17" ht="19.5" customHeight="1" x14ac:dyDescent="0.25">
      <c r="B137" s="129" t="s">
        <v>463</v>
      </c>
      <c r="D137" s="250" t="s">
        <v>464</v>
      </c>
      <c r="E137" s="250"/>
      <c r="F137" s="250"/>
      <c r="G137" s="250"/>
      <c r="H137" s="250"/>
      <c r="I137" s="250"/>
      <c r="J137" s="250"/>
      <c r="K137" s="250"/>
      <c r="L137" s="250"/>
      <c r="M137" s="250"/>
      <c r="N137" s="250"/>
      <c r="O137" s="250"/>
      <c r="P137" s="250"/>
      <c r="Q137" s="250"/>
    </row>
    <row r="138" spans="1:17" ht="19.5" customHeight="1" x14ac:dyDescent="0.25">
      <c r="B138" s="129" t="s">
        <v>465</v>
      </c>
      <c r="D138" s="250" t="s">
        <v>466</v>
      </c>
      <c r="E138" s="250"/>
      <c r="F138" s="250"/>
      <c r="G138" s="250"/>
      <c r="H138" s="250"/>
      <c r="I138" s="250"/>
      <c r="J138" s="250"/>
      <c r="K138" s="250"/>
      <c r="L138" s="250"/>
      <c r="M138" s="250"/>
      <c r="N138" s="250"/>
      <c r="O138" s="250"/>
      <c r="P138" s="250"/>
      <c r="Q138" s="250"/>
    </row>
    <row r="139" spans="1:17" ht="7.5" customHeight="1" x14ac:dyDescent="0.25"/>
    <row r="140" spans="1:17" ht="19.5" customHeight="1" x14ac:dyDescent="0.25">
      <c r="A140" s="254" t="s">
        <v>467</v>
      </c>
      <c r="B140" s="254"/>
      <c r="C140" s="254"/>
      <c r="D140" s="254"/>
      <c r="E140" s="254"/>
      <c r="F140" s="254"/>
      <c r="G140" s="254"/>
      <c r="H140" s="254"/>
      <c r="I140" s="254"/>
      <c r="J140" s="254"/>
      <c r="K140" s="254"/>
      <c r="L140" s="254"/>
      <c r="M140" s="254"/>
      <c r="N140" s="254"/>
      <c r="O140" s="254"/>
      <c r="P140" s="254"/>
      <c r="Q140" s="254"/>
    </row>
  </sheetData>
  <mergeCells count="68">
    <mergeCell ref="D137:Q137"/>
    <mergeCell ref="D138:Q138"/>
    <mergeCell ref="A140:Q140"/>
    <mergeCell ref="D132:Q132"/>
    <mergeCell ref="D133:Q133"/>
    <mergeCell ref="D134:Q134"/>
    <mergeCell ref="D135:Q135"/>
    <mergeCell ref="D136:Q136"/>
    <mergeCell ref="D72:Q72"/>
    <mergeCell ref="D73:Q73"/>
    <mergeCell ref="D74:Q74"/>
    <mergeCell ref="A77:Q77"/>
    <mergeCell ref="A131:Q131"/>
    <mergeCell ref="C65:Q65"/>
    <mergeCell ref="A68:Q68"/>
    <mergeCell ref="D69:Q69"/>
    <mergeCell ref="D70:Q70"/>
    <mergeCell ref="D71:Q71"/>
    <mergeCell ref="B60:Q60"/>
    <mergeCell ref="C61:Q61"/>
    <mergeCell ref="C62:Q62"/>
    <mergeCell ref="C63:Q63"/>
    <mergeCell ref="C64:Q64"/>
    <mergeCell ref="C54:Q54"/>
    <mergeCell ref="C55:Q55"/>
    <mergeCell ref="C56:Q56"/>
    <mergeCell ref="C57:Q57"/>
    <mergeCell ref="C58:Q58"/>
    <mergeCell ref="C48:Q48"/>
    <mergeCell ref="C49:Q49"/>
    <mergeCell ref="C50:Q50"/>
    <mergeCell ref="C51:Q51"/>
    <mergeCell ref="B53:Q53"/>
    <mergeCell ref="B41:G41"/>
    <mergeCell ref="A44:Q44"/>
    <mergeCell ref="B45:Q45"/>
    <mergeCell ref="C46:Q46"/>
    <mergeCell ref="C47:Q47"/>
    <mergeCell ref="B34:G34"/>
    <mergeCell ref="B35:G35"/>
    <mergeCell ref="B37:G37"/>
    <mergeCell ref="B38:G38"/>
    <mergeCell ref="B40:G40"/>
    <mergeCell ref="D26:Q26"/>
    <mergeCell ref="D27:Q27"/>
    <mergeCell ref="D28:Q28"/>
    <mergeCell ref="D29:Q29"/>
    <mergeCell ref="A32:Q32"/>
    <mergeCell ref="D21:Q21"/>
    <mergeCell ref="D22:Q22"/>
    <mergeCell ref="D23:Q23"/>
    <mergeCell ref="D24:Q24"/>
    <mergeCell ref="D25:Q25"/>
    <mergeCell ref="D16:Q16"/>
    <mergeCell ref="D17:Q17"/>
    <mergeCell ref="D18:Q18"/>
    <mergeCell ref="D19:Q19"/>
    <mergeCell ref="D20:Q20"/>
    <mergeCell ref="D9:L9"/>
    <mergeCell ref="D10:L10"/>
    <mergeCell ref="D11:L11"/>
    <mergeCell ref="D12:L12"/>
    <mergeCell ref="A15:Q15"/>
    <mergeCell ref="A2:Q2"/>
    <mergeCell ref="A3:Q3"/>
    <mergeCell ref="A6:Q6"/>
    <mergeCell ref="D7:L7"/>
    <mergeCell ref="D8:L8"/>
  </mergeCells>
  <pageMargins left="0.75" right="0.75" top="1" bottom="1" header="0.511811023622047" footer="0.511811023622047"/>
  <pageSetup paperSize="9" orientation="portrait" horizontalDpi="300" verticalDpi="30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tabColor rgb="FF2E86AB"/>
  </sheetPr>
  <dimension ref="A1:J13"/>
  <sheetViews>
    <sheetView zoomScaleNormal="100" workbookViewId="0">
      <pane ySplit="3" topLeftCell="A4" activePane="bottomLeft" state="frozen"/>
      <selection pane="bottomLeft"/>
    </sheetView>
  </sheetViews>
  <sheetFormatPr defaultColWidth="8.7109375" defaultRowHeight="15" x14ac:dyDescent="0.25"/>
  <cols>
    <col min="1" max="1" width="14" customWidth="1"/>
    <col min="2" max="2" width="20" customWidth="1"/>
    <col min="3" max="3" width="12" customWidth="1"/>
    <col min="4" max="4" width="28" customWidth="1"/>
    <col min="5" max="5" width="15" customWidth="1"/>
    <col min="6" max="7" width="18" customWidth="1"/>
    <col min="8" max="8" width="16" customWidth="1"/>
    <col min="9" max="9" width="23.5703125" customWidth="1"/>
    <col min="10" max="10" width="18" customWidth="1"/>
  </cols>
  <sheetData>
    <row r="1" spans="1:10" ht="31.5" customHeight="1" x14ac:dyDescent="0.25">
      <c r="A1" s="14" t="s">
        <v>468</v>
      </c>
      <c r="B1" s="14"/>
      <c r="C1" s="14"/>
      <c r="D1" s="14"/>
    </row>
    <row r="2" spans="1:10" ht="19.5" customHeight="1" x14ac:dyDescent="0.25">
      <c r="A2" s="255" t="s">
        <v>469</v>
      </c>
      <c r="B2" s="255"/>
      <c r="C2" s="255"/>
      <c r="D2" s="255"/>
    </row>
    <row r="3" spans="1:10" x14ac:dyDescent="0.25">
      <c r="A3" s="139" t="s">
        <v>470</v>
      </c>
      <c r="B3" s="139" t="s">
        <v>471</v>
      </c>
      <c r="C3" s="139" t="s">
        <v>155</v>
      </c>
      <c r="D3" s="139" t="s">
        <v>472</v>
      </c>
      <c r="E3" s="139" t="s">
        <v>473</v>
      </c>
      <c r="F3" s="139" t="s">
        <v>474</v>
      </c>
      <c r="G3" s="139" t="s">
        <v>475</v>
      </c>
      <c r="H3" s="139" t="s">
        <v>476</v>
      </c>
      <c r="I3" s="100" t="s">
        <v>477</v>
      </c>
      <c r="J3" s="125" t="s">
        <v>478</v>
      </c>
    </row>
    <row r="4" spans="1:10" x14ac:dyDescent="0.25">
      <c r="A4" s="23" t="s">
        <v>479</v>
      </c>
      <c r="B4" s="23" t="s">
        <v>41</v>
      </c>
      <c r="C4" s="23" t="s">
        <v>480</v>
      </c>
      <c r="D4" s="23" t="s">
        <v>481</v>
      </c>
      <c r="E4" t="s">
        <v>482</v>
      </c>
      <c r="H4">
        <v>10</v>
      </c>
      <c r="I4" s="140" t="s">
        <v>483</v>
      </c>
      <c r="J4" s="124" t="s">
        <v>484</v>
      </c>
    </row>
    <row r="5" spans="1:10" x14ac:dyDescent="0.25">
      <c r="A5" s="27" t="s">
        <v>485</v>
      </c>
      <c r="B5" s="27" t="s">
        <v>42</v>
      </c>
      <c r="C5" s="27" t="s">
        <v>480</v>
      </c>
      <c r="D5" s="27" t="s">
        <v>486</v>
      </c>
      <c r="E5" t="s">
        <v>487</v>
      </c>
      <c r="H5">
        <v>10</v>
      </c>
      <c r="I5" s="140" t="s">
        <v>488</v>
      </c>
      <c r="J5" s="124" t="s">
        <v>489</v>
      </c>
    </row>
    <row r="6" spans="1:10" x14ac:dyDescent="0.25">
      <c r="A6" s="23" t="s">
        <v>490</v>
      </c>
      <c r="B6" s="23" t="s">
        <v>43</v>
      </c>
      <c r="C6" s="23" t="s">
        <v>480</v>
      </c>
      <c r="D6" s="23" t="s">
        <v>491</v>
      </c>
      <c r="E6" t="s">
        <v>492</v>
      </c>
      <c r="H6">
        <v>10</v>
      </c>
      <c r="I6" s="140" t="s">
        <v>493</v>
      </c>
      <c r="J6" s="124" t="s">
        <v>494</v>
      </c>
    </row>
    <row r="7" spans="1:10" x14ac:dyDescent="0.25">
      <c r="A7" s="27" t="s">
        <v>495</v>
      </c>
      <c r="B7" s="27" t="s">
        <v>44</v>
      </c>
      <c r="C7" s="27" t="s">
        <v>480</v>
      </c>
      <c r="D7" s="27" t="s">
        <v>496</v>
      </c>
      <c r="E7" t="s">
        <v>497</v>
      </c>
      <c r="H7">
        <v>10</v>
      </c>
      <c r="I7" s="140" t="s">
        <v>498</v>
      </c>
      <c r="J7" s="124" t="s">
        <v>499</v>
      </c>
    </row>
    <row r="8" spans="1:10" x14ac:dyDescent="0.25">
      <c r="A8" s="23" t="s">
        <v>500</v>
      </c>
      <c r="B8" s="23" t="s">
        <v>45</v>
      </c>
      <c r="C8" s="23" t="s">
        <v>480</v>
      </c>
      <c r="D8" s="23" t="s">
        <v>501</v>
      </c>
      <c r="E8" t="s">
        <v>502</v>
      </c>
      <c r="H8">
        <v>10</v>
      </c>
      <c r="I8" s="140" t="s">
        <v>503</v>
      </c>
      <c r="J8" s="124" t="s">
        <v>504</v>
      </c>
    </row>
    <row r="9" spans="1:10" x14ac:dyDescent="0.25">
      <c r="A9" s="27" t="s">
        <v>505</v>
      </c>
      <c r="B9" s="27" t="s">
        <v>46</v>
      </c>
      <c r="C9" s="27" t="s">
        <v>480</v>
      </c>
      <c r="D9" s="27" t="s">
        <v>506</v>
      </c>
      <c r="E9" t="s">
        <v>507</v>
      </c>
      <c r="H9">
        <v>10</v>
      </c>
      <c r="I9" s="140" t="s">
        <v>508</v>
      </c>
      <c r="J9" s="124" t="s">
        <v>509</v>
      </c>
    </row>
    <row r="10" spans="1:10" x14ac:dyDescent="0.25">
      <c r="A10" s="23" t="s">
        <v>510</v>
      </c>
      <c r="B10" s="23" t="s">
        <v>47</v>
      </c>
      <c r="C10" s="23" t="s">
        <v>480</v>
      </c>
      <c r="D10" s="23" t="s">
        <v>511</v>
      </c>
      <c r="E10" t="s">
        <v>512</v>
      </c>
      <c r="H10">
        <v>10</v>
      </c>
      <c r="I10" s="140" t="s">
        <v>513</v>
      </c>
      <c r="J10" s="124" t="s">
        <v>514</v>
      </c>
    </row>
    <row r="11" spans="1:10" x14ac:dyDescent="0.25">
      <c r="A11" s="27" t="s">
        <v>515</v>
      </c>
      <c r="B11" s="27" t="s">
        <v>48</v>
      </c>
      <c r="C11" s="27" t="s">
        <v>480</v>
      </c>
      <c r="D11" s="27" t="s">
        <v>516</v>
      </c>
      <c r="E11" t="s">
        <v>517</v>
      </c>
      <c r="H11">
        <v>10</v>
      </c>
      <c r="I11" s="140" t="s">
        <v>518</v>
      </c>
      <c r="J11" s="124" t="s">
        <v>519</v>
      </c>
    </row>
    <row r="12" spans="1:10" x14ac:dyDescent="0.25">
      <c r="A12" s="23" t="s">
        <v>520</v>
      </c>
      <c r="B12" s="23" t="s">
        <v>49</v>
      </c>
      <c r="C12" s="23" t="s">
        <v>480</v>
      </c>
      <c r="D12" s="23" t="s">
        <v>521</v>
      </c>
      <c r="E12" t="s">
        <v>522</v>
      </c>
      <c r="H12">
        <v>10</v>
      </c>
      <c r="I12" s="140" t="s">
        <v>523</v>
      </c>
      <c r="J12" s="124" t="s">
        <v>524</v>
      </c>
    </row>
    <row r="13" spans="1:10" x14ac:dyDescent="0.25">
      <c r="A13" s="27" t="s">
        <v>525</v>
      </c>
      <c r="B13" s="27" t="s">
        <v>50</v>
      </c>
      <c r="C13" s="27" t="s">
        <v>480</v>
      </c>
      <c r="D13" s="27" t="s">
        <v>526</v>
      </c>
      <c r="E13" t="s">
        <v>527</v>
      </c>
      <c r="H13">
        <v>10</v>
      </c>
      <c r="I13" s="140" t="s">
        <v>528</v>
      </c>
      <c r="J13" s="124" t="s">
        <v>529</v>
      </c>
    </row>
  </sheetData>
  <mergeCells count="2">
    <mergeCell ref="A1:D1"/>
    <mergeCell ref="A2:D2"/>
  </mergeCells>
  <pageMargins left="0.75" right="0.75" top="1" bottom="1" header="0.511811023622047" footer="0.511811023622047"/>
  <pageSetup paperSize="9" orientation="portrait" horizontalDpi="300" verticalDpi="300"/>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E28"/>
  <sheetViews>
    <sheetView zoomScaleNormal="100" workbookViewId="0"/>
  </sheetViews>
  <sheetFormatPr defaultColWidth="8.7109375" defaultRowHeight="15" x14ac:dyDescent="0.25"/>
  <cols>
    <col min="1" max="1" width="22" customWidth="1"/>
    <col min="2" max="2" width="55" customWidth="1"/>
    <col min="3" max="5" width="18" customWidth="1"/>
  </cols>
  <sheetData>
    <row r="1" spans="1:3" ht="31.5" customHeight="1" x14ac:dyDescent="0.25">
      <c r="A1" s="256" t="s">
        <v>530</v>
      </c>
      <c r="B1" s="256"/>
      <c r="C1" s="256"/>
    </row>
    <row r="3" spans="1:3" x14ac:dyDescent="0.25">
      <c r="A3" s="141" t="s">
        <v>531</v>
      </c>
      <c r="B3" s="142" t="s">
        <v>532</v>
      </c>
    </row>
    <row r="4" spans="1:3" x14ac:dyDescent="0.25">
      <c r="A4" s="141" t="s">
        <v>391</v>
      </c>
      <c r="B4" s="142" t="s">
        <v>533</v>
      </c>
    </row>
    <row r="5" spans="1:3" x14ac:dyDescent="0.25">
      <c r="A5" s="141" t="s">
        <v>393</v>
      </c>
      <c r="B5" s="142" t="s">
        <v>534</v>
      </c>
    </row>
    <row r="6" spans="1:3" x14ac:dyDescent="0.25">
      <c r="A6" s="141" t="s">
        <v>535</v>
      </c>
      <c r="B6" s="142" t="s">
        <v>536</v>
      </c>
    </row>
    <row r="7" spans="1:3" x14ac:dyDescent="0.25">
      <c r="A7" s="141" t="s">
        <v>537</v>
      </c>
      <c r="B7" s="142" t="s">
        <v>538</v>
      </c>
    </row>
    <row r="8" spans="1:3" x14ac:dyDescent="0.25">
      <c r="A8" s="141" t="s">
        <v>539</v>
      </c>
      <c r="B8" s="142">
        <v>10</v>
      </c>
    </row>
    <row r="9" spans="1:3" x14ac:dyDescent="0.25">
      <c r="A9" s="141" t="s">
        <v>540</v>
      </c>
      <c r="B9" s="142">
        <v>10</v>
      </c>
    </row>
    <row r="10" spans="1:3" x14ac:dyDescent="0.25">
      <c r="A10" s="141" t="s">
        <v>541</v>
      </c>
      <c r="B10" s="142" t="s">
        <v>542</v>
      </c>
    </row>
    <row r="11" spans="1:3" x14ac:dyDescent="0.25">
      <c r="A11" s="141" t="s">
        <v>543</v>
      </c>
      <c r="B11" s="142" t="s">
        <v>544</v>
      </c>
    </row>
    <row r="12" spans="1:3" x14ac:dyDescent="0.25">
      <c r="A12" s="141" t="s">
        <v>545</v>
      </c>
      <c r="B12" s="142" t="s">
        <v>546</v>
      </c>
    </row>
    <row r="13" spans="1:3" x14ac:dyDescent="0.25">
      <c r="A13" s="141" t="s">
        <v>547</v>
      </c>
      <c r="B13" s="142" t="s">
        <v>548</v>
      </c>
    </row>
    <row r="14" spans="1:3" x14ac:dyDescent="0.25">
      <c r="A14" s="141" t="s">
        <v>549</v>
      </c>
      <c r="B14" s="142" t="s">
        <v>550</v>
      </c>
    </row>
    <row r="17" spans="1:5" x14ac:dyDescent="0.25">
      <c r="A17" s="257" t="s">
        <v>551</v>
      </c>
      <c r="B17" s="257"/>
      <c r="C17" s="257"/>
      <c r="D17" s="257"/>
      <c r="E17" s="257"/>
    </row>
    <row r="18" spans="1:5" x14ac:dyDescent="0.25">
      <c r="A18" s="125" t="s">
        <v>552</v>
      </c>
      <c r="B18" s="125" t="s">
        <v>553</v>
      </c>
      <c r="C18" s="125" t="s">
        <v>554</v>
      </c>
      <c r="D18" s="125" t="s">
        <v>155</v>
      </c>
      <c r="E18" s="125" t="s">
        <v>283</v>
      </c>
    </row>
    <row r="19" spans="1:5" x14ac:dyDescent="0.25">
      <c r="A19" s="143" t="s">
        <v>41</v>
      </c>
      <c r="B19" s="143" t="s">
        <v>483</v>
      </c>
      <c r="C19" s="143" t="s">
        <v>484</v>
      </c>
      <c r="D19" s="143" t="s">
        <v>480</v>
      </c>
      <c r="E19" s="143" t="s">
        <v>555</v>
      </c>
    </row>
    <row r="20" spans="1:5" x14ac:dyDescent="0.25">
      <c r="A20" s="144" t="s">
        <v>42</v>
      </c>
      <c r="B20" s="144" t="s">
        <v>488</v>
      </c>
      <c r="C20" s="144" t="s">
        <v>489</v>
      </c>
      <c r="D20" s="144" t="s">
        <v>480</v>
      </c>
      <c r="E20" s="144" t="s">
        <v>555</v>
      </c>
    </row>
    <row r="21" spans="1:5" x14ac:dyDescent="0.25">
      <c r="A21" s="143" t="s">
        <v>43</v>
      </c>
      <c r="B21" s="143" t="s">
        <v>493</v>
      </c>
      <c r="C21" s="143" t="s">
        <v>494</v>
      </c>
      <c r="D21" s="143" t="s">
        <v>480</v>
      </c>
      <c r="E21" s="143" t="s">
        <v>555</v>
      </c>
    </row>
    <row r="22" spans="1:5" x14ac:dyDescent="0.25">
      <c r="A22" s="144" t="s">
        <v>44</v>
      </c>
      <c r="B22" s="144" t="s">
        <v>498</v>
      </c>
      <c r="C22" s="144" t="s">
        <v>499</v>
      </c>
      <c r="D22" s="144" t="s">
        <v>480</v>
      </c>
      <c r="E22" s="144" t="s">
        <v>555</v>
      </c>
    </row>
    <row r="23" spans="1:5" x14ac:dyDescent="0.25">
      <c r="A23" s="143" t="s">
        <v>45</v>
      </c>
      <c r="B23" s="143" t="s">
        <v>503</v>
      </c>
      <c r="C23" s="143" t="s">
        <v>504</v>
      </c>
      <c r="D23" s="143" t="s">
        <v>480</v>
      </c>
      <c r="E23" s="143" t="s">
        <v>555</v>
      </c>
    </row>
    <row r="24" spans="1:5" x14ac:dyDescent="0.25">
      <c r="A24" s="144" t="s">
        <v>46</v>
      </c>
      <c r="B24" s="144" t="s">
        <v>508</v>
      </c>
      <c r="C24" s="144" t="s">
        <v>509</v>
      </c>
      <c r="D24" s="144" t="s">
        <v>480</v>
      </c>
      <c r="E24" s="144" t="s">
        <v>555</v>
      </c>
    </row>
    <row r="25" spans="1:5" x14ac:dyDescent="0.25">
      <c r="A25" s="143" t="s">
        <v>47</v>
      </c>
      <c r="B25" s="143" t="s">
        <v>513</v>
      </c>
      <c r="C25" s="143" t="s">
        <v>514</v>
      </c>
      <c r="D25" s="143" t="s">
        <v>480</v>
      </c>
      <c r="E25" s="143" t="s">
        <v>555</v>
      </c>
    </row>
    <row r="26" spans="1:5" x14ac:dyDescent="0.25">
      <c r="A26" s="144" t="s">
        <v>48</v>
      </c>
      <c r="B26" s="144" t="s">
        <v>518</v>
      </c>
      <c r="C26" s="144" t="s">
        <v>519</v>
      </c>
      <c r="D26" s="144" t="s">
        <v>480</v>
      </c>
      <c r="E26" s="144" t="s">
        <v>555</v>
      </c>
    </row>
    <row r="27" spans="1:5" x14ac:dyDescent="0.25">
      <c r="A27" s="143" t="s">
        <v>49</v>
      </c>
      <c r="B27" s="143" t="s">
        <v>523</v>
      </c>
      <c r="C27" s="143" t="s">
        <v>524</v>
      </c>
      <c r="D27" s="143" t="s">
        <v>480</v>
      </c>
      <c r="E27" s="143" t="s">
        <v>555</v>
      </c>
    </row>
    <row r="28" spans="1:5" x14ac:dyDescent="0.25">
      <c r="A28" s="144" t="s">
        <v>50</v>
      </c>
      <c r="B28" s="144" t="s">
        <v>528</v>
      </c>
      <c r="C28" s="144" t="s">
        <v>529</v>
      </c>
      <c r="D28" s="144" t="s">
        <v>480</v>
      </c>
      <c r="E28" s="144" t="s">
        <v>555</v>
      </c>
    </row>
  </sheetData>
  <mergeCells count="2">
    <mergeCell ref="A1:C1"/>
    <mergeCell ref="A17:E17"/>
  </mergeCells>
  <pageMargins left="0.75" right="0.75" top="1" bottom="1" header="0.511811023622047" footer="0.511811023622047"/>
  <pageSetup paperSize="9" orientation="portrait" horizontalDpi="300" verticalDpi="300"/>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tabColor rgb="FF1A252F"/>
  </sheetPr>
  <dimension ref="A1:G5"/>
  <sheetViews>
    <sheetView zoomScaleNormal="100" workbookViewId="0">
      <pane ySplit="2" topLeftCell="A3" activePane="bottomLeft" state="frozen"/>
      <selection pane="bottomLeft"/>
    </sheetView>
  </sheetViews>
  <sheetFormatPr defaultColWidth="8.7109375" defaultRowHeight="15" x14ac:dyDescent="0.25"/>
  <cols>
    <col min="1" max="1" width="22" customWidth="1"/>
    <col min="2" max="2" width="16" customWidth="1"/>
    <col min="3" max="3" width="22" customWidth="1"/>
    <col min="4" max="4" width="60" customWidth="1"/>
    <col min="5" max="5" width="14" customWidth="1"/>
    <col min="6" max="6" width="22" customWidth="1"/>
    <col min="7" max="7" width="16" customWidth="1"/>
  </cols>
  <sheetData>
    <row r="1" spans="1:7" ht="31.5" customHeight="1" x14ac:dyDescent="0.25">
      <c r="A1" s="258" t="s">
        <v>556</v>
      </c>
      <c r="B1" s="258"/>
      <c r="C1" s="258"/>
      <c r="D1" s="258"/>
    </row>
    <row r="2" spans="1:7" x14ac:dyDescent="0.25">
      <c r="A2" s="20"/>
      <c r="B2" s="20"/>
      <c r="C2" s="20"/>
      <c r="D2" s="20"/>
      <c r="E2" s="145"/>
      <c r="F2" s="145"/>
      <c r="G2" s="145"/>
    </row>
    <row r="3" spans="1:7" x14ac:dyDescent="0.25">
      <c r="A3" s="21"/>
      <c r="B3" s="21"/>
      <c r="C3" s="21"/>
      <c r="D3" s="21"/>
    </row>
    <row r="4" spans="1:7" x14ac:dyDescent="0.25">
      <c r="A4" s="25"/>
      <c r="B4" s="25"/>
      <c r="C4" s="25"/>
      <c r="D4" s="25"/>
    </row>
    <row r="5" spans="1:7" x14ac:dyDescent="0.25">
      <c r="A5" s="21"/>
      <c r="B5" s="21"/>
      <c r="C5" s="21"/>
      <c r="D5" s="21"/>
    </row>
  </sheetData>
  <mergeCells count="1">
    <mergeCell ref="A1:D1"/>
  </mergeCells>
  <pageMargins left="0.75" right="0.75" top="1" bottom="1" header="0.511811023622047" footer="0.511811023622047"/>
  <pageSetup paperSize="9" orientation="portrait" horizontalDpi="300" verticalDpi="300"/>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tabColor rgb="FF1A252F"/>
  </sheetPr>
  <dimension ref="A1:A818"/>
  <sheetViews>
    <sheetView topLeftCell="B1" zoomScaleNormal="100" workbookViewId="0">
      <selection activeCell="L402" sqref="L402"/>
    </sheetView>
  </sheetViews>
  <sheetFormatPr defaultColWidth="8.7109375" defaultRowHeight="15" x14ac:dyDescent="0.25"/>
  <cols>
    <col min="1" max="1" width="120" customWidth="1"/>
  </cols>
  <sheetData>
    <row r="1" spans="1:1" ht="27.75" customHeight="1" x14ac:dyDescent="0.25">
      <c r="A1" s="146" t="s">
        <v>557</v>
      </c>
    </row>
    <row r="2" spans="1:1" ht="34.5" customHeight="1" x14ac:dyDescent="0.25">
      <c r="A2" s="147" t="s">
        <v>558</v>
      </c>
    </row>
    <row r="4" spans="1:1" x14ac:dyDescent="0.25">
      <c r="A4" s="148"/>
    </row>
    <row r="5" spans="1:1" x14ac:dyDescent="0.25">
      <c r="A5" s="149" t="s">
        <v>559</v>
      </c>
    </row>
    <row r="6" spans="1:1" x14ac:dyDescent="0.25">
      <c r="A6" s="149" t="s">
        <v>560</v>
      </c>
    </row>
    <row r="7" spans="1:1" x14ac:dyDescent="0.25">
      <c r="A7" s="149" t="s">
        <v>561</v>
      </c>
    </row>
    <row r="8" spans="1:1" x14ac:dyDescent="0.25">
      <c r="A8" s="149" t="s">
        <v>562</v>
      </c>
    </row>
    <row r="9" spans="1:1" x14ac:dyDescent="0.25">
      <c r="A9" s="149" t="s">
        <v>563</v>
      </c>
    </row>
    <row r="10" spans="1:1" x14ac:dyDescent="0.25">
      <c r="A10" s="149" t="s">
        <v>564</v>
      </c>
    </row>
    <row r="11" spans="1:1" x14ac:dyDescent="0.25">
      <c r="A11" s="149" t="s">
        <v>565</v>
      </c>
    </row>
    <row r="12" spans="1:1" x14ac:dyDescent="0.25">
      <c r="A12" s="149" t="s">
        <v>566</v>
      </c>
    </row>
    <row r="13" spans="1:1" x14ac:dyDescent="0.25">
      <c r="A13" s="149" t="s">
        <v>567</v>
      </c>
    </row>
    <row r="14" spans="1:1" x14ac:dyDescent="0.25">
      <c r="A14" s="149" t="s">
        <v>559</v>
      </c>
    </row>
    <row r="15" spans="1:1" x14ac:dyDescent="0.25">
      <c r="A15" s="149"/>
    </row>
    <row r="16" spans="1:1" x14ac:dyDescent="0.25">
      <c r="A16" s="149" t="s">
        <v>568</v>
      </c>
    </row>
    <row r="17" spans="1:1" x14ac:dyDescent="0.25">
      <c r="A17" s="149"/>
    </row>
    <row r="18" spans="1:1" x14ac:dyDescent="0.25">
      <c r="A18" s="149" t="s">
        <v>569</v>
      </c>
    </row>
    <row r="19" spans="1:1" x14ac:dyDescent="0.25">
      <c r="A19" s="149" t="s">
        <v>570</v>
      </c>
    </row>
    <row r="20" spans="1:1" x14ac:dyDescent="0.25">
      <c r="A20" s="149" t="s">
        <v>571</v>
      </c>
    </row>
    <row r="21" spans="1:1" x14ac:dyDescent="0.25">
      <c r="A21" s="149" t="s">
        <v>572</v>
      </c>
    </row>
    <row r="22" spans="1:1" x14ac:dyDescent="0.25">
      <c r="A22" s="149" t="s">
        <v>573</v>
      </c>
    </row>
    <row r="23" spans="1:1" x14ac:dyDescent="0.25">
      <c r="A23" s="149" t="s">
        <v>574</v>
      </c>
    </row>
    <row r="24" spans="1:1" x14ac:dyDescent="0.25">
      <c r="A24" s="149" t="s">
        <v>575</v>
      </c>
    </row>
    <row r="25" spans="1:1" x14ac:dyDescent="0.25">
      <c r="A25" s="149" t="s">
        <v>576</v>
      </c>
    </row>
    <row r="26" spans="1:1" x14ac:dyDescent="0.25">
      <c r="A26" s="149" t="s">
        <v>577</v>
      </c>
    </row>
    <row r="27" spans="1:1" x14ac:dyDescent="0.25">
      <c r="A27" s="149" t="s">
        <v>578</v>
      </c>
    </row>
    <row r="28" spans="1:1" x14ac:dyDescent="0.25">
      <c r="A28" s="149" t="s">
        <v>579</v>
      </c>
    </row>
    <row r="29" spans="1:1" x14ac:dyDescent="0.25">
      <c r="A29" s="149" t="s">
        <v>580</v>
      </c>
    </row>
    <row r="30" spans="1:1" x14ac:dyDescent="0.25">
      <c r="A30" s="149" t="s">
        <v>581</v>
      </c>
    </row>
    <row r="31" spans="1:1" x14ac:dyDescent="0.25">
      <c r="A31" s="149" t="s">
        <v>582</v>
      </c>
    </row>
    <row r="32" spans="1:1" x14ac:dyDescent="0.25">
      <c r="A32" s="149" t="s">
        <v>583</v>
      </c>
    </row>
    <row r="33" spans="1:1" x14ac:dyDescent="0.25">
      <c r="A33" s="149"/>
    </row>
    <row r="34" spans="1:1" x14ac:dyDescent="0.25">
      <c r="A34" s="149" t="s">
        <v>584</v>
      </c>
    </row>
    <row r="35" spans="1:1" x14ac:dyDescent="0.25">
      <c r="A35" s="149" t="s">
        <v>585</v>
      </c>
    </row>
    <row r="36" spans="1:1" x14ac:dyDescent="0.25">
      <c r="A36" s="149" t="s">
        <v>586</v>
      </c>
    </row>
    <row r="37" spans="1:1" x14ac:dyDescent="0.25">
      <c r="A37" s="149" t="s">
        <v>587</v>
      </c>
    </row>
    <row r="38" spans="1:1" x14ac:dyDescent="0.25">
      <c r="A38" s="149"/>
    </row>
    <row r="39" spans="1:1" x14ac:dyDescent="0.25">
      <c r="A39" s="149" t="s">
        <v>588</v>
      </c>
    </row>
    <row r="40" spans="1:1" x14ac:dyDescent="0.25">
      <c r="A40" s="149" t="s">
        <v>589</v>
      </c>
    </row>
    <row r="41" spans="1:1" x14ac:dyDescent="0.25">
      <c r="A41" s="149" t="s">
        <v>590</v>
      </c>
    </row>
    <row r="42" spans="1:1" x14ac:dyDescent="0.25">
      <c r="A42" s="149" t="s">
        <v>591</v>
      </c>
    </row>
    <row r="43" spans="1:1" x14ac:dyDescent="0.25">
      <c r="A43" s="149"/>
    </row>
    <row r="44" spans="1:1" x14ac:dyDescent="0.25">
      <c r="A44" s="149" t="s">
        <v>592</v>
      </c>
    </row>
    <row r="45" spans="1:1" x14ac:dyDescent="0.25">
      <c r="A45" s="149" t="s">
        <v>593</v>
      </c>
    </row>
    <row r="46" spans="1:1" x14ac:dyDescent="0.25">
      <c r="A46" s="149" t="s">
        <v>594</v>
      </c>
    </row>
    <row r="47" spans="1:1" x14ac:dyDescent="0.25">
      <c r="A47" s="149" t="s">
        <v>595</v>
      </c>
    </row>
    <row r="48" spans="1:1" x14ac:dyDescent="0.25">
      <c r="A48" s="149" t="s">
        <v>596</v>
      </c>
    </row>
    <row r="49" spans="1:1" x14ac:dyDescent="0.25">
      <c r="A49" s="149" t="s">
        <v>597</v>
      </c>
    </row>
    <row r="50" spans="1:1" x14ac:dyDescent="0.25">
      <c r="A50" s="149" t="s">
        <v>598</v>
      </c>
    </row>
    <row r="51" spans="1:1" x14ac:dyDescent="0.25">
      <c r="A51" s="149" t="s">
        <v>599</v>
      </c>
    </row>
    <row r="52" spans="1:1" x14ac:dyDescent="0.25">
      <c r="A52" s="149" t="s">
        <v>600</v>
      </c>
    </row>
    <row r="53" spans="1:1" x14ac:dyDescent="0.25">
      <c r="A53" s="149" t="s">
        <v>601</v>
      </c>
    </row>
    <row r="54" spans="1:1" x14ac:dyDescent="0.25">
      <c r="A54" s="149" t="s">
        <v>580</v>
      </c>
    </row>
    <row r="55" spans="1:1" x14ac:dyDescent="0.25">
      <c r="A55" s="149"/>
    </row>
    <row r="56" spans="1:1" x14ac:dyDescent="0.25">
      <c r="A56" s="149" t="s">
        <v>602</v>
      </c>
    </row>
    <row r="57" spans="1:1" x14ac:dyDescent="0.25">
      <c r="A57" s="149" t="s">
        <v>603</v>
      </c>
    </row>
    <row r="58" spans="1:1" x14ac:dyDescent="0.25">
      <c r="A58" s="149"/>
    </row>
    <row r="59" spans="1:1" x14ac:dyDescent="0.25">
      <c r="A59" s="149" t="s">
        <v>604</v>
      </c>
    </row>
    <row r="60" spans="1:1" x14ac:dyDescent="0.25">
      <c r="A60" s="149" t="s">
        <v>605</v>
      </c>
    </row>
    <row r="61" spans="1:1" x14ac:dyDescent="0.25">
      <c r="A61" s="149" t="s">
        <v>606</v>
      </c>
    </row>
    <row r="62" spans="1:1" x14ac:dyDescent="0.25">
      <c r="A62" s="149" t="s">
        <v>580</v>
      </c>
    </row>
    <row r="63" spans="1:1" x14ac:dyDescent="0.25">
      <c r="A63" s="149"/>
    </row>
    <row r="64" spans="1:1" x14ac:dyDescent="0.25">
      <c r="A64" s="149" t="s">
        <v>607</v>
      </c>
    </row>
    <row r="65" spans="1:1" x14ac:dyDescent="0.25">
      <c r="A65" s="149" t="s">
        <v>608</v>
      </c>
    </row>
    <row r="66" spans="1:1" x14ac:dyDescent="0.25">
      <c r="A66" s="149" t="s">
        <v>609</v>
      </c>
    </row>
    <row r="67" spans="1:1" x14ac:dyDescent="0.25">
      <c r="A67" s="149"/>
    </row>
    <row r="68" spans="1:1" x14ac:dyDescent="0.25">
      <c r="A68" s="149" t="s">
        <v>610</v>
      </c>
    </row>
    <row r="69" spans="1:1" x14ac:dyDescent="0.25">
      <c r="A69" s="149" t="s">
        <v>611</v>
      </c>
    </row>
    <row r="70" spans="1:1" x14ac:dyDescent="0.25">
      <c r="A70" s="149" t="s">
        <v>612</v>
      </c>
    </row>
    <row r="71" spans="1:1" x14ac:dyDescent="0.25">
      <c r="A71" s="149" t="s">
        <v>613</v>
      </c>
    </row>
    <row r="72" spans="1:1" x14ac:dyDescent="0.25">
      <c r="A72" s="149" t="s">
        <v>614</v>
      </c>
    </row>
    <row r="73" spans="1:1" x14ac:dyDescent="0.25">
      <c r="A73" s="149" t="s">
        <v>615</v>
      </c>
    </row>
    <row r="74" spans="1:1" x14ac:dyDescent="0.25">
      <c r="A74" s="149" t="s">
        <v>616</v>
      </c>
    </row>
    <row r="75" spans="1:1" x14ac:dyDescent="0.25">
      <c r="A75" s="149" t="s">
        <v>617</v>
      </c>
    </row>
    <row r="76" spans="1:1" x14ac:dyDescent="0.25">
      <c r="A76" s="149" t="s">
        <v>618</v>
      </c>
    </row>
    <row r="77" spans="1:1" x14ac:dyDescent="0.25">
      <c r="A77" s="149" t="s">
        <v>619</v>
      </c>
    </row>
    <row r="78" spans="1:1" x14ac:dyDescent="0.25">
      <c r="A78" s="149" t="s">
        <v>620</v>
      </c>
    </row>
    <row r="79" spans="1:1" x14ac:dyDescent="0.25">
      <c r="A79" s="149" t="s">
        <v>621</v>
      </c>
    </row>
    <row r="80" spans="1:1" x14ac:dyDescent="0.25">
      <c r="A80" s="149" t="s">
        <v>622</v>
      </c>
    </row>
    <row r="81" spans="1:1" x14ac:dyDescent="0.25">
      <c r="A81" s="149" t="s">
        <v>623</v>
      </c>
    </row>
    <row r="82" spans="1:1" x14ac:dyDescent="0.25">
      <c r="A82" s="149" t="s">
        <v>624</v>
      </c>
    </row>
    <row r="83" spans="1:1" x14ac:dyDescent="0.25">
      <c r="A83" s="149" t="s">
        <v>625</v>
      </c>
    </row>
    <row r="84" spans="1:1" x14ac:dyDescent="0.25">
      <c r="A84" s="149" t="s">
        <v>626</v>
      </c>
    </row>
    <row r="85" spans="1:1" x14ac:dyDescent="0.25">
      <c r="A85" s="149" t="s">
        <v>627</v>
      </c>
    </row>
    <row r="86" spans="1:1" x14ac:dyDescent="0.25">
      <c r="A86" s="149" t="s">
        <v>628</v>
      </c>
    </row>
    <row r="87" spans="1:1" x14ac:dyDescent="0.25">
      <c r="A87" s="149" t="s">
        <v>629</v>
      </c>
    </row>
    <row r="88" spans="1:1" x14ac:dyDescent="0.25">
      <c r="A88" s="149" t="s">
        <v>630</v>
      </c>
    </row>
    <row r="89" spans="1:1" x14ac:dyDescent="0.25">
      <c r="A89" s="149" t="s">
        <v>631</v>
      </c>
    </row>
    <row r="90" spans="1:1" x14ac:dyDescent="0.25">
      <c r="A90" s="149" t="s">
        <v>632</v>
      </c>
    </row>
    <row r="91" spans="1:1" x14ac:dyDescent="0.25">
      <c r="A91" s="149" t="s">
        <v>633</v>
      </c>
    </row>
    <row r="92" spans="1:1" x14ac:dyDescent="0.25">
      <c r="A92" s="149" t="s">
        <v>634</v>
      </c>
    </row>
    <row r="93" spans="1:1" x14ac:dyDescent="0.25">
      <c r="A93" s="149" t="s">
        <v>635</v>
      </c>
    </row>
    <row r="94" spans="1:1" x14ac:dyDescent="0.25">
      <c r="A94" s="149" t="s">
        <v>636</v>
      </c>
    </row>
    <row r="95" spans="1:1" x14ac:dyDescent="0.25">
      <c r="A95" s="149" t="s">
        <v>637</v>
      </c>
    </row>
    <row r="96" spans="1:1" x14ac:dyDescent="0.25">
      <c r="A96" s="149" t="s">
        <v>638</v>
      </c>
    </row>
    <row r="97" spans="1:1" x14ac:dyDescent="0.25">
      <c r="A97" s="149" t="s">
        <v>639</v>
      </c>
    </row>
    <row r="98" spans="1:1" x14ac:dyDescent="0.25">
      <c r="A98" s="149" t="s">
        <v>640</v>
      </c>
    </row>
    <row r="99" spans="1:1" x14ac:dyDescent="0.25">
      <c r="A99" s="149"/>
    </row>
    <row r="100" spans="1:1" x14ac:dyDescent="0.25">
      <c r="A100" s="149" t="s">
        <v>641</v>
      </c>
    </row>
    <row r="101" spans="1:1" x14ac:dyDescent="0.25">
      <c r="A101" s="149" t="s">
        <v>642</v>
      </c>
    </row>
    <row r="102" spans="1:1" x14ac:dyDescent="0.25">
      <c r="A102" s="149" t="s">
        <v>643</v>
      </c>
    </row>
    <row r="103" spans="1:1" x14ac:dyDescent="0.25">
      <c r="A103" s="149" t="s">
        <v>644</v>
      </c>
    </row>
    <row r="104" spans="1:1" x14ac:dyDescent="0.25">
      <c r="A104" s="149" t="s">
        <v>645</v>
      </c>
    </row>
    <row r="105" spans="1:1" x14ac:dyDescent="0.25">
      <c r="A105" s="149" t="s">
        <v>646</v>
      </c>
    </row>
    <row r="106" spans="1:1" x14ac:dyDescent="0.25">
      <c r="A106" s="149" t="s">
        <v>647</v>
      </c>
    </row>
    <row r="107" spans="1:1" x14ac:dyDescent="0.25">
      <c r="A107" s="149" t="s">
        <v>648</v>
      </c>
    </row>
    <row r="108" spans="1:1" x14ac:dyDescent="0.25">
      <c r="A108" s="149" t="s">
        <v>649</v>
      </c>
    </row>
    <row r="109" spans="1:1" x14ac:dyDescent="0.25">
      <c r="A109" s="149" t="s">
        <v>650</v>
      </c>
    </row>
    <row r="110" spans="1:1" x14ac:dyDescent="0.25">
      <c r="A110" s="149" t="s">
        <v>651</v>
      </c>
    </row>
    <row r="111" spans="1:1" x14ac:dyDescent="0.25">
      <c r="A111" s="149"/>
    </row>
    <row r="112" spans="1:1" x14ac:dyDescent="0.25">
      <c r="A112" s="149" t="s">
        <v>652</v>
      </c>
    </row>
    <row r="113" spans="1:1" x14ac:dyDescent="0.25">
      <c r="A113" s="149" t="s">
        <v>653</v>
      </c>
    </row>
    <row r="114" spans="1:1" x14ac:dyDescent="0.25">
      <c r="A114" s="149" t="s">
        <v>654</v>
      </c>
    </row>
    <row r="115" spans="1:1" x14ac:dyDescent="0.25">
      <c r="A115" s="149" t="s">
        <v>655</v>
      </c>
    </row>
    <row r="116" spans="1:1" x14ac:dyDescent="0.25">
      <c r="A116" s="149" t="s">
        <v>656</v>
      </c>
    </row>
    <row r="117" spans="1:1" x14ac:dyDescent="0.25">
      <c r="A117" s="149" t="s">
        <v>657</v>
      </c>
    </row>
    <row r="118" spans="1:1" x14ac:dyDescent="0.25">
      <c r="A118" s="149" t="s">
        <v>658</v>
      </c>
    </row>
    <row r="119" spans="1:1" x14ac:dyDescent="0.25">
      <c r="A119" s="149"/>
    </row>
    <row r="120" spans="1:1" x14ac:dyDescent="0.25">
      <c r="A120" s="149" t="s">
        <v>659</v>
      </c>
    </row>
    <row r="121" spans="1:1" x14ac:dyDescent="0.25">
      <c r="A121" s="149" t="s">
        <v>660</v>
      </c>
    </row>
    <row r="122" spans="1:1" x14ac:dyDescent="0.25">
      <c r="A122" s="149"/>
    </row>
    <row r="123" spans="1:1" x14ac:dyDescent="0.25">
      <c r="A123" s="149" t="s">
        <v>661</v>
      </c>
    </row>
    <row r="124" spans="1:1" x14ac:dyDescent="0.25">
      <c r="A124" s="149" t="s">
        <v>662</v>
      </c>
    </row>
    <row r="125" spans="1:1" x14ac:dyDescent="0.25">
      <c r="A125" s="149" t="s">
        <v>663</v>
      </c>
    </row>
    <row r="126" spans="1:1" x14ac:dyDescent="0.25">
      <c r="A126" s="149" t="s">
        <v>664</v>
      </c>
    </row>
    <row r="127" spans="1:1" x14ac:dyDescent="0.25">
      <c r="A127" s="149" t="s">
        <v>665</v>
      </c>
    </row>
    <row r="128" spans="1:1" x14ac:dyDescent="0.25">
      <c r="A128" s="149" t="s">
        <v>666</v>
      </c>
    </row>
    <row r="129" spans="1:1" x14ac:dyDescent="0.25">
      <c r="A129" s="149"/>
    </row>
    <row r="130" spans="1:1" x14ac:dyDescent="0.25">
      <c r="A130" s="149" t="s">
        <v>667</v>
      </c>
    </row>
    <row r="131" spans="1:1" x14ac:dyDescent="0.25">
      <c r="A131" s="149" t="s">
        <v>668</v>
      </c>
    </row>
    <row r="132" spans="1:1" x14ac:dyDescent="0.25">
      <c r="A132" s="149" t="s">
        <v>669</v>
      </c>
    </row>
    <row r="133" spans="1:1" x14ac:dyDescent="0.25">
      <c r="A133" s="149" t="s">
        <v>670</v>
      </c>
    </row>
    <row r="134" spans="1:1" x14ac:dyDescent="0.25">
      <c r="A134" s="149" t="s">
        <v>671</v>
      </c>
    </row>
    <row r="135" spans="1:1" x14ac:dyDescent="0.25">
      <c r="A135" s="149" t="s">
        <v>672</v>
      </c>
    </row>
    <row r="136" spans="1:1" x14ac:dyDescent="0.25">
      <c r="A136" s="149"/>
    </row>
    <row r="137" spans="1:1" x14ac:dyDescent="0.25">
      <c r="A137" s="149" t="s">
        <v>673</v>
      </c>
    </row>
    <row r="138" spans="1:1" x14ac:dyDescent="0.25">
      <c r="A138" s="149" t="s">
        <v>674</v>
      </c>
    </row>
    <row r="139" spans="1:1" x14ac:dyDescent="0.25">
      <c r="A139" s="149" t="s">
        <v>675</v>
      </c>
    </row>
    <row r="140" spans="1:1" x14ac:dyDescent="0.25">
      <c r="A140" s="149" t="s">
        <v>660</v>
      </c>
    </row>
    <row r="141" spans="1:1" x14ac:dyDescent="0.25">
      <c r="A141" s="149" t="s">
        <v>666</v>
      </c>
    </row>
    <row r="142" spans="1:1" x14ac:dyDescent="0.25">
      <c r="A142" s="149"/>
    </row>
    <row r="143" spans="1:1" x14ac:dyDescent="0.25">
      <c r="A143" s="149" t="s">
        <v>676</v>
      </c>
    </row>
    <row r="144" spans="1:1" x14ac:dyDescent="0.25">
      <c r="A144" s="149" t="s">
        <v>677</v>
      </c>
    </row>
    <row r="145" spans="1:1" x14ac:dyDescent="0.25">
      <c r="A145" s="149" t="s">
        <v>678</v>
      </c>
    </row>
    <row r="146" spans="1:1" x14ac:dyDescent="0.25">
      <c r="A146" s="149" t="s">
        <v>679</v>
      </c>
    </row>
    <row r="147" spans="1:1" x14ac:dyDescent="0.25">
      <c r="A147" s="149" t="s">
        <v>680</v>
      </c>
    </row>
    <row r="148" spans="1:1" x14ac:dyDescent="0.25">
      <c r="A148" s="149" t="s">
        <v>681</v>
      </c>
    </row>
    <row r="149" spans="1:1" x14ac:dyDescent="0.25">
      <c r="A149" s="149" t="s">
        <v>682</v>
      </c>
    </row>
    <row r="150" spans="1:1" x14ac:dyDescent="0.25">
      <c r="A150" s="149" t="s">
        <v>683</v>
      </c>
    </row>
    <row r="151" spans="1:1" x14ac:dyDescent="0.25">
      <c r="A151" s="149" t="s">
        <v>684</v>
      </c>
    </row>
    <row r="152" spans="1:1" x14ac:dyDescent="0.25">
      <c r="A152" s="149" t="s">
        <v>580</v>
      </c>
    </row>
    <row r="153" spans="1:1" x14ac:dyDescent="0.25">
      <c r="A153" s="149" t="s">
        <v>666</v>
      </c>
    </row>
    <row r="154" spans="1:1" x14ac:dyDescent="0.25">
      <c r="A154" s="148"/>
    </row>
    <row r="155" spans="1:1" x14ac:dyDescent="0.25">
      <c r="A155" s="148"/>
    </row>
    <row r="156" spans="1:1" x14ac:dyDescent="0.25">
      <c r="A156" s="148"/>
    </row>
    <row r="157" spans="1:1" x14ac:dyDescent="0.25">
      <c r="A157" s="148"/>
    </row>
    <row r="158" spans="1:1" x14ac:dyDescent="0.25">
      <c r="A158" s="148"/>
    </row>
    <row r="159" spans="1:1" x14ac:dyDescent="0.25">
      <c r="A159" s="148"/>
    </row>
    <row r="160" spans="1:1" x14ac:dyDescent="0.25">
      <c r="A160" s="148"/>
    </row>
    <row r="161" spans="1:1" x14ac:dyDescent="0.25">
      <c r="A161" s="148"/>
    </row>
    <row r="162" spans="1:1" x14ac:dyDescent="0.25">
      <c r="A162" s="148"/>
    </row>
    <row r="163" spans="1:1" x14ac:dyDescent="0.25">
      <c r="A163" s="148"/>
    </row>
    <row r="164" spans="1:1" x14ac:dyDescent="0.25">
      <c r="A164" s="148"/>
    </row>
    <row r="165" spans="1:1" x14ac:dyDescent="0.25">
      <c r="A165" s="148"/>
    </row>
    <row r="166" spans="1:1" x14ac:dyDescent="0.25">
      <c r="A166" s="148"/>
    </row>
    <row r="167" spans="1:1" x14ac:dyDescent="0.25">
      <c r="A167" s="148"/>
    </row>
    <row r="168" spans="1:1" x14ac:dyDescent="0.25">
      <c r="A168" s="148"/>
    </row>
    <row r="169" spans="1:1" x14ac:dyDescent="0.25">
      <c r="A169" s="148"/>
    </row>
    <row r="170" spans="1:1" x14ac:dyDescent="0.25">
      <c r="A170" s="148"/>
    </row>
    <row r="171" spans="1:1" x14ac:dyDescent="0.25">
      <c r="A171" s="148"/>
    </row>
    <row r="172" spans="1:1" x14ac:dyDescent="0.25">
      <c r="A172" s="148"/>
    </row>
    <row r="173" spans="1:1" x14ac:dyDescent="0.25">
      <c r="A173" s="148"/>
    </row>
    <row r="174" spans="1:1" x14ac:dyDescent="0.25">
      <c r="A174" s="148"/>
    </row>
    <row r="175" spans="1:1" x14ac:dyDescent="0.25">
      <c r="A175" s="148"/>
    </row>
    <row r="176" spans="1:1" x14ac:dyDescent="0.25">
      <c r="A176" s="148"/>
    </row>
    <row r="177" spans="1:1" x14ac:dyDescent="0.25">
      <c r="A177" s="148"/>
    </row>
    <row r="178" spans="1:1" x14ac:dyDescent="0.25">
      <c r="A178" s="148"/>
    </row>
    <row r="179" spans="1:1" x14ac:dyDescent="0.25">
      <c r="A179" s="148"/>
    </row>
    <row r="180" spans="1:1" x14ac:dyDescent="0.25">
      <c r="A180" s="148"/>
    </row>
    <row r="181" spans="1:1" x14ac:dyDescent="0.25">
      <c r="A181" s="148"/>
    </row>
    <row r="182" spans="1:1" x14ac:dyDescent="0.25">
      <c r="A182" s="148"/>
    </row>
    <row r="183" spans="1:1" x14ac:dyDescent="0.25">
      <c r="A183" s="148"/>
    </row>
    <row r="184" spans="1:1" x14ac:dyDescent="0.25">
      <c r="A184" s="148"/>
    </row>
    <row r="185" spans="1:1" x14ac:dyDescent="0.25">
      <c r="A185" s="148"/>
    </row>
    <row r="186" spans="1:1" x14ac:dyDescent="0.25">
      <c r="A186" s="148"/>
    </row>
    <row r="187" spans="1:1" x14ac:dyDescent="0.25">
      <c r="A187" s="148"/>
    </row>
    <row r="188" spans="1:1" x14ac:dyDescent="0.25">
      <c r="A188" s="148"/>
    </row>
    <row r="189" spans="1:1" x14ac:dyDescent="0.25">
      <c r="A189" s="148"/>
    </row>
    <row r="190" spans="1:1" x14ac:dyDescent="0.25">
      <c r="A190" s="148"/>
    </row>
    <row r="191" spans="1:1" x14ac:dyDescent="0.25">
      <c r="A191" s="148"/>
    </row>
    <row r="192" spans="1:1" x14ac:dyDescent="0.25">
      <c r="A192" s="148"/>
    </row>
    <row r="193" spans="1:1" x14ac:dyDescent="0.25">
      <c r="A193" s="148"/>
    </row>
    <row r="194" spans="1:1" x14ac:dyDescent="0.25">
      <c r="A194" s="148"/>
    </row>
    <row r="195" spans="1:1" x14ac:dyDescent="0.25">
      <c r="A195" s="148"/>
    </row>
    <row r="196" spans="1:1" x14ac:dyDescent="0.25">
      <c r="A196" s="148"/>
    </row>
    <row r="197" spans="1:1" x14ac:dyDescent="0.25">
      <c r="A197" s="148"/>
    </row>
    <row r="198" spans="1:1" x14ac:dyDescent="0.25">
      <c r="A198" s="148"/>
    </row>
    <row r="199" spans="1:1" x14ac:dyDescent="0.25">
      <c r="A199" s="148"/>
    </row>
    <row r="200" spans="1:1" x14ac:dyDescent="0.25">
      <c r="A200" s="148"/>
    </row>
    <row r="201" spans="1:1" x14ac:dyDescent="0.25">
      <c r="A201" s="148" t="s">
        <v>685</v>
      </c>
    </row>
    <row r="202" spans="1:1" x14ac:dyDescent="0.25">
      <c r="A202" s="148" t="s">
        <v>686</v>
      </c>
    </row>
    <row r="203" spans="1:1" x14ac:dyDescent="0.25">
      <c r="A203" s="148" t="s">
        <v>687</v>
      </c>
    </row>
    <row r="204" spans="1:1" x14ac:dyDescent="0.25">
      <c r="A204" s="148" t="s">
        <v>688</v>
      </c>
    </row>
    <row r="205" spans="1:1" x14ac:dyDescent="0.25">
      <c r="A205" s="148"/>
    </row>
    <row r="206" spans="1:1" x14ac:dyDescent="0.25">
      <c r="A206" s="148" t="s">
        <v>689</v>
      </c>
    </row>
    <row r="207" spans="1:1" x14ac:dyDescent="0.25">
      <c r="A207" s="148" t="s">
        <v>690</v>
      </c>
    </row>
    <row r="208" spans="1:1" x14ac:dyDescent="0.25">
      <c r="A208" s="148" t="s">
        <v>691</v>
      </c>
    </row>
    <row r="209" spans="1:1" x14ac:dyDescent="0.25">
      <c r="A209" s="148" t="s">
        <v>692</v>
      </c>
    </row>
    <row r="210" spans="1:1" x14ac:dyDescent="0.25">
      <c r="A210" s="148" t="s">
        <v>693</v>
      </c>
    </row>
    <row r="211" spans="1:1" x14ac:dyDescent="0.25">
      <c r="A211" s="148" t="s">
        <v>639</v>
      </c>
    </row>
    <row r="212" spans="1:1" x14ac:dyDescent="0.25">
      <c r="A212" s="148" t="s">
        <v>694</v>
      </c>
    </row>
    <row r="213" spans="1:1" x14ac:dyDescent="0.25">
      <c r="A213" s="148" t="s">
        <v>695</v>
      </c>
    </row>
    <row r="214" spans="1:1" x14ac:dyDescent="0.25">
      <c r="A214" s="148"/>
    </row>
    <row r="215" spans="1:1" x14ac:dyDescent="0.25">
      <c r="A215" s="148" t="s">
        <v>696</v>
      </c>
    </row>
    <row r="216" spans="1:1" x14ac:dyDescent="0.25">
      <c r="A216" s="148" t="s">
        <v>697</v>
      </c>
    </row>
    <row r="217" spans="1:1" x14ac:dyDescent="0.25">
      <c r="A217" s="148" t="s">
        <v>698</v>
      </c>
    </row>
    <row r="218" spans="1:1" x14ac:dyDescent="0.25">
      <c r="A218" s="148" t="s">
        <v>699</v>
      </c>
    </row>
    <row r="219" spans="1:1" x14ac:dyDescent="0.25">
      <c r="A219" s="148" t="s">
        <v>700</v>
      </c>
    </row>
    <row r="220" spans="1:1" x14ac:dyDescent="0.25">
      <c r="A220" s="148" t="s">
        <v>701</v>
      </c>
    </row>
    <row r="221" spans="1:1" x14ac:dyDescent="0.25">
      <c r="A221" s="148" t="s">
        <v>702</v>
      </c>
    </row>
    <row r="222" spans="1:1" x14ac:dyDescent="0.25">
      <c r="A222" s="148"/>
    </row>
    <row r="223" spans="1:1" x14ac:dyDescent="0.25">
      <c r="A223" s="148" t="s">
        <v>703</v>
      </c>
    </row>
    <row r="224" spans="1:1" x14ac:dyDescent="0.25">
      <c r="A224" s="148" t="s">
        <v>704</v>
      </c>
    </row>
    <row r="225" spans="1:1" x14ac:dyDescent="0.25">
      <c r="A225" s="148"/>
    </row>
    <row r="226" spans="1:1" x14ac:dyDescent="0.25">
      <c r="A226" s="148" t="s">
        <v>705</v>
      </c>
    </row>
    <row r="227" spans="1:1" x14ac:dyDescent="0.25">
      <c r="A227" s="148" t="s">
        <v>706</v>
      </c>
    </row>
    <row r="228" spans="1:1" x14ac:dyDescent="0.25">
      <c r="A228" s="148" t="s">
        <v>707</v>
      </c>
    </row>
    <row r="229" spans="1:1" x14ac:dyDescent="0.25">
      <c r="A229" s="148"/>
    </row>
    <row r="230" spans="1:1" x14ac:dyDescent="0.25">
      <c r="A230" s="148" t="s">
        <v>708</v>
      </c>
    </row>
    <row r="231" spans="1:1" x14ac:dyDescent="0.25">
      <c r="A231" s="148" t="s">
        <v>709</v>
      </c>
    </row>
    <row r="232" spans="1:1" x14ac:dyDescent="0.25">
      <c r="A232" s="148" t="s">
        <v>710</v>
      </c>
    </row>
    <row r="233" spans="1:1" x14ac:dyDescent="0.25">
      <c r="A233" s="148"/>
    </row>
    <row r="234" spans="1:1" x14ac:dyDescent="0.25">
      <c r="A234" s="148" t="s">
        <v>711</v>
      </c>
    </row>
    <row r="235" spans="1:1" x14ac:dyDescent="0.25">
      <c r="A235" s="148" t="s">
        <v>712</v>
      </c>
    </row>
    <row r="236" spans="1:1" x14ac:dyDescent="0.25">
      <c r="A236" s="148" t="s">
        <v>713</v>
      </c>
    </row>
    <row r="237" spans="1:1" x14ac:dyDescent="0.25">
      <c r="A237" s="148" t="s">
        <v>714</v>
      </c>
    </row>
    <row r="238" spans="1:1" x14ac:dyDescent="0.25">
      <c r="A238" s="148" t="s">
        <v>715</v>
      </c>
    </row>
    <row r="239" spans="1:1" x14ac:dyDescent="0.25">
      <c r="A239" s="148" t="s">
        <v>716</v>
      </c>
    </row>
    <row r="240" spans="1:1" x14ac:dyDescent="0.25">
      <c r="A240" s="148" t="s">
        <v>717</v>
      </c>
    </row>
    <row r="241" spans="1:1" x14ac:dyDescent="0.25">
      <c r="A241" s="148" t="s">
        <v>718</v>
      </c>
    </row>
    <row r="242" spans="1:1" x14ac:dyDescent="0.25">
      <c r="A242" s="148" t="s">
        <v>719</v>
      </c>
    </row>
    <row r="243" spans="1:1" x14ac:dyDescent="0.25">
      <c r="A243" s="148" t="s">
        <v>720</v>
      </c>
    </row>
    <row r="244" spans="1:1" x14ac:dyDescent="0.25">
      <c r="A244" s="148" t="s">
        <v>721</v>
      </c>
    </row>
    <row r="245" spans="1:1" x14ac:dyDescent="0.25">
      <c r="A245" s="148" t="s">
        <v>722</v>
      </c>
    </row>
    <row r="246" spans="1:1" x14ac:dyDescent="0.25">
      <c r="A246" s="148" t="s">
        <v>723</v>
      </c>
    </row>
    <row r="247" spans="1:1" x14ac:dyDescent="0.25">
      <c r="A247" s="148" t="s">
        <v>724</v>
      </c>
    </row>
    <row r="248" spans="1:1" x14ac:dyDescent="0.25">
      <c r="A248" s="148"/>
    </row>
    <row r="249" spans="1:1" x14ac:dyDescent="0.25">
      <c r="A249" s="148" t="s">
        <v>725</v>
      </c>
    </row>
    <row r="250" spans="1:1" x14ac:dyDescent="0.25">
      <c r="A250" s="148" t="s">
        <v>726</v>
      </c>
    </row>
    <row r="251" spans="1:1" x14ac:dyDescent="0.25">
      <c r="A251" s="148" t="s">
        <v>666</v>
      </c>
    </row>
    <row r="252" spans="1:1" x14ac:dyDescent="0.25">
      <c r="A252" s="148"/>
    </row>
    <row r="253" spans="1:1" x14ac:dyDescent="0.25">
      <c r="A253" s="148" t="s">
        <v>727</v>
      </c>
    </row>
    <row r="254" spans="1:1" x14ac:dyDescent="0.25">
      <c r="A254" s="148"/>
    </row>
    <row r="255" spans="1:1" x14ac:dyDescent="0.25">
      <c r="A255" s="148" t="s">
        <v>728</v>
      </c>
    </row>
    <row r="256" spans="1:1" x14ac:dyDescent="0.25">
      <c r="A256" s="148" t="s">
        <v>729</v>
      </c>
    </row>
    <row r="257" spans="1:1" x14ac:dyDescent="0.25">
      <c r="A257" s="148" t="s">
        <v>730</v>
      </c>
    </row>
    <row r="258" spans="1:1" x14ac:dyDescent="0.25">
      <c r="A258" s="148" t="s">
        <v>731</v>
      </c>
    </row>
    <row r="259" spans="1:1" x14ac:dyDescent="0.25">
      <c r="A259" s="148"/>
    </row>
    <row r="260" spans="1:1" x14ac:dyDescent="0.25">
      <c r="A260" s="148" t="s">
        <v>687</v>
      </c>
    </row>
    <row r="261" spans="1:1" x14ac:dyDescent="0.25">
      <c r="A261" s="148" t="s">
        <v>688</v>
      </c>
    </row>
    <row r="262" spans="1:1" x14ac:dyDescent="0.25">
      <c r="A262" s="148" t="s">
        <v>732</v>
      </c>
    </row>
    <row r="263" spans="1:1" x14ac:dyDescent="0.25">
      <c r="A263" s="148"/>
    </row>
    <row r="264" spans="1:1" x14ac:dyDescent="0.25">
      <c r="A264" s="148" t="s">
        <v>733</v>
      </c>
    </row>
    <row r="265" spans="1:1" x14ac:dyDescent="0.25">
      <c r="A265" s="148" t="s">
        <v>734</v>
      </c>
    </row>
    <row r="266" spans="1:1" x14ac:dyDescent="0.25">
      <c r="A266" s="148" t="s">
        <v>735</v>
      </c>
    </row>
    <row r="267" spans="1:1" x14ac:dyDescent="0.25">
      <c r="A267" s="148"/>
    </row>
    <row r="268" spans="1:1" x14ac:dyDescent="0.25">
      <c r="A268" s="148" t="s">
        <v>736</v>
      </c>
    </row>
    <row r="269" spans="1:1" x14ac:dyDescent="0.25">
      <c r="A269" s="148" t="s">
        <v>737</v>
      </c>
    </row>
    <row r="270" spans="1:1" x14ac:dyDescent="0.25">
      <c r="A270" s="148" t="s">
        <v>580</v>
      </c>
    </row>
    <row r="271" spans="1:1" x14ac:dyDescent="0.25">
      <c r="A271" s="148"/>
    </row>
    <row r="272" spans="1:1" x14ac:dyDescent="0.25">
      <c r="A272" s="148" t="s">
        <v>738</v>
      </c>
    </row>
    <row r="273" spans="1:1" x14ac:dyDescent="0.25">
      <c r="A273" s="148"/>
    </row>
    <row r="274" spans="1:1" x14ac:dyDescent="0.25">
      <c r="A274" s="148" t="s">
        <v>739</v>
      </c>
    </row>
    <row r="275" spans="1:1" x14ac:dyDescent="0.25">
      <c r="A275" s="148" t="s">
        <v>740</v>
      </c>
    </row>
    <row r="276" spans="1:1" x14ac:dyDescent="0.25">
      <c r="A276" s="148" t="s">
        <v>741</v>
      </c>
    </row>
    <row r="277" spans="1:1" x14ac:dyDescent="0.25">
      <c r="A277" s="148" t="s">
        <v>742</v>
      </c>
    </row>
    <row r="278" spans="1:1" x14ac:dyDescent="0.25">
      <c r="A278" s="148"/>
    </row>
    <row r="279" spans="1:1" x14ac:dyDescent="0.25">
      <c r="A279" s="148" t="s">
        <v>743</v>
      </c>
    </row>
    <row r="280" spans="1:1" x14ac:dyDescent="0.25">
      <c r="A280" s="148" t="s">
        <v>744</v>
      </c>
    </row>
    <row r="281" spans="1:1" x14ac:dyDescent="0.25">
      <c r="A281" s="148" t="s">
        <v>745</v>
      </c>
    </row>
    <row r="282" spans="1:1" x14ac:dyDescent="0.25">
      <c r="A282" s="148" t="s">
        <v>746</v>
      </c>
    </row>
    <row r="283" spans="1:1" x14ac:dyDescent="0.25">
      <c r="A283" s="148" t="s">
        <v>747</v>
      </c>
    </row>
    <row r="284" spans="1:1" x14ac:dyDescent="0.25">
      <c r="A284" s="148" t="s">
        <v>748</v>
      </c>
    </row>
    <row r="285" spans="1:1" x14ac:dyDescent="0.25">
      <c r="A285" s="148" t="s">
        <v>749</v>
      </c>
    </row>
    <row r="286" spans="1:1" x14ac:dyDescent="0.25">
      <c r="A286" s="148" t="s">
        <v>750</v>
      </c>
    </row>
    <row r="287" spans="1:1" x14ac:dyDescent="0.25">
      <c r="A287" s="148" t="s">
        <v>751</v>
      </c>
    </row>
    <row r="288" spans="1:1" x14ac:dyDescent="0.25">
      <c r="A288" s="148" t="s">
        <v>752</v>
      </c>
    </row>
    <row r="289" spans="1:1" x14ac:dyDescent="0.25">
      <c r="A289" s="148"/>
    </row>
    <row r="290" spans="1:1" x14ac:dyDescent="0.25">
      <c r="A290" s="148" t="s">
        <v>753</v>
      </c>
    </row>
    <row r="291" spans="1:1" x14ac:dyDescent="0.25">
      <c r="A291" s="148" t="s">
        <v>754</v>
      </c>
    </row>
    <row r="292" spans="1:1" x14ac:dyDescent="0.25">
      <c r="A292" s="148" t="s">
        <v>666</v>
      </c>
    </row>
    <row r="293" spans="1:1" x14ac:dyDescent="0.25">
      <c r="A293" s="148"/>
    </row>
    <row r="294" spans="1:1" x14ac:dyDescent="0.25">
      <c r="A294" s="148" t="s">
        <v>755</v>
      </c>
    </row>
    <row r="295" spans="1:1" x14ac:dyDescent="0.25">
      <c r="A295" s="148"/>
    </row>
    <row r="296" spans="1:1" x14ac:dyDescent="0.25">
      <c r="A296" s="148" t="s">
        <v>756</v>
      </c>
    </row>
    <row r="297" spans="1:1" x14ac:dyDescent="0.25">
      <c r="A297" s="148" t="s">
        <v>757</v>
      </c>
    </row>
    <row r="298" spans="1:1" x14ac:dyDescent="0.25">
      <c r="A298" s="148" t="s">
        <v>758</v>
      </c>
    </row>
    <row r="299" spans="1:1" x14ac:dyDescent="0.25">
      <c r="A299" s="148" t="s">
        <v>759</v>
      </c>
    </row>
    <row r="300" spans="1:1" x14ac:dyDescent="0.25">
      <c r="A300" s="148" t="s">
        <v>760</v>
      </c>
    </row>
    <row r="301" spans="1:1" x14ac:dyDescent="0.25">
      <c r="A301" s="148" t="s">
        <v>761</v>
      </c>
    </row>
    <row r="302" spans="1:1" x14ac:dyDescent="0.25">
      <c r="A302" s="148" t="s">
        <v>666</v>
      </c>
    </row>
    <row r="303" spans="1:1" x14ac:dyDescent="0.25">
      <c r="A303" s="148"/>
    </row>
    <row r="304" spans="1:1" x14ac:dyDescent="0.25">
      <c r="A304" s="148" t="s">
        <v>762</v>
      </c>
    </row>
    <row r="305" spans="1:1" x14ac:dyDescent="0.25">
      <c r="A305" s="148"/>
    </row>
    <row r="306" spans="1:1" x14ac:dyDescent="0.25">
      <c r="A306" s="148" t="s">
        <v>763</v>
      </c>
    </row>
    <row r="307" spans="1:1" x14ac:dyDescent="0.25">
      <c r="A307" s="148" t="s">
        <v>764</v>
      </c>
    </row>
    <row r="308" spans="1:1" x14ac:dyDescent="0.25">
      <c r="A308" s="148" t="s">
        <v>765</v>
      </c>
    </row>
    <row r="309" spans="1:1" x14ac:dyDescent="0.25">
      <c r="A309" s="148" t="s">
        <v>766</v>
      </c>
    </row>
    <row r="310" spans="1:1" x14ac:dyDescent="0.25">
      <c r="A310" s="148" t="s">
        <v>767</v>
      </c>
    </row>
    <row r="311" spans="1:1" x14ac:dyDescent="0.25">
      <c r="A311" s="148" t="s">
        <v>768</v>
      </c>
    </row>
    <row r="312" spans="1:1" x14ac:dyDescent="0.25">
      <c r="A312" s="148" t="s">
        <v>769</v>
      </c>
    </row>
    <row r="313" spans="1:1" x14ac:dyDescent="0.25">
      <c r="A313" s="148" t="s">
        <v>770</v>
      </c>
    </row>
    <row r="314" spans="1:1" x14ac:dyDescent="0.25">
      <c r="A314" s="148" t="s">
        <v>771</v>
      </c>
    </row>
    <row r="315" spans="1:1" x14ac:dyDescent="0.25">
      <c r="A315" s="148" t="s">
        <v>772</v>
      </c>
    </row>
    <row r="316" spans="1:1" x14ac:dyDescent="0.25">
      <c r="A316" s="148" t="s">
        <v>666</v>
      </c>
    </row>
    <row r="317" spans="1:1" x14ac:dyDescent="0.25">
      <c r="A317" s="148"/>
    </row>
    <row r="319" spans="1:1" x14ac:dyDescent="0.25">
      <c r="A319" t="s">
        <v>559</v>
      </c>
    </row>
    <row r="320" spans="1:1" x14ac:dyDescent="0.25">
      <c r="A320" t="s">
        <v>773</v>
      </c>
    </row>
    <row r="321" spans="1:1" x14ac:dyDescent="0.25">
      <c r="A321" t="s">
        <v>774</v>
      </c>
    </row>
    <row r="322" spans="1:1" x14ac:dyDescent="0.25">
      <c r="A322" t="s">
        <v>559</v>
      </c>
    </row>
    <row r="324" spans="1:1" x14ac:dyDescent="0.25">
      <c r="A324" t="s">
        <v>775</v>
      </c>
    </row>
    <row r="325" spans="1:1" x14ac:dyDescent="0.25">
      <c r="A325" t="s">
        <v>776</v>
      </c>
    </row>
    <row r="326" spans="1:1" x14ac:dyDescent="0.25">
      <c r="A326" t="s">
        <v>777</v>
      </c>
    </row>
    <row r="327" spans="1:1" x14ac:dyDescent="0.25">
      <c r="A327" t="s">
        <v>688</v>
      </c>
    </row>
    <row r="328" spans="1:1" x14ac:dyDescent="0.25">
      <c r="A328" t="s">
        <v>778</v>
      </c>
    </row>
    <row r="329" spans="1:1" x14ac:dyDescent="0.25">
      <c r="A329" t="s">
        <v>779</v>
      </c>
    </row>
    <row r="330" spans="1:1" x14ac:dyDescent="0.25">
      <c r="A330" t="s">
        <v>705</v>
      </c>
    </row>
    <row r="331" spans="1:1" x14ac:dyDescent="0.25">
      <c r="A331" t="s">
        <v>780</v>
      </c>
    </row>
    <row r="332" spans="1:1" x14ac:dyDescent="0.25">
      <c r="A332" t="s">
        <v>781</v>
      </c>
    </row>
    <row r="333" spans="1:1" x14ac:dyDescent="0.25">
      <c r="A333" t="s">
        <v>782</v>
      </c>
    </row>
    <row r="334" spans="1:1" x14ac:dyDescent="0.25">
      <c r="A334" t="s">
        <v>783</v>
      </c>
    </row>
    <row r="335" spans="1:1" x14ac:dyDescent="0.25">
      <c r="A335" t="s">
        <v>583</v>
      </c>
    </row>
    <row r="337" spans="1:1" x14ac:dyDescent="0.25">
      <c r="A337" t="s">
        <v>784</v>
      </c>
    </row>
    <row r="338" spans="1:1" x14ac:dyDescent="0.25">
      <c r="A338" t="s">
        <v>688</v>
      </c>
    </row>
    <row r="339" spans="1:1" x14ac:dyDescent="0.25">
      <c r="A339" t="s">
        <v>778</v>
      </c>
    </row>
    <row r="340" spans="1:1" x14ac:dyDescent="0.25">
      <c r="A340" t="s">
        <v>785</v>
      </c>
    </row>
    <row r="341" spans="1:1" x14ac:dyDescent="0.25">
      <c r="A341" t="s">
        <v>705</v>
      </c>
    </row>
    <row r="342" spans="1:1" x14ac:dyDescent="0.25">
      <c r="A342" t="s">
        <v>780</v>
      </c>
    </row>
    <row r="343" spans="1:1" x14ac:dyDescent="0.25">
      <c r="A343" t="s">
        <v>786</v>
      </c>
    </row>
    <row r="344" spans="1:1" x14ac:dyDescent="0.25">
      <c r="A344" t="s">
        <v>782</v>
      </c>
    </row>
    <row r="345" spans="1:1" x14ac:dyDescent="0.25">
      <c r="A345" t="s">
        <v>787</v>
      </c>
    </row>
    <row r="346" spans="1:1" x14ac:dyDescent="0.25">
      <c r="A346" t="s">
        <v>583</v>
      </c>
    </row>
    <row r="348" spans="1:1" x14ac:dyDescent="0.25">
      <c r="A348" t="s">
        <v>788</v>
      </c>
    </row>
    <row r="349" spans="1:1" x14ac:dyDescent="0.25">
      <c r="A349" t="s">
        <v>789</v>
      </c>
    </row>
    <row r="350" spans="1:1" x14ac:dyDescent="0.25">
      <c r="A350" t="s">
        <v>686</v>
      </c>
    </row>
    <row r="351" spans="1:1" x14ac:dyDescent="0.25">
      <c r="A351" t="s">
        <v>790</v>
      </c>
    </row>
    <row r="352" spans="1:1" x14ac:dyDescent="0.25">
      <c r="A352" t="s">
        <v>688</v>
      </c>
    </row>
    <row r="353" spans="1:1" x14ac:dyDescent="0.25">
      <c r="A353" t="s">
        <v>778</v>
      </c>
    </row>
    <row r="354" spans="1:1" x14ac:dyDescent="0.25">
      <c r="A354" t="s">
        <v>779</v>
      </c>
    </row>
    <row r="356" spans="1:1" x14ac:dyDescent="0.25">
      <c r="A356" t="s">
        <v>689</v>
      </c>
    </row>
    <row r="357" spans="1:1" x14ac:dyDescent="0.25">
      <c r="A357" t="s">
        <v>690</v>
      </c>
    </row>
    <row r="358" spans="1:1" x14ac:dyDescent="0.25">
      <c r="A358" t="s">
        <v>791</v>
      </c>
    </row>
    <row r="359" spans="1:1" x14ac:dyDescent="0.25">
      <c r="A359" t="s">
        <v>792</v>
      </c>
    </row>
    <row r="360" spans="1:1" x14ac:dyDescent="0.25">
      <c r="A360" t="s">
        <v>793</v>
      </c>
    </row>
    <row r="361" spans="1:1" x14ac:dyDescent="0.25">
      <c r="A361" t="s">
        <v>693</v>
      </c>
    </row>
    <row r="362" spans="1:1" x14ac:dyDescent="0.25">
      <c r="A362" t="s">
        <v>639</v>
      </c>
    </row>
    <row r="363" spans="1:1" x14ac:dyDescent="0.25">
      <c r="A363" t="s">
        <v>694</v>
      </c>
    </row>
    <row r="364" spans="1:1" x14ac:dyDescent="0.25">
      <c r="A364" t="s">
        <v>794</v>
      </c>
    </row>
    <row r="366" spans="1:1" x14ac:dyDescent="0.25">
      <c r="A366" t="s">
        <v>795</v>
      </c>
    </row>
    <row r="367" spans="1:1" x14ac:dyDescent="0.25">
      <c r="A367" t="s">
        <v>796</v>
      </c>
    </row>
    <row r="368" spans="1:1" x14ac:dyDescent="0.25">
      <c r="A368" t="s">
        <v>797</v>
      </c>
    </row>
    <row r="369" spans="1:1" x14ac:dyDescent="0.25">
      <c r="A369" t="s">
        <v>798</v>
      </c>
    </row>
    <row r="371" spans="1:1" x14ac:dyDescent="0.25">
      <c r="A371" t="s">
        <v>705</v>
      </c>
    </row>
    <row r="372" spans="1:1" x14ac:dyDescent="0.25">
      <c r="A372" t="s">
        <v>706</v>
      </c>
    </row>
    <row r="373" spans="1:1" x14ac:dyDescent="0.25">
      <c r="A373" t="s">
        <v>707</v>
      </c>
    </row>
    <row r="375" spans="1:1" x14ac:dyDescent="0.25">
      <c r="A375" t="s">
        <v>799</v>
      </c>
    </row>
    <row r="376" spans="1:1" x14ac:dyDescent="0.25">
      <c r="A376" t="s">
        <v>800</v>
      </c>
    </row>
    <row r="377" spans="1:1" x14ac:dyDescent="0.25">
      <c r="A377" t="s">
        <v>801</v>
      </c>
    </row>
    <row r="378" spans="1:1" x14ac:dyDescent="0.25">
      <c r="A378" t="s">
        <v>802</v>
      </c>
    </row>
    <row r="380" spans="1:1" x14ac:dyDescent="0.25">
      <c r="A380" t="s">
        <v>803</v>
      </c>
    </row>
    <row r="381" spans="1:1" x14ac:dyDescent="0.25">
      <c r="A381" t="s">
        <v>804</v>
      </c>
    </row>
    <row r="382" spans="1:1" x14ac:dyDescent="0.25">
      <c r="A382" t="s">
        <v>805</v>
      </c>
    </row>
    <row r="383" spans="1:1" x14ac:dyDescent="0.25">
      <c r="A383" t="s">
        <v>806</v>
      </c>
    </row>
    <row r="384" spans="1:1" x14ac:dyDescent="0.25">
      <c r="A384" t="s">
        <v>807</v>
      </c>
    </row>
    <row r="385" spans="1:1" x14ac:dyDescent="0.25">
      <c r="A385" t="s">
        <v>808</v>
      </c>
    </row>
    <row r="386" spans="1:1" x14ac:dyDescent="0.25">
      <c r="A386" t="s">
        <v>809</v>
      </c>
    </row>
    <row r="387" spans="1:1" x14ac:dyDescent="0.25">
      <c r="A387" t="s">
        <v>810</v>
      </c>
    </row>
    <row r="388" spans="1:1" x14ac:dyDescent="0.25">
      <c r="A388" t="s">
        <v>811</v>
      </c>
    </row>
    <row r="389" spans="1:1" x14ac:dyDescent="0.25">
      <c r="A389" t="s">
        <v>812</v>
      </c>
    </row>
    <row r="390" spans="1:1" x14ac:dyDescent="0.25">
      <c r="A390" t="s">
        <v>813</v>
      </c>
    </row>
    <row r="392" spans="1:1" x14ac:dyDescent="0.25">
      <c r="A392" t="s">
        <v>814</v>
      </c>
    </row>
    <row r="393" spans="1:1" x14ac:dyDescent="0.25">
      <c r="A393" t="s">
        <v>815</v>
      </c>
    </row>
    <row r="394" spans="1:1" x14ac:dyDescent="0.25">
      <c r="A394" t="s">
        <v>816</v>
      </c>
    </row>
    <row r="395" spans="1:1" x14ac:dyDescent="0.25">
      <c r="A395" t="s">
        <v>817</v>
      </c>
    </row>
    <row r="396" spans="1:1" x14ac:dyDescent="0.25">
      <c r="A396" t="s">
        <v>818</v>
      </c>
    </row>
    <row r="397" spans="1:1" x14ac:dyDescent="0.25">
      <c r="A397" t="s">
        <v>580</v>
      </c>
    </row>
    <row r="399" spans="1:1" x14ac:dyDescent="0.25">
      <c r="A399" t="s">
        <v>819</v>
      </c>
    </row>
    <row r="400" spans="1:1" x14ac:dyDescent="0.25">
      <c r="A400" t="s">
        <v>820</v>
      </c>
    </row>
    <row r="401" spans="1:1" x14ac:dyDescent="0.25">
      <c r="A401" t="s">
        <v>821</v>
      </c>
    </row>
    <row r="402" spans="1:1" x14ac:dyDescent="0.25">
      <c r="A402" t="s">
        <v>578</v>
      </c>
    </row>
    <row r="403" spans="1:1" x14ac:dyDescent="0.25">
      <c r="A403" t="s">
        <v>822</v>
      </c>
    </row>
    <row r="404" spans="1:1" x14ac:dyDescent="0.25">
      <c r="A404" t="s">
        <v>821</v>
      </c>
    </row>
    <row r="405" spans="1:1" x14ac:dyDescent="0.25">
      <c r="A405" t="s">
        <v>580</v>
      </c>
    </row>
    <row r="407" spans="1:1" x14ac:dyDescent="0.25">
      <c r="A407" t="s">
        <v>823</v>
      </c>
    </row>
    <row r="408" spans="1:1" x14ac:dyDescent="0.25">
      <c r="A408" t="s">
        <v>824</v>
      </c>
    </row>
    <row r="409" spans="1:1" x14ac:dyDescent="0.25">
      <c r="A409" t="s">
        <v>825</v>
      </c>
    </row>
    <row r="410" spans="1:1" x14ac:dyDescent="0.25">
      <c r="A410" t="s">
        <v>826</v>
      </c>
    </row>
    <row r="411" spans="1:1" x14ac:dyDescent="0.25">
      <c r="A411" t="s">
        <v>827</v>
      </c>
    </row>
    <row r="412" spans="1:1" x14ac:dyDescent="0.25">
      <c r="A412" t="s">
        <v>828</v>
      </c>
    </row>
    <row r="413" spans="1:1" x14ac:dyDescent="0.25">
      <c r="A413" t="s">
        <v>829</v>
      </c>
    </row>
    <row r="414" spans="1:1" x14ac:dyDescent="0.25">
      <c r="A414" t="s">
        <v>830</v>
      </c>
    </row>
    <row r="415" spans="1:1" x14ac:dyDescent="0.25">
      <c r="A415" t="s">
        <v>831</v>
      </c>
    </row>
    <row r="416" spans="1:1" x14ac:dyDescent="0.25">
      <c r="A416" t="s">
        <v>832</v>
      </c>
    </row>
    <row r="417" spans="1:1" x14ac:dyDescent="0.25">
      <c r="A417" t="s">
        <v>833</v>
      </c>
    </row>
    <row r="418" spans="1:1" x14ac:dyDescent="0.25">
      <c r="A418" t="s">
        <v>834</v>
      </c>
    </row>
    <row r="419" spans="1:1" x14ac:dyDescent="0.25">
      <c r="A419" t="s">
        <v>835</v>
      </c>
    </row>
    <row r="420" spans="1:1" x14ac:dyDescent="0.25">
      <c r="A420" t="s">
        <v>836</v>
      </c>
    </row>
    <row r="421" spans="1:1" x14ac:dyDescent="0.25">
      <c r="A421" t="s">
        <v>837</v>
      </c>
    </row>
    <row r="422" spans="1:1" x14ac:dyDescent="0.25">
      <c r="A422" t="s">
        <v>838</v>
      </c>
    </row>
    <row r="424" spans="1:1" x14ac:dyDescent="0.25">
      <c r="A424" t="s">
        <v>839</v>
      </c>
    </row>
    <row r="425" spans="1:1" x14ac:dyDescent="0.25">
      <c r="A425" t="s">
        <v>840</v>
      </c>
    </row>
    <row r="427" spans="1:1" x14ac:dyDescent="0.25">
      <c r="A427" t="s">
        <v>841</v>
      </c>
    </row>
    <row r="428" spans="1:1" x14ac:dyDescent="0.25">
      <c r="A428" t="s">
        <v>842</v>
      </c>
    </row>
    <row r="429" spans="1:1" x14ac:dyDescent="0.25">
      <c r="A429" t="s">
        <v>843</v>
      </c>
    </row>
    <row r="431" spans="1:1" x14ac:dyDescent="0.25">
      <c r="A431" t="s">
        <v>844</v>
      </c>
    </row>
    <row r="432" spans="1:1" x14ac:dyDescent="0.25">
      <c r="A432" t="s">
        <v>845</v>
      </c>
    </row>
    <row r="433" spans="1:1" x14ac:dyDescent="0.25">
      <c r="A433" t="s">
        <v>846</v>
      </c>
    </row>
    <row r="434" spans="1:1" x14ac:dyDescent="0.25">
      <c r="A434" t="s">
        <v>847</v>
      </c>
    </row>
    <row r="435" spans="1:1" x14ac:dyDescent="0.25">
      <c r="A435" t="s">
        <v>848</v>
      </c>
    </row>
    <row r="436" spans="1:1" x14ac:dyDescent="0.25">
      <c r="A436" t="s">
        <v>666</v>
      </c>
    </row>
    <row r="438" spans="1:1" x14ac:dyDescent="0.25">
      <c r="A438" t="s">
        <v>849</v>
      </c>
    </row>
    <row r="439" spans="1:1" x14ac:dyDescent="0.25">
      <c r="A439" t="s">
        <v>850</v>
      </c>
    </row>
    <row r="440" spans="1:1" x14ac:dyDescent="0.25">
      <c r="A440" t="s">
        <v>851</v>
      </c>
    </row>
    <row r="441" spans="1:1" x14ac:dyDescent="0.25">
      <c r="A441" t="s">
        <v>852</v>
      </c>
    </row>
    <row r="442" spans="1:1" x14ac:dyDescent="0.25">
      <c r="A442" t="s">
        <v>853</v>
      </c>
    </row>
    <row r="444" spans="1:1" x14ac:dyDescent="0.25">
      <c r="A444" t="s">
        <v>854</v>
      </c>
    </row>
    <row r="445" spans="1:1" x14ac:dyDescent="0.25">
      <c r="A445" t="s">
        <v>855</v>
      </c>
    </row>
    <row r="446" spans="1:1" x14ac:dyDescent="0.25">
      <c r="A446" t="s">
        <v>856</v>
      </c>
    </row>
    <row r="447" spans="1:1" x14ac:dyDescent="0.25">
      <c r="A447" t="s">
        <v>857</v>
      </c>
    </row>
    <row r="448" spans="1:1" x14ac:dyDescent="0.25">
      <c r="A448" t="s">
        <v>858</v>
      </c>
    </row>
    <row r="449" spans="1:1" x14ac:dyDescent="0.25">
      <c r="A449" t="s">
        <v>859</v>
      </c>
    </row>
    <row r="450" spans="1:1" x14ac:dyDescent="0.25">
      <c r="A450" t="s">
        <v>860</v>
      </c>
    </row>
    <row r="452" spans="1:1" x14ac:dyDescent="0.25">
      <c r="A452" t="s">
        <v>861</v>
      </c>
    </row>
    <row r="453" spans="1:1" x14ac:dyDescent="0.25">
      <c r="A453" t="s">
        <v>862</v>
      </c>
    </row>
    <row r="454" spans="1:1" x14ac:dyDescent="0.25">
      <c r="A454" t="s">
        <v>863</v>
      </c>
    </row>
    <row r="455" spans="1:1" x14ac:dyDescent="0.25">
      <c r="A455" t="s">
        <v>580</v>
      </c>
    </row>
    <row r="456" spans="1:1" x14ac:dyDescent="0.25">
      <c r="A456" t="s">
        <v>864</v>
      </c>
    </row>
    <row r="457" spans="1:1" x14ac:dyDescent="0.25">
      <c r="A457" t="s">
        <v>865</v>
      </c>
    </row>
    <row r="458" spans="1:1" x14ac:dyDescent="0.25">
      <c r="A458" t="s">
        <v>580</v>
      </c>
    </row>
    <row r="460" spans="1:1" x14ac:dyDescent="0.25">
      <c r="A460" t="s">
        <v>866</v>
      </c>
    </row>
    <row r="461" spans="1:1" x14ac:dyDescent="0.25">
      <c r="A461" t="s">
        <v>779</v>
      </c>
    </row>
    <row r="462" spans="1:1" x14ac:dyDescent="0.25">
      <c r="A462" t="s">
        <v>867</v>
      </c>
    </row>
    <row r="463" spans="1:1" x14ac:dyDescent="0.25">
      <c r="A463" t="s">
        <v>868</v>
      </c>
    </row>
    <row r="464" spans="1:1" x14ac:dyDescent="0.25">
      <c r="A464" t="s">
        <v>869</v>
      </c>
    </row>
    <row r="465" spans="1:1" x14ac:dyDescent="0.25">
      <c r="A465" t="s">
        <v>870</v>
      </c>
    </row>
    <row r="466" spans="1:1" x14ac:dyDescent="0.25">
      <c r="A466" t="s">
        <v>871</v>
      </c>
    </row>
    <row r="467" spans="1:1" x14ac:dyDescent="0.25">
      <c r="A467" t="s">
        <v>818</v>
      </c>
    </row>
    <row r="468" spans="1:1" x14ac:dyDescent="0.25">
      <c r="A468" t="s">
        <v>580</v>
      </c>
    </row>
    <row r="470" spans="1:1" x14ac:dyDescent="0.25">
      <c r="A470" t="s">
        <v>872</v>
      </c>
    </row>
    <row r="471" spans="1:1" x14ac:dyDescent="0.25">
      <c r="A471" t="s">
        <v>873</v>
      </c>
    </row>
    <row r="472" spans="1:1" x14ac:dyDescent="0.25">
      <c r="A472" t="s">
        <v>874</v>
      </c>
    </row>
    <row r="474" spans="1:1" x14ac:dyDescent="0.25">
      <c r="A474" t="s">
        <v>875</v>
      </c>
    </row>
    <row r="475" spans="1:1" x14ac:dyDescent="0.25">
      <c r="A475" t="s">
        <v>876</v>
      </c>
    </row>
    <row r="477" spans="1:1" x14ac:dyDescent="0.25">
      <c r="A477" t="s">
        <v>877</v>
      </c>
    </row>
    <row r="478" spans="1:1" x14ac:dyDescent="0.25">
      <c r="A478" t="s">
        <v>878</v>
      </c>
    </row>
    <row r="479" spans="1:1" x14ac:dyDescent="0.25">
      <c r="A479" t="s">
        <v>879</v>
      </c>
    </row>
    <row r="480" spans="1:1" x14ac:dyDescent="0.25">
      <c r="A480" t="s">
        <v>880</v>
      </c>
    </row>
    <row r="481" spans="1:1" x14ac:dyDescent="0.25">
      <c r="A481" t="s">
        <v>881</v>
      </c>
    </row>
    <row r="482" spans="1:1" x14ac:dyDescent="0.25">
      <c r="A482" t="s">
        <v>882</v>
      </c>
    </row>
    <row r="483" spans="1:1" x14ac:dyDescent="0.25">
      <c r="A483" t="s">
        <v>883</v>
      </c>
    </row>
    <row r="484" spans="1:1" x14ac:dyDescent="0.25">
      <c r="A484" t="s">
        <v>884</v>
      </c>
    </row>
    <row r="485" spans="1:1" x14ac:dyDescent="0.25">
      <c r="A485" t="s">
        <v>885</v>
      </c>
    </row>
    <row r="486" spans="1:1" x14ac:dyDescent="0.25">
      <c r="A486" t="s">
        <v>886</v>
      </c>
    </row>
    <row r="487" spans="1:1" x14ac:dyDescent="0.25">
      <c r="A487" t="s">
        <v>887</v>
      </c>
    </row>
    <row r="488" spans="1:1" x14ac:dyDescent="0.25">
      <c r="A488" t="s">
        <v>888</v>
      </c>
    </row>
    <row r="489" spans="1:1" x14ac:dyDescent="0.25">
      <c r="A489" t="s">
        <v>889</v>
      </c>
    </row>
    <row r="490" spans="1:1" x14ac:dyDescent="0.25">
      <c r="A490" t="s">
        <v>890</v>
      </c>
    </row>
    <row r="491" spans="1:1" x14ac:dyDescent="0.25">
      <c r="A491" t="s">
        <v>891</v>
      </c>
    </row>
    <row r="492" spans="1:1" x14ac:dyDescent="0.25">
      <c r="A492" t="s">
        <v>892</v>
      </c>
    </row>
    <row r="494" spans="1:1" x14ac:dyDescent="0.25">
      <c r="A494" t="s">
        <v>893</v>
      </c>
    </row>
    <row r="495" spans="1:1" x14ac:dyDescent="0.25">
      <c r="A495" t="s">
        <v>894</v>
      </c>
    </row>
    <row r="496" spans="1:1" x14ac:dyDescent="0.25">
      <c r="A496" t="s">
        <v>895</v>
      </c>
    </row>
    <row r="498" spans="1:1" x14ac:dyDescent="0.25">
      <c r="A498" t="s">
        <v>896</v>
      </c>
    </row>
    <row r="499" spans="1:1" x14ac:dyDescent="0.25">
      <c r="A499" t="s">
        <v>897</v>
      </c>
    </row>
    <row r="500" spans="1:1" x14ac:dyDescent="0.25">
      <c r="A500" t="s">
        <v>898</v>
      </c>
    </row>
    <row r="501" spans="1:1" x14ac:dyDescent="0.25">
      <c r="A501" t="s">
        <v>899</v>
      </c>
    </row>
    <row r="502" spans="1:1" x14ac:dyDescent="0.25">
      <c r="A502" t="s">
        <v>900</v>
      </c>
    </row>
    <row r="503" spans="1:1" x14ac:dyDescent="0.25">
      <c r="A503" t="s">
        <v>901</v>
      </c>
    </row>
    <row r="504" spans="1:1" x14ac:dyDescent="0.25">
      <c r="A504" t="s">
        <v>902</v>
      </c>
    </row>
    <row r="506" spans="1:1" x14ac:dyDescent="0.25">
      <c r="A506" t="s">
        <v>903</v>
      </c>
    </row>
    <row r="507" spans="1:1" x14ac:dyDescent="0.25">
      <c r="A507" t="s">
        <v>904</v>
      </c>
    </row>
    <row r="508" spans="1:1" x14ac:dyDescent="0.25">
      <c r="A508" t="s">
        <v>905</v>
      </c>
    </row>
    <row r="509" spans="1:1" x14ac:dyDescent="0.25">
      <c r="A509" t="s">
        <v>906</v>
      </c>
    </row>
    <row r="510" spans="1:1" x14ac:dyDescent="0.25">
      <c r="A510" t="s">
        <v>666</v>
      </c>
    </row>
    <row r="512" spans="1:1" x14ac:dyDescent="0.25">
      <c r="A512" t="s">
        <v>907</v>
      </c>
    </row>
    <row r="513" spans="1:1" x14ac:dyDescent="0.25">
      <c r="A513" t="s">
        <v>908</v>
      </c>
    </row>
    <row r="514" spans="1:1" x14ac:dyDescent="0.25">
      <c r="A514" t="s">
        <v>909</v>
      </c>
    </row>
    <row r="515" spans="1:1" x14ac:dyDescent="0.25">
      <c r="A515" t="s">
        <v>910</v>
      </c>
    </row>
    <row r="516" spans="1:1" x14ac:dyDescent="0.25">
      <c r="A516" t="s">
        <v>911</v>
      </c>
    </row>
    <row r="517" spans="1:1" x14ac:dyDescent="0.25">
      <c r="A517" t="s">
        <v>912</v>
      </c>
    </row>
    <row r="518" spans="1:1" x14ac:dyDescent="0.25">
      <c r="A518" t="s">
        <v>913</v>
      </c>
    </row>
    <row r="519" spans="1:1" x14ac:dyDescent="0.25">
      <c r="A519" t="s">
        <v>914</v>
      </c>
    </row>
    <row r="520" spans="1:1" x14ac:dyDescent="0.25">
      <c r="A520" t="s">
        <v>915</v>
      </c>
    </row>
    <row r="521" spans="1:1" x14ac:dyDescent="0.25">
      <c r="A521" t="s">
        <v>916</v>
      </c>
    </row>
    <row r="522" spans="1:1" x14ac:dyDescent="0.25">
      <c r="A522" t="s">
        <v>917</v>
      </c>
    </row>
    <row r="523" spans="1:1" x14ac:dyDescent="0.25">
      <c r="A523" t="s">
        <v>918</v>
      </c>
    </row>
    <row r="524" spans="1:1" x14ac:dyDescent="0.25">
      <c r="A524" t="s">
        <v>919</v>
      </c>
    </row>
    <row r="525" spans="1:1" x14ac:dyDescent="0.25">
      <c r="A525" t="s">
        <v>639</v>
      </c>
    </row>
    <row r="526" spans="1:1" x14ac:dyDescent="0.25">
      <c r="A526" t="s">
        <v>578</v>
      </c>
    </row>
    <row r="527" spans="1:1" x14ac:dyDescent="0.25">
      <c r="A527" t="s">
        <v>920</v>
      </c>
    </row>
    <row r="528" spans="1:1" x14ac:dyDescent="0.25">
      <c r="A528" t="s">
        <v>921</v>
      </c>
    </row>
    <row r="529" spans="1:1" x14ac:dyDescent="0.25">
      <c r="A529" t="s">
        <v>922</v>
      </c>
    </row>
    <row r="530" spans="1:1" x14ac:dyDescent="0.25">
      <c r="A530" t="s">
        <v>923</v>
      </c>
    </row>
    <row r="531" spans="1:1" x14ac:dyDescent="0.25">
      <c r="A531" t="s">
        <v>580</v>
      </c>
    </row>
    <row r="532" spans="1:1" x14ac:dyDescent="0.25">
      <c r="A532" t="s">
        <v>583</v>
      </c>
    </row>
    <row r="534" spans="1:1" x14ac:dyDescent="0.25">
      <c r="A534" t="s">
        <v>924</v>
      </c>
    </row>
    <row r="535" spans="1:1" x14ac:dyDescent="0.25">
      <c r="A535" t="s">
        <v>925</v>
      </c>
    </row>
    <row r="536" spans="1:1" x14ac:dyDescent="0.25">
      <c r="A536" t="s">
        <v>926</v>
      </c>
    </row>
    <row r="537" spans="1:1" x14ac:dyDescent="0.25">
      <c r="A537" t="s">
        <v>927</v>
      </c>
    </row>
    <row r="538" spans="1:1" x14ac:dyDescent="0.25">
      <c r="A538" t="s">
        <v>928</v>
      </c>
    </row>
    <row r="539" spans="1:1" x14ac:dyDescent="0.25">
      <c r="A539" t="s">
        <v>929</v>
      </c>
    </row>
    <row r="540" spans="1:1" x14ac:dyDescent="0.25">
      <c r="A540" t="s">
        <v>930</v>
      </c>
    </row>
    <row r="541" spans="1:1" x14ac:dyDescent="0.25">
      <c r="A541" t="s">
        <v>931</v>
      </c>
    </row>
    <row r="543" spans="1:1" x14ac:dyDescent="0.25">
      <c r="A543" t="s">
        <v>932</v>
      </c>
    </row>
    <row r="544" spans="1:1" x14ac:dyDescent="0.25">
      <c r="A544" t="s">
        <v>732</v>
      </c>
    </row>
    <row r="545" spans="1:1" x14ac:dyDescent="0.25">
      <c r="A545" t="s">
        <v>790</v>
      </c>
    </row>
    <row r="546" spans="1:1" x14ac:dyDescent="0.25">
      <c r="A546" t="s">
        <v>688</v>
      </c>
    </row>
    <row r="547" spans="1:1" x14ac:dyDescent="0.25">
      <c r="A547" t="s">
        <v>933</v>
      </c>
    </row>
    <row r="548" spans="1:1" x14ac:dyDescent="0.25">
      <c r="A548" t="s">
        <v>934</v>
      </c>
    </row>
    <row r="550" spans="1:1" x14ac:dyDescent="0.25">
      <c r="A550" t="s">
        <v>935</v>
      </c>
    </row>
    <row r="551" spans="1:1" x14ac:dyDescent="0.25">
      <c r="A551" t="s">
        <v>936</v>
      </c>
    </row>
    <row r="552" spans="1:1" x14ac:dyDescent="0.25">
      <c r="A552" t="s">
        <v>937</v>
      </c>
    </row>
    <row r="554" spans="1:1" x14ac:dyDescent="0.25">
      <c r="A554" t="s">
        <v>938</v>
      </c>
    </row>
    <row r="555" spans="1:1" x14ac:dyDescent="0.25">
      <c r="A555" t="s">
        <v>939</v>
      </c>
    </row>
    <row r="556" spans="1:1" x14ac:dyDescent="0.25">
      <c r="A556" t="s">
        <v>940</v>
      </c>
    </row>
    <row r="557" spans="1:1" x14ac:dyDescent="0.25">
      <c r="A557" t="s">
        <v>941</v>
      </c>
    </row>
    <row r="558" spans="1:1" x14ac:dyDescent="0.25">
      <c r="A558" t="s">
        <v>942</v>
      </c>
    </row>
    <row r="559" spans="1:1" x14ac:dyDescent="0.25">
      <c r="A559" t="s">
        <v>578</v>
      </c>
    </row>
    <row r="560" spans="1:1" x14ac:dyDescent="0.25">
      <c r="A560" t="s">
        <v>943</v>
      </c>
    </row>
    <row r="561" spans="1:1" x14ac:dyDescent="0.25">
      <c r="A561" t="s">
        <v>944</v>
      </c>
    </row>
    <row r="562" spans="1:1" x14ac:dyDescent="0.25">
      <c r="A562" t="s">
        <v>945</v>
      </c>
    </row>
    <row r="563" spans="1:1" x14ac:dyDescent="0.25">
      <c r="A563" t="s">
        <v>946</v>
      </c>
    </row>
    <row r="564" spans="1:1" x14ac:dyDescent="0.25">
      <c r="A564" t="s">
        <v>947</v>
      </c>
    </row>
    <row r="565" spans="1:1" x14ac:dyDescent="0.25">
      <c r="A565" t="s">
        <v>915</v>
      </c>
    </row>
    <row r="566" spans="1:1" x14ac:dyDescent="0.25">
      <c r="A566" t="s">
        <v>948</v>
      </c>
    </row>
    <row r="567" spans="1:1" x14ac:dyDescent="0.25">
      <c r="A567" t="s">
        <v>949</v>
      </c>
    </row>
    <row r="568" spans="1:1" x14ac:dyDescent="0.25">
      <c r="A568" t="s">
        <v>950</v>
      </c>
    </row>
    <row r="569" spans="1:1" x14ac:dyDescent="0.25">
      <c r="A569" t="s">
        <v>639</v>
      </c>
    </row>
    <row r="570" spans="1:1" x14ac:dyDescent="0.25">
      <c r="A570" t="s">
        <v>580</v>
      </c>
    </row>
    <row r="572" spans="1:1" x14ac:dyDescent="0.25">
      <c r="A572" t="s">
        <v>951</v>
      </c>
    </row>
    <row r="573" spans="1:1" x14ac:dyDescent="0.25">
      <c r="A573" t="s">
        <v>952</v>
      </c>
    </row>
    <row r="574" spans="1:1" x14ac:dyDescent="0.25">
      <c r="A574" t="s">
        <v>953</v>
      </c>
    </row>
    <row r="575" spans="1:1" x14ac:dyDescent="0.25">
      <c r="A575" t="s">
        <v>954</v>
      </c>
    </row>
    <row r="576" spans="1:1" x14ac:dyDescent="0.25">
      <c r="A576" t="s">
        <v>955</v>
      </c>
    </row>
    <row r="577" spans="1:1" x14ac:dyDescent="0.25">
      <c r="A577" t="s">
        <v>956</v>
      </c>
    </row>
    <row r="578" spans="1:1" x14ac:dyDescent="0.25">
      <c r="A578" t="s">
        <v>957</v>
      </c>
    </row>
    <row r="579" spans="1:1" x14ac:dyDescent="0.25">
      <c r="A579" t="s">
        <v>958</v>
      </c>
    </row>
    <row r="581" spans="1:1" x14ac:dyDescent="0.25">
      <c r="A581" t="s">
        <v>959</v>
      </c>
    </row>
    <row r="582" spans="1:1" x14ac:dyDescent="0.25">
      <c r="A582" t="s">
        <v>960</v>
      </c>
    </row>
    <row r="583" spans="1:1" x14ac:dyDescent="0.25">
      <c r="A583" t="s">
        <v>961</v>
      </c>
    </row>
    <row r="584" spans="1:1" x14ac:dyDescent="0.25">
      <c r="A584" t="s">
        <v>962</v>
      </c>
    </row>
    <row r="585" spans="1:1" x14ac:dyDescent="0.25">
      <c r="A585" t="s">
        <v>963</v>
      </c>
    </row>
    <row r="586" spans="1:1" x14ac:dyDescent="0.25">
      <c r="A586" t="s">
        <v>964</v>
      </c>
    </row>
    <row r="587" spans="1:1" x14ac:dyDescent="0.25">
      <c r="A587" t="s">
        <v>965</v>
      </c>
    </row>
    <row r="588" spans="1:1" x14ac:dyDescent="0.25">
      <c r="A588" t="s">
        <v>966</v>
      </c>
    </row>
    <row r="589" spans="1:1" x14ac:dyDescent="0.25">
      <c r="A589" t="s">
        <v>967</v>
      </c>
    </row>
    <row r="590" spans="1:1" x14ac:dyDescent="0.25">
      <c r="A590" t="s">
        <v>968</v>
      </c>
    </row>
    <row r="592" spans="1:1" x14ac:dyDescent="0.25">
      <c r="A592" t="s">
        <v>969</v>
      </c>
    </row>
    <row r="593" spans="1:1" x14ac:dyDescent="0.25">
      <c r="A593" t="s">
        <v>970</v>
      </c>
    </row>
    <row r="594" spans="1:1" x14ac:dyDescent="0.25">
      <c r="A594" t="s">
        <v>971</v>
      </c>
    </row>
    <row r="595" spans="1:1" x14ac:dyDescent="0.25">
      <c r="A595" t="s">
        <v>972</v>
      </c>
    </row>
    <row r="596" spans="1:1" x14ac:dyDescent="0.25">
      <c r="A596" t="s">
        <v>973</v>
      </c>
    </row>
    <row r="597" spans="1:1" x14ac:dyDescent="0.25">
      <c r="A597" t="s">
        <v>974</v>
      </c>
    </row>
    <row r="598" spans="1:1" x14ac:dyDescent="0.25">
      <c r="A598" t="s">
        <v>580</v>
      </c>
    </row>
    <row r="599" spans="1:1" x14ac:dyDescent="0.25">
      <c r="A599" t="s">
        <v>975</v>
      </c>
    </row>
    <row r="601" spans="1:1" x14ac:dyDescent="0.25">
      <c r="A601" t="s">
        <v>976</v>
      </c>
    </row>
    <row r="602" spans="1:1" x14ac:dyDescent="0.25">
      <c r="A602" t="s">
        <v>977</v>
      </c>
    </row>
    <row r="603" spans="1:1" x14ac:dyDescent="0.25">
      <c r="A603" t="s">
        <v>978</v>
      </c>
    </row>
    <row r="604" spans="1:1" x14ac:dyDescent="0.25">
      <c r="A604" t="s">
        <v>979</v>
      </c>
    </row>
    <row r="605" spans="1:1" x14ac:dyDescent="0.25">
      <c r="A605" t="s">
        <v>980</v>
      </c>
    </row>
    <row r="607" spans="1:1" x14ac:dyDescent="0.25">
      <c r="A607" t="s">
        <v>981</v>
      </c>
    </row>
    <row r="608" spans="1:1" x14ac:dyDescent="0.25">
      <c r="A608" t="s">
        <v>982</v>
      </c>
    </row>
    <row r="609" spans="1:1" x14ac:dyDescent="0.25">
      <c r="A609" t="s">
        <v>983</v>
      </c>
    </row>
    <row r="611" spans="1:1" x14ac:dyDescent="0.25">
      <c r="A611" t="s">
        <v>984</v>
      </c>
    </row>
    <row r="612" spans="1:1" x14ac:dyDescent="0.25">
      <c r="A612" t="s">
        <v>985</v>
      </c>
    </row>
    <row r="613" spans="1:1" x14ac:dyDescent="0.25">
      <c r="A613" t="s">
        <v>986</v>
      </c>
    </row>
    <row r="614" spans="1:1" x14ac:dyDescent="0.25">
      <c r="A614" t="s">
        <v>987</v>
      </c>
    </row>
    <row r="615" spans="1:1" x14ac:dyDescent="0.25">
      <c r="A615" t="s">
        <v>988</v>
      </c>
    </row>
    <row r="616" spans="1:1" x14ac:dyDescent="0.25">
      <c r="A616" t="s">
        <v>989</v>
      </c>
    </row>
    <row r="617" spans="1:1" x14ac:dyDescent="0.25">
      <c r="A617" t="s">
        <v>990</v>
      </c>
    </row>
    <row r="618" spans="1:1" x14ac:dyDescent="0.25">
      <c r="A618" t="s">
        <v>991</v>
      </c>
    </row>
    <row r="619" spans="1:1" x14ac:dyDescent="0.25">
      <c r="A619" t="s">
        <v>992</v>
      </c>
    </row>
    <row r="620" spans="1:1" x14ac:dyDescent="0.25">
      <c r="A620" t="s">
        <v>993</v>
      </c>
    </row>
    <row r="621" spans="1:1" x14ac:dyDescent="0.25">
      <c r="A621" t="s">
        <v>994</v>
      </c>
    </row>
    <row r="622" spans="1:1" x14ac:dyDescent="0.25">
      <c r="A622" t="s">
        <v>995</v>
      </c>
    </row>
    <row r="624" spans="1:1" x14ac:dyDescent="0.25">
      <c r="A624" t="s">
        <v>996</v>
      </c>
    </row>
    <row r="625" spans="1:1" x14ac:dyDescent="0.25">
      <c r="A625" t="s">
        <v>997</v>
      </c>
    </row>
    <row r="626" spans="1:1" x14ac:dyDescent="0.25">
      <c r="A626" t="s">
        <v>998</v>
      </c>
    </row>
    <row r="627" spans="1:1" x14ac:dyDescent="0.25">
      <c r="A627" t="s">
        <v>999</v>
      </c>
    </row>
    <row r="628" spans="1:1" x14ac:dyDescent="0.25">
      <c r="A628" t="s">
        <v>1000</v>
      </c>
    </row>
    <row r="629" spans="1:1" x14ac:dyDescent="0.25">
      <c r="A629" t="s">
        <v>1001</v>
      </c>
    </row>
    <row r="630" spans="1:1" x14ac:dyDescent="0.25">
      <c r="A630" t="s">
        <v>1002</v>
      </c>
    </row>
    <row r="631" spans="1:1" x14ac:dyDescent="0.25">
      <c r="A631" t="s">
        <v>1003</v>
      </c>
    </row>
    <row r="632" spans="1:1" x14ac:dyDescent="0.25">
      <c r="A632" t="s">
        <v>1004</v>
      </c>
    </row>
    <row r="633" spans="1:1" x14ac:dyDescent="0.25">
      <c r="A633" t="s">
        <v>1005</v>
      </c>
    </row>
    <row r="634" spans="1:1" x14ac:dyDescent="0.25">
      <c r="A634" t="s">
        <v>1006</v>
      </c>
    </row>
    <row r="635" spans="1:1" x14ac:dyDescent="0.25">
      <c r="A635" t="s">
        <v>1007</v>
      </c>
    </row>
    <row r="636" spans="1:1" x14ac:dyDescent="0.25">
      <c r="A636" t="s">
        <v>1008</v>
      </c>
    </row>
    <row r="637" spans="1:1" x14ac:dyDescent="0.25">
      <c r="A637" t="s">
        <v>1009</v>
      </c>
    </row>
    <row r="638" spans="1:1" x14ac:dyDescent="0.25">
      <c r="A638" t="s">
        <v>1010</v>
      </c>
    </row>
    <row r="639" spans="1:1" x14ac:dyDescent="0.25">
      <c r="A639" t="s">
        <v>1011</v>
      </c>
    </row>
    <row r="640" spans="1:1" x14ac:dyDescent="0.25">
      <c r="A640" t="s">
        <v>1012</v>
      </c>
    </row>
    <row r="641" spans="1:1" x14ac:dyDescent="0.25">
      <c r="A641" t="s">
        <v>1000</v>
      </c>
    </row>
    <row r="642" spans="1:1" x14ac:dyDescent="0.25">
      <c r="A642" t="s">
        <v>1013</v>
      </c>
    </row>
    <row r="643" spans="1:1" x14ac:dyDescent="0.25">
      <c r="A643" t="s">
        <v>1002</v>
      </c>
    </row>
    <row r="644" spans="1:1" x14ac:dyDescent="0.25">
      <c r="A644" t="s">
        <v>1003</v>
      </c>
    </row>
    <row r="645" spans="1:1" x14ac:dyDescent="0.25">
      <c r="A645" t="s">
        <v>1004</v>
      </c>
    </row>
    <row r="646" spans="1:1" x14ac:dyDescent="0.25">
      <c r="A646" t="s">
        <v>1014</v>
      </c>
    </row>
    <row r="647" spans="1:1" x14ac:dyDescent="0.25">
      <c r="A647" t="s">
        <v>1006</v>
      </c>
    </row>
    <row r="648" spans="1:1" x14ac:dyDescent="0.25">
      <c r="A648" t="s">
        <v>1015</v>
      </c>
    </row>
    <row r="649" spans="1:1" x14ac:dyDescent="0.25">
      <c r="A649" t="s">
        <v>1008</v>
      </c>
    </row>
    <row r="650" spans="1:1" x14ac:dyDescent="0.25">
      <c r="A650" t="s">
        <v>1016</v>
      </c>
    </row>
    <row r="651" spans="1:1" x14ac:dyDescent="0.25">
      <c r="A651" t="s">
        <v>1010</v>
      </c>
    </row>
    <row r="652" spans="1:1" x14ac:dyDescent="0.25">
      <c r="A652" t="s">
        <v>580</v>
      </c>
    </row>
    <row r="654" spans="1:1" x14ac:dyDescent="0.25">
      <c r="A654" t="s">
        <v>1017</v>
      </c>
    </row>
    <row r="655" spans="1:1" x14ac:dyDescent="0.25">
      <c r="A655" t="s">
        <v>1018</v>
      </c>
    </row>
    <row r="656" spans="1:1" x14ac:dyDescent="0.25">
      <c r="A656" t="s">
        <v>1019</v>
      </c>
    </row>
    <row r="657" spans="1:1" x14ac:dyDescent="0.25">
      <c r="A657" t="s">
        <v>1020</v>
      </c>
    </row>
    <row r="658" spans="1:1" x14ac:dyDescent="0.25">
      <c r="A658" t="s">
        <v>1021</v>
      </c>
    </row>
    <row r="659" spans="1:1" x14ac:dyDescent="0.25">
      <c r="A659" t="s">
        <v>1022</v>
      </c>
    </row>
    <row r="660" spans="1:1" x14ac:dyDescent="0.25">
      <c r="A660" t="s">
        <v>1023</v>
      </c>
    </row>
    <row r="661" spans="1:1" x14ac:dyDescent="0.25">
      <c r="A661" t="s">
        <v>1024</v>
      </c>
    </row>
    <row r="662" spans="1:1" x14ac:dyDescent="0.25">
      <c r="A662" t="s">
        <v>1025</v>
      </c>
    </row>
    <row r="663" spans="1:1" x14ac:dyDescent="0.25">
      <c r="A663" t="s">
        <v>1026</v>
      </c>
    </row>
    <row r="665" spans="1:1" x14ac:dyDescent="0.25">
      <c r="A665" t="s">
        <v>1027</v>
      </c>
    </row>
    <row r="666" spans="1:1" x14ac:dyDescent="0.25">
      <c r="A666" t="s">
        <v>1028</v>
      </c>
    </row>
    <row r="667" spans="1:1" x14ac:dyDescent="0.25">
      <c r="A667" t="s">
        <v>1029</v>
      </c>
    </row>
    <row r="668" spans="1:1" x14ac:dyDescent="0.25">
      <c r="A668" t="s">
        <v>1030</v>
      </c>
    </row>
    <row r="669" spans="1:1" x14ac:dyDescent="0.25">
      <c r="A669" t="s">
        <v>1031</v>
      </c>
    </row>
    <row r="670" spans="1:1" x14ac:dyDescent="0.25">
      <c r="A670" t="s">
        <v>1032</v>
      </c>
    </row>
    <row r="671" spans="1:1" x14ac:dyDescent="0.25">
      <c r="A671" t="s">
        <v>1033</v>
      </c>
    </row>
    <row r="672" spans="1:1" x14ac:dyDescent="0.25">
      <c r="A672" t="s">
        <v>1034</v>
      </c>
    </row>
    <row r="673" spans="1:1" x14ac:dyDescent="0.25">
      <c r="A673" t="s">
        <v>666</v>
      </c>
    </row>
    <row r="675" spans="1:1" x14ac:dyDescent="0.25">
      <c r="A675" t="s">
        <v>1035</v>
      </c>
    </row>
    <row r="676" spans="1:1" x14ac:dyDescent="0.25">
      <c r="A676" t="s">
        <v>1036</v>
      </c>
    </row>
    <row r="677" spans="1:1" x14ac:dyDescent="0.25">
      <c r="A677" t="s">
        <v>1037</v>
      </c>
    </row>
    <row r="678" spans="1:1" x14ac:dyDescent="0.25">
      <c r="A678" t="s">
        <v>1038</v>
      </c>
    </row>
    <row r="679" spans="1:1" x14ac:dyDescent="0.25">
      <c r="A679" t="s">
        <v>1039</v>
      </c>
    </row>
    <row r="680" spans="1:1" x14ac:dyDescent="0.25">
      <c r="A680" t="s">
        <v>1040</v>
      </c>
    </row>
    <row r="681" spans="1:1" x14ac:dyDescent="0.25">
      <c r="A681" t="s">
        <v>688</v>
      </c>
    </row>
    <row r="682" spans="1:1" x14ac:dyDescent="0.25">
      <c r="A682" t="s">
        <v>778</v>
      </c>
    </row>
    <row r="683" spans="1:1" x14ac:dyDescent="0.25">
      <c r="A683" t="s">
        <v>785</v>
      </c>
    </row>
    <row r="684" spans="1:1" x14ac:dyDescent="0.25">
      <c r="A684" t="s">
        <v>705</v>
      </c>
    </row>
    <row r="685" spans="1:1" x14ac:dyDescent="0.25">
      <c r="A685" t="s">
        <v>706</v>
      </c>
    </row>
    <row r="686" spans="1:1" x14ac:dyDescent="0.25">
      <c r="A686" t="s">
        <v>1041</v>
      </c>
    </row>
    <row r="687" spans="1:1" x14ac:dyDescent="0.25">
      <c r="A687" t="s">
        <v>1042</v>
      </c>
    </row>
    <row r="688" spans="1:1" x14ac:dyDescent="0.25">
      <c r="A688" t="s">
        <v>580</v>
      </c>
    </row>
    <row r="689" spans="1:1" x14ac:dyDescent="0.25">
      <c r="A689" t="s">
        <v>1043</v>
      </c>
    </row>
    <row r="690" spans="1:1" x14ac:dyDescent="0.25">
      <c r="A690" t="s">
        <v>782</v>
      </c>
    </row>
    <row r="691" spans="1:1" x14ac:dyDescent="0.25">
      <c r="A691" t="s">
        <v>800</v>
      </c>
    </row>
    <row r="692" spans="1:1" x14ac:dyDescent="0.25">
      <c r="A692" t="s">
        <v>1044</v>
      </c>
    </row>
    <row r="693" spans="1:1" x14ac:dyDescent="0.25">
      <c r="A693" t="s">
        <v>1045</v>
      </c>
    </row>
    <row r="694" spans="1:1" x14ac:dyDescent="0.25">
      <c r="A694" t="s">
        <v>1046</v>
      </c>
    </row>
    <row r="695" spans="1:1" x14ac:dyDescent="0.25">
      <c r="A695" t="s">
        <v>1047</v>
      </c>
    </row>
    <row r="696" spans="1:1" x14ac:dyDescent="0.25">
      <c r="A696" t="s">
        <v>1048</v>
      </c>
    </row>
    <row r="697" spans="1:1" x14ac:dyDescent="0.25">
      <c r="A697" t="s">
        <v>1049</v>
      </c>
    </row>
    <row r="698" spans="1:1" x14ac:dyDescent="0.25">
      <c r="A698" t="s">
        <v>1050</v>
      </c>
    </row>
    <row r="699" spans="1:1" x14ac:dyDescent="0.25">
      <c r="A699" t="s">
        <v>666</v>
      </c>
    </row>
    <row r="701" spans="1:1" x14ac:dyDescent="0.25">
      <c r="A701" t="s">
        <v>1051</v>
      </c>
    </row>
    <row r="702" spans="1:1" x14ac:dyDescent="0.25">
      <c r="A702" t="s">
        <v>1052</v>
      </c>
    </row>
    <row r="703" spans="1:1" x14ac:dyDescent="0.25">
      <c r="A703" t="s">
        <v>1053</v>
      </c>
    </row>
    <row r="704" spans="1:1" x14ac:dyDescent="0.25">
      <c r="A704" t="s">
        <v>1054</v>
      </c>
    </row>
    <row r="705" spans="1:1" x14ac:dyDescent="0.25">
      <c r="A705" t="s">
        <v>1055</v>
      </c>
    </row>
    <row r="706" spans="1:1" x14ac:dyDescent="0.25">
      <c r="A706" t="s">
        <v>1056</v>
      </c>
    </row>
    <row r="707" spans="1:1" x14ac:dyDescent="0.25">
      <c r="A707" t="s">
        <v>1057</v>
      </c>
    </row>
    <row r="708" spans="1:1" x14ac:dyDescent="0.25">
      <c r="A708" t="s">
        <v>559</v>
      </c>
    </row>
    <row r="711" spans="1:1" x14ac:dyDescent="0.25">
      <c r="A711" s="150" t="s">
        <v>1058</v>
      </c>
    </row>
    <row r="712" spans="1:1" x14ac:dyDescent="0.25">
      <c r="A712" s="151" t="s">
        <v>1059</v>
      </c>
    </row>
    <row r="713" spans="1:1" x14ac:dyDescent="0.25">
      <c r="A713" s="151" t="s">
        <v>1060</v>
      </c>
    </row>
    <row r="714" spans="1:1" x14ac:dyDescent="0.25">
      <c r="A714" s="151" t="s">
        <v>1061</v>
      </c>
    </row>
    <row r="715" spans="1:1" x14ac:dyDescent="0.25">
      <c r="A715" s="151" t="s">
        <v>1062</v>
      </c>
    </row>
    <row r="716" spans="1:1" x14ac:dyDescent="0.25">
      <c r="A716" s="151" t="s">
        <v>1063</v>
      </c>
    </row>
    <row r="717" spans="1:1" x14ac:dyDescent="0.25">
      <c r="A717" s="151" t="s">
        <v>1064</v>
      </c>
    </row>
    <row r="718" spans="1:1" x14ac:dyDescent="0.25">
      <c r="A718" s="151" t="s">
        <v>1060</v>
      </c>
    </row>
    <row r="719" spans="1:1" x14ac:dyDescent="0.25">
      <c r="A719" s="151"/>
    </row>
    <row r="720" spans="1:1" x14ac:dyDescent="0.25">
      <c r="A720" s="151" t="s">
        <v>1065</v>
      </c>
    </row>
    <row r="721" spans="1:1" x14ac:dyDescent="0.25">
      <c r="A721" s="151" t="s">
        <v>1066</v>
      </c>
    </row>
    <row r="722" spans="1:1" x14ac:dyDescent="0.25">
      <c r="A722" s="151" t="s">
        <v>1067</v>
      </c>
    </row>
    <row r="723" spans="1:1" x14ac:dyDescent="0.25">
      <c r="A723" s="151" t="s">
        <v>1068</v>
      </c>
    </row>
    <row r="724" spans="1:1" x14ac:dyDescent="0.25">
      <c r="A724" s="151" t="s">
        <v>1069</v>
      </c>
    </row>
    <row r="725" spans="1:1" x14ac:dyDescent="0.25">
      <c r="A725" s="151" t="s">
        <v>1070</v>
      </c>
    </row>
    <row r="726" spans="1:1" x14ac:dyDescent="0.25">
      <c r="A726" s="151"/>
    </row>
    <row r="727" spans="1:1" x14ac:dyDescent="0.25">
      <c r="A727" s="151" t="s">
        <v>588</v>
      </c>
    </row>
    <row r="728" spans="1:1" x14ac:dyDescent="0.25">
      <c r="A728" s="151"/>
    </row>
    <row r="729" spans="1:1" x14ac:dyDescent="0.25">
      <c r="A729" s="151" t="s">
        <v>1071</v>
      </c>
    </row>
    <row r="730" spans="1:1" x14ac:dyDescent="0.25">
      <c r="A730" s="151" t="s">
        <v>1072</v>
      </c>
    </row>
    <row r="731" spans="1:1" x14ac:dyDescent="0.25">
      <c r="A731" s="151" t="s">
        <v>1073</v>
      </c>
    </row>
    <row r="732" spans="1:1" x14ac:dyDescent="0.25">
      <c r="A732" s="151"/>
    </row>
    <row r="733" spans="1:1" x14ac:dyDescent="0.25">
      <c r="A733" s="151" t="s">
        <v>1074</v>
      </c>
    </row>
    <row r="734" spans="1:1" x14ac:dyDescent="0.25">
      <c r="A734" s="151" t="s">
        <v>1075</v>
      </c>
    </row>
    <row r="735" spans="1:1" x14ac:dyDescent="0.25">
      <c r="A735" s="151" t="s">
        <v>1076</v>
      </c>
    </row>
    <row r="736" spans="1:1" x14ac:dyDescent="0.25">
      <c r="A736" s="151"/>
    </row>
    <row r="737" spans="1:1" x14ac:dyDescent="0.25">
      <c r="A737" s="151" t="s">
        <v>1077</v>
      </c>
    </row>
    <row r="738" spans="1:1" x14ac:dyDescent="0.25">
      <c r="A738" s="151" t="s">
        <v>1078</v>
      </c>
    </row>
    <row r="739" spans="1:1" x14ac:dyDescent="0.25">
      <c r="A739" s="151" t="s">
        <v>1079</v>
      </c>
    </row>
    <row r="740" spans="1:1" x14ac:dyDescent="0.25">
      <c r="A740" s="151"/>
    </row>
    <row r="741" spans="1:1" x14ac:dyDescent="0.25">
      <c r="A741" s="151" t="s">
        <v>1080</v>
      </c>
    </row>
    <row r="742" spans="1:1" x14ac:dyDescent="0.25">
      <c r="A742" s="151" t="s">
        <v>1081</v>
      </c>
    </row>
    <row r="743" spans="1:1" x14ac:dyDescent="0.25">
      <c r="A743" s="151" t="s">
        <v>1082</v>
      </c>
    </row>
    <row r="744" spans="1:1" x14ac:dyDescent="0.25">
      <c r="A744" s="151" t="s">
        <v>1083</v>
      </c>
    </row>
    <row r="745" spans="1:1" x14ac:dyDescent="0.25">
      <c r="A745" s="151" t="s">
        <v>1084</v>
      </c>
    </row>
    <row r="746" spans="1:1" x14ac:dyDescent="0.25">
      <c r="A746" s="151" t="s">
        <v>1085</v>
      </c>
    </row>
    <row r="747" spans="1:1" x14ac:dyDescent="0.25">
      <c r="A747" s="151" t="s">
        <v>1086</v>
      </c>
    </row>
    <row r="748" spans="1:1" x14ac:dyDescent="0.25">
      <c r="A748" s="151" t="s">
        <v>639</v>
      </c>
    </row>
    <row r="749" spans="1:1" x14ac:dyDescent="0.25">
      <c r="A749" s="151" t="s">
        <v>1087</v>
      </c>
    </row>
    <row r="750" spans="1:1" x14ac:dyDescent="0.25">
      <c r="A750" s="151"/>
    </row>
    <row r="751" spans="1:1" x14ac:dyDescent="0.25">
      <c r="A751" s="151" t="s">
        <v>1088</v>
      </c>
    </row>
    <row r="752" spans="1:1" x14ac:dyDescent="0.25">
      <c r="A752" s="151" t="s">
        <v>1089</v>
      </c>
    </row>
    <row r="753" spans="1:1" x14ac:dyDescent="0.25">
      <c r="A753" s="151" t="s">
        <v>1090</v>
      </c>
    </row>
    <row r="754" spans="1:1" x14ac:dyDescent="0.25">
      <c r="A754" s="151" t="s">
        <v>1091</v>
      </c>
    </row>
    <row r="755" spans="1:1" x14ac:dyDescent="0.25">
      <c r="A755" s="151" t="s">
        <v>1092</v>
      </c>
    </row>
    <row r="756" spans="1:1" x14ac:dyDescent="0.25">
      <c r="A756" s="151" t="s">
        <v>1093</v>
      </c>
    </row>
    <row r="757" spans="1:1" x14ac:dyDescent="0.25">
      <c r="A757" s="151" t="s">
        <v>580</v>
      </c>
    </row>
    <row r="758" spans="1:1" x14ac:dyDescent="0.25">
      <c r="A758" s="151"/>
    </row>
    <row r="759" spans="1:1" x14ac:dyDescent="0.25">
      <c r="A759" s="151" t="s">
        <v>1094</v>
      </c>
    </row>
    <row r="760" spans="1:1" x14ac:dyDescent="0.25">
      <c r="A760" s="151" t="s">
        <v>1095</v>
      </c>
    </row>
    <row r="761" spans="1:1" x14ac:dyDescent="0.25">
      <c r="A761" s="151" t="s">
        <v>1096</v>
      </c>
    </row>
    <row r="762" spans="1:1" x14ac:dyDescent="0.25">
      <c r="A762" s="151" t="s">
        <v>1097</v>
      </c>
    </row>
    <row r="763" spans="1:1" x14ac:dyDescent="0.25">
      <c r="A763" s="151" t="s">
        <v>1098</v>
      </c>
    </row>
    <row r="764" spans="1:1" x14ac:dyDescent="0.25">
      <c r="A764" s="151" t="s">
        <v>1099</v>
      </c>
    </row>
    <row r="765" spans="1:1" x14ac:dyDescent="0.25">
      <c r="A765" s="151" t="s">
        <v>1100</v>
      </c>
    </row>
    <row r="766" spans="1:1" x14ac:dyDescent="0.25">
      <c r="A766" s="151" t="s">
        <v>1101</v>
      </c>
    </row>
    <row r="767" spans="1:1" x14ac:dyDescent="0.25">
      <c r="A767" s="151" t="s">
        <v>1102</v>
      </c>
    </row>
    <row r="768" spans="1:1" x14ac:dyDescent="0.25">
      <c r="A768" s="151" t="s">
        <v>1103</v>
      </c>
    </row>
    <row r="769" spans="1:1" x14ac:dyDescent="0.25">
      <c r="A769" s="151" t="s">
        <v>1104</v>
      </c>
    </row>
    <row r="770" spans="1:1" x14ac:dyDescent="0.25">
      <c r="A770" s="151" t="s">
        <v>1105</v>
      </c>
    </row>
    <row r="771" spans="1:1" x14ac:dyDescent="0.25">
      <c r="A771" s="151" t="s">
        <v>1106</v>
      </c>
    </row>
    <row r="772" spans="1:1" x14ac:dyDescent="0.25">
      <c r="A772" s="151" t="s">
        <v>1107</v>
      </c>
    </row>
    <row r="773" spans="1:1" x14ac:dyDescent="0.25">
      <c r="A773" s="151" t="s">
        <v>1108</v>
      </c>
    </row>
    <row r="774" spans="1:1" x14ac:dyDescent="0.25">
      <c r="A774" s="151" t="s">
        <v>1109</v>
      </c>
    </row>
    <row r="775" spans="1:1" x14ac:dyDescent="0.25">
      <c r="A775" s="151"/>
    </row>
    <row r="776" spans="1:1" x14ac:dyDescent="0.25">
      <c r="A776" s="151" t="s">
        <v>1110</v>
      </c>
    </row>
    <row r="777" spans="1:1" x14ac:dyDescent="0.25">
      <c r="A777" s="151" t="s">
        <v>1111</v>
      </c>
    </row>
    <row r="778" spans="1:1" x14ac:dyDescent="0.25">
      <c r="A778" s="151" t="s">
        <v>1112</v>
      </c>
    </row>
    <row r="779" spans="1:1" x14ac:dyDescent="0.25">
      <c r="A779" s="151"/>
    </row>
    <row r="780" spans="1:1" x14ac:dyDescent="0.25">
      <c r="A780" s="151" t="s">
        <v>1113</v>
      </c>
    </row>
    <row r="781" spans="1:1" x14ac:dyDescent="0.25">
      <c r="A781" s="151" t="s">
        <v>1114</v>
      </c>
    </row>
    <row r="782" spans="1:1" x14ac:dyDescent="0.25">
      <c r="A782" s="151" t="s">
        <v>1115</v>
      </c>
    </row>
    <row r="783" spans="1:1" x14ac:dyDescent="0.25">
      <c r="A783" s="151" t="s">
        <v>1116</v>
      </c>
    </row>
    <row r="784" spans="1:1" x14ac:dyDescent="0.25">
      <c r="A784" s="151" t="s">
        <v>1117</v>
      </c>
    </row>
    <row r="785" spans="1:1" x14ac:dyDescent="0.25">
      <c r="A785" s="151" t="s">
        <v>1118</v>
      </c>
    </row>
    <row r="786" spans="1:1" x14ac:dyDescent="0.25">
      <c r="A786" s="151" t="s">
        <v>1119</v>
      </c>
    </row>
    <row r="787" spans="1:1" x14ac:dyDescent="0.25">
      <c r="A787" s="151"/>
    </row>
    <row r="788" spans="1:1" x14ac:dyDescent="0.25">
      <c r="A788" s="151" t="s">
        <v>1120</v>
      </c>
    </row>
    <row r="789" spans="1:1" x14ac:dyDescent="0.25">
      <c r="A789" s="151" t="s">
        <v>1121</v>
      </c>
    </row>
    <row r="790" spans="1:1" x14ac:dyDescent="0.25">
      <c r="A790" s="151" t="s">
        <v>1122</v>
      </c>
    </row>
    <row r="791" spans="1:1" x14ac:dyDescent="0.25">
      <c r="A791" s="151" t="s">
        <v>1123</v>
      </c>
    </row>
    <row r="792" spans="1:1" x14ac:dyDescent="0.25">
      <c r="A792" s="151" t="s">
        <v>1124</v>
      </c>
    </row>
    <row r="793" spans="1:1" x14ac:dyDescent="0.25">
      <c r="A793" s="151" t="s">
        <v>1125</v>
      </c>
    </row>
    <row r="794" spans="1:1" x14ac:dyDescent="0.25">
      <c r="A794" s="151" t="s">
        <v>1126</v>
      </c>
    </row>
    <row r="795" spans="1:1" x14ac:dyDescent="0.25">
      <c r="A795" s="151" t="s">
        <v>1127</v>
      </c>
    </row>
    <row r="796" spans="1:1" x14ac:dyDescent="0.25">
      <c r="A796" s="151"/>
    </row>
    <row r="797" spans="1:1" x14ac:dyDescent="0.25">
      <c r="A797" s="151" t="s">
        <v>1128</v>
      </c>
    </row>
    <row r="798" spans="1:1" x14ac:dyDescent="0.25">
      <c r="A798" s="151" t="s">
        <v>764</v>
      </c>
    </row>
    <row r="799" spans="1:1" x14ac:dyDescent="0.25">
      <c r="A799" s="151" t="s">
        <v>1129</v>
      </c>
    </row>
    <row r="800" spans="1:1" x14ac:dyDescent="0.25">
      <c r="A800" s="151" t="s">
        <v>1130</v>
      </c>
    </row>
    <row r="801" spans="1:1" x14ac:dyDescent="0.25">
      <c r="A801" s="151" t="s">
        <v>642</v>
      </c>
    </row>
    <row r="802" spans="1:1" x14ac:dyDescent="0.25">
      <c r="A802" s="151" t="s">
        <v>643</v>
      </c>
    </row>
    <row r="803" spans="1:1" x14ac:dyDescent="0.25">
      <c r="A803" s="151" t="s">
        <v>1131</v>
      </c>
    </row>
    <row r="804" spans="1:1" x14ac:dyDescent="0.25">
      <c r="A804" s="151" t="s">
        <v>1132</v>
      </c>
    </row>
    <row r="805" spans="1:1" x14ac:dyDescent="0.25">
      <c r="A805" s="151" t="s">
        <v>1133</v>
      </c>
    </row>
    <row r="806" spans="1:1" x14ac:dyDescent="0.25">
      <c r="A806" s="151" t="s">
        <v>1134</v>
      </c>
    </row>
    <row r="807" spans="1:1" x14ac:dyDescent="0.25">
      <c r="A807" s="151" t="s">
        <v>1135</v>
      </c>
    </row>
    <row r="808" spans="1:1" x14ac:dyDescent="0.25">
      <c r="A808" s="151" t="s">
        <v>588</v>
      </c>
    </row>
    <row r="809" spans="1:1" x14ac:dyDescent="0.25">
      <c r="A809" s="151"/>
    </row>
    <row r="810" spans="1:1" x14ac:dyDescent="0.25">
      <c r="A810" s="151" t="s">
        <v>1136</v>
      </c>
    </row>
    <row r="811" spans="1:1" x14ac:dyDescent="0.25">
      <c r="A811" s="151" t="s">
        <v>1137</v>
      </c>
    </row>
    <row r="812" spans="1:1" x14ac:dyDescent="0.25">
      <c r="A812" s="151"/>
    </row>
    <row r="813" spans="1:1" x14ac:dyDescent="0.25">
      <c r="A813" s="151" t="s">
        <v>1138</v>
      </c>
    </row>
    <row r="814" spans="1:1" x14ac:dyDescent="0.25">
      <c r="A814" s="151" t="s">
        <v>663</v>
      </c>
    </row>
    <row r="815" spans="1:1" x14ac:dyDescent="0.25">
      <c r="A815" s="151"/>
    </row>
    <row r="816" spans="1:1" x14ac:dyDescent="0.25">
      <c r="A816" s="151" t="s">
        <v>664</v>
      </c>
    </row>
    <row r="817" spans="1:1" x14ac:dyDescent="0.25">
      <c r="A817" s="151" t="s">
        <v>1139</v>
      </c>
    </row>
    <row r="818" spans="1:1" x14ac:dyDescent="0.25">
      <c r="A818" s="151" t="s">
        <v>666</v>
      </c>
    </row>
  </sheetData>
  <pageMargins left="0.75" right="0.75" top="1" bottom="1" header="0.511811023622047" footer="0.511811023622047"/>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2" baseType="variant">
      <vt:variant>
        <vt:lpstr>Worksheets</vt:lpstr>
      </vt:variant>
      <vt:variant>
        <vt:i4>49</vt:i4>
      </vt:variant>
    </vt:vector>
  </HeadingPairs>
  <TitlesOfParts>
    <vt:vector size="49" baseType="lpstr">
      <vt:lpstr>DEVELOPER</vt:lpstr>
      <vt:lpstr>ACKNOWLEDGEMENT</vt:lpstr>
      <vt:lpstr>Manager_Dashboard</vt:lpstr>
      <vt:lpstr>Account_Opening</vt:lpstr>
      <vt:lpstr>Customer Account Database</vt:lpstr>
      <vt:lpstr>Agent01_Savings</vt:lpstr>
      <vt:lpstr>Agent01_Withdrawals</vt:lpstr>
      <vt:lpstr>Agent01_Loans</vt:lpstr>
      <vt:lpstr>Agent02_Savings</vt:lpstr>
      <vt:lpstr>Agent02_Withdrawals</vt:lpstr>
      <vt:lpstr>Agent02_Loans</vt:lpstr>
      <vt:lpstr>Agent03_Savings</vt:lpstr>
      <vt:lpstr>Agent03_Withdrawals</vt:lpstr>
      <vt:lpstr>Agent03_Loans</vt:lpstr>
      <vt:lpstr>Agent04_Savings</vt:lpstr>
      <vt:lpstr>Agent04_Withdrawals</vt:lpstr>
      <vt:lpstr>Agent04_Loans</vt:lpstr>
      <vt:lpstr>Agent05_Savings</vt:lpstr>
      <vt:lpstr>Agent05_Withdrawals</vt:lpstr>
      <vt:lpstr>Agent05_Loans</vt:lpstr>
      <vt:lpstr>Agent06_Savings</vt:lpstr>
      <vt:lpstr>Agent06_Withdrawals</vt:lpstr>
      <vt:lpstr>Agent06_Loans</vt:lpstr>
      <vt:lpstr>Agent07_Savings</vt:lpstr>
      <vt:lpstr>Agent07_Withdrawals</vt:lpstr>
      <vt:lpstr>Agent07_Loans</vt:lpstr>
      <vt:lpstr>Agent08_Savings</vt:lpstr>
      <vt:lpstr>Agent08_Withdrawals</vt:lpstr>
      <vt:lpstr>Agent08_Loans</vt:lpstr>
      <vt:lpstr>Agent09_Savings</vt:lpstr>
      <vt:lpstr>Agent09_Withdrawals</vt:lpstr>
      <vt:lpstr>Agent09_Loans</vt:lpstr>
      <vt:lpstr>Agent10_Savings</vt:lpstr>
      <vt:lpstr>Agent10_Withdrawals</vt:lpstr>
      <vt:lpstr>Agent10_Loans</vt:lpstr>
      <vt:lpstr>DB_Customers</vt:lpstr>
      <vt:lpstr>DB_Savings</vt:lpstr>
      <vt:lpstr>DB_Withdrawals</vt:lpstr>
      <vt:lpstr>DB_Loans</vt:lpstr>
      <vt:lpstr>DB_Corrections</vt:lpstr>
      <vt:lpstr>Daily_Balancing</vt:lpstr>
      <vt:lpstr>Weekly_Balancing</vt:lpstr>
      <vt:lpstr>Monthly_Balancing</vt:lpstr>
      <vt:lpstr>MASTER_DATABASE</vt:lpstr>
      <vt:lpstr>CLOUD_SYNC</vt:lpstr>
      <vt:lpstr>DB_Agents</vt:lpstr>
      <vt:lpstr>System_Config</vt:lpstr>
      <vt:lpstr>Audit_Log</vt:lpstr>
      <vt:lpstr>VBA_Macros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SAMICIOUS MICROFINANCE V2</dc:title>
  <dc:subject/>
  <dc:creator>SAMICIOUS MICROFINANCE</dc:creator>
  <dc:description/>
  <cp:lastModifiedBy>FRANK ABBAN</cp:lastModifiedBy>
  <cp:revision>7</cp:revision>
  <dcterms:created xsi:type="dcterms:W3CDTF">2026-04-13T03:15:26Z</dcterms:created>
  <dcterms:modified xsi:type="dcterms:W3CDTF">2026-04-19T10:05:10Z</dcterms:modified>
  <dc:language>en-US</dc:language>
</cp:coreProperties>
</file>